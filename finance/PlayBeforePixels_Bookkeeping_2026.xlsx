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vmlDrawing5.vml" ContentType="application/vnd.openxmlformats-officedocument.vmlDrawing"/>
  <Override PartName="/xl/drawings/vmlDrawing6.vml" ContentType="application/vnd.openxmlformats-officedocument.vmlDrawing"/>
  <Override PartName="/xl/drawings/drawing4.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hart of Accounts" sheetId="2" state="visible" r:id="rId4"/>
    <sheet name="Sales Log" sheetId="3" state="visible" r:id="rId5"/>
    <sheet name="Expenses" sheetId="4" state="visible" r:id="rId6"/>
    <sheet name="Payouts Reconciliation" sheetId="5" state="visible" r:id="rId7"/>
    <sheet name="Channel Summary" sheetId="6" state="visible" r:id="rId8"/>
    <sheet name="Sales Tax" sheetId="7" state="visible" r:id="rId9"/>
    <sheet name="Quarterly Estimates" sheetId="8" state="visible" r:id="rId10"/>
    <sheet name="Mileage &amp; Event Log" sheetId="9" state="visible" r:id="rId11"/>
    <sheet name="Accountant Packet" sheetId="10" state="visible" r:id="rId12"/>
  </sheets>
  <definedNames>
    <definedName function="false" hidden="true" localSheetId="9" name="_xlnm._FilterDatabase" vbProcedure="false">'Accountant Packet'!$A$4:$I$40</definedName>
    <definedName function="false" hidden="true" localSheetId="3" name="_xlnm._FilterDatabase" vbProcedure="false">Expenses!$A$4:$K$1004</definedName>
    <definedName function="false" hidden="true" localSheetId="4" name="_xlnm._FilterDatabase" vbProcedure="false">'Payouts Reconciliation'!$A$4:$O$504</definedName>
    <definedName function="false" hidden="true" localSheetId="2" name="_xlnm._FilterDatabase" vbProcedure="false">'Sales Log'!$A$4:$R$1004</definedName>
    <definedName function="false" hidden="false" name="ChannelList" vbProcedure="false">'Chart of Accounts'!$A$66:$A$79</definedName>
    <definedName function="false" hidden="false" name="ExpenseCategories" vbProcedure="false">'Chart of Accounts'!$H$5:$H$26</definedName>
    <definedName function="false" hidden="false" name="IncomeAccounts" vbProcedure="false">'Chart of Accounts'!$I$5:$I$20</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Gross = item price x qty BEFORE fees, excluding shipping and sales tax. For KDP/IngramSpark enter the royalty or compensation earned for the month (Amazon already deducted printing).</t>
        </r>
      </text>
    </comment>
    <comment ref="K4" authorId="0">
      <text>
        <r>
          <rPr>
            <sz val="10"/>
            <rFont val="Arial"/>
            <family val="2"/>
          </rPr>
          <t xml:space="preserve">Y if Etsy, TikTok Shop, TpT, Faire, KDP (Amazon is seller) or a merchant of record collected the tax - that tax never reaches you and stays off your Maryland return (UNVERIFIED; accountant confirms). N if YOU collected it (Shopify website store, Stripe, PayPal, invoices, events).</t>
        </r>
      </text>
    </comment>
    <comment ref="L4" authorId="0">
      <text>
        <r>
          <rPr>
            <sz val="10"/>
            <rFont val="Arial"/>
            <family val="2"/>
          </rPr>
          <t xml:space="preserve">Formula: Gross - Platform fees + Shipping charged + (Sales tax collected only when column K = N).</t>
        </r>
      </text>
    </comment>
    <comment ref="N4" authorId="0">
      <text>
        <r>
          <rPr>
            <sz val="10"/>
            <rFont val="Arial"/>
            <family val="2"/>
          </rPr>
          <t xml:space="preserve">Y for goods and digital products sold to Maryland buyers by you directly (6% rate, UNVERIFIED). N for live coaching/workshops (generally not taxable, UNVERIFIED). Ask your accountant about course and kit sales.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Author copies and stock bought for resale -&gt; 1200 Inventory (not an expense until sold). Unsure? -&gt; 7000 Ask My Accountant, with a note.</t>
        </r>
      </text>
    </comment>
    <comment ref="E4" authorId="0">
      <text>
        <r>
          <rPr>
            <sz val="10"/>
            <rFont val="Arial"/>
            <family val="2"/>
          </rPr>
          <t xml:space="preserve">Personal funds = you paid a business cost personally; the accountant records it as 3000 Owner contribution. Avoid it: use the business card.</t>
        </r>
      </text>
    </comment>
    <comment ref="J4" authorId="0">
      <text>
        <r>
          <rPr>
            <sz val="10"/>
            <rFont val="Arial"/>
            <family val="2"/>
          </rPr>
          <t xml:space="preserve">Flags contractor payments made by bank transfer, ACH or check - those count toward a 1099-NEC you may owe ($2,000 per payee for payments after Dec 31, 2025, UNVERIFIED). Card and PayPal payments are reported by the processor on 1099-K instead (UNVERIFIED).</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K4" authorId="0">
      <text>
        <r>
          <rPr>
            <sz val="10"/>
            <rFont val="Arial"/>
            <family val="2"/>
          </rPr>
          <t xml:space="preserve">Sum of Sales Log net payout for this channel between Period start and Period end. Royalties arrive 60-90 days later (UNVERIFIED), so compare against the month the royalty was EARNED.</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Master tax-year input. Sales Tax and Quarterly Estimates read it too.</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11" authorId="0">
      <text>
        <r>
          <rPr>
            <sz val="10"/>
            <rFont val="Arial"/>
            <family val="2"/>
          </rPr>
          <t xml:space="preserve">IRS estimate periods: Jan 1-Mar 31, Apr 1-May 31, Jun 1-Aug 31, Sep 1-Dec 31 (Form 1040-ES; reviewer's knowledge, UNVERIFIED).</t>
        </r>
      </text>
    </comment>
    <comment ref="D11" authorId="0">
      <text>
        <r>
          <rPr>
            <sz val="10"/>
            <rFont val="Arial"/>
            <family val="2"/>
          </rPr>
          <t xml:space="preserve">2026 dates: Apr 15 (Wed), Jun 15 (Mon), Sep 15 (Tue), Jan 15, 2027 (Fri). The January payment can be skipped if you file the 2026 return by Feb 1, 2027 and pay in full (UNVERIFIED). For tax year 2027 type: 04/15/2027, 06/15/2027, 09/15/2027 and the January 2028 date printed on the 2027 Form 1040-ES (Jan 15, 2028 is a Saturday).</t>
        </r>
      </text>
    </comment>
    <comment ref="R11" authorId="0">
      <text>
        <r>
          <rPr>
            <sz val="10"/>
            <rFont val="Arial"/>
            <family val="2"/>
          </rPr>
          <t xml:space="preserve">Maryland individual estimated tax (Form PV / 502D) is generally required if expected Maryland tax not withheld exceeds $500 (UNVERIFIED). Due dates usually track the federal ones (UNVERIFIED) - confirm with the accountant.</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Enter the IRS business standard mileage rate for the tax year from irs.gov (not verified in this workbook). Blank = mileage value shows $0.</t>
        </r>
      </text>
    </comment>
  </commentList>
</comments>
</file>

<file path=xl/sharedStrings.xml><?xml version="1.0" encoding="utf-8"?>
<sst xmlns="http://schemas.openxmlformats.org/spreadsheetml/2006/main" count="1077" uniqueCount="763">
  <si>
    <t xml:space="preserve">Play Before Pixels - Bookkeeping Workbook, tax year 2026</t>
  </si>
  <si>
    <t xml:space="preserve">AlphaPlay LLC d/b/a Play Before Pixels | built September 27, 2026 | companion guide: /home/user/playbeforepixels/finance/money-and-tax-setup.md</t>
  </si>
  <si>
    <t xml:space="preserve">What this workbook is for</t>
  </si>
  <si>
    <t xml:space="preserve">QuickBooks Online (or Xero, if your accountant prefers it) is the official set of books. This workbook is your working log and your accountant's cross-check. Use it to:</t>
  </si>
  <si>
    <t xml:space="preserve">1. Log the channels no connector covers: KDP, IngramSpark, Teachers Pay Teachers, Faire, the merchant of record, affiliates, direct invoices and events. Until QBO and Link My Books are live, log every channel here.</t>
  </si>
  <si>
    <t xml:space="preserve">2. Tick every payout against a deposit in business checking (Payouts Reconciliation).</t>
  </si>
  <si>
    <t xml:space="preserve">3. Work out the Maryland sales-tax return numbers (Sales Tax) and the quarterly estimate placeholders (Quarterly Estimates).</t>
  </si>
  <si>
    <t xml:space="preserve">4. Keep the mileage log and the accountant checklist in one place.</t>
  </si>
  <si>
    <t xml:space="preserve">The monthly routine (about 30 minutes, first week of each month)</t>
  </si>
  <si>
    <t xml:space="preserve">1. Download each platform's monthly statement and save it to the accountant folder (sub-folder YYYY-MM).</t>
  </si>
  <si>
    <t xml:space="preserve">2. Sales Log: one row per channel per month for marketplaces and royalties; one row per order for direct sales.</t>
  </si>
  <si>
    <t xml:space="preserve">3. Expenses: one row per receipt not already in QBO; pick the category from the drop-down.</t>
  </si>
  <si>
    <t xml:space="preserve">4. Payouts Reconciliation: add each payout and the matching bank deposit until every row says MATCHED.</t>
  </si>
  <si>
    <t xml:space="preserve">5. Sales Tax: check the month's row, file the Maryland return (zero returns too), note the confirmation number.</t>
  </si>
  <si>
    <t xml:space="preserve">6. Move the set-aside % of the month's profit and 100% of MD sales tax collected to the tax-reserve account.</t>
  </si>
  <si>
    <t xml:space="preserve">7. Accountant Packet: mark the month's items Done.</t>
  </si>
  <si>
    <t xml:space="preserve">Rules that keep taxes easy</t>
  </si>
  <si>
    <t xml:space="preserve">- Every payout goes to business checking. Every business cost goes on the business card or comes out of business checking.</t>
  </si>
  <si>
    <t xml:space="preserve">- Never mix personal money in. A business cost paid personally = 'Personal funds (owner contribution)'. Money you take out = owner draw, never an expense.</t>
  </si>
  <si>
    <t xml:space="preserve">- Sales tax you collect is not your money: it is a liability (2200), and it goes to the tax reserve in full.</t>
  </si>
  <si>
    <t xml:space="preserve">- Federal and Maryland estimated tax payments are owner draws for a disregarded LLC, not business expenses (accountant confirms).</t>
  </si>
  <si>
    <t xml:space="preserve">- Author copies and stock are inventory (1200) until sold. Printful orders are cost of goods sold (5100).</t>
  </si>
  <si>
    <t xml:space="preserve">- Fees a platform deducts from a payout go in the Sales Log 'Platform fees' column, not in Expenses (no double counting).</t>
  </si>
  <si>
    <t xml:space="preserve">- Keep every receipt. Collect a W-9 from every contractor before the first payment.</t>
  </si>
  <si>
    <t xml:space="preserve">Color key</t>
  </si>
  <si>
    <t xml:space="preserve">Header</t>
  </si>
  <si>
    <t xml:space="preserve">Cell you fill in (blue text on light yellow)</t>
  </si>
  <si>
    <t xml:space="preserve">EXAMPLE row (grey italic) - excluded from every total</t>
  </si>
  <si>
    <t xml:space="preserve">Formula (light grey-blue) - do not type over</t>
  </si>
  <si>
    <t xml:space="preserve">Example rows</t>
  </si>
  <si>
    <t xml:space="preserve">Rows with EXAMPLE in the last column are made-up amounts that show the format. Every total ignores them. Delete them (right-click the row number &gt; Delete) once you start. If you type over one instead, clear its 'Example row' cell so it counts.</t>
  </si>
  <si>
    <t xml:space="preserve">Tabs</t>
  </si>
  <si>
    <t xml:space="preserve">Chart of Accounts</t>
  </si>
  <si>
    <t xml:space="preserve">The accounts to set up in QBO/Xero, the drop-down lists, and the Channel map showing how every shop's money reaches the books.</t>
  </si>
  <si>
    <t xml:space="preserve">Sales Log</t>
  </si>
  <si>
    <t xml:space="preserve">Sales by channel. Net payout is a formula.</t>
  </si>
  <si>
    <t xml:space="preserve">Expenses</t>
  </si>
  <si>
    <t xml:space="preserve">Costs, with category drop-down from the Chart of Accounts and a 1099-NEC watch column.</t>
  </si>
  <si>
    <t xml:space="preserve">Payouts Reconciliation</t>
  </si>
  <si>
    <t xml:space="preserve">Each platform payout matched to a bank deposit.</t>
  </si>
  <si>
    <t xml:space="preserve">Channel Summary</t>
  </si>
  <si>
    <t xml:space="preserve">Gross, fees, net and payouts by channel and month (formulas only). Tax year input in B3.</t>
  </si>
  <si>
    <t xml:space="preserve">Sales Tax</t>
  </si>
  <si>
    <t xml:space="preserve">Maryland taxable sales and tax you collected, with marketplace-collected sales excluded. Monthly, quarterly and annual.</t>
  </si>
  <si>
    <t xml:space="preserve">Quarterly Estimates</t>
  </si>
  <si>
    <t xml:space="preserve">Profit by IRS estimate period, SE-tax placeholder, set-aside, due dates and payment records.</t>
  </si>
  <si>
    <t xml:space="preserve">Mileage &amp; Event Log</t>
  </si>
  <si>
    <t xml:space="preserve">Business trips and events. (The requested name 'Mileage/Event log' uses '/', which Excel does not allow in tab names.)</t>
  </si>
  <si>
    <t xml:space="preserve">Accountant Packet</t>
  </si>
  <si>
    <t xml:space="preserve">Monthly, quarterly and year-end checklist with a Status drop-down.</t>
  </si>
  <si>
    <t xml:space="preserve">Verification status - read this</t>
  </si>
  <si>
    <t xml:space="preserve">No fee, rate, threshold or deadline in this workbook was confirmed against a primary source on September 27, 2026: irs.gov, marylandtaxes.gov and the platform sites were unreachable from the research environment. Items are marked UNVERIFIED. Weekdays of due dates were computed. Your accountant confirms or replaces every rate in a yellow cell.</t>
  </si>
  <si>
    <t xml:space="preserve">Next year</t>
  </si>
  <si>
    <t xml:space="preserve">Save a copy as PlayBeforePixels_Bookkeeping_2027.xlsx, change the tax year on Channel Summary B3, type the 2027 due dates on Quarterly Estimates, clear the 2026 rows, and reset the Accountant Packet statuses.</t>
  </si>
  <si>
    <t xml:space="preserve">Chart of Accounts - AlphaPlay LLC d/b/a Play Before Pixels</t>
  </si>
  <si>
    <t xml:space="preserve">Set these accounts up in QuickBooks Online (or Xero) with these numbers and names. The tax-line column is a suggestion only (UNVERIFIED): your accountant sets the final mapping. The drop-down lists used on the other tabs live in columns H-I, and the channel map below the chart feeds every Channel drop-down.</t>
  </si>
  <si>
    <t xml:space="preserve">Account #</t>
  </si>
  <si>
    <t xml:space="preserve">Account name</t>
  </si>
  <si>
    <t xml:space="preserve">Type</t>
  </si>
  <si>
    <t xml:space="preserve">Tax-line suggestion (UNVERIFIED)</t>
  </si>
  <si>
    <t xml:space="preserve">What goes here</t>
  </si>
  <si>
    <t xml:space="preserve">How it gets posted</t>
  </si>
  <si>
    <t xml:space="preserve">Expense categories (drop-down source)</t>
  </si>
  <si>
    <t xml:space="preserve">Income accounts (drop-down source)</t>
  </si>
  <si>
    <t xml:space="preserve">1000</t>
  </si>
  <si>
    <t xml:space="preserve">Business checking (AlphaPlay LLC d/b/a Play Before Pixels)</t>
  </si>
  <si>
    <t xml:space="preserve">Bank</t>
  </si>
  <si>
    <t xml:space="preserve">Balance sheet</t>
  </si>
  <si>
    <t xml:space="preserve">The hub. Every shop, royalty and invoice payout lands here. Pays the card, the tax reserve and taxes.</t>
  </si>
  <si>
    <t xml:space="preserve">Bank feed</t>
  </si>
  <si>
    <t xml:space="preserve">1200 Inventory - author copies &amp; stock</t>
  </si>
  <si>
    <t xml:space="preserve">4000 Book royalties - KDP</t>
  </si>
  <si>
    <t xml:space="preserve">1010</t>
  </si>
  <si>
    <t xml:space="preserve">Tax reserve savings</t>
  </si>
  <si>
    <t xml:space="preserve">Set-aside % of each payout (accountant sets it) plus 100% of Maryland sales tax you collect.</t>
  </si>
  <si>
    <t xml:space="preserve">Bank feed (record as transfers)</t>
  </si>
  <si>
    <t xml:space="preserve">5000 COGS - books &amp; stock sold</t>
  </si>
  <si>
    <t xml:space="preserve">4010 Book compensation - IngramSpark</t>
  </si>
  <si>
    <t xml:space="preserve">1020</t>
  </si>
  <si>
    <t xml:space="preserve">PayPal Business</t>
  </si>
  <si>
    <t xml:space="preserve">Bank (clearing)</t>
  </si>
  <si>
    <t xml:space="preserve">PayPal sales and platform payouts sitting in PayPal before you transfer them to checking.</t>
  </si>
  <si>
    <t xml:space="preserve">PayPal connection or Synder (method UNVERIFIED)</t>
  </si>
  <si>
    <t xml:space="preserve">5100 COGS - POD fulfillment (Printful)</t>
  </si>
  <si>
    <t xml:space="preserve">4100 Sales - digital downloads (printables)</t>
  </si>
  <si>
    <t xml:space="preserve">1030</t>
  </si>
  <si>
    <t xml:space="preserve">Stripe clearing</t>
  </si>
  <si>
    <t xml:space="preserve">Clearing</t>
  </si>
  <si>
    <t xml:space="preserve">Stripe gross sales less Stripe fees until the payout reaches checking.</t>
  </si>
  <si>
    <t xml:space="preserve">Monthly entry from Stripe Payout Reconciliation report</t>
  </si>
  <si>
    <t xml:space="preserve">5200 Shipping &amp; postage (outbound orders)</t>
  </si>
  <si>
    <t xml:space="preserve">4150 Sales - teacher resource pack</t>
  </si>
  <si>
    <t xml:space="preserve">1040</t>
  </si>
  <si>
    <t xml:space="preserve">Marketplace clearing (connector)</t>
  </si>
  <si>
    <t xml:space="preserve">Settlements posted by Link My Books (Etsy, TikTok Shop, Shopify) until the deposit clears.</t>
  </si>
  <si>
    <t xml:space="preserve">Link My Books</t>
  </si>
  <si>
    <t xml:space="preserve">5300 COGS - card deck &amp; print runs</t>
  </si>
  <si>
    <t xml:space="preserve">4200 Sales - books sold direct</t>
  </si>
  <si>
    <t xml:space="preserve">1100</t>
  </si>
  <si>
    <t xml:space="preserve">KDP receivable</t>
  </si>
  <si>
    <t xml:space="preserve">Receivable</t>
  </si>
  <si>
    <t xml:space="preserve">KDP royalties earned but not yet paid (paid about 60 days after month end, UNVERIFIED).</t>
  </si>
  <si>
    <t xml:space="preserve">Monthly journal entry from KDP royalty report</t>
  </si>
  <si>
    <t xml:space="preserve">5400 Packaging &amp; order supplies</t>
  </si>
  <si>
    <t xml:space="preserve">4250 Sales - card deck</t>
  </si>
  <si>
    <t xml:space="preserve">1110</t>
  </si>
  <si>
    <t xml:space="preserve">IngramSpark receivable</t>
  </si>
  <si>
    <t xml:space="preserve">IngramSpark compensation earned but not yet paid (about 90 days, UNVERIFIED).</t>
  </si>
  <si>
    <t xml:space="preserve">Monthly journal entry from compensation report</t>
  </si>
  <si>
    <t xml:space="preserve">6000 Marketplace &amp; platform fees</t>
  </si>
  <si>
    <t xml:space="preserve">4300 Sales - POD merch</t>
  </si>
  <si>
    <t xml:space="preserve">1120</t>
  </si>
  <si>
    <t xml:space="preserve">Other platform receivables</t>
  </si>
  <si>
    <t xml:space="preserve">TpT, Faire, merchant-of-record and affiliate earnings not yet paid.</t>
  </si>
  <si>
    <t xml:space="preserve">Monthly journal entry or bank-feed coding</t>
  </si>
  <si>
    <t xml:space="preserve">6050 Payment processing fees</t>
  </si>
  <si>
    <t xml:space="preserve">4400 Sales - online course</t>
  </si>
  <si>
    <t xml:space="preserve">1130</t>
  </si>
  <si>
    <t xml:space="preserve">Accounts receivable - invoices</t>
  </si>
  <si>
    <t xml:space="preserve">Unpaid coaching, workshop and B2B/school invoices.</t>
  </si>
  <si>
    <t xml:space="preserve">QBO/Xero invoices</t>
  </si>
  <si>
    <t xml:space="preserve">6100 Advertising &amp; marketing</t>
  </si>
  <si>
    <t xml:space="preserve">4500 Coaching (services)</t>
  </si>
  <si>
    <t xml:space="preserve">1200</t>
  </si>
  <si>
    <t xml:space="preserve">Inventory - author copies &amp; stock</t>
  </si>
  <si>
    <t xml:space="preserve">Inventory</t>
  </si>
  <si>
    <t xml:space="preserve">Balance sheet; becomes COGS when sold</t>
  </si>
  <si>
    <t xml:space="preserve">Author copies (KDP, IngramSpark), card-deck stock and event stock. NOT an expense when bought.</t>
  </si>
  <si>
    <t xml:space="preserve">Card feed; accountant moves sold units to 5000</t>
  </si>
  <si>
    <t xml:space="preserve">6200 Software &amp; subscriptions</t>
  </si>
  <si>
    <t xml:space="preserve">4510 Workshops - live delivery</t>
  </si>
  <si>
    <t xml:space="preserve">2000</t>
  </si>
  <si>
    <t xml:space="preserve">Business credit card</t>
  </si>
  <si>
    <t xml:space="preserve">Credit card</t>
  </si>
  <si>
    <t xml:space="preserve">Every business charge. Paid in full from 1000 only.</t>
  </si>
  <si>
    <t xml:space="preserve">Card feed</t>
  </si>
  <si>
    <t xml:space="preserve">6300 Publishing costs (ISBNs, proofs, revisions)</t>
  </si>
  <si>
    <t xml:space="preserve">4520 Workshop kits - licenses</t>
  </si>
  <si>
    <t xml:space="preserve">2200</t>
  </si>
  <si>
    <t xml:space="preserve">Sales tax payable - MD</t>
  </si>
  <si>
    <t xml:space="preserve">Liability</t>
  </si>
  <si>
    <t xml:space="preserve">Not income</t>
  </si>
  <si>
    <t xml:space="preserve">Maryland sales tax you collect on your own sales. Cleared when you file and pay.</t>
  </si>
  <si>
    <t xml:space="preserve">Connector (Shopify) or Stripe entry</t>
  </si>
  <si>
    <t xml:space="preserve">6400 Legal &amp; professional fees</t>
  </si>
  <si>
    <t xml:space="preserve">4600 Wholesale &amp; group/B2B sales</t>
  </si>
  <si>
    <t xml:space="preserve">2300</t>
  </si>
  <si>
    <t xml:space="preserve">Customer deposits (unearned)</t>
  </si>
  <si>
    <t xml:space="preserve">Balance sheet (accountant decides)</t>
  </si>
  <si>
    <t xml:space="preserve">Workshop or coaching deposits received before delivery.</t>
  </si>
  <si>
    <t xml:space="preserve">Invoice / journal entry</t>
  </si>
  <si>
    <t xml:space="preserve">6450 Taxes, licenses &amp; filing fees</t>
  </si>
  <si>
    <t xml:space="preserve">4700 Affiliate income</t>
  </si>
  <si>
    <t xml:space="preserve">3000</t>
  </si>
  <si>
    <t xml:space="preserve">Owner contribution</t>
  </si>
  <si>
    <t xml:space="preserve">Equity</t>
  </si>
  <si>
    <t xml:space="preserve">Money you put in, or a business cost you paid personally by mistake.</t>
  </si>
  <si>
    <t xml:space="preserve">Journal entry / transfer</t>
  </si>
  <si>
    <t xml:space="preserve">6500 Contract labor (1099 watch)</t>
  </si>
  <si>
    <t xml:space="preserve">4800 Shipping charged to customers</t>
  </si>
  <si>
    <t xml:space="preserve">3100</t>
  </si>
  <si>
    <t xml:space="preserve">Owner draw</t>
  </si>
  <si>
    <t xml:space="preserve">Not an expense</t>
  </si>
  <si>
    <t xml:space="preserve">Money you take out for yourself.</t>
  </si>
  <si>
    <t xml:space="preserve">6600 Office supplies &amp; postage</t>
  </si>
  <si>
    <t xml:space="preserve">4900 Refunds &amp; returns</t>
  </si>
  <si>
    <t xml:space="preserve">3110</t>
  </si>
  <si>
    <t xml:space="preserve">Owner draw - federal estimated tax</t>
  </si>
  <si>
    <t xml:space="preserve">Not a business expense (disregarded LLC)</t>
  </si>
  <si>
    <t xml:space="preserve">Form 1040-ES payments made from the tax reserve.</t>
  </si>
  <si>
    <t xml:space="preserve">6700 Bank &amp; card fees</t>
  </si>
  <si>
    <t xml:space="preserve">4950 Interest income</t>
  </si>
  <si>
    <t xml:space="preserve">3120</t>
  </si>
  <si>
    <t xml:space="preserve">Owner draw - Maryland estimated tax</t>
  </si>
  <si>
    <t xml:space="preserve">Not a business expense (UNVERIFIED; accountant confirms)</t>
  </si>
  <si>
    <t xml:space="preserve">Maryland individual estimated payments (Form PV / 502D).</t>
  </si>
  <si>
    <t xml:space="preserve">6800 Research books &amp; education</t>
  </si>
  <si>
    <t xml:space="preserve">3900</t>
  </si>
  <si>
    <t xml:space="preserve">Owner equity / retained earnings</t>
  </si>
  <si>
    <t xml:space="preserve">Year-end roll-forward (automatic in QBO/Xero).</t>
  </si>
  <si>
    <t xml:space="preserve">Automatic</t>
  </si>
  <si>
    <t xml:space="preserve">6850 Workshop &amp; event costs</t>
  </si>
  <si>
    <t xml:space="preserve">4000</t>
  </si>
  <si>
    <t xml:space="preserve">Book royalties - KDP</t>
  </si>
  <si>
    <t xml:space="preserve">Income</t>
  </si>
  <si>
    <t xml:space="preserve">Sch C line 1 gross receipts (UNVERIFIED; accountant confirms)</t>
  </si>
  <si>
    <t xml:space="preserve">KDP royalties (print cost is already netted out by Amazon).</t>
  </si>
  <si>
    <t xml:space="preserve">Monthly journal entry: Dr 1100 / Cr 4000</t>
  </si>
  <si>
    <t xml:space="preserve">6900 Vehicle - mileage, parking &amp; tolls</t>
  </si>
  <si>
    <t xml:space="preserve">4010</t>
  </si>
  <si>
    <t xml:space="preserve">Book compensation - IngramSpark</t>
  </si>
  <si>
    <t xml:space="preserve">Sch C line 1 (UNVERIFIED)</t>
  </si>
  <si>
    <t xml:space="preserve">IngramSpark publisher compensation.</t>
  </si>
  <si>
    <t xml:space="preserve">Monthly journal entry: Dr 1110 / Cr 4010</t>
  </si>
  <si>
    <t xml:space="preserve">6950 Travel (lodging, fares)</t>
  </si>
  <si>
    <t xml:space="preserve">4100</t>
  </si>
  <si>
    <t xml:space="preserve">Sales - digital downloads (printables)</t>
  </si>
  <si>
    <t xml:space="preserve">Printables sold on Etsy, TpT, the website or a merchant of record.</t>
  </si>
  <si>
    <t xml:space="preserve">Connector or monthly entry</t>
  </si>
  <si>
    <t xml:space="preserve">6960 Business meals</t>
  </si>
  <si>
    <t xml:space="preserve">4150</t>
  </si>
  <si>
    <t xml:space="preserve">Sales - teacher resource pack</t>
  </si>
  <si>
    <t xml:space="preserve">Teacher resource pack (mostly TpT).</t>
  </si>
  <si>
    <t xml:space="preserve">Monthly entry from TpT report</t>
  </si>
  <si>
    <t xml:space="preserve">7000 Ask My Accountant</t>
  </si>
  <si>
    <t xml:space="preserve">4200</t>
  </si>
  <si>
    <t xml:space="preserve">Sales - books sold direct</t>
  </si>
  <si>
    <t xml:space="preserve">Signed books and author copies you sell yourself (website, events, Etsy, TikTok).</t>
  </si>
  <si>
    <t xml:space="preserve">Connector, Stripe or invoice</t>
  </si>
  <si>
    <t xml:space="preserve">4250</t>
  </si>
  <si>
    <t xml:space="preserve">Sales - card deck</t>
  </si>
  <si>
    <t xml:space="preserve">The card deck on any channel.</t>
  </si>
  <si>
    <t xml:space="preserve">4300</t>
  </si>
  <si>
    <t xml:space="preserve">Sales - POD merch</t>
  </si>
  <si>
    <t xml:space="preserve">Tees, totes, mugs, stickers, onesies (fulfilled by Printful).</t>
  </si>
  <si>
    <t xml:space="preserve">Connector</t>
  </si>
  <si>
    <t xml:space="preserve">4400</t>
  </si>
  <si>
    <t xml:space="preserve">Sales - online course</t>
  </si>
  <si>
    <t xml:space="preserve">Course sales (merchant of record, or Stripe for US buyers).</t>
  </si>
  <si>
    <t xml:space="preserve">Monthly entry from payout report</t>
  </si>
  <si>
    <t xml:space="preserve">4500</t>
  </si>
  <si>
    <t xml:space="preserve">Coaching (services)</t>
  </si>
  <si>
    <t xml:space="preserve">Parent coaching (audio or written).</t>
  </si>
  <si>
    <t xml:space="preserve">Stripe / invoice</t>
  </si>
  <si>
    <t xml:space="preserve">4510</t>
  </si>
  <si>
    <t xml:space="preserve">Workshops - live delivery</t>
  </si>
  <si>
    <t xml:space="preserve">Workshops you deliver (audio or in person).</t>
  </si>
  <si>
    <t xml:space="preserve">4520</t>
  </si>
  <si>
    <t xml:space="preserve">Workshop kits - licenses</t>
  </si>
  <si>
    <t xml:space="preserve">Host-it-yourself kits sold as downloads (possibly taxable digital product in MD, UNVERIFIED).</t>
  </si>
  <si>
    <t xml:space="preserve">Stripe, merchant of record or invoice</t>
  </si>
  <si>
    <t xml:space="preserve">4600</t>
  </si>
  <si>
    <t xml:space="preserve">Wholesale &amp; group/B2B sales</t>
  </si>
  <si>
    <t xml:space="preserve">Faire wholesale, school/PTA/group orders.</t>
  </si>
  <si>
    <t xml:space="preserve">Monthly entry (Faire) or invoice</t>
  </si>
  <si>
    <t xml:space="preserve">4700</t>
  </si>
  <si>
    <t xml:space="preserve">Affiliate income</t>
  </si>
  <si>
    <t xml:space="preserve">Sch C line 1 or other income (accountant decides)</t>
  </si>
  <si>
    <t xml:space="preserve">Amazon Associates and Bookshop.org commissions.</t>
  </si>
  <si>
    <t xml:space="preserve">Code the deposit in the bank feed</t>
  </si>
  <si>
    <t xml:space="preserve">4800</t>
  </si>
  <si>
    <t xml:space="preserve">Shipping charged to customers</t>
  </si>
  <si>
    <t xml:space="preserve">Shipping buyers paid you.</t>
  </si>
  <si>
    <t xml:space="preserve">Connector or entry</t>
  </si>
  <si>
    <t xml:space="preserve">4900</t>
  </si>
  <si>
    <t xml:space="preserve">Refunds &amp; returns</t>
  </si>
  <si>
    <t xml:space="preserve">Contra-income</t>
  </si>
  <si>
    <t xml:space="preserve">Sch C line 2 returns &amp; allowances (UNVERIFIED)</t>
  </si>
  <si>
    <t xml:space="preserve">Refunds you gave (connector splits these out).</t>
  </si>
  <si>
    <t xml:space="preserve">4950</t>
  </si>
  <si>
    <t xml:space="preserve">Interest income</t>
  </si>
  <si>
    <t xml:space="preserve">Other income</t>
  </si>
  <si>
    <t xml:space="preserve">Usually not Sch C (accountant decides)</t>
  </si>
  <si>
    <t xml:space="preserve">Bank interest (1099-INT if $10 or more, UNVERIFIED).</t>
  </si>
  <si>
    <t xml:space="preserve">5000</t>
  </si>
  <si>
    <t xml:space="preserve">COGS - books &amp; stock sold</t>
  </si>
  <si>
    <t xml:space="preserve">Cost of goods sold</t>
  </si>
  <si>
    <t xml:space="preserve">Sch C Part III (UNVERIFIED)</t>
  </si>
  <si>
    <t xml:space="preserve">Cost of author copies, decks and stock that sold (moved out of 1200).</t>
  </si>
  <si>
    <t xml:space="preserve">Accountant entry from inventory count</t>
  </si>
  <si>
    <t xml:space="preserve">5100</t>
  </si>
  <si>
    <t xml:space="preserve">COGS - POD fulfillment (Printful)</t>
  </si>
  <si>
    <t xml:space="preserve">Printful base price per order (plus any tax Printful charged).</t>
  </si>
  <si>
    <t xml:space="preserve">5200</t>
  </si>
  <si>
    <t xml:space="preserve">Shipping &amp; postage (outbound orders)</t>
  </si>
  <si>
    <t xml:space="preserve">Sch C Part III or line 27a (accountant decides)</t>
  </si>
  <si>
    <t xml:space="preserve">Printful shipping and postage on orders you ship.</t>
  </si>
  <si>
    <t xml:space="preserve">5300</t>
  </si>
  <si>
    <t xml:space="preserve">COGS - card deck &amp; print runs</t>
  </si>
  <si>
    <t xml:space="preserve">Print runs bought for resale (if not held as inventory).</t>
  </si>
  <si>
    <t xml:space="preserve">5400</t>
  </si>
  <si>
    <t xml:space="preserve">Packaging &amp; order supplies</t>
  </si>
  <si>
    <t xml:space="preserve">Sch C Part III or line 22 (accountant decides)</t>
  </si>
  <si>
    <t xml:space="preserve">Mailers, tissue, stickers used in orders.</t>
  </si>
  <si>
    <t xml:space="preserve">6000</t>
  </si>
  <si>
    <t xml:space="preserve">Marketplace &amp; platform fees</t>
  </si>
  <si>
    <t xml:space="preserve">Expense</t>
  </si>
  <si>
    <t xml:space="preserve">Sch C line 10 commissions &amp; fees (UNVERIFIED)</t>
  </si>
  <si>
    <t xml:space="preserve">Use sub-accounts 6000-Etsy, 6000-TikTok, 6000-TpT, 6000-Faire, 6000-Shopify, 6000-MoR. Fees the platform deducts go in the Sales Log instead.</t>
  </si>
  <si>
    <t xml:space="preserve">6050</t>
  </si>
  <si>
    <t xml:space="preserve">Payment processing fees</t>
  </si>
  <si>
    <t xml:space="preserve">Sch C line 10 (UNVERIFIED)</t>
  </si>
  <si>
    <t xml:space="preserve">Stripe, PayPal and Shopify Payments fees.</t>
  </si>
  <si>
    <t xml:space="preserve">6100</t>
  </si>
  <si>
    <t xml:space="preserve">Advertising &amp; marketing</t>
  </si>
  <si>
    <t xml:space="preserve">Sch C line 8 (UNVERIFIED)</t>
  </si>
  <si>
    <t xml:space="preserve">Ad platforms, Etsy Offsite Ads, printed flyers.</t>
  </si>
  <si>
    <t xml:space="preserve">Card feed + bank rules</t>
  </si>
  <si>
    <t xml:space="preserve">6200</t>
  </si>
  <si>
    <t xml:space="preserve">Software &amp; subscriptions</t>
  </si>
  <si>
    <t xml:space="preserve">Sch C line 18 or 27a (accountant decides)</t>
  </si>
  <si>
    <t xml:space="preserve">QBO/Xero, Link My Books, Canva, Shopify plan, domains, e-mail tools.</t>
  </si>
  <si>
    <t xml:space="preserve">6300</t>
  </si>
  <si>
    <t xml:space="preserve">Publishing costs (ISBNs, proofs, revisions)</t>
  </si>
  <si>
    <t xml:space="preserve">Sch C line 27a (UNVERIFIED)</t>
  </si>
  <si>
    <t xml:space="preserve">ISBNs (Bowker), proof copies, revision fees, barcodes.</t>
  </si>
  <si>
    <t xml:space="preserve">6400</t>
  </si>
  <si>
    <t xml:space="preserve">Legal &amp; professional fees</t>
  </si>
  <si>
    <t xml:space="preserve">Sch C line 17 (UNVERIFIED)</t>
  </si>
  <si>
    <t xml:space="preserve">Accountant, attorney, trademark attorney.</t>
  </si>
  <si>
    <t xml:space="preserve">Card feed / bank feed</t>
  </si>
  <si>
    <t xml:space="preserve">6450</t>
  </si>
  <si>
    <t xml:space="preserve">Taxes, licenses &amp; filing fees</t>
  </si>
  <si>
    <t xml:space="preserve">Sch C line 23 (UNVERIFIED)</t>
  </si>
  <si>
    <t xml:space="preserve">SDAT annual report, trade-name filing, USPTO fees. NOT income tax.</t>
  </si>
  <si>
    <t xml:space="preserve">6500</t>
  </si>
  <si>
    <t xml:space="preserve">Contract labor (1099 watch)</t>
  </si>
  <si>
    <t xml:space="preserve">Sch C line 11 (UNVERIFIED)</t>
  </si>
  <si>
    <t xml:space="preserve">Illustrator, reviewer, translator. Collect a W-9 before paying.</t>
  </si>
  <si>
    <t xml:space="preserve">Bank feed / card feed</t>
  </si>
  <si>
    <t xml:space="preserve">6600</t>
  </si>
  <si>
    <t xml:space="preserve">Office supplies &amp; postage</t>
  </si>
  <si>
    <t xml:space="preserve">Sch C line 18 (UNVERIFIED)</t>
  </si>
  <si>
    <t xml:space="preserve">Paper, ink, general postage (not order shipping).</t>
  </si>
  <si>
    <t xml:space="preserve">6700</t>
  </si>
  <si>
    <t xml:space="preserve">Bank &amp; card fees</t>
  </si>
  <si>
    <t xml:space="preserve">Bank service charges, wire fees.</t>
  </si>
  <si>
    <t xml:space="preserve">6800</t>
  </si>
  <si>
    <t xml:space="preserve">Research books &amp; education</t>
  </si>
  <si>
    <t xml:space="preserve">Books and courses bought for the business.</t>
  </si>
  <si>
    <t xml:space="preserve">6850</t>
  </si>
  <si>
    <t xml:space="preserve">Workshop &amp; event costs</t>
  </si>
  <si>
    <t xml:space="preserve">Venue or table fees, event supplies.</t>
  </si>
  <si>
    <t xml:space="preserve">6900</t>
  </si>
  <si>
    <t xml:space="preserve">Vehicle - mileage, parking &amp; tolls</t>
  </si>
  <si>
    <t xml:space="preserve">Sch C line 9 (UNVERIFIED)</t>
  </si>
  <si>
    <t xml:space="preserve">Parking and tolls here; miles go in the Mileage &amp; Event Log.</t>
  </si>
  <si>
    <t xml:space="preserve">Card feed + mileage log</t>
  </si>
  <si>
    <t xml:space="preserve">6950</t>
  </si>
  <si>
    <t xml:space="preserve">Travel (lodging, fares)</t>
  </si>
  <si>
    <t xml:space="preserve">Sch C line 24a (UNVERIFIED)</t>
  </si>
  <si>
    <t xml:space="preserve">Overnight business travel.</t>
  </si>
  <si>
    <t xml:space="preserve">6960</t>
  </si>
  <si>
    <t xml:space="preserve">Business meals</t>
  </si>
  <si>
    <t xml:space="preserve">Sch C line 24b (limit UNVERIFIED)</t>
  </si>
  <si>
    <t xml:space="preserve">Write who and why on the receipt.</t>
  </si>
  <si>
    <t xml:space="preserve">6990</t>
  </si>
  <si>
    <t xml:space="preserve">Home office (accountant computes)</t>
  </si>
  <si>
    <t xml:space="preserve">Sch C line 30 (UNVERIFIED)</t>
  </si>
  <si>
    <t xml:space="preserve">Give the accountant the square footage; do not post monthly.</t>
  </si>
  <si>
    <t xml:space="preserve">Year-end entry</t>
  </si>
  <si>
    <t xml:space="preserve">7000</t>
  </si>
  <si>
    <t xml:space="preserve">Ask My Accountant</t>
  </si>
  <si>
    <t xml:space="preserve">Suspense</t>
  </si>
  <si>
    <t xml:space="preserve">Must be empty at year end</t>
  </si>
  <si>
    <t xml:space="preserve">Anything you are unsure of. Add a note. Clear before year end.</t>
  </si>
  <si>
    <t xml:space="preserve">Any</t>
  </si>
  <si>
    <t xml:space="preserve">Channel map - how every shop's money reaches the books</t>
  </si>
  <si>
    <t xml:space="preserve">Column A feeds every Channel drop-down in this workbook. Timing, fees and tax forms are UNVERIFIED (no primary source was reachable on Sept 27, 2026). Check the source URL on the day you sign up.</t>
  </si>
  <si>
    <t xml:space="preserve">Channel</t>
  </si>
  <si>
    <t xml:space="preserve">What sells there</t>
  </si>
  <si>
    <t xml:space="preserve">Who collects sales tax</t>
  </si>
  <si>
    <t xml:space="preserve">Payout rail &amp; timing (UNVERIFIED)</t>
  </si>
  <si>
    <t xml:space="preserve">Income account(s)</t>
  </si>
  <si>
    <t xml:space="preserve">Fee account</t>
  </si>
  <si>
    <t xml:space="preserve">How it reaches QBO/Xero</t>
  </si>
  <si>
    <t xml:space="preserve">Monthly report to save</t>
  </si>
  <si>
    <t xml:space="preserve">Tax form you may receive (UNVERIFIED)</t>
  </si>
  <si>
    <t xml:space="preserve">Check at (source)</t>
  </si>
  <si>
    <t xml:space="preserve">Amazon KDP</t>
  </si>
  <si>
    <t xml:space="preserve">Paperback &amp; hardcover picture books, ebooks (board books are NOT a KDP format, UNVERIFIED)</t>
  </si>
  <si>
    <t xml:space="preserve">Amazon is the seller; not on your MD return (UNVERIFIED)</t>
  </si>
  <si>
    <t xml:space="preserve">EFT to 1000, ~60 days after month end, per marketplace</t>
  </si>
  <si>
    <t xml:space="preserve">None (print cost netted in royalty)</t>
  </si>
  <si>
    <t xml:space="preserve">Monthly journal entry Dr 1100 / Cr 4000; clear on deposit</t>
  </si>
  <si>
    <t xml:space="preserve">Royalty + Payments reports</t>
  </si>
  <si>
    <t xml:space="preserve">1099-MISC (royalty threshold $10)</t>
  </si>
  <si>
    <t xml:space="preserve">https://kdp.amazon.com/en_US/help/topic/G200641050</t>
  </si>
  <si>
    <t xml:space="preserve">IngramSpark</t>
  </si>
  <si>
    <t xml:space="preserve">Hardcover &amp; paperback for bookstores, libraries, schools</t>
  </si>
  <si>
    <t xml:space="preserve">The retailer (your print orders are costs)</t>
  </si>
  <si>
    <t xml:space="preserve">To 1000, ~90 days after month end</t>
  </si>
  <si>
    <t xml:space="preserve">Your print orders -&gt; 1200 via card</t>
  </si>
  <si>
    <t xml:space="preserve">Monthly journal entry Dr 1110 / Cr 4010</t>
  </si>
  <si>
    <t xml:space="preserve">Compensation report</t>
  </si>
  <si>
    <t xml:space="preserve">1099-MISC possible</t>
  </si>
  <si>
    <t xml:space="preserve">https://www.ingramspark.com/</t>
  </si>
  <si>
    <t xml:space="preserve">Etsy</t>
  </si>
  <si>
    <t xml:space="preserve">Printables, card deck, Printful merch, signed books</t>
  </si>
  <si>
    <t xml:space="preserve">Etsy (marketplace facilitator; also EU/UK VAT on downloads)</t>
  </si>
  <si>
    <t xml:space="preserve">Etsy Payments deposit to 1000: daily/weekly/biweekly/monthly (you choose)</t>
  </si>
  <si>
    <t xml:space="preserve">4100 / 4250 / 4300 / 4200 + 4800</t>
  </si>
  <si>
    <t xml:space="preserve">6000-Etsy</t>
  </si>
  <si>
    <t xml:space="preserve">Link My Books -&gt; QBO</t>
  </si>
  <si>
    <t xml:space="preserve">Monthly CSV statement</t>
  </si>
  <si>
    <t xml:space="preserve">1099-K (federal &gt;$20,000 and &gt;200; MD reported $600)</t>
  </si>
  <si>
    <t xml:space="preserve">https://www.etsy.com/legal/fees/</t>
  </si>
  <si>
    <t xml:space="preserve">Teachers Pay Teachers</t>
  </si>
  <si>
    <t xml:space="preserve">Teacher resource pack, classroom printables</t>
  </si>
  <si>
    <t xml:space="preserve">TpT (marketplace facilitator)</t>
  </si>
  <si>
    <t xml:space="preserve">Monthly; historically via PayPal</t>
  </si>
  <si>
    <t xml:space="preserve">4150 / 4100</t>
  </si>
  <si>
    <t xml:space="preserve">6000-TpT</t>
  </si>
  <si>
    <t xml:space="preserve">Monthly journal entry; PayPal leg is a transfer</t>
  </si>
  <si>
    <t xml:space="preserve">Sales report</t>
  </si>
  <si>
    <t xml:space="preserve">1099-K possible</t>
  </si>
  <si>
    <t xml:space="preserve">https://www.teacherspayteachers.com/</t>
  </si>
  <si>
    <t xml:space="preserve">TikTok Shop</t>
  </si>
  <si>
    <t xml:space="preserve">Merch, card deck, books you ship (NO digital goods)</t>
  </si>
  <si>
    <t xml:space="preserve">TikTok (marketplace facilitator)</t>
  </si>
  <si>
    <t xml:space="preserve">Settles to 1000 some days after delivery</t>
  </si>
  <si>
    <t xml:space="preserve">4300 / 4250 / 4200</t>
  </si>
  <si>
    <t xml:space="preserve">6000-TikTok</t>
  </si>
  <si>
    <t xml:space="preserve">Settlement statements</t>
  </si>
  <si>
    <t xml:space="preserve">https://seller-us.tiktok.com/</t>
  </si>
  <si>
    <t xml:space="preserve">Shopify (website store)</t>
  </si>
  <si>
    <t xml:space="preserve">Books direct, Printful merch, card deck, US digital downloads</t>
  </si>
  <si>
    <t xml:space="preserve">YOU collect on Maryland orders (watch other states' nexus)</t>
  </si>
  <si>
    <t xml:space="preserve">Shopify Payments payout to 1000</t>
  </si>
  <si>
    <t xml:space="preserve">4200 / 4250 / 4300 / 4100 + 4800</t>
  </si>
  <si>
    <t xml:space="preserve">6050 (plan fee -&gt; 6200)</t>
  </si>
  <si>
    <t xml:space="preserve">Link My Books or A2X -&gt; QBO; tax -&gt; 2200</t>
  </si>
  <si>
    <t xml:space="preserve">Payouts report</t>
  </si>
  <si>
    <t xml:space="preserve">https://www.shopify.com/pricing</t>
  </si>
  <si>
    <t xml:space="preserve">Stripe (website &amp; invoices)</t>
  </si>
  <si>
    <t xml:space="preserve">Coaching, workshop deposits &amp; invoices, B2B/school orders, US-only course/downloads</t>
  </si>
  <si>
    <t xml:space="preserve">YOU collect where taxable</t>
  </si>
  <si>
    <t xml:space="preserve">~2 business days rolling after a delayed first payout</t>
  </si>
  <si>
    <t xml:space="preserve">4500 / 4510 / 4520 / 4600 / 4400</t>
  </si>
  <si>
    <t xml:space="preserve">Match payout in bank feed + monthly entry from Payout Reconciliation report</t>
  </si>
  <si>
    <t xml:space="preserve">Payout Reconciliation report</t>
  </si>
  <si>
    <t xml:space="preserve">1099-K (MD reported $600)</t>
  </si>
  <si>
    <t xml:space="preserve">https://stripe.com/pricing</t>
  </si>
  <si>
    <t xml:space="preserve">Invoices for PayPal buyers; receives some platform payouts</t>
  </si>
  <si>
    <t xml:space="preserve">YOU collect on your own sales</t>
  </si>
  <si>
    <t xml:space="preserve">Sits in PayPal until you transfer to 1000</t>
  </si>
  <si>
    <t xml:space="preserve">Per product</t>
  </si>
  <si>
    <t xml:space="preserve">PayPal as a bank-type account in QBO (method UNVERIFIED); platform payouts = transfers</t>
  </si>
  <si>
    <t xml:space="preserve">Monthly statement</t>
  </si>
  <si>
    <t xml:space="preserve">https://www.paypal.com/us/business/paypal-business-fees</t>
  </si>
  <si>
    <t xml:space="preserve">Meta shop (FB/IG)</t>
  </si>
  <si>
    <t xml:space="preserve">Same catalog as the website</t>
  </si>
  <si>
    <t xml:space="preserve">Follows the checkout (website -&gt; you)</t>
  </si>
  <si>
    <t xml:space="preserve">No separate payout if checkout is on your site</t>
  </si>
  <si>
    <t xml:space="preserve">Log under Shopify/Stripe</t>
  </si>
  <si>
    <t xml:space="preserve">Nothing extra if checkout is on your site</t>
  </si>
  <si>
    <t xml:space="preserve">None</t>
  </si>
  <si>
    <t xml:space="preserve">None if website checkout</t>
  </si>
  <si>
    <t xml:space="preserve">https://www.facebook.com/business/help</t>
  </si>
  <si>
    <t xml:space="preserve">Faire (wholesale)</t>
  </si>
  <si>
    <t xml:space="preserve">Books, card deck, merch at wholesale to shops</t>
  </si>
  <si>
    <t xml:space="preserve">Resale certificates collected by Faire</t>
  </si>
  <si>
    <t xml:space="preserve">Paid shortly after shipment</t>
  </si>
  <si>
    <t xml:space="preserve">6000-Faire</t>
  </si>
  <si>
    <t xml:space="preserve">Monthly journal entry (Synder later)</t>
  </si>
  <si>
    <t xml:space="preserve">Payout reports (proof of exempt wholesale sales)</t>
  </si>
  <si>
    <t xml:space="preserve">https://www.faire.com/</t>
  </si>
  <si>
    <t xml:space="preserve">Merchant of record</t>
  </si>
  <si>
    <t xml:space="preserve">Worldwide printables, online course, workshop kits (Lemon Squeezy, Gumroad or course-platform MoR)</t>
  </si>
  <si>
    <t xml:space="preserve">The MoR (EU/UK VAT and most US states)</t>
  </si>
  <si>
    <t xml:space="preserve">Per MoR payout schedule</t>
  </si>
  <si>
    <t xml:space="preserve">4100 / 4400 / 4520</t>
  </si>
  <si>
    <t xml:space="preserve">6000-MoR</t>
  </si>
  <si>
    <t xml:space="preserve">Monthly journal entry from payout statement (gross vs net: accountant decides)</t>
  </si>
  <si>
    <t xml:space="preserve">Payout statement</t>
  </si>
  <si>
    <t xml:space="preserve">UNVERIFIED</t>
  </si>
  <si>
    <t xml:space="preserve">https://taxation-customs.ec.europa.eu/taxation/vat/vat-e-commerce_en</t>
  </si>
  <si>
    <t xml:space="preserve">Amazon Associates</t>
  </si>
  <si>
    <t xml:space="preserve">Affiliate links (no Influencer storefront: brand is faceless)</t>
  </si>
  <si>
    <t xml:space="preserve">Not applicable</t>
  </si>
  <si>
    <t xml:space="preserve">~60 days after month end</t>
  </si>
  <si>
    <t xml:space="preserve">Code deposit in bank feed to 4700</t>
  </si>
  <si>
    <t xml:space="preserve">Earnings report</t>
  </si>
  <si>
    <t xml:space="preserve">1099-MISC (form/box UNVERIFIED)</t>
  </si>
  <si>
    <t xml:space="preserve">https://www.landmarkcpas.com/obbba-increases-1099-filing-threshold/</t>
  </si>
  <si>
    <t xml:space="preserve">Bookshop.org</t>
  </si>
  <si>
    <t xml:space="preserve">Affiliate shop lists</t>
  </si>
  <si>
    <t xml:space="preserve">Method UNVERIFIED</t>
  </si>
  <si>
    <t xml:space="preserve">Direct (check / ACH / cash)</t>
  </si>
  <si>
    <t xml:space="preserve">School, PTA and group orders paid by check or ACH; event cash</t>
  </si>
  <si>
    <t xml:space="preserve">YOU collect on taxable MD sales</t>
  </si>
  <si>
    <t xml:space="preserve">Deposit straight to 1000</t>
  </si>
  <si>
    <t xml:space="preserve">4600 / 4200 / 4510</t>
  </si>
  <si>
    <t xml:space="preserve">QBO invoice + bank feed</t>
  </si>
  <si>
    <t xml:space="preserve">Deposit record</t>
  </si>
  <si>
    <t xml:space="preserve">None (still income)</t>
  </si>
  <si>
    <t xml:space="preserve">https://www.marylandtaxes.gov/business/sales-use/index.php</t>
  </si>
  <si>
    <t xml:space="preserve">Suppliers and notes (not sales channels, so not in the drop-down)</t>
  </si>
  <si>
    <t xml:space="preserve">Printful</t>
  </si>
  <si>
    <t xml:space="preserve">Cost, not a channel. Charges the business card per order -&gt; 5100 COGS - POD fulfillment and 5200 Shipping. Upload a Maryland resale certificate so Printful does not charge sales tax on fulfillment (UNVERIFIED). Ask for CPSIA certificates for onesies/kids' items. Source: https://www.printful.com/</t>
  </si>
  <si>
    <t xml:space="preserve">"Amazon storefront"</t>
  </si>
  <si>
    <t xml:space="preserve">The amazon.com/shop/&lt;name&gt; storefront belongs to the Amazon Influencer Program, which needs a social following; the brand kit's faceless rule says skip it. Your Amazon presence is the Author Central page + KDP book pages (paid through KDP) and Associates links (paid through Associates).</t>
  </si>
  <si>
    <t xml:space="preserve">Bank &amp; card</t>
  </si>
  <si>
    <t xml:space="preserve">One checking (1000), one tax reserve (1010), one card (2000). Never personal money. Source: https://www.sba.gov/business-guide/launch-your-business/open-business-bank-account</t>
  </si>
  <si>
    <t xml:space="preserve">Direct sales (website, Stripe, invoices, events): one row per order. Marketplaces and royalties (Etsy, TikTok, TpT, KDP, IngramSpark, Faire, merchant of record, affiliates): one row per channel per month from the monthly statement. Net payout is a formula. Grey italic EXAMPLE rows are excluded from every total - delete them when you start.</t>
  </si>
  <si>
    <t xml:space="preserve">Date</t>
  </si>
  <si>
    <t xml:space="preserve">Order ID</t>
  </si>
  <si>
    <t xml:space="preserve">Product</t>
  </si>
  <si>
    <t xml:space="preserve">SKU</t>
  </si>
  <si>
    <t xml:space="preserve">Qty</t>
  </si>
  <si>
    <t xml:space="preserve">Gross</t>
  </si>
  <si>
    <t xml:space="preserve">Platform fees</t>
  </si>
  <si>
    <t xml:space="preserve">Shipping charged</t>
  </si>
  <si>
    <t xml:space="preserve">Sales tax collected</t>
  </si>
  <si>
    <t xml:space="preserve">Tax collected by marketplace? (Y/N)</t>
  </si>
  <si>
    <t xml:space="preserve">Net payout</t>
  </si>
  <si>
    <t xml:space="preserve">Buyer state / country</t>
  </si>
  <si>
    <t xml:space="preserve">Taxable in MD? (Y/N)</t>
  </si>
  <si>
    <t xml:space="preserve">Income account</t>
  </si>
  <si>
    <t xml:space="preserve">Payout ref (date or ID)</t>
  </si>
  <si>
    <t xml:space="preserve">Notes</t>
  </si>
  <si>
    <t xml:space="preserve">Example row</t>
  </si>
  <si>
    <t xml:space="preserve">EXAMPLE-ETSY-2026-10</t>
  </si>
  <si>
    <t xml:space="preserve">EXAMPLE - October Etsy statement (monthly summary row)</t>
  </si>
  <si>
    <t xml:space="preserve">various</t>
  </si>
  <si>
    <t xml:space="preserve">Y</t>
  </si>
  <si>
    <t xml:space="preserve">Various</t>
  </si>
  <si>
    <t xml:space="preserve">Etsy deposit 11/01/2026</t>
  </si>
  <si>
    <t xml:space="preserve">EXAMPLE - made-up amounts to show the format</t>
  </si>
  <si>
    <t xml:space="preserve">EXAMPLE</t>
  </si>
  <si>
    <t xml:space="preserve">EXAMPLE-#1001</t>
  </si>
  <si>
    <t xml:space="preserve">EXAMPLE - Play Before Pixels card deck</t>
  </si>
  <si>
    <t xml:space="preserve">PBP-DECK-01</t>
  </si>
  <si>
    <t xml:space="preserve">N</t>
  </si>
  <si>
    <t xml:space="preserve">MD</t>
  </si>
  <si>
    <t xml:space="preserve">Shopify payout 10/10/2026</t>
  </si>
  <si>
    <t xml:space="preserve">EXAMPLE - you collected MD tax, so it is in the payout and goes to 2200</t>
  </si>
  <si>
    <t xml:space="preserve">EXAMPLE-INV-0001</t>
  </si>
  <si>
    <t xml:space="preserve">EXAMPLE - Parent coaching session (audio)</t>
  </si>
  <si>
    <t xml:space="preserve">COACH-60</t>
  </si>
  <si>
    <t xml:space="preserve">Stripe payout 10/17/2026</t>
  </si>
  <si>
    <t xml:space="preserve">EXAMPLE - live coaching generally not taxable in MD (UNVERIFIED)</t>
  </si>
  <si>
    <t xml:space="preserve">EXAMPLE-KDP-2026-10-US</t>
  </si>
  <si>
    <t xml:space="preserve">EXAMPLE - October royalties, amazon.com</t>
  </si>
  <si>
    <t xml:space="preserve">all titles</t>
  </si>
  <si>
    <t xml:space="preserve">Expected ~12/29/2026</t>
  </si>
  <si>
    <t xml:space="preserve">EXAMPLE - royalty earned; post Dr 1100 / Cr 4000</t>
  </si>
  <si>
    <t xml:space="preserve">Every cost the business pays: one row per receipt. Pick the category from the drop-down (it comes from the Chart of Accounts). Fees a platform already deducted from a payout go in the Sales Log, not here. Owner draws and tax payments are NOT expenses - never log them here.</t>
  </si>
  <si>
    <t xml:space="preserve">Vendor</t>
  </si>
  <si>
    <t xml:space="preserve">Category</t>
  </si>
  <si>
    <t xml:space="preserve">Amount</t>
  </si>
  <si>
    <t xml:space="preserve">Paid with</t>
  </si>
  <si>
    <t xml:space="preserve">Receipt link</t>
  </si>
  <si>
    <t xml:space="preserve">1099 contractor? (Y/N)</t>
  </si>
  <si>
    <t xml:space="preserve">W-9 on file? (Y/N)</t>
  </si>
  <si>
    <t xml:space="preserve">1099-NEC watch</t>
  </si>
  <si>
    <t xml:space="preserve">https://drive.example/receipts/printful-1002</t>
  </si>
  <si>
    <t xml:space="preserve">EXAMPLE - tee for an Etsy order (made-up amount)</t>
  </si>
  <si>
    <t xml:space="preserve">https://drive.example/receipts/ingram-1006</t>
  </si>
  <si>
    <t xml:space="preserve">EXAMPLE - author copies for a school order (inventory)</t>
  </si>
  <si>
    <t xml:space="preserve">EXAMPLE Illustrator (contractor)</t>
  </si>
  <si>
    <t xml:space="preserve">Business checking (debit/ACH/check)</t>
  </si>
  <si>
    <t xml:space="preserve">https://drive.example/receipts/illustrator-inv-7</t>
  </si>
  <si>
    <t xml:space="preserve">EXAMPLE - spot illustrations; W-9 collected first</t>
  </si>
  <si>
    <t xml:space="preserve">One row per payout. Type what the platform says it paid, then the deposit you see on the business checking statement. Bank deposit match turns MATCHED, CHECK or WAITING. A platform payout routed through PayPal is a transfer, not new income: log the platform payout here and match it to the PayPal-to-checking transfer.</t>
  </si>
  <si>
    <t xml:space="preserve">Payout date</t>
  </si>
  <si>
    <t xml:space="preserve">Payout / settlement ID</t>
  </si>
  <si>
    <t xml:space="preserve">Period start</t>
  </si>
  <si>
    <t xml:space="preserve">Period end</t>
  </si>
  <si>
    <t xml:space="preserve">Bank deposit date</t>
  </si>
  <si>
    <t xml:space="preserve">Bank deposit amount</t>
  </si>
  <si>
    <t xml:space="preserve">Difference</t>
  </si>
  <si>
    <t xml:space="preserve">Bank deposit match</t>
  </si>
  <si>
    <t xml:space="preserve">Sales Log net for period</t>
  </si>
  <si>
    <t xml:space="preserve">Posted in QBO/Xero? (Y/N)</t>
  </si>
  <si>
    <t xml:space="preserve">Report saved (link)</t>
  </si>
  <si>
    <t xml:space="preserve">EXAMPLE-ETSY-DEP-1101</t>
  </si>
  <si>
    <t xml:space="preserve">https://drive.example/etsy/2026-10.csv</t>
  </si>
  <si>
    <t xml:space="preserve">EXAMPLE-SHOP-PO-1010</t>
  </si>
  <si>
    <t xml:space="preserve">EXAMPLE - 4 cents off: find out why</t>
  </si>
  <si>
    <t xml:space="preserve">EXAMPLE-KDP-EFT</t>
  </si>
  <si>
    <t xml:space="preserve">EXAMPLE - not arrived yet</t>
  </si>
  <si>
    <t xml:space="preserve">Everything on this tab is a formula (SUMIFS by channel and month) - do not type in the grey/white grid. Change the tax year in B3 to reuse the workbook next year. EXAMPLE rows are excluded.</t>
  </si>
  <si>
    <t xml:space="preserve">Tax year</t>
  </si>
  <si>
    <t xml:space="preserve">Gross sales (before fees; excludes shipping and sales tax)</t>
  </si>
  <si>
    <t xml:space="preserve">Total</t>
  </si>
  <si>
    <t xml:space="preserve">Platform fees deducted</t>
  </si>
  <si>
    <t xml:space="preserve">Net payout (from Sales Log)</t>
  </si>
  <si>
    <t xml:space="preserve">Payouts received (Payouts Reconciliation, by payout date)</t>
  </si>
  <si>
    <t xml:space="preserve">Compare with Net payout above; royalty timing lags 60-90 days (UNVERIFIED).</t>
  </si>
  <si>
    <t xml:space="preserve">Month at a glance (all channels)</t>
  </si>
  <si>
    <t xml:space="preserve">Line</t>
  </si>
  <si>
    <t xml:space="preserve">Gross sales + shipping charged</t>
  </si>
  <si>
    <t xml:space="preserve">Expenses (excl. inventory purchases)</t>
  </si>
  <si>
    <t xml:space="preserve">Inventory purchased (1200)</t>
  </si>
  <si>
    <t xml:space="preserve">MD sales tax you collected (liability, not income)</t>
  </si>
  <si>
    <t xml:space="preserve">Rough profit before tax (gross + shipping - fees - expenses)</t>
  </si>
  <si>
    <t xml:space="preserve">Rough only: excludes COGS on inventory sold, mileage and home office. QBO/Xero is the official P&amp;L.</t>
  </si>
  <si>
    <t xml:space="preserve">Sales Tax - Maryland</t>
  </si>
  <si>
    <t xml:space="preserve">Maryland sales you made yourself (website store, Stripe, PayPal, invoices, events). Sales where a marketplace, Amazon (KDP) or a merchant of record collected the tax are shown for information only and EXCLUDED from your return (UNVERIFIED; accountant confirms). File every assigned period, including zero returns. Pay from the tax-reserve account.</t>
  </si>
  <si>
    <t xml:space="preserve">From Channel Summary B3.</t>
  </si>
  <si>
    <t xml:space="preserve">Maryland general sales &amp; use tax rate</t>
  </si>
  <si>
    <t xml:space="preserve">6% - reviewer's knowledge, UNVERIFIED (marylandtaxes.gov unreachable Sept 27, 2026). Digital products taxable at 6% since 2021 (UNVERIFIED). Source to check: https://www.marylandtaxes.gov/business/sales-use/index.php</t>
  </si>
  <si>
    <t xml:space="preserve">Filing frequency the Comptroller assigned</t>
  </si>
  <si>
    <t xml:space="preserve">Pick Monthly, Quarterly or Annual once the Comptroller tells you. Returns are due the 20th of the month after the period (UNVERIFIED). If the 20th is a weekend, file by the Friday before to be safe.</t>
  </si>
  <si>
    <t xml:space="preserve">Month</t>
  </si>
  <si>
    <t xml:space="preserve">MD taxable sales you made</t>
  </si>
  <si>
    <t xml:space="preserve">MD sales tax you collected</t>
  </si>
  <si>
    <t xml:space="preserve">Expected tax at rate</t>
  </si>
  <si>
    <t xml:space="preserve">Difference (collected - expected)</t>
  </si>
  <si>
    <t xml:space="preserve">MD non-taxable direct sales</t>
  </si>
  <si>
    <t xml:space="preserve">MD sales via marketplaces / KDP / MoR (excluded)</t>
  </si>
  <si>
    <t xml:space="preserve">Tax those platforms collected (excluded)</t>
  </si>
  <si>
    <t xml:space="preserve">Return due (20th of next month)</t>
  </si>
  <si>
    <t xml:space="preserve">Filed on</t>
  </si>
  <si>
    <t xml:space="preserve">Confirmation #</t>
  </si>
  <si>
    <t xml:space="preserve">Amount paid</t>
  </si>
  <si>
    <t xml:space="preserve">Paid from tax reserve? (Y/N)</t>
  </si>
  <si>
    <t xml:space="preserve">Year total</t>
  </si>
  <si>
    <t xml:space="preserve">Quarterly and annual view (use the one that matches your filing frequency)</t>
  </si>
  <si>
    <t xml:space="preserve">Period</t>
  </si>
  <si>
    <t xml:space="preserve">Marketplace / KDP / MoR sales (excluded)</t>
  </si>
  <si>
    <t xml:space="preserve">Tax platforms collected (excluded)</t>
  </si>
  <si>
    <t xml:space="preserve">Return due</t>
  </si>
  <si>
    <t xml:space="preserve">Q1</t>
  </si>
  <si>
    <t xml:space="preserve">Q2</t>
  </si>
  <si>
    <t xml:space="preserve">Q3</t>
  </si>
  <si>
    <t xml:space="preserve">Q4</t>
  </si>
  <si>
    <t xml:space="preserve">Annual</t>
  </si>
  <si>
    <t xml:space="preserve">Notes (all UNVERIFIED - marylandtaxes.gov was unreachable on Sept 27, 2026; your accountant confirms):</t>
  </si>
  <si>
    <t xml:space="preserve">- Taxable when YOU sell to Maryland buyers: goods (books, card deck, merch) and digital products (printables, possibly the pre-recorded course and workshop kits). Live coaching and workshop fees are generally not taxable; goods sold at workshops are.</t>
  </si>
  <si>
    <t xml:space="preserve">- Excluded: Etsy, TikTok Shop, TpT (marketplace facilitators), KDP (Amazon is the seller), a merchant of record, and likely Faire.</t>
  </si>
  <si>
    <t xml:space="preserve">- Whether shipping charges are taxable in Maryland: ask the accountant (not included in taxable sales above).</t>
  </si>
  <si>
    <t xml:space="preserve">- Timely filers get a vendor collection credit (reported as 1.2% of the first $6,000 of tax and 0.9% after, capped per return).</t>
  </si>
  <si>
    <t xml:space="preserve">- Business filing may have moved to the Comptroller's 'Maryland Tax Connect' portal. Zero returns are still required.</t>
  </si>
  <si>
    <t xml:space="preserve">- Direct website sales into other states can create economic nexus there (often $100,000 of sales; some states also 200 transactions). Check once a quarter with the accountant.</t>
  </si>
  <si>
    <t xml:space="preserve">Quarterly Estimates (placeholders - your accountant sets the real payment)</t>
  </si>
  <si>
    <t xml:space="preserve">Federal Form 1040-ES and Maryland estimated payments on the LLC's profit (single-member LLC taxed by default = Schedule C + Schedule SE on your 1040; classification UNVERIFIED, accountant decides). The Sept 15, 2026 payment date has passed: if the business had 2026 profit, ask the accountant about a catch-up payment now. Not tax advice.</t>
  </si>
  <si>
    <t xml:space="preserve">Net-earnings factor for SE tax</t>
  </si>
  <si>
    <t xml:space="preserve">92.35% of net profit is subject to SE tax (reviewer's knowledge, UNVERIFIED). https://www.irs.gov/pub/irs-pdf/f1040es.pdf</t>
  </si>
  <si>
    <t xml:space="preserve">Self-employment tax rate</t>
  </si>
  <si>
    <t xml:space="preserve">15.3% = 12.4% Social Security (up to the annual wage base) + 2.9% Medicare (UNVERIFIED). Wage-base cap ignored here.</t>
  </si>
  <si>
    <t xml:space="preserve">SE tax applies when net SE earnings reach</t>
  </si>
  <si>
    <t xml:space="preserve">$400 (UNVERIFIED).</t>
  </si>
  <si>
    <t xml:space="preserve">Set-aside % of profit to the tax reserve</t>
  </si>
  <si>
    <t xml:space="preserve">Rule of thumb 25-30%, NOT an official figure. Your accountant sets it. Also move 100% of MD sales tax collected.</t>
  </si>
  <si>
    <t xml:space="preserve">Income-tax placeholder rate (accountant fills)</t>
  </si>
  <si>
    <t xml:space="preserve">Leave blank until your accountant gives you a rate; blank = 0.</t>
  </si>
  <si>
    <t xml:space="preserve">Quarter</t>
  </si>
  <si>
    <t xml:space="preserve">Federal due date</t>
  </si>
  <si>
    <t xml:space="preserve">Gross income (sales + shipping)</t>
  </si>
  <si>
    <t xml:space="preserve">Expenses (excl. inventory)</t>
  </si>
  <si>
    <t xml:space="preserve">Mileage value</t>
  </si>
  <si>
    <t xml:space="preserve">Net profit (period)</t>
  </si>
  <si>
    <t xml:space="preserve">YTD net profit</t>
  </si>
  <si>
    <t xml:space="preserve">SE tax on YTD (placeholder)</t>
  </si>
  <si>
    <t xml:space="preserve">SE tax this period (placeholder)</t>
  </si>
  <si>
    <t xml:space="preserve">Income tax placeholder (period)</t>
  </si>
  <si>
    <t xml:space="preserve">Suggested set-aside (period)</t>
  </si>
  <si>
    <t xml:space="preserve">Federal payment (accountant sets)</t>
  </si>
  <si>
    <t xml:space="preserve">Federal paid on</t>
  </si>
  <si>
    <t xml:space="preserve">Federal confirmation #</t>
  </si>
  <si>
    <t xml:space="preserve">Maryland payment (Form PV)</t>
  </si>
  <si>
    <t xml:space="preserve">Maryland paid on</t>
  </si>
  <si>
    <t xml:space="preserve">Year</t>
  </si>
  <si>
    <t xml:space="preserve">How to read this tab:</t>
  </si>
  <si>
    <t xml:space="preserve">- Estimated tax payments are NOT business expenses. Pay from the tax-reserve account; book them to 3110 / 3120 Owner draw.</t>
  </si>
  <si>
    <t xml:space="preserve">- Penalty safe harbor: pay at least 90% of the 2026 tax or 100% of the 2025 tax (110% if 2025 AGI &gt; $150,000) (UNVERIFIED).</t>
  </si>
  <si>
    <t xml:space="preserve">- Underpayment penalty = federal short-term rate + 3 points, figured on Form 2210 (UNVERIFIED current rate).</t>
  </si>
  <si>
    <t xml:space="preserve">- Pay through IRS Direct Pay, EFTPS or your IRS Online Account; save the confirmation number here and in the accountant folder.</t>
  </si>
  <si>
    <t xml:space="preserve">- Placeholders ignore the Social Security wage-base cap, the SE-tax deduction, the QBI deduction, credits and other income. Your accountant's number wins.</t>
  </si>
  <si>
    <t xml:space="preserve">One row per business trip (supply runs, post office, workshops, school/PTA events, fairs). Write the purpose every time. Parking and tolls go in Expenses (6900). Enter the IRS standard mileage rate for the tax year in B3 when your accountant confirms it (not supplied here - UNVERIFIED).</t>
  </si>
  <si>
    <t xml:space="preserve">IRS standard mileage rate ($/mile)</t>
  </si>
  <si>
    <t xml:space="preserve">Total miles (excl. EXAMPLE)</t>
  </si>
  <si>
    <t xml:space="preserve">Business purpose</t>
  </si>
  <si>
    <t xml:space="preserve">Event name (if any)</t>
  </si>
  <si>
    <t xml:space="preserve">From</t>
  </si>
  <si>
    <t xml:space="preserve">To</t>
  </si>
  <si>
    <t xml:space="preserve">Round trip? (Y/N)</t>
  </si>
  <si>
    <t xml:space="preserve">One-way miles</t>
  </si>
  <si>
    <t xml:space="preserve">Total miles</t>
  </si>
  <si>
    <t xml:space="preserve">Sales Log order IDs from this event</t>
  </si>
  <si>
    <t xml:space="preserve">EXAMPLE - deliver workshop kit and run book table</t>
  </si>
  <si>
    <t xml:space="preserve">EXAMPLE school family night</t>
  </si>
  <si>
    <t xml:space="preserve">Home office</t>
  </si>
  <si>
    <t xml:space="preserve">School event venue</t>
  </si>
  <si>
    <t xml:space="preserve">EXAMPLE-EVT-001 to 004</t>
  </si>
  <si>
    <t xml:space="preserve">EXAMPLE - made-up miles</t>
  </si>
  <si>
    <t xml:space="preserve">EXAMPLE - post office: ship signed books</t>
  </si>
  <si>
    <t xml:space="preserve">Post office</t>
  </si>
  <si>
    <t xml:space="preserve">Accountant Packet - checklist</t>
  </si>
  <si>
    <t xml:space="preserve">What your accountant receives, and when. Set Status from the drop-down. Put files in one shared folder with a sub-folder per month (e.g. 2026-10) plus 'Year-end 2026'. Never send passwords.</t>
  </si>
  <si>
    <t xml:space="preserve">Progress</t>
  </si>
  <si>
    <t xml:space="preserve">#</t>
  </si>
  <si>
    <t xml:space="preserve">Section</t>
  </si>
  <si>
    <t xml:space="preserve">Item</t>
  </si>
  <si>
    <t xml:space="preserve">Where it comes from</t>
  </si>
  <si>
    <t xml:space="preserve">Send by</t>
  </si>
  <si>
    <t xml:space="preserve">Status</t>
  </si>
  <si>
    <t xml:space="preserve">Date sent</t>
  </si>
  <si>
    <t xml:space="preserve">Location / link</t>
  </si>
  <si>
    <t xml:space="preserve">One-time setup</t>
  </si>
  <si>
    <t xml:space="preserve">Articles of organization, EIN letter (CP 575 or 147C), operating agreement</t>
  </si>
  <si>
    <t xml:space="preserve">Your records / ENTITY.md</t>
  </si>
  <si>
    <t xml:space="preserve">Once, at the first meeting</t>
  </si>
  <si>
    <t xml:space="preserve">Not started</t>
  </si>
  <si>
    <t xml:space="preserve">Trade-name (DBA) registration: 'Play Before Pixels' to AlphaPlay LLC (SDAT)</t>
  </si>
  <si>
    <t xml:space="preserve">Maryland SDAT</t>
  </si>
  <si>
    <t xml:space="preserve">When filed</t>
  </si>
  <si>
    <t xml:space="preserve">Maryland sales &amp; use tax registration updated for the new activities; filing frequency assigned</t>
  </si>
  <si>
    <t xml:space="preserve">Comptroller of Maryland</t>
  </si>
  <si>
    <t xml:space="preserve">When confirmed</t>
  </si>
  <si>
    <t xml:space="preserve">Accountant's decisions: tax classification (Schedule C vs S-corp), which TIN to use on platform W-9s, set-aside %</t>
  </si>
  <si>
    <t xml:space="preserve">Accountant</t>
  </si>
  <si>
    <t xml:space="preserve">BEFORE any platform tax interview</t>
  </si>
  <si>
    <t xml:space="preserve">Accountant invited to QBO/Xero with the 'Accountant' user type</t>
  </si>
  <si>
    <t xml:space="preserve">QBO / Xero</t>
  </si>
  <si>
    <t xml:space="preserve">When the ledger is created</t>
  </si>
  <si>
    <t xml:space="preserve">List of every platform account (name, payout account last 4 digits, tax form it issues) - no passwords</t>
  </si>
  <si>
    <t xml:space="preserve">Chart of Accounts &gt; Channel map</t>
  </si>
  <si>
    <t xml:space="preserve">Once; update when a channel is added</t>
  </si>
  <si>
    <t xml:space="preserve">Monthly</t>
  </si>
  <si>
    <t xml:space="preserve">Bank statement PDFs - business checking and tax reserve</t>
  </si>
  <si>
    <t xml:space="preserve">15th of the following month</t>
  </si>
  <si>
    <t xml:space="preserve">Business credit card statement PDF</t>
  </si>
  <si>
    <t xml:space="preserve">Card issuer</t>
  </si>
  <si>
    <t xml:space="preserve">Platform reports: KDP royalty/payments, IngramSpark compensation, Etsy CSV, TikTok settlement, Shopify payouts, Stripe payout reconciliation, PayPal statement, TpT sales, Faire payouts, MoR payout, Associates/Bookshop earnings</t>
  </si>
  <si>
    <t xml:space="preserve">Each platform</t>
  </si>
  <si>
    <t xml:space="preserve">Printful billing history</t>
  </si>
  <si>
    <t xml:space="preserve">Every receipt attached in QBO/Xero; nothing uncategorized; 'Ask My Accountant' items noted</t>
  </si>
  <si>
    <t xml:space="preserve">Payouts Reconciliation tab: every payout MATCHED (or explained)</t>
  </si>
  <si>
    <t xml:space="preserve">This workbook</t>
  </si>
  <si>
    <t xml:space="preserve">Maryland sales &amp; use tax return filed (including zero returns) + confirmation - if monthly filer</t>
  </si>
  <si>
    <t xml:space="preserve">Comptroller portal</t>
  </si>
  <si>
    <t xml:space="preserve">20th of the following month</t>
  </si>
  <si>
    <t xml:space="preserve">Quarterly</t>
  </si>
  <si>
    <t xml:space="preserve">Quarterly Profit &amp; Loss and Balance Sheet</t>
  </si>
  <si>
    <t xml:space="preserve">Two weeks before each estimate due date</t>
  </si>
  <si>
    <t xml:space="preserve">Quarterly Estimates tab reviewed; federal 1040-ES payment made + confirmation</t>
  </si>
  <si>
    <t xml:space="preserve">IRS Direct Pay / EFTPS</t>
  </si>
  <si>
    <t xml:space="preserve">Apr 15, Jun 15, Sep 15, Jan 15</t>
  </si>
  <si>
    <t xml:space="preserve">Maryland estimated payment (Form PV / 502D) if the accountant says it is needed + confirmation</t>
  </si>
  <si>
    <t xml:space="preserve">Comptroller</t>
  </si>
  <si>
    <t xml:space="preserve">Same dates (UNVERIFIED)</t>
  </si>
  <si>
    <t xml:space="preserve">Maryland sales &amp; use tax return + confirmation - if quarterly filer</t>
  </si>
  <si>
    <t xml:space="preserve">20th after quarter end</t>
  </si>
  <si>
    <t xml:space="preserve">Other-state check: direct website sales by state vs economic-nexus thresholds</t>
  </si>
  <si>
    <t xml:space="preserve">Shopify / Stripe reports</t>
  </si>
  <si>
    <t xml:space="preserve">With the quarterly P&amp;L</t>
  </si>
  <si>
    <t xml:space="preserve">Year-end</t>
  </si>
  <si>
    <t xml:space="preserve">All 12 months of bank and card statements (both bank accounts)</t>
  </si>
  <si>
    <t xml:space="preserve">Bank / card</t>
  </si>
  <si>
    <t xml:space="preserve">Feb 1, 2027</t>
  </si>
  <si>
    <t xml:space="preserve">QBO/Xero year-end Profit &amp; Loss, Balance Sheet, General Ledger (tax-line mapping on each account)</t>
  </si>
  <si>
    <t xml:space="preserve">Every Form 1099-K received - federal AND state-threshold (e.g. Maryland) - each reconciled to that platform's GROSS sales</t>
  </si>
  <si>
    <t xml:space="preserve">Platforms</t>
  </si>
  <si>
    <t xml:space="preserve">As received (due to you by Feb 1, 2027)</t>
  </si>
  <si>
    <t xml:space="preserve">Forms 1099-MISC received (KDP, IngramSpark, Amazon Associates, others)</t>
  </si>
  <si>
    <t xml:space="preserve">As received</t>
  </si>
  <si>
    <t xml:space="preserve">Form 1099-INT from the bank (interest $10 or more)</t>
  </si>
  <si>
    <t xml:space="preserve">Annual summary report from every channel (sales, fees, refunds, tax collected by the platform)</t>
  </si>
  <si>
    <t xml:space="preserve">All Maryland sales &amp; use tax returns and payment confirmations for the year</t>
  </si>
  <si>
    <t xml:space="preserve">Federal and Maryland estimated-tax payment confirmations</t>
  </si>
  <si>
    <t xml:space="preserve">IRS / Comptroller</t>
  </si>
  <si>
    <t xml:space="preserve">Contractor list: W-9s, total paid per contractor, split by method (bank/check vs card/PayPal)</t>
  </si>
  <si>
    <t xml:space="preserve">Expenses tab (1099-NEC watch)</t>
  </si>
  <si>
    <t xml:space="preserve">Early January 2027</t>
  </si>
  <si>
    <t xml:space="preserve">1099-NECs issued (IRS IRIS portal is free, UNVERIFIED) + confirmations; ask about Maryland's own 1099 filing rules</t>
  </si>
  <si>
    <t xml:space="preserve">IRS IRIS</t>
  </si>
  <si>
    <t xml:space="preserve">Inventory count and cost at Dec 31 (author copies, card decks, event stock)</t>
  </si>
  <si>
    <t xml:space="preserve">Your count</t>
  </si>
  <si>
    <t xml:space="preserve">Mileage &amp; Event Log (this workbook)</t>
  </si>
  <si>
    <t xml:space="preserve">Home office: square feet of the dedicated space and of the whole home</t>
  </si>
  <si>
    <t xml:space="preserve">You</t>
  </si>
  <si>
    <t xml:space="preserve">Equipment bought (date, item, cost) - computer, printer, etc.</t>
  </si>
  <si>
    <t xml:space="preserve">Card feed / receipts</t>
  </si>
  <si>
    <t xml:space="preserve">Owner contributions and owner draws summary</t>
  </si>
  <si>
    <t xml:space="preserve">'Ask My Accountant' account emptied or each item explained</t>
  </si>
  <si>
    <t xml:space="preserve">This workbook (PlayBeforePixels_Bookkeeping_2026.xlsx)</t>
  </si>
  <si>
    <t xml:space="preserve">This file</t>
  </si>
  <si>
    <t xml:space="preserve">2027 filings</t>
  </si>
  <si>
    <t xml:space="preserve">SDAT Annual Report for AlphaPlay LLC (fee reported $300, UNVERIFIED) + confirmation</t>
  </si>
  <si>
    <t xml:space="preserve">Apr 15, 2027</t>
  </si>
</sst>
</file>

<file path=xl/styles.xml><?xml version="1.0" encoding="utf-8"?>
<styleSheet xmlns="http://schemas.openxmlformats.org/spreadsheetml/2006/main">
  <numFmts count="8">
    <numFmt numFmtId="164" formatCode="General"/>
    <numFmt numFmtId="165" formatCode="mm/dd/yyyy"/>
    <numFmt numFmtId="166" formatCode="\$#,##0.00;&quot;($&quot;#,##0.00\);\-"/>
    <numFmt numFmtId="167" formatCode="mmm\ yyyy"/>
    <numFmt numFmtId="168" formatCode="0.00%"/>
    <numFmt numFmtId="169" formatCode="0"/>
    <numFmt numFmtId="170" formatCode="\$0.000"/>
    <numFmt numFmtId="171" formatCode="#,##0.0"/>
  </numFmts>
  <fonts count="14">
    <font>
      <sz val="11"/>
      <color theme="1"/>
      <name val="Calibri"/>
      <family val="2"/>
      <charset val="1"/>
    </font>
    <font>
      <sz val="10"/>
      <name val="Arial"/>
      <family val="0"/>
    </font>
    <font>
      <sz val="10"/>
      <name val="Arial"/>
      <family val="0"/>
    </font>
    <font>
      <sz val="10"/>
      <name val="Arial"/>
      <family val="0"/>
    </font>
    <font>
      <b val="true"/>
      <sz val="15"/>
      <color rgb="FF1D2940"/>
      <name val="Arial"/>
      <family val="0"/>
      <charset val="1"/>
    </font>
    <font>
      <i val="true"/>
      <sz val="10"/>
      <color rgb="FF4A5568"/>
      <name val="Arial"/>
      <family val="0"/>
      <charset val="1"/>
    </font>
    <font>
      <b val="true"/>
      <sz val="12"/>
      <color rgb="FF1D2940"/>
      <name val="Arial"/>
      <family val="0"/>
      <charset val="1"/>
    </font>
    <font>
      <sz val="10"/>
      <color rgb="FF1D2940"/>
      <name val="Arial"/>
      <family val="0"/>
      <charset val="1"/>
    </font>
    <font>
      <b val="true"/>
      <sz val="10"/>
      <color rgb="FFFFFFFF"/>
      <name val="Arial"/>
      <family val="0"/>
      <charset val="1"/>
    </font>
    <font>
      <sz val="10"/>
      <color rgb="FF0000FF"/>
      <name val="Arial"/>
      <family val="0"/>
      <charset val="1"/>
    </font>
    <font>
      <i val="true"/>
      <sz val="10"/>
      <color rgb="FF8C8C8C"/>
      <name val="Arial"/>
      <family val="0"/>
      <charset val="1"/>
    </font>
    <font>
      <b val="true"/>
      <sz val="10"/>
      <color rgb="FF1D2940"/>
      <name val="Arial"/>
      <family val="0"/>
      <charset val="1"/>
    </font>
    <font>
      <u val="single"/>
      <sz val="9"/>
      <color rgb="FF3D86D8"/>
      <name val="Arial"/>
      <family val="0"/>
      <charset val="1"/>
    </font>
    <font>
      <sz val="10"/>
      <name val="Arial"/>
      <family val="2"/>
    </font>
  </fonts>
  <fills count="6">
    <fill>
      <patternFill patternType="none"/>
    </fill>
    <fill>
      <patternFill patternType="gray125"/>
    </fill>
    <fill>
      <patternFill patternType="solid">
        <fgColor rgb="FF1D2940"/>
        <bgColor rgb="FF003366"/>
      </patternFill>
    </fill>
    <fill>
      <patternFill patternType="solid">
        <fgColor rgb="FFFEF4D8"/>
        <bgColor rgb="FFFDE9E3"/>
      </patternFill>
    </fill>
    <fill>
      <patternFill patternType="solid">
        <fgColor rgb="FFF3F6FB"/>
        <bgColor rgb="FFFFFFFF"/>
      </patternFill>
    </fill>
    <fill>
      <patternFill patternType="solid">
        <fgColor rgb="FFE3EEFA"/>
        <bgColor rgb="FFDFF3E9"/>
      </patternFill>
    </fill>
  </fills>
  <borders count="2">
    <border diagonalUp="false" diagonalDown="false">
      <left/>
      <right/>
      <top/>
      <bottom/>
      <diagonal/>
    </border>
    <border diagonalUp="false" diagonalDown="false">
      <left style="thin">
        <color rgb="FFD5DCE8"/>
      </left>
      <right style="thin">
        <color rgb="FFD5DCE8"/>
      </right>
      <top style="thin">
        <color rgb="FFD5DCE8"/>
      </top>
      <bottom style="thin">
        <color rgb="FFD5DC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7" fontId="8"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71" fontId="0" fillId="4" borderId="1" xfId="0" applyFont="false" applyBorder="true" applyAlignment="false" applyProtection="false">
      <alignment horizontal="general" vertical="bottom" textRotation="0" wrapText="false" indent="0" shrinkToFit="false"/>
      <protection locked="true" hidden="false"/>
    </xf>
    <xf numFmtId="166" fontId="0" fillId="4" borderId="1" xfId="0" applyFont="fals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1" fontId="10" fillId="4"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1" fontId="7" fillId="4"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5"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D2940"/>
          <bgColor rgb="FF000000"/>
        </patternFill>
      </fill>
    </dxf>
    <dxf>
      <fill>
        <patternFill patternType="solid">
          <bgColor rgb="FF000000"/>
        </patternFill>
      </fill>
    </dxf>
    <dxf>
      <fill>
        <patternFill patternType="solid">
          <fgColor rgb="FF8C8C8C"/>
          <bgColor rgb="FF000000"/>
        </patternFill>
      </fill>
    </dxf>
    <dxf>
      <fill>
        <patternFill patternType="solid">
          <fgColor rgb="FFFFFFFF"/>
          <bgColor rgb="FF000000"/>
        </patternFill>
      </fill>
    </dxf>
    <dxf>
      <fill>
        <patternFill patternType="solid">
          <fgColor rgb="FFF3F6FB"/>
          <bgColor rgb="FF000000"/>
        </patternFill>
      </fill>
    </dxf>
    <dxf>
      <fill>
        <patternFill patternType="solid">
          <fgColor rgb="FFDFF3E9"/>
          <bgColor rgb="FF000000"/>
        </patternFill>
      </fill>
    </dxf>
    <dxf>
      <fill>
        <patternFill patternType="solid">
          <fgColor rgb="FFFDE9E3"/>
          <bgColor rgb="FF000000"/>
        </patternFill>
      </fill>
    </dxf>
    <dxf>
      <fill>
        <patternFill patternType="solid">
          <fgColor rgb="FFFEF4D8"/>
          <bgColor rgb="FF000000"/>
        </patternFill>
      </fill>
    </dxf>
    <dxf>
      <fill>
        <patternFill patternType="solid">
          <fgColor rgb="FFB3261E"/>
          <bgColor rgb="FF000000"/>
        </patternFill>
      </fill>
    </dxf>
    <dxf>
      <fill>
        <patternFill>
          <bgColor rgb="FFDFF3E9"/>
        </patternFill>
      </fill>
    </dxf>
    <dxf>
      <font>
        <b val="1"/>
        <color rgb="FFB3261E"/>
      </font>
      <fill>
        <patternFill>
          <bgColor rgb="FFFDE9E3"/>
        </patternFill>
      </fill>
    </dxf>
    <dxf>
      <fill>
        <patternFill>
          <bgColor rgb="FFFEF4D8"/>
        </patternFill>
      </fill>
    </dxf>
    <dxf>
      <fill>
        <patternFill>
          <bgColor rgb="FFFDE9E3"/>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4D8"/>
      <rgbColor rgb="FFDFF3E9"/>
      <rgbColor rgb="FF660066"/>
      <rgbColor rgb="FFFF8080"/>
      <rgbColor rgb="FF0066CC"/>
      <rgbColor rgb="FFD5DCE8"/>
      <rgbColor rgb="FF000080"/>
      <rgbColor rgb="FFFF00FF"/>
      <rgbColor rgb="FFFFFF00"/>
      <rgbColor rgb="FF00FFFF"/>
      <rgbColor rgb="FF800080"/>
      <rgbColor rgb="FF800000"/>
      <rgbColor rgb="FF008080"/>
      <rgbColor rgb="FF0000FF"/>
      <rgbColor rgb="FF00CCFF"/>
      <rgbColor rgb="FFE3EEFA"/>
      <rgbColor rgb="FFF3F6FB"/>
      <rgbColor rgb="FFFDE9E3"/>
      <rgbColor rgb="FF99CCFF"/>
      <rgbColor rgb="FFFF99CC"/>
      <rgbColor rgb="FFCC99FF"/>
      <rgbColor rgb="FFFFCC99"/>
      <rgbColor rgb="FF3D86D8"/>
      <rgbColor rgb="FF33CCCC"/>
      <rgbColor rgb="FF99CC00"/>
      <rgbColor rgb="FFFFCC00"/>
      <rgbColor rgb="FFFF9900"/>
      <rgbColor rgb="FFFF6600"/>
      <rgbColor rgb="FF4A5568"/>
      <rgbColor rgb="FF8C8C8C"/>
      <rgbColor rgb="FF003366"/>
      <rgbColor rgb="FF339966"/>
      <rgbColor rgb="FF003300"/>
      <rgbColor rgb="FF333300"/>
      <rgbColor rgb="FFB3261E"/>
      <rgbColor rgb="FF993366"/>
      <rgbColor rgb="FF333399"/>
      <rgbColor rgb="FF1D29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PlayBeforePixels_Bookkeeping_2026.xlsx" TargetMode="External"/><Relationship Id="rId2" Type="http://schemas.openxmlformats.org/officeDocument/2006/relationships/hyperlink" Target="PlayBeforePixels_Bookkeeping_2026.xlsx" TargetMode="External"/><Relationship Id="rId3" Type="http://schemas.openxmlformats.org/officeDocument/2006/relationships/hyperlink" Target="PlayBeforePixels_Bookkeeping_2026.xlsx" TargetMode="External"/><Relationship Id="rId4" Type="http://schemas.openxmlformats.org/officeDocument/2006/relationships/hyperlink" Target="PlayBeforePixels_Bookkeeping_2026.xlsx" TargetMode="External"/><Relationship Id="rId5" Type="http://schemas.openxmlformats.org/officeDocument/2006/relationships/hyperlink" Target="PlayBeforePixels_Bookkeeping_2026.xlsx" TargetMode="External"/><Relationship Id="rId6" Type="http://schemas.openxmlformats.org/officeDocument/2006/relationships/hyperlink" Target="PlayBeforePixels_Bookkeeping_2026.xlsx" TargetMode="External"/><Relationship Id="rId7" Type="http://schemas.openxmlformats.org/officeDocument/2006/relationships/hyperlink" Target="PlayBeforePixels_Bookkeeping_2026.xlsx" TargetMode="External"/><Relationship Id="rId8" Type="http://schemas.openxmlformats.org/officeDocument/2006/relationships/hyperlink" Target="PlayBeforePixels_Bookkeeping_2026.xlsx" TargetMode="External"/><Relationship Id="rId9" Type="http://schemas.openxmlformats.org/officeDocument/2006/relationships/hyperlink" Target="PlayBeforePixels_Bookkeeping_2026.xlsx"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kdp.amazon.com/en_US/help/topic/G200641050" TargetMode="External"/><Relationship Id="rId2" Type="http://schemas.openxmlformats.org/officeDocument/2006/relationships/hyperlink" Target="https://www.ingramspark.com/" TargetMode="External"/><Relationship Id="rId3" Type="http://schemas.openxmlformats.org/officeDocument/2006/relationships/hyperlink" Target="https://www.etsy.com/legal/fees/" TargetMode="External"/><Relationship Id="rId4" Type="http://schemas.openxmlformats.org/officeDocument/2006/relationships/hyperlink" Target="https://www.teacherspayteachers.com/" TargetMode="External"/><Relationship Id="rId5" Type="http://schemas.openxmlformats.org/officeDocument/2006/relationships/hyperlink" Target="https://seller-us.tiktok.com/" TargetMode="External"/><Relationship Id="rId6" Type="http://schemas.openxmlformats.org/officeDocument/2006/relationships/hyperlink" Target="https://www.shopify.com/pricing" TargetMode="External"/><Relationship Id="rId7" Type="http://schemas.openxmlformats.org/officeDocument/2006/relationships/hyperlink" Target="https://stripe.com/pricing" TargetMode="External"/><Relationship Id="rId8" Type="http://schemas.openxmlformats.org/officeDocument/2006/relationships/hyperlink" Target="https://www.paypal.com/us/business/paypal-business-fees" TargetMode="External"/><Relationship Id="rId9" Type="http://schemas.openxmlformats.org/officeDocument/2006/relationships/hyperlink" Target="https://www.facebook.com/business/help" TargetMode="External"/><Relationship Id="rId10" Type="http://schemas.openxmlformats.org/officeDocument/2006/relationships/hyperlink" Target="https://www.faire.com/" TargetMode="External"/><Relationship Id="rId11" Type="http://schemas.openxmlformats.org/officeDocument/2006/relationships/hyperlink" Target="https://taxation-customs.ec.europa.eu/taxation/vat/vat-e-commerce_en" TargetMode="External"/><Relationship Id="rId12" Type="http://schemas.openxmlformats.org/officeDocument/2006/relationships/hyperlink" Target="https://www.landmarkcpas.com/obbba-increases-1099-filing-threshold/" TargetMode="External"/><Relationship Id="rId13" Type="http://schemas.openxmlformats.org/officeDocument/2006/relationships/hyperlink" Target="https://www.landmarkcpas.com/obbba-increases-1099-filing-threshold/" TargetMode="External"/><Relationship Id="rId14" Type="http://schemas.openxmlformats.org/officeDocument/2006/relationships/hyperlink" Target="https://www.marylandtaxes.gov/business/sales-use/index.php" TargetMode="Externa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940"/>
    <pageSetUpPr fitToPage="true"/>
  </sheetPr>
  <dimension ref="A1:B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100"/>
  </cols>
  <sheetData>
    <row r="1" customFormat="false" ht="18.55"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row>
    <row r="6" customFormat="false" ht="30" hidden="false" customHeight="true" outlineLevel="0" collapsed="false">
      <c r="A6" s="4" t="s">
        <v>3</v>
      </c>
      <c r="B6" s="4"/>
    </row>
    <row r="7" customFormat="false" ht="30" hidden="false" customHeight="true" outlineLevel="0" collapsed="false">
      <c r="A7" s="4" t="s">
        <v>4</v>
      </c>
      <c r="B7" s="4"/>
    </row>
    <row r="8" customFormat="false" ht="15" hidden="false" customHeight="true" outlineLevel="0" collapsed="false">
      <c r="A8" s="4" t="s">
        <v>5</v>
      </c>
      <c r="B8" s="4"/>
    </row>
    <row r="9" customFormat="false" ht="30" hidden="false" customHeight="true" outlineLevel="0" collapsed="false">
      <c r="A9" s="4" t="s">
        <v>6</v>
      </c>
      <c r="B9" s="4"/>
    </row>
    <row r="10" customFormat="false" ht="15" hidden="false" customHeight="true" outlineLevel="0" collapsed="false">
      <c r="A10" s="4" t="s">
        <v>7</v>
      </c>
      <c r="B10" s="4"/>
    </row>
    <row r="12" customFormat="false" ht="15" hidden="false" customHeight="false" outlineLevel="0" collapsed="false">
      <c r="A12" s="3" t="s">
        <v>8</v>
      </c>
    </row>
    <row r="13" customFormat="false" ht="15" hidden="false" customHeight="true" outlineLevel="0" collapsed="false">
      <c r="A13" s="4" t="s">
        <v>9</v>
      </c>
      <c r="B13" s="4"/>
    </row>
    <row r="14" customFormat="false" ht="15" hidden="false" customHeight="true" outlineLevel="0" collapsed="false">
      <c r="A14" s="4" t="s">
        <v>10</v>
      </c>
      <c r="B14" s="4"/>
    </row>
    <row r="15" customFormat="false" ht="15" hidden="false" customHeight="true" outlineLevel="0" collapsed="false">
      <c r="A15" s="4" t="s">
        <v>11</v>
      </c>
      <c r="B15" s="4"/>
    </row>
    <row r="16" customFormat="false" ht="15" hidden="false" customHeight="true" outlineLevel="0" collapsed="false">
      <c r="A16" s="4" t="s">
        <v>12</v>
      </c>
      <c r="B16" s="4"/>
    </row>
    <row r="17" customFormat="false" ht="15" hidden="false" customHeight="true" outlineLevel="0" collapsed="false">
      <c r="A17" s="4" t="s">
        <v>13</v>
      </c>
      <c r="B17" s="4"/>
    </row>
    <row r="18" customFormat="false" ht="15" hidden="false" customHeight="true" outlineLevel="0" collapsed="false">
      <c r="A18" s="4" t="s">
        <v>14</v>
      </c>
      <c r="B18" s="4"/>
    </row>
    <row r="19" customFormat="false" ht="15" hidden="false" customHeight="true" outlineLevel="0" collapsed="false">
      <c r="A19" s="4" t="s">
        <v>15</v>
      </c>
      <c r="B19" s="4"/>
    </row>
    <row r="21" customFormat="false" ht="15" hidden="false" customHeight="false" outlineLevel="0" collapsed="false">
      <c r="A21" s="3" t="s">
        <v>16</v>
      </c>
    </row>
    <row r="22" customFormat="false" ht="30" hidden="false" customHeight="true" outlineLevel="0" collapsed="false">
      <c r="A22" s="4" t="s">
        <v>17</v>
      </c>
      <c r="B22" s="4"/>
    </row>
    <row r="23" customFormat="false" ht="30" hidden="false" customHeight="true" outlineLevel="0" collapsed="false">
      <c r="A23" s="4" t="s">
        <v>18</v>
      </c>
      <c r="B23" s="4"/>
    </row>
    <row r="24" customFormat="false" ht="15" hidden="false" customHeight="true" outlineLevel="0" collapsed="false">
      <c r="A24" s="4" t="s">
        <v>19</v>
      </c>
      <c r="B24" s="4"/>
    </row>
    <row r="25" customFormat="false" ht="30" hidden="false" customHeight="true" outlineLevel="0" collapsed="false">
      <c r="A25" s="4" t="s">
        <v>20</v>
      </c>
      <c r="B25" s="4"/>
    </row>
    <row r="26" customFormat="false" ht="15" hidden="false" customHeight="true" outlineLevel="0" collapsed="false">
      <c r="A26" s="4" t="s">
        <v>21</v>
      </c>
      <c r="B26" s="4"/>
    </row>
    <row r="27" customFormat="false" ht="30" hidden="false" customHeight="true" outlineLevel="0" collapsed="false">
      <c r="A27" s="4" t="s">
        <v>22</v>
      </c>
      <c r="B27" s="4"/>
    </row>
    <row r="28" customFormat="false" ht="15" hidden="false" customHeight="true" outlineLevel="0" collapsed="false">
      <c r="A28" s="4" t="s">
        <v>23</v>
      </c>
      <c r="B28" s="4"/>
    </row>
    <row r="30" customFormat="false" ht="15" hidden="false" customHeight="false" outlineLevel="0" collapsed="false">
      <c r="A30" s="3" t="s">
        <v>24</v>
      </c>
    </row>
    <row r="31" customFormat="false" ht="15" hidden="false" customHeight="false" outlineLevel="0" collapsed="false">
      <c r="A31" s="5" t="s">
        <v>25</v>
      </c>
    </row>
    <row r="32" customFormat="false" ht="15" hidden="false" customHeight="false" outlineLevel="0" collapsed="false">
      <c r="A32" s="6" t="s">
        <v>26</v>
      </c>
    </row>
    <row r="33" customFormat="false" ht="15" hidden="false" customHeight="false" outlineLevel="0" collapsed="false">
      <c r="A33" s="7" t="s">
        <v>27</v>
      </c>
    </row>
    <row r="34" customFormat="false" ht="15" hidden="false" customHeight="false" outlineLevel="0" collapsed="false">
      <c r="A34" s="8" t="s">
        <v>28</v>
      </c>
    </row>
    <row r="36" customFormat="false" ht="15" hidden="false" customHeight="false" outlineLevel="0" collapsed="false">
      <c r="A36" s="3" t="s">
        <v>29</v>
      </c>
    </row>
    <row r="37" customFormat="false" ht="45" hidden="false" customHeight="true" outlineLevel="0" collapsed="false">
      <c r="A37" s="4" t="s">
        <v>30</v>
      </c>
      <c r="B37" s="4"/>
    </row>
    <row r="39" customFormat="false" ht="15" hidden="false" customHeight="false" outlineLevel="0" collapsed="false">
      <c r="A39" s="3" t="s">
        <v>31</v>
      </c>
    </row>
    <row r="40" customFormat="false" ht="15" hidden="false" customHeight="false" outlineLevel="0" collapsed="false">
      <c r="A40" s="9" t="s">
        <v>32</v>
      </c>
      <c r="B40" s="10" t="s">
        <v>33</v>
      </c>
    </row>
    <row r="41" customFormat="false" ht="15" hidden="false" customHeight="false" outlineLevel="0" collapsed="false">
      <c r="A41" s="9" t="s">
        <v>34</v>
      </c>
      <c r="B41" s="10" t="s">
        <v>35</v>
      </c>
    </row>
    <row r="42" customFormat="false" ht="15" hidden="false" customHeight="false" outlineLevel="0" collapsed="false">
      <c r="A42" s="9" t="s">
        <v>36</v>
      </c>
      <c r="B42" s="10" t="s">
        <v>37</v>
      </c>
    </row>
    <row r="43" customFormat="false" ht="15" hidden="false" customHeight="false" outlineLevel="0" collapsed="false">
      <c r="A43" s="9" t="s">
        <v>38</v>
      </c>
      <c r="B43" s="10" t="s">
        <v>39</v>
      </c>
    </row>
    <row r="44" customFormat="false" ht="15" hidden="false" customHeight="false" outlineLevel="0" collapsed="false">
      <c r="A44" s="9" t="s">
        <v>40</v>
      </c>
      <c r="B44" s="10" t="s">
        <v>41</v>
      </c>
    </row>
    <row r="45" customFormat="false" ht="15" hidden="false" customHeight="false" outlineLevel="0" collapsed="false">
      <c r="A45" s="9" t="s">
        <v>42</v>
      </c>
      <c r="B45" s="10" t="s">
        <v>43</v>
      </c>
    </row>
    <row r="46" customFormat="false" ht="15" hidden="false" customHeight="false" outlineLevel="0" collapsed="false">
      <c r="A46" s="9" t="s">
        <v>44</v>
      </c>
      <c r="B46" s="10" t="s">
        <v>45</v>
      </c>
    </row>
    <row r="47" customFormat="false" ht="15" hidden="false" customHeight="false" outlineLevel="0" collapsed="false">
      <c r="A47" s="9" t="s">
        <v>46</v>
      </c>
      <c r="B47" s="10" t="s">
        <v>47</v>
      </c>
    </row>
    <row r="48" customFormat="false" ht="15" hidden="false" customHeight="false" outlineLevel="0" collapsed="false">
      <c r="A48" s="9" t="s">
        <v>48</v>
      </c>
      <c r="B48" s="10" t="s">
        <v>49</v>
      </c>
    </row>
    <row r="50" customFormat="false" ht="15" hidden="false" customHeight="false" outlineLevel="0" collapsed="false">
      <c r="A50" s="3" t="s">
        <v>50</v>
      </c>
    </row>
    <row r="51" customFormat="false" ht="45" hidden="false" customHeight="true" outlineLevel="0" collapsed="false">
      <c r="A51" s="4" t="s">
        <v>51</v>
      </c>
      <c r="B51" s="4"/>
    </row>
    <row r="53" customFormat="false" ht="15" hidden="false" customHeight="false" outlineLevel="0" collapsed="false">
      <c r="A53" s="3" t="s">
        <v>52</v>
      </c>
    </row>
    <row r="54" customFormat="false" ht="30" hidden="false" customHeight="true" outlineLevel="0" collapsed="false">
      <c r="A54" s="4" t="s">
        <v>53</v>
      </c>
      <c r="B54" s="4"/>
    </row>
  </sheetData>
  <mergeCells count="22">
    <mergeCell ref="A6:B6"/>
    <mergeCell ref="A7:B7"/>
    <mergeCell ref="A8:B8"/>
    <mergeCell ref="A9:B9"/>
    <mergeCell ref="A10:B10"/>
    <mergeCell ref="A13:B13"/>
    <mergeCell ref="A14:B14"/>
    <mergeCell ref="A15:B15"/>
    <mergeCell ref="A16:B16"/>
    <mergeCell ref="A17:B17"/>
    <mergeCell ref="A18:B18"/>
    <mergeCell ref="A19:B19"/>
    <mergeCell ref="A22:B22"/>
    <mergeCell ref="A23:B23"/>
    <mergeCell ref="A24:B24"/>
    <mergeCell ref="A25:B25"/>
    <mergeCell ref="A26:B26"/>
    <mergeCell ref="A27:B27"/>
    <mergeCell ref="A28:B28"/>
    <mergeCell ref="A37:B37"/>
    <mergeCell ref="A51:B51"/>
    <mergeCell ref="A54:B54"/>
  </mergeCells>
  <hyperlinks>
    <hyperlink ref="A40" r:id="rId1" location="'Chart%20of%20Accounts'!A1" display="Chart of Accounts"/>
    <hyperlink ref="A41" r:id="rId2" location="'Sales%20Log'!A1" display="Sales Log"/>
    <hyperlink ref="A42" r:id="rId3" location="'Expenses'!A1" display="Expenses"/>
    <hyperlink ref="A43" r:id="rId4" location="'Payouts%20Reconciliation'!A1" display="Payouts Reconciliation"/>
    <hyperlink ref="A44" r:id="rId5" location="'Channel%20Summary'!A1" display="Channel Summary"/>
    <hyperlink ref="A45" r:id="rId6" location="'Sales%20Tax'!A1" display="Sales Tax"/>
    <hyperlink ref="A46" r:id="rId7" location="'Quarterly%20Estimates'!A1" display="Quarterly Estimates"/>
    <hyperlink ref="A47" r:id="rId8" location="'Mileage%20&amp;%20Event%20Log'!A1" display="Mileage &amp; Event Log"/>
    <hyperlink ref="A48" r:id="rId9" location="'Accountant%20Packet'!A1" display="Accountant Pack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940"/>
    <pageSetUpPr fitToPage="true"/>
  </sheetPr>
  <dimension ref="A1:J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24"/>
    <col collapsed="false" customWidth="true" hidden="false" outlineLevel="0" max="4" min="4" style="0" width="30"/>
    <col collapsed="false" customWidth="true" hidden="false" outlineLevel="0" max="5" min="5" style="0" width="46"/>
    <col collapsed="false" customWidth="true" hidden="false" outlineLevel="0" max="7" min="6" style="0" width="34"/>
    <col collapsed="false" customWidth="true" hidden="false" outlineLevel="0" max="8" min="8" style="0" width="42"/>
    <col collapsed="false" customWidth="true" hidden="false" outlineLevel="0" max="9" min="9" style="0" width="40"/>
    <col collapsed="false" customWidth="true" hidden="false" outlineLevel="0" max="10" min="10" style="0" width="44"/>
  </cols>
  <sheetData>
    <row r="1" customFormat="false" ht="24" hidden="false" customHeight="true" outlineLevel="0" collapsed="false">
      <c r="A1" s="1" t="s">
        <v>54</v>
      </c>
    </row>
    <row r="2" customFormat="false" ht="42" hidden="false" customHeight="true" outlineLevel="0" collapsed="false">
      <c r="A2" s="11" t="s">
        <v>55</v>
      </c>
      <c r="B2" s="11"/>
      <c r="C2" s="11"/>
      <c r="D2" s="11"/>
      <c r="E2" s="11"/>
      <c r="F2" s="11"/>
    </row>
    <row r="4" customFormat="false" ht="36" hidden="false" customHeight="true" outlineLevel="0" collapsed="false">
      <c r="A4" s="12" t="s">
        <v>56</v>
      </c>
      <c r="B4" s="12" t="s">
        <v>57</v>
      </c>
      <c r="C4" s="12" t="s">
        <v>58</v>
      </c>
      <c r="D4" s="12" t="s">
        <v>59</v>
      </c>
      <c r="E4" s="12" t="s">
        <v>60</v>
      </c>
      <c r="F4" s="12" t="s">
        <v>61</v>
      </c>
      <c r="H4" s="13" t="s">
        <v>62</v>
      </c>
      <c r="I4" s="13" t="s">
        <v>63</v>
      </c>
    </row>
    <row r="5" customFormat="false" ht="23.85" hidden="false" customHeight="false" outlineLevel="0" collapsed="false">
      <c r="A5" s="14" t="s">
        <v>64</v>
      </c>
      <c r="B5" s="15" t="s">
        <v>65</v>
      </c>
      <c r="C5" s="15" t="s">
        <v>66</v>
      </c>
      <c r="D5" s="15" t="s">
        <v>67</v>
      </c>
      <c r="E5" s="15" t="s">
        <v>68</v>
      </c>
      <c r="F5" s="15" t="s">
        <v>69</v>
      </c>
      <c r="H5" s="16" t="s">
        <v>70</v>
      </c>
      <c r="I5" s="16" t="s">
        <v>71</v>
      </c>
    </row>
    <row r="6" customFormat="false" ht="23.85" hidden="false" customHeight="false" outlineLevel="0" collapsed="false">
      <c r="A6" s="14" t="s">
        <v>72</v>
      </c>
      <c r="B6" s="15" t="s">
        <v>73</v>
      </c>
      <c r="C6" s="15" t="s">
        <v>66</v>
      </c>
      <c r="D6" s="15" t="s">
        <v>67</v>
      </c>
      <c r="E6" s="15" t="s">
        <v>74</v>
      </c>
      <c r="F6" s="15" t="s">
        <v>75</v>
      </c>
      <c r="H6" s="16" t="s">
        <v>76</v>
      </c>
      <c r="I6" s="16" t="s">
        <v>77</v>
      </c>
    </row>
    <row r="7" customFormat="false" ht="23.85" hidden="false" customHeight="false" outlineLevel="0" collapsed="false">
      <c r="A7" s="14" t="s">
        <v>78</v>
      </c>
      <c r="B7" s="15" t="s">
        <v>79</v>
      </c>
      <c r="C7" s="15" t="s">
        <v>80</v>
      </c>
      <c r="D7" s="15" t="s">
        <v>67</v>
      </c>
      <c r="E7" s="15" t="s">
        <v>81</v>
      </c>
      <c r="F7" s="15" t="s">
        <v>82</v>
      </c>
      <c r="H7" s="16" t="s">
        <v>83</v>
      </c>
      <c r="I7" s="16" t="s">
        <v>84</v>
      </c>
    </row>
    <row r="8" customFormat="false" ht="23.85" hidden="false" customHeight="false" outlineLevel="0" collapsed="false">
      <c r="A8" s="14" t="s">
        <v>85</v>
      </c>
      <c r="B8" s="15" t="s">
        <v>86</v>
      </c>
      <c r="C8" s="15" t="s">
        <v>87</v>
      </c>
      <c r="D8" s="15" t="s">
        <v>67</v>
      </c>
      <c r="E8" s="15" t="s">
        <v>88</v>
      </c>
      <c r="F8" s="15" t="s">
        <v>89</v>
      </c>
      <c r="H8" s="16" t="s">
        <v>90</v>
      </c>
      <c r="I8" s="16" t="s">
        <v>91</v>
      </c>
    </row>
    <row r="9" customFormat="false" ht="23.85" hidden="false" customHeight="false" outlineLevel="0" collapsed="false">
      <c r="A9" s="14" t="s">
        <v>92</v>
      </c>
      <c r="B9" s="15" t="s">
        <v>93</v>
      </c>
      <c r="C9" s="15" t="s">
        <v>87</v>
      </c>
      <c r="D9" s="15" t="s">
        <v>67</v>
      </c>
      <c r="E9" s="15" t="s">
        <v>94</v>
      </c>
      <c r="F9" s="15" t="s">
        <v>95</v>
      </c>
      <c r="H9" s="16" t="s">
        <v>96</v>
      </c>
      <c r="I9" s="16" t="s">
        <v>97</v>
      </c>
    </row>
    <row r="10" customFormat="false" ht="23.85" hidden="false" customHeight="false" outlineLevel="0" collapsed="false">
      <c r="A10" s="14" t="s">
        <v>98</v>
      </c>
      <c r="B10" s="15" t="s">
        <v>99</v>
      </c>
      <c r="C10" s="15" t="s">
        <v>100</v>
      </c>
      <c r="D10" s="15" t="s">
        <v>67</v>
      </c>
      <c r="E10" s="15" t="s">
        <v>101</v>
      </c>
      <c r="F10" s="15" t="s">
        <v>102</v>
      </c>
      <c r="H10" s="16" t="s">
        <v>103</v>
      </c>
      <c r="I10" s="16" t="s">
        <v>104</v>
      </c>
    </row>
    <row r="11" customFormat="false" ht="23.85" hidden="false" customHeight="false" outlineLevel="0" collapsed="false">
      <c r="A11" s="14" t="s">
        <v>105</v>
      </c>
      <c r="B11" s="15" t="s">
        <v>106</v>
      </c>
      <c r="C11" s="15" t="s">
        <v>100</v>
      </c>
      <c r="D11" s="15" t="s">
        <v>67</v>
      </c>
      <c r="E11" s="15" t="s">
        <v>107</v>
      </c>
      <c r="F11" s="15" t="s">
        <v>108</v>
      </c>
      <c r="H11" s="16" t="s">
        <v>109</v>
      </c>
      <c r="I11" s="16" t="s">
        <v>110</v>
      </c>
    </row>
    <row r="12" customFormat="false" ht="15" hidden="false" customHeight="false" outlineLevel="0" collapsed="false">
      <c r="A12" s="14" t="s">
        <v>111</v>
      </c>
      <c r="B12" s="15" t="s">
        <v>112</v>
      </c>
      <c r="C12" s="15" t="s">
        <v>100</v>
      </c>
      <c r="D12" s="15" t="s">
        <v>67</v>
      </c>
      <c r="E12" s="15" t="s">
        <v>113</v>
      </c>
      <c r="F12" s="15" t="s">
        <v>114</v>
      </c>
      <c r="H12" s="16" t="s">
        <v>115</v>
      </c>
      <c r="I12" s="16" t="s">
        <v>116</v>
      </c>
    </row>
    <row r="13" customFormat="false" ht="15" hidden="false" customHeight="false" outlineLevel="0" collapsed="false">
      <c r="A13" s="14" t="s">
        <v>117</v>
      </c>
      <c r="B13" s="15" t="s">
        <v>118</v>
      </c>
      <c r="C13" s="15" t="s">
        <v>100</v>
      </c>
      <c r="D13" s="15" t="s">
        <v>67</v>
      </c>
      <c r="E13" s="15" t="s">
        <v>119</v>
      </c>
      <c r="F13" s="15" t="s">
        <v>120</v>
      </c>
      <c r="H13" s="16" t="s">
        <v>121</v>
      </c>
      <c r="I13" s="16" t="s">
        <v>122</v>
      </c>
    </row>
    <row r="14" customFormat="false" ht="23.85" hidden="false" customHeight="false" outlineLevel="0" collapsed="false">
      <c r="A14" s="14" t="s">
        <v>123</v>
      </c>
      <c r="B14" s="15" t="s">
        <v>124</v>
      </c>
      <c r="C14" s="15" t="s">
        <v>125</v>
      </c>
      <c r="D14" s="15" t="s">
        <v>126</v>
      </c>
      <c r="E14" s="15" t="s">
        <v>127</v>
      </c>
      <c r="F14" s="15" t="s">
        <v>128</v>
      </c>
      <c r="H14" s="16" t="s">
        <v>129</v>
      </c>
      <c r="I14" s="16" t="s">
        <v>130</v>
      </c>
    </row>
    <row r="15" customFormat="false" ht="15" hidden="false" customHeight="false" outlineLevel="0" collapsed="false">
      <c r="A15" s="14" t="s">
        <v>131</v>
      </c>
      <c r="B15" s="15" t="s">
        <v>132</v>
      </c>
      <c r="C15" s="15" t="s">
        <v>133</v>
      </c>
      <c r="D15" s="15" t="s">
        <v>67</v>
      </c>
      <c r="E15" s="15" t="s">
        <v>134</v>
      </c>
      <c r="F15" s="15" t="s">
        <v>135</v>
      </c>
      <c r="H15" s="16" t="s">
        <v>136</v>
      </c>
      <c r="I15" s="16" t="s">
        <v>137</v>
      </c>
    </row>
    <row r="16" customFormat="false" ht="23.85" hidden="false" customHeight="false" outlineLevel="0" collapsed="false">
      <c r="A16" s="14" t="s">
        <v>138</v>
      </c>
      <c r="B16" s="15" t="s">
        <v>139</v>
      </c>
      <c r="C16" s="15" t="s">
        <v>140</v>
      </c>
      <c r="D16" s="15" t="s">
        <v>141</v>
      </c>
      <c r="E16" s="15" t="s">
        <v>142</v>
      </c>
      <c r="F16" s="15" t="s">
        <v>143</v>
      </c>
      <c r="H16" s="16" t="s">
        <v>144</v>
      </c>
      <c r="I16" s="16" t="s">
        <v>145</v>
      </c>
    </row>
    <row r="17" customFormat="false" ht="15" hidden="false" customHeight="false" outlineLevel="0" collapsed="false">
      <c r="A17" s="14" t="s">
        <v>146</v>
      </c>
      <c r="B17" s="15" t="s">
        <v>147</v>
      </c>
      <c r="C17" s="15" t="s">
        <v>140</v>
      </c>
      <c r="D17" s="15" t="s">
        <v>148</v>
      </c>
      <c r="E17" s="15" t="s">
        <v>149</v>
      </c>
      <c r="F17" s="15" t="s">
        <v>150</v>
      </c>
      <c r="H17" s="16" t="s">
        <v>151</v>
      </c>
      <c r="I17" s="16" t="s">
        <v>152</v>
      </c>
    </row>
    <row r="18" customFormat="false" ht="15" hidden="false" customHeight="false" outlineLevel="0" collapsed="false">
      <c r="A18" s="14" t="s">
        <v>153</v>
      </c>
      <c r="B18" s="15" t="s">
        <v>154</v>
      </c>
      <c r="C18" s="15" t="s">
        <v>155</v>
      </c>
      <c r="D18" s="15" t="s">
        <v>141</v>
      </c>
      <c r="E18" s="15" t="s">
        <v>156</v>
      </c>
      <c r="F18" s="15" t="s">
        <v>157</v>
      </c>
      <c r="H18" s="16" t="s">
        <v>158</v>
      </c>
      <c r="I18" s="16" t="s">
        <v>159</v>
      </c>
    </row>
    <row r="19" customFormat="false" ht="15" hidden="false" customHeight="false" outlineLevel="0" collapsed="false">
      <c r="A19" s="14" t="s">
        <v>160</v>
      </c>
      <c r="B19" s="15" t="s">
        <v>161</v>
      </c>
      <c r="C19" s="15" t="s">
        <v>155</v>
      </c>
      <c r="D19" s="15" t="s">
        <v>162</v>
      </c>
      <c r="E19" s="15" t="s">
        <v>163</v>
      </c>
      <c r="F19" s="15" t="s">
        <v>69</v>
      </c>
      <c r="H19" s="16" t="s">
        <v>164</v>
      </c>
      <c r="I19" s="16" t="s">
        <v>165</v>
      </c>
    </row>
    <row r="20" customFormat="false" ht="15" hidden="false" customHeight="false" outlineLevel="0" collapsed="false">
      <c r="A20" s="14" t="s">
        <v>166</v>
      </c>
      <c r="B20" s="15" t="s">
        <v>167</v>
      </c>
      <c r="C20" s="15" t="s">
        <v>155</v>
      </c>
      <c r="D20" s="15" t="s">
        <v>168</v>
      </c>
      <c r="E20" s="15" t="s">
        <v>169</v>
      </c>
      <c r="F20" s="15" t="s">
        <v>69</v>
      </c>
      <c r="H20" s="16" t="s">
        <v>170</v>
      </c>
      <c r="I20" s="16" t="s">
        <v>171</v>
      </c>
    </row>
    <row r="21" customFormat="false" ht="23.85" hidden="false" customHeight="false" outlineLevel="0" collapsed="false">
      <c r="A21" s="14" t="s">
        <v>172</v>
      </c>
      <c r="B21" s="15" t="s">
        <v>173</v>
      </c>
      <c r="C21" s="15" t="s">
        <v>155</v>
      </c>
      <c r="D21" s="15" t="s">
        <v>174</v>
      </c>
      <c r="E21" s="15" t="s">
        <v>175</v>
      </c>
      <c r="F21" s="15" t="s">
        <v>69</v>
      </c>
      <c r="H21" s="16" t="s">
        <v>176</v>
      </c>
    </row>
    <row r="22" customFormat="false" ht="15" hidden="false" customHeight="false" outlineLevel="0" collapsed="false">
      <c r="A22" s="14" t="s">
        <v>177</v>
      </c>
      <c r="B22" s="15" t="s">
        <v>178</v>
      </c>
      <c r="C22" s="15" t="s">
        <v>155</v>
      </c>
      <c r="D22" s="15" t="s">
        <v>67</v>
      </c>
      <c r="E22" s="15" t="s">
        <v>179</v>
      </c>
      <c r="F22" s="15" t="s">
        <v>180</v>
      </c>
      <c r="H22" s="16" t="s">
        <v>181</v>
      </c>
    </row>
    <row r="23" customFormat="false" ht="23.85" hidden="false" customHeight="false" outlineLevel="0" collapsed="false">
      <c r="A23" s="17" t="s">
        <v>182</v>
      </c>
      <c r="B23" s="18" t="s">
        <v>183</v>
      </c>
      <c r="C23" s="18" t="s">
        <v>184</v>
      </c>
      <c r="D23" s="18" t="s">
        <v>185</v>
      </c>
      <c r="E23" s="18" t="s">
        <v>186</v>
      </c>
      <c r="F23" s="18" t="s">
        <v>187</v>
      </c>
      <c r="H23" s="16" t="s">
        <v>188</v>
      </c>
    </row>
    <row r="24" customFormat="false" ht="15" hidden="false" customHeight="false" outlineLevel="0" collapsed="false">
      <c r="A24" s="17" t="s">
        <v>189</v>
      </c>
      <c r="B24" s="18" t="s">
        <v>190</v>
      </c>
      <c r="C24" s="18" t="s">
        <v>184</v>
      </c>
      <c r="D24" s="18" t="s">
        <v>191</v>
      </c>
      <c r="E24" s="18" t="s">
        <v>192</v>
      </c>
      <c r="F24" s="18" t="s">
        <v>193</v>
      </c>
      <c r="H24" s="16" t="s">
        <v>194</v>
      </c>
    </row>
    <row r="25" customFormat="false" ht="15" hidden="false" customHeight="false" outlineLevel="0" collapsed="false">
      <c r="A25" s="17" t="s">
        <v>195</v>
      </c>
      <c r="B25" s="18" t="s">
        <v>196</v>
      </c>
      <c r="C25" s="18" t="s">
        <v>184</v>
      </c>
      <c r="D25" s="18" t="s">
        <v>191</v>
      </c>
      <c r="E25" s="18" t="s">
        <v>197</v>
      </c>
      <c r="F25" s="18" t="s">
        <v>198</v>
      </c>
      <c r="H25" s="16" t="s">
        <v>199</v>
      </c>
    </row>
    <row r="26" customFormat="false" ht="15" hidden="false" customHeight="false" outlineLevel="0" collapsed="false">
      <c r="A26" s="17" t="s">
        <v>200</v>
      </c>
      <c r="B26" s="18" t="s">
        <v>201</v>
      </c>
      <c r="C26" s="18" t="s">
        <v>184</v>
      </c>
      <c r="D26" s="18" t="s">
        <v>191</v>
      </c>
      <c r="E26" s="18" t="s">
        <v>202</v>
      </c>
      <c r="F26" s="18" t="s">
        <v>203</v>
      </c>
      <c r="H26" s="16" t="s">
        <v>204</v>
      </c>
    </row>
    <row r="27" customFormat="false" ht="23.85" hidden="false" customHeight="false" outlineLevel="0" collapsed="false">
      <c r="A27" s="17" t="s">
        <v>205</v>
      </c>
      <c r="B27" s="18" t="s">
        <v>206</v>
      </c>
      <c r="C27" s="18" t="s">
        <v>184</v>
      </c>
      <c r="D27" s="18" t="s">
        <v>191</v>
      </c>
      <c r="E27" s="18" t="s">
        <v>207</v>
      </c>
      <c r="F27" s="18" t="s">
        <v>208</v>
      </c>
    </row>
    <row r="28" customFormat="false" ht="15" hidden="false" customHeight="false" outlineLevel="0" collapsed="false">
      <c r="A28" s="17" t="s">
        <v>209</v>
      </c>
      <c r="B28" s="18" t="s">
        <v>210</v>
      </c>
      <c r="C28" s="18" t="s">
        <v>184</v>
      </c>
      <c r="D28" s="18" t="s">
        <v>191</v>
      </c>
      <c r="E28" s="18" t="s">
        <v>211</v>
      </c>
      <c r="F28" s="18" t="s">
        <v>208</v>
      </c>
    </row>
    <row r="29" customFormat="false" ht="15" hidden="false" customHeight="false" outlineLevel="0" collapsed="false">
      <c r="A29" s="17" t="s">
        <v>212</v>
      </c>
      <c r="B29" s="18" t="s">
        <v>213</v>
      </c>
      <c r="C29" s="18" t="s">
        <v>184</v>
      </c>
      <c r="D29" s="18" t="s">
        <v>191</v>
      </c>
      <c r="E29" s="18" t="s">
        <v>214</v>
      </c>
      <c r="F29" s="18" t="s">
        <v>215</v>
      </c>
    </row>
    <row r="30" customFormat="false" ht="15" hidden="false" customHeight="false" outlineLevel="0" collapsed="false">
      <c r="A30" s="17" t="s">
        <v>216</v>
      </c>
      <c r="B30" s="18" t="s">
        <v>217</v>
      </c>
      <c r="C30" s="18" t="s">
        <v>184</v>
      </c>
      <c r="D30" s="18" t="s">
        <v>191</v>
      </c>
      <c r="E30" s="18" t="s">
        <v>218</v>
      </c>
      <c r="F30" s="18" t="s">
        <v>219</v>
      </c>
    </row>
    <row r="31" customFormat="false" ht="15" hidden="false" customHeight="false" outlineLevel="0" collapsed="false">
      <c r="A31" s="17" t="s">
        <v>220</v>
      </c>
      <c r="B31" s="18" t="s">
        <v>221</v>
      </c>
      <c r="C31" s="18" t="s">
        <v>184</v>
      </c>
      <c r="D31" s="18" t="s">
        <v>191</v>
      </c>
      <c r="E31" s="18" t="s">
        <v>222</v>
      </c>
      <c r="F31" s="18" t="s">
        <v>223</v>
      </c>
    </row>
    <row r="32" customFormat="false" ht="15" hidden="false" customHeight="false" outlineLevel="0" collapsed="false">
      <c r="A32" s="17" t="s">
        <v>224</v>
      </c>
      <c r="B32" s="18" t="s">
        <v>225</v>
      </c>
      <c r="C32" s="18" t="s">
        <v>184</v>
      </c>
      <c r="D32" s="18" t="s">
        <v>191</v>
      </c>
      <c r="E32" s="18" t="s">
        <v>226</v>
      </c>
      <c r="F32" s="18" t="s">
        <v>223</v>
      </c>
    </row>
    <row r="33" customFormat="false" ht="23.85" hidden="false" customHeight="false" outlineLevel="0" collapsed="false">
      <c r="A33" s="17" t="s">
        <v>227</v>
      </c>
      <c r="B33" s="18" t="s">
        <v>228</v>
      </c>
      <c r="C33" s="18" t="s">
        <v>184</v>
      </c>
      <c r="D33" s="18" t="s">
        <v>191</v>
      </c>
      <c r="E33" s="18" t="s">
        <v>229</v>
      </c>
      <c r="F33" s="18" t="s">
        <v>230</v>
      </c>
    </row>
    <row r="34" customFormat="false" ht="15" hidden="false" customHeight="false" outlineLevel="0" collapsed="false">
      <c r="A34" s="17" t="s">
        <v>231</v>
      </c>
      <c r="B34" s="18" t="s">
        <v>232</v>
      </c>
      <c r="C34" s="18" t="s">
        <v>184</v>
      </c>
      <c r="D34" s="18" t="s">
        <v>191</v>
      </c>
      <c r="E34" s="18" t="s">
        <v>233</v>
      </c>
      <c r="F34" s="18" t="s">
        <v>234</v>
      </c>
    </row>
    <row r="35" customFormat="false" ht="23.85" hidden="false" customHeight="false" outlineLevel="0" collapsed="false">
      <c r="A35" s="17" t="s">
        <v>235</v>
      </c>
      <c r="B35" s="18" t="s">
        <v>236</v>
      </c>
      <c r="C35" s="18" t="s">
        <v>184</v>
      </c>
      <c r="D35" s="18" t="s">
        <v>237</v>
      </c>
      <c r="E35" s="18" t="s">
        <v>238</v>
      </c>
      <c r="F35" s="18" t="s">
        <v>239</v>
      </c>
    </row>
    <row r="36" customFormat="false" ht="15" hidden="false" customHeight="false" outlineLevel="0" collapsed="false">
      <c r="A36" s="17" t="s">
        <v>240</v>
      </c>
      <c r="B36" s="18" t="s">
        <v>241</v>
      </c>
      <c r="C36" s="18" t="s">
        <v>184</v>
      </c>
      <c r="D36" s="18" t="s">
        <v>191</v>
      </c>
      <c r="E36" s="18" t="s">
        <v>242</v>
      </c>
      <c r="F36" s="18" t="s">
        <v>243</v>
      </c>
    </row>
    <row r="37" customFormat="false" ht="23.85" hidden="false" customHeight="false" outlineLevel="0" collapsed="false">
      <c r="A37" s="17" t="s">
        <v>244</v>
      </c>
      <c r="B37" s="18" t="s">
        <v>245</v>
      </c>
      <c r="C37" s="18" t="s">
        <v>246</v>
      </c>
      <c r="D37" s="18" t="s">
        <v>247</v>
      </c>
      <c r="E37" s="18" t="s">
        <v>248</v>
      </c>
      <c r="F37" s="18" t="s">
        <v>243</v>
      </c>
    </row>
    <row r="38" customFormat="false" ht="15" hidden="false" customHeight="false" outlineLevel="0" collapsed="false">
      <c r="A38" s="17" t="s">
        <v>249</v>
      </c>
      <c r="B38" s="18" t="s">
        <v>250</v>
      </c>
      <c r="C38" s="18" t="s">
        <v>251</v>
      </c>
      <c r="D38" s="18" t="s">
        <v>252</v>
      </c>
      <c r="E38" s="18" t="s">
        <v>253</v>
      </c>
      <c r="F38" s="18" t="s">
        <v>69</v>
      </c>
    </row>
    <row r="39" customFormat="false" ht="15" hidden="false" customHeight="false" outlineLevel="0" collapsed="false">
      <c r="A39" s="14" t="s">
        <v>254</v>
      </c>
      <c r="B39" s="15" t="s">
        <v>255</v>
      </c>
      <c r="C39" s="15" t="s">
        <v>256</v>
      </c>
      <c r="D39" s="15" t="s">
        <v>257</v>
      </c>
      <c r="E39" s="15" t="s">
        <v>258</v>
      </c>
      <c r="F39" s="15" t="s">
        <v>259</v>
      </c>
    </row>
    <row r="40" customFormat="false" ht="15" hidden="false" customHeight="false" outlineLevel="0" collapsed="false">
      <c r="A40" s="14" t="s">
        <v>260</v>
      </c>
      <c r="B40" s="15" t="s">
        <v>261</v>
      </c>
      <c r="C40" s="15" t="s">
        <v>256</v>
      </c>
      <c r="D40" s="15" t="s">
        <v>257</v>
      </c>
      <c r="E40" s="15" t="s">
        <v>262</v>
      </c>
      <c r="F40" s="15" t="s">
        <v>135</v>
      </c>
    </row>
    <row r="41" customFormat="false" ht="15" hidden="false" customHeight="false" outlineLevel="0" collapsed="false">
      <c r="A41" s="14" t="s">
        <v>263</v>
      </c>
      <c r="B41" s="15" t="s">
        <v>264</v>
      </c>
      <c r="C41" s="15" t="s">
        <v>256</v>
      </c>
      <c r="D41" s="15" t="s">
        <v>265</v>
      </c>
      <c r="E41" s="15" t="s">
        <v>266</v>
      </c>
      <c r="F41" s="15" t="s">
        <v>135</v>
      </c>
    </row>
    <row r="42" customFormat="false" ht="15" hidden="false" customHeight="false" outlineLevel="0" collapsed="false">
      <c r="A42" s="14" t="s">
        <v>267</v>
      </c>
      <c r="B42" s="15" t="s">
        <v>268</v>
      </c>
      <c r="C42" s="15" t="s">
        <v>256</v>
      </c>
      <c r="D42" s="15" t="s">
        <v>257</v>
      </c>
      <c r="E42" s="15" t="s">
        <v>269</v>
      </c>
      <c r="F42" s="15" t="s">
        <v>135</v>
      </c>
    </row>
    <row r="43" customFormat="false" ht="15" hidden="false" customHeight="false" outlineLevel="0" collapsed="false">
      <c r="A43" s="14" t="s">
        <v>270</v>
      </c>
      <c r="B43" s="15" t="s">
        <v>271</v>
      </c>
      <c r="C43" s="15" t="s">
        <v>256</v>
      </c>
      <c r="D43" s="15" t="s">
        <v>272</v>
      </c>
      <c r="E43" s="15" t="s">
        <v>273</v>
      </c>
      <c r="F43" s="15" t="s">
        <v>135</v>
      </c>
    </row>
    <row r="44" customFormat="false" ht="35.05" hidden="false" customHeight="false" outlineLevel="0" collapsed="false">
      <c r="A44" s="14" t="s">
        <v>274</v>
      </c>
      <c r="B44" s="15" t="s">
        <v>275</v>
      </c>
      <c r="C44" s="15" t="s">
        <v>276</v>
      </c>
      <c r="D44" s="15" t="s">
        <v>277</v>
      </c>
      <c r="E44" s="15" t="s">
        <v>278</v>
      </c>
      <c r="F44" s="15" t="s">
        <v>198</v>
      </c>
    </row>
    <row r="45" customFormat="false" ht="15" hidden="false" customHeight="false" outlineLevel="0" collapsed="false">
      <c r="A45" s="14" t="s">
        <v>279</v>
      </c>
      <c r="B45" s="15" t="s">
        <v>280</v>
      </c>
      <c r="C45" s="15" t="s">
        <v>276</v>
      </c>
      <c r="D45" s="15" t="s">
        <v>281</v>
      </c>
      <c r="E45" s="15" t="s">
        <v>282</v>
      </c>
      <c r="F45" s="15" t="s">
        <v>198</v>
      </c>
    </row>
    <row r="46" customFormat="false" ht="15" hidden="false" customHeight="false" outlineLevel="0" collapsed="false">
      <c r="A46" s="14" t="s">
        <v>283</v>
      </c>
      <c r="B46" s="15" t="s">
        <v>284</v>
      </c>
      <c r="C46" s="15" t="s">
        <v>276</v>
      </c>
      <c r="D46" s="15" t="s">
        <v>285</v>
      </c>
      <c r="E46" s="15" t="s">
        <v>286</v>
      </c>
      <c r="F46" s="15" t="s">
        <v>287</v>
      </c>
    </row>
    <row r="47" customFormat="false" ht="15" hidden="false" customHeight="false" outlineLevel="0" collapsed="false">
      <c r="A47" s="14" t="s">
        <v>288</v>
      </c>
      <c r="B47" s="15" t="s">
        <v>289</v>
      </c>
      <c r="C47" s="15" t="s">
        <v>276</v>
      </c>
      <c r="D47" s="15" t="s">
        <v>290</v>
      </c>
      <c r="E47" s="15" t="s">
        <v>291</v>
      </c>
      <c r="F47" s="15" t="s">
        <v>287</v>
      </c>
    </row>
    <row r="48" customFormat="false" ht="15" hidden="false" customHeight="false" outlineLevel="0" collapsed="false">
      <c r="A48" s="14" t="s">
        <v>292</v>
      </c>
      <c r="B48" s="15" t="s">
        <v>293</v>
      </c>
      <c r="C48" s="15" t="s">
        <v>276</v>
      </c>
      <c r="D48" s="15" t="s">
        <v>294</v>
      </c>
      <c r="E48" s="15" t="s">
        <v>295</v>
      </c>
      <c r="F48" s="15" t="s">
        <v>135</v>
      </c>
    </row>
    <row r="49" customFormat="false" ht="15" hidden="false" customHeight="false" outlineLevel="0" collapsed="false">
      <c r="A49" s="14" t="s">
        <v>296</v>
      </c>
      <c r="B49" s="15" t="s">
        <v>297</v>
      </c>
      <c r="C49" s="15" t="s">
        <v>276</v>
      </c>
      <c r="D49" s="15" t="s">
        <v>298</v>
      </c>
      <c r="E49" s="15" t="s">
        <v>299</v>
      </c>
      <c r="F49" s="15" t="s">
        <v>300</v>
      </c>
    </row>
    <row r="50" customFormat="false" ht="15" hidden="false" customHeight="false" outlineLevel="0" collapsed="false">
      <c r="A50" s="14" t="s">
        <v>301</v>
      </c>
      <c r="B50" s="15" t="s">
        <v>302</v>
      </c>
      <c r="C50" s="15" t="s">
        <v>276</v>
      </c>
      <c r="D50" s="15" t="s">
        <v>303</v>
      </c>
      <c r="E50" s="15" t="s">
        <v>304</v>
      </c>
      <c r="F50" s="15" t="s">
        <v>300</v>
      </c>
    </row>
    <row r="51" customFormat="false" ht="15" hidden="false" customHeight="false" outlineLevel="0" collapsed="false">
      <c r="A51" s="14" t="s">
        <v>305</v>
      </c>
      <c r="B51" s="15" t="s">
        <v>306</v>
      </c>
      <c r="C51" s="15" t="s">
        <v>276</v>
      </c>
      <c r="D51" s="15" t="s">
        <v>307</v>
      </c>
      <c r="E51" s="15" t="s">
        <v>308</v>
      </c>
      <c r="F51" s="15" t="s">
        <v>309</v>
      </c>
    </row>
    <row r="52" customFormat="false" ht="15" hidden="false" customHeight="false" outlineLevel="0" collapsed="false">
      <c r="A52" s="14" t="s">
        <v>310</v>
      </c>
      <c r="B52" s="15" t="s">
        <v>311</v>
      </c>
      <c r="C52" s="15" t="s">
        <v>276</v>
      </c>
      <c r="D52" s="15" t="s">
        <v>312</v>
      </c>
      <c r="E52" s="15" t="s">
        <v>313</v>
      </c>
      <c r="F52" s="15" t="s">
        <v>135</v>
      </c>
    </row>
    <row r="53" customFormat="false" ht="15" hidden="false" customHeight="false" outlineLevel="0" collapsed="false">
      <c r="A53" s="14" t="s">
        <v>314</v>
      </c>
      <c r="B53" s="15" t="s">
        <v>315</v>
      </c>
      <c r="C53" s="15" t="s">
        <v>276</v>
      </c>
      <c r="D53" s="15" t="s">
        <v>294</v>
      </c>
      <c r="E53" s="15" t="s">
        <v>316</v>
      </c>
      <c r="F53" s="15" t="s">
        <v>69</v>
      </c>
    </row>
    <row r="54" customFormat="false" ht="15" hidden="false" customHeight="false" outlineLevel="0" collapsed="false">
      <c r="A54" s="14" t="s">
        <v>317</v>
      </c>
      <c r="B54" s="15" t="s">
        <v>318</v>
      </c>
      <c r="C54" s="15" t="s">
        <v>276</v>
      </c>
      <c r="D54" s="15" t="s">
        <v>294</v>
      </c>
      <c r="E54" s="15" t="s">
        <v>319</v>
      </c>
      <c r="F54" s="15" t="s">
        <v>135</v>
      </c>
    </row>
    <row r="55" customFormat="false" ht="15" hidden="false" customHeight="false" outlineLevel="0" collapsed="false">
      <c r="A55" s="14" t="s">
        <v>320</v>
      </c>
      <c r="B55" s="15" t="s">
        <v>321</v>
      </c>
      <c r="C55" s="15" t="s">
        <v>276</v>
      </c>
      <c r="D55" s="15" t="s">
        <v>294</v>
      </c>
      <c r="E55" s="15" t="s">
        <v>322</v>
      </c>
      <c r="F55" s="15" t="s">
        <v>135</v>
      </c>
    </row>
    <row r="56" customFormat="false" ht="15" hidden="false" customHeight="false" outlineLevel="0" collapsed="false">
      <c r="A56" s="14" t="s">
        <v>323</v>
      </c>
      <c r="B56" s="15" t="s">
        <v>324</v>
      </c>
      <c r="C56" s="15" t="s">
        <v>276</v>
      </c>
      <c r="D56" s="15" t="s">
        <v>325</v>
      </c>
      <c r="E56" s="15" t="s">
        <v>326</v>
      </c>
      <c r="F56" s="15" t="s">
        <v>327</v>
      </c>
    </row>
    <row r="57" customFormat="false" ht="15" hidden="false" customHeight="false" outlineLevel="0" collapsed="false">
      <c r="A57" s="14" t="s">
        <v>328</v>
      </c>
      <c r="B57" s="15" t="s">
        <v>329</v>
      </c>
      <c r="C57" s="15" t="s">
        <v>276</v>
      </c>
      <c r="D57" s="15" t="s">
        <v>330</v>
      </c>
      <c r="E57" s="15" t="s">
        <v>331</v>
      </c>
      <c r="F57" s="15" t="s">
        <v>135</v>
      </c>
    </row>
    <row r="58" customFormat="false" ht="15" hidden="false" customHeight="false" outlineLevel="0" collapsed="false">
      <c r="A58" s="14" t="s">
        <v>332</v>
      </c>
      <c r="B58" s="15" t="s">
        <v>333</v>
      </c>
      <c r="C58" s="15" t="s">
        <v>276</v>
      </c>
      <c r="D58" s="15" t="s">
        <v>334</v>
      </c>
      <c r="E58" s="15" t="s">
        <v>335</v>
      </c>
      <c r="F58" s="15" t="s">
        <v>135</v>
      </c>
    </row>
    <row r="59" customFormat="false" ht="15" hidden="false" customHeight="false" outlineLevel="0" collapsed="false">
      <c r="A59" s="14" t="s">
        <v>336</v>
      </c>
      <c r="B59" s="15" t="s">
        <v>337</v>
      </c>
      <c r="C59" s="15" t="s">
        <v>276</v>
      </c>
      <c r="D59" s="15" t="s">
        <v>338</v>
      </c>
      <c r="E59" s="15" t="s">
        <v>339</v>
      </c>
      <c r="F59" s="15" t="s">
        <v>340</v>
      </c>
    </row>
    <row r="60" customFormat="false" ht="15" hidden="false" customHeight="false" outlineLevel="0" collapsed="false">
      <c r="A60" s="14" t="s">
        <v>341</v>
      </c>
      <c r="B60" s="15" t="s">
        <v>342</v>
      </c>
      <c r="C60" s="15" t="s">
        <v>343</v>
      </c>
      <c r="D60" s="15" t="s">
        <v>344</v>
      </c>
      <c r="E60" s="15" t="s">
        <v>345</v>
      </c>
      <c r="F60" s="15" t="s">
        <v>346</v>
      </c>
    </row>
    <row r="63" customFormat="false" ht="15" hidden="false" customHeight="false" outlineLevel="0" collapsed="false">
      <c r="A63" s="3" t="s">
        <v>347</v>
      </c>
    </row>
    <row r="64" customFormat="false" ht="15" hidden="false" customHeight="false" outlineLevel="0" collapsed="false">
      <c r="A64" s="19" t="s">
        <v>348</v>
      </c>
      <c r="B64" s="19"/>
      <c r="C64" s="19"/>
      <c r="D64" s="19"/>
      <c r="E64" s="19"/>
      <c r="F64" s="19"/>
      <c r="G64" s="19"/>
      <c r="H64" s="19"/>
      <c r="I64" s="19"/>
      <c r="J64" s="19"/>
    </row>
    <row r="65" customFormat="false" ht="39.75" hidden="false" customHeight="true" outlineLevel="0" collapsed="false">
      <c r="A65" s="12" t="s">
        <v>349</v>
      </c>
      <c r="B65" s="12" t="s">
        <v>350</v>
      </c>
      <c r="C65" s="12" t="s">
        <v>351</v>
      </c>
      <c r="D65" s="12" t="s">
        <v>352</v>
      </c>
      <c r="E65" s="12" t="s">
        <v>353</v>
      </c>
      <c r="F65" s="12" t="s">
        <v>354</v>
      </c>
      <c r="G65" s="12" t="s">
        <v>355</v>
      </c>
      <c r="H65" s="12" t="s">
        <v>356</v>
      </c>
      <c r="I65" s="12" t="s">
        <v>357</v>
      </c>
      <c r="J65" s="12" t="s">
        <v>358</v>
      </c>
    </row>
    <row r="66" customFormat="false" ht="23.85" hidden="false" customHeight="false" outlineLevel="0" collapsed="false">
      <c r="A66" s="14" t="s">
        <v>359</v>
      </c>
      <c r="B66" s="15" t="s">
        <v>360</v>
      </c>
      <c r="C66" s="15" t="s">
        <v>361</v>
      </c>
      <c r="D66" s="15" t="s">
        <v>362</v>
      </c>
      <c r="E66" s="15" t="s">
        <v>182</v>
      </c>
      <c r="F66" s="15" t="s">
        <v>363</v>
      </c>
      <c r="G66" s="15" t="s">
        <v>364</v>
      </c>
      <c r="H66" s="15" t="s">
        <v>365</v>
      </c>
      <c r="I66" s="15" t="s">
        <v>366</v>
      </c>
      <c r="J66" s="20" t="s">
        <v>367</v>
      </c>
    </row>
    <row r="67" customFormat="false" ht="23.85" hidden="false" customHeight="false" outlineLevel="0" collapsed="false">
      <c r="A67" s="14" t="s">
        <v>368</v>
      </c>
      <c r="B67" s="15" t="s">
        <v>369</v>
      </c>
      <c r="C67" s="15" t="s">
        <v>370</v>
      </c>
      <c r="D67" s="15" t="s">
        <v>371</v>
      </c>
      <c r="E67" s="15" t="s">
        <v>189</v>
      </c>
      <c r="F67" s="15" t="s">
        <v>372</v>
      </c>
      <c r="G67" s="15" t="s">
        <v>373</v>
      </c>
      <c r="H67" s="15" t="s">
        <v>374</v>
      </c>
      <c r="I67" s="15" t="s">
        <v>375</v>
      </c>
      <c r="J67" s="20" t="s">
        <v>376</v>
      </c>
    </row>
    <row r="68" customFormat="false" ht="23.85" hidden="false" customHeight="false" outlineLevel="0" collapsed="false">
      <c r="A68" s="14" t="s">
        <v>377</v>
      </c>
      <c r="B68" s="15" t="s">
        <v>378</v>
      </c>
      <c r="C68" s="15" t="s">
        <v>379</v>
      </c>
      <c r="D68" s="15" t="s">
        <v>380</v>
      </c>
      <c r="E68" s="15" t="s">
        <v>381</v>
      </c>
      <c r="F68" s="15" t="s">
        <v>382</v>
      </c>
      <c r="G68" s="15" t="s">
        <v>383</v>
      </c>
      <c r="H68" s="15" t="s">
        <v>384</v>
      </c>
      <c r="I68" s="15" t="s">
        <v>385</v>
      </c>
      <c r="J68" s="20" t="s">
        <v>386</v>
      </c>
    </row>
    <row r="69" customFormat="false" ht="15" hidden="false" customHeight="false" outlineLevel="0" collapsed="false">
      <c r="A69" s="14" t="s">
        <v>387</v>
      </c>
      <c r="B69" s="15" t="s">
        <v>388</v>
      </c>
      <c r="C69" s="15" t="s">
        <v>389</v>
      </c>
      <c r="D69" s="15" t="s">
        <v>390</v>
      </c>
      <c r="E69" s="15" t="s">
        <v>391</v>
      </c>
      <c r="F69" s="15" t="s">
        <v>392</v>
      </c>
      <c r="G69" s="15" t="s">
        <v>393</v>
      </c>
      <c r="H69" s="15" t="s">
        <v>394</v>
      </c>
      <c r="I69" s="15" t="s">
        <v>395</v>
      </c>
      <c r="J69" s="20" t="s">
        <v>396</v>
      </c>
    </row>
    <row r="70" customFormat="false" ht="15" hidden="false" customHeight="false" outlineLevel="0" collapsed="false">
      <c r="A70" s="14" t="s">
        <v>397</v>
      </c>
      <c r="B70" s="15" t="s">
        <v>398</v>
      </c>
      <c r="C70" s="15" t="s">
        <v>399</v>
      </c>
      <c r="D70" s="15" t="s">
        <v>400</v>
      </c>
      <c r="E70" s="15" t="s">
        <v>401</v>
      </c>
      <c r="F70" s="15" t="s">
        <v>402</v>
      </c>
      <c r="G70" s="15" t="s">
        <v>383</v>
      </c>
      <c r="H70" s="15" t="s">
        <v>403</v>
      </c>
      <c r="I70" s="15" t="s">
        <v>385</v>
      </c>
      <c r="J70" s="20" t="s">
        <v>404</v>
      </c>
    </row>
    <row r="71" customFormat="false" ht="23.85" hidden="false" customHeight="false" outlineLevel="0" collapsed="false">
      <c r="A71" s="14" t="s">
        <v>405</v>
      </c>
      <c r="B71" s="15" t="s">
        <v>406</v>
      </c>
      <c r="C71" s="15" t="s">
        <v>407</v>
      </c>
      <c r="D71" s="15" t="s">
        <v>408</v>
      </c>
      <c r="E71" s="15" t="s">
        <v>409</v>
      </c>
      <c r="F71" s="15" t="s">
        <v>410</v>
      </c>
      <c r="G71" s="15" t="s">
        <v>411</v>
      </c>
      <c r="H71" s="15" t="s">
        <v>412</v>
      </c>
      <c r="I71" s="15" t="s">
        <v>385</v>
      </c>
      <c r="J71" s="20" t="s">
        <v>413</v>
      </c>
    </row>
    <row r="72" customFormat="false" ht="23.85" hidden="false" customHeight="false" outlineLevel="0" collapsed="false">
      <c r="A72" s="14" t="s">
        <v>414</v>
      </c>
      <c r="B72" s="15" t="s">
        <v>415</v>
      </c>
      <c r="C72" s="15" t="s">
        <v>416</v>
      </c>
      <c r="D72" s="15" t="s">
        <v>417</v>
      </c>
      <c r="E72" s="15" t="s">
        <v>418</v>
      </c>
      <c r="F72" s="15" t="s">
        <v>279</v>
      </c>
      <c r="G72" s="15" t="s">
        <v>419</v>
      </c>
      <c r="H72" s="15" t="s">
        <v>420</v>
      </c>
      <c r="I72" s="15" t="s">
        <v>421</v>
      </c>
      <c r="J72" s="20" t="s">
        <v>422</v>
      </c>
    </row>
    <row r="73" customFormat="false" ht="23.85" hidden="false" customHeight="false" outlineLevel="0" collapsed="false">
      <c r="A73" s="14" t="s">
        <v>79</v>
      </c>
      <c r="B73" s="15" t="s">
        <v>423</v>
      </c>
      <c r="C73" s="15" t="s">
        <v>424</v>
      </c>
      <c r="D73" s="15" t="s">
        <v>425</v>
      </c>
      <c r="E73" s="15" t="s">
        <v>426</v>
      </c>
      <c r="F73" s="15" t="s">
        <v>279</v>
      </c>
      <c r="G73" s="15" t="s">
        <v>427</v>
      </c>
      <c r="H73" s="15" t="s">
        <v>428</v>
      </c>
      <c r="I73" s="15" t="s">
        <v>421</v>
      </c>
      <c r="J73" s="20" t="s">
        <v>429</v>
      </c>
    </row>
    <row r="74" customFormat="false" ht="23.85" hidden="false" customHeight="false" outlineLevel="0" collapsed="false">
      <c r="A74" s="14" t="s">
        <v>430</v>
      </c>
      <c r="B74" s="15" t="s">
        <v>431</v>
      </c>
      <c r="C74" s="15" t="s">
        <v>432</v>
      </c>
      <c r="D74" s="15" t="s">
        <v>433</v>
      </c>
      <c r="E74" s="15" t="s">
        <v>434</v>
      </c>
      <c r="F74" s="15" t="s">
        <v>434</v>
      </c>
      <c r="G74" s="15" t="s">
        <v>435</v>
      </c>
      <c r="H74" s="15" t="s">
        <v>436</v>
      </c>
      <c r="I74" s="15" t="s">
        <v>437</v>
      </c>
      <c r="J74" s="20" t="s">
        <v>438</v>
      </c>
    </row>
    <row r="75" customFormat="false" ht="15" hidden="false" customHeight="false" outlineLevel="0" collapsed="false">
      <c r="A75" s="14" t="s">
        <v>439</v>
      </c>
      <c r="B75" s="15" t="s">
        <v>440</v>
      </c>
      <c r="C75" s="15" t="s">
        <v>441</v>
      </c>
      <c r="D75" s="15" t="s">
        <v>442</v>
      </c>
      <c r="E75" s="15" t="s">
        <v>231</v>
      </c>
      <c r="F75" s="15" t="s">
        <v>443</v>
      </c>
      <c r="G75" s="15" t="s">
        <v>444</v>
      </c>
      <c r="H75" s="15" t="s">
        <v>445</v>
      </c>
      <c r="I75" s="15" t="s">
        <v>395</v>
      </c>
      <c r="J75" s="20" t="s">
        <v>446</v>
      </c>
    </row>
    <row r="76" customFormat="false" ht="23.85" hidden="false" customHeight="false" outlineLevel="0" collapsed="false">
      <c r="A76" s="14" t="s">
        <v>447</v>
      </c>
      <c r="B76" s="15" t="s">
        <v>448</v>
      </c>
      <c r="C76" s="15" t="s">
        <v>449</v>
      </c>
      <c r="D76" s="15" t="s">
        <v>450</v>
      </c>
      <c r="E76" s="15" t="s">
        <v>451</v>
      </c>
      <c r="F76" s="15" t="s">
        <v>452</v>
      </c>
      <c r="G76" s="15" t="s">
        <v>453</v>
      </c>
      <c r="H76" s="15" t="s">
        <v>454</v>
      </c>
      <c r="I76" s="15" t="s">
        <v>455</v>
      </c>
      <c r="J76" s="20" t="s">
        <v>456</v>
      </c>
    </row>
    <row r="77" customFormat="false" ht="15" hidden="false" customHeight="false" outlineLevel="0" collapsed="false">
      <c r="A77" s="14" t="s">
        <v>457</v>
      </c>
      <c r="B77" s="15" t="s">
        <v>458</v>
      </c>
      <c r="C77" s="15" t="s">
        <v>459</v>
      </c>
      <c r="D77" s="15" t="s">
        <v>460</v>
      </c>
      <c r="E77" s="15" t="s">
        <v>235</v>
      </c>
      <c r="F77" s="15" t="s">
        <v>436</v>
      </c>
      <c r="G77" s="15" t="s">
        <v>461</v>
      </c>
      <c r="H77" s="15" t="s">
        <v>462</v>
      </c>
      <c r="I77" s="15" t="s">
        <v>463</v>
      </c>
      <c r="J77" s="20" t="s">
        <v>464</v>
      </c>
    </row>
    <row r="78" customFormat="false" ht="15" hidden="false" customHeight="false" outlineLevel="0" collapsed="false">
      <c r="A78" s="14" t="s">
        <v>465</v>
      </c>
      <c r="B78" s="15" t="s">
        <v>466</v>
      </c>
      <c r="C78" s="15" t="s">
        <v>459</v>
      </c>
      <c r="D78" s="15" t="s">
        <v>467</v>
      </c>
      <c r="E78" s="15" t="s">
        <v>235</v>
      </c>
      <c r="F78" s="15" t="s">
        <v>436</v>
      </c>
      <c r="G78" s="15" t="s">
        <v>461</v>
      </c>
      <c r="H78" s="15" t="s">
        <v>462</v>
      </c>
      <c r="I78" s="15" t="s">
        <v>455</v>
      </c>
      <c r="J78" s="20" t="s">
        <v>464</v>
      </c>
    </row>
    <row r="79" customFormat="false" ht="23.85" hidden="false" customHeight="false" outlineLevel="0" collapsed="false">
      <c r="A79" s="14" t="s">
        <v>468</v>
      </c>
      <c r="B79" s="15" t="s">
        <v>469</v>
      </c>
      <c r="C79" s="15" t="s">
        <v>470</v>
      </c>
      <c r="D79" s="15" t="s">
        <v>471</v>
      </c>
      <c r="E79" s="15" t="s">
        <v>472</v>
      </c>
      <c r="F79" s="15" t="s">
        <v>436</v>
      </c>
      <c r="G79" s="15" t="s">
        <v>473</v>
      </c>
      <c r="H79" s="15" t="s">
        <v>474</v>
      </c>
      <c r="I79" s="15" t="s">
        <v>475</v>
      </c>
      <c r="J79" s="20" t="s">
        <v>476</v>
      </c>
    </row>
    <row r="81" customFormat="false" ht="15" hidden="false" customHeight="false" outlineLevel="0" collapsed="false">
      <c r="A81" s="3" t="s">
        <v>477</v>
      </c>
    </row>
    <row r="82" customFormat="false" ht="42" hidden="false" customHeight="true" outlineLevel="0" collapsed="false">
      <c r="A82" s="21" t="s">
        <v>478</v>
      </c>
      <c r="B82" s="4" t="s">
        <v>479</v>
      </c>
      <c r="C82" s="4"/>
      <c r="D82" s="4"/>
      <c r="E82" s="4"/>
      <c r="F82" s="4"/>
      <c r="G82" s="4"/>
      <c r="H82" s="4"/>
      <c r="I82" s="4"/>
      <c r="J82" s="4"/>
    </row>
    <row r="83" customFormat="false" ht="42" hidden="false" customHeight="true" outlineLevel="0" collapsed="false">
      <c r="A83" s="21" t="s">
        <v>480</v>
      </c>
      <c r="B83" s="4" t="s">
        <v>481</v>
      </c>
      <c r="C83" s="4"/>
      <c r="D83" s="4"/>
      <c r="E83" s="4"/>
      <c r="F83" s="4"/>
      <c r="G83" s="4"/>
      <c r="H83" s="4"/>
      <c r="I83" s="4"/>
      <c r="J83" s="4"/>
    </row>
    <row r="84" customFormat="false" ht="42" hidden="false" customHeight="true" outlineLevel="0" collapsed="false">
      <c r="A84" s="21" t="s">
        <v>482</v>
      </c>
      <c r="B84" s="4" t="s">
        <v>483</v>
      </c>
      <c r="C84" s="4"/>
      <c r="D84" s="4"/>
      <c r="E84" s="4"/>
      <c r="F84" s="4"/>
      <c r="G84" s="4"/>
      <c r="H84" s="4"/>
      <c r="I84" s="4"/>
      <c r="J84" s="4"/>
    </row>
  </sheetData>
  <mergeCells count="5">
    <mergeCell ref="A2:F2"/>
    <mergeCell ref="A64:J64"/>
    <mergeCell ref="B82:J82"/>
    <mergeCell ref="B83:J83"/>
    <mergeCell ref="B84:J84"/>
  </mergeCells>
  <hyperlinks>
    <hyperlink ref="J66" r:id="rId1" display="https://kdp.amazon.com/en_US/help/topic/G200641050"/>
    <hyperlink ref="J67" r:id="rId2" display="https://www.ingramspark.com/"/>
    <hyperlink ref="J68" r:id="rId3" display="https://www.etsy.com/legal/fees/"/>
    <hyperlink ref="J69" r:id="rId4" display="https://www.teacherspayteachers.com/"/>
    <hyperlink ref="J70" r:id="rId5" display="https://seller-us.tiktok.com/"/>
    <hyperlink ref="J71" r:id="rId6" display="https://www.shopify.com/pricing"/>
    <hyperlink ref="J72" r:id="rId7" display="https://stripe.com/pricing"/>
    <hyperlink ref="J73" r:id="rId8" display="https://www.paypal.com/us/business/paypal-business-fees"/>
    <hyperlink ref="J74" r:id="rId9" display="https://www.facebook.com/business/help"/>
    <hyperlink ref="J75" r:id="rId10" display="https://www.faire.com/"/>
    <hyperlink ref="J76" r:id="rId11" display="https://taxation-customs.ec.europa.eu/taxation/vat/vat-e-commerce_en"/>
    <hyperlink ref="J77" r:id="rId12" display="https://www.landmarkcpas.com/obbba-increases-1099-filing-threshold/"/>
    <hyperlink ref="J78" r:id="rId13" display="https://www.landmarkcpas.com/obbba-increases-1099-filing-threshold/"/>
    <hyperlink ref="J79" r:id="rId14" display="https://www.marylandtaxes.gov/business/sales-use/index.php"/>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940"/>
    <pageSetUpPr fitToPage="true"/>
  </sheetPr>
  <dimension ref="A1:R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22"/>
    <col collapsed="false" customWidth="true" hidden="false" outlineLevel="0" max="4" min="4" style="0" width="40"/>
    <col collapsed="false" customWidth="true" hidden="false" outlineLevel="0" max="5" min="5" style="0" width="13"/>
    <col collapsed="false" customWidth="true" hidden="false" outlineLevel="0" max="6" min="6" style="0" width="6"/>
    <col collapsed="false" customWidth="true" hidden="false" outlineLevel="0" max="10" min="7" style="0" width="11"/>
    <col collapsed="false" customWidth="true" hidden="false" outlineLevel="0" max="11" min="11" style="0" width="13"/>
    <col collapsed="false" customWidth="true" hidden="false" outlineLevel="0" max="12" min="12" style="0" width="12"/>
    <col collapsed="false" customWidth="true" hidden="false" outlineLevel="0" max="13" min="13" style="0" width="11"/>
    <col collapsed="false" customWidth="true" hidden="false" outlineLevel="0" max="14" min="14" style="0" width="10"/>
    <col collapsed="false" customWidth="true" hidden="false" outlineLevel="0" max="15" min="15" style="0" width="34"/>
    <col collapsed="false" customWidth="true" hidden="false" outlineLevel="0" max="16" min="16" style="0" width="22"/>
    <col collapsed="false" customWidth="true" hidden="false" outlineLevel="0" max="17" min="17" style="0" width="44"/>
    <col collapsed="false" customWidth="true" hidden="false" outlineLevel="0" max="18" min="18" style="0" width="10"/>
  </cols>
  <sheetData>
    <row r="1" customFormat="false" ht="24" hidden="false" customHeight="true" outlineLevel="0" collapsed="false">
      <c r="A1" s="1" t="s">
        <v>34</v>
      </c>
    </row>
    <row r="2" customFormat="false" ht="42" hidden="false" customHeight="true" outlineLevel="0" collapsed="false">
      <c r="A2" s="11" t="s">
        <v>484</v>
      </c>
      <c r="B2" s="11"/>
      <c r="C2" s="11"/>
      <c r="D2" s="11"/>
      <c r="E2" s="11"/>
      <c r="F2" s="11"/>
      <c r="G2" s="11"/>
      <c r="H2" s="11"/>
      <c r="I2" s="11"/>
      <c r="J2" s="11"/>
      <c r="K2" s="11"/>
      <c r="L2" s="11"/>
    </row>
    <row r="4" customFormat="false" ht="43.5" hidden="false" customHeight="true" outlineLevel="0" collapsed="false">
      <c r="A4" s="12" t="s">
        <v>485</v>
      </c>
      <c r="B4" s="12" t="s">
        <v>349</v>
      </c>
      <c r="C4" s="12" t="s">
        <v>486</v>
      </c>
      <c r="D4" s="12" t="s">
        <v>487</v>
      </c>
      <c r="E4" s="12" t="s">
        <v>488</v>
      </c>
      <c r="F4" s="12" t="s">
        <v>489</v>
      </c>
      <c r="G4" s="12" t="s">
        <v>490</v>
      </c>
      <c r="H4" s="12" t="s">
        <v>491</v>
      </c>
      <c r="I4" s="12" t="s">
        <v>492</v>
      </c>
      <c r="J4" s="12" t="s">
        <v>493</v>
      </c>
      <c r="K4" s="12" t="s">
        <v>494</v>
      </c>
      <c r="L4" s="12" t="s">
        <v>495</v>
      </c>
      <c r="M4" s="12" t="s">
        <v>496</v>
      </c>
      <c r="N4" s="12" t="s">
        <v>497</v>
      </c>
      <c r="O4" s="12" t="s">
        <v>498</v>
      </c>
      <c r="P4" s="12" t="s">
        <v>499</v>
      </c>
      <c r="Q4" s="12" t="s">
        <v>500</v>
      </c>
      <c r="R4" s="12" t="s">
        <v>501</v>
      </c>
    </row>
    <row r="5" customFormat="false" ht="15" hidden="false" customHeight="false" outlineLevel="0" collapsed="false">
      <c r="A5" s="22" t="n">
        <v>46298</v>
      </c>
      <c r="B5" s="7" t="s">
        <v>377</v>
      </c>
      <c r="C5" s="7" t="s">
        <v>502</v>
      </c>
      <c r="D5" s="7" t="s">
        <v>503</v>
      </c>
      <c r="E5" s="7" t="s">
        <v>504</v>
      </c>
      <c r="F5" s="7" t="n">
        <v>18</v>
      </c>
      <c r="G5" s="23" t="n">
        <v>142</v>
      </c>
      <c r="H5" s="23" t="n">
        <v>21.5</v>
      </c>
      <c r="I5" s="23" t="n">
        <v>12</v>
      </c>
      <c r="J5" s="23" t="n">
        <v>9.8</v>
      </c>
      <c r="K5" s="7" t="s">
        <v>505</v>
      </c>
      <c r="L5" s="24" t="n">
        <f aca="false">IF(G5="","",G5-H5+I5+IF(K5="N",J5,0))</f>
        <v>132.5</v>
      </c>
      <c r="M5" s="7" t="s">
        <v>506</v>
      </c>
      <c r="N5" s="7"/>
      <c r="O5" s="7" t="s">
        <v>84</v>
      </c>
      <c r="P5" s="7" t="s">
        <v>507</v>
      </c>
      <c r="Q5" s="7" t="s">
        <v>508</v>
      </c>
      <c r="R5" s="7" t="s">
        <v>509</v>
      </c>
    </row>
    <row r="6" customFormat="false" ht="15" hidden="false" customHeight="false" outlineLevel="0" collapsed="false">
      <c r="A6" s="22" t="n">
        <v>46303</v>
      </c>
      <c r="B6" s="7" t="s">
        <v>405</v>
      </c>
      <c r="C6" s="7" t="s">
        <v>510</v>
      </c>
      <c r="D6" s="7" t="s">
        <v>511</v>
      </c>
      <c r="E6" s="7" t="s">
        <v>512</v>
      </c>
      <c r="F6" s="7" t="n">
        <v>1</v>
      </c>
      <c r="G6" s="23" t="n">
        <v>24</v>
      </c>
      <c r="H6" s="23" t="n">
        <v>1</v>
      </c>
      <c r="I6" s="23" t="n">
        <v>5</v>
      </c>
      <c r="J6" s="23" t="n">
        <v>1.44</v>
      </c>
      <c r="K6" s="7" t="s">
        <v>513</v>
      </c>
      <c r="L6" s="24" t="n">
        <f aca="false">IF(G6="","",G6-H6+I6+IF(K6="N",J6,0))</f>
        <v>29.44</v>
      </c>
      <c r="M6" s="7" t="s">
        <v>514</v>
      </c>
      <c r="N6" s="7" t="s">
        <v>505</v>
      </c>
      <c r="O6" s="7" t="s">
        <v>104</v>
      </c>
      <c r="P6" s="7" t="s">
        <v>515</v>
      </c>
      <c r="Q6" s="7" t="s">
        <v>516</v>
      </c>
      <c r="R6" s="7" t="s">
        <v>509</v>
      </c>
    </row>
    <row r="7" customFormat="false" ht="15" hidden="false" customHeight="false" outlineLevel="0" collapsed="false">
      <c r="A7" s="22" t="n">
        <v>46310</v>
      </c>
      <c r="B7" s="7" t="s">
        <v>414</v>
      </c>
      <c r="C7" s="7" t="s">
        <v>517</v>
      </c>
      <c r="D7" s="7" t="s">
        <v>518</v>
      </c>
      <c r="E7" s="7" t="s">
        <v>519</v>
      </c>
      <c r="F7" s="7" t="n">
        <v>1</v>
      </c>
      <c r="G7" s="23" t="n">
        <v>95</v>
      </c>
      <c r="H7" s="23" t="n">
        <v>3.06</v>
      </c>
      <c r="I7" s="23" t="n">
        <v>0</v>
      </c>
      <c r="J7" s="23" t="n">
        <v>0</v>
      </c>
      <c r="K7" s="7" t="s">
        <v>513</v>
      </c>
      <c r="L7" s="24" t="n">
        <f aca="false">IF(G7="","",G7-H7+I7+IF(K7="N",J7,0))</f>
        <v>91.94</v>
      </c>
      <c r="M7" s="7" t="s">
        <v>514</v>
      </c>
      <c r="N7" s="7" t="s">
        <v>513</v>
      </c>
      <c r="O7" s="7" t="s">
        <v>122</v>
      </c>
      <c r="P7" s="7" t="s">
        <v>520</v>
      </c>
      <c r="Q7" s="7" t="s">
        <v>521</v>
      </c>
      <c r="R7" s="7" t="s">
        <v>509</v>
      </c>
    </row>
    <row r="8" customFormat="false" ht="15" hidden="false" customHeight="false" outlineLevel="0" collapsed="false">
      <c r="A8" s="22" t="n">
        <v>46326</v>
      </c>
      <c r="B8" s="7" t="s">
        <v>359</v>
      </c>
      <c r="C8" s="7" t="s">
        <v>522</v>
      </c>
      <c r="D8" s="7" t="s">
        <v>523</v>
      </c>
      <c r="E8" s="7" t="s">
        <v>524</v>
      </c>
      <c r="F8" s="7" t="n">
        <v>12</v>
      </c>
      <c r="G8" s="23" t="n">
        <v>38.4</v>
      </c>
      <c r="H8" s="23" t="n">
        <v>0</v>
      </c>
      <c r="I8" s="23" t="n">
        <v>0</v>
      </c>
      <c r="J8" s="23" t="n">
        <v>0</v>
      </c>
      <c r="K8" s="7" t="s">
        <v>505</v>
      </c>
      <c r="L8" s="24" t="n">
        <f aca="false">IF(G8="","",G8-H8+I8+IF(K8="N",J8,0))</f>
        <v>38.4</v>
      </c>
      <c r="M8" s="7" t="s">
        <v>506</v>
      </c>
      <c r="N8" s="7"/>
      <c r="O8" s="7" t="s">
        <v>71</v>
      </c>
      <c r="P8" s="7" t="s">
        <v>525</v>
      </c>
      <c r="Q8" s="7" t="s">
        <v>526</v>
      </c>
      <c r="R8" s="7" t="s">
        <v>509</v>
      </c>
    </row>
    <row r="9" customFormat="false" ht="15" hidden="false" customHeight="false" outlineLevel="0" collapsed="false">
      <c r="A9" s="25"/>
      <c r="B9" s="16"/>
      <c r="C9" s="16"/>
      <c r="D9" s="16"/>
      <c r="E9" s="16"/>
      <c r="F9" s="16"/>
      <c r="G9" s="26"/>
      <c r="H9" s="26"/>
      <c r="I9" s="26"/>
      <c r="J9" s="26"/>
      <c r="K9" s="16"/>
      <c r="L9" s="27" t="str">
        <f aca="false">IF(G9="","",G9-H9+I9+IF(K9="N",J9,0))</f>
        <v/>
      </c>
      <c r="M9" s="16"/>
      <c r="N9" s="16"/>
      <c r="O9" s="16"/>
      <c r="P9" s="16"/>
      <c r="Q9" s="16"/>
      <c r="R9" s="16"/>
    </row>
    <row r="10" customFormat="false" ht="15" hidden="false" customHeight="false" outlineLevel="0" collapsed="false">
      <c r="A10" s="25"/>
      <c r="B10" s="16"/>
      <c r="C10" s="16"/>
      <c r="D10" s="16"/>
      <c r="E10" s="16"/>
      <c r="F10" s="16"/>
      <c r="G10" s="26"/>
      <c r="H10" s="26"/>
      <c r="I10" s="26"/>
      <c r="J10" s="26"/>
      <c r="K10" s="16"/>
      <c r="L10" s="27" t="str">
        <f aca="false">IF(G10="","",G10-H10+I10+IF(K10="N",J10,0))</f>
        <v/>
      </c>
      <c r="M10" s="16"/>
      <c r="N10" s="16"/>
      <c r="O10" s="16"/>
      <c r="P10" s="16"/>
      <c r="Q10" s="16"/>
      <c r="R10" s="16"/>
    </row>
    <row r="11" customFormat="false" ht="15" hidden="false" customHeight="false" outlineLevel="0" collapsed="false">
      <c r="A11" s="25"/>
      <c r="B11" s="16"/>
      <c r="C11" s="16"/>
      <c r="D11" s="16"/>
      <c r="E11" s="16"/>
      <c r="F11" s="16"/>
      <c r="G11" s="26"/>
      <c r="H11" s="26"/>
      <c r="I11" s="26"/>
      <c r="J11" s="26"/>
      <c r="K11" s="16"/>
      <c r="L11" s="27" t="str">
        <f aca="false">IF(G11="","",G11-H11+I11+IF(K11="N",J11,0))</f>
        <v/>
      </c>
      <c r="M11" s="16"/>
      <c r="N11" s="16"/>
      <c r="O11" s="16"/>
      <c r="P11" s="16"/>
      <c r="Q11" s="16"/>
      <c r="R11" s="16"/>
    </row>
    <row r="12" customFormat="false" ht="15" hidden="false" customHeight="false" outlineLevel="0" collapsed="false">
      <c r="A12" s="25"/>
      <c r="B12" s="16"/>
      <c r="C12" s="16"/>
      <c r="D12" s="16"/>
      <c r="E12" s="16"/>
      <c r="F12" s="16"/>
      <c r="G12" s="26"/>
      <c r="H12" s="26"/>
      <c r="I12" s="26"/>
      <c r="J12" s="26"/>
      <c r="K12" s="16"/>
      <c r="L12" s="27" t="str">
        <f aca="false">IF(G12="","",G12-H12+I12+IF(K12="N",J12,0))</f>
        <v/>
      </c>
      <c r="M12" s="16"/>
      <c r="N12" s="16"/>
      <c r="O12" s="16"/>
      <c r="P12" s="16"/>
      <c r="Q12" s="16"/>
      <c r="R12" s="16"/>
    </row>
    <row r="13" customFormat="false" ht="15" hidden="false" customHeight="false" outlineLevel="0" collapsed="false">
      <c r="A13" s="25"/>
      <c r="B13" s="16"/>
      <c r="C13" s="16"/>
      <c r="D13" s="16"/>
      <c r="E13" s="16"/>
      <c r="F13" s="16"/>
      <c r="G13" s="26"/>
      <c r="H13" s="26"/>
      <c r="I13" s="26"/>
      <c r="J13" s="26"/>
      <c r="K13" s="16"/>
      <c r="L13" s="27" t="str">
        <f aca="false">IF(G13="","",G13-H13+I13+IF(K13="N",J13,0))</f>
        <v/>
      </c>
      <c r="M13" s="16"/>
      <c r="N13" s="16"/>
      <c r="O13" s="16"/>
      <c r="P13" s="16"/>
      <c r="Q13" s="16"/>
      <c r="R13" s="16"/>
    </row>
    <row r="14" customFormat="false" ht="15" hidden="false" customHeight="false" outlineLevel="0" collapsed="false">
      <c r="A14" s="25"/>
      <c r="B14" s="16"/>
      <c r="C14" s="16"/>
      <c r="D14" s="16"/>
      <c r="E14" s="16"/>
      <c r="F14" s="16"/>
      <c r="G14" s="26"/>
      <c r="H14" s="26"/>
      <c r="I14" s="26"/>
      <c r="J14" s="26"/>
      <c r="K14" s="16"/>
      <c r="L14" s="27" t="str">
        <f aca="false">IF(G14="","",G14-H14+I14+IF(K14="N",J14,0))</f>
        <v/>
      </c>
      <c r="M14" s="16"/>
      <c r="N14" s="16"/>
      <c r="O14" s="16"/>
      <c r="P14" s="16"/>
      <c r="Q14" s="16"/>
      <c r="R14" s="16"/>
    </row>
    <row r="15" customFormat="false" ht="15" hidden="false" customHeight="false" outlineLevel="0" collapsed="false">
      <c r="A15" s="25"/>
      <c r="B15" s="16"/>
      <c r="C15" s="16"/>
      <c r="D15" s="16"/>
      <c r="E15" s="16"/>
      <c r="F15" s="16"/>
      <c r="G15" s="26"/>
      <c r="H15" s="26"/>
      <c r="I15" s="26"/>
      <c r="J15" s="26"/>
      <c r="K15" s="16"/>
      <c r="L15" s="27" t="str">
        <f aca="false">IF(G15="","",G15-H15+I15+IF(K15="N",J15,0))</f>
        <v/>
      </c>
      <c r="M15" s="16"/>
      <c r="N15" s="16"/>
      <c r="O15" s="16"/>
      <c r="P15" s="16"/>
      <c r="Q15" s="16"/>
      <c r="R15" s="16"/>
    </row>
    <row r="16" customFormat="false" ht="15" hidden="false" customHeight="false" outlineLevel="0" collapsed="false">
      <c r="A16" s="25"/>
      <c r="B16" s="16"/>
      <c r="C16" s="16"/>
      <c r="D16" s="16"/>
      <c r="E16" s="16"/>
      <c r="F16" s="16"/>
      <c r="G16" s="26"/>
      <c r="H16" s="26"/>
      <c r="I16" s="26"/>
      <c r="J16" s="26"/>
      <c r="K16" s="16"/>
      <c r="L16" s="27" t="str">
        <f aca="false">IF(G16="","",G16-H16+I16+IF(K16="N",J16,0))</f>
        <v/>
      </c>
      <c r="M16" s="16"/>
      <c r="N16" s="16"/>
      <c r="O16" s="16"/>
      <c r="P16" s="16"/>
      <c r="Q16" s="16"/>
      <c r="R16" s="16"/>
    </row>
    <row r="17" customFormat="false" ht="15" hidden="false" customHeight="false" outlineLevel="0" collapsed="false">
      <c r="A17" s="25"/>
      <c r="B17" s="16"/>
      <c r="C17" s="16"/>
      <c r="D17" s="16"/>
      <c r="E17" s="16"/>
      <c r="F17" s="16"/>
      <c r="G17" s="26"/>
      <c r="H17" s="26"/>
      <c r="I17" s="26"/>
      <c r="J17" s="26"/>
      <c r="K17" s="16"/>
      <c r="L17" s="27" t="str">
        <f aca="false">IF(G17="","",G17-H17+I17+IF(K17="N",J17,0))</f>
        <v/>
      </c>
      <c r="M17" s="16"/>
      <c r="N17" s="16"/>
      <c r="O17" s="16"/>
      <c r="P17" s="16"/>
      <c r="Q17" s="16"/>
      <c r="R17" s="16"/>
    </row>
    <row r="18" customFormat="false" ht="15" hidden="false" customHeight="false" outlineLevel="0" collapsed="false">
      <c r="A18" s="25"/>
      <c r="B18" s="16"/>
      <c r="C18" s="16"/>
      <c r="D18" s="16"/>
      <c r="E18" s="16"/>
      <c r="F18" s="16"/>
      <c r="G18" s="26"/>
      <c r="H18" s="26"/>
      <c r="I18" s="26"/>
      <c r="J18" s="26"/>
      <c r="K18" s="16"/>
      <c r="L18" s="27" t="str">
        <f aca="false">IF(G18="","",G18-H18+I18+IF(K18="N",J18,0))</f>
        <v/>
      </c>
      <c r="M18" s="16"/>
      <c r="N18" s="16"/>
      <c r="O18" s="16"/>
      <c r="P18" s="16"/>
      <c r="Q18" s="16"/>
      <c r="R18" s="16"/>
    </row>
    <row r="19" customFormat="false" ht="15" hidden="false" customHeight="false" outlineLevel="0" collapsed="false">
      <c r="A19" s="25"/>
      <c r="B19" s="16"/>
      <c r="C19" s="16"/>
      <c r="D19" s="16"/>
      <c r="E19" s="16"/>
      <c r="F19" s="16"/>
      <c r="G19" s="26"/>
      <c r="H19" s="26"/>
      <c r="I19" s="26"/>
      <c r="J19" s="26"/>
      <c r="K19" s="16"/>
      <c r="L19" s="27" t="str">
        <f aca="false">IF(G19="","",G19-H19+I19+IF(K19="N",J19,0))</f>
        <v/>
      </c>
      <c r="M19" s="16"/>
      <c r="N19" s="16"/>
      <c r="O19" s="16"/>
      <c r="P19" s="16"/>
      <c r="Q19" s="16"/>
      <c r="R19" s="16"/>
    </row>
    <row r="20" customFormat="false" ht="15" hidden="false" customHeight="false" outlineLevel="0" collapsed="false">
      <c r="A20" s="25"/>
      <c r="B20" s="16"/>
      <c r="C20" s="16"/>
      <c r="D20" s="16"/>
      <c r="E20" s="16"/>
      <c r="F20" s="16"/>
      <c r="G20" s="26"/>
      <c r="H20" s="26"/>
      <c r="I20" s="26"/>
      <c r="J20" s="26"/>
      <c r="K20" s="16"/>
      <c r="L20" s="27" t="str">
        <f aca="false">IF(G20="","",G20-H20+I20+IF(K20="N",J20,0))</f>
        <v/>
      </c>
      <c r="M20" s="16"/>
      <c r="N20" s="16"/>
      <c r="O20" s="16"/>
      <c r="P20" s="16"/>
      <c r="Q20" s="16"/>
      <c r="R20" s="16"/>
    </row>
    <row r="21" customFormat="false" ht="15" hidden="false" customHeight="false" outlineLevel="0" collapsed="false">
      <c r="A21" s="25"/>
      <c r="B21" s="16"/>
      <c r="C21" s="16"/>
      <c r="D21" s="16"/>
      <c r="E21" s="16"/>
      <c r="F21" s="16"/>
      <c r="G21" s="26"/>
      <c r="H21" s="26"/>
      <c r="I21" s="26"/>
      <c r="J21" s="26"/>
      <c r="K21" s="16"/>
      <c r="L21" s="27" t="str">
        <f aca="false">IF(G21="","",G21-H21+I21+IF(K21="N",J21,0))</f>
        <v/>
      </c>
      <c r="M21" s="16"/>
      <c r="N21" s="16"/>
      <c r="O21" s="16"/>
      <c r="P21" s="16"/>
      <c r="Q21" s="16"/>
      <c r="R21" s="16"/>
    </row>
    <row r="22" customFormat="false" ht="15" hidden="false" customHeight="false" outlineLevel="0" collapsed="false">
      <c r="A22" s="25"/>
      <c r="B22" s="16"/>
      <c r="C22" s="16"/>
      <c r="D22" s="16"/>
      <c r="E22" s="16"/>
      <c r="F22" s="16"/>
      <c r="G22" s="26"/>
      <c r="H22" s="26"/>
      <c r="I22" s="26"/>
      <c r="J22" s="26"/>
      <c r="K22" s="16"/>
      <c r="L22" s="27" t="str">
        <f aca="false">IF(G22="","",G22-H22+I22+IF(K22="N",J22,0))</f>
        <v/>
      </c>
      <c r="M22" s="16"/>
      <c r="N22" s="16"/>
      <c r="O22" s="16"/>
      <c r="P22" s="16"/>
      <c r="Q22" s="16"/>
      <c r="R22" s="16"/>
    </row>
    <row r="23" customFormat="false" ht="15" hidden="false" customHeight="false" outlineLevel="0" collapsed="false">
      <c r="A23" s="25"/>
      <c r="B23" s="16"/>
      <c r="C23" s="16"/>
      <c r="D23" s="16"/>
      <c r="E23" s="16"/>
      <c r="F23" s="16"/>
      <c r="G23" s="26"/>
      <c r="H23" s="26"/>
      <c r="I23" s="26"/>
      <c r="J23" s="26"/>
      <c r="K23" s="16"/>
      <c r="L23" s="27" t="str">
        <f aca="false">IF(G23="","",G23-H23+I23+IF(K23="N",J23,0))</f>
        <v/>
      </c>
      <c r="M23" s="16"/>
      <c r="N23" s="16"/>
      <c r="O23" s="16"/>
      <c r="P23" s="16"/>
      <c r="Q23" s="16"/>
      <c r="R23" s="16"/>
    </row>
    <row r="24" customFormat="false" ht="15" hidden="false" customHeight="false" outlineLevel="0" collapsed="false">
      <c r="A24" s="25"/>
      <c r="B24" s="16"/>
      <c r="C24" s="16"/>
      <c r="D24" s="16"/>
      <c r="E24" s="16"/>
      <c r="F24" s="16"/>
      <c r="G24" s="26"/>
      <c r="H24" s="26"/>
      <c r="I24" s="26"/>
      <c r="J24" s="26"/>
      <c r="K24" s="16"/>
      <c r="L24" s="27" t="str">
        <f aca="false">IF(G24="","",G24-H24+I24+IF(K24="N",J24,0))</f>
        <v/>
      </c>
      <c r="M24" s="16"/>
      <c r="N24" s="16"/>
      <c r="O24" s="16"/>
      <c r="P24" s="16"/>
      <c r="Q24" s="16"/>
      <c r="R24" s="16"/>
    </row>
    <row r="25" customFormat="false" ht="15" hidden="false" customHeight="false" outlineLevel="0" collapsed="false">
      <c r="A25" s="25"/>
      <c r="B25" s="16"/>
      <c r="C25" s="16"/>
      <c r="D25" s="16"/>
      <c r="E25" s="16"/>
      <c r="F25" s="16"/>
      <c r="G25" s="26"/>
      <c r="H25" s="26"/>
      <c r="I25" s="26"/>
      <c r="J25" s="26"/>
      <c r="K25" s="16"/>
      <c r="L25" s="27" t="str">
        <f aca="false">IF(G25="","",G25-H25+I25+IF(K25="N",J25,0))</f>
        <v/>
      </c>
      <c r="M25" s="16"/>
      <c r="N25" s="16"/>
      <c r="O25" s="16"/>
      <c r="P25" s="16"/>
      <c r="Q25" s="16"/>
      <c r="R25" s="16"/>
    </row>
    <row r="26" customFormat="false" ht="15" hidden="false" customHeight="false" outlineLevel="0" collapsed="false">
      <c r="A26" s="25"/>
      <c r="B26" s="16"/>
      <c r="C26" s="16"/>
      <c r="D26" s="16"/>
      <c r="E26" s="16"/>
      <c r="F26" s="16"/>
      <c r="G26" s="26"/>
      <c r="H26" s="26"/>
      <c r="I26" s="26"/>
      <c r="J26" s="26"/>
      <c r="K26" s="16"/>
      <c r="L26" s="27" t="str">
        <f aca="false">IF(G26="","",G26-H26+I26+IF(K26="N",J26,0))</f>
        <v/>
      </c>
      <c r="M26" s="16"/>
      <c r="N26" s="16"/>
      <c r="O26" s="16"/>
      <c r="P26" s="16"/>
      <c r="Q26" s="16"/>
      <c r="R26" s="16"/>
    </row>
    <row r="27" customFormat="false" ht="15" hidden="false" customHeight="false" outlineLevel="0" collapsed="false">
      <c r="A27" s="25"/>
      <c r="B27" s="16"/>
      <c r="C27" s="16"/>
      <c r="D27" s="16"/>
      <c r="E27" s="16"/>
      <c r="F27" s="16"/>
      <c r="G27" s="26"/>
      <c r="H27" s="26"/>
      <c r="I27" s="26"/>
      <c r="J27" s="26"/>
      <c r="K27" s="16"/>
      <c r="L27" s="27" t="str">
        <f aca="false">IF(G27="","",G27-H27+I27+IF(K27="N",J27,0))</f>
        <v/>
      </c>
      <c r="M27" s="16"/>
      <c r="N27" s="16"/>
      <c r="O27" s="16"/>
      <c r="P27" s="16"/>
      <c r="Q27" s="16"/>
      <c r="R27" s="16"/>
    </row>
    <row r="28" customFormat="false" ht="15" hidden="false" customHeight="false" outlineLevel="0" collapsed="false">
      <c r="A28" s="25"/>
      <c r="B28" s="16"/>
      <c r="C28" s="16"/>
      <c r="D28" s="16"/>
      <c r="E28" s="16"/>
      <c r="F28" s="16"/>
      <c r="G28" s="26"/>
      <c r="H28" s="26"/>
      <c r="I28" s="26"/>
      <c r="J28" s="26"/>
      <c r="K28" s="16"/>
      <c r="L28" s="27" t="str">
        <f aca="false">IF(G28="","",G28-H28+I28+IF(K28="N",J28,0))</f>
        <v/>
      </c>
      <c r="M28" s="16"/>
      <c r="N28" s="16"/>
      <c r="O28" s="16"/>
      <c r="P28" s="16"/>
      <c r="Q28" s="16"/>
      <c r="R28" s="16"/>
    </row>
    <row r="29" customFormat="false" ht="15" hidden="false" customHeight="false" outlineLevel="0" collapsed="false">
      <c r="A29" s="25"/>
      <c r="B29" s="16"/>
      <c r="C29" s="16"/>
      <c r="D29" s="16"/>
      <c r="E29" s="16"/>
      <c r="F29" s="16"/>
      <c r="G29" s="26"/>
      <c r="H29" s="26"/>
      <c r="I29" s="26"/>
      <c r="J29" s="26"/>
      <c r="K29" s="16"/>
      <c r="L29" s="27" t="str">
        <f aca="false">IF(G29="","",G29-H29+I29+IF(K29="N",J29,0))</f>
        <v/>
      </c>
      <c r="M29" s="16"/>
      <c r="N29" s="16"/>
      <c r="O29" s="16"/>
      <c r="P29" s="16"/>
      <c r="Q29" s="16"/>
      <c r="R29" s="16"/>
    </row>
    <row r="30" customFormat="false" ht="15" hidden="false" customHeight="false" outlineLevel="0" collapsed="false">
      <c r="A30" s="25"/>
      <c r="B30" s="16"/>
      <c r="C30" s="16"/>
      <c r="D30" s="16"/>
      <c r="E30" s="16"/>
      <c r="F30" s="16"/>
      <c r="G30" s="26"/>
      <c r="H30" s="26"/>
      <c r="I30" s="26"/>
      <c r="J30" s="26"/>
      <c r="K30" s="16"/>
      <c r="L30" s="27" t="str">
        <f aca="false">IF(G30="","",G30-H30+I30+IF(K30="N",J30,0))</f>
        <v/>
      </c>
      <c r="M30" s="16"/>
      <c r="N30" s="16"/>
      <c r="O30" s="16"/>
      <c r="P30" s="16"/>
      <c r="Q30" s="16"/>
      <c r="R30" s="16"/>
    </row>
    <row r="31" customFormat="false" ht="15" hidden="false" customHeight="false" outlineLevel="0" collapsed="false">
      <c r="A31" s="25"/>
      <c r="B31" s="16"/>
      <c r="C31" s="16"/>
      <c r="D31" s="16"/>
      <c r="E31" s="16"/>
      <c r="F31" s="16"/>
      <c r="G31" s="26"/>
      <c r="H31" s="26"/>
      <c r="I31" s="26"/>
      <c r="J31" s="26"/>
      <c r="K31" s="16"/>
      <c r="L31" s="27" t="str">
        <f aca="false">IF(G31="","",G31-H31+I31+IF(K31="N",J31,0))</f>
        <v/>
      </c>
      <c r="M31" s="16"/>
      <c r="N31" s="16"/>
      <c r="O31" s="16"/>
      <c r="P31" s="16"/>
      <c r="Q31" s="16"/>
      <c r="R31" s="16"/>
    </row>
    <row r="32" customFormat="false" ht="15" hidden="false" customHeight="false" outlineLevel="0" collapsed="false">
      <c r="A32" s="25"/>
      <c r="B32" s="16"/>
      <c r="C32" s="16"/>
      <c r="D32" s="16"/>
      <c r="E32" s="16"/>
      <c r="F32" s="16"/>
      <c r="G32" s="26"/>
      <c r="H32" s="26"/>
      <c r="I32" s="26"/>
      <c r="J32" s="26"/>
      <c r="K32" s="16"/>
      <c r="L32" s="27" t="str">
        <f aca="false">IF(G32="","",G32-H32+I32+IF(K32="N",J32,0))</f>
        <v/>
      </c>
      <c r="M32" s="16"/>
      <c r="N32" s="16"/>
      <c r="O32" s="16"/>
      <c r="P32" s="16"/>
      <c r="Q32" s="16"/>
      <c r="R32" s="16"/>
    </row>
    <row r="33" customFormat="false" ht="15" hidden="false" customHeight="false" outlineLevel="0" collapsed="false">
      <c r="A33" s="25"/>
      <c r="B33" s="16"/>
      <c r="C33" s="16"/>
      <c r="D33" s="16"/>
      <c r="E33" s="16"/>
      <c r="F33" s="16"/>
      <c r="G33" s="26"/>
      <c r="H33" s="26"/>
      <c r="I33" s="26"/>
      <c r="J33" s="26"/>
      <c r="K33" s="16"/>
      <c r="L33" s="27" t="str">
        <f aca="false">IF(G33="","",G33-H33+I33+IF(K33="N",J33,0))</f>
        <v/>
      </c>
      <c r="M33" s="16"/>
      <c r="N33" s="16"/>
      <c r="O33" s="16"/>
      <c r="P33" s="16"/>
      <c r="Q33" s="16"/>
      <c r="R33" s="16"/>
    </row>
    <row r="34" customFormat="false" ht="15" hidden="false" customHeight="false" outlineLevel="0" collapsed="false">
      <c r="A34" s="25"/>
      <c r="B34" s="16"/>
      <c r="C34" s="16"/>
      <c r="D34" s="16"/>
      <c r="E34" s="16"/>
      <c r="F34" s="16"/>
      <c r="G34" s="26"/>
      <c r="H34" s="26"/>
      <c r="I34" s="26"/>
      <c r="J34" s="26"/>
      <c r="K34" s="16"/>
      <c r="L34" s="27" t="str">
        <f aca="false">IF(G34="","",G34-H34+I34+IF(K34="N",J34,0))</f>
        <v/>
      </c>
      <c r="M34" s="16"/>
      <c r="N34" s="16"/>
      <c r="O34" s="16"/>
      <c r="P34" s="16"/>
      <c r="Q34" s="16"/>
      <c r="R34" s="16"/>
    </row>
    <row r="35" customFormat="false" ht="15" hidden="false" customHeight="false" outlineLevel="0" collapsed="false">
      <c r="A35" s="25"/>
      <c r="B35" s="16"/>
      <c r="C35" s="16"/>
      <c r="D35" s="16"/>
      <c r="E35" s="16"/>
      <c r="F35" s="16"/>
      <c r="G35" s="26"/>
      <c r="H35" s="26"/>
      <c r="I35" s="26"/>
      <c r="J35" s="26"/>
      <c r="K35" s="16"/>
      <c r="L35" s="27" t="str">
        <f aca="false">IF(G35="","",G35-H35+I35+IF(K35="N",J35,0))</f>
        <v/>
      </c>
      <c r="M35" s="16"/>
      <c r="N35" s="16"/>
      <c r="O35" s="16"/>
      <c r="P35" s="16"/>
      <c r="Q35" s="16"/>
      <c r="R35" s="16"/>
    </row>
    <row r="36" customFormat="false" ht="15" hidden="false" customHeight="false" outlineLevel="0" collapsed="false">
      <c r="A36" s="25"/>
      <c r="B36" s="16"/>
      <c r="C36" s="16"/>
      <c r="D36" s="16"/>
      <c r="E36" s="16"/>
      <c r="F36" s="16"/>
      <c r="G36" s="26"/>
      <c r="H36" s="26"/>
      <c r="I36" s="26"/>
      <c r="J36" s="26"/>
      <c r="K36" s="16"/>
      <c r="L36" s="27" t="str">
        <f aca="false">IF(G36="","",G36-H36+I36+IF(K36="N",J36,0))</f>
        <v/>
      </c>
      <c r="M36" s="16"/>
      <c r="N36" s="16"/>
      <c r="O36" s="16"/>
      <c r="P36" s="16"/>
      <c r="Q36" s="16"/>
      <c r="R36" s="16"/>
    </row>
    <row r="37" customFormat="false" ht="15" hidden="false" customHeight="false" outlineLevel="0" collapsed="false">
      <c r="A37" s="25"/>
      <c r="B37" s="16"/>
      <c r="C37" s="16"/>
      <c r="D37" s="16"/>
      <c r="E37" s="16"/>
      <c r="F37" s="16"/>
      <c r="G37" s="26"/>
      <c r="H37" s="26"/>
      <c r="I37" s="26"/>
      <c r="J37" s="26"/>
      <c r="K37" s="16"/>
      <c r="L37" s="27" t="str">
        <f aca="false">IF(G37="","",G37-H37+I37+IF(K37="N",J37,0))</f>
        <v/>
      </c>
      <c r="M37" s="16"/>
      <c r="N37" s="16"/>
      <c r="O37" s="16"/>
      <c r="P37" s="16"/>
      <c r="Q37" s="16"/>
      <c r="R37" s="16"/>
    </row>
    <row r="38" customFormat="false" ht="15" hidden="false" customHeight="false" outlineLevel="0" collapsed="false">
      <c r="A38" s="25"/>
      <c r="B38" s="16"/>
      <c r="C38" s="16"/>
      <c r="D38" s="16"/>
      <c r="E38" s="16"/>
      <c r="F38" s="16"/>
      <c r="G38" s="26"/>
      <c r="H38" s="26"/>
      <c r="I38" s="26"/>
      <c r="J38" s="26"/>
      <c r="K38" s="16"/>
      <c r="L38" s="27" t="str">
        <f aca="false">IF(G38="","",G38-H38+I38+IF(K38="N",J38,0))</f>
        <v/>
      </c>
      <c r="M38" s="16"/>
      <c r="N38" s="16"/>
      <c r="O38" s="16"/>
      <c r="P38" s="16"/>
      <c r="Q38" s="16"/>
      <c r="R38" s="16"/>
    </row>
    <row r="39" customFormat="false" ht="15" hidden="false" customHeight="false" outlineLevel="0" collapsed="false">
      <c r="A39" s="25"/>
      <c r="B39" s="16"/>
      <c r="C39" s="16"/>
      <c r="D39" s="16"/>
      <c r="E39" s="16"/>
      <c r="F39" s="16"/>
      <c r="G39" s="26"/>
      <c r="H39" s="26"/>
      <c r="I39" s="26"/>
      <c r="J39" s="26"/>
      <c r="K39" s="16"/>
      <c r="L39" s="27" t="str">
        <f aca="false">IF(G39="","",G39-H39+I39+IF(K39="N",J39,0))</f>
        <v/>
      </c>
      <c r="M39" s="16"/>
      <c r="N39" s="16"/>
      <c r="O39" s="16"/>
      <c r="P39" s="16"/>
      <c r="Q39" s="16"/>
      <c r="R39" s="16"/>
    </row>
    <row r="40" customFormat="false" ht="15" hidden="false" customHeight="false" outlineLevel="0" collapsed="false">
      <c r="A40" s="25"/>
      <c r="B40" s="16"/>
      <c r="C40" s="16"/>
      <c r="D40" s="16"/>
      <c r="E40" s="16"/>
      <c r="F40" s="16"/>
      <c r="G40" s="26"/>
      <c r="H40" s="26"/>
      <c r="I40" s="26"/>
      <c r="J40" s="26"/>
      <c r="K40" s="16"/>
      <c r="L40" s="27" t="str">
        <f aca="false">IF(G40="","",G40-H40+I40+IF(K40="N",J40,0))</f>
        <v/>
      </c>
      <c r="M40" s="16"/>
      <c r="N40" s="16"/>
      <c r="O40" s="16"/>
      <c r="P40" s="16"/>
      <c r="Q40" s="16"/>
      <c r="R40" s="16"/>
    </row>
    <row r="41" customFormat="false" ht="15" hidden="false" customHeight="false" outlineLevel="0" collapsed="false">
      <c r="A41" s="25"/>
      <c r="B41" s="16"/>
      <c r="C41" s="16"/>
      <c r="D41" s="16"/>
      <c r="E41" s="16"/>
      <c r="F41" s="16"/>
      <c r="G41" s="26"/>
      <c r="H41" s="26"/>
      <c r="I41" s="26"/>
      <c r="J41" s="26"/>
      <c r="K41" s="16"/>
      <c r="L41" s="27" t="str">
        <f aca="false">IF(G41="","",G41-H41+I41+IF(K41="N",J41,0))</f>
        <v/>
      </c>
      <c r="M41" s="16"/>
      <c r="N41" s="16"/>
      <c r="O41" s="16"/>
      <c r="P41" s="16"/>
      <c r="Q41" s="16"/>
      <c r="R41" s="16"/>
    </row>
    <row r="42" customFormat="false" ht="15" hidden="false" customHeight="false" outlineLevel="0" collapsed="false">
      <c r="A42" s="25"/>
      <c r="B42" s="16"/>
      <c r="C42" s="16"/>
      <c r="D42" s="16"/>
      <c r="E42" s="16"/>
      <c r="F42" s="16"/>
      <c r="G42" s="26"/>
      <c r="H42" s="26"/>
      <c r="I42" s="26"/>
      <c r="J42" s="26"/>
      <c r="K42" s="16"/>
      <c r="L42" s="27" t="str">
        <f aca="false">IF(G42="","",G42-H42+I42+IF(K42="N",J42,0))</f>
        <v/>
      </c>
      <c r="M42" s="16"/>
      <c r="N42" s="16"/>
      <c r="O42" s="16"/>
      <c r="P42" s="16"/>
      <c r="Q42" s="16"/>
      <c r="R42" s="16"/>
    </row>
    <row r="43" customFormat="false" ht="15" hidden="false" customHeight="false" outlineLevel="0" collapsed="false">
      <c r="A43" s="25"/>
      <c r="B43" s="16"/>
      <c r="C43" s="16"/>
      <c r="D43" s="16"/>
      <c r="E43" s="16"/>
      <c r="F43" s="16"/>
      <c r="G43" s="26"/>
      <c r="H43" s="26"/>
      <c r="I43" s="26"/>
      <c r="J43" s="26"/>
      <c r="K43" s="16"/>
      <c r="L43" s="27" t="str">
        <f aca="false">IF(G43="","",G43-H43+I43+IF(K43="N",J43,0))</f>
        <v/>
      </c>
      <c r="M43" s="16"/>
      <c r="N43" s="16"/>
      <c r="O43" s="16"/>
      <c r="P43" s="16"/>
      <c r="Q43" s="16"/>
      <c r="R43" s="16"/>
    </row>
    <row r="44" customFormat="false" ht="15" hidden="false" customHeight="false" outlineLevel="0" collapsed="false">
      <c r="A44" s="25"/>
      <c r="B44" s="16"/>
      <c r="C44" s="16"/>
      <c r="D44" s="16"/>
      <c r="E44" s="16"/>
      <c r="F44" s="16"/>
      <c r="G44" s="26"/>
      <c r="H44" s="26"/>
      <c r="I44" s="26"/>
      <c r="J44" s="26"/>
      <c r="K44" s="16"/>
      <c r="L44" s="27" t="str">
        <f aca="false">IF(G44="","",G44-H44+I44+IF(K44="N",J44,0))</f>
        <v/>
      </c>
      <c r="M44" s="16"/>
      <c r="N44" s="16"/>
      <c r="O44" s="16"/>
      <c r="P44" s="16"/>
      <c r="Q44" s="16"/>
      <c r="R44" s="16"/>
    </row>
    <row r="45" customFormat="false" ht="15" hidden="false" customHeight="false" outlineLevel="0" collapsed="false">
      <c r="A45" s="25"/>
      <c r="B45" s="16"/>
      <c r="C45" s="16"/>
      <c r="D45" s="16"/>
      <c r="E45" s="16"/>
      <c r="F45" s="16"/>
      <c r="G45" s="26"/>
      <c r="H45" s="26"/>
      <c r="I45" s="26"/>
      <c r="J45" s="26"/>
      <c r="K45" s="16"/>
      <c r="L45" s="27" t="str">
        <f aca="false">IF(G45="","",G45-H45+I45+IF(K45="N",J45,0))</f>
        <v/>
      </c>
      <c r="M45" s="16"/>
      <c r="N45" s="16"/>
      <c r="O45" s="16"/>
      <c r="P45" s="16"/>
      <c r="Q45" s="16"/>
      <c r="R45" s="16"/>
    </row>
    <row r="46" customFormat="false" ht="15" hidden="false" customHeight="false" outlineLevel="0" collapsed="false">
      <c r="A46" s="25"/>
      <c r="B46" s="16"/>
      <c r="C46" s="16"/>
      <c r="D46" s="16"/>
      <c r="E46" s="16"/>
      <c r="F46" s="16"/>
      <c r="G46" s="26"/>
      <c r="H46" s="26"/>
      <c r="I46" s="26"/>
      <c r="J46" s="26"/>
      <c r="K46" s="16"/>
      <c r="L46" s="27" t="str">
        <f aca="false">IF(G46="","",G46-H46+I46+IF(K46="N",J46,0))</f>
        <v/>
      </c>
      <c r="M46" s="16"/>
      <c r="N46" s="16"/>
      <c r="O46" s="16"/>
      <c r="P46" s="16"/>
      <c r="Q46" s="16"/>
      <c r="R46" s="16"/>
    </row>
    <row r="47" customFormat="false" ht="15" hidden="false" customHeight="false" outlineLevel="0" collapsed="false">
      <c r="A47" s="25"/>
      <c r="B47" s="16"/>
      <c r="C47" s="16"/>
      <c r="D47" s="16"/>
      <c r="E47" s="16"/>
      <c r="F47" s="16"/>
      <c r="G47" s="26"/>
      <c r="H47" s="26"/>
      <c r="I47" s="26"/>
      <c r="J47" s="26"/>
      <c r="K47" s="16"/>
      <c r="L47" s="27" t="str">
        <f aca="false">IF(G47="","",G47-H47+I47+IF(K47="N",J47,0))</f>
        <v/>
      </c>
      <c r="M47" s="16"/>
      <c r="N47" s="16"/>
      <c r="O47" s="16"/>
      <c r="P47" s="16"/>
      <c r="Q47" s="16"/>
      <c r="R47" s="16"/>
    </row>
    <row r="48" customFormat="false" ht="15" hidden="false" customHeight="false" outlineLevel="0" collapsed="false">
      <c r="A48" s="25"/>
      <c r="B48" s="16"/>
      <c r="C48" s="16"/>
      <c r="D48" s="16"/>
      <c r="E48" s="16"/>
      <c r="F48" s="16"/>
      <c r="G48" s="26"/>
      <c r="H48" s="26"/>
      <c r="I48" s="26"/>
      <c r="J48" s="26"/>
      <c r="K48" s="16"/>
      <c r="L48" s="27" t="str">
        <f aca="false">IF(G48="","",G48-H48+I48+IF(K48="N",J48,0))</f>
        <v/>
      </c>
      <c r="M48" s="16"/>
      <c r="N48" s="16"/>
      <c r="O48" s="16"/>
      <c r="P48" s="16"/>
      <c r="Q48" s="16"/>
      <c r="R48" s="16"/>
    </row>
    <row r="49" customFormat="false" ht="15" hidden="false" customHeight="false" outlineLevel="0" collapsed="false">
      <c r="A49" s="25"/>
      <c r="B49" s="16"/>
      <c r="C49" s="16"/>
      <c r="D49" s="16"/>
      <c r="E49" s="16"/>
      <c r="F49" s="16"/>
      <c r="G49" s="26"/>
      <c r="H49" s="26"/>
      <c r="I49" s="26"/>
      <c r="J49" s="26"/>
      <c r="K49" s="16"/>
      <c r="L49" s="27" t="str">
        <f aca="false">IF(G49="","",G49-H49+I49+IF(K49="N",J49,0))</f>
        <v/>
      </c>
      <c r="M49" s="16"/>
      <c r="N49" s="16"/>
      <c r="O49" s="16"/>
      <c r="P49" s="16"/>
      <c r="Q49" s="16"/>
      <c r="R49" s="16"/>
    </row>
    <row r="50" customFormat="false" ht="15" hidden="false" customHeight="false" outlineLevel="0" collapsed="false">
      <c r="A50" s="25"/>
      <c r="B50" s="16"/>
      <c r="C50" s="16"/>
      <c r="D50" s="16"/>
      <c r="E50" s="16"/>
      <c r="F50" s="16"/>
      <c r="G50" s="26"/>
      <c r="H50" s="26"/>
      <c r="I50" s="26"/>
      <c r="J50" s="26"/>
      <c r="K50" s="16"/>
      <c r="L50" s="27" t="str">
        <f aca="false">IF(G50="","",G50-H50+I50+IF(K50="N",J50,0))</f>
        <v/>
      </c>
      <c r="M50" s="16"/>
      <c r="N50" s="16"/>
      <c r="O50" s="16"/>
      <c r="P50" s="16"/>
      <c r="Q50" s="16"/>
      <c r="R50" s="16"/>
    </row>
    <row r="51" customFormat="false" ht="15" hidden="false" customHeight="false" outlineLevel="0" collapsed="false">
      <c r="A51" s="25"/>
      <c r="B51" s="16"/>
      <c r="C51" s="16"/>
      <c r="D51" s="16"/>
      <c r="E51" s="16"/>
      <c r="F51" s="16"/>
      <c r="G51" s="26"/>
      <c r="H51" s="26"/>
      <c r="I51" s="26"/>
      <c r="J51" s="26"/>
      <c r="K51" s="16"/>
      <c r="L51" s="27" t="str">
        <f aca="false">IF(G51="","",G51-H51+I51+IF(K51="N",J51,0))</f>
        <v/>
      </c>
      <c r="M51" s="16"/>
      <c r="N51" s="16"/>
      <c r="O51" s="16"/>
      <c r="P51" s="16"/>
      <c r="Q51" s="16"/>
      <c r="R51" s="16"/>
    </row>
    <row r="52" customFormat="false" ht="15" hidden="false" customHeight="false" outlineLevel="0" collapsed="false">
      <c r="A52" s="25"/>
      <c r="B52" s="16"/>
      <c r="C52" s="16"/>
      <c r="D52" s="16"/>
      <c r="E52" s="16"/>
      <c r="F52" s="16"/>
      <c r="G52" s="26"/>
      <c r="H52" s="26"/>
      <c r="I52" s="26"/>
      <c r="J52" s="26"/>
      <c r="K52" s="16"/>
      <c r="L52" s="27" t="str">
        <f aca="false">IF(G52="","",G52-H52+I52+IF(K52="N",J52,0))</f>
        <v/>
      </c>
      <c r="M52" s="16"/>
      <c r="N52" s="16"/>
      <c r="O52" s="16"/>
      <c r="P52" s="16"/>
      <c r="Q52" s="16"/>
      <c r="R52" s="16"/>
    </row>
    <row r="53" customFormat="false" ht="15" hidden="false" customHeight="false" outlineLevel="0" collapsed="false">
      <c r="A53" s="25"/>
      <c r="B53" s="16"/>
      <c r="C53" s="16"/>
      <c r="D53" s="16"/>
      <c r="E53" s="16"/>
      <c r="F53" s="16"/>
      <c r="G53" s="26"/>
      <c r="H53" s="26"/>
      <c r="I53" s="26"/>
      <c r="J53" s="26"/>
      <c r="K53" s="16"/>
      <c r="L53" s="27" t="str">
        <f aca="false">IF(G53="","",G53-H53+I53+IF(K53="N",J53,0))</f>
        <v/>
      </c>
      <c r="M53" s="16"/>
      <c r="N53" s="16"/>
      <c r="O53" s="16"/>
      <c r="P53" s="16"/>
      <c r="Q53" s="16"/>
      <c r="R53" s="16"/>
    </row>
    <row r="54" customFormat="false" ht="15" hidden="false" customHeight="false" outlineLevel="0" collapsed="false">
      <c r="A54" s="25"/>
      <c r="B54" s="16"/>
      <c r="C54" s="16"/>
      <c r="D54" s="16"/>
      <c r="E54" s="16"/>
      <c r="F54" s="16"/>
      <c r="G54" s="26"/>
      <c r="H54" s="26"/>
      <c r="I54" s="26"/>
      <c r="J54" s="26"/>
      <c r="K54" s="16"/>
      <c r="L54" s="27" t="str">
        <f aca="false">IF(G54="","",G54-H54+I54+IF(K54="N",J54,0))</f>
        <v/>
      </c>
      <c r="M54" s="16"/>
      <c r="N54" s="16"/>
      <c r="O54" s="16"/>
      <c r="P54" s="16"/>
      <c r="Q54" s="16"/>
      <c r="R54" s="16"/>
    </row>
    <row r="55" customFormat="false" ht="15" hidden="false" customHeight="false" outlineLevel="0" collapsed="false">
      <c r="A55" s="25"/>
      <c r="B55" s="16"/>
      <c r="C55" s="16"/>
      <c r="D55" s="16"/>
      <c r="E55" s="16"/>
      <c r="F55" s="16"/>
      <c r="G55" s="26"/>
      <c r="H55" s="26"/>
      <c r="I55" s="26"/>
      <c r="J55" s="26"/>
      <c r="K55" s="16"/>
      <c r="L55" s="27" t="str">
        <f aca="false">IF(G55="","",G55-H55+I55+IF(K55="N",J55,0))</f>
        <v/>
      </c>
      <c r="M55" s="16"/>
      <c r="N55" s="16"/>
      <c r="O55" s="16"/>
      <c r="P55" s="16"/>
      <c r="Q55" s="16"/>
      <c r="R55" s="16"/>
    </row>
    <row r="56" customFormat="false" ht="15" hidden="false" customHeight="false" outlineLevel="0" collapsed="false">
      <c r="A56" s="25"/>
      <c r="B56" s="16"/>
      <c r="C56" s="16"/>
      <c r="D56" s="16"/>
      <c r="E56" s="16"/>
      <c r="F56" s="16"/>
      <c r="G56" s="26"/>
      <c r="H56" s="26"/>
      <c r="I56" s="26"/>
      <c r="J56" s="26"/>
      <c r="K56" s="16"/>
      <c r="L56" s="27" t="str">
        <f aca="false">IF(G56="","",G56-H56+I56+IF(K56="N",J56,0))</f>
        <v/>
      </c>
      <c r="M56" s="16"/>
      <c r="N56" s="16"/>
      <c r="O56" s="16"/>
      <c r="P56" s="16"/>
      <c r="Q56" s="16"/>
      <c r="R56" s="16"/>
    </row>
    <row r="57" customFormat="false" ht="15" hidden="false" customHeight="false" outlineLevel="0" collapsed="false">
      <c r="A57" s="25"/>
      <c r="B57" s="16"/>
      <c r="C57" s="16"/>
      <c r="D57" s="16"/>
      <c r="E57" s="16"/>
      <c r="F57" s="16"/>
      <c r="G57" s="26"/>
      <c r="H57" s="26"/>
      <c r="I57" s="26"/>
      <c r="J57" s="26"/>
      <c r="K57" s="16"/>
      <c r="L57" s="27" t="str">
        <f aca="false">IF(G57="","",G57-H57+I57+IF(K57="N",J57,0))</f>
        <v/>
      </c>
      <c r="M57" s="16"/>
      <c r="N57" s="16"/>
      <c r="O57" s="16"/>
      <c r="P57" s="16"/>
      <c r="Q57" s="16"/>
      <c r="R57" s="16"/>
    </row>
    <row r="58" customFormat="false" ht="15" hidden="false" customHeight="false" outlineLevel="0" collapsed="false">
      <c r="A58" s="25"/>
      <c r="B58" s="16"/>
      <c r="C58" s="16"/>
      <c r="D58" s="16"/>
      <c r="E58" s="16"/>
      <c r="F58" s="16"/>
      <c r="G58" s="26"/>
      <c r="H58" s="26"/>
      <c r="I58" s="26"/>
      <c r="J58" s="26"/>
      <c r="K58" s="16"/>
      <c r="L58" s="27" t="str">
        <f aca="false">IF(G58="","",G58-H58+I58+IF(K58="N",J58,0))</f>
        <v/>
      </c>
      <c r="M58" s="16"/>
      <c r="N58" s="16"/>
      <c r="O58" s="16"/>
      <c r="P58" s="16"/>
      <c r="Q58" s="16"/>
      <c r="R58" s="16"/>
    </row>
    <row r="59" customFormat="false" ht="15" hidden="false" customHeight="false" outlineLevel="0" collapsed="false">
      <c r="A59" s="25"/>
      <c r="B59" s="16"/>
      <c r="C59" s="16"/>
      <c r="D59" s="16"/>
      <c r="E59" s="16"/>
      <c r="F59" s="16"/>
      <c r="G59" s="26"/>
      <c r="H59" s="26"/>
      <c r="I59" s="26"/>
      <c r="J59" s="26"/>
      <c r="K59" s="16"/>
      <c r="L59" s="27" t="str">
        <f aca="false">IF(G59="","",G59-H59+I59+IF(K59="N",J59,0))</f>
        <v/>
      </c>
      <c r="M59" s="16"/>
      <c r="N59" s="16"/>
      <c r="O59" s="16"/>
      <c r="P59" s="16"/>
      <c r="Q59" s="16"/>
      <c r="R59" s="16"/>
    </row>
    <row r="60" customFormat="false" ht="15" hidden="false" customHeight="false" outlineLevel="0" collapsed="false">
      <c r="A60" s="25"/>
      <c r="B60" s="16"/>
      <c r="C60" s="16"/>
      <c r="D60" s="16"/>
      <c r="E60" s="16"/>
      <c r="F60" s="16"/>
      <c r="G60" s="26"/>
      <c r="H60" s="26"/>
      <c r="I60" s="26"/>
      <c r="J60" s="26"/>
      <c r="K60" s="16"/>
      <c r="L60" s="27" t="str">
        <f aca="false">IF(G60="","",G60-H60+I60+IF(K60="N",J60,0))</f>
        <v/>
      </c>
      <c r="M60" s="16"/>
      <c r="N60" s="16"/>
      <c r="O60" s="16"/>
      <c r="P60" s="16"/>
      <c r="Q60" s="16"/>
      <c r="R60" s="16"/>
    </row>
    <row r="61" customFormat="false" ht="15" hidden="false" customHeight="false" outlineLevel="0" collapsed="false">
      <c r="A61" s="25"/>
      <c r="B61" s="16"/>
      <c r="C61" s="16"/>
      <c r="D61" s="16"/>
      <c r="E61" s="16"/>
      <c r="F61" s="16"/>
      <c r="G61" s="26"/>
      <c r="H61" s="26"/>
      <c r="I61" s="26"/>
      <c r="J61" s="26"/>
      <c r="K61" s="16"/>
      <c r="L61" s="27" t="str">
        <f aca="false">IF(G61="","",G61-H61+I61+IF(K61="N",J61,0))</f>
        <v/>
      </c>
      <c r="M61" s="16"/>
      <c r="N61" s="16"/>
      <c r="O61" s="16"/>
      <c r="P61" s="16"/>
      <c r="Q61" s="16"/>
      <c r="R61" s="16"/>
    </row>
    <row r="62" customFormat="false" ht="15" hidden="false" customHeight="false" outlineLevel="0" collapsed="false">
      <c r="A62" s="25"/>
      <c r="B62" s="16"/>
      <c r="C62" s="16"/>
      <c r="D62" s="16"/>
      <c r="E62" s="16"/>
      <c r="F62" s="16"/>
      <c r="G62" s="26"/>
      <c r="H62" s="26"/>
      <c r="I62" s="26"/>
      <c r="J62" s="26"/>
      <c r="K62" s="16"/>
      <c r="L62" s="27" t="str">
        <f aca="false">IF(G62="","",G62-H62+I62+IF(K62="N",J62,0))</f>
        <v/>
      </c>
      <c r="M62" s="16"/>
      <c r="N62" s="16"/>
      <c r="O62" s="16"/>
      <c r="P62" s="16"/>
      <c r="Q62" s="16"/>
      <c r="R62" s="16"/>
    </row>
    <row r="63" customFormat="false" ht="15" hidden="false" customHeight="false" outlineLevel="0" collapsed="false">
      <c r="A63" s="25"/>
      <c r="B63" s="16"/>
      <c r="C63" s="16"/>
      <c r="D63" s="16"/>
      <c r="E63" s="16"/>
      <c r="F63" s="16"/>
      <c r="G63" s="26"/>
      <c r="H63" s="26"/>
      <c r="I63" s="26"/>
      <c r="J63" s="26"/>
      <c r="K63" s="16"/>
      <c r="L63" s="27" t="str">
        <f aca="false">IF(G63="","",G63-H63+I63+IF(K63="N",J63,0))</f>
        <v/>
      </c>
      <c r="M63" s="16"/>
      <c r="N63" s="16"/>
      <c r="O63" s="16"/>
      <c r="P63" s="16"/>
      <c r="Q63" s="16"/>
      <c r="R63" s="16"/>
    </row>
    <row r="64" customFormat="false" ht="15" hidden="false" customHeight="false" outlineLevel="0" collapsed="false">
      <c r="A64" s="25"/>
      <c r="B64" s="16"/>
      <c r="C64" s="16"/>
      <c r="D64" s="16"/>
      <c r="E64" s="16"/>
      <c r="F64" s="16"/>
      <c r="G64" s="26"/>
      <c r="H64" s="26"/>
      <c r="I64" s="26"/>
      <c r="J64" s="26"/>
      <c r="K64" s="16"/>
      <c r="L64" s="27" t="str">
        <f aca="false">IF(G64="","",G64-H64+I64+IF(K64="N",J64,0))</f>
        <v/>
      </c>
      <c r="M64" s="16"/>
      <c r="N64" s="16"/>
      <c r="O64" s="16"/>
      <c r="P64" s="16"/>
      <c r="Q64" s="16"/>
      <c r="R64" s="16"/>
    </row>
    <row r="65" customFormat="false" ht="15" hidden="false" customHeight="false" outlineLevel="0" collapsed="false">
      <c r="A65" s="25"/>
      <c r="B65" s="16"/>
      <c r="C65" s="16"/>
      <c r="D65" s="16"/>
      <c r="E65" s="16"/>
      <c r="F65" s="16"/>
      <c r="G65" s="26"/>
      <c r="H65" s="26"/>
      <c r="I65" s="26"/>
      <c r="J65" s="26"/>
      <c r="K65" s="16"/>
      <c r="L65" s="27" t="str">
        <f aca="false">IF(G65="","",G65-H65+I65+IF(K65="N",J65,0))</f>
        <v/>
      </c>
      <c r="M65" s="16"/>
      <c r="N65" s="16"/>
      <c r="O65" s="16"/>
      <c r="P65" s="16"/>
      <c r="Q65" s="16"/>
      <c r="R65" s="16"/>
    </row>
    <row r="66" customFormat="false" ht="15" hidden="false" customHeight="false" outlineLevel="0" collapsed="false">
      <c r="A66" s="25"/>
      <c r="B66" s="16"/>
      <c r="C66" s="16"/>
      <c r="D66" s="16"/>
      <c r="E66" s="16"/>
      <c r="F66" s="16"/>
      <c r="G66" s="26"/>
      <c r="H66" s="26"/>
      <c r="I66" s="26"/>
      <c r="J66" s="26"/>
      <c r="K66" s="16"/>
      <c r="L66" s="27" t="str">
        <f aca="false">IF(G66="","",G66-H66+I66+IF(K66="N",J66,0))</f>
        <v/>
      </c>
      <c r="M66" s="16"/>
      <c r="N66" s="16"/>
      <c r="O66" s="16"/>
      <c r="P66" s="16"/>
      <c r="Q66" s="16"/>
      <c r="R66" s="16"/>
    </row>
    <row r="67" customFormat="false" ht="15" hidden="false" customHeight="false" outlineLevel="0" collapsed="false">
      <c r="A67" s="25"/>
      <c r="B67" s="16"/>
      <c r="C67" s="16"/>
      <c r="D67" s="16"/>
      <c r="E67" s="16"/>
      <c r="F67" s="16"/>
      <c r="G67" s="26"/>
      <c r="H67" s="26"/>
      <c r="I67" s="26"/>
      <c r="J67" s="26"/>
      <c r="K67" s="16"/>
      <c r="L67" s="27" t="str">
        <f aca="false">IF(G67="","",G67-H67+I67+IF(K67="N",J67,0))</f>
        <v/>
      </c>
      <c r="M67" s="16"/>
      <c r="N67" s="16"/>
      <c r="O67" s="16"/>
      <c r="P67" s="16"/>
      <c r="Q67" s="16"/>
      <c r="R67" s="16"/>
    </row>
    <row r="68" customFormat="false" ht="15" hidden="false" customHeight="false" outlineLevel="0" collapsed="false">
      <c r="A68" s="25"/>
      <c r="B68" s="16"/>
      <c r="C68" s="16"/>
      <c r="D68" s="16"/>
      <c r="E68" s="16"/>
      <c r="F68" s="16"/>
      <c r="G68" s="26"/>
      <c r="H68" s="26"/>
      <c r="I68" s="26"/>
      <c r="J68" s="26"/>
      <c r="K68" s="16"/>
      <c r="L68" s="27" t="str">
        <f aca="false">IF(G68="","",G68-H68+I68+IF(K68="N",J68,0))</f>
        <v/>
      </c>
      <c r="M68" s="16"/>
      <c r="N68" s="16"/>
      <c r="O68" s="16"/>
      <c r="P68" s="16"/>
      <c r="Q68" s="16"/>
      <c r="R68" s="16"/>
    </row>
    <row r="69" customFormat="false" ht="15" hidden="false" customHeight="false" outlineLevel="0" collapsed="false">
      <c r="A69" s="25"/>
      <c r="B69" s="16"/>
      <c r="C69" s="16"/>
      <c r="D69" s="16"/>
      <c r="E69" s="16"/>
      <c r="F69" s="16"/>
      <c r="G69" s="26"/>
      <c r="H69" s="26"/>
      <c r="I69" s="26"/>
      <c r="J69" s="26"/>
      <c r="K69" s="16"/>
      <c r="L69" s="27" t="str">
        <f aca="false">IF(G69="","",G69-H69+I69+IF(K69="N",J69,0))</f>
        <v/>
      </c>
      <c r="M69" s="16"/>
      <c r="N69" s="16"/>
      <c r="O69" s="16"/>
      <c r="P69" s="16"/>
      <c r="Q69" s="16"/>
      <c r="R69" s="16"/>
    </row>
    <row r="70" customFormat="false" ht="15" hidden="false" customHeight="false" outlineLevel="0" collapsed="false">
      <c r="A70" s="25"/>
      <c r="B70" s="16"/>
      <c r="C70" s="16"/>
      <c r="D70" s="16"/>
      <c r="E70" s="16"/>
      <c r="F70" s="16"/>
      <c r="G70" s="26"/>
      <c r="H70" s="26"/>
      <c r="I70" s="26"/>
      <c r="J70" s="26"/>
      <c r="K70" s="16"/>
      <c r="L70" s="27" t="str">
        <f aca="false">IF(G70="","",G70-H70+I70+IF(K70="N",J70,0))</f>
        <v/>
      </c>
      <c r="M70" s="16"/>
      <c r="N70" s="16"/>
      <c r="O70" s="16"/>
      <c r="P70" s="16"/>
      <c r="Q70" s="16"/>
      <c r="R70" s="16"/>
    </row>
    <row r="71" customFormat="false" ht="15" hidden="false" customHeight="false" outlineLevel="0" collapsed="false">
      <c r="A71" s="25"/>
      <c r="B71" s="16"/>
      <c r="C71" s="16"/>
      <c r="D71" s="16"/>
      <c r="E71" s="16"/>
      <c r="F71" s="16"/>
      <c r="G71" s="26"/>
      <c r="H71" s="26"/>
      <c r="I71" s="26"/>
      <c r="J71" s="26"/>
      <c r="K71" s="16"/>
      <c r="L71" s="27" t="str">
        <f aca="false">IF(G71="","",G71-H71+I71+IF(K71="N",J71,0))</f>
        <v/>
      </c>
      <c r="M71" s="16"/>
      <c r="N71" s="16"/>
      <c r="O71" s="16"/>
      <c r="P71" s="16"/>
      <c r="Q71" s="16"/>
      <c r="R71" s="16"/>
    </row>
    <row r="72" customFormat="false" ht="15" hidden="false" customHeight="false" outlineLevel="0" collapsed="false">
      <c r="A72" s="25"/>
      <c r="B72" s="16"/>
      <c r="C72" s="16"/>
      <c r="D72" s="16"/>
      <c r="E72" s="16"/>
      <c r="F72" s="16"/>
      <c r="G72" s="26"/>
      <c r="H72" s="26"/>
      <c r="I72" s="26"/>
      <c r="J72" s="26"/>
      <c r="K72" s="16"/>
      <c r="L72" s="27" t="str">
        <f aca="false">IF(G72="","",G72-H72+I72+IF(K72="N",J72,0))</f>
        <v/>
      </c>
      <c r="M72" s="16"/>
      <c r="N72" s="16"/>
      <c r="O72" s="16"/>
      <c r="P72" s="16"/>
      <c r="Q72" s="16"/>
      <c r="R72" s="16"/>
    </row>
    <row r="73" customFormat="false" ht="15" hidden="false" customHeight="false" outlineLevel="0" collapsed="false">
      <c r="A73" s="25"/>
      <c r="B73" s="16"/>
      <c r="C73" s="16"/>
      <c r="D73" s="16"/>
      <c r="E73" s="16"/>
      <c r="F73" s="16"/>
      <c r="G73" s="26"/>
      <c r="H73" s="26"/>
      <c r="I73" s="26"/>
      <c r="J73" s="26"/>
      <c r="K73" s="16"/>
      <c r="L73" s="27" t="str">
        <f aca="false">IF(G73="","",G73-H73+I73+IF(K73="N",J73,0))</f>
        <v/>
      </c>
      <c r="M73" s="16"/>
      <c r="N73" s="16"/>
      <c r="O73" s="16"/>
      <c r="P73" s="16"/>
      <c r="Q73" s="16"/>
      <c r="R73" s="16"/>
    </row>
    <row r="74" customFormat="false" ht="15" hidden="false" customHeight="false" outlineLevel="0" collapsed="false">
      <c r="A74" s="25"/>
      <c r="B74" s="16"/>
      <c r="C74" s="16"/>
      <c r="D74" s="16"/>
      <c r="E74" s="16"/>
      <c r="F74" s="16"/>
      <c r="G74" s="26"/>
      <c r="H74" s="26"/>
      <c r="I74" s="26"/>
      <c r="J74" s="26"/>
      <c r="K74" s="16"/>
      <c r="L74" s="27" t="str">
        <f aca="false">IF(G74="","",G74-H74+I74+IF(K74="N",J74,0))</f>
        <v/>
      </c>
      <c r="M74" s="16"/>
      <c r="N74" s="16"/>
      <c r="O74" s="16"/>
      <c r="P74" s="16"/>
      <c r="Q74" s="16"/>
      <c r="R74" s="16"/>
    </row>
    <row r="75" customFormat="false" ht="15" hidden="false" customHeight="false" outlineLevel="0" collapsed="false">
      <c r="A75" s="25"/>
      <c r="B75" s="16"/>
      <c r="C75" s="16"/>
      <c r="D75" s="16"/>
      <c r="E75" s="16"/>
      <c r="F75" s="16"/>
      <c r="G75" s="26"/>
      <c r="H75" s="26"/>
      <c r="I75" s="26"/>
      <c r="J75" s="26"/>
      <c r="K75" s="16"/>
      <c r="L75" s="27" t="str">
        <f aca="false">IF(G75="","",G75-H75+I75+IF(K75="N",J75,0))</f>
        <v/>
      </c>
      <c r="M75" s="16"/>
      <c r="N75" s="16"/>
      <c r="O75" s="16"/>
      <c r="P75" s="16"/>
      <c r="Q75" s="16"/>
      <c r="R75" s="16"/>
    </row>
    <row r="76" customFormat="false" ht="15" hidden="false" customHeight="false" outlineLevel="0" collapsed="false">
      <c r="A76" s="25"/>
      <c r="B76" s="16"/>
      <c r="C76" s="16"/>
      <c r="D76" s="16"/>
      <c r="E76" s="16"/>
      <c r="F76" s="16"/>
      <c r="G76" s="26"/>
      <c r="H76" s="26"/>
      <c r="I76" s="26"/>
      <c r="J76" s="26"/>
      <c r="K76" s="16"/>
      <c r="L76" s="27" t="str">
        <f aca="false">IF(G76="","",G76-H76+I76+IF(K76="N",J76,0))</f>
        <v/>
      </c>
      <c r="M76" s="16"/>
      <c r="N76" s="16"/>
      <c r="O76" s="16"/>
      <c r="P76" s="16"/>
      <c r="Q76" s="16"/>
      <c r="R76" s="16"/>
    </row>
    <row r="77" customFormat="false" ht="15" hidden="false" customHeight="false" outlineLevel="0" collapsed="false">
      <c r="A77" s="25"/>
      <c r="B77" s="16"/>
      <c r="C77" s="16"/>
      <c r="D77" s="16"/>
      <c r="E77" s="16"/>
      <c r="F77" s="16"/>
      <c r="G77" s="26"/>
      <c r="H77" s="26"/>
      <c r="I77" s="26"/>
      <c r="J77" s="26"/>
      <c r="K77" s="16"/>
      <c r="L77" s="27" t="str">
        <f aca="false">IF(G77="","",G77-H77+I77+IF(K77="N",J77,0))</f>
        <v/>
      </c>
      <c r="M77" s="16"/>
      <c r="N77" s="16"/>
      <c r="O77" s="16"/>
      <c r="P77" s="16"/>
      <c r="Q77" s="16"/>
      <c r="R77" s="16"/>
    </row>
    <row r="78" customFormat="false" ht="15" hidden="false" customHeight="false" outlineLevel="0" collapsed="false">
      <c r="A78" s="25"/>
      <c r="B78" s="16"/>
      <c r="C78" s="16"/>
      <c r="D78" s="16"/>
      <c r="E78" s="16"/>
      <c r="F78" s="16"/>
      <c r="G78" s="26"/>
      <c r="H78" s="26"/>
      <c r="I78" s="26"/>
      <c r="J78" s="26"/>
      <c r="K78" s="16"/>
      <c r="L78" s="27" t="str">
        <f aca="false">IF(G78="","",G78-H78+I78+IF(K78="N",J78,0))</f>
        <v/>
      </c>
      <c r="M78" s="16"/>
      <c r="N78" s="16"/>
      <c r="O78" s="16"/>
      <c r="P78" s="16"/>
      <c r="Q78" s="16"/>
      <c r="R78" s="16"/>
    </row>
    <row r="79" customFormat="false" ht="15" hidden="false" customHeight="false" outlineLevel="0" collapsed="false">
      <c r="A79" s="25"/>
      <c r="B79" s="16"/>
      <c r="C79" s="16"/>
      <c r="D79" s="16"/>
      <c r="E79" s="16"/>
      <c r="F79" s="16"/>
      <c r="G79" s="26"/>
      <c r="H79" s="26"/>
      <c r="I79" s="26"/>
      <c r="J79" s="26"/>
      <c r="K79" s="16"/>
      <c r="L79" s="27" t="str">
        <f aca="false">IF(G79="","",G79-H79+I79+IF(K79="N",J79,0))</f>
        <v/>
      </c>
      <c r="M79" s="16"/>
      <c r="N79" s="16"/>
      <c r="O79" s="16"/>
      <c r="P79" s="16"/>
      <c r="Q79" s="16"/>
      <c r="R79" s="16"/>
    </row>
    <row r="80" customFormat="false" ht="15" hidden="false" customHeight="false" outlineLevel="0" collapsed="false">
      <c r="A80" s="25"/>
      <c r="B80" s="16"/>
      <c r="C80" s="16"/>
      <c r="D80" s="16"/>
      <c r="E80" s="16"/>
      <c r="F80" s="16"/>
      <c r="G80" s="26"/>
      <c r="H80" s="26"/>
      <c r="I80" s="26"/>
      <c r="J80" s="26"/>
      <c r="K80" s="16"/>
      <c r="L80" s="27" t="str">
        <f aca="false">IF(G80="","",G80-H80+I80+IF(K80="N",J80,0))</f>
        <v/>
      </c>
      <c r="M80" s="16"/>
      <c r="N80" s="16"/>
      <c r="O80" s="16"/>
      <c r="P80" s="16"/>
      <c r="Q80" s="16"/>
      <c r="R80" s="16"/>
    </row>
    <row r="81" customFormat="false" ht="15" hidden="false" customHeight="false" outlineLevel="0" collapsed="false">
      <c r="A81" s="25"/>
      <c r="B81" s="16"/>
      <c r="C81" s="16"/>
      <c r="D81" s="16"/>
      <c r="E81" s="16"/>
      <c r="F81" s="16"/>
      <c r="G81" s="26"/>
      <c r="H81" s="26"/>
      <c r="I81" s="26"/>
      <c r="J81" s="26"/>
      <c r="K81" s="16"/>
      <c r="L81" s="27" t="str">
        <f aca="false">IF(G81="","",G81-H81+I81+IF(K81="N",J81,0))</f>
        <v/>
      </c>
      <c r="M81" s="16"/>
      <c r="N81" s="16"/>
      <c r="O81" s="16"/>
      <c r="P81" s="16"/>
      <c r="Q81" s="16"/>
      <c r="R81" s="16"/>
    </row>
    <row r="82" customFormat="false" ht="15" hidden="false" customHeight="false" outlineLevel="0" collapsed="false">
      <c r="A82" s="25"/>
      <c r="B82" s="16"/>
      <c r="C82" s="16"/>
      <c r="D82" s="16"/>
      <c r="E82" s="16"/>
      <c r="F82" s="16"/>
      <c r="G82" s="26"/>
      <c r="H82" s="26"/>
      <c r="I82" s="26"/>
      <c r="J82" s="26"/>
      <c r="K82" s="16"/>
      <c r="L82" s="27" t="str">
        <f aca="false">IF(G82="","",G82-H82+I82+IF(K82="N",J82,0))</f>
        <v/>
      </c>
      <c r="M82" s="16"/>
      <c r="N82" s="16"/>
      <c r="O82" s="16"/>
      <c r="P82" s="16"/>
      <c r="Q82" s="16"/>
      <c r="R82" s="16"/>
    </row>
    <row r="83" customFormat="false" ht="15" hidden="false" customHeight="false" outlineLevel="0" collapsed="false">
      <c r="A83" s="25"/>
      <c r="B83" s="16"/>
      <c r="C83" s="16"/>
      <c r="D83" s="16"/>
      <c r="E83" s="16"/>
      <c r="F83" s="16"/>
      <c r="G83" s="26"/>
      <c r="H83" s="26"/>
      <c r="I83" s="26"/>
      <c r="J83" s="26"/>
      <c r="K83" s="16"/>
      <c r="L83" s="27" t="str">
        <f aca="false">IF(G83="","",G83-H83+I83+IF(K83="N",J83,0))</f>
        <v/>
      </c>
      <c r="M83" s="16"/>
      <c r="N83" s="16"/>
      <c r="O83" s="16"/>
      <c r="P83" s="16"/>
      <c r="Q83" s="16"/>
      <c r="R83" s="16"/>
    </row>
    <row r="84" customFormat="false" ht="15" hidden="false" customHeight="false" outlineLevel="0" collapsed="false">
      <c r="A84" s="25"/>
      <c r="B84" s="16"/>
      <c r="C84" s="16"/>
      <c r="D84" s="16"/>
      <c r="E84" s="16"/>
      <c r="F84" s="16"/>
      <c r="G84" s="26"/>
      <c r="H84" s="26"/>
      <c r="I84" s="26"/>
      <c r="J84" s="26"/>
      <c r="K84" s="16"/>
      <c r="L84" s="27" t="str">
        <f aca="false">IF(G84="","",G84-H84+I84+IF(K84="N",J84,0))</f>
        <v/>
      </c>
      <c r="M84" s="16"/>
      <c r="N84" s="16"/>
      <c r="O84" s="16"/>
      <c r="P84" s="16"/>
      <c r="Q84" s="16"/>
      <c r="R84" s="16"/>
    </row>
    <row r="85" customFormat="false" ht="15" hidden="false" customHeight="false" outlineLevel="0" collapsed="false">
      <c r="A85" s="25"/>
      <c r="B85" s="16"/>
      <c r="C85" s="16"/>
      <c r="D85" s="16"/>
      <c r="E85" s="16"/>
      <c r="F85" s="16"/>
      <c r="G85" s="26"/>
      <c r="H85" s="26"/>
      <c r="I85" s="26"/>
      <c r="J85" s="26"/>
      <c r="K85" s="16"/>
      <c r="L85" s="27" t="str">
        <f aca="false">IF(G85="","",G85-H85+I85+IF(K85="N",J85,0))</f>
        <v/>
      </c>
      <c r="M85" s="16"/>
      <c r="N85" s="16"/>
      <c r="O85" s="16"/>
      <c r="P85" s="16"/>
      <c r="Q85" s="16"/>
      <c r="R85" s="16"/>
    </row>
    <row r="86" customFormat="false" ht="15" hidden="false" customHeight="false" outlineLevel="0" collapsed="false">
      <c r="A86" s="25"/>
      <c r="B86" s="16"/>
      <c r="C86" s="16"/>
      <c r="D86" s="16"/>
      <c r="E86" s="16"/>
      <c r="F86" s="16"/>
      <c r="G86" s="26"/>
      <c r="H86" s="26"/>
      <c r="I86" s="26"/>
      <c r="J86" s="26"/>
      <c r="K86" s="16"/>
      <c r="L86" s="27" t="str">
        <f aca="false">IF(G86="","",G86-H86+I86+IF(K86="N",J86,0))</f>
        <v/>
      </c>
      <c r="M86" s="16"/>
      <c r="N86" s="16"/>
      <c r="O86" s="16"/>
      <c r="P86" s="16"/>
      <c r="Q86" s="16"/>
      <c r="R86" s="16"/>
    </row>
    <row r="87" customFormat="false" ht="15" hidden="false" customHeight="false" outlineLevel="0" collapsed="false">
      <c r="A87" s="25"/>
      <c r="B87" s="16"/>
      <c r="C87" s="16"/>
      <c r="D87" s="16"/>
      <c r="E87" s="16"/>
      <c r="F87" s="16"/>
      <c r="G87" s="26"/>
      <c r="H87" s="26"/>
      <c r="I87" s="26"/>
      <c r="J87" s="26"/>
      <c r="K87" s="16"/>
      <c r="L87" s="27" t="str">
        <f aca="false">IF(G87="","",G87-H87+I87+IF(K87="N",J87,0))</f>
        <v/>
      </c>
      <c r="M87" s="16"/>
      <c r="N87" s="16"/>
      <c r="O87" s="16"/>
      <c r="P87" s="16"/>
      <c r="Q87" s="16"/>
      <c r="R87" s="16"/>
    </row>
    <row r="88" customFormat="false" ht="15" hidden="false" customHeight="false" outlineLevel="0" collapsed="false">
      <c r="A88" s="25"/>
      <c r="B88" s="16"/>
      <c r="C88" s="16"/>
      <c r="D88" s="16"/>
      <c r="E88" s="16"/>
      <c r="F88" s="16"/>
      <c r="G88" s="26"/>
      <c r="H88" s="26"/>
      <c r="I88" s="26"/>
      <c r="J88" s="26"/>
      <c r="K88" s="16"/>
      <c r="L88" s="27" t="str">
        <f aca="false">IF(G88="","",G88-H88+I88+IF(K88="N",J88,0))</f>
        <v/>
      </c>
      <c r="M88" s="16"/>
      <c r="N88" s="16"/>
      <c r="O88" s="16"/>
      <c r="P88" s="16"/>
      <c r="Q88" s="16"/>
      <c r="R88" s="16"/>
    </row>
    <row r="89" customFormat="false" ht="15" hidden="false" customHeight="false" outlineLevel="0" collapsed="false">
      <c r="A89" s="25"/>
      <c r="B89" s="16"/>
      <c r="C89" s="16"/>
      <c r="D89" s="16"/>
      <c r="E89" s="16"/>
      <c r="F89" s="16"/>
      <c r="G89" s="26"/>
      <c r="H89" s="26"/>
      <c r="I89" s="26"/>
      <c r="J89" s="26"/>
      <c r="K89" s="16"/>
      <c r="L89" s="27" t="str">
        <f aca="false">IF(G89="","",G89-H89+I89+IF(K89="N",J89,0))</f>
        <v/>
      </c>
      <c r="M89" s="16"/>
      <c r="N89" s="16"/>
      <c r="O89" s="16"/>
      <c r="P89" s="16"/>
      <c r="Q89" s="16"/>
      <c r="R89" s="16"/>
    </row>
    <row r="90" customFormat="false" ht="15" hidden="false" customHeight="false" outlineLevel="0" collapsed="false">
      <c r="A90" s="25"/>
      <c r="B90" s="16"/>
      <c r="C90" s="16"/>
      <c r="D90" s="16"/>
      <c r="E90" s="16"/>
      <c r="F90" s="16"/>
      <c r="G90" s="26"/>
      <c r="H90" s="26"/>
      <c r="I90" s="26"/>
      <c r="J90" s="26"/>
      <c r="K90" s="16"/>
      <c r="L90" s="27" t="str">
        <f aca="false">IF(G90="","",G90-H90+I90+IF(K90="N",J90,0))</f>
        <v/>
      </c>
      <c r="M90" s="16"/>
      <c r="N90" s="16"/>
      <c r="O90" s="16"/>
      <c r="P90" s="16"/>
      <c r="Q90" s="16"/>
      <c r="R90" s="16"/>
    </row>
    <row r="91" customFormat="false" ht="15" hidden="false" customHeight="false" outlineLevel="0" collapsed="false">
      <c r="A91" s="25"/>
      <c r="B91" s="16"/>
      <c r="C91" s="16"/>
      <c r="D91" s="16"/>
      <c r="E91" s="16"/>
      <c r="F91" s="16"/>
      <c r="G91" s="26"/>
      <c r="H91" s="26"/>
      <c r="I91" s="26"/>
      <c r="J91" s="26"/>
      <c r="K91" s="16"/>
      <c r="L91" s="27" t="str">
        <f aca="false">IF(G91="","",G91-H91+I91+IF(K91="N",J91,0))</f>
        <v/>
      </c>
      <c r="M91" s="16"/>
      <c r="N91" s="16"/>
      <c r="O91" s="16"/>
      <c r="P91" s="16"/>
      <c r="Q91" s="16"/>
      <c r="R91" s="16"/>
    </row>
    <row r="92" customFormat="false" ht="15" hidden="false" customHeight="false" outlineLevel="0" collapsed="false">
      <c r="A92" s="25"/>
      <c r="B92" s="16"/>
      <c r="C92" s="16"/>
      <c r="D92" s="16"/>
      <c r="E92" s="16"/>
      <c r="F92" s="16"/>
      <c r="G92" s="26"/>
      <c r="H92" s="26"/>
      <c r="I92" s="26"/>
      <c r="J92" s="26"/>
      <c r="K92" s="16"/>
      <c r="L92" s="27" t="str">
        <f aca="false">IF(G92="","",G92-H92+I92+IF(K92="N",J92,0))</f>
        <v/>
      </c>
      <c r="M92" s="16"/>
      <c r="N92" s="16"/>
      <c r="O92" s="16"/>
      <c r="P92" s="16"/>
      <c r="Q92" s="16"/>
      <c r="R92" s="16"/>
    </row>
    <row r="93" customFormat="false" ht="15" hidden="false" customHeight="false" outlineLevel="0" collapsed="false">
      <c r="A93" s="25"/>
      <c r="B93" s="16"/>
      <c r="C93" s="16"/>
      <c r="D93" s="16"/>
      <c r="E93" s="16"/>
      <c r="F93" s="16"/>
      <c r="G93" s="26"/>
      <c r="H93" s="26"/>
      <c r="I93" s="26"/>
      <c r="J93" s="26"/>
      <c r="K93" s="16"/>
      <c r="L93" s="27" t="str">
        <f aca="false">IF(G93="","",G93-H93+I93+IF(K93="N",J93,0))</f>
        <v/>
      </c>
      <c r="M93" s="16"/>
      <c r="N93" s="16"/>
      <c r="O93" s="16"/>
      <c r="P93" s="16"/>
      <c r="Q93" s="16"/>
      <c r="R93" s="16"/>
    </row>
    <row r="94" customFormat="false" ht="15" hidden="false" customHeight="false" outlineLevel="0" collapsed="false">
      <c r="A94" s="25"/>
      <c r="B94" s="16"/>
      <c r="C94" s="16"/>
      <c r="D94" s="16"/>
      <c r="E94" s="16"/>
      <c r="F94" s="16"/>
      <c r="G94" s="26"/>
      <c r="H94" s="26"/>
      <c r="I94" s="26"/>
      <c r="J94" s="26"/>
      <c r="K94" s="16"/>
      <c r="L94" s="27" t="str">
        <f aca="false">IF(G94="","",G94-H94+I94+IF(K94="N",J94,0))</f>
        <v/>
      </c>
      <c r="M94" s="16"/>
      <c r="N94" s="16"/>
      <c r="O94" s="16"/>
      <c r="P94" s="16"/>
      <c r="Q94" s="16"/>
      <c r="R94" s="16"/>
    </row>
    <row r="95" customFormat="false" ht="15" hidden="false" customHeight="false" outlineLevel="0" collapsed="false">
      <c r="A95" s="25"/>
      <c r="B95" s="16"/>
      <c r="C95" s="16"/>
      <c r="D95" s="16"/>
      <c r="E95" s="16"/>
      <c r="F95" s="16"/>
      <c r="G95" s="26"/>
      <c r="H95" s="26"/>
      <c r="I95" s="26"/>
      <c r="J95" s="26"/>
      <c r="K95" s="16"/>
      <c r="L95" s="27" t="str">
        <f aca="false">IF(G95="","",G95-H95+I95+IF(K95="N",J95,0))</f>
        <v/>
      </c>
      <c r="M95" s="16"/>
      <c r="N95" s="16"/>
      <c r="O95" s="16"/>
      <c r="P95" s="16"/>
      <c r="Q95" s="16"/>
      <c r="R95" s="16"/>
    </row>
    <row r="96" customFormat="false" ht="15" hidden="false" customHeight="false" outlineLevel="0" collapsed="false">
      <c r="A96" s="25"/>
      <c r="B96" s="16"/>
      <c r="C96" s="16"/>
      <c r="D96" s="16"/>
      <c r="E96" s="16"/>
      <c r="F96" s="16"/>
      <c r="G96" s="26"/>
      <c r="H96" s="26"/>
      <c r="I96" s="26"/>
      <c r="J96" s="26"/>
      <c r="K96" s="16"/>
      <c r="L96" s="27" t="str">
        <f aca="false">IF(G96="","",G96-H96+I96+IF(K96="N",J96,0))</f>
        <v/>
      </c>
      <c r="M96" s="16"/>
      <c r="N96" s="16"/>
      <c r="O96" s="16"/>
      <c r="P96" s="16"/>
      <c r="Q96" s="16"/>
      <c r="R96" s="16"/>
    </row>
    <row r="97" customFormat="false" ht="15" hidden="false" customHeight="false" outlineLevel="0" collapsed="false">
      <c r="A97" s="25"/>
      <c r="B97" s="16"/>
      <c r="C97" s="16"/>
      <c r="D97" s="16"/>
      <c r="E97" s="16"/>
      <c r="F97" s="16"/>
      <c r="G97" s="26"/>
      <c r="H97" s="26"/>
      <c r="I97" s="26"/>
      <c r="J97" s="26"/>
      <c r="K97" s="16"/>
      <c r="L97" s="27" t="str">
        <f aca="false">IF(G97="","",G97-H97+I97+IF(K97="N",J97,0))</f>
        <v/>
      </c>
      <c r="M97" s="16"/>
      <c r="N97" s="16"/>
      <c r="O97" s="16"/>
      <c r="P97" s="16"/>
      <c r="Q97" s="16"/>
      <c r="R97" s="16"/>
    </row>
    <row r="98" customFormat="false" ht="15" hidden="false" customHeight="false" outlineLevel="0" collapsed="false">
      <c r="A98" s="25"/>
      <c r="B98" s="16"/>
      <c r="C98" s="16"/>
      <c r="D98" s="16"/>
      <c r="E98" s="16"/>
      <c r="F98" s="16"/>
      <c r="G98" s="26"/>
      <c r="H98" s="26"/>
      <c r="I98" s="26"/>
      <c r="J98" s="26"/>
      <c r="K98" s="16"/>
      <c r="L98" s="27" t="str">
        <f aca="false">IF(G98="","",G98-H98+I98+IF(K98="N",J98,0))</f>
        <v/>
      </c>
      <c r="M98" s="16"/>
      <c r="N98" s="16"/>
      <c r="O98" s="16"/>
      <c r="P98" s="16"/>
      <c r="Q98" s="16"/>
      <c r="R98" s="16"/>
    </row>
    <row r="99" customFormat="false" ht="15" hidden="false" customHeight="false" outlineLevel="0" collapsed="false">
      <c r="A99" s="25"/>
      <c r="B99" s="16"/>
      <c r="C99" s="16"/>
      <c r="D99" s="16"/>
      <c r="E99" s="16"/>
      <c r="F99" s="16"/>
      <c r="G99" s="26"/>
      <c r="H99" s="26"/>
      <c r="I99" s="26"/>
      <c r="J99" s="26"/>
      <c r="K99" s="16"/>
      <c r="L99" s="27" t="str">
        <f aca="false">IF(G99="","",G99-H99+I99+IF(K99="N",J99,0))</f>
        <v/>
      </c>
      <c r="M99" s="16"/>
      <c r="N99" s="16"/>
      <c r="O99" s="16"/>
      <c r="P99" s="16"/>
      <c r="Q99" s="16"/>
      <c r="R99" s="16"/>
    </row>
    <row r="100" customFormat="false" ht="15" hidden="false" customHeight="false" outlineLevel="0" collapsed="false">
      <c r="A100" s="25"/>
      <c r="B100" s="16"/>
      <c r="C100" s="16"/>
      <c r="D100" s="16"/>
      <c r="E100" s="16"/>
      <c r="F100" s="16"/>
      <c r="G100" s="26"/>
      <c r="H100" s="26"/>
      <c r="I100" s="26"/>
      <c r="J100" s="26"/>
      <c r="K100" s="16"/>
      <c r="L100" s="27" t="str">
        <f aca="false">IF(G100="","",G100-H100+I100+IF(K100="N",J100,0))</f>
        <v/>
      </c>
      <c r="M100" s="16"/>
      <c r="N100" s="16"/>
      <c r="O100" s="16"/>
      <c r="P100" s="16"/>
      <c r="Q100" s="16"/>
      <c r="R100" s="16"/>
    </row>
    <row r="101" customFormat="false" ht="15" hidden="false" customHeight="false" outlineLevel="0" collapsed="false">
      <c r="A101" s="25"/>
      <c r="B101" s="16"/>
      <c r="C101" s="16"/>
      <c r="D101" s="16"/>
      <c r="E101" s="16"/>
      <c r="F101" s="16"/>
      <c r="G101" s="26"/>
      <c r="H101" s="26"/>
      <c r="I101" s="26"/>
      <c r="J101" s="26"/>
      <c r="K101" s="16"/>
      <c r="L101" s="27" t="str">
        <f aca="false">IF(G101="","",G101-H101+I101+IF(K101="N",J101,0))</f>
        <v/>
      </c>
      <c r="M101" s="16"/>
      <c r="N101" s="16"/>
      <c r="O101" s="16"/>
      <c r="P101" s="16"/>
      <c r="Q101" s="16"/>
      <c r="R101" s="16"/>
    </row>
    <row r="102" customFormat="false" ht="15" hidden="false" customHeight="false" outlineLevel="0" collapsed="false">
      <c r="A102" s="25"/>
      <c r="B102" s="16"/>
      <c r="C102" s="16"/>
      <c r="D102" s="16"/>
      <c r="E102" s="16"/>
      <c r="F102" s="16"/>
      <c r="G102" s="26"/>
      <c r="H102" s="26"/>
      <c r="I102" s="26"/>
      <c r="J102" s="26"/>
      <c r="K102" s="16"/>
      <c r="L102" s="27" t="str">
        <f aca="false">IF(G102="","",G102-H102+I102+IF(K102="N",J102,0))</f>
        <v/>
      </c>
      <c r="M102" s="16"/>
      <c r="N102" s="16"/>
      <c r="O102" s="16"/>
      <c r="P102" s="16"/>
      <c r="Q102" s="16"/>
      <c r="R102" s="16"/>
    </row>
    <row r="103" customFormat="false" ht="15" hidden="false" customHeight="false" outlineLevel="0" collapsed="false">
      <c r="A103" s="25"/>
      <c r="B103" s="16"/>
      <c r="C103" s="16"/>
      <c r="D103" s="16"/>
      <c r="E103" s="16"/>
      <c r="F103" s="16"/>
      <c r="G103" s="26"/>
      <c r="H103" s="26"/>
      <c r="I103" s="26"/>
      <c r="J103" s="26"/>
      <c r="K103" s="16"/>
      <c r="L103" s="27" t="str">
        <f aca="false">IF(G103="","",G103-H103+I103+IF(K103="N",J103,0))</f>
        <v/>
      </c>
      <c r="M103" s="16"/>
      <c r="N103" s="16"/>
      <c r="O103" s="16"/>
      <c r="P103" s="16"/>
      <c r="Q103" s="16"/>
      <c r="R103" s="16"/>
    </row>
    <row r="104" customFormat="false" ht="15" hidden="false" customHeight="false" outlineLevel="0" collapsed="false">
      <c r="A104" s="25"/>
      <c r="B104" s="16"/>
      <c r="C104" s="16"/>
      <c r="D104" s="16"/>
      <c r="E104" s="16"/>
      <c r="F104" s="16"/>
      <c r="G104" s="26"/>
      <c r="H104" s="26"/>
      <c r="I104" s="26"/>
      <c r="J104" s="26"/>
      <c r="K104" s="16"/>
      <c r="L104" s="27" t="str">
        <f aca="false">IF(G104="","",G104-H104+I104+IF(K104="N",J104,0))</f>
        <v/>
      </c>
      <c r="M104" s="16"/>
      <c r="N104" s="16"/>
      <c r="O104" s="16"/>
      <c r="P104" s="16"/>
      <c r="Q104" s="16"/>
      <c r="R104" s="16"/>
    </row>
    <row r="105" customFormat="false" ht="15" hidden="false" customHeight="false" outlineLevel="0" collapsed="false">
      <c r="A105" s="25"/>
      <c r="B105" s="16"/>
      <c r="C105" s="16"/>
      <c r="D105" s="16"/>
      <c r="E105" s="16"/>
      <c r="F105" s="16"/>
      <c r="G105" s="26"/>
      <c r="H105" s="26"/>
      <c r="I105" s="26"/>
      <c r="J105" s="26"/>
      <c r="K105" s="16"/>
      <c r="L105" s="27" t="str">
        <f aca="false">IF(G105="","",G105-H105+I105+IF(K105="N",J105,0))</f>
        <v/>
      </c>
      <c r="M105" s="16"/>
      <c r="N105" s="16"/>
      <c r="O105" s="16"/>
      <c r="P105" s="16"/>
      <c r="Q105" s="16"/>
      <c r="R105" s="16"/>
    </row>
    <row r="106" customFormat="false" ht="15" hidden="false" customHeight="false" outlineLevel="0" collapsed="false">
      <c r="A106" s="25"/>
      <c r="B106" s="16"/>
      <c r="C106" s="16"/>
      <c r="D106" s="16"/>
      <c r="E106" s="16"/>
      <c r="F106" s="16"/>
      <c r="G106" s="26"/>
      <c r="H106" s="26"/>
      <c r="I106" s="26"/>
      <c r="J106" s="26"/>
      <c r="K106" s="16"/>
      <c r="L106" s="27" t="str">
        <f aca="false">IF(G106="","",G106-H106+I106+IF(K106="N",J106,0))</f>
        <v/>
      </c>
      <c r="M106" s="16"/>
      <c r="N106" s="16"/>
      <c r="O106" s="16"/>
      <c r="P106" s="16"/>
      <c r="Q106" s="16"/>
      <c r="R106" s="16"/>
    </row>
    <row r="107" customFormat="false" ht="15" hidden="false" customHeight="false" outlineLevel="0" collapsed="false">
      <c r="A107" s="25"/>
      <c r="B107" s="16"/>
      <c r="C107" s="16"/>
      <c r="D107" s="16"/>
      <c r="E107" s="16"/>
      <c r="F107" s="16"/>
      <c r="G107" s="26"/>
      <c r="H107" s="26"/>
      <c r="I107" s="26"/>
      <c r="J107" s="26"/>
      <c r="K107" s="16"/>
      <c r="L107" s="27" t="str">
        <f aca="false">IF(G107="","",G107-H107+I107+IF(K107="N",J107,0))</f>
        <v/>
      </c>
      <c r="M107" s="16"/>
      <c r="N107" s="16"/>
      <c r="O107" s="16"/>
      <c r="P107" s="16"/>
      <c r="Q107" s="16"/>
      <c r="R107" s="16"/>
    </row>
    <row r="108" customFormat="false" ht="15" hidden="false" customHeight="false" outlineLevel="0" collapsed="false">
      <c r="A108" s="25"/>
      <c r="B108" s="16"/>
      <c r="C108" s="16"/>
      <c r="D108" s="16"/>
      <c r="E108" s="16"/>
      <c r="F108" s="16"/>
      <c r="G108" s="26"/>
      <c r="H108" s="26"/>
      <c r="I108" s="26"/>
      <c r="J108" s="26"/>
      <c r="K108" s="16"/>
      <c r="L108" s="27" t="str">
        <f aca="false">IF(G108="","",G108-H108+I108+IF(K108="N",J108,0))</f>
        <v/>
      </c>
      <c r="M108" s="16"/>
      <c r="N108" s="16"/>
      <c r="O108" s="16"/>
      <c r="P108" s="16"/>
      <c r="Q108" s="16"/>
      <c r="R108" s="16"/>
    </row>
    <row r="109" customFormat="false" ht="15" hidden="false" customHeight="false" outlineLevel="0" collapsed="false">
      <c r="A109" s="25"/>
      <c r="B109" s="16"/>
      <c r="C109" s="16"/>
      <c r="D109" s="16"/>
      <c r="E109" s="16"/>
      <c r="F109" s="16"/>
      <c r="G109" s="26"/>
      <c r="H109" s="26"/>
      <c r="I109" s="26"/>
      <c r="J109" s="26"/>
      <c r="K109" s="16"/>
      <c r="L109" s="27" t="str">
        <f aca="false">IF(G109="","",G109-H109+I109+IF(K109="N",J109,0))</f>
        <v/>
      </c>
      <c r="M109" s="16"/>
      <c r="N109" s="16"/>
      <c r="O109" s="16"/>
      <c r="P109" s="16"/>
      <c r="Q109" s="16"/>
      <c r="R109" s="16"/>
    </row>
    <row r="110" customFormat="false" ht="15" hidden="false" customHeight="false" outlineLevel="0" collapsed="false">
      <c r="A110" s="25"/>
      <c r="B110" s="16"/>
      <c r="C110" s="16"/>
      <c r="D110" s="16"/>
      <c r="E110" s="16"/>
      <c r="F110" s="16"/>
      <c r="G110" s="26"/>
      <c r="H110" s="26"/>
      <c r="I110" s="26"/>
      <c r="J110" s="26"/>
      <c r="K110" s="16"/>
      <c r="L110" s="27" t="str">
        <f aca="false">IF(G110="","",G110-H110+I110+IF(K110="N",J110,0))</f>
        <v/>
      </c>
      <c r="M110" s="16"/>
      <c r="N110" s="16"/>
      <c r="O110" s="16"/>
      <c r="P110" s="16"/>
      <c r="Q110" s="16"/>
      <c r="R110" s="16"/>
    </row>
    <row r="111" customFormat="false" ht="15" hidden="false" customHeight="false" outlineLevel="0" collapsed="false">
      <c r="A111" s="25"/>
      <c r="B111" s="16"/>
      <c r="C111" s="16"/>
      <c r="D111" s="16"/>
      <c r="E111" s="16"/>
      <c r="F111" s="16"/>
      <c r="G111" s="26"/>
      <c r="H111" s="26"/>
      <c r="I111" s="26"/>
      <c r="J111" s="26"/>
      <c r="K111" s="16"/>
      <c r="L111" s="27" t="str">
        <f aca="false">IF(G111="","",G111-H111+I111+IF(K111="N",J111,0))</f>
        <v/>
      </c>
      <c r="M111" s="16"/>
      <c r="N111" s="16"/>
      <c r="O111" s="16"/>
      <c r="P111" s="16"/>
      <c r="Q111" s="16"/>
      <c r="R111" s="16"/>
    </row>
    <row r="112" customFormat="false" ht="15" hidden="false" customHeight="false" outlineLevel="0" collapsed="false">
      <c r="A112" s="25"/>
      <c r="B112" s="16"/>
      <c r="C112" s="16"/>
      <c r="D112" s="16"/>
      <c r="E112" s="16"/>
      <c r="F112" s="16"/>
      <c r="G112" s="26"/>
      <c r="H112" s="26"/>
      <c r="I112" s="26"/>
      <c r="J112" s="26"/>
      <c r="K112" s="16"/>
      <c r="L112" s="27" t="str">
        <f aca="false">IF(G112="","",G112-H112+I112+IF(K112="N",J112,0))</f>
        <v/>
      </c>
      <c r="M112" s="16"/>
      <c r="N112" s="16"/>
      <c r="O112" s="16"/>
      <c r="P112" s="16"/>
      <c r="Q112" s="16"/>
      <c r="R112" s="16"/>
    </row>
    <row r="113" customFormat="false" ht="15" hidden="false" customHeight="false" outlineLevel="0" collapsed="false">
      <c r="A113" s="25"/>
      <c r="B113" s="16"/>
      <c r="C113" s="16"/>
      <c r="D113" s="16"/>
      <c r="E113" s="16"/>
      <c r="F113" s="16"/>
      <c r="G113" s="26"/>
      <c r="H113" s="26"/>
      <c r="I113" s="26"/>
      <c r="J113" s="26"/>
      <c r="K113" s="16"/>
      <c r="L113" s="27" t="str">
        <f aca="false">IF(G113="","",G113-H113+I113+IF(K113="N",J113,0))</f>
        <v/>
      </c>
      <c r="M113" s="16"/>
      <c r="N113" s="16"/>
      <c r="O113" s="16"/>
      <c r="P113" s="16"/>
      <c r="Q113" s="16"/>
      <c r="R113" s="16"/>
    </row>
    <row r="114" customFormat="false" ht="15" hidden="false" customHeight="false" outlineLevel="0" collapsed="false">
      <c r="A114" s="25"/>
      <c r="B114" s="16"/>
      <c r="C114" s="16"/>
      <c r="D114" s="16"/>
      <c r="E114" s="16"/>
      <c r="F114" s="16"/>
      <c r="G114" s="26"/>
      <c r="H114" s="26"/>
      <c r="I114" s="26"/>
      <c r="J114" s="26"/>
      <c r="K114" s="16"/>
      <c r="L114" s="27" t="str">
        <f aca="false">IF(G114="","",G114-H114+I114+IF(K114="N",J114,0))</f>
        <v/>
      </c>
      <c r="M114" s="16"/>
      <c r="N114" s="16"/>
      <c r="O114" s="16"/>
      <c r="P114" s="16"/>
      <c r="Q114" s="16"/>
      <c r="R114" s="16"/>
    </row>
    <row r="115" customFormat="false" ht="15" hidden="false" customHeight="false" outlineLevel="0" collapsed="false">
      <c r="A115" s="25"/>
      <c r="B115" s="16"/>
      <c r="C115" s="16"/>
      <c r="D115" s="16"/>
      <c r="E115" s="16"/>
      <c r="F115" s="16"/>
      <c r="G115" s="26"/>
      <c r="H115" s="26"/>
      <c r="I115" s="26"/>
      <c r="J115" s="26"/>
      <c r="K115" s="16"/>
      <c r="L115" s="27" t="str">
        <f aca="false">IF(G115="","",G115-H115+I115+IF(K115="N",J115,0))</f>
        <v/>
      </c>
      <c r="M115" s="16"/>
      <c r="N115" s="16"/>
      <c r="O115" s="16"/>
      <c r="P115" s="16"/>
      <c r="Q115" s="16"/>
      <c r="R115" s="16"/>
    </row>
    <row r="116" customFormat="false" ht="15" hidden="false" customHeight="false" outlineLevel="0" collapsed="false">
      <c r="A116" s="25"/>
      <c r="B116" s="16"/>
      <c r="C116" s="16"/>
      <c r="D116" s="16"/>
      <c r="E116" s="16"/>
      <c r="F116" s="16"/>
      <c r="G116" s="26"/>
      <c r="H116" s="26"/>
      <c r="I116" s="26"/>
      <c r="J116" s="26"/>
      <c r="K116" s="16"/>
      <c r="L116" s="27" t="str">
        <f aca="false">IF(G116="","",G116-H116+I116+IF(K116="N",J116,0))</f>
        <v/>
      </c>
      <c r="M116" s="16"/>
      <c r="N116" s="16"/>
      <c r="O116" s="16"/>
      <c r="P116" s="16"/>
      <c r="Q116" s="16"/>
      <c r="R116" s="16"/>
    </row>
    <row r="117" customFormat="false" ht="15" hidden="false" customHeight="false" outlineLevel="0" collapsed="false">
      <c r="A117" s="25"/>
      <c r="B117" s="16"/>
      <c r="C117" s="16"/>
      <c r="D117" s="16"/>
      <c r="E117" s="16"/>
      <c r="F117" s="16"/>
      <c r="G117" s="26"/>
      <c r="H117" s="26"/>
      <c r="I117" s="26"/>
      <c r="J117" s="26"/>
      <c r="K117" s="16"/>
      <c r="L117" s="27" t="str">
        <f aca="false">IF(G117="","",G117-H117+I117+IF(K117="N",J117,0))</f>
        <v/>
      </c>
      <c r="M117" s="16"/>
      <c r="N117" s="16"/>
      <c r="O117" s="16"/>
      <c r="P117" s="16"/>
      <c r="Q117" s="16"/>
      <c r="R117" s="16"/>
    </row>
    <row r="118" customFormat="false" ht="15" hidden="false" customHeight="false" outlineLevel="0" collapsed="false">
      <c r="A118" s="25"/>
      <c r="B118" s="16"/>
      <c r="C118" s="16"/>
      <c r="D118" s="16"/>
      <c r="E118" s="16"/>
      <c r="F118" s="16"/>
      <c r="G118" s="26"/>
      <c r="H118" s="26"/>
      <c r="I118" s="26"/>
      <c r="J118" s="26"/>
      <c r="K118" s="16"/>
      <c r="L118" s="27" t="str">
        <f aca="false">IF(G118="","",G118-H118+I118+IF(K118="N",J118,0))</f>
        <v/>
      </c>
      <c r="M118" s="16"/>
      <c r="N118" s="16"/>
      <c r="O118" s="16"/>
      <c r="P118" s="16"/>
      <c r="Q118" s="16"/>
      <c r="R118" s="16"/>
    </row>
    <row r="119" customFormat="false" ht="15" hidden="false" customHeight="false" outlineLevel="0" collapsed="false">
      <c r="A119" s="25"/>
      <c r="B119" s="16"/>
      <c r="C119" s="16"/>
      <c r="D119" s="16"/>
      <c r="E119" s="16"/>
      <c r="F119" s="16"/>
      <c r="G119" s="26"/>
      <c r="H119" s="26"/>
      <c r="I119" s="26"/>
      <c r="J119" s="26"/>
      <c r="K119" s="16"/>
      <c r="L119" s="27" t="str">
        <f aca="false">IF(G119="","",G119-H119+I119+IF(K119="N",J119,0))</f>
        <v/>
      </c>
      <c r="M119" s="16"/>
      <c r="N119" s="16"/>
      <c r="O119" s="16"/>
      <c r="P119" s="16"/>
      <c r="Q119" s="16"/>
      <c r="R119" s="16"/>
    </row>
    <row r="120" customFormat="false" ht="15" hidden="false" customHeight="false" outlineLevel="0" collapsed="false">
      <c r="A120" s="25"/>
      <c r="B120" s="16"/>
      <c r="C120" s="16"/>
      <c r="D120" s="16"/>
      <c r="E120" s="16"/>
      <c r="F120" s="16"/>
      <c r="G120" s="26"/>
      <c r="H120" s="26"/>
      <c r="I120" s="26"/>
      <c r="J120" s="26"/>
      <c r="K120" s="16"/>
      <c r="L120" s="27" t="str">
        <f aca="false">IF(G120="","",G120-H120+I120+IF(K120="N",J120,0))</f>
        <v/>
      </c>
      <c r="M120" s="16"/>
      <c r="N120" s="16"/>
      <c r="O120" s="16"/>
      <c r="P120" s="16"/>
      <c r="Q120" s="16"/>
      <c r="R120" s="16"/>
    </row>
    <row r="121" customFormat="false" ht="15" hidden="false" customHeight="false" outlineLevel="0" collapsed="false">
      <c r="A121" s="25"/>
      <c r="B121" s="16"/>
      <c r="C121" s="16"/>
      <c r="D121" s="16"/>
      <c r="E121" s="16"/>
      <c r="F121" s="16"/>
      <c r="G121" s="26"/>
      <c r="H121" s="26"/>
      <c r="I121" s="26"/>
      <c r="J121" s="26"/>
      <c r="K121" s="16"/>
      <c r="L121" s="27" t="str">
        <f aca="false">IF(G121="","",G121-H121+I121+IF(K121="N",J121,0))</f>
        <v/>
      </c>
      <c r="M121" s="16"/>
      <c r="N121" s="16"/>
      <c r="O121" s="16"/>
      <c r="P121" s="16"/>
      <c r="Q121" s="16"/>
      <c r="R121" s="16"/>
    </row>
    <row r="122" customFormat="false" ht="15" hidden="false" customHeight="false" outlineLevel="0" collapsed="false">
      <c r="A122" s="25"/>
      <c r="B122" s="16"/>
      <c r="C122" s="16"/>
      <c r="D122" s="16"/>
      <c r="E122" s="16"/>
      <c r="F122" s="16"/>
      <c r="G122" s="26"/>
      <c r="H122" s="26"/>
      <c r="I122" s="26"/>
      <c r="J122" s="26"/>
      <c r="K122" s="16"/>
      <c r="L122" s="27" t="str">
        <f aca="false">IF(G122="","",G122-H122+I122+IF(K122="N",J122,0))</f>
        <v/>
      </c>
      <c r="M122" s="16"/>
      <c r="N122" s="16"/>
      <c r="O122" s="16"/>
      <c r="P122" s="16"/>
      <c r="Q122" s="16"/>
      <c r="R122" s="16"/>
    </row>
    <row r="123" customFormat="false" ht="15" hidden="false" customHeight="false" outlineLevel="0" collapsed="false">
      <c r="A123" s="25"/>
      <c r="B123" s="16"/>
      <c r="C123" s="16"/>
      <c r="D123" s="16"/>
      <c r="E123" s="16"/>
      <c r="F123" s="16"/>
      <c r="G123" s="26"/>
      <c r="H123" s="26"/>
      <c r="I123" s="26"/>
      <c r="J123" s="26"/>
      <c r="K123" s="16"/>
      <c r="L123" s="27" t="str">
        <f aca="false">IF(G123="","",G123-H123+I123+IF(K123="N",J123,0))</f>
        <v/>
      </c>
      <c r="M123" s="16"/>
      <c r="N123" s="16"/>
      <c r="O123" s="16"/>
      <c r="P123" s="16"/>
      <c r="Q123" s="16"/>
      <c r="R123" s="16"/>
    </row>
    <row r="124" customFormat="false" ht="15" hidden="false" customHeight="false" outlineLevel="0" collapsed="false">
      <c r="A124" s="25"/>
      <c r="B124" s="16"/>
      <c r="C124" s="16"/>
      <c r="D124" s="16"/>
      <c r="E124" s="16"/>
      <c r="F124" s="16"/>
      <c r="G124" s="26"/>
      <c r="H124" s="26"/>
      <c r="I124" s="26"/>
      <c r="J124" s="26"/>
      <c r="K124" s="16"/>
      <c r="L124" s="27" t="str">
        <f aca="false">IF(G124="","",G124-H124+I124+IF(K124="N",J124,0))</f>
        <v/>
      </c>
      <c r="M124" s="16"/>
      <c r="N124" s="16"/>
      <c r="O124" s="16"/>
      <c r="P124" s="16"/>
      <c r="Q124" s="16"/>
      <c r="R124" s="16"/>
    </row>
    <row r="125" customFormat="false" ht="15" hidden="false" customHeight="false" outlineLevel="0" collapsed="false">
      <c r="A125" s="25"/>
      <c r="B125" s="16"/>
      <c r="C125" s="16"/>
      <c r="D125" s="16"/>
      <c r="E125" s="16"/>
      <c r="F125" s="16"/>
      <c r="G125" s="26"/>
      <c r="H125" s="26"/>
      <c r="I125" s="26"/>
      <c r="J125" s="26"/>
      <c r="K125" s="16"/>
      <c r="L125" s="27" t="str">
        <f aca="false">IF(G125="","",G125-H125+I125+IF(K125="N",J125,0))</f>
        <v/>
      </c>
      <c r="M125" s="16"/>
      <c r="N125" s="16"/>
      <c r="O125" s="16"/>
      <c r="P125" s="16"/>
      <c r="Q125" s="16"/>
      <c r="R125" s="16"/>
    </row>
    <row r="126" customFormat="false" ht="15" hidden="false" customHeight="false" outlineLevel="0" collapsed="false">
      <c r="A126" s="25"/>
      <c r="B126" s="16"/>
      <c r="C126" s="16"/>
      <c r="D126" s="16"/>
      <c r="E126" s="16"/>
      <c r="F126" s="16"/>
      <c r="G126" s="26"/>
      <c r="H126" s="26"/>
      <c r="I126" s="26"/>
      <c r="J126" s="26"/>
      <c r="K126" s="16"/>
      <c r="L126" s="27" t="str">
        <f aca="false">IF(G126="","",G126-H126+I126+IF(K126="N",J126,0))</f>
        <v/>
      </c>
      <c r="M126" s="16"/>
      <c r="N126" s="16"/>
      <c r="O126" s="16"/>
      <c r="P126" s="16"/>
      <c r="Q126" s="16"/>
      <c r="R126" s="16"/>
    </row>
    <row r="127" customFormat="false" ht="15" hidden="false" customHeight="false" outlineLevel="0" collapsed="false">
      <c r="A127" s="25"/>
      <c r="B127" s="16"/>
      <c r="C127" s="16"/>
      <c r="D127" s="16"/>
      <c r="E127" s="16"/>
      <c r="F127" s="16"/>
      <c r="G127" s="26"/>
      <c r="H127" s="26"/>
      <c r="I127" s="26"/>
      <c r="J127" s="26"/>
      <c r="K127" s="16"/>
      <c r="L127" s="27" t="str">
        <f aca="false">IF(G127="","",G127-H127+I127+IF(K127="N",J127,0))</f>
        <v/>
      </c>
      <c r="M127" s="16"/>
      <c r="N127" s="16"/>
      <c r="O127" s="16"/>
      <c r="P127" s="16"/>
      <c r="Q127" s="16"/>
      <c r="R127" s="16"/>
    </row>
    <row r="128" customFormat="false" ht="15" hidden="false" customHeight="false" outlineLevel="0" collapsed="false">
      <c r="A128" s="25"/>
      <c r="B128" s="16"/>
      <c r="C128" s="16"/>
      <c r="D128" s="16"/>
      <c r="E128" s="16"/>
      <c r="F128" s="16"/>
      <c r="G128" s="26"/>
      <c r="H128" s="26"/>
      <c r="I128" s="26"/>
      <c r="J128" s="26"/>
      <c r="K128" s="16"/>
      <c r="L128" s="27" t="str">
        <f aca="false">IF(G128="","",G128-H128+I128+IF(K128="N",J128,0))</f>
        <v/>
      </c>
      <c r="M128" s="16"/>
      <c r="N128" s="16"/>
      <c r="O128" s="16"/>
      <c r="P128" s="16"/>
      <c r="Q128" s="16"/>
      <c r="R128" s="16"/>
    </row>
    <row r="129" customFormat="false" ht="15" hidden="false" customHeight="false" outlineLevel="0" collapsed="false">
      <c r="A129" s="25"/>
      <c r="B129" s="16"/>
      <c r="C129" s="16"/>
      <c r="D129" s="16"/>
      <c r="E129" s="16"/>
      <c r="F129" s="16"/>
      <c r="G129" s="26"/>
      <c r="H129" s="26"/>
      <c r="I129" s="26"/>
      <c r="J129" s="26"/>
      <c r="K129" s="16"/>
      <c r="L129" s="27" t="str">
        <f aca="false">IF(G129="","",G129-H129+I129+IF(K129="N",J129,0))</f>
        <v/>
      </c>
      <c r="M129" s="16"/>
      <c r="N129" s="16"/>
      <c r="O129" s="16"/>
      <c r="P129" s="16"/>
      <c r="Q129" s="16"/>
      <c r="R129" s="16"/>
    </row>
    <row r="130" customFormat="false" ht="15" hidden="false" customHeight="false" outlineLevel="0" collapsed="false">
      <c r="A130" s="25"/>
      <c r="B130" s="16"/>
      <c r="C130" s="16"/>
      <c r="D130" s="16"/>
      <c r="E130" s="16"/>
      <c r="F130" s="16"/>
      <c r="G130" s="26"/>
      <c r="H130" s="26"/>
      <c r="I130" s="26"/>
      <c r="J130" s="26"/>
      <c r="K130" s="16"/>
      <c r="L130" s="27" t="str">
        <f aca="false">IF(G130="","",G130-H130+I130+IF(K130="N",J130,0))</f>
        <v/>
      </c>
      <c r="M130" s="16"/>
      <c r="N130" s="16"/>
      <c r="O130" s="16"/>
      <c r="P130" s="16"/>
      <c r="Q130" s="16"/>
      <c r="R130" s="16"/>
    </row>
    <row r="131" customFormat="false" ht="15" hidden="false" customHeight="false" outlineLevel="0" collapsed="false">
      <c r="A131" s="25"/>
      <c r="B131" s="16"/>
      <c r="C131" s="16"/>
      <c r="D131" s="16"/>
      <c r="E131" s="16"/>
      <c r="F131" s="16"/>
      <c r="G131" s="26"/>
      <c r="H131" s="26"/>
      <c r="I131" s="26"/>
      <c r="J131" s="26"/>
      <c r="K131" s="16"/>
      <c r="L131" s="27" t="str">
        <f aca="false">IF(G131="","",G131-H131+I131+IF(K131="N",J131,0))</f>
        <v/>
      </c>
      <c r="M131" s="16"/>
      <c r="N131" s="16"/>
      <c r="O131" s="16"/>
      <c r="P131" s="16"/>
      <c r="Q131" s="16"/>
      <c r="R131" s="16"/>
    </row>
    <row r="132" customFormat="false" ht="15" hidden="false" customHeight="false" outlineLevel="0" collapsed="false">
      <c r="A132" s="25"/>
      <c r="B132" s="16"/>
      <c r="C132" s="16"/>
      <c r="D132" s="16"/>
      <c r="E132" s="16"/>
      <c r="F132" s="16"/>
      <c r="G132" s="26"/>
      <c r="H132" s="26"/>
      <c r="I132" s="26"/>
      <c r="J132" s="26"/>
      <c r="K132" s="16"/>
      <c r="L132" s="27" t="str">
        <f aca="false">IF(G132="","",G132-H132+I132+IF(K132="N",J132,0))</f>
        <v/>
      </c>
      <c r="M132" s="16"/>
      <c r="N132" s="16"/>
      <c r="O132" s="16"/>
      <c r="P132" s="16"/>
      <c r="Q132" s="16"/>
      <c r="R132" s="16"/>
    </row>
    <row r="133" customFormat="false" ht="15" hidden="false" customHeight="false" outlineLevel="0" collapsed="false">
      <c r="A133" s="25"/>
      <c r="B133" s="16"/>
      <c r="C133" s="16"/>
      <c r="D133" s="16"/>
      <c r="E133" s="16"/>
      <c r="F133" s="16"/>
      <c r="G133" s="26"/>
      <c r="H133" s="26"/>
      <c r="I133" s="26"/>
      <c r="J133" s="26"/>
      <c r="K133" s="16"/>
      <c r="L133" s="27" t="str">
        <f aca="false">IF(G133="","",G133-H133+I133+IF(K133="N",J133,0))</f>
        <v/>
      </c>
      <c r="M133" s="16"/>
      <c r="N133" s="16"/>
      <c r="O133" s="16"/>
      <c r="P133" s="16"/>
      <c r="Q133" s="16"/>
      <c r="R133" s="16"/>
    </row>
    <row r="134" customFormat="false" ht="15" hidden="false" customHeight="false" outlineLevel="0" collapsed="false">
      <c r="A134" s="25"/>
      <c r="B134" s="16"/>
      <c r="C134" s="16"/>
      <c r="D134" s="16"/>
      <c r="E134" s="16"/>
      <c r="F134" s="16"/>
      <c r="G134" s="26"/>
      <c r="H134" s="26"/>
      <c r="I134" s="26"/>
      <c r="J134" s="26"/>
      <c r="K134" s="16"/>
      <c r="L134" s="27" t="str">
        <f aca="false">IF(G134="","",G134-H134+I134+IF(K134="N",J134,0))</f>
        <v/>
      </c>
      <c r="M134" s="16"/>
      <c r="N134" s="16"/>
      <c r="O134" s="16"/>
      <c r="P134" s="16"/>
      <c r="Q134" s="16"/>
      <c r="R134" s="16"/>
    </row>
    <row r="135" customFormat="false" ht="15" hidden="false" customHeight="false" outlineLevel="0" collapsed="false">
      <c r="A135" s="25"/>
      <c r="B135" s="16"/>
      <c r="C135" s="16"/>
      <c r="D135" s="16"/>
      <c r="E135" s="16"/>
      <c r="F135" s="16"/>
      <c r="G135" s="26"/>
      <c r="H135" s="26"/>
      <c r="I135" s="26"/>
      <c r="J135" s="26"/>
      <c r="K135" s="16"/>
      <c r="L135" s="27" t="str">
        <f aca="false">IF(G135="","",G135-H135+I135+IF(K135="N",J135,0))</f>
        <v/>
      </c>
      <c r="M135" s="16"/>
      <c r="N135" s="16"/>
      <c r="O135" s="16"/>
      <c r="P135" s="16"/>
      <c r="Q135" s="16"/>
      <c r="R135" s="16"/>
    </row>
    <row r="136" customFormat="false" ht="15" hidden="false" customHeight="false" outlineLevel="0" collapsed="false">
      <c r="A136" s="25"/>
      <c r="B136" s="16"/>
      <c r="C136" s="16"/>
      <c r="D136" s="16"/>
      <c r="E136" s="16"/>
      <c r="F136" s="16"/>
      <c r="G136" s="26"/>
      <c r="H136" s="26"/>
      <c r="I136" s="26"/>
      <c r="J136" s="26"/>
      <c r="K136" s="16"/>
      <c r="L136" s="27" t="str">
        <f aca="false">IF(G136="","",G136-H136+I136+IF(K136="N",J136,0))</f>
        <v/>
      </c>
      <c r="M136" s="16"/>
      <c r="N136" s="16"/>
      <c r="O136" s="16"/>
      <c r="P136" s="16"/>
      <c r="Q136" s="16"/>
      <c r="R136" s="16"/>
    </row>
    <row r="137" customFormat="false" ht="15" hidden="false" customHeight="false" outlineLevel="0" collapsed="false">
      <c r="A137" s="25"/>
      <c r="B137" s="16"/>
      <c r="C137" s="16"/>
      <c r="D137" s="16"/>
      <c r="E137" s="16"/>
      <c r="F137" s="16"/>
      <c r="G137" s="26"/>
      <c r="H137" s="26"/>
      <c r="I137" s="26"/>
      <c r="J137" s="26"/>
      <c r="K137" s="16"/>
      <c r="L137" s="27" t="str">
        <f aca="false">IF(G137="","",G137-H137+I137+IF(K137="N",J137,0))</f>
        <v/>
      </c>
      <c r="M137" s="16"/>
      <c r="N137" s="16"/>
      <c r="O137" s="16"/>
      <c r="P137" s="16"/>
      <c r="Q137" s="16"/>
      <c r="R137" s="16"/>
    </row>
    <row r="138" customFormat="false" ht="15" hidden="false" customHeight="false" outlineLevel="0" collapsed="false">
      <c r="A138" s="25"/>
      <c r="B138" s="16"/>
      <c r="C138" s="16"/>
      <c r="D138" s="16"/>
      <c r="E138" s="16"/>
      <c r="F138" s="16"/>
      <c r="G138" s="26"/>
      <c r="H138" s="26"/>
      <c r="I138" s="26"/>
      <c r="J138" s="26"/>
      <c r="K138" s="16"/>
      <c r="L138" s="27" t="str">
        <f aca="false">IF(G138="","",G138-H138+I138+IF(K138="N",J138,0))</f>
        <v/>
      </c>
      <c r="M138" s="16"/>
      <c r="N138" s="16"/>
      <c r="O138" s="16"/>
      <c r="P138" s="16"/>
      <c r="Q138" s="16"/>
      <c r="R138" s="16"/>
    </row>
    <row r="139" customFormat="false" ht="15" hidden="false" customHeight="false" outlineLevel="0" collapsed="false">
      <c r="A139" s="25"/>
      <c r="B139" s="16"/>
      <c r="C139" s="16"/>
      <c r="D139" s="16"/>
      <c r="E139" s="16"/>
      <c r="F139" s="16"/>
      <c r="G139" s="26"/>
      <c r="H139" s="26"/>
      <c r="I139" s="26"/>
      <c r="J139" s="26"/>
      <c r="K139" s="16"/>
      <c r="L139" s="27" t="str">
        <f aca="false">IF(G139="","",G139-H139+I139+IF(K139="N",J139,0))</f>
        <v/>
      </c>
      <c r="M139" s="16"/>
      <c r="N139" s="16"/>
      <c r="O139" s="16"/>
      <c r="P139" s="16"/>
      <c r="Q139" s="16"/>
      <c r="R139" s="16"/>
    </row>
    <row r="140" customFormat="false" ht="15" hidden="false" customHeight="false" outlineLevel="0" collapsed="false">
      <c r="A140" s="25"/>
      <c r="B140" s="16"/>
      <c r="C140" s="16"/>
      <c r="D140" s="16"/>
      <c r="E140" s="16"/>
      <c r="F140" s="16"/>
      <c r="G140" s="26"/>
      <c r="H140" s="26"/>
      <c r="I140" s="26"/>
      <c r="J140" s="26"/>
      <c r="K140" s="16"/>
      <c r="L140" s="27" t="str">
        <f aca="false">IF(G140="","",G140-H140+I140+IF(K140="N",J140,0))</f>
        <v/>
      </c>
      <c r="M140" s="16"/>
      <c r="N140" s="16"/>
      <c r="O140" s="16"/>
      <c r="P140" s="16"/>
      <c r="Q140" s="16"/>
      <c r="R140" s="16"/>
    </row>
    <row r="141" customFormat="false" ht="15" hidden="false" customHeight="false" outlineLevel="0" collapsed="false">
      <c r="A141" s="25"/>
      <c r="B141" s="16"/>
      <c r="C141" s="16"/>
      <c r="D141" s="16"/>
      <c r="E141" s="16"/>
      <c r="F141" s="16"/>
      <c r="G141" s="26"/>
      <c r="H141" s="26"/>
      <c r="I141" s="26"/>
      <c r="J141" s="26"/>
      <c r="K141" s="16"/>
      <c r="L141" s="27" t="str">
        <f aca="false">IF(G141="","",G141-H141+I141+IF(K141="N",J141,0))</f>
        <v/>
      </c>
      <c r="M141" s="16"/>
      <c r="N141" s="16"/>
      <c r="O141" s="16"/>
      <c r="P141" s="16"/>
      <c r="Q141" s="16"/>
      <c r="R141" s="16"/>
    </row>
    <row r="142" customFormat="false" ht="15" hidden="false" customHeight="false" outlineLevel="0" collapsed="false">
      <c r="A142" s="25"/>
      <c r="B142" s="16"/>
      <c r="C142" s="16"/>
      <c r="D142" s="16"/>
      <c r="E142" s="16"/>
      <c r="F142" s="16"/>
      <c r="G142" s="26"/>
      <c r="H142" s="26"/>
      <c r="I142" s="26"/>
      <c r="J142" s="26"/>
      <c r="K142" s="16"/>
      <c r="L142" s="27" t="str">
        <f aca="false">IF(G142="","",G142-H142+I142+IF(K142="N",J142,0))</f>
        <v/>
      </c>
      <c r="M142" s="16"/>
      <c r="N142" s="16"/>
      <c r="O142" s="16"/>
      <c r="P142" s="16"/>
      <c r="Q142" s="16"/>
      <c r="R142" s="16"/>
    </row>
    <row r="143" customFormat="false" ht="15" hidden="false" customHeight="false" outlineLevel="0" collapsed="false">
      <c r="A143" s="25"/>
      <c r="B143" s="16"/>
      <c r="C143" s="16"/>
      <c r="D143" s="16"/>
      <c r="E143" s="16"/>
      <c r="F143" s="16"/>
      <c r="G143" s="26"/>
      <c r="H143" s="26"/>
      <c r="I143" s="26"/>
      <c r="J143" s="26"/>
      <c r="K143" s="16"/>
      <c r="L143" s="27" t="str">
        <f aca="false">IF(G143="","",G143-H143+I143+IF(K143="N",J143,0))</f>
        <v/>
      </c>
      <c r="M143" s="16"/>
      <c r="N143" s="16"/>
      <c r="O143" s="16"/>
      <c r="P143" s="16"/>
      <c r="Q143" s="16"/>
      <c r="R143" s="16"/>
    </row>
    <row r="144" customFormat="false" ht="15" hidden="false" customHeight="false" outlineLevel="0" collapsed="false">
      <c r="A144" s="25"/>
      <c r="B144" s="16"/>
      <c r="C144" s="16"/>
      <c r="D144" s="16"/>
      <c r="E144" s="16"/>
      <c r="F144" s="16"/>
      <c r="G144" s="26"/>
      <c r="H144" s="26"/>
      <c r="I144" s="26"/>
      <c r="J144" s="26"/>
      <c r="K144" s="16"/>
      <c r="L144" s="27" t="str">
        <f aca="false">IF(G144="","",G144-H144+I144+IF(K144="N",J144,0))</f>
        <v/>
      </c>
      <c r="M144" s="16"/>
      <c r="N144" s="16"/>
      <c r="O144" s="16"/>
      <c r="P144" s="16"/>
      <c r="Q144" s="16"/>
      <c r="R144" s="16"/>
    </row>
    <row r="145" customFormat="false" ht="15" hidden="false" customHeight="false" outlineLevel="0" collapsed="false">
      <c r="A145" s="25"/>
      <c r="B145" s="16"/>
      <c r="C145" s="16"/>
      <c r="D145" s="16"/>
      <c r="E145" s="16"/>
      <c r="F145" s="16"/>
      <c r="G145" s="26"/>
      <c r="H145" s="26"/>
      <c r="I145" s="26"/>
      <c r="J145" s="26"/>
      <c r="K145" s="16"/>
      <c r="L145" s="27" t="str">
        <f aca="false">IF(G145="","",G145-H145+I145+IF(K145="N",J145,0))</f>
        <v/>
      </c>
      <c r="M145" s="16"/>
      <c r="N145" s="16"/>
      <c r="O145" s="16"/>
      <c r="P145" s="16"/>
      <c r="Q145" s="16"/>
      <c r="R145" s="16"/>
    </row>
    <row r="146" customFormat="false" ht="15" hidden="false" customHeight="false" outlineLevel="0" collapsed="false">
      <c r="A146" s="25"/>
      <c r="B146" s="16"/>
      <c r="C146" s="16"/>
      <c r="D146" s="16"/>
      <c r="E146" s="16"/>
      <c r="F146" s="16"/>
      <c r="G146" s="26"/>
      <c r="H146" s="26"/>
      <c r="I146" s="26"/>
      <c r="J146" s="26"/>
      <c r="K146" s="16"/>
      <c r="L146" s="27" t="str">
        <f aca="false">IF(G146="","",G146-H146+I146+IF(K146="N",J146,0))</f>
        <v/>
      </c>
      <c r="M146" s="16"/>
      <c r="N146" s="16"/>
      <c r="O146" s="16"/>
      <c r="P146" s="16"/>
      <c r="Q146" s="16"/>
      <c r="R146" s="16"/>
    </row>
    <row r="147" customFormat="false" ht="15" hidden="false" customHeight="false" outlineLevel="0" collapsed="false">
      <c r="A147" s="25"/>
      <c r="B147" s="16"/>
      <c r="C147" s="16"/>
      <c r="D147" s="16"/>
      <c r="E147" s="16"/>
      <c r="F147" s="16"/>
      <c r="G147" s="26"/>
      <c r="H147" s="26"/>
      <c r="I147" s="26"/>
      <c r="J147" s="26"/>
      <c r="K147" s="16"/>
      <c r="L147" s="27" t="str">
        <f aca="false">IF(G147="","",G147-H147+I147+IF(K147="N",J147,0))</f>
        <v/>
      </c>
      <c r="M147" s="16"/>
      <c r="N147" s="16"/>
      <c r="O147" s="16"/>
      <c r="P147" s="16"/>
      <c r="Q147" s="16"/>
      <c r="R147" s="16"/>
    </row>
    <row r="148" customFormat="false" ht="15" hidden="false" customHeight="false" outlineLevel="0" collapsed="false">
      <c r="A148" s="25"/>
      <c r="B148" s="16"/>
      <c r="C148" s="16"/>
      <c r="D148" s="16"/>
      <c r="E148" s="16"/>
      <c r="F148" s="16"/>
      <c r="G148" s="26"/>
      <c r="H148" s="26"/>
      <c r="I148" s="26"/>
      <c r="J148" s="26"/>
      <c r="K148" s="16"/>
      <c r="L148" s="27" t="str">
        <f aca="false">IF(G148="","",G148-H148+I148+IF(K148="N",J148,0))</f>
        <v/>
      </c>
      <c r="M148" s="16"/>
      <c r="N148" s="16"/>
      <c r="O148" s="16"/>
      <c r="P148" s="16"/>
      <c r="Q148" s="16"/>
      <c r="R148" s="16"/>
    </row>
    <row r="149" customFormat="false" ht="15" hidden="false" customHeight="false" outlineLevel="0" collapsed="false">
      <c r="A149" s="25"/>
      <c r="B149" s="16"/>
      <c r="C149" s="16"/>
      <c r="D149" s="16"/>
      <c r="E149" s="16"/>
      <c r="F149" s="16"/>
      <c r="G149" s="26"/>
      <c r="H149" s="26"/>
      <c r="I149" s="26"/>
      <c r="J149" s="26"/>
      <c r="K149" s="16"/>
      <c r="L149" s="27" t="str">
        <f aca="false">IF(G149="","",G149-H149+I149+IF(K149="N",J149,0))</f>
        <v/>
      </c>
      <c r="M149" s="16"/>
      <c r="N149" s="16"/>
      <c r="O149" s="16"/>
      <c r="P149" s="16"/>
      <c r="Q149" s="16"/>
      <c r="R149" s="16"/>
    </row>
    <row r="150" customFormat="false" ht="15" hidden="false" customHeight="false" outlineLevel="0" collapsed="false">
      <c r="A150" s="25"/>
      <c r="B150" s="16"/>
      <c r="C150" s="16"/>
      <c r="D150" s="16"/>
      <c r="E150" s="16"/>
      <c r="F150" s="16"/>
      <c r="G150" s="26"/>
      <c r="H150" s="26"/>
      <c r="I150" s="26"/>
      <c r="J150" s="26"/>
      <c r="K150" s="16"/>
      <c r="L150" s="27" t="str">
        <f aca="false">IF(G150="","",G150-H150+I150+IF(K150="N",J150,0))</f>
        <v/>
      </c>
      <c r="M150" s="16"/>
      <c r="N150" s="16"/>
      <c r="O150" s="16"/>
      <c r="P150" s="16"/>
      <c r="Q150" s="16"/>
      <c r="R150" s="16"/>
    </row>
    <row r="151" customFormat="false" ht="15" hidden="false" customHeight="false" outlineLevel="0" collapsed="false">
      <c r="A151" s="25"/>
      <c r="B151" s="16"/>
      <c r="C151" s="16"/>
      <c r="D151" s="16"/>
      <c r="E151" s="16"/>
      <c r="F151" s="16"/>
      <c r="G151" s="26"/>
      <c r="H151" s="26"/>
      <c r="I151" s="26"/>
      <c r="J151" s="26"/>
      <c r="K151" s="16"/>
      <c r="L151" s="27" t="str">
        <f aca="false">IF(G151="","",G151-H151+I151+IF(K151="N",J151,0))</f>
        <v/>
      </c>
      <c r="M151" s="16"/>
      <c r="N151" s="16"/>
      <c r="O151" s="16"/>
      <c r="P151" s="16"/>
      <c r="Q151" s="16"/>
      <c r="R151" s="16"/>
    </row>
    <row r="152" customFormat="false" ht="15" hidden="false" customHeight="false" outlineLevel="0" collapsed="false">
      <c r="A152" s="25"/>
      <c r="B152" s="16"/>
      <c r="C152" s="16"/>
      <c r="D152" s="16"/>
      <c r="E152" s="16"/>
      <c r="F152" s="16"/>
      <c r="G152" s="26"/>
      <c r="H152" s="26"/>
      <c r="I152" s="26"/>
      <c r="J152" s="26"/>
      <c r="K152" s="16"/>
      <c r="L152" s="27" t="str">
        <f aca="false">IF(G152="","",G152-H152+I152+IF(K152="N",J152,0))</f>
        <v/>
      </c>
      <c r="M152" s="16"/>
      <c r="N152" s="16"/>
      <c r="O152" s="16"/>
      <c r="P152" s="16"/>
      <c r="Q152" s="16"/>
      <c r="R152" s="16"/>
    </row>
    <row r="153" customFormat="false" ht="15" hidden="false" customHeight="false" outlineLevel="0" collapsed="false">
      <c r="A153" s="25"/>
      <c r="B153" s="16"/>
      <c r="C153" s="16"/>
      <c r="D153" s="16"/>
      <c r="E153" s="16"/>
      <c r="F153" s="16"/>
      <c r="G153" s="26"/>
      <c r="H153" s="26"/>
      <c r="I153" s="26"/>
      <c r="J153" s="26"/>
      <c r="K153" s="16"/>
      <c r="L153" s="27" t="str">
        <f aca="false">IF(G153="","",G153-H153+I153+IF(K153="N",J153,0))</f>
        <v/>
      </c>
      <c r="M153" s="16"/>
      <c r="N153" s="16"/>
      <c r="O153" s="16"/>
      <c r="P153" s="16"/>
      <c r="Q153" s="16"/>
      <c r="R153" s="16"/>
    </row>
    <row r="154" customFormat="false" ht="15" hidden="false" customHeight="false" outlineLevel="0" collapsed="false">
      <c r="A154" s="25"/>
      <c r="B154" s="16"/>
      <c r="C154" s="16"/>
      <c r="D154" s="16"/>
      <c r="E154" s="16"/>
      <c r="F154" s="16"/>
      <c r="G154" s="26"/>
      <c r="H154" s="26"/>
      <c r="I154" s="26"/>
      <c r="J154" s="26"/>
      <c r="K154" s="16"/>
      <c r="L154" s="27" t="str">
        <f aca="false">IF(G154="","",G154-H154+I154+IF(K154="N",J154,0))</f>
        <v/>
      </c>
      <c r="M154" s="16"/>
      <c r="N154" s="16"/>
      <c r="O154" s="16"/>
      <c r="P154" s="16"/>
      <c r="Q154" s="16"/>
      <c r="R154" s="16"/>
    </row>
    <row r="155" customFormat="false" ht="15" hidden="false" customHeight="false" outlineLevel="0" collapsed="false">
      <c r="A155" s="25"/>
      <c r="B155" s="16"/>
      <c r="C155" s="16"/>
      <c r="D155" s="16"/>
      <c r="E155" s="16"/>
      <c r="F155" s="16"/>
      <c r="G155" s="26"/>
      <c r="H155" s="26"/>
      <c r="I155" s="26"/>
      <c r="J155" s="26"/>
      <c r="K155" s="16"/>
      <c r="L155" s="27" t="str">
        <f aca="false">IF(G155="","",G155-H155+I155+IF(K155="N",J155,0))</f>
        <v/>
      </c>
      <c r="M155" s="16"/>
      <c r="N155" s="16"/>
      <c r="O155" s="16"/>
      <c r="P155" s="16"/>
      <c r="Q155" s="16"/>
      <c r="R155" s="16"/>
    </row>
    <row r="156" customFormat="false" ht="15" hidden="false" customHeight="false" outlineLevel="0" collapsed="false">
      <c r="A156" s="25"/>
      <c r="B156" s="16"/>
      <c r="C156" s="16"/>
      <c r="D156" s="16"/>
      <c r="E156" s="16"/>
      <c r="F156" s="16"/>
      <c r="G156" s="26"/>
      <c r="H156" s="26"/>
      <c r="I156" s="26"/>
      <c r="J156" s="26"/>
      <c r="K156" s="16"/>
      <c r="L156" s="27" t="str">
        <f aca="false">IF(G156="","",G156-H156+I156+IF(K156="N",J156,0))</f>
        <v/>
      </c>
      <c r="M156" s="16"/>
      <c r="N156" s="16"/>
      <c r="O156" s="16"/>
      <c r="P156" s="16"/>
      <c r="Q156" s="16"/>
      <c r="R156" s="16"/>
    </row>
    <row r="157" customFormat="false" ht="15" hidden="false" customHeight="false" outlineLevel="0" collapsed="false">
      <c r="A157" s="25"/>
      <c r="B157" s="16"/>
      <c r="C157" s="16"/>
      <c r="D157" s="16"/>
      <c r="E157" s="16"/>
      <c r="F157" s="16"/>
      <c r="G157" s="26"/>
      <c r="H157" s="26"/>
      <c r="I157" s="26"/>
      <c r="J157" s="26"/>
      <c r="K157" s="16"/>
      <c r="L157" s="27" t="str">
        <f aca="false">IF(G157="","",G157-H157+I157+IF(K157="N",J157,0))</f>
        <v/>
      </c>
      <c r="M157" s="16"/>
      <c r="N157" s="16"/>
      <c r="O157" s="16"/>
      <c r="P157" s="16"/>
      <c r="Q157" s="16"/>
      <c r="R157" s="16"/>
    </row>
    <row r="158" customFormat="false" ht="15" hidden="false" customHeight="false" outlineLevel="0" collapsed="false">
      <c r="A158" s="25"/>
      <c r="B158" s="16"/>
      <c r="C158" s="16"/>
      <c r="D158" s="16"/>
      <c r="E158" s="16"/>
      <c r="F158" s="16"/>
      <c r="G158" s="26"/>
      <c r="H158" s="26"/>
      <c r="I158" s="26"/>
      <c r="J158" s="26"/>
      <c r="K158" s="16"/>
      <c r="L158" s="27" t="str">
        <f aca="false">IF(G158="","",G158-H158+I158+IF(K158="N",J158,0))</f>
        <v/>
      </c>
      <c r="M158" s="16"/>
      <c r="N158" s="16"/>
      <c r="O158" s="16"/>
      <c r="P158" s="16"/>
      <c r="Q158" s="16"/>
      <c r="R158" s="16"/>
    </row>
    <row r="159" customFormat="false" ht="15" hidden="false" customHeight="false" outlineLevel="0" collapsed="false">
      <c r="A159" s="25"/>
      <c r="B159" s="16"/>
      <c r="C159" s="16"/>
      <c r="D159" s="16"/>
      <c r="E159" s="16"/>
      <c r="F159" s="16"/>
      <c r="G159" s="26"/>
      <c r="H159" s="26"/>
      <c r="I159" s="26"/>
      <c r="J159" s="26"/>
      <c r="K159" s="16"/>
      <c r="L159" s="27" t="str">
        <f aca="false">IF(G159="","",G159-H159+I159+IF(K159="N",J159,0))</f>
        <v/>
      </c>
      <c r="M159" s="16"/>
      <c r="N159" s="16"/>
      <c r="O159" s="16"/>
      <c r="P159" s="16"/>
      <c r="Q159" s="16"/>
      <c r="R159" s="16"/>
    </row>
    <row r="160" customFormat="false" ht="15" hidden="false" customHeight="false" outlineLevel="0" collapsed="false">
      <c r="A160" s="25"/>
      <c r="B160" s="16"/>
      <c r="C160" s="16"/>
      <c r="D160" s="16"/>
      <c r="E160" s="16"/>
      <c r="F160" s="16"/>
      <c r="G160" s="26"/>
      <c r="H160" s="26"/>
      <c r="I160" s="26"/>
      <c r="J160" s="26"/>
      <c r="K160" s="16"/>
      <c r="L160" s="27" t="str">
        <f aca="false">IF(G160="","",G160-H160+I160+IF(K160="N",J160,0))</f>
        <v/>
      </c>
      <c r="M160" s="16"/>
      <c r="N160" s="16"/>
      <c r="O160" s="16"/>
      <c r="P160" s="16"/>
      <c r="Q160" s="16"/>
      <c r="R160" s="16"/>
    </row>
    <row r="161" customFormat="false" ht="15" hidden="false" customHeight="false" outlineLevel="0" collapsed="false">
      <c r="A161" s="25"/>
      <c r="B161" s="16"/>
      <c r="C161" s="16"/>
      <c r="D161" s="16"/>
      <c r="E161" s="16"/>
      <c r="F161" s="16"/>
      <c r="G161" s="26"/>
      <c r="H161" s="26"/>
      <c r="I161" s="26"/>
      <c r="J161" s="26"/>
      <c r="K161" s="16"/>
      <c r="L161" s="27" t="str">
        <f aca="false">IF(G161="","",G161-H161+I161+IF(K161="N",J161,0))</f>
        <v/>
      </c>
      <c r="M161" s="16"/>
      <c r="N161" s="16"/>
      <c r="O161" s="16"/>
      <c r="P161" s="16"/>
      <c r="Q161" s="16"/>
      <c r="R161" s="16"/>
    </row>
    <row r="162" customFormat="false" ht="15" hidden="false" customHeight="false" outlineLevel="0" collapsed="false">
      <c r="A162" s="25"/>
      <c r="B162" s="16"/>
      <c r="C162" s="16"/>
      <c r="D162" s="16"/>
      <c r="E162" s="16"/>
      <c r="F162" s="16"/>
      <c r="G162" s="26"/>
      <c r="H162" s="26"/>
      <c r="I162" s="26"/>
      <c r="J162" s="26"/>
      <c r="K162" s="16"/>
      <c r="L162" s="27" t="str">
        <f aca="false">IF(G162="","",G162-H162+I162+IF(K162="N",J162,0))</f>
        <v/>
      </c>
      <c r="M162" s="16"/>
      <c r="N162" s="16"/>
      <c r="O162" s="16"/>
      <c r="P162" s="16"/>
      <c r="Q162" s="16"/>
      <c r="R162" s="16"/>
    </row>
    <row r="163" customFormat="false" ht="15" hidden="false" customHeight="false" outlineLevel="0" collapsed="false">
      <c r="A163" s="25"/>
      <c r="B163" s="16"/>
      <c r="C163" s="16"/>
      <c r="D163" s="16"/>
      <c r="E163" s="16"/>
      <c r="F163" s="16"/>
      <c r="G163" s="26"/>
      <c r="H163" s="26"/>
      <c r="I163" s="26"/>
      <c r="J163" s="26"/>
      <c r="K163" s="16"/>
      <c r="L163" s="27" t="str">
        <f aca="false">IF(G163="","",G163-H163+I163+IF(K163="N",J163,0))</f>
        <v/>
      </c>
      <c r="M163" s="16"/>
      <c r="N163" s="16"/>
      <c r="O163" s="16"/>
      <c r="P163" s="16"/>
      <c r="Q163" s="16"/>
      <c r="R163" s="16"/>
    </row>
    <row r="164" customFormat="false" ht="15" hidden="false" customHeight="false" outlineLevel="0" collapsed="false">
      <c r="A164" s="25"/>
      <c r="B164" s="16"/>
      <c r="C164" s="16"/>
      <c r="D164" s="16"/>
      <c r="E164" s="16"/>
      <c r="F164" s="16"/>
      <c r="G164" s="26"/>
      <c r="H164" s="26"/>
      <c r="I164" s="26"/>
      <c r="J164" s="26"/>
      <c r="K164" s="16"/>
      <c r="L164" s="27" t="str">
        <f aca="false">IF(G164="","",G164-H164+I164+IF(K164="N",J164,0))</f>
        <v/>
      </c>
      <c r="M164" s="16"/>
      <c r="N164" s="16"/>
      <c r="O164" s="16"/>
      <c r="P164" s="16"/>
      <c r="Q164" s="16"/>
      <c r="R164" s="16"/>
    </row>
    <row r="165" customFormat="false" ht="15" hidden="false" customHeight="false" outlineLevel="0" collapsed="false">
      <c r="A165" s="25"/>
      <c r="B165" s="16"/>
      <c r="C165" s="16"/>
      <c r="D165" s="16"/>
      <c r="E165" s="16"/>
      <c r="F165" s="16"/>
      <c r="G165" s="26"/>
      <c r="H165" s="26"/>
      <c r="I165" s="26"/>
      <c r="J165" s="26"/>
      <c r="K165" s="16"/>
      <c r="L165" s="27" t="str">
        <f aca="false">IF(G165="","",G165-H165+I165+IF(K165="N",J165,0))</f>
        <v/>
      </c>
      <c r="M165" s="16"/>
      <c r="N165" s="16"/>
      <c r="O165" s="16"/>
      <c r="P165" s="16"/>
      <c r="Q165" s="16"/>
      <c r="R165" s="16"/>
    </row>
    <row r="166" customFormat="false" ht="15" hidden="false" customHeight="false" outlineLevel="0" collapsed="false">
      <c r="A166" s="25"/>
      <c r="B166" s="16"/>
      <c r="C166" s="16"/>
      <c r="D166" s="16"/>
      <c r="E166" s="16"/>
      <c r="F166" s="16"/>
      <c r="G166" s="26"/>
      <c r="H166" s="26"/>
      <c r="I166" s="26"/>
      <c r="J166" s="26"/>
      <c r="K166" s="16"/>
      <c r="L166" s="27" t="str">
        <f aca="false">IF(G166="","",G166-H166+I166+IF(K166="N",J166,0))</f>
        <v/>
      </c>
      <c r="M166" s="16"/>
      <c r="N166" s="16"/>
      <c r="O166" s="16"/>
      <c r="P166" s="16"/>
      <c r="Q166" s="16"/>
      <c r="R166" s="16"/>
    </row>
    <row r="167" customFormat="false" ht="15" hidden="false" customHeight="false" outlineLevel="0" collapsed="false">
      <c r="A167" s="25"/>
      <c r="B167" s="16"/>
      <c r="C167" s="16"/>
      <c r="D167" s="16"/>
      <c r="E167" s="16"/>
      <c r="F167" s="16"/>
      <c r="G167" s="26"/>
      <c r="H167" s="26"/>
      <c r="I167" s="26"/>
      <c r="J167" s="26"/>
      <c r="K167" s="16"/>
      <c r="L167" s="27" t="str">
        <f aca="false">IF(G167="","",G167-H167+I167+IF(K167="N",J167,0))</f>
        <v/>
      </c>
      <c r="M167" s="16"/>
      <c r="N167" s="16"/>
      <c r="O167" s="16"/>
      <c r="P167" s="16"/>
      <c r="Q167" s="16"/>
      <c r="R167" s="16"/>
    </row>
    <row r="168" customFormat="false" ht="15" hidden="false" customHeight="false" outlineLevel="0" collapsed="false">
      <c r="A168" s="25"/>
      <c r="B168" s="16"/>
      <c r="C168" s="16"/>
      <c r="D168" s="16"/>
      <c r="E168" s="16"/>
      <c r="F168" s="16"/>
      <c r="G168" s="26"/>
      <c r="H168" s="26"/>
      <c r="I168" s="26"/>
      <c r="J168" s="26"/>
      <c r="K168" s="16"/>
      <c r="L168" s="27" t="str">
        <f aca="false">IF(G168="","",G168-H168+I168+IF(K168="N",J168,0))</f>
        <v/>
      </c>
      <c r="M168" s="16"/>
      <c r="N168" s="16"/>
      <c r="O168" s="16"/>
      <c r="P168" s="16"/>
      <c r="Q168" s="16"/>
      <c r="R168" s="16"/>
    </row>
    <row r="169" customFormat="false" ht="15" hidden="false" customHeight="false" outlineLevel="0" collapsed="false">
      <c r="A169" s="25"/>
      <c r="B169" s="16"/>
      <c r="C169" s="16"/>
      <c r="D169" s="16"/>
      <c r="E169" s="16"/>
      <c r="F169" s="16"/>
      <c r="G169" s="26"/>
      <c r="H169" s="26"/>
      <c r="I169" s="26"/>
      <c r="J169" s="26"/>
      <c r="K169" s="16"/>
      <c r="L169" s="27" t="str">
        <f aca="false">IF(G169="","",G169-H169+I169+IF(K169="N",J169,0))</f>
        <v/>
      </c>
      <c r="M169" s="16"/>
      <c r="N169" s="16"/>
      <c r="O169" s="16"/>
      <c r="P169" s="16"/>
      <c r="Q169" s="16"/>
      <c r="R169" s="16"/>
    </row>
    <row r="170" customFormat="false" ht="15" hidden="false" customHeight="false" outlineLevel="0" collapsed="false">
      <c r="A170" s="25"/>
      <c r="B170" s="16"/>
      <c r="C170" s="16"/>
      <c r="D170" s="16"/>
      <c r="E170" s="16"/>
      <c r="F170" s="16"/>
      <c r="G170" s="26"/>
      <c r="H170" s="26"/>
      <c r="I170" s="26"/>
      <c r="J170" s="26"/>
      <c r="K170" s="16"/>
      <c r="L170" s="27" t="str">
        <f aca="false">IF(G170="","",G170-H170+I170+IF(K170="N",J170,0))</f>
        <v/>
      </c>
      <c r="M170" s="16"/>
      <c r="N170" s="16"/>
      <c r="O170" s="16"/>
      <c r="P170" s="16"/>
      <c r="Q170" s="16"/>
      <c r="R170" s="16"/>
    </row>
    <row r="171" customFormat="false" ht="15" hidden="false" customHeight="false" outlineLevel="0" collapsed="false">
      <c r="A171" s="25"/>
      <c r="B171" s="16"/>
      <c r="C171" s="16"/>
      <c r="D171" s="16"/>
      <c r="E171" s="16"/>
      <c r="F171" s="16"/>
      <c r="G171" s="26"/>
      <c r="H171" s="26"/>
      <c r="I171" s="26"/>
      <c r="J171" s="26"/>
      <c r="K171" s="16"/>
      <c r="L171" s="27" t="str">
        <f aca="false">IF(G171="","",G171-H171+I171+IF(K171="N",J171,0))</f>
        <v/>
      </c>
      <c r="M171" s="16"/>
      <c r="N171" s="16"/>
      <c r="O171" s="16"/>
      <c r="P171" s="16"/>
      <c r="Q171" s="16"/>
      <c r="R171" s="16"/>
    </row>
    <row r="172" customFormat="false" ht="15" hidden="false" customHeight="false" outlineLevel="0" collapsed="false">
      <c r="A172" s="25"/>
      <c r="B172" s="16"/>
      <c r="C172" s="16"/>
      <c r="D172" s="16"/>
      <c r="E172" s="16"/>
      <c r="F172" s="16"/>
      <c r="G172" s="26"/>
      <c r="H172" s="26"/>
      <c r="I172" s="26"/>
      <c r="J172" s="26"/>
      <c r="K172" s="16"/>
      <c r="L172" s="27" t="str">
        <f aca="false">IF(G172="","",G172-H172+I172+IF(K172="N",J172,0))</f>
        <v/>
      </c>
      <c r="M172" s="16"/>
      <c r="N172" s="16"/>
      <c r="O172" s="16"/>
      <c r="P172" s="16"/>
      <c r="Q172" s="16"/>
      <c r="R172" s="16"/>
    </row>
    <row r="173" customFormat="false" ht="15" hidden="false" customHeight="false" outlineLevel="0" collapsed="false">
      <c r="A173" s="25"/>
      <c r="B173" s="16"/>
      <c r="C173" s="16"/>
      <c r="D173" s="16"/>
      <c r="E173" s="16"/>
      <c r="F173" s="16"/>
      <c r="G173" s="26"/>
      <c r="H173" s="26"/>
      <c r="I173" s="26"/>
      <c r="J173" s="26"/>
      <c r="K173" s="16"/>
      <c r="L173" s="27" t="str">
        <f aca="false">IF(G173="","",G173-H173+I173+IF(K173="N",J173,0))</f>
        <v/>
      </c>
      <c r="M173" s="16"/>
      <c r="N173" s="16"/>
      <c r="O173" s="16"/>
      <c r="P173" s="16"/>
      <c r="Q173" s="16"/>
      <c r="R173" s="16"/>
    </row>
    <row r="174" customFormat="false" ht="15" hidden="false" customHeight="false" outlineLevel="0" collapsed="false">
      <c r="A174" s="25"/>
      <c r="B174" s="16"/>
      <c r="C174" s="16"/>
      <c r="D174" s="16"/>
      <c r="E174" s="16"/>
      <c r="F174" s="16"/>
      <c r="G174" s="26"/>
      <c r="H174" s="26"/>
      <c r="I174" s="26"/>
      <c r="J174" s="26"/>
      <c r="K174" s="16"/>
      <c r="L174" s="27" t="str">
        <f aca="false">IF(G174="","",G174-H174+I174+IF(K174="N",J174,0))</f>
        <v/>
      </c>
      <c r="M174" s="16"/>
      <c r="N174" s="16"/>
      <c r="O174" s="16"/>
      <c r="P174" s="16"/>
      <c r="Q174" s="16"/>
      <c r="R174" s="16"/>
    </row>
    <row r="175" customFormat="false" ht="15" hidden="false" customHeight="false" outlineLevel="0" collapsed="false">
      <c r="A175" s="25"/>
      <c r="B175" s="16"/>
      <c r="C175" s="16"/>
      <c r="D175" s="16"/>
      <c r="E175" s="16"/>
      <c r="F175" s="16"/>
      <c r="G175" s="26"/>
      <c r="H175" s="26"/>
      <c r="I175" s="26"/>
      <c r="J175" s="26"/>
      <c r="K175" s="16"/>
      <c r="L175" s="27" t="str">
        <f aca="false">IF(G175="","",G175-H175+I175+IF(K175="N",J175,0))</f>
        <v/>
      </c>
      <c r="M175" s="16"/>
      <c r="N175" s="16"/>
      <c r="O175" s="16"/>
      <c r="P175" s="16"/>
      <c r="Q175" s="16"/>
      <c r="R175" s="16"/>
    </row>
    <row r="176" customFormat="false" ht="15" hidden="false" customHeight="false" outlineLevel="0" collapsed="false">
      <c r="A176" s="25"/>
      <c r="B176" s="16"/>
      <c r="C176" s="16"/>
      <c r="D176" s="16"/>
      <c r="E176" s="16"/>
      <c r="F176" s="16"/>
      <c r="G176" s="26"/>
      <c r="H176" s="26"/>
      <c r="I176" s="26"/>
      <c r="J176" s="26"/>
      <c r="K176" s="16"/>
      <c r="L176" s="27" t="str">
        <f aca="false">IF(G176="","",G176-H176+I176+IF(K176="N",J176,0))</f>
        <v/>
      </c>
      <c r="M176" s="16"/>
      <c r="N176" s="16"/>
      <c r="O176" s="16"/>
      <c r="P176" s="16"/>
      <c r="Q176" s="16"/>
      <c r="R176" s="16"/>
    </row>
    <row r="177" customFormat="false" ht="15" hidden="false" customHeight="false" outlineLevel="0" collapsed="false">
      <c r="A177" s="25"/>
      <c r="B177" s="16"/>
      <c r="C177" s="16"/>
      <c r="D177" s="16"/>
      <c r="E177" s="16"/>
      <c r="F177" s="16"/>
      <c r="G177" s="26"/>
      <c r="H177" s="26"/>
      <c r="I177" s="26"/>
      <c r="J177" s="26"/>
      <c r="K177" s="16"/>
      <c r="L177" s="27" t="str">
        <f aca="false">IF(G177="","",G177-H177+I177+IF(K177="N",J177,0))</f>
        <v/>
      </c>
      <c r="M177" s="16"/>
      <c r="N177" s="16"/>
      <c r="O177" s="16"/>
      <c r="P177" s="16"/>
      <c r="Q177" s="16"/>
      <c r="R177" s="16"/>
    </row>
    <row r="178" customFormat="false" ht="15" hidden="false" customHeight="false" outlineLevel="0" collapsed="false">
      <c r="A178" s="25"/>
      <c r="B178" s="16"/>
      <c r="C178" s="16"/>
      <c r="D178" s="16"/>
      <c r="E178" s="16"/>
      <c r="F178" s="16"/>
      <c r="G178" s="26"/>
      <c r="H178" s="26"/>
      <c r="I178" s="26"/>
      <c r="J178" s="26"/>
      <c r="K178" s="16"/>
      <c r="L178" s="27" t="str">
        <f aca="false">IF(G178="","",G178-H178+I178+IF(K178="N",J178,0))</f>
        <v/>
      </c>
      <c r="M178" s="16"/>
      <c r="N178" s="16"/>
      <c r="O178" s="16"/>
      <c r="P178" s="16"/>
      <c r="Q178" s="16"/>
      <c r="R178" s="16"/>
    </row>
    <row r="179" customFormat="false" ht="15" hidden="false" customHeight="false" outlineLevel="0" collapsed="false">
      <c r="A179" s="25"/>
      <c r="B179" s="16"/>
      <c r="C179" s="16"/>
      <c r="D179" s="16"/>
      <c r="E179" s="16"/>
      <c r="F179" s="16"/>
      <c r="G179" s="26"/>
      <c r="H179" s="26"/>
      <c r="I179" s="26"/>
      <c r="J179" s="26"/>
      <c r="K179" s="16"/>
      <c r="L179" s="27" t="str">
        <f aca="false">IF(G179="","",G179-H179+I179+IF(K179="N",J179,0))</f>
        <v/>
      </c>
      <c r="M179" s="16"/>
      <c r="N179" s="16"/>
      <c r="O179" s="16"/>
      <c r="P179" s="16"/>
      <c r="Q179" s="16"/>
      <c r="R179" s="16"/>
    </row>
    <row r="180" customFormat="false" ht="15" hidden="false" customHeight="false" outlineLevel="0" collapsed="false">
      <c r="A180" s="25"/>
      <c r="B180" s="16"/>
      <c r="C180" s="16"/>
      <c r="D180" s="16"/>
      <c r="E180" s="16"/>
      <c r="F180" s="16"/>
      <c r="G180" s="26"/>
      <c r="H180" s="26"/>
      <c r="I180" s="26"/>
      <c r="J180" s="26"/>
      <c r="K180" s="16"/>
      <c r="L180" s="27" t="str">
        <f aca="false">IF(G180="","",G180-H180+I180+IF(K180="N",J180,0))</f>
        <v/>
      </c>
      <c r="M180" s="16"/>
      <c r="N180" s="16"/>
      <c r="O180" s="16"/>
      <c r="P180" s="16"/>
      <c r="Q180" s="16"/>
      <c r="R180" s="16"/>
    </row>
    <row r="181" customFormat="false" ht="15" hidden="false" customHeight="false" outlineLevel="0" collapsed="false">
      <c r="A181" s="25"/>
      <c r="B181" s="16"/>
      <c r="C181" s="16"/>
      <c r="D181" s="16"/>
      <c r="E181" s="16"/>
      <c r="F181" s="16"/>
      <c r="G181" s="26"/>
      <c r="H181" s="26"/>
      <c r="I181" s="26"/>
      <c r="J181" s="26"/>
      <c r="K181" s="16"/>
      <c r="L181" s="27" t="str">
        <f aca="false">IF(G181="","",G181-H181+I181+IF(K181="N",J181,0))</f>
        <v/>
      </c>
      <c r="M181" s="16"/>
      <c r="N181" s="16"/>
      <c r="O181" s="16"/>
      <c r="P181" s="16"/>
      <c r="Q181" s="16"/>
      <c r="R181" s="16"/>
    </row>
    <row r="182" customFormat="false" ht="15" hidden="false" customHeight="false" outlineLevel="0" collapsed="false">
      <c r="A182" s="25"/>
      <c r="B182" s="16"/>
      <c r="C182" s="16"/>
      <c r="D182" s="16"/>
      <c r="E182" s="16"/>
      <c r="F182" s="16"/>
      <c r="G182" s="26"/>
      <c r="H182" s="26"/>
      <c r="I182" s="26"/>
      <c r="J182" s="26"/>
      <c r="K182" s="16"/>
      <c r="L182" s="27" t="str">
        <f aca="false">IF(G182="","",G182-H182+I182+IF(K182="N",J182,0))</f>
        <v/>
      </c>
      <c r="M182" s="16"/>
      <c r="N182" s="16"/>
      <c r="O182" s="16"/>
      <c r="P182" s="16"/>
      <c r="Q182" s="16"/>
      <c r="R182" s="16"/>
    </row>
    <row r="183" customFormat="false" ht="15" hidden="false" customHeight="false" outlineLevel="0" collapsed="false">
      <c r="A183" s="25"/>
      <c r="B183" s="16"/>
      <c r="C183" s="16"/>
      <c r="D183" s="16"/>
      <c r="E183" s="16"/>
      <c r="F183" s="16"/>
      <c r="G183" s="26"/>
      <c r="H183" s="26"/>
      <c r="I183" s="26"/>
      <c r="J183" s="26"/>
      <c r="K183" s="16"/>
      <c r="L183" s="27" t="str">
        <f aca="false">IF(G183="","",G183-H183+I183+IF(K183="N",J183,0))</f>
        <v/>
      </c>
      <c r="M183" s="16"/>
      <c r="N183" s="16"/>
      <c r="O183" s="16"/>
      <c r="P183" s="16"/>
      <c r="Q183" s="16"/>
      <c r="R183" s="16"/>
    </row>
    <row r="184" customFormat="false" ht="15" hidden="false" customHeight="false" outlineLevel="0" collapsed="false">
      <c r="A184" s="25"/>
      <c r="B184" s="16"/>
      <c r="C184" s="16"/>
      <c r="D184" s="16"/>
      <c r="E184" s="16"/>
      <c r="F184" s="16"/>
      <c r="G184" s="26"/>
      <c r="H184" s="26"/>
      <c r="I184" s="26"/>
      <c r="J184" s="26"/>
      <c r="K184" s="16"/>
      <c r="L184" s="27" t="str">
        <f aca="false">IF(G184="","",G184-H184+I184+IF(K184="N",J184,0))</f>
        <v/>
      </c>
      <c r="M184" s="16"/>
      <c r="N184" s="16"/>
      <c r="O184" s="16"/>
      <c r="P184" s="16"/>
      <c r="Q184" s="16"/>
      <c r="R184" s="16"/>
    </row>
    <row r="185" customFormat="false" ht="15" hidden="false" customHeight="false" outlineLevel="0" collapsed="false">
      <c r="A185" s="25"/>
      <c r="B185" s="16"/>
      <c r="C185" s="16"/>
      <c r="D185" s="16"/>
      <c r="E185" s="16"/>
      <c r="F185" s="16"/>
      <c r="G185" s="26"/>
      <c r="H185" s="26"/>
      <c r="I185" s="26"/>
      <c r="J185" s="26"/>
      <c r="K185" s="16"/>
      <c r="L185" s="27" t="str">
        <f aca="false">IF(G185="","",G185-H185+I185+IF(K185="N",J185,0))</f>
        <v/>
      </c>
      <c r="M185" s="16"/>
      <c r="N185" s="16"/>
      <c r="O185" s="16"/>
      <c r="P185" s="16"/>
      <c r="Q185" s="16"/>
      <c r="R185" s="16"/>
    </row>
    <row r="186" customFormat="false" ht="15" hidden="false" customHeight="false" outlineLevel="0" collapsed="false">
      <c r="A186" s="25"/>
      <c r="B186" s="16"/>
      <c r="C186" s="16"/>
      <c r="D186" s="16"/>
      <c r="E186" s="16"/>
      <c r="F186" s="16"/>
      <c r="G186" s="26"/>
      <c r="H186" s="26"/>
      <c r="I186" s="26"/>
      <c r="J186" s="26"/>
      <c r="K186" s="16"/>
      <c r="L186" s="27" t="str">
        <f aca="false">IF(G186="","",G186-H186+I186+IF(K186="N",J186,0))</f>
        <v/>
      </c>
      <c r="M186" s="16"/>
      <c r="N186" s="16"/>
      <c r="O186" s="16"/>
      <c r="P186" s="16"/>
      <c r="Q186" s="16"/>
      <c r="R186" s="16"/>
    </row>
    <row r="187" customFormat="false" ht="15" hidden="false" customHeight="false" outlineLevel="0" collapsed="false">
      <c r="A187" s="25"/>
      <c r="B187" s="16"/>
      <c r="C187" s="16"/>
      <c r="D187" s="16"/>
      <c r="E187" s="16"/>
      <c r="F187" s="16"/>
      <c r="G187" s="26"/>
      <c r="H187" s="26"/>
      <c r="I187" s="26"/>
      <c r="J187" s="26"/>
      <c r="K187" s="16"/>
      <c r="L187" s="27" t="str">
        <f aca="false">IF(G187="","",G187-H187+I187+IF(K187="N",J187,0))</f>
        <v/>
      </c>
      <c r="M187" s="16"/>
      <c r="N187" s="16"/>
      <c r="O187" s="16"/>
      <c r="P187" s="16"/>
      <c r="Q187" s="16"/>
      <c r="R187" s="16"/>
    </row>
    <row r="188" customFormat="false" ht="15" hidden="false" customHeight="false" outlineLevel="0" collapsed="false">
      <c r="A188" s="25"/>
      <c r="B188" s="16"/>
      <c r="C188" s="16"/>
      <c r="D188" s="16"/>
      <c r="E188" s="16"/>
      <c r="F188" s="16"/>
      <c r="G188" s="26"/>
      <c r="H188" s="26"/>
      <c r="I188" s="26"/>
      <c r="J188" s="26"/>
      <c r="K188" s="16"/>
      <c r="L188" s="27" t="str">
        <f aca="false">IF(G188="","",G188-H188+I188+IF(K188="N",J188,0))</f>
        <v/>
      </c>
      <c r="M188" s="16"/>
      <c r="N188" s="16"/>
      <c r="O188" s="16"/>
      <c r="P188" s="16"/>
      <c r="Q188" s="16"/>
      <c r="R188" s="16"/>
    </row>
    <row r="189" customFormat="false" ht="15" hidden="false" customHeight="false" outlineLevel="0" collapsed="false">
      <c r="A189" s="25"/>
      <c r="B189" s="16"/>
      <c r="C189" s="16"/>
      <c r="D189" s="16"/>
      <c r="E189" s="16"/>
      <c r="F189" s="16"/>
      <c r="G189" s="26"/>
      <c r="H189" s="26"/>
      <c r="I189" s="26"/>
      <c r="J189" s="26"/>
      <c r="K189" s="16"/>
      <c r="L189" s="27" t="str">
        <f aca="false">IF(G189="","",G189-H189+I189+IF(K189="N",J189,0))</f>
        <v/>
      </c>
      <c r="M189" s="16"/>
      <c r="N189" s="16"/>
      <c r="O189" s="16"/>
      <c r="P189" s="16"/>
      <c r="Q189" s="16"/>
      <c r="R189" s="16"/>
    </row>
    <row r="190" customFormat="false" ht="15" hidden="false" customHeight="false" outlineLevel="0" collapsed="false">
      <c r="A190" s="25"/>
      <c r="B190" s="16"/>
      <c r="C190" s="16"/>
      <c r="D190" s="16"/>
      <c r="E190" s="16"/>
      <c r="F190" s="16"/>
      <c r="G190" s="26"/>
      <c r="H190" s="26"/>
      <c r="I190" s="26"/>
      <c r="J190" s="26"/>
      <c r="K190" s="16"/>
      <c r="L190" s="27" t="str">
        <f aca="false">IF(G190="","",G190-H190+I190+IF(K190="N",J190,0))</f>
        <v/>
      </c>
      <c r="M190" s="16"/>
      <c r="N190" s="16"/>
      <c r="O190" s="16"/>
      <c r="P190" s="16"/>
      <c r="Q190" s="16"/>
      <c r="R190" s="16"/>
    </row>
    <row r="191" customFormat="false" ht="15" hidden="false" customHeight="false" outlineLevel="0" collapsed="false">
      <c r="A191" s="25"/>
      <c r="B191" s="16"/>
      <c r="C191" s="16"/>
      <c r="D191" s="16"/>
      <c r="E191" s="16"/>
      <c r="F191" s="16"/>
      <c r="G191" s="26"/>
      <c r="H191" s="26"/>
      <c r="I191" s="26"/>
      <c r="J191" s="26"/>
      <c r="K191" s="16"/>
      <c r="L191" s="27" t="str">
        <f aca="false">IF(G191="","",G191-H191+I191+IF(K191="N",J191,0))</f>
        <v/>
      </c>
      <c r="M191" s="16"/>
      <c r="N191" s="16"/>
      <c r="O191" s="16"/>
      <c r="P191" s="16"/>
      <c r="Q191" s="16"/>
      <c r="R191" s="16"/>
    </row>
    <row r="192" customFormat="false" ht="15" hidden="false" customHeight="false" outlineLevel="0" collapsed="false">
      <c r="A192" s="25"/>
      <c r="B192" s="16"/>
      <c r="C192" s="16"/>
      <c r="D192" s="16"/>
      <c r="E192" s="16"/>
      <c r="F192" s="16"/>
      <c r="G192" s="26"/>
      <c r="H192" s="26"/>
      <c r="I192" s="26"/>
      <c r="J192" s="26"/>
      <c r="K192" s="16"/>
      <c r="L192" s="27" t="str">
        <f aca="false">IF(G192="","",G192-H192+I192+IF(K192="N",J192,0))</f>
        <v/>
      </c>
      <c r="M192" s="16"/>
      <c r="N192" s="16"/>
      <c r="O192" s="16"/>
      <c r="P192" s="16"/>
      <c r="Q192" s="16"/>
      <c r="R192" s="16"/>
    </row>
    <row r="193" customFormat="false" ht="15" hidden="false" customHeight="false" outlineLevel="0" collapsed="false">
      <c r="A193" s="25"/>
      <c r="B193" s="16"/>
      <c r="C193" s="16"/>
      <c r="D193" s="16"/>
      <c r="E193" s="16"/>
      <c r="F193" s="16"/>
      <c r="G193" s="26"/>
      <c r="H193" s="26"/>
      <c r="I193" s="26"/>
      <c r="J193" s="26"/>
      <c r="K193" s="16"/>
      <c r="L193" s="27" t="str">
        <f aca="false">IF(G193="","",G193-H193+I193+IF(K193="N",J193,0))</f>
        <v/>
      </c>
      <c r="M193" s="16"/>
      <c r="N193" s="16"/>
      <c r="O193" s="16"/>
      <c r="P193" s="16"/>
      <c r="Q193" s="16"/>
      <c r="R193" s="16"/>
    </row>
    <row r="194" customFormat="false" ht="15" hidden="false" customHeight="false" outlineLevel="0" collapsed="false">
      <c r="A194" s="25"/>
      <c r="B194" s="16"/>
      <c r="C194" s="16"/>
      <c r="D194" s="16"/>
      <c r="E194" s="16"/>
      <c r="F194" s="16"/>
      <c r="G194" s="26"/>
      <c r="H194" s="26"/>
      <c r="I194" s="26"/>
      <c r="J194" s="26"/>
      <c r="K194" s="16"/>
      <c r="L194" s="27" t="str">
        <f aca="false">IF(G194="","",G194-H194+I194+IF(K194="N",J194,0))</f>
        <v/>
      </c>
      <c r="M194" s="16"/>
      <c r="N194" s="16"/>
      <c r="O194" s="16"/>
      <c r="P194" s="16"/>
      <c r="Q194" s="16"/>
      <c r="R194" s="16"/>
    </row>
    <row r="195" customFormat="false" ht="15" hidden="false" customHeight="false" outlineLevel="0" collapsed="false">
      <c r="A195" s="25"/>
      <c r="B195" s="16"/>
      <c r="C195" s="16"/>
      <c r="D195" s="16"/>
      <c r="E195" s="16"/>
      <c r="F195" s="16"/>
      <c r="G195" s="26"/>
      <c r="H195" s="26"/>
      <c r="I195" s="26"/>
      <c r="J195" s="26"/>
      <c r="K195" s="16"/>
      <c r="L195" s="27" t="str">
        <f aca="false">IF(G195="","",G195-H195+I195+IF(K195="N",J195,0))</f>
        <v/>
      </c>
      <c r="M195" s="16"/>
      <c r="N195" s="16"/>
      <c r="O195" s="16"/>
      <c r="P195" s="16"/>
      <c r="Q195" s="16"/>
      <c r="R195" s="16"/>
    </row>
    <row r="196" customFormat="false" ht="15" hidden="false" customHeight="false" outlineLevel="0" collapsed="false">
      <c r="A196" s="25"/>
      <c r="B196" s="16"/>
      <c r="C196" s="16"/>
      <c r="D196" s="16"/>
      <c r="E196" s="16"/>
      <c r="F196" s="16"/>
      <c r="G196" s="26"/>
      <c r="H196" s="26"/>
      <c r="I196" s="26"/>
      <c r="J196" s="26"/>
      <c r="K196" s="16"/>
      <c r="L196" s="27" t="str">
        <f aca="false">IF(G196="","",G196-H196+I196+IF(K196="N",J196,0))</f>
        <v/>
      </c>
      <c r="M196" s="16"/>
      <c r="N196" s="16"/>
      <c r="O196" s="16"/>
      <c r="P196" s="16"/>
      <c r="Q196" s="16"/>
      <c r="R196" s="16"/>
    </row>
    <row r="197" customFormat="false" ht="15" hidden="false" customHeight="false" outlineLevel="0" collapsed="false">
      <c r="A197" s="25"/>
      <c r="B197" s="16"/>
      <c r="C197" s="16"/>
      <c r="D197" s="16"/>
      <c r="E197" s="16"/>
      <c r="F197" s="16"/>
      <c r="G197" s="26"/>
      <c r="H197" s="26"/>
      <c r="I197" s="26"/>
      <c r="J197" s="26"/>
      <c r="K197" s="16"/>
      <c r="L197" s="27" t="str">
        <f aca="false">IF(G197="","",G197-H197+I197+IF(K197="N",J197,0))</f>
        <v/>
      </c>
      <c r="M197" s="16"/>
      <c r="N197" s="16"/>
      <c r="O197" s="16"/>
      <c r="P197" s="16"/>
      <c r="Q197" s="16"/>
      <c r="R197" s="16"/>
    </row>
    <row r="198" customFormat="false" ht="15" hidden="false" customHeight="false" outlineLevel="0" collapsed="false">
      <c r="A198" s="25"/>
      <c r="B198" s="16"/>
      <c r="C198" s="16"/>
      <c r="D198" s="16"/>
      <c r="E198" s="16"/>
      <c r="F198" s="16"/>
      <c r="G198" s="26"/>
      <c r="H198" s="26"/>
      <c r="I198" s="26"/>
      <c r="J198" s="26"/>
      <c r="K198" s="16"/>
      <c r="L198" s="27" t="str">
        <f aca="false">IF(G198="","",G198-H198+I198+IF(K198="N",J198,0))</f>
        <v/>
      </c>
      <c r="M198" s="16"/>
      <c r="N198" s="16"/>
      <c r="O198" s="16"/>
      <c r="P198" s="16"/>
      <c r="Q198" s="16"/>
      <c r="R198" s="16"/>
    </row>
    <row r="199" customFormat="false" ht="15" hidden="false" customHeight="false" outlineLevel="0" collapsed="false">
      <c r="A199" s="25"/>
      <c r="B199" s="16"/>
      <c r="C199" s="16"/>
      <c r="D199" s="16"/>
      <c r="E199" s="16"/>
      <c r="F199" s="16"/>
      <c r="G199" s="26"/>
      <c r="H199" s="26"/>
      <c r="I199" s="26"/>
      <c r="J199" s="26"/>
      <c r="K199" s="16"/>
      <c r="L199" s="27" t="str">
        <f aca="false">IF(G199="","",G199-H199+I199+IF(K199="N",J199,0))</f>
        <v/>
      </c>
      <c r="M199" s="16"/>
      <c r="N199" s="16"/>
      <c r="O199" s="16"/>
      <c r="P199" s="16"/>
      <c r="Q199" s="16"/>
      <c r="R199" s="16"/>
    </row>
    <row r="200" customFormat="false" ht="15" hidden="false" customHeight="false" outlineLevel="0" collapsed="false">
      <c r="A200" s="25"/>
      <c r="B200" s="16"/>
      <c r="C200" s="16"/>
      <c r="D200" s="16"/>
      <c r="E200" s="16"/>
      <c r="F200" s="16"/>
      <c r="G200" s="26"/>
      <c r="H200" s="26"/>
      <c r="I200" s="26"/>
      <c r="J200" s="26"/>
      <c r="K200" s="16"/>
      <c r="L200" s="27" t="str">
        <f aca="false">IF(G200="","",G200-H200+I200+IF(K200="N",J200,0))</f>
        <v/>
      </c>
      <c r="M200" s="16"/>
      <c r="N200" s="16"/>
      <c r="O200" s="16"/>
      <c r="P200" s="16"/>
      <c r="Q200" s="16"/>
      <c r="R200" s="16"/>
    </row>
    <row r="201" customFormat="false" ht="15" hidden="false" customHeight="false" outlineLevel="0" collapsed="false">
      <c r="A201" s="25"/>
      <c r="B201" s="16"/>
      <c r="C201" s="16"/>
      <c r="D201" s="16"/>
      <c r="E201" s="16"/>
      <c r="F201" s="16"/>
      <c r="G201" s="26"/>
      <c r="H201" s="26"/>
      <c r="I201" s="26"/>
      <c r="J201" s="26"/>
      <c r="K201" s="16"/>
      <c r="L201" s="27" t="str">
        <f aca="false">IF(G201="","",G201-H201+I201+IF(K201="N",J201,0))</f>
        <v/>
      </c>
      <c r="M201" s="16"/>
      <c r="N201" s="16"/>
      <c r="O201" s="16"/>
      <c r="P201" s="16"/>
      <c r="Q201" s="16"/>
      <c r="R201" s="16"/>
    </row>
    <row r="202" customFormat="false" ht="15" hidden="false" customHeight="false" outlineLevel="0" collapsed="false">
      <c r="A202" s="25"/>
      <c r="B202" s="16"/>
      <c r="C202" s="16"/>
      <c r="D202" s="16"/>
      <c r="E202" s="16"/>
      <c r="F202" s="16"/>
      <c r="G202" s="26"/>
      <c r="H202" s="26"/>
      <c r="I202" s="26"/>
      <c r="J202" s="26"/>
      <c r="K202" s="16"/>
      <c r="L202" s="27" t="str">
        <f aca="false">IF(G202="","",G202-H202+I202+IF(K202="N",J202,0))</f>
        <v/>
      </c>
      <c r="M202" s="16"/>
      <c r="N202" s="16"/>
      <c r="O202" s="16"/>
      <c r="P202" s="16"/>
      <c r="Q202" s="16"/>
      <c r="R202" s="16"/>
    </row>
    <row r="203" customFormat="false" ht="15" hidden="false" customHeight="false" outlineLevel="0" collapsed="false">
      <c r="A203" s="25"/>
      <c r="B203" s="16"/>
      <c r="C203" s="16"/>
      <c r="D203" s="16"/>
      <c r="E203" s="16"/>
      <c r="F203" s="16"/>
      <c r="G203" s="26"/>
      <c r="H203" s="26"/>
      <c r="I203" s="26"/>
      <c r="J203" s="26"/>
      <c r="K203" s="16"/>
      <c r="L203" s="27" t="str">
        <f aca="false">IF(G203="","",G203-H203+I203+IF(K203="N",J203,0))</f>
        <v/>
      </c>
      <c r="M203" s="16"/>
      <c r="N203" s="16"/>
      <c r="O203" s="16"/>
      <c r="P203" s="16"/>
      <c r="Q203" s="16"/>
      <c r="R203" s="16"/>
    </row>
    <row r="204" customFormat="false" ht="15" hidden="false" customHeight="false" outlineLevel="0" collapsed="false">
      <c r="A204" s="25"/>
      <c r="B204" s="16"/>
      <c r="C204" s="16"/>
      <c r="D204" s="16"/>
      <c r="E204" s="16"/>
      <c r="F204" s="16"/>
      <c r="G204" s="26"/>
      <c r="H204" s="26"/>
      <c r="I204" s="26"/>
      <c r="J204" s="26"/>
      <c r="K204" s="16"/>
      <c r="L204" s="27" t="str">
        <f aca="false">IF(G204="","",G204-H204+I204+IF(K204="N",J204,0))</f>
        <v/>
      </c>
      <c r="M204" s="16"/>
      <c r="N204" s="16"/>
      <c r="O204" s="16"/>
      <c r="P204" s="16"/>
      <c r="Q204" s="16"/>
      <c r="R204" s="16"/>
    </row>
    <row r="205" customFormat="false" ht="15" hidden="false" customHeight="false" outlineLevel="0" collapsed="false">
      <c r="A205" s="25"/>
      <c r="B205" s="16"/>
      <c r="C205" s="16"/>
      <c r="D205" s="16"/>
      <c r="E205" s="16"/>
      <c r="F205" s="16"/>
      <c r="G205" s="26"/>
      <c r="H205" s="26"/>
      <c r="I205" s="26"/>
      <c r="J205" s="26"/>
      <c r="K205" s="16"/>
      <c r="L205" s="27" t="str">
        <f aca="false">IF(G205="","",G205-H205+I205+IF(K205="N",J205,0))</f>
        <v/>
      </c>
      <c r="M205" s="16"/>
      <c r="N205" s="16"/>
      <c r="O205" s="16"/>
      <c r="P205" s="16"/>
      <c r="Q205" s="16"/>
      <c r="R205" s="16"/>
    </row>
    <row r="206" customFormat="false" ht="15" hidden="false" customHeight="false" outlineLevel="0" collapsed="false">
      <c r="A206" s="25"/>
      <c r="B206" s="16"/>
      <c r="C206" s="16"/>
      <c r="D206" s="16"/>
      <c r="E206" s="16"/>
      <c r="F206" s="16"/>
      <c r="G206" s="26"/>
      <c r="H206" s="26"/>
      <c r="I206" s="26"/>
      <c r="J206" s="26"/>
      <c r="K206" s="16"/>
      <c r="L206" s="27" t="str">
        <f aca="false">IF(G206="","",G206-H206+I206+IF(K206="N",J206,0))</f>
        <v/>
      </c>
      <c r="M206" s="16"/>
      <c r="N206" s="16"/>
      <c r="O206" s="16"/>
      <c r="P206" s="16"/>
      <c r="Q206" s="16"/>
      <c r="R206" s="16"/>
    </row>
    <row r="207" customFormat="false" ht="15" hidden="false" customHeight="false" outlineLevel="0" collapsed="false">
      <c r="A207" s="25"/>
      <c r="B207" s="16"/>
      <c r="C207" s="16"/>
      <c r="D207" s="16"/>
      <c r="E207" s="16"/>
      <c r="F207" s="16"/>
      <c r="G207" s="26"/>
      <c r="H207" s="26"/>
      <c r="I207" s="26"/>
      <c r="J207" s="26"/>
      <c r="K207" s="16"/>
      <c r="L207" s="27" t="str">
        <f aca="false">IF(G207="","",G207-H207+I207+IF(K207="N",J207,0))</f>
        <v/>
      </c>
      <c r="M207" s="16"/>
      <c r="N207" s="16"/>
      <c r="O207" s="16"/>
      <c r="P207" s="16"/>
      <c r="Q207" s="16"/>
      <c r="R207" s="16"/>
    </row>
    <row r="208" customFormat="false" ht="15" hidden="false" customHeight="false" outlineLevel="0" collapsed="false">
      <c r="A208" s="25"/>
      <c r="B208" s="16"/>
      <c r="C208" s="16"/>
      <c r="D208" s="16"/>
      <c r="E208" s="16"/>
      <c r="F208" s="16"/>
      <c r="G208" s="26"/>
      <c r="H208" s="26"/>
      <c r="I208" s="26"/>
      <c r="J208" s="26"/>
      <c r="K208" s="16"/>
      <c r="L208" s="27" t="str">
        <f aca="false">IF(G208="","",G208-H208+I208+IF(K208="N",J208,0))</f>
        <v/>
      </c>
      <c r="M208" s="16"/>
      <c r="N208" s="16"/>
      <c r="O208" s="16"/>
      <c r="P208" s="16"/>
      <c r="Q208" s="16"/>
      <c r="R208" s="16"/>
    </row>
    <row r="209" customFormat="false" ht="15" hidden="false" customHeight="false" outlineLevel="0" collapsed="false">
      <c r="A209" s="25"/>
      <c r="B209" s="16"/>
      <c r="C209" s="16"/>
      <c r="D209" s="16"/>
      <c r="E209" s="16"/>
      <c r="F209" s="16"/>
      <c r="G209" s="26"/>
      <c r="H209" s="26"/>
      <c r="I209" s="26"/>
      <c r="J209" s="26"/>
      <c r="K209" s="16"/>
      <c r="L209" s="27" t="str">
        <f aca="false">IF(G209="","",G209-H209+I209+IF(K209="N",J209,0))</f>
        <v/>
      </c>
      <c r="M209" s="16"/>
      <c r="N209" s="16"/>
      <c r="O209" s="16"/>
      <c r="P209" s="16"/>
      <c r="Q209" s="16"/>
      <c r="R209" s="16"/>
    </row>
    <row r="210" customFormat="false" ht="15" hidden="false" customHeight="false" outlineLevel="0" collapsed="false">
      <c r="A210" s="25"/>
      <c r="B210" s="16"/>
      <c r="C210" s="16"/>
      <c r="D210" s="16"/>
      <c r="E210" s="16"/>
      <c r="F210" s="16"/>
      <c r="G210" s="26"/>
      <c r="H210" s="26"/>
      <c r="I210" s="26"/>
      <c r="J210" s="26"/>
      <c r="K210" s="16"/>
      <c r="L210" s="27" t="str">
        <f aca="false">IF(G210="","",G210-H210+I210+IF(K210="N",J210,0))</f>
        <v/>
      </c>
      <c r="M210" s="16"/>
      <c r="N210" s="16"/>
      <c r="O210" s="16"/>
      <c r="P210" s="16"/>
      <c r="Q210" s="16"/>
      <c r="R210" s="16"/>
    </row>
    <row r="211" customFormat="false" ht="15" hidden="false" customHeight="false" outlineLevel="0" collapsed="false">
      <c r="A211" s="25"/>
      <c r="B211" s="16"/>
      <c r="C211" s="16"/>
      <c r="D211" s="16"/>
      <c r="E211" s="16"/>
      <c r="F211" s="16"/>
      <c r="G211" s="26"/>
      <c r="H211" s="26"/>
      <c r="I211" s="26"/>
      <c r="J211" s="26"/>
      <c r="K211" s="16"/>
      <c r="L211" s="27" t="str">
        <f aca="false">IF(G211="","",G211-H211+I211+IF(K211="N",J211,0))</f>
        <v/>
      </c>
      <c r="M211" s="16"/>
      <c r="N211" s="16"/>
      <c r="O211" s="16"/>
      <c r="P211" s="16"/>
      <c r="Q211" s="16"/>
      <c r="R211" s="16"/>
    </row>
    <row r="212" customFormat="false" ht="15" hidden="false" customHeight="false" outlineLevel="0" collapsed="false">
      <c r="A212" s="25"/>
      <c r="B212" s="16"/>
      <c r="C212" s="16"/>
      <c r="D212" s="16"/>
      <c r="E212" s="16"/>
      <c r="F212" s="16"/>
      <c r="G212" s="26"/>
      <c r="H212" s="26"/>
      <c r="I212" s="26"/>
      <c r="J212" s="26"/>
      <c r="K212" s="16"/>
      <c r="L212" s="27" t="str">
        <f aca="false">IF(G212="","",G212-H212+I212+IF(K212="N",J212,0))</f>
        <v/>
      </c>
      <c r="M212" s="16"/>
      <c r="N212" s="16"/>
      <c r="O212" s="16"/>
      <c r="P212" s="16"/>
      <c r="Q212" s="16"/>
      <c r="R212" s="16"/>
    </row>
    <row r="213" customFormat="false" ht="15" hidden="false" customHeight="false" outlineLevel="0" collapsed="false">
      <c r="A213" s="25"/>
      <c r="B213" s="16"/>
      <c r="C213" s="16"/>
      <c r="D213" s="16"/>
      <c r="E213" s="16"/>
      <c r="F213" s="16"/>
      <c r="G213" s="26"/>
      <c r="H213" s="26"/>
      <c r="I213" s="26"/>
      <c r="J213" s="26"/>
      <c r="K213" s="16"/>
      <c r="L213" s="27" t="str">
        <f aca="false">IF(G213="","",G213-H213+I213+IF(K213="N",J213,0))</f>
        <v/>
      </c>
      <c r="M213" s="16"/>
      <c r="N213" s="16"/>
      <c r="O213" s="16"/>
      <c r="P213" s="16"/>
      <c r="Q213" s="16"/>
      <c r="R213" s="16"/>
    </row>
    <row r="214" customFormat="false" ht="15" hidden="false" customHeight="false" outlineLevel="0" collapsed="false">
      <c r="A214" s="25"/>
      <c r="B214" s="16"/>
      <c r="C214" s="16"/>
      <c r="D214" s="16"/>
      <c r="E214" s="16"/>
      <c r="F214" s="16"/>
      <c r="G214" s="26"/>
      <c r="H214" s="26"/>
      <c r="I214" s="26"/>
      <c r="J214" s="26"/>
      <c r="K214" s="16"/>
      <c r="L214" s="27" t="str">
        <f aca="false">IF(G214="","",G214-H214+I214+IF(K214="N",J214,0))</f>
        <v/>
      </c>
      <c r="M214" s="16"/>
      <c r="N214" s="16"/>
      <c r="O214" s="16"/>
      <c r="P214" s="16"/>
      <c r="Q214" s="16"/>
      <c r="R214" s="16"/>
    </row>
    <row r="215" customFormat="false" ht="15" hidden="false" customHeight="false" outlineLevel="0" collapsed="false">
      <c r="A215" s="25"/>
      <c r="B215" s="16"/>
      <c r="C215" s="16"/>
      <c r="D215" s="16"/>
      <c r="E215" s="16"/>
      <c r="F215" s="16"/>
      <c r="G215" s="26"/>
      <c r="H215" s="26"/>
      <c r="I215" s="26"/>
      <c r="J215" s="26"/>
      <c r="K215" s="16"/>
      <c r="L215" s="27" t="str">
        <f aca="false">IF(G215="","",G215-H215+I215+IF(K215="N",J215,0))</f>
        <v/>
      </c>
      <c r="M215" s="16"/>
      <c r="N215" s="16"/>
      <c r="O215" s="16"/>
      <c r="P215" s="16"/>
      <c r="Q215" s="16"/>
      <c r="R215" s="16"/>
    </row>
    <row r="216" customFormat="false" ht="15" hidden="false" customHeight="false" outlineLevel="0" collapsed="false">
      <c r="A216" s="25"/>
      <c r="B216" s="16"/>
      <c r="C216" s="16"/>
      <c r="D216" s="16"/>
      <c r="E216" s="16"/>
      <c r="F216" s="16"/>
      <c r="G216" s="26"/>
      <c r="H216" s="26"/>
      <c r="I216" s="26"/>
      <c r="J216" s="26"/>
      <c r="K216" s="16"/>
      <c r="L216" s="27" t="str">
        <f aca="false">IF(G216="","",G216-H216+I216+IF(K216="N",J216,0))</f>
        <v/>
      </c>
      <c r="M216" s="16"/>
      <c r="N216" s="16"/>
      <c r="O216" s="16"/>
      <c r="P216" s="16"/>
      <c r="Q216" s="16"/>
      <c r="R216" s="16"/>
    </row>
    <row r="217" customFormat="false" ht="15" hidden="false" customHeight="false" outlineLevel="0" collapsed="false">
      <c r="A217" s="25"/>
      <c r="B217" s="16"/>
      <c r="C217" s="16"/>
      <c r="D217" s="16"/>
      <c r="E217" s="16"/>
      <c r="F217" s="16"/>
      <c r="G217" s="26"/>
      <c r="H217" s="26"/>
      <c r="I217" s="26"/>
      <c r="J217" s="26"/>
      <c r="K217" s="16"/>
      <c r="L217" s="27" t="str">
        <f aca="false">IF(G217="","",G217-H217+I217+IF(K217="N",J217,0))</f>
        <v/>
      </c>
      <c r="M217" s="16"/>
      <c r="N217" s="16"/>
      <c r="O217" s="16"/>
      <c r="P217" s="16"/>
      <c r="Q217" s="16"/>
      <c r="R217" s="16"/>
    </row>
    <row r="218" customFormat="false" ht="15" hidden="false" customHeight="false" outlineLevel="0" collapsed="false">
      <c r="A218" s="25"/>
      <c r="B218" s="16"/>
      <c r="C218" s="16"/>
      <c r="D218" s="16"/>
      <c r="E218" s="16"/>
      <c r="F218" s="16"/>
      <c r="G218" s="26"/>
      <c r="H218" s="26"/>
      <c r="I218" s="26"/>
      <c r="J218" s="26"/>
      <c r="K218" s="16"/>
      <c r="L218" s="27" t="str">
        <f aca="false">IF(G218="","",G218-H218+I218+IF(K218="N",J218,0))</f>
        <v/>
      </c>
      <c r="M218" s="16"/>
      <c r="N218" s="16"/>
      <c r="O218" s="16"/>
      <c r="P218" s="16"/>
      <c r="Q218" s="16"/>
      <c r="R218" s="16"/>
    </row>
    <row r="219" customFormat="false" ht="15" hidden="false" customHeight="false" outlineLevel="0" collapsed="false">
      <c r="A219" s="25"/>
      <c r="B219" s="16"/>
      <c r="C219" s="16"/>
      <c r="D219" s="16"/>
      <c r="E219" s="16"/>
      <c r="F219" s="16"/>
      <c r="G219" s="26"/>
      <c r="H219" s="26"/>
      <c r="I219" s="26"/>
      <c r="J219" s="26"/>
      <c r="K219" s="16"/>
      <c r="L219" s="27" t="str">
        <f aca="false">IF(G219="","",G219-H219+I219+IF(K219="N",J219,0))</f>
        <v/>
      </c>
      <c r="M219" s="16"/>
      <c r="N219" s="16"/>
      <c r="O219" s="16"/>
      <c r="P219" s="16"/>
      <c r="Q219" s="16"/>
      <c r="R219" s="16"/>
    </row>
    <row r="220" customFormat="false" ht="15" hidden="false" customHeight="false" outlineLevel="0" collapsed="false">
      <c r="A220" s="25"/>
      <c r="B220" s="16"/>
      <c r="C220" s="16"/>
      <c r="D220" s="16"/>
      <c r="E220" s="16"/>
      <c r="F220" s="16"/>
      <c r="G220" s="26"/>
      <c r="H220" s="26"/>
      <c r="I220" s="26"/>
      <c r="J220" s="26"/>
      <c r="K220" s="16"/>
      <c r="L220" s="27" t="str">
        <f aca="false">IF(G220="","",G220-H220+I220+IF(K220="N",J220,0))</f>
        <v/>
      </c>
      <c r="M220" s="16"/>
      <c r="N220" s="16"/>
      <c r="O220" s="16"/>
      <c r="P220" s="16"/>
      <c r="Q220" s="16"/>
      <c r="R220" s="16"/>
    </row>
    <row r="221" customFormat="false" ht="15" hidden="false" customHeight="false" outlineLevel="0" collapsed="false">
      <c r="A221" s="25"/>
      <c r="B221" s="16"/>
      <c r="C221" s="16"/>
      <c r="D221" s="16"/>
      <c r="E221" s="16"/>
      <c r="F221" s="16"/>
      <c r="G221" s="26"/>
      <c r="H221" s="26"/>
      <c r="I221" s="26"/>
      <c r="J221" s="26"/>
      <c r="K221" s="16"/>
      <c r="L221" s="27" t="str">
        <f aca="false">IF(G221="","",G221-H221+I221+IF(K221="N",J221,0))</f>
        <v/>
      </c>
      <c r="M221" s="16"/>
      <c r="N221" s="16"/>
      <c r="O221" s="16"/>
      <c r="P221" s="16"/>
      <c r="Q221" s="16"/>
      <c r="R221" s="16"/>
    </row>
    <row r="222" customFormat="false" ht="15" hidden="false" customHeight="false" outlineLevel="0" collapsed="false">
      <c r="A222" s="25"/>
      <c r="B222" s="16"/>
      <c r="C222" s="16"/>
      <c r="D222" s="16"/>
      <c r="E222" s="16"/>
      <c r="F222" s="16"/>
      <c r="G222" s="26"/>
      <c r="H222" s="26"/>
      <c r="I222" s="26"/>
      <c r="J222" s="26"/>
      <c r="K222" s="16"/>
      <c r="L222" s="27" t="str">
        <f aca="false">IF(G222="","",G222-H222+I222+IF(K222="N",J222,0))</f>
        <v/>
      </c>
      <c r="M222" s="16"/>
      <c r="N222" s="16"/>
      <c r="O222" s="16"/>
      <c r="P222" s="16"/>
      <c r="Q222" s="16"/>
      <c r="R222" s="16"/>
    </row>
    <row r="223" customFormat="false" ht="15" hidden="false" customHeight="false" outlineLevel="0" collapsed="false">
      <c r="A223" s="25"/>
      <c r="B223" s="16"/>
      <c r="C223" s="16"/>
      <c r="D223" s="16"/>
      <c r="E223" s="16"/>
      <c r="F223" s="16"/>
      <c r="G223" s="26"/>
      <c r="H223" s="26"/>
      <c r="I223" s="26"/>
      <c r="J223" s="26"/>
      <c r="K223" s="16"/>
      <c r="L223" s="27" t="str">
        <f aca="false">IF(G223="","",G223-H223+I223+IF(K223="N",J223,0))</f>
        <v/>
      </c>
      <c r="M223" s="16"/>
      <c r="N223" s="16"/>
      <c r="O223" s="16"/>
      <c r="P223" s="16"/>
      <c r="Q223" s="16"/>
      <c r="R223" s="16"/>
    </row>
    <row r="224" customFormat="false" ht="15" hidden="false" customHeight="false" outlineLevel="0" collapsed="false">
      <c r="A224" s="25"/>
      <c r="B224" s="16"/>
      <c r="C224" s="16"/>
      <c r="D224" s="16"/>
      <c r="E224" s="16"/>
      <c r="F224" s="16"/>
      <c r="G224" s="26"/>
      <c r="H224" s="26"/>
      <c r="I224" s="26"/>
      <c r="J224" s="26"/>
      <c r="K224" s="16"/>
      <c r="L224" s="27" t="str">
        <f aca="false">IF(G224="","",G224-H224+I224+IF(K224="N",J224,0))</f>
        <v/>
      </c>
      <c r="M224" s="16"/>
      <c r="N224" s="16"/>
      <c r="O224" s="16"/>
      <c r="P224" s="16"/>
      <c r="Q224" s="16"/>
      <c r="R224" s="16"/>
    </row>
    <row r="225" customFormat="false" ht="15" hidden="false" customHeight="false" outlineLevel="0" collapsed="false">
      <c r="A225" s="25"/>
      <c r="B225" s="16"/>
      <c r="C225" s="16"/>
      <c r="D225" s="16"/>
      <c r="E225" s="16"/>
      <c r="F225" s="16"/>
      <c r="G225" s="26"/>
      <c r="H225" s="26"/>
      <c r="I225" s="26"/>
      <c r="J225" s="26"/>
      <c r="K225" s="16"/>
      <c r="L225" s="27" t="str">
        <f aca="false">IF(G225="","",G225-H225+I225+IF(K225="N",J225,0))</f>
        <v/>
      </c>
      <c r="M225" s="16"/>
      <c r="N225" s="16"/>
      <c r="O225" s="16"/>
      <c r="P225" s="16"/>
      <c r="Q225" s="16"/>
      <c r="R225" s="16"/>
    </row>
    <row r="226" customFormat="false" ht="15" hidden="false" customHeight="false" outlineLevel="0" collapsed="false">
      <c r="A226" s="25"/>
      <c r="B226" s="16"/>
      <c r="C226" s="16"/>
      <c r="D226" s="16"/>
      <c r="E226" s="16"/>
      <c r="F226" s="16"/>
      <c r="G226" s="26"/>
      <c r="H226" s="26"/>
      <c r="I226" s="26"/>
      <c r="J226" s="26"/>
      <c r="K226" s="16"/>
      <c r="L226" s="27" t="str">
        <f aca="false">IF(G226="","",G226-H226+I226+IF(K226="N",J226,0))</f>
        <v/>
      </c>
      <c r="M226" s="16"/>
      <c r="N226" s="16"/>
      <c r="O226" s="16"/>
      <c r="P226" s="16"/>
      <c r="Q226" s="16"/>
      <c r="R226" s="16"/>
    </row>
    <row r="227" customFormat="false" ht="15" hidden="false" customHeight="false" outlineLevel="0" collapsed="false">
      <c r="A227" s="25"/>
      <c r="B227" s="16"/>
      <c r="C227" s="16"/>
      <c r="D227" s="16"/>
      <c r="E227" s="16"/>
      <c r="F227" s="16"/>
      <c r="G227" s="26"/>
      <c r="H227" s="26"/>
      <c r="I227" s="26"/>
      <c r="J227" s="26"/>
      <c r="K227" s="16"/>
      <c r="L227" s="27" t="str">
        <f aca="false">IF(G227="","",G227-H227+I227+IF(K227="N",J227,0))</f>
        <v/>
      </c>
      <c r="M227" s="16"/>
      <c r="N227" s="16"/>
      <c r="O227" s="16"/>
      <c r="P227" s="16"/>
      <c r="Q227" s="16"/>
      <c r="R227" s="16"/>
    </row>
    <row r="228" customFormat="false" ht="15" hidden="false" customHeight="false" outlineLevel="0" collapsed="false">
      <c r="A228" s="25"/>
      <c r="B228" s="16"/>
      <c r="C228" s="16"/>
      <c r="D228" s="16"/>
      <c r="E228" s="16"/>
      <c r="F228" s="16"/>
      <c r="G228" s="26"/>
      <c r="H228" s="26"/>
      <c r="I228" s="26"/>
      <c r="J228" s="26"/>
      <c r="K228" s="16"/>
      <c r="L228" s="27" t="str">
        <f aca="false">IF(G228="","",G228-H228+I228+IF(K228="N",J228,0))</f>
        <v/>
      </c>
      <c r="M228" s="16"/>
      <c r="N228" s="16"/>
      <c r="O228" s="16"/>
      <c r="P228" s="16"/>
      <c r="Q228" s="16"/>
      <c r="R228" s="16"/>
    </row>
    <row r="229" customFormat="false" ht="15" hidden="false" customHeight="false" outlineLevel="0" collapsed="false">
      <c r="A229" s="25"/>
      <c r="B229" s="16"/>
      <c r="C229" s="16"/>
      <c r="D229" s="16"/>
      <c r="E229" s="16"/>
      <c r="F229" s="16"/>
      <c r="G229" s="26"/>
      <c r="H229" s="26"/>
      <c r="I229" s="26"/>
      <c r="J229" s="26"/>
      <c r="K229" s="16"/>
      <c r="L229" s="27" t="str">
        <f aca="false">IF(G229="","",G229-H229+I229+IF(K229="N",J229,0))</f>
        <v/>
      </c>
      <c r="M229" s="16"/>
      <c r="N229" s="16"/>
      <c r="O229" s="16"/>
      <c r="P229" s="16"/>
      <c r="Q229" s="16"/>
      <c r="R229" s="16"/>
    </row>
    <row r="230" customFormat="false" ht="15" hidden="false" customHeight="false" outlineLevel="0" collapsed="false">
      <c r="A230" s="25"/>
      <c r="B230" s="16"/>
      <c r="C230" s="16"/>
      <c r="D230" s="16"/>
      <c r="E230" s="16"/>
      <c r="F230" s="16"/>
      <c r="G230" s="26"/>
      <c r="H230" s="26"/>
      <c r="I230" s="26"/>
      <c r="J230" s="26"/>
      <c r="K230" s="16"/>
      <c r="L230" s="27" t="str">
        <f aca="false">IF(G230="","",G230-H230+I230+IF(K230="N",J230,0))</f>
        <v/>
      </c>
      <c r="M230" s="16"/>
      <c r="N230" s="16"/>
      <c r="O230" s="16"/>
      <c r="P230" s="16"/>
      <c r="Q230" s="16"/>
      <c r="R230" s="16"/>
    </row>
    <row r="231" customFormat="false" ht="15" hidden="false" customHeight="false" outlineLevel="0" collapsed="false">
      <c r="A231" s="25"/>
      <c r="B231" s="16"/>
      <c r="C231" s="16"/>
      <c r="D231" s="16"/>
      <c r="E231" s="16"/>
      <c r="F231" s="16"/>
      <c r="G231" s="26"/>
      <c r="H231" s="26"/>
      <c r="I231" s="26"/>
      <c r="J231" s="26"/>
      <c r="K231" s="16"/>
      <c r="L231" s="27" t="str">
        <f aca="false">IF(G231="","",G231-H231+I231+IF(K231="N",J231,0))</f>
        <v/>
      </c>
      <c r="M231" s="16"/>
      <c r="N231" s="16"/>
      <c r="O231" s="16"/>
      <c r="P231" s="16"/>
      <c r="Q231" s="16"/>
      <c r="R231" s="16"/>
    </row>
    <row r="232" customFormat="false" ht="15" hidden="false" customHeight="false" outlineLevel="0" collapsed="false">
      <c r="A232" s="25"/>
      <c r="B232" s="16"/>
      <c r="C232" s="16"/>
      <c r="D232" s="16"/>
      <c r="E232" s="16"/>
      <c r="F232" s="16"/>
      <c r="G232" s="26"/>
      <c r="H232" s="26"/>
      <c r="I232" s="26"/>
      <c r="J232" s="26"/>
      <c r="K232" s="16"/>
      <c r="L232" s="27" t="str">
        <f aca="false">IF(G232="","",G232-H232+I232+IF(K232="N",J232,0))</f>
        <v/>
      </c>
      <c r="M232" s="16"/>
      <c r="N232" s="16"/>
      <c r="O232" s="16"/>
      <c r="P232" s="16"/>
      <c r="Q232" s="16"/>
      <c r="R232" s="16"/>
    </row>
    <row r="233" customFormat="false" ht="15" hidden="false" customHeight="false" outlineLevel="0" collapsed="false">
      <c r="A233" s="25"/>
      <c r="B233" s="16"/>
      <c r="C233" s="16"/>
      <c r="D233" s="16"/>
      <c r="E233" s="16"/>
      <c r="F233" s="16"/>
      <c r="G233" s="26"/>
      <c r="H233" s="26"/>
      <c r="I233" s="26"/>
      <c r="J233" s="26"/>
      <c r="K233" s="16"/>
      <c r="L233" s="27" t="str">
        <f aca="false">IF(G233="","",G233-H233+I233+IF(K233="N",J233,0))</f>
        <v/>
      </c>
      <c r="M233" s="16"/>
      <c r="N233" s="16"/>
      <c r="O233" s="16"/>
      <c r="P233" s="16"/>
      <c r="Q233" s="16"/>
      <c r="R233" s="16"/>
    </row>
    <row r="234" customFormat="false" ht="15" hidden="false" customHeight="false" outlineLevel="0" collapsed="false">
      <c r="A234" s="25"/>
      <c r="B234" s="16"/>
      <c r="C234" s="16"/>
      <c r="D234" s="16"/>
      <c r="E234" s="16"/>
      <c r="F234" s="16"/>
      <c r="G234" s="26"/>
      <c r="H234" s="26"/>
      <c r="I234" s="26"/>
      <c r="J234" s="26"/>
      <c r="K234" s="16"/>
      <c r="L234" s="27" t="str">
        <f aca="false">IF(G234="","",G234-H234+I234+IF(K234="N",J234,0))</f>
        <v/>
      </c>
      <c r="M234" s="16"/>
      <c r="N234" s="16"/>
      <c r="O234" s="16"/>
      <c r="P234" s="16"/>
      <c r="Q234" s="16"/>
      <c r="R234" s="16"/>
    </row>
    <row r="235" customFormat="false" ht="15" hidden="false" customHeight="false" outlineLevel="0" collapsed="false">
      <c r="A235" s="25"/>
      <c r="B235" s="16"/>
      <c r="C235" s="16"/>
      <c r="D235" s="16"/>
      <c r="E235" s="16"/>
      <c r="F235" s="16"/>
      <c r="G235" s="26"/>
      <c r="H235" s="26"/>
      <c r="I235" s="26"/>
      <c r="J235" s="26"/>
      <c r="K235" s="16"/>
      <c r="L235" s="27" t="str">
        <f aca="false">IF(G235="","",G235-H235+I235+IF(K235="N",J235,0))</f>
        <v/>
      </c>
      <c r="M235" s="16"/>
      <c r="N235" s="16"/>
      <c r="O235" s="16"/>
      <c r="P235" s="16"/>
      <c r="Q235" s="16"/>
      <c r="R235" s="16"/>
    </row>
    <row r="236" customFormat="false" ht="15" hidden="false" customHeight="false" outlineLevel="0" collapsed="false">
      <c r="A236" s="25"/>
      <c r="B236" s="16"/>
      <c r="C236" s="16"/>
      <c r="D236" s="16"/>
      <c r="E236" s="16"/>
      <c r="F236" s="16"/>
      <c r="G236" s="26"/>
      <c r="H236" s="26"/>
      <c r="I236" s="26"/>
      <c r="J236" s="26"/>
      <c r="K236" s="16"/>
      <c r="L236" s="27" t="str">
        <f aca="false">IF(G236="","",G236-H236+I236+IF(K236="N",J236,0))</f>
        <v/>
      </c>
      <c r="M236" s="16"/>
      <c r="N236" s="16"/>
      <c r="O236" s="16"/>
      <c r="P236" s="16"/>
      <c r="Q236" s="16"/>
      <c r="R236" s="16"/>
    </row>
    <row r="237" customFormat="false" ht="15" hidden="false" customHeight="false" outlineLevel="0" collapsed="false">
      <c r="A237" s="25"/>
      <c r="B237" s="16"/>
      <c r="C237" s="16"/>
      <c r="D237" s="16"/>
      <c r="E237" s="16"/>
      <c r="F237" s="16"/>
      <c r="G237" s="26"/>
      <c r="H237" s="26"/>
      <c r="I237" s="26"/>
      <c r="J237" s="26"/>
      <c r="K237" s="16"/>
      <c r="L237" s="27" t="str">
        <f aca="false">IF(G237="","",G237-H237+I237+IF(K237="N",J237,0))</f>
        <v/>
      </c>
      <c r="M237" s="16"/>
      <c r="N237" s="16"/>
      <c r="O237" s="16"/>
      <c r="P237" s="16"/>
      <c r="Q237" s="16"/>
      <c r="R237" s="16"/>
    </row>
    <row r="238" customFormat="false" ht="15" hidden="false" customHeight="false" outlineLevel="0" collapsed="false">
      <c r="A238" s="25"/>
      <c r="B238" s="16"/>
      <c r="C238" s="16"/>
      <c r="D238" s="16"/>
      <c r="E238" s="16"/>
      <c r="F238" s="16"/>
      <c r="G238" s="26"/>
      <c r="H238" s="26"/>
      <c r="I238" s="26"/>
      <c r="J238" s="26"/>
      <c r="K238" s="16"/>
      <c r="L238" s="27" t="str">
        <f aca="false">IF(G238="","",G238-H238+I238+IF(K238="N",J238,0))</f>
        <v/>
      </c>
      <c r="M238" s="16"/>
      <c r="N238" s="16"/>
      <c r="O238" s="16"/>
      <c r="P238" s="16"/>
      <c r="Q238" s="16"/>
      <c r="R238" s="16"/>
    </row>
    <row r="239" customFormat="false" ht="15" hidden="false" customHeight="false" outlineLevel="0" collapsed="false">
      <c r="A239" s="25"/>
      <c r="B239" s="16"/>
      <c r="C239" s="16"/>
      <c r="D239" s="16"/>
      <c r="E239" s="16"/>
      <c r="F239" s="16"/>
      <c r="G239" s="26"/>
      <c r="H239" s="26"/>
      <c r="I239" s="26"/>
      <c r="J239" s="26"/>
      <c r="K239" s="16"/>
      <c r="L239" s="27" t="str">
        <f aca="false">IF(G239="","",G239-H239+I239+IF(K239="N",J239,0))</f>
        <v/>
      </c>
      <c r="M239" s="16"/>
      <c r="N239" s="16"/>
      <c r="O239" s="16"/>
      <c r="P239" s="16"/>
      <c r="Q239" s="16"/>
      <c r="R239" s="16"/>
    </row>
    <row r="240" customFormat="false" ht="15" hidden="false" customHeight="false" outlineLevel="0" collapsed="false">
      <c r="A240" s="25"/>
      <c r="B240" s="16"/>
      <c r="C240" s="16"/>
      <c r="D240" s="16"/>
      <c r="E240" s="16"/>
      <c r="F240" s="16"/>
      <c r="G240" s="26"/>
      <c r="H240" s="26"/>
      <c r="I240" s="26"/>
      <c r="J240" s="26"/>
      <c r="K240" s="16"/>
      <c r="L240" s="27" t="str">
        <f aca="false">IF(G240="","",G240-H240+I240+IF(K240="N",J240,0))</f>
        <v/>
      </c>
      <c r="M240" s="16"/>
      <c r="N240" s="16"/>
      <c r="O240" s="16"/>
      <c r="P240" s="16"/>
      <c r="Q240" s="16"/>
      <c r="R240" s="16"/>
    </row>
    <row r="241" customFormat="false" ht="15" hidden="false" customHeight="false" outlineLevel="0" collapsed="false">
      <c r="A241" s="25"/>
      <c r="B241" s="16"/>
      <c r="C241" s="16"/>
      <c r="D241" s="16"/>
      <c r="E241" s="16"/>
      <c r="F241" s="16"/>
      <c r="G241" s="26"/>
      <c r="H241" s="26"/>
      <c r="I241" s="26"/>
      <c r="J241" s="26"/>
      <c r="K241" s="16"/>
      <c r="L241" s="27" t="str">
        <f aca="false">IF(G241="","",G241-H241+I241+IF(K241="N",J241,0))</f>
        <v/>
      </c>
      <c r="M241" s="16"/>
      <c r="N241" s="16"/>
      <c r="O241" s="16"/>
      <c r="P241" s="16"/>
      <c r="Q241" s="16"/>
      <c r="R241" s="16"/>
    </row>
    <row r="242" customFormat="false" ht="15" hidden="false" customHeight="false" outlineLevel="0" collapsed="false">
      <c r="A242" s="25"/>
      <c r="B242" s="16"/>
      <c r="C242" s="16"/>
      <c r="D242" s="16"/>
      <c r="E242" s="16"/>
      <c r="F242" s="16"/>
      <c r="G242" s="26"/>
      <c r="H242" s="26"/>
      <c r="I242" s="26"/>
      <c r="J242" s="26"/>
      <c r="K242" s="16"/>
      <c r="L242" s="27" t="str">
        <f aca="false">IF(G242="","",G242-H242+I242+IF(K242="N",J242,0))</f>
        <v/>
      </c>
      <c r="M242" s="16"/>
      <c r="N242" s="16"/>
      <c r="O242" s="16"/>
      <c r="P242" s="16"/>
      <c r="Q242" s="16"/>
      <c r="R242" s="16"/>
    </row>
    <row r="243" customFormat="false" ht="15" hidden="false" customHeight="false" outlineLevel="0" collapsed="false">
      <c r="A243" s="25"/>
      <c r="B243" s="16"/>
      <c r="C243" s="16"/>
      <c r="D243" s="16"/>
      <c r="E243" s="16"/>
      <c r="F243" s="16"/>
      <c r="G243" s="26"/>
      <c r="H243" s="26"/>
      <c r="I243" s="26"/>
      <c r="J243" s="26"/>
      <c r="K243" s="16"/>
      <c r="L243" s="27" t="str">
        <f aca="false">IF(G243="","",G243-H243+I243+IF(K243="N",J243,0))</f>
        <v/>
      </c>
      <c r="M243" s="16"/>
      <c r="N243" s="16"/>
      <c r="O243" s="16"/>
      <c r="P243" s="16"/>
      <c r="Q243" s="16"/>
      <c r="R243" s="16"/>
    </row>
    <row r="244" customFormat="false" ht="15" hidden="false" customHeight="false" outlineLevel="0" collapsed="false">
      <c r="A244" s="25"/>
      <c r="B244" s="16"/>
      <c r="C244" s="16"/>
      <c r="D244" s="16"/>
      <c r="E244" s="16"/>
      <c r="F244" s="16"/>
      <c r="G244" s="26"/>
      <c r="H244" s="26"/>
      <c r="I244" s="26"/>
      <c r="J244" s="26"/>
      <c r="K244" s="16"/>
      <c r="L244" s="27" t="str">
        <f aca="false">IF(G244="","",G244-H244+I244+IF(K244="N",J244,0))</f>
        <v/>
      </c>
      <c r="M244" s="16"/>
      <c r="N244" s="16"/>
      <c r="O244" s="16"/>
      <c r="P244" s="16"/>
      <c r="Q244" s="16"/>
      <c r="R244" s="16"/>
    </row>
    <row r="245" customFormat="false" ht="15" hidden="false" customHeight="false" outlineLevel="0" collapsed="false">
      <c r="A245" s="25"/>
      <c r="B245" s="16"/>
      <c r="C245" s="16"/>
      <c r="D245" s="16"/>
      <c r="E245" s="16"/>
      <c r="F245" s="16"/>
      <c r="G245" s="26"/>
      <c r="H245" s="26"/>
      <c r="I245" s="26"/>
      <c r="J245" s="26"/>
      <c r="K245" s="16"/>
      <c r="L245" s="27" t="str">
        <f aca="false">IF(G245="","",G245-H245+I245+IF(K245="N",J245,0))</f>
        <v/>
      </c>
      <c r="M245" s="16"/>
      <c r="N245" s="16"/>
      <c r="O245" s="16"/>
      <c r="P245" s="16"/>
      <c r="Q245" s="16"/>
      <c r="R245" s="16"/>
    </row>
    <row r="246" customFormat="false" ht="15" hidden="false" customHeight="false" outlineLevel="0" collapsed="false">
      <c r="A246" s="25"/>
      <c r="B246" s="16"/>
      <c r="C246" s="16"/>
      <c r="D246" s="16"/>
      <c r="E246" s="16"/>
      <c r="F246" s="16"/>
      <c r="G246" s="26"/>
      <c r="H246" s="26"/>
      <c r="I246" s="26"/>
      <c r="J246" s="26"/>
      <c r="K246" s="16"/>
      <c r="L246" s="27" t="str">
        <f aca="false">IF(G246="","",G246-H246+I246+IF(K246="N",J246,0))</f>
        <v/>
      </c>
      <c r="M246" s="16"/>
      <c r="N246" s="16"/>
      <c r="O246" s="16"/>
      <c r="P246" s="16"/>
      <c r="Q246" s="16"/>
      <c r="R246" s="16"/>
    </row>
    <row r="247" customFormat="false" ht="15" hidden="false" customHeight="false" outlineLevel="0" collapsed="false">
      <c r="A247" s="25"/>
      <c r="B247" s="16"/>
      <c r="C247" s="16"/>
      <c r="D247" s="16"/>
      <c r="E247" s="16"/>
      <c r="F247" s="16"/>
      <c r="G247" s="26"/>
      <c r="H247" s="26"/>
      <c r="I247" s="26"/>
      <c r="J247" s="26"/>
      <c r="K247" s="16"/>
      <c r="L247" s="27" t="str">
        <f aca="false">IF(G247="","",G247-H247+I247+IF(K247="N",J247,0))</f>
        <v/>
      </c>
      <c r="M247" s="16"/>
      <c r="N247" s="16"/>
      <c r="O247" s="16"/>
      <c r="P247" s="16"/>
      <c r="Q247" s="16"/>
      <c r="R247" s="16"/>
    </row>
    <row r="248" customFormat="false" ht="15" hidden="false" customHeight="false" outlineLevel="0" collapsed="false">
      <c r="A248" s="25"/>
      <c r="B248" s="16"/>
      <c r="C248" s="16"/>
      <c r="D248" s="16"/>
      <c r="E248" s="16"/>
      <c r="F248" s="16"/>
      <c r="G248" s="26"/>
      <c r="H248" s="26"/>
      <c r="I248" s="26"/>
      <c r="J248" s="26"/>
      <c r="K248" s="16"/>
      <c r="L248" s="27" t="str">
        <f aca="false">IF(G248="","",G248-H248+I248+IF(K248="N",J248,0))</f>
        <v/>
      </c>
      <c r="M248" s="16"/>
      <c r="N248" s="16"/>
      <c r="O248" s="16"/>
      <c r="P248" s="16"/>
      <c r="Q248" s="16"/>
      <c r="R248" s="16"/>
    </row>
    <row r="249" customFormat="false" ht="15" hidden="false" customHeight="false" outlineLevel="0" collapsed="false">
      <c r="A249" s="25"/>
      <c r="B249" s="16"/>
      <c r="C249" s="16"/>
      <c r="D249" s="16"/>
      <c r="E249" s="16"/>
      <c r="F249" s="16"/>
      <c r="G249" s="26"/>
      <c r="H249" s="26"/>
      <c r="I249" s="26"/>
      <c r="J249" s="26"/>
      <c r="K249" s="16"/>
      <c r="L249" s="27" t="str">
        <f aca="false">IF(G249="","",G249-H249+I249+IF(K249="N",J249,0))</f>
        <v/>
      </c>
      <c r="M249" s="16"/>
      <c r="N249" s="16"/>
      <c r="O249" s="16"/>
      <c r="P249" s="16"/>
      <c r="Q249" s="16"/>
      <c r="R249" s="16"/>
    </row>
    <row r="250" customFormat="false" ht="15" hidden="false" customHeight="false" outlineLevel="0" collapsed="false">
      <c r="A250" s="25"/>
      <c r="B250" s="16"/>
      <c r="C250" s="16"/>
      <c r="D250" s="16"/>
      <c r="E250" s="16"/>
      <c r="F250" s="16"/>
      <c r="G250" s="26"/>
      <c r="H250" s="26"/>
      <c r="I250" s="26"/>
      <c r="J250" s="26"/>
      <c r="K250" s="16"/>
      <c r="L250" s="27" t="str">
        <f aca="false">IF(G250="","",G250-H250+I250+IF(K250="N",J250,0))</f>
        <v/>
      </c>
      <c r="M250" s="16"/>
      <c r="N250" s="16"/>
      <c r="O250" s="16"/>
      <c r="P250" s="16"/>
      <c r="Q250" s="16"/>
      <c r="R250" s="16"/>
    </row>
    <row r="251" customFormat="false" ht="15" hidden="false" customHeight="false" outlineLevel="0" collapsed="false">
      <c r="A251" s="25"/>
      <c r="B251" s="16"/>
      <c r="C251" s="16"/>
      <c r="D251" s="16"/>
      <c r="E251" s="16"/>
      <c r="F251" s="16"/>
      <c r="G251" s="26"/>
      <c r="H251" s="26"/>
      <c r="I251" s="26"/>
      <c r="J251" s="26"/>
      <c r="K251" s="16"/>
      <c r="L251" s="27" t="str">
        <f aca="false">IF(G251="","",G251-H251+I251+IF(K251="N",J251,0))</f>
        <v/>
      </c>
      <c r="M251" s="16"/>
      <c r="N251" s="16"/>
      <c r="O251" s="16"/>
      <c r="P251" s="16"/>
      <c r="Q251" s="16"/>
      <c r="R251" s="16"/>
    </row>
    <row r="252" customFormat="false" ht="15" hidden="false" customHeight="false" outlineLevel="0" collapsed="false">
      <c r="A252" s="25"/>
      <c r="B252" s="16"/>
      <c r="C252" s="16"/>
      <c r="D252" s="16"/>
      <c r="E252" s="16"/>
      <c r="F252" s="16"/>
      <c r="G252" s="26"/>
      <c r="H252" s="26"/>
      <c r="I252" s="26"/>
      <c r="J252" s="26"/>
      <c r="K252" s="16"/>
      <c r="L252" s="27" t="str">
        <f aca="false">IF(G252="","",G252-H252+I252+IF(K252="N",J252,0))</f>
        <v/>
      </c>
      <c r="M252" s="16"/>
      <c r="N252" s="16"/>
      <c r="O252" s="16"/>
      <c r="P252" s="16"/>
      <c r="Q252" s="16"/>
      <c r="R252" s="16"/>
    </row>
    <row r="253" customFormat="false" ht="15" hidden="false" customHeight="false" outlineLevel="0" collapsed="false">
      <c r="A253" s="25"/>
      <c r="B253" s="16"/>
      <c r="C253" s="16"/>
      <c r="D253" s="16"/>
      <c r="E253" s="16"/>
      <c r="F253" s="16"/>
      <c r="G253" s="26"/>
      <c r="H253" s="26"/>
      <c r="I253" s="26"/>
      <c r="J253" s="26"/>
      <c r="K253" s="16"/>
      <c r="L253" s="27" t="str">
        <f aca="false">IF(G253="","",G253-H253+I253+IF(K253="N",J253,0))</f>
        <v/>
      </c>
      <c r="M253" s="16"/>
      <c r="N253" s="16"/>
      <c r="O253" s="16"/>
      <c r="P253" s="16"/>
      <c r="Q253" s="16"/>
      <c r="R253" s="16"/>
    </row>
    <row r="254" customFormat="false" ht="15" hidden="false" customHeight="false" outlineLevel="0" collapsed="false">
      <c r="A254" s="25"/>
      <c r="B254" s="16"/>
      <c r="C254" s="16"/>
      <c r="D254" s="16"/>
      <c r="E254" s="16"/>
      <c r="F254" s="16"/>
      <c r="G254" s="26"/>
      <c r="H254" s="26"/>
      <c r="I254" s="26"/>
      <c r="J254" s="26"/>
      <c r="K254" s="16"/>
      <c r="L254" s="27" t="str">
        <f aca="false">IF(G254="","",G254-H254+I254+IF(K254="N",J254,0))</f>
        <v/>
      </c>
      <c r="M254" s="16"/>
      <c r="N254" s="16"/>
      <c r="O254" s="16"/>
      <c r="P254" s="16"/>
      <c r="Q254" s="16"/>
      <c r="R254" s="16"/>
    </row>
    <row r="255" customFormat="false" ht="15" hidden="false" customHeight="false" outlineLevel="0" collapsed="false">
      <c r="A255" s="25"/>
      <c r="B255" s="16"/>
      <c r="C255" s="16"/>
      <c r="D255" s="16"/>
      <c r="E255" s="16"/>
      <c r="F255" s="16"/>
      <c r="G255" s="26"/>
      <c r="H255" s="26"/>
      <c r="I255" s="26"/>
      <c r="J255" s="26"/>
      <c r="K255" s="16"/>
      <c r="L255" s="27" t="str">
        <f aca="false">IF(G255="","",G255-H255+I255+IF(K255="N",J255,0))</f>
        <v/>
      </c>
      <c r="M255" s="16"/>
      <c r="N255" s="16"/>
      <c r="O255" s="16"/>
      <c r="P255" s="16"/>
      <c r="Q255" s="16"/>
      <c r="R255" s="16"/>
    </row>
    <row r="256" customFormat="false" ht="15" hidden="false" customHeight="false" outlineLevel="0" collapsed="false">
      <c r="A256" s="25"/>
      <c r="B256" s="16"/>
      <c r="C256" s="16"/>
      <c r="D256" s="16"/>
      <c r="E256" s="16"/>
      <c r="F256" s="16"/>
      <c r="G256" s="26"/>
      <c r="H256" s="26"/>
      <c r="I256" s="26"/>
      <c r="J256" s="26"/>
      <c r="K256" s="16"/>
      <c r="L256" s="27" t="str">
        <f aca="false">IF(G256="","",G256-H256+I256+IF(K256="N",J256,0))</f>
        <v/>
      </c>
      <c r="M256" s="16"/>
      <c r="N256" s="16"/>
      <c r="O256" s="16"/>
      <c r="P256" s="16"/>
      <c r="Q256" s="16"/>
      <c r="R256" s="16"/>
    </row>
    <row r="257" customFormat="false" ht="15" hidden="false" customHeight="false" outlineLevel="0" collapsed="false">
      <c r="A257" s="25"/>
      <c r="B257" s="16"/>
      <c r="C257" s="16"/>
      <c r="D257" s="16"/>
      <c r="E257" s="16"/>
      <c r="F257" s="16"/>
      <c r="G257" s="26"/>
      <c r="H257" s="26"/>
      <c r="I257" s="26"/>
      <c r="J257" s="26"/>
      <c r="K257" s="16"/>
      <c r="L257" s="27" t="str">
        <f aca="false">IF(G257="","",G257-H257+I257+IF(K257="N",J257,0))</f>
        <v/>
      </c>
      <c r="M257" s="16"/>
      <c r="N257" s="16"/>
      <c r="O257" s="16"/>
      <c r="P257" s="16"/>
      <c r="Q257" s="16"/>
      <c r="R257" s="16"/>
    </row>
    <row r="258" customFormat="false" ht="15" hidden="false" customHeight="false" outlineLevel="0" collapsed="false">
      <c r="A258" s="25"/>
      <c r="B258" s="16"/>
      <c r="C258" s="16"/>
      <c r="D258" s="16"/>
      <c r="E258" s="16"/>
      <c r="F258" s="16"/>
      <c r="G258" s="26"/>
      <c r="H258" s="26"/>
      <c r="I258" s="26"/>
      <c r="J258" s="26"/>
      <c r="K258" s="16"/>
      <c r="L258" s="27" t="str">
        <f aca="false">IF(G258="","",G258-H258+I258+IF(K258="N",J258,0))</f>
        <v/>
      </c>
      <c r="M258" s="16"/>
      <c r="N258" s="16"/>
      <c r="O258" s="16"/>
      <c r="P258" s="16"/>
      <c r="Q258" s="16"/>
      <c r="R258" s="16"/>
    </row>
    <row r="259" customFormat="false" ht="15" hidden="false" customHeight="false" outlineLevel="0" collapsed="false">
      <c r="A259" s="25"/>
      <c r="B259" s="16"/>
      <c r="C259" s="16"/>
      <c r="D259" s="16"/>
      <c r="E259" s="16"/>
      <c r="F259" s="16"/>
      <c r="G259" s="26"/>
      <c r="H259" s="26"/>
      <c r="I259" s="26"/>
      <c r="J259" s="26"/>
      <c r="K259" s="16"/>
      <c r="L259" s="27" t="str">
        <f aca="false">IF(G259="","",G259-H259+I259+IF(K259="N",J259,0))</f>
        <v/>
      </c>
      <c r="M259" s="16"/>
      <c r="N259" s="16"/>
      <c r="O259" s="16"/>
      <c r="P259" s="16"/>
      <c r="Q259" s="16"/>
      <c r="R259" s="16"/>
    </row>
    <row r="260" customFormat="false" ht="15" hidden="false" customHeight="false" outlineLevel="0" collapsed="false">
      <c r="A260" s="25"/>
      <c r="B260" s="16"/>
      <c r="C260" s="16"/>
      <c r="D260" s="16"/>
      <c r="E260" s="16"/>
      <c r="F260" s="16"/>
      <c r="G260" s="26"/>
      <c r="H260" s="26"/>
      <c r="I260" s="26"/>
      <c r="J260" s="26"/>
      <c r="K260" s="16"/>
      <c r="L260" s="27" t="str">
        <f aca="false">IF(G260="","",G260-H260+I260+IF(K260="N",J260,0))</f>
        <v/>
      </c>
      <c r="M260" s="16"/>
      <c r="N260" s="16"/>
      <c r="O260" s="16"/>
      <c r="P260" s="16"/>
      <c r="Q260" s="16"/>
      <c r="R260" s="16"/>
    </row>
    <row r="261" customFormat="false" ht="15" hidden="false" customHeight="false" outlineLevel="0" collapsed="false">
      <c r="A261" s="25"/>
      <c r="B261" s="16"/>
      <c r="C261" s="16"/>
      <c r="D261" s="16"/>
      <c r="E261" s="16"/>
      <c r="F261" s="16"/>
      <c r="G261" s="26"/>
      <c r="H261" s="26"/>
      <c r="I261" s="26"/>
      <c r="J261" s="26"/>
      <c r="K261" s="16"/>
      <c r="L261" s="27" t="str">
        <f aca="false">IF(G261="","",G261-H261+I261+IF(K261="N",J261,0))</f>
        <v/>
      </c>
      <c r="M261" s="16"/>
      <c r="N261" s="16"/>
      <c r="O261" s="16"/>
      <c r="P261" s="16"/>
      <c r="Q261" s="16"/>
      <c r="R261" s="16"/>
    </row>
    <row r="262" customFormat="false" ht="15" hidden="false" customHeight="false" outlineLevel="0" collapsed="false">
      <c r="A262" s="25"/>
      <c r="B262" s="16"/>
      <c r="C262" s="16"/>
      <c r="D262" s="16"/>
      <c r="E262" s="16"/>
      <c r="F262" s="16"/>
      <c r="G262" s="26"/>
      <c r="H262" s="26"/>
      <c r="I262" s="26"/>
      <c r="J262" s="26"/>
      <c r="K262" s="16"/>
      <c r="L262" s="27" t="str">
        <f aca="false">IF(G262="","",G262-H262+I262+IF(K262="N",J262,0))</f>
        <v/>
      </c>
      <c r="M262" s="16"/>
      <c r="N262" s="16"/>
      <c r="O262" s="16"/>
      <c r="P262" s="16"/>
      <c r="Q262" s="16"/>
      <c r="R262" s="16"/>
    </row>
    <row r="263" customFormat="false" ht="15" hidden="false" customHeight="false" outlineLevel="0" collapsed="false">
      <c r="A263" s="25"/>
      <c r="B263" s="16"/>
      <c r="C263" s="16"/>
      <c r="D263" s="16"/>
      <c r="E263" s="16"/>
      <c r="F263" s="16"/>
      <c r="G263" s="26"/>
      <c r="H263" s="26"/>
      <c r="I263" s="26"/>
      <c r="J263" s="26"/>
      <c r="K263" s="16"/>
      <c r="L263" s="27" t="str">
        <f aca="false">IF(G263="","",G263-H263+I263+IF(K263="N",J263,0))</f>
        <v/>
      </c>
      <c r="M263" s="16"/>
      <c r="N263" s="16"/>
      <c r="O263" s="16"/>
      <c r="P263" s="16"/>
      <c r="Q263" s="16"/>
      <c r="R263" s="16"/>
    </row>
    <row r="264" customFormat="false" ht="15" hidden="false" customHeight="false" outlineLevel="0" collapsed="false">
      <c r="A264" s="25"/>
      <c r="B264" s="16"/>
      <c r="C264" s="16"/>
      <c r="D264" s="16"/>
      <c r="E264" s="16"/>
      <c r="F264" s="16"/>
      <c r="G264" s="26"/>
      <c r="H264" s="26"/>
      <c r="I264" s="26"/>
      <c r="J264" s="26"/>
      <c r="K264" s="16"/>
      <c r="L264" s="27" t="str">
        <f aca="false">IF(G264="","",G264-H264+I264+IF(K264="N",J264,0))</f>
        <v/>
      </c>
      <c r="M264" s="16"/>
      <c r="N264" s="16"/>
      <c r="O264" s="16"/>
      <c r="P264" s="16"/>
      <c r="Q264" s="16"/>
      <c r="R264" s="16"/>
    </row>
    <row r="265" customFormat="false" ht="15" hidden="false" customHeight="false" outlineLevel="0" collapsed="false">
      <c r="A265" s="25"/>
      <c r="B265" s="16"/>
      <c r="C265" s="16"/>
      <c r="D265" s="16"/>
      <c r="E265" s="16"/>
      <c r="F265" s="16"/>
      <c r="G265" s="26"/>
      <c r="H265" s="26"/>
      <c r="I265" s="26"/>
      <c r="J265" s="26"/>
      <c r="K265" s="16"/>
      <c r="L265" s="27" t="str">
        <f aca="false">IF(G265="","",G265-H265+I265+IF(K265="N",J265,0))</f>
        <v/>
      </c>
      <c r="M265" s="16"/>
      <c r="N265" s="16"/>
      <c r="O265" s="16"/>
      <c r="P265" s="16"/>
      <c r="Q265" s="16"/>
      <c r="R265" s="16"/>
    </row>
    <row r="266" customFormat="false" ht="15" hidden="false" customHeight="false" outlineLevel="0" collapsed="false">
      <c r="A266" s="25"/>
      <c r="B266" s="16"/>
      <c r="C266" s="16"/>
      <c r="D266" s="16"/>
      <c r="E266" s="16"/>
      <c r="F266" s="16"/>
      <c r="G266" s="26"/>
      <c r="H266" s="26"/>
      <c r="I266" s="26"/>
      <c r="J266" s="26"/>
      <c r="K266" s="16"/>
      <c r="L266" s="27" t="str">
        <f aca="false">IF(G266="","",G266-H266+I266+IF(K266="N",J266,0))</f>
        <v/>
      </c>
      <c r="M266" s="16"/>
      <c r="N266" s="16"/>
      <c r="O266" s="16"/>
      <c r="P266" s="16"/>
      <c r="Q266" s="16"/>
      <c r="R266" s="16"/>
    </row>
    <row r="267" customFormat="false" ht="15" hidden="false" customHeight="false" outlineLevel="0" collapsed="false">
      <c r="A267" s="25"/>
      <c r="B267" s="16"/>
      <c r="C267" s="16"/>
      <c r="D267" s="16"/>
      <c r="E267" s="16"/>
      <c r="F267" s="16"/>
      <c r="G267" s="26"/>
      <c r="H267" s="26"/>
      <c r="I267" s="26"/>
      <c r="J267" s="26"/>
      <c r="K267" s="16"/>
      <c r="L267" s="27" t="str">
        <f aca="false">IF(G267="","",G267-H267+I267+IF(K267="N",J267,0))</f>
        <v/>
      </c>
      <c r="M267" s="16"/>
      <c r="N267" s="16"/>
      <c r="O267" s="16"/>
      <c r="P267" s="16"/>
      <c r="Q267" s="16"/>
      <c r="R267" s="16"/>
    </row>
    <row r="268" customFormat="false" ht="15" hidden="false" customHeight="false" outlineLevel="0" collapsed="false">
      <c r="A268" s="25"/>
      <c r="B268" s="16"/>
      <c r="C268" s="16"/>
      <c r="D268" s="16"/>
      <c r="E268" s="16"/>
      <c r="F268" s="16"/>
      <c r="G268" s="26"/>
      <c r="H268" s="26"/>
      <c r="I268" s="26"/>
      <c r="J268" s="26"/>
      <c r="K268" s="16"/>
      <c r="L268" s="27" t="str">
        <f aca="false">IF(G268="","",G268-H268+I268+IF(K268="N",J268,0))</f>
        <v/>
      </c>
      <c r="M268" s="16"/>
      <c r="N268" s="16"/>
      <c r="O268" s="16"/>
      <c r="P268" s="16"/>
      <c r="Q268" s="16"/>
      <c r="R268" s="16"/>
    </row>
    <row r="269" customFormat="false" ht="15" hidden="false" customHeight="false" outlineLevel="0" collapsed="false">
      <c r="A269" s="25"/>
      <c r="B269" s="16"/>
      <c r="C269" s="16"/>
      <c r="D269" s="16"/>
      <c r="E269" s="16"/>
      <c r="F269" s="16"/>
      <c r="G269" s="26"/>
      <c r="H269" s="26"/>
      <c r="I269" s="26"/>
      <c r="J269" s="26"/>
      <c r="K269" s="16"/>
      <c r="L269" s="27" t="str">
        <f aca="false">IF(G269="","",G269-H269+I269+IF(K269="N",J269,0))</f>
        <v/>
      </c>
      <c r="M269" s="16"/>
      <c r="N269" s="16"/>
      <c r="O269" s="16"/>
      <c r="P269" s="16"/>
      <c r="Q269" s="16"/>
      <c r="R269" s="16"/>
    </row>
    <row r="270" customFormat="false" ht="15" hidden="false" customHeight="false" outlineLevel="0" collapsed="false">
      <c r="A270" s="25"/>
      <c r="B270" s="16"/>
      <c r="C270" s="16"/>
      <c r="D270" s="16"/>
      <c r="E270" s="16"/>
      <c r="F270" s="16"/>
      <c r="G270" s="26"/>
      <c r="H270" s="26"/>
      <c r="I270" s="26"/>
      <c r="J270" s="26"/>
      <c r="K270" s="16"/>
      <c r="L270" s="27" t="str">
        <f aca="false">IF(G270="","",G270-H270+I270+IF(K270="N",J270,0))</f>
        <v/>
      </c>
      <c r="M270" s="16"/>
      <c r="N270" s="16"/>
      <c r="O270" s="16"/>
      <c r="P270" s="16"/>
      <c r="Q270" s="16"/>
      <c r="R270" s="16"/>
    </row>
    <row r="271" customFormat="false" ht="15" hidden="false" customHeight="false" outlineLevel="0" collapsed="false">
      <c r="A271" s="25"/>
      <c r="B271" s="16"/>
      <c r="C271" s="16"/>
      <c r="D271" s="16"/>
      <c r="E271" s="16"/>
      <c r="F271" s="16"/>
      <c r="G271" s="26"/>
      <c r="H271" s="26"/>
      <c r="I271" s="26"/>
      <c r="J271" s="26"/>
      <c r="K271" s="16"/>
      <c r="L271" s="27" t="str">
        <f aca="false">IF(G271="","",G271-H271+I271+IF(K271="N",J271,0))</f>
        <v/>
      </c>
      <c r="M271" s="16"/>
      <c r="N271" s="16"/>
      <c r="O271" s="16"/>
      <c r="P271" s="16"/>
      <c r="Q271" s="16"/>
      <c r="R271" s="16"/>
    </row>
    <row r="272" customFormat="false" ht="15" hidden="false" customHeight="false" outlineLevel="0" collapsed="false">
      <c r="A272" s="25"/>
      <c r="B272" s="16"/>
      <c r="C272" s="16"/>
      <c r="D272" s="16"/>
      <c r="E272" s="16"/>
      <c r="F272" s="16"/>
      <c r="G272" s="26"/>
      <c r="H272" s="26"/>
      <c r="I272" s="26"/>
      <c r="J272" s="26"/>
      <c r="K272" s="16"/>
      <c r="L272" s="27" t="str">
        <f aca="false">IF(G272="","",G272-H272+I272+IF(K272="N",J272,0))</f>
        <v/>
      </c>
      <c r="M272" s="16"/>
      <c r="N272" s="16"/>
      <c r="O272" s="16"/>
      <c r="P272" s="16"/>
      <c r="Q272" s="16"/>
      <c r="R272" s="16"/>
    </row>
    <row r="273" customFormat="false" ht="15" hidden="false" customHeight="false" outlineLevel="0" collapsed="false">
      <c r="A273" s="25"/>
      <c r="B273" s="16"/>
      <c r="C273" s="16"/>
      <c r="D273" s="16"/>
      <c r="E273" s="16"/>
      <c r="F273" s="16"/>
      <c r="G273" s="26"/>
      <c r="H273" s="26"/>
      <c r="I273" s="26"/>
      <c r="J273" s="26"/>
      <c r="K273" s="16"/>
      <c r="L273" s="27" t="str">
        <f aca="false">IF(G273="","",G273-H273+I273+IF(K273="N",J273,0))</f>
        <v/>
      </c>
      <c r="M273" s="16"/>
      <c r="N273" s="16"/>
      <c r="O273" s="16"/>
      <c r="P273" s="16"/>
      <c r="Q273" s="16"/>
      <c r="R273" s="16"/>
    </row>
    <row r="274" customFormat="false" ht="15" hidden="false" customHeight="false" outlineLevel="0" collapsed="false">
      <c r="A274" s="25"/>
      <c r="B274" s="16"/>
      <c r="C274" s="16"/>
      <c r="D274" s="16"/>
      <c r="E274" s="16"/>
      <c r="F274" s="16"/>
      <c r="G274" s="26"/>
      <c r="H274" s="26"/>
      <c r="I274" s="26"/>
      <c r="J274" s="26"/>
      <c r="K274" s="16"/>
      <c r="L274" s="27" t="str">
        <f aca="false">IF(G274="","",G274-H274+I274+IF(K274="N",J274,0))</f>
        <v/>
      </c>
      <c r="M274" s="16"/>
      <c r="N274" s="16"/>
      <c r="O274" s="16"/>
      <c r="P274" s="16"/>
      <c r="Q274" s="16"/>
      <c r="R274" s="16"/>
    </row>
    <row r="275" customFormat="false" ht="15" hidden="false" customHeight="false" outlineLevel="0" collapsed="false">
      <c r="A275" s="25"/>
      <c r="B275" s="16"/>
      <c r="C275" s="16"/>
      <c r="D275" s="16"/>
      <c r="E275" s="16"/>
      <c r="F275" s="16"/>
      <c r="G275" s="26"/>
      <c r="H275" s="26"/>
      <c r="I275" s="26"/>
      <c r="J275" s="26"/>
      <c r="K275" s="16"/>
      <c r="L275" s="27" t="str">
        <f aca="false">IF(G275="","",G275-H275+I275+IF(K275="N",J275,0))</f>
        <v/>
      </c>
      <c r="M275" s="16"/>
      <c r="N275" s="16"/>
      <c r="O275" s="16"/>
      <c r="P275" s="16"/>
      <c r="Q275" s="16"/>
      <c r="R275" s="16"/>
    </row>
    <row r="276" customFormat="false" ht="15" hidden="false" customHeight="false" outlineLevel="0" collapsed="false">
      <c r="A276" s="25"/>
      <c r="B276" s="16"/>
      <c r="C276" s="16"/>
      <c r="D276" s="16"/>
      <c r="E276" s="16"/>
      <c r="F276" s="16"/>
      <c r="G276" s="26"/>
      <c r="H276" s="26"/>
      <c r="I276" s="26"/>
      <c r="J276" s="26"/>
      <c r="K276" s="16"/>
      <c r="L276" s="27" t="str">
        <f aca="false">IF(G276="","",G276-H276+I276+IF(K276="N",J276,0))</f>
        <v/>
      </c>
      <c r="M276" s="16"/>
      <c r="N276" s="16"/>
      <c r="O276" s="16"/>
      <c r="P276" s="16"/>
      <c r="Q276" s="16"/>
      <c r="R276" s="16"/>
    </row>
    <row r="277" customFormat="false" ht="15" hidden="false" customHeight="false" outlineLevel="0" collapsed="false">
      <c r="A277" s="25"/>
      <c r="B277" s="16"/>
      <c r="C277" s="16"/>
      <c r="D277" s="16"/>
      <c r="E277" s="16"/>
      <c r="F277" s="16"/>
      <c r="G277" s="26"/>
      <c r="H277" s="26"/>
      <c r="I277" s="26"/>
      <c r="J277" s="26"/>
      <c r="K277" s="16"/>
      <c r="L277" s="27" t="str">
        <f aca="false">IF(G277="","",G277-H277+I277+IF(K277="N",J277,0))</f>
        <v/>
      </c>
      <c r="M277" s="16"/>
      <c r="N277" s="16"/>
      <c r="O277" s="16"/>
      <c r="P277" s="16"/>
      <c r="Q277" s="16"/>
      <c r="R277" s="16"/>
    </row>
    <row r="278" customFormat="false" ht="15" hidden="false" customHeight="false" outlineLevel="0" collapsed="false">
      <c r="A278" s="25"/>
      <c r="B278" s="16"/>
      <c r="C278" s="16"/>
      <c r="D278" s="16"/>
      <c r="E278" s="16"/>
      <c r="F278" s="16"/>
      <c r="G278" s="26"/>
      <c r="H278" s="26"/>
      <c r="I278" s="26"/>
      <c r="J278" s="26"/>
      <c r="K278" s="16"/>
      <c r="L278" s="27" t="str">
        <f aca="false">IF(G278="","",G278-H278+I278+IF(K278="N",J278,0))</f>
        <v/>
      </c>
      <c r="M278" s="16"/>
      <c r="N278" s="16"/>
      <c r="O278" s="16"/>
      <c r="P278" s="16"/>
      <c r="Q278" s="16"/>
      <c r="R278" s="16"/>
    </row>
    <row r="279" customFormat="false" ht="15" hidden="false" customHeight="false" outlineLevel="0" collapsed="false">
      <c r="A279" s="25"/>
      <c r="B279" s="16"/>
      <c r="C279" s="16"/>
      <c r="D279" s="16"/>
      <c r="E279" s="16"/>
      <c r="F279" s="16"/>
      <c r="G279" s="26"/>
      <c r="H279" s="26"/>
      <c r="I279" s="26"/>
      <c r="J279" s="26"/>
      <c r="K279" s="16"/>
      <c r="L279" s="27" t="str">
        <f aca="false">IF(G279="","",G279-H279+I279+IF(K279="N",J279,0))</f>
        <v/>
      </c>
      <c r="M279" s="16"/>
      <c r="N279" s="16"/>
      <c r="O279" s="16"/>
      <c r="P279" s="16"/>
      <c r="Q279" s="16"/>
      <c r="R279" s="16"/>
    </row>
    <row r="280" customFormat="false" ht="15" hidden="false" customHeight="false" outlineLevel="0" collapsed="false">
      <c r="A280" s="25"/>
      <c r="B280" s="16"/>
      <c r="C280" s="16"/>
      <c r="D280" s="16"/>
      <c r="E280" s="16"/>
      <c r="F280" s="16"/>
      <c r="G280" s="26"/>
      <c r="H280" s="26"/>
      <c r="I280" s="26"/>
      <c r="J280" s="26"/>
      <c r="K280" s="16"/>
      <c r="L280" s="27" t="str">
        <f aca="false">IF(G280="","",G280-H280+I280+IF(K280="N",J280,0))</f>
        <v/>
      </c>
      <c r="M280" s="16"/>
      <c r="N280" s="16"/>
      <c r="O280" s="16"/>
      <c r="P280" s="16"/>
      <c r="Q280" s="16"/>
      <c r="R280" s="16"/>
    </row>
    <row r="281" customFormat="false" ht="15" hidden="false" customHeight="false" outlineLevel="0" collapsed="false">
      <c r="A281" s="25"/>
      <c r="B281" s="16"/>
      <c r="C281" s="16"/>
      <c r="D281" s="16"/>
      <c r="E281" s="16"/>
      <c r="F281" s="16"/>
      <c r="G281" s="26"/>
      <c r="H281" s="26"/>
      <c r="I281" s="26"/>
      <c r="J281" s="26"/>
      <c r="K281" s="16"/>
      <c r="L281" s="27" t="str">
        <f aca="false">IF(G281="","",G281-H281+I281+IF(K281="N",J281,0))</f>
        <v/>
      </c>
      <c r="M281" s="16"/>
      <c r="N281" s="16"/>
      <c r="O281" s="16"/>
      <c r="P281" s="16"/>
      <c r="Q281" s="16"/>
      <c r="R281" s="16"/>
    </row>
    <row r="282" customFormat="false" ht="15" hidden="false" customHeight="false" outlineLevel="0" collapsed="false">
      <c r="A282" s="25"/>
      <c r="B282" s="16"/>
      <c r="C282" s="16"/>
      <c r="D282" s="16"/>
      <c r="E282" s="16"/>
      <c r="F282" s="16"/>
      <c r="G282" s="26"/>
      <c r="H282" s="26"/>
      <c r="I282" s="26"/>
      <c r="J282" s="26"/>
      <c r="K282" s="16"/>
      <c r="L282" s="27" t="str">
        <f aca="false">IF(G282="","",G282-H282+I282+IF(K282="N",J282,0))</f>
        <v/>
      </c>
      <c r="M282" s="16"/>
      <c r="N282" s="16"/>
      <c r="O282" s="16"/>
      <c r="P282" s="16"/>
      <c r="Q282" s="16"/>
      <c r="R282" s="16"/>
    </row>
    <row r="283" customFormat="false" ht="15" hidden="false" customHeight="false" outlineLevel="0" collapsed="false">
      <c r="A283" s="25"/>
      <c r="B283" s="16"/>
      <c r="C283" s="16"/>
      <c r="D283" s="16"/>
      <c r="E283" s="16"/>
      <c r="F283" s="16"/>
      <c r="G283" s="26"/>
      <c r="H283" s="26"/>
      <c r="I283" s="26"/>
      <c r="J283" s="26"/>
      <c r="K283" s="16"/>
      <c r="L283" s="27" t="str">
        <f aca="false">IF(G283="","",G283-H283+I283+IF(K283="N",J283,0))</f>
        <v/>
      </c>
      <c r="M283" s="16"/>
      <c r="N283" s="16"/>
      <c r="O283" s="16"/>
      <c r="P283" s="16"/>
      <c r="Q283" s="16"/>
      <c r="R283" s="16"/>
    </row>
    <row r="284" customFormat="false" ht="15" hidden="false" customHeight="false" outlineLevel="0" collapsed="false">
      <c r="A284" s="25"/>
      <c r="B284" s="16"/>
      <c r="C284" s="16"/>
      <c r="D284" s="16"/>
      <c r="E284" s="16"/>
      <c r="F284" s="16"/>
      <c r="G284" s="26"/>
      <c r="H284" s="26"/>
      <c r="I284" s="26"/>
      <c r="J284" s="26"/>
      <c r="K284" s="16"/>
      <c r="L284" s="27" t="str">
        <f aca="false">IF(G284="","",G284-H284+I284+IF(K284="N",J284,0))</f>
        <v/>
      </c>
      <c r="M284" s="16"/>
      <c r="N284" s="16"/>
      <c r="O284" s="16"/>
      <c r="P284" s="16"/>
      <c r="Q284" s="16"/>
      <c r="R284" s="16"/>
    </row>
    <row r="285" customFormat="false" ht="15" hidden="false" customHeight="false" outlineLevel="0" collapsed="false">
      <c r="A285" s="25"/>
      <c r="B285" s="16"/>
      <c r="C285" s="16"/>
      <c r="D285" s="16"/>
      <c r="E285" s="16"/>
      <c r="F285" s="16"/>
      <c r="G285" s="26"/>
      <c r="H285" s="26"/>
      <c r="I285" s="26"/>
      <c r="J285" s="26"/>
      <c r="K285" s="16"/>
      <c r="L285" s="27" t="str">
        <f aca="false">IF(G285="","",G285-H285+I285+IF(K285="N",J285,0))</f>
        <v/>
      </c>
      <c r="M285" s="16"/>
      <c r="N285" s="16"/>
      <c r="O285" s="16"/>
      <c r="P285" s="16"/>
      <c r="Q285" s="16"/>
      <c r="R285" s="16"/>
    </row>
    <row r="286" customFormat="false" ht="15" hidden="false" customHeight="false" outlineLevel="0" collapsed="false">
      <c r="A286" s="25"/>
      <c r="B286" s="16"/>
      <c r="C286" s="16"/>
      <c r="D286" s="16"/>
      <c r="E286" s="16"/>
      <c r="F286" s="16"/>
      <c r="G286" s="26"/>
      <c r="H286" s="26"/>
      <c r="I286" s="26"/>
      <c r="J286" s="26"/>
      <c r="K286" s="16"/>
      <c r="L286" s="27" t="str">
        <f aca="false">IF(G286="","",G286-H286+I286+IF(K286="N",J286,0))</f>
        <v/>
      </c>
      <c r="M286" s="16"/>
      <c r="N286" s="16"/>
      <c r="O286" s="16"/>
      <c r="P286" s="16"/>
      <c r="Q286" s="16"/>
      <c r="R286" s="16"/>
    </row>
    <row r="287" customFormat="false" ht="15" hidden="false" customHeight="false" outlineLevel="0" collapsed="false">
      <c r="A287" s="25"/>
      <c r="B287" s="16"/>
      <c r="C287" s="16"/>
      <c r="D287" s="16"/>
      <c r="E287" s="16"/>
      <c r="F287" s="16"/>
      <c r="G287" s="26"/>
      <c r="H287" s="26"/>
      <c r="I287" s="26"/>
      <c r="J287" s="26"/>
      <c r="K287" s="16"/>
      <c r="L287" s="27" t="str">
        <f aca="false">IF(G287="","",G287-H287+I287+IF(K287="N",J287,0))</f>
        <v/>
      </c>
      <c r="M287" s="16"/>
      <c r="N287" s="16"/>
      <c r="O287" s="16"/>
      <c r="P287" s="16"/>
      <c r="Q287" s="16"/>
      <c r="R287" s="16"/>
    </row>
    <row r="288" customFormat="false" ht="15" hidden="false" customHeight="false" outlineLevel="0" collapsed="false">
      <c r="A288" s="25"/>
      <c r="B288" s="16"/>
      <c r="C288" s="16"/>
      <c r="D288" s="16"/>
      <c r="E288" s="16"/>
      <c r="F288" s="16"/>
      <c r="G288" s="26"/>
      <c r="H288" s="26"/>
      <c r="I288" s="26"/>
      <c r="J288" s="26"/>
      <c r="K288" s="16"/>
      <c r="L288" s="27" t="str">
        <f aca="false">IF(G288="","",G288-H288+I288+IF(K288="N",J288,0))</f>
        <v/>
      </c>
      <c r="M288" s="16"/>
      <c r="N288" s="16"/>
      <c r="O288" s="16"/>
      <c r="P288" s="16"/>
      <c r="Q288" s="16"/>
      <c r="R288" s="16"/>
    </row>
    <row r="289" customFormat="false" ht="15" hidden="false" customHeight="false" outlineLevel="0" collapsed="false">
      <c r="A289" s="25"/>
      <c r="B289" s="16"/>
      <c r="C289" s="16"/>
      <c r="D289" s="16"/>
      <c r="E289" s="16"/>
      <c r="F289" s="16"/>
      <c r="G289" s="26"/>
      <c r="H289" s="26"/>
      <c r="I289" s="26"/>
      <c r="J289" s="26"/>
      <c r="K289" s="16"/>
      <c r="L289" s="27" t="str">
        <f aca="false">IF(G289="","",G289-H289+I289+IF(K289="N",J289,0))</f>
        <v/>
      </c>
      <c r="M289" s="16"/>
      <c r="N289" s="16"/>
      <c r="O289" s="16"/>
      <c r="P289" s="16"/>
      <c r="Q289" s="16"/>
      <c r="R289" s="16"/>
    </row>
    <row r="290" customFormat="false" ht="15" hidden="false" customHeight="false" outlineLevel="0" collapsed="false">
      <c r="A290" s="25"/>
      <c r="B290" s="16"/>
      <c r="C290" s="16"/>
      <c r="D290" s="16"/>
      <c r="E290" s="16"/>
      <c r="F290" s="16"/>
      <c r="G290" s="26"/>
      <c r="H290" s="26"/>
      <c r="I290" s="26"/>
      <c r="J290" s="26"/>
      <c r="K290" s="16"/>
      <c r="L290" s="27" t="str">
        <f aca="false">IF(G290="","",G290-H290+I290+IF(K290="N",J290,0))</f>
        <v/>
      </c>
      <c r="M290" s="16"/>
      <c r="N290" s="16"/>
      <c r="O290" s="16"/>
      <c r="P290" s="16"/>
      <c r="Q290" s="16"/>
      <c r="R290" s="16"/>
    </row>
    <row r="291" customFormat="false" ht="15" hidden="false" customHeight="false" outlineLevel="0" collapsed="false">
      <c r="A291" s="25"/>
      <c r="B291" s="16"/>
      <c r="C291" s="16"/>
      <c r="D291" s="16"/>
      <c r="E291" s="16"/>
      <c r="F291" s="16"/>
      <c r="G291" s="26"/>
      <c r="H291" s="26"/>
      <c r="I291" s="26"/>
      <c r="J291" s="26"/>
      <c r="K291" s="16"/>
      <c r="L291" s="27" t="str">
        <f aca="false">IF(G291="","",G291-H291+I291+IF(K291="N",J291,0))</f>
        <v/>
      </c>
      <c r="M291" s="16"/>
      <c r="N291" s="16"/>
      <c r="O291" s="16"/>
      <c r="P291" s="16"/>
      <c r="Q291" s="16"/>
      <c r="R291" s="16"/>
    </row>
    <row r="292" customFormat="false" ht="15" hidden="false" customHeight="false" outlineLevel="0" collapsed="false">
      <c r="A292" s="25"/>
      <c r="B292" s="16"/>
      <c r="C292" s="16"/>
      <c r="D292" s="16"/>
      <c r="E292" s="16"/>
      <c r="F292" s="16"/>
      <c r="G292" s="26"/>
      <c r="H292" s="26"/>
      <c r="I292" s="26"/>
      <c r="J292" s="26"/>
      <c r="K292" s="16"/>
      <c r="L292" s="27" t="str">
        <f aca="false">IF(G292="","",G292-H292+I292+IF(K292="N",J292,0))</f>
        <v/>
      </c>
      <c r="M292" s="16"/>
      <c r="N292" s="16"/>
      <c r="O292" s="16"/>
      <c r="P292" s="16"/>
      <c r="Q292" s="16"/>
      <c r="R292" s="16"/>
    </row>
    <row r="293" customFormat="false" ht="15" hidden="false" customHeight="false" outlineLevel="0" collapsed="false">
      <c r="A293" s="25"/>
      <c r="B293" s="16"/>
      <c r="C293" s="16"/>
      <c r="D293" s="16"/>
      <c r="E293" s="16"/>
      <c r="F293" s="16"/>
      <c r="G293" s="26"/>
      <c r="H293" s="26"/>
      <c r="I293" s="26"/>
      <c r="J293" s="26"/>
      <c r="K293" s="16"/>
      <c r="L293" s="27" t="str">
        <f aca="false">IF(G293="","",G293-H293+I293+IF(K293="N",J293,0))</f>
        <v/>
      </c>
      <c r="M293" s="16"/>
      <c r="N293" s="16"/>
      <c r="O293" s="16"/>
      <c r="P293" s="16"/>
      <c r="Q293" s="16"/>
      <c r="R293" s="16"/>
    </row>
    <row r="294" customFormat="false" ht="15" hidden="false" customHeight="false" outlineLevel="0" collapsed="false">
      <c r="A294" s="25"/>
      <c r="B294" s="16"/>
      <c r="C294" s="16"/>
      <c r="D294" s="16"/>
      <c r="E294" s="16"/>
      <c r="F294" s="16"/>
      <c r="G294" s="26"/>
      <c r="H294" s="26"/>
      <c r="I294" s="26"/>
      <c r="J294" s="26"/>
      <c r="K294" s="16"/>
      <c r="L294" s="27" t="str">
        <f aca="false">IF(G294="","",G294-H294+I294+IF(K294="N",J294,0))</f>
        <v/>
      </c>
      <c r="M294" s="16"/>
      <c r="N294" s="16"/>
      <c r="O294" s="16"/>
      <c r="P294" s="16"/>
      <c r="Q294" s="16"/>
      <c r="R294" s="16"/>
    </row>
    <row r="295" customFormat="false" ht="15" hidden="false" customHeight="false" outlineLevel="0" collapsed="false">
      <c r="A295" s="25"/>
      <c r="B295" s="16"/>
      <c r="C295" s="16"/>
      <c r="D295" s="16"/>
      <c r="E295" s="16"/>
      <c r="F295" s="16"/>
      <c r="G295" s="26"/>
      <c r="H295" s="26"/>
      <c r="I295" s="26"/>
      <c r="J295" s="26"/>
      <c r="K295" s="16"/>
      <c r="L295" s="27" t="str">
        <f aca="false">IF(G295="","",G295-H295+I295+IF(K295="N",J295,0))</f>
        <v/>
      </c>
      <c r="M295" s="16"/>
      <c r="N295" s="16"/>
      <c r="O295" s="16"/>
      <c r="P295" s="16"/>
      <c r="Q295" s="16"/>
      <c r="R295" s="16"/>
    </row>
    <row r="296" customFormat="false" ht="15" hidden="false" customHeight="false" outlineLevel="0" collapsed="false">
      <c r="A296" s="25"/>
      <c r="B296" s="16"/>
      <c r="C296" s="16"/>
      <c r="D296" s="16"/>
      <c r="E296" s="16"/>
      <c r="F296" s="16"/>
      <c r="G296" s="26"/>
      <c r="H296" s="26"/>
      <c r="I296" s="26"/>
      <c r="J296" s="26"/>
      <c r="K296" s="16"/>
      <c r="L296" s="27" t="str">
        <f aca="false">IF(G296="","",G296-H296+I296+IF(K296="N",J296,0))</f>
        <v/>
      </c>
      <c r="M296" s="16"/>
      <c r="N296" s="16"/>
      <c r="O296" s="16"/>
      <c r="P296" s="16"/>
      <c r="Q296" s="16"/>
      <c r="R296" s="16"/>
    </row>
    <row r="297" customFormat="false" ht="15" hidden="false" customHeight="false" outlineLevel="0" collapsed="false">
      <c r="A297" s="25"/>
      <c r="B297" s="16"/>
      <c r="C297" s="16"/>
      <c r="D297" s="16"/>
      <c r="E297" s="16"/>
      <c r="F297" s="16"/>
      <c r="G297" s="26"/>
      <c r="H297" s="26"/>
      <c r="I297" s="26"/>
      <c r="J297" s="26"/>
      <c r="K297" s="16"/>
      <c r="L297" s="27" t="str">
        <f aca="false">IF(G297="","",G297-H297+I297+IF(K297="N",J297,0))</f>
        <v/>
      </c>
      <c r="M297" s="16"/>
      <c r="N297" s="16"/>
      <c r="O297" s="16"/>
      <c r="P297" s="16"/>
      <c r="Q297" s="16"/>
      <c r="R297" s="16"/>
    </row>
    <row r="298" customFormat="false" ht="15" hidden="false" customHeight="false" outlineLevel="0" collapsed="false">
      <c r="A298" s="25"/>
      <c r="B298" s="16"/>
      <c r="C298" s="16"/>
      <c r="D298" s="16"/>
      <c r="E298" s="16"/>
      <c r="F298" s="16"/>
      <c r="G298" s="26"/>
      <c r="H298" s="26"/>
      <c r="I298" s="26"/>
      <c r="J298" s="26"/>
      <c r="K298" s="16"/>
      <c r="L298" s="27" t="str">
        <f aca="false">IF(G298="","",G298-H298+I298+IF(K298="N",J298,0))</f>
        <v/>
      </c>
      <c r="M298" s="16"/>
      <c r="N298" s="16"/>
      <c r="O298" s="16"/>
      <c r="P298" s="16"/>
      <c r="Q298" s="16"/>
      <c r="R298" s="16"/>
    </row>
    <row r="299" customFormat="false" ht="15" hidden="false" customHeight="false" outlineLevel="0" collapsed="false">
      <c r="A299" s="25"/>
      <c r="B299" s="16"/>
      <c r="C299" s="16"/>
      <c r="D299" s="16"/>
      <c r="E299" s="16"/>
      <c r="F299" s="16"/>
      <c r="G299" s="26"/>
      <c r="H299" s="26"/>
      <c r="I299" s="26"/>
      <c r="J299" s="26"/>
      <c r="K299" s="16"/>
      <c r="L299" s="27" t="str">
        <f aca="false">IF(G299="","",G299-H299+I299+IF(K299="N",J299,0))</f>
        <v/>
      </c>
      <c r="M299" s="16"/>
      <c r="N299" s="16"/>
      <c r="O299" s="16"/>
      <c r="P299" s="16"/>
      <c r="Q299" s="16"/>
      <c r="R299" s="16"/>
    </row>
    <row r="300" customFormat="false" ht="15" hidden="false" customHeight="false" outlineLevel="0" collapsed="false">
      <c r="A300" s="25"/>
      <c r="B300" s="16"/>
      <c r="C300" s="16"/>
      <c r="D300" s="16"/>
      <c r="E300" s="16"/>
      <c r="F300" s="16"/>
      <c r="G300" s="26"/>
      <c r="H300" s="26"/>
      <c r="I300" s="26"/>
      <c r="J300" s="26"/>
      <c r="K300" s="16"/>
      <c r="L300" s="27" t="str">
        <f aca="false">IF(G300="","",G300-H300+I300+IF(K300="N",J300,0))</f>
        <v/>
      </c>
      <c r="M300" s="16"/>
      <c r="N300" s="16"/>
      <c r="O300" s="16"/>
      <c r="P300" s="16"/>
      <c r="Q300" s="16"/>
      <c r="R300" s="16"/>
    </row>
    <row r="301" customFormat="false" ht="15" hidden="false" customHeight="false" outlineLevel="0" collapsed="false">
      <c r="A301" s="25"/>
      <c r="B301" s="16"/>
      <c r="C301" s="16"/>
      <c r="D301" s="16"/>
      <c r="E301" s="16"/>
      <c r="F301" s="16"/>
      <c r="G301" s="26"/>
      <c r="H301" s="26"/>
      <c r="I301" s="26"/>
      <c r="J301" s="26"/>
      <c r="K301" s="16"/>
      <c r="L301" s="27" t="str">
        <f aca="false">IF(G301="","",G301-H301+I301+IF(K301="N",J301,0))</f>
        <v/>
      </c>
      <c r="M301" s="16"/>
      <c r="N301" s="16"/>
      <c r="O301" s="16"/>
      <c r="P301" s="16"/>
      <c r="Q301" s="16"/>
      <c r="R301" s="16"/>
    </row>
    <row r="302" customFormat="false" ht="15" hidden="false" customHeight="false" outlineLevel="0" collapsed="false">
      <c r="A302" s="25"/>
      <c r="B302" s="16"/>
      <c r="C302" s="16"/>
      <c r="D302" s="16"/>
      <c r="E302" s="16"/>
      <c r="F302" s="16"/>
      <c r="G302" s="26"/>
      <c r="H302" s="26"/>
      <c r="I302" s="26"/>
      <c r="J302" s="26"/>
      <c r="K302" s="16"/>
      <c r="L302" s="27" t="str">
        <f aca="false">IF(G302="","",G302-H302+I302+IF(K302="N",J302,0))</f>
        <v/>
      </c>
      <c r="M302" s="16"/>
      <c r="N302" s="16"/>
      <c r="O302" s="16"/>
      <c r="P302" s="16"/>
      <c r="Q302" s="16"/>
      <c r="R302" s="16"/>
    </row>
    <row r="303" customFormat="false" ht="15" hidden="false" customHeight="false" outlineLevel="0" collapsed="false">
      <c r="A303" s="25"/>
      <c r="B303" s="16"/>
      <c r="C303" s="16"/>
      <c r="D303" s="16"/>
      <c r="E303" s="16"/>
      <c r="F303" s="16"/>
      <c r="G303" s="26"/>
      <c r="H303" s="26"/>
      <c r="I303" s="26"/>
      <c r="J303" s="26"/>
      <c r="K303" s="16"/>
      <c r="L303" s="27" t="str">
        <f aca="false">IF(G303="","",G303-H303+I303+IF(K303="N",J303,0))</f>
        <v/>
      </c>
      <c r="M303" s="16"/>
      <c r="N303" s="16"/>
      <c r="O303" s="16"/>
      <c r="P303" s="16"/>
      <c r="Q303" s="16"/>
      <c r="R303" s="16"/>
    </row>
    <row r="304" customFormat="false" ht="15" hidden="false" customHeight="false" outlineLevel="0" collapsed="false">
      <c r="A304" s="25"/>
      <c r="B304" s="16"/>
      <c r="C304" s="16"/>
      <c r="D304" s="16"/>
      <c r="E304" s="16"/>
      <c r="F304" s="16"/>
      <c r="G304" s="26"/>
      <c r="H304" s="26"/>
      <c r="I304" s="26"/>
      <c r="J304" s="26"/>
      <c r="K304" s="16"/>
      <c r="L304" s="27" t="str">
        <f aca="false">IF(G304="","",G304-H304+I304+IF(K304="N",J304,0))</f>
        <v/>
      </c>
      <c r="M304" s="16"/>
      <c r="N304" s="16"/>
      <c r="O304" s="16"/>
      <c r="P304" s="16"/>
      <c r="Q304" s="16"/>
      <c r="R304" s="16"/>
    </row>
    <row r="305" customFormat="false" ht="15" hidden="false" customHeight="false" outlineLevel="0" collapsed="false">
      <c r="A305" s="25"/>
      <c r="B305" s="16"/>
      <c r="C305" s="16"/>
      <c r="D305" s="16"/>
      <c r="E305" s="16"/>
      <c r="F305" s="16"/>
      <c r="G305" s="26"/>
      <c r="H305" s="26"/>
      <c r="I305" s="26"/>
      <c r="J305" s="26"/>
      <c r="K305" s="16"/>
      <c r="L305" s="27" t="str">
        <f aca="false">IF(G305="","",G305-H305+I305+IF(K305="N",J305,0))</f>
        <v/>
      </c>
      <c r="M305" s="16"/>
      <c r="N305" s="16"/>
      <c r="O305" s="16"/>
      <c r="P305" s="16"/>
      <c r="Q305" s="16"/>
      <c r="R305" s="16"/>
    </row>
    <row r="306" customFormat="false" ht="15" hidden="false" customHeight="false" outlineLevel="0" collapsed="false">
      <c r="A306" s="25"/>
      <c r="B306" s="16"/>
      <c r="C306" s="16"/>
      <c r="D306" s="16"/>
      <c r="E306" s="16"/>
      <c r="F306" s="16"/>
      <c r="G306" s="26"/>
      <c r="H306" s="26"/>
      <c r="I306" s="26"/>
      <c r="J306" s="26"/>
      <c r="K306" s="16"/>
      <c r="L306" s="27" t="str">
        <f aca="false">IF(G306="","",G306-H306+I306+IF(K306="N",J306,0))</f>
        <v/>
      </c>
      <c r="M306" s="16"/>
      <c r="N306" s="16"/>
      <c r="O306" s="16"/>
      <c r="P306" s="16"/>
      <c r="Q306" s="16"/>
      <c r="R306" s="16"/>
    </row>
    <row r="307" customFormat="false" ht="15" hidden="false" customHeight="false" outlineLevel="0" collapsed="false">
      <c r="A307" s="25"/>
      <c r="B307" s="16"/>
      <c r="C307" s="16"/>
      <c r="D307" s="16"/>
      <c r="E307" s="16"/>
      <c r="F307" s="16"/>
      <c r="G307" s="26"/>
      <c r="H307" s="26"/>
      <c r="I307" s="26"/>
      <c r="J307" s="26"/>
      <c r="K307" s="16"/>
      <c r="L307" s="27" t="str">
        <f aca="false">IF(G307="","",G307-H307+I307+IF(K307="N",J307,0))</f>
        <v/>
      </c>
      <c r="M307" s="16"/>
      <c r="N307" s="16"/>
      <c r="O307" s="16"/>
      <c r="P307" s="16"/>
      <c r="Q307" s="16"/>
      <c r="R307" s="16"/>
    </row>
    <row r="308" customFormat="false" ht="15" hidden="false" customHeight="false" outlineLevel="0" collapsed="false">
      <c r="A308" s="25"/>
      <c r="B308" s="16"/>
      <c r="C308" s="16"/>
      <c r="D308" s="16"/>
      <c r="E308" s="16"/>
      <c r="F308" s="16"/>
      <c r="G308" s="26"/>
      <c r="H308" s="26"/>
      <c r="I308" s="26"/>
      <c r="J308" s="26"/>
      <c r="K308" s="16"/>
      <c r="L308" s="27" t="str">
        <f aca="false">IF(G308="","",G308-H308+I308+IF(K308="N",J308,0))</f>
        <v/>
      </c>
      <c r="M308" s="16"/>
      <c r="N308" s="16"/>
      <c r="O308" s="16"/>
      <c r="P308" s="16"/>
      <c r="Q308" s="16"/>
      <c r="R308" s="16"/>
    </row>
    <row r="309" customFormat="false" ht="15" hidden="false" customHeight="false" outlineLevel="0" collapsed="false">
      <c r="A309" s="25"/>
      <c r="B309" s="16"/>
      <c r="C309" s="16"/>
      <c r="D309" s="16"/>
      <c r="E309" s="16"/>
      <c r="F309" s="16"/>
      <c r="G309" s="26"/>
      <c r="H309" s="26"/>
      <c r="I309" s="26"/>
      <c r="J309" s="26"/>
      <c r="K309" s="16"/>
      <c r="L309" s="27" t="str">
        <f aca="false">IF(G309="","",G309-H309+I309+IF(K309="N",J309,0))</f>
        <v/>
      </c>
      <c r="M309" s="16"/>
      <c r="N309" s="16"/>
      <c r="O309" s="16"/>
      <c r="P309" s="16"/>
      <c r="Q309" s="16"/>
      <c r="R309" s="16"/>
    </row>
    <row r="310" customFormat="false" ht="15" hidden="false" customHeight="false" outlineLevel="0" collapsed="false">
      <c r="A310" s="25"/>
      <c r="B310" s="16"/>
      <c r="C310" s="16"/>
      <c r="D310" s="16"/>
      <c r="E310" s="16"/>
      <c r="F310" s="16"/>
      <c r="G310" s="26"/>
      <c r="H310" s="26"/>
      <c r="I310" s="26"/>
      <c r="J310" s="26"/>
      <c r="K310" s="16"/>
      <c r="L310" s="27" t="str">
        <f aca="false">IF(G310="","",G310-H310+I310+IF(K310="N",J310,0))</f>
        <v/>
      </c>
      <c r="M310" s="16"/>
      <c r="N310" s="16"/>
      <c r="O310" s="16"/>
      <c r="P310" s="16"/>
      <c r="Q310" s="16"/>
      <c r="R310" s="16"/>
    </row>
    <row r="311" customFormat="false" ht="15" hidden="false" customHeight="false" outlineLevel="0" collapsed="false">
      <c r="A311" s="25"/>
      <c r="B311" s="16"/>
      <c r="C311" s="16"/>
      <c r="D311" s="16"/>
      <c r="E311" s="16"/>
      <c r="F311" s="16"/>
      <c r="G311" s="26"/>
      <c r="H311" s="26"/>
      <c r="I311" s="26"/>
      <c r="J311" s="26"/>
      <c r="K311" s="16"/>
      <c r="L311" s="27" t="str">
        <f aca="false">IF(G311="","",G311-H311+I311+IF(K311="N",J311,0))</f>
        <v/>
      </c>
      <c r="M311" s="16"/>
      <c r="N311" s="16"/>
      <c r="O311" s="16"/>
      <c r="P311" s="16"/>
      <c r="Q311" s="16"/>
      <c r="R311" s="16"/>
    </row>
    <row r="312" customFormat="false" ht="15" hidden="false" customHeight="false" outlineLevel="0" collapsed="false">
      <c r="A312" s="25"/>
      <c r="B312" s="16"/>
      <c r="C312" s="16"/>
      <c r="D312" s="16"/>
      <c r="E312" s="16"/>
      <c r="F312" s="16"/>
      <c r="G312" s="26"/>
      <c r="H312" s="26"/>
      <c r="I312" s="26"/>
      <c r="J312" s="26"/>
      <c r="K312" s="16"/>
      <c r="L312" s="27" t="str">
        <f aca="false">IF(G312="","",G312-H312+I312+IF(K312="N",J312,0))</f>
        <v/>
      </c>
      <c r="M312" s="16"/>
      <c r="N312" s="16"/>
      <c r="O312" s="16"/>
      <c r="P312" s="16"/>
      <c r="Q312" s="16"/>
      <c r="R312" s="16"/>
    </row>
    <row r="313" customFormat="false" ht="15" hidden="false" customHeight="false" outlineLevel="0" collapsed="false">
      <c r="A313" s="25"/>
      <c r="B313" s="16"/>
      <c r="C313" s="16"/>
      <c r="D313" s="16"/>
      <c r="E313" s="16"/>
      <c r="F313" s="16"/>
      <c r="G313" s="26"/>
      <c r="H313" s="26"/>
      <c r="I313" s="26"/>
      <c r="J313" s="26"/>
      <c r="K313" s="16"/>
      <c r="L313" s="27" t="str">
        <f aca="false">IF(G313="","",G313-H313+I313+IF(K313="N",J313,0))</f>
        <v/>
      </c>
      <c r="M313" s="16"/>
      <c r="N313" s="16"/>
      <c r="O313" s="16"/>
      <c r="P313" s="16"/>
      <c r="Q313" s="16"/>
      <c r="R313" s="16"/>
    </row>
    <row r="314" customFormat="false" ht="15" hidden="false" customHeight="false" outlineLevel="0" collapsed="false">
      <c r="A314" s="25"/>
      <c r="B314" s="16"/>
      <c r="C314" s="16"/>
      <c r="D314" s="16"/>
      <c r="E314" s="16"/>
      <c r="F314" s="16"/>
      <c r="G314" s="26"/>
      <c r="H314" s="26"/>
      <c r="I314" s="26"/>
      <c r="J314" s="26"/>
      <c r="K314" s="16"/>
      <c r="L314" s="27" t="str">
        <f aca="false">IF(G314="","",G314-H314+I314+IF(K314="N",J314,0))</f>
        <v/>
      </c>
      <c r="M314" s="16"/>
      <c r="N314" s="16"/>
      <c r="O314" s="16"/>
      <c r="P314" s="16"/>
      <c r="Q314" s="16"/>
      <c r="R314" s="16"/>
    </row>
    <row r="315" customFormat="false" ht="15" hidden="false" customHeight="false" outlineLevel="0" collapsed="false">
      <c r="A315" s="25"/>
      <c r="B315" s="16"/>
      <c r="C315" s="16"/>
      <c r="D315" s="16"/>
      <c r="E315" s="16"/>
      <c r="F315" s="16"/>
      <c r="G315" s="26"/>
      <c r="H315" s="26"/>
      <c r="I315" s="26"/>
      <c r="J315" s="26"/>
      <c r="K315" s="16"/>
      <c r="L315" s="27" t="str">
        <f aca="false">IF(G315="","",G315-H315+I315+IF(K315="N",J315,0))</f>
        <v/>
      </c>
      <c r="M315" s="16"/>
      <c r="N315" s="16"/>
      <c r="O315" s="16"/>
      <c r="P315" s="16"/>
      <c r="Q315" s="16"/>
      <c r="R315" s="16"/>
    </row>
    <row r="316" customFormat="false" ht="15" hidden="false" customHeight="false" outlineLevel="0" collapsed="false">
      <c r="A316" s="25"/>
      <c r="B316" s="16"/>
      <c r="C316" s="16"/>
      <c r="D316" s="16"/>
      <c r="E316" s="16"/>
      <c r="F316" s="16"/>
      <c r="G316" s="26"/>
      <c r="H316" s="26"/>
      <c r="I316" s="26"/>
      <c r="J316" s="26"/>
      <c r="K316" s="16"/>
      <c r="L316" s="27" t="str">
        <f aca="false">IF(G316="","",G316-H316+I316+IF(K316="N",J316,0))</f>
        <v/>
      </c>
      <c r="M316" s="16"/>
      <c r="N316" s="16"/>
      <c r="O316" s="16"/>
      <c r="P316" s="16"/>
      <c r="Q316" s="16"/>
      <c r="R316" s="16"/>
    </row>
    <row r="317" customFormat="false" ht="15" hidden="false" customHeight="false" outlineLevel="0" collapsed="false">
      <c r="A317" s="25"/>
      <c r="B317" s="16"/>
      <c r="C317" s="16"/>
      <c r="D317" s="16"/>
      <c r="E317" s="16"/>
      <c r="F317" s="16"/>
      <c r="G317" s="26"/>
      <c r="H317" s="26"/>
      <c r="I317" s="26"/>
      <c r="J317" s="26"/>
      <c r="K317" s="16"/>
      <c r="L317" s="27" t="str">
        <f aca="false">IF(G317="","",G317-H317+I317+IF(K317="N",J317,0))</f>
        <v/>
      </c>
      <c r="M317" s="16"/>
      <c r="N317" s="16"/>
      <c r="O317" s="16"/>
      <c r="P317" s="16"/>
      <c r="Q317" s="16"/>
      <c r="R317" s="16"/>
    </row>
    <row r="318" customFormat="false" ht="15" hidden="false" customHeight="false" outlineLevel="0" collapsed="false">
      <c r="A318" s="25"/>
      <c r="B318" s="16"/>
      <c r="C318" s="16"/>
      <c r="D318" s="16"/>
      <c r="E318" s="16"/>
      <c r="F318" s="16"/>
      <c r="G318" s="26"/>
      <c r="H318" s="26"/>
      <c r="I318" s="26"/>
      <c r="J318" s="26"/>
      <c r="K318" s="16"/>
      <c r="L318" s="27" t="str">
        <f aca="false">IF(G318="","",G318-H318+I318+IF(K318="N",J318,0))</f>
        <v/>
      </c>
      <c r="M318" s="16"/>
      <c r="N318" s="16"/>
      <c r="O318" s="16"/>
      <c r="P318" s="16"/>
      <c r="Q318" s="16"/>
      <c r="R318" s="16"/>
    </row>
    <row r="319" customFormat="false" ht="15" hidden="false" customHeight="false" outlineLevel="0" collapsed="false">
      <c r="A319" s="25"/>
      <c r="B319" s="16"/>
      <c r="C319" s="16"/>
      <c r="D319" s="16"/>
      <c r="E319" s="16"/>
      <c r="F319" s="16"/>
      <c r="G319" s="26"/>
      <c r="H319" s="26"/>
      <c r="I319" s="26"/>
      <c r="J319" s="26"/>
      <c r="K319" s="16"/>
      <c r="L319" s="27" t="str">
        <f aca="false">IF(G319="","",G319-H319+I319+IF(K319="N",J319,0))</f>
        <v/>
      </c>
      <c r="M319" s="16"/>
      <c r="N319" s="16"/>
      <c r="O319" s="16"/>
      <c r="P319" s="16"/>
      <c r="Q319" s="16"/>
      <c r="R319" s="16"/>
    </row>
    <row r="320" customFormat="false" ht="15" hidden="false" customHeight="false" outlineLevel="0" collapsed="false">
      <c r="A320" s="25"/>
      <c r="B320" s="16"/>
      <c r="C320" s="16"/>
      <c r="D320" s="16"/>
      <c r="E320" s="16"/>
      <c r="F320" s="16"/>
      <c r="G320" s="26"/>
      <c r="H320" s="26"/>
      <c r="I320" s="26"/>
      <c r="J320" s="26"/>
      <c r="K320" s="16"/>
      <c r="L320" s="27" t="str">
        <f aca="false">IF(G320="","",G320-H320+I320+IF(K320="N",J320,0))</f>
        <v/>
      </c>
      <c r="M320" s="16"/>
      <c r="N320" s="16"/>
      <c r="O320" s="16"/>
      <c r="P320" s="16"/>
      <c r="Q320" s="16"/>
      <c r="R320" s="16"/>
    </row>
    <row r="321" customFormat="false" ht="15" hidden="false" customHeight="false" outlineLevel="0" collapsed="false">
      <c r="A321" s="25"/>
      <c r="B321" s="16"/>
      <c r="C321" s="16"/>
      <c r="D321" s="16"/>
      <c r="E321" s="16"/>
      <c r="F321" s="16"/>
      <c r="G321" s="26"/>
      <c r="H321" s="26"/>
      <c r="I321" s="26"/>
      <c r="J321" s="26"/>
      <c r="K321" s="16"/>
      <c r="L321" s="27" t="str">
        <f aca="false">IF(G321="","",G321-H321+I321+IF(K321="N",J321,0))</f>
        <v/>
      </c>
      <c r="M321" s="16"/>
      <c r="N321" s="16"/>
      <c r="O321" s="16"/>
      <c r="P321" s="16"/>
      <c r="Q321" s="16"/>
      <c r="R321" s="16"/>
    </row>
    <row r="322" customFormat="false" ht="15" hidden="false" customHeight="false" outlineLevel="0" collapsed="false">
      <c r="A322" s="25"/>
      <c r="B322" s="16"/>
      <c r="C322" s="16"/>
      <c r="D322" s="16"/>
      <c r="E322" s="16"/>
      <c r="F322" s="16"/>
      <c r="G322" s="26"/>
      <c r="H322" s="26"/>
      <c r="I322" s="26"/>
      <c r="J322" s="26"/>
      <c r="K322" s="16"/>
      <c r="L322" s="27" t="str">
        <f aca="false">IF(G322="","",G322-H322+I322+IF(K322="N",J322,0))</f>
        <v/>
      </c>
      <c r="M322" s="16"/>
      <c r="N322" s="16"/>
      <c r="O322" s="16"/>
      <c r="P322" s="16"/>
      <c r="Q322" s="16"/>
      <c r="R322" s="16"/>
    </row>
    <row r="323" customFormat="false" ht="15" hidden="false" customHeight="false" outlineLevel="0" collapsed="false">
      <c r="A323" s="25"/>
      <c r="B323" s="16"/>
      <c r="C323" s="16"/>
      <c r="D323" s="16"/>
      <c r="E323" s="16"/>
      <c r="F323" s="16"/>
      <c r="G323" s="26"/>
      <c r="H323" s="26"/>
      <c r="I323" s="26"/>
      <c r="J323" s="26"/>
      <c r="K323" s="16"/>
      <c r="L323" s="27" t="str">
        <f aca="false">IF(G323="","",G323-H323+I323+IF(K323="N",J323,0))</f>
        <v/>
      </c>
      <c r="M323" s="16"/>
      <c r="N323" s="16"/>
      <c r="O323" s="16"/>
      <c r="P323" s="16"/>
      <c r="Q323" s="16"/>
      <c r="R323" s="16"/>
    </row>
    <row r="324" customFormat="false" ht="15" hidden="false" customHeight="false" outlineLevel="0" collapsed="false">
      <c r="A324" s="25"/>
      <c r="B324" s="16"/>
      <c r="C324" s="16"/>
      <c r="D324" s="16"/>
      <c r="E324" s="16"/>
      <c r="F324" s="16"/>
      <c r="G324" s="26"/>
      <c r="H324" s="26"/>
      <c r="I324" s="26"/>
      <c r="J324" s="26"/>
      <c r="K324" s="16"/>
      <c r="L324" s="27" t="str">
        <f aca="false">IF(G324="","",G324-H324+I324+IF(K324="N",J324,0))</f>
        <v/>
      </c>
      <c r="M324" s="16"/>
      <c r="N324" s="16"/>
      <c r="O324" s="16"/>
      <c r="P324" s="16"/>
      <c r="Q324" s="16"/>
      <c r="R324" s="16"/>
    </row>
    <row r="325" customFormat="false" ht="15" hidden="false" customHeight="false" outlineLevel="0" collapsed="false">
      <c r="A325" s="25"/>
      <c r="B325" s="16"/>
      <c r="C325" s="16"/>
      <c r="D325" s="16"/>
      <c r="E325" s="16"/>
      <c r="F325" s="16"/>
      <c r="G325" s="26"/>
      <c r="H325" s="26"/>
      <c r="I325" s="26"/>
      <c r="J325" s="26"/>
      <c r="K325" s="16"/>
      <c r="L325" s="27" t="str">
        <f aca="false">IF(G325="","",G325-H325+I325+IF(K325="N",J325,0))</f>
        <v/>
      </c>
      <c r="M325" s="16"/>
      <c r="N325" s="16"/>
      <c r="O325" s="16"/>
      <c r="P325" s="16"/>
      <c r="Q325" s="16"/>
      <c r="R325" s="16"/>
    </row>
    <row r="326" customFormat="false" ht="15" hidden="false" customHeight="false" outlineLevel="0" collapsed="false">
      <c r="A326" s="25"/>
      <c r="B326" s="16"/>
      <c r="C326" s="16"/>
      <c r="D326" s="16"/>
      <c r="E326" s="16"/>
      <c r="F326" s="16"/>
      <c r="G326" s="26"/>
      <c r="H326" s="26"/>
      <c r="I326" s="26"/>
      <c r="J326" s="26"/>
      <c r="K326" s="16"/>
      <c r="L326" s="27" t="str">
        <f aca="false">IF(G326="","",G326-H326+I326+IF(K326="N",J326,0))</f>
        <v/>
      </c>
      <c r="M326" s="16"/>
      <c r="N326" s="16"/>
      <c r="O326" s="16"/>
      <c r="P326" s="16"/>
      <c r="Q326" s="16"/>
      <c r="R326" s="16"/>
    </row>
    <row r="327" customFormat="false" ht="15" hidden="false" customHeight="false" outlineLevel="0" collapsed="false">
      <c r="A327" s="25"/>
      <c r="B327" s="16"/>
      <c r="C327" s="16"/>
      <c r="D327" s="16"/>
      <c r="E327" s="16"/>
      <c r="F327" s="16"/>
      <c r="G327" s="26"/>
      <c r="H327" s="26"/>
      <c r="I327" s="26"/>
      <c r="J327" s="26"/>
      <c r="K327" s="16"/>
      <c r="L327" s="27" t="str">
        <f aca="false">IF(G327="","",G327-H327+I327+IF(K327="N",J327,0))</f>
        <v/>
      </c>
      <c r="M327" s="16"/>
      <c r="N327" s="16"/>
      <c r="O327" s="16"/>
      <c r="P327" s="16"/>
      <c r="Q327" s="16"/>
      <c r="R327" s="16"/>
    </row>
    <row r="328" customFormat="false" ht="15" hidden="false" customHeight="false" outlineLevel="0" collapsed="false">
      <c r="A328" s="25"/>
      <c r="B328" s="16"/>
      <c r="C328" s="16"/>
      <c r="D328" s="16"/>
      <c r="E328" s="16"/>
      <c r="F328" s="16"/>
      <c r="G328" s="26"/>
      <c r="H328" s="26"/>
      <c r="I328" s="26"/>
      <c r="J328" s="26"/>
      <c r="K328" s="16"/>
      <c r="L328" s="27" t="str">
        <f aca="false">IF(G328="","",G328-H328+I328+IF(K328="N",J328,0))</f>
        <v/>
      </c>
      <c r="M328" s="16"/>
      <c r="N328" s="16"/>
      <c r="O328" s="16"/>
      <c r="P328" s="16"/>
      <c r="Q328" s="16"/>
      <c r="R328" s="16"/>
    </row>
    <row r="329" customFormat="false" ht="15" hidden="false" customHeight="false" outlineLevel="0" collapsed="false">
      <c r="A329" s="25"/>
      <c r="B329" s="16"/>
      <c r="C329" s="16"/>
      <c r="D329" s="16"/>
      <c r="E329" s="16"/>
      <c r="F329" s="16"/>
      <c r="G329" s="26"/>
      <c r="H329" s="26"/>
      <c r="I329" s="26"/>
      <c r="J329" s="26"/>
      <c r="K329" s="16"/>
      <c r="L329" s="27" t="str">
        <f aca="false">IF(G329="","",G329-H329+I329+IF(K329="N",J329,0))</f>
        <v/>
      </c>
      <c r="M329" s="16"/>
      <c r="N329" s="16"/>
      <c r="O329" s="16"/>
      <c r="P329" s="16"/>
      <c r="Q329" s="16"/>
      <c r="R329" s="16"/>
    </row>
    <row r="330" customFormat="false" ht="15" hidden="false" customHeight="false" outlineLevel="0" collapsed="false">
      <c r="A330" s="25"/>
      <c r="B330" s="16"/>
      <c r="C330" s="16"/>
      <c r="D330" s="16"/>
      <c r="E330" s="16"/>
      <c r="F330" s="16"/>
      <c r="G330" s="26"/>
      <c r="H330" s="26"/>
      <c r="I330" s="26"/>
      <c r="J330" s="26"/>
      <c r="K330" s="16"/>
      <c r="L330" s="27" t="str">
        <f aca="false">IF(G330="","",G330-H330+I330+IF(K330="N",J330,0))</f>
        <v/>
      </c>
      <c r="M330" s="16"/>
      <c r="N330" s="16"/>
      <c r="O330" s="16"/>
      <c r="P330" s="16"/>
      <c r="Q330" s="16"/>
      <c r="R330" s="16"/>
    </row>
    <row r="331" customFormat="false" ht="15" hidden="false" customHeight="false" outlineLevel="0" collapsed="false">
      <c r="A331" s="25"/>
      <c r="B331" s="16"/>
      <c r="C331" s="16"/>
      <c r="D331" s="16"/>
      <c r="E331" s="16"/>
      <c r="F331" s="16"/>
      <c r="G331" s="26"/>
      <c r="H331" s="26"/>
      <c r="I331" s="26"/>
      <c r="J331" s="26"/>
      <c r="K331" s="16"/>
      <c r="L331" s="27" t="str">
        <f aca="false">IF(G331="","",G331-H331+I331+IF(K331="N",J331,0))</f>
        <v/>
      </c>
      <c r="M331" s="16"/>
      <c r="N331" s="16"/>
      <c r="O331" s="16"/>
      <c r="P331" s="16"/>
      <c r="Q331" s="16"/>
      <c r="R331" s="16"/>
    </row>
    <row r="332" customFormat="false" ht="15" hidden="false" customHeight="false" outlineLevel="0" collapsed="false">
      <c r="A332" s="25"/>
      <c r="B332" s="16"/>
      <c r="C332" s="16"/>
      <c r="D332" s="16"/>
      <c r="E332" s="16"/>
      <c r="F332" s="16"/>
      <c r="G332" s="26"/>
      <c r="H332" s="26"/>
      <c r="I332" s="26"/>
      <c r="J332" s="26"/>
      <c r="K332" s="16"/>
      <c r="L332" s="27" t="str">
        <f aca="false">IF(G332="","",G332-H332+I332+IF(K332="N",J332,0))</f>
        <v/>
      </c>
      <c r="M332" s="16"/>
      <c r="N332" s="16"/>
      <c r="O332" s="16"/>
      <c r="P332" s="16"/>
      <c r="Q332" s="16"/>
      <c r="R332" s="16"/>
    </row>
    <row r="333" customFormat="false" ht="15" hidden="false" customHeight="false" outlineLevel="0" collapsed="false">
      <c r="A333" s="25"/>
      <c r="B333" s="16"/>
      <c r="C333" s="16"/>
      <c r="D333" s="16"/>
      <c r="E333" s="16"/>
      <c r="F333" s="16"/>
      <c r="G333" s="26"/>
      <c r="H333" s="26"/>
      <c r="I333" s="26"/>
      <c r="J333" s="26"/>
      <c r="K333" s="16"/>
      <c r="L333" s="27" t="str">
        <f aca="false">IF(G333="","",G333-H333+I333+IF(K333="N",J333,0))</f>
        <v/>
      </c>
      <c r="M333" s="16"/>
      <c r="N333" s="16"/>
      <c r="O333" s="16"/>
      <c r="P333" s="16"/>
      <c r="Q333" s="16"/>
      <c r="R333" s="16"/>
    </row>
    <row r="334" customFormat="false" ht="15" hidden="false" customHeight="false" outlineLevel="0" collapsed="false">
      <c r="A334" s="25"/>
      <c r="B334" s="16"/>
      <c r="C334" s="16"/>
      <c r="D334" s="16"/>
      <c r="E334" s="16"/>
      <c r="F334" s="16"/>
      <c r="G334" s="26"/>
      <c r="H334" s="26"/>
      <c r="I334" s="26"/>
      <c r="J334" s="26"/>
      <c r="K334" s="16"/>
      <c r="L334" s="27" t="str">
        <f aca="false">IF(G334="","",G334-H334+I334+IF(K334="N",J334,0))</f>
        <v/>
      </c>
      <c r="M334" s="16"/>
      <c r="N334" s="16"/>
      <c r="O334" s="16"/>
      <c r="P334" s="16"/>
      <c r="Q334" s="16"/>
      <c r="R334" s="16"/>
    </row>
    <row r="335" customFormat="false" ht="15" hidden="false" customHeight="false" outlineLevel="0" collapsed="false">
      <c r="A335" s="25"/>
      <c r="B335" s="16"/>
      <c r="C335" s="16"/>
      <c r="D335" s="16"/>
      <c r="E335" s="16"/>
      <c r="F335" s="16"/>
      <c r="G335" s="26"/>
      <c r="H335" s="26"/>
      <c r="I335" s="26"/>
      <c r="J335" s="26"/>
      <c r="K335" s="16"/>
      <c r="L335" s="27" t="str">
        <f aca="false">IF(G335="","",G335-H335+I335+IF(K335="N",J335,0))</f>
        <v/>
      </c>
      <c r="M335" s="16"/>
      <c r="N335" s="16"/>
      <c r="O335" s="16"/>
      <c r="P335" s="16"/>
      <c r="Q335" s="16"/>
      <c r="R335" s="16"/>
    </row>
    <row r="336" customFormat="false" ht="15" hidden="false" customHeight="false" outlineLevel="0" collapsed="false">
      <c r="A336" s="25"/>
      <c r="B336" s="16"/>
      <c r="C336" s="16"/>
      <c r="D336" s="16"/>
      <c r="E336" s="16"/>
      <c r="F336" s="16"/>
      <c r="G336" s="26"/>
      <c r="H336" s="26"/>
      <c r="I336" s="26"/>
      <c r="J336" s="26"/>
      <c r="K336" s="16"/>
      <c r="L336" s="27" t="str">
        <f aca="false">IF(G336="","",G336-H336+I336+IF(K336="N",J336,0))</f>
        <v/>
      </c>
      <c r="M336" s="16"/>
      <c r="N336" s="16"/>
      <c r="O336" s="16"/>
      <c r="P336" s="16"/>
      <c r="Q336" s="16"/>
      <c r="R336" s="16"/>
    </row>
    <row r="337" customFormat="false" ht="15" hidden="false" customHeight="false" outlineLevel="0" collapsed="false">
      <c r="A337" s="25"/>
      <c r="B337" s="16"/>
      <c r="C337" s="16"/>
      <c r="D337" s="16"/>
      <c r="E337" s="16"/>
      <c r="F337" s="16"/>
      <c r="G337" s="26"/>
      <c r="H337" s="26"/>
      <c r="I337" s="26"/>
      <c r="J337" s="26"/>
      <c r="K337" s="16"/>
      <c r="L337" s="27" t="str">
        <f aca="false">IF(G337="","",G337-H337+I337+IF(K337="N",J337,0))</f>
        <v/>
      </c>
      <c r="M337" s="16"/>
      <c r="N337" s="16"/>
      <c r="O337" s="16"/>
      <c r="P337" s="16"/>
      <c r="Q337" s="16"/>
      <c r="R337" s="16"/>
    </row>
    <row r="338" customFormat="false" ht="15" hidden="false" customHeight="false" outlineLevel="0" collapsed="false">
      <c r="A338" s="25"/>
      <c r="B338" s="16"/>
      <c r="C338" s="16"/>
      <c r="D338" s="16"/>
      <c r="E338" s="16"/>
      <c r="F338" s="16"/>
      <c r="G338" s="26"/>
      <c r="H338" s="26"/>
      <c r="I338" s="26"/>
      <c r="J338" s="26"/>
      <c r="K338" s="16"/>
      <c r="L338" s="27" t="str">
        <f aca="false">IF(G338="","",G338-H338+I338+IF(K338="N",J338,0))</f>
        <v/>
      </c>
      <c r="M338" s="16"/>
      <c r="N338" s="16"/>
      <c r="O338" s="16"/>
      <c r="P338" s="16"/>
      <c r="Q338" s="16"/>
      <c r="R338" s="16"/>
    </row>
    <row r="339" customFormat="false" ht="15" hidden="false" customHeight="false" outlineLevel="0" collapsed="false">
      <c r="A339" s="25"/>
      <c r="B339" s="16"/>
      <c r="C339" s="16"/>
      <c r="D339" s="16"/>
      <c r="E339" s="16"/>
      <c r="F339" s="16"/>
      <c r="G339" s="26"/>
      <c r="H339" s="26"/>
      <c r="I339" s="26"/>
      <c r="J339" s="26"/>
      <c r="K339" s="16"/>
      <c r="L339" s="27" t="str">
        <f aca="false">IF(G339="","",G339-H339+I339+IF(K339="N",J339,0))</f>
        <v/>
      </c>
      <c r="M339" s="16"/>
      <c r="N339" s="16"/>
      <c r="O339" s="16"/>
      <c r="P339" s="16"/>
      <c r="Q339" s="16"/>
      <c r="R339" s="16"/>
    </row>
    <row r="340" customFormat="false" ht="15" hidden="false" customHeight="false" outlineLevel="0" collapsed="false">
      <c r="A340" s="25"/>
      <c r="B340" s="16"/>
      <c r="C340" s="16"/>
      <c r="D340" s="16"/>
      <c r="E340" s="16"/>
      <c r="F340" s="16"/>
      <c r="G340" s="26"/>
      <c r="H340" s="26"/>
      <c r="I340" s="26"/>
      <c r="J340" s="26"/>
      <c r="K340" s="16"/>
      <c r="L340" s="27" t="str">
        <f aca="false">IF(G340="","",G340-H340+I340+IF(K340="N",J340,0))</f>
        <v/>
      </c>
      <c r="M340" s="16"/>
      <c r="N340" s="16"/>
      <c r="O340" s="16"/>
      <c r="P340" s="16"/>
      <c r="Q340" s="16"/>
      <c r="R340" s="16"/>
    </row>
    <row r="341" customFormat="false" ht="15" hidden="false" customHeight="false" outlineLevel="0" collapsed="false">
      <c r="A341" s="25"/>
      <c r="B341" s="16"/>
      <c r="C341" s="16"/>
      <c r="D341" s="16"/>
      <c r="E341" s="16"/>
      <c r="F341" s="16"/>
      <c r="G341" s="26"/>
      <c r="H341" s="26"/>
      <c r="I341" s="26"/>
      <c r="J341" s="26"/>
      <c r="K341" s="16"/>
      <c r="L341" s="27" t="str">
        <f aca="false">IF(G341="","",G341-H341+I341+IF(K341="N",J341,0))</f>
        <v/>
      </c>
      <c r="M341" s="16"/>
      <c r="N341" s="16"/>
      <c r="O341" s="16"/>
      <c r="P341" s="16"/>
      <c r="Q341" s="16"/>
      <c r="R341" s="16"/>
    </row>
    <row r="342" customFormat="false" ht="15" hidden="false" customHeight="false" outlineLevel="0" collapsed="false">
      <c r="A342" s="25"/>
      <c r="B342" s="16"/>
      <c r="C342" s="16"/>
      <c r="D342" s="16"/>
      <c r="E342" s="16"/>
      <c r="F342" s="16"/>
      <c r="G342" s="26"/>
      <c r="H342" s="26"/>
      <c r="I342" s="26"/>
      <c r="J342" s="26"/>
      <c r="K342" s="16"/>
      <c r="L342" s="27" t="str">
        <f aca="false">IF(G342="","",G342-H342+I342+IF(K342="N",J342,0))</f>
        <v/>
      </c>
      <c r="M342" s="16"/>
      <c r="N342" s="16"/>
      <c r="O342" s="16"/>
      <c r="P342" s="16"/>
      <c r="Q342" s="16"/>
      <c r="R342" s="16"/>
    </row>
    <row r="343" customFormat="false" ht="15" hidden="false" customHeight="false" outlineLevel="0" collapsed="false">
      <c r="A343" s="25"/>
      <c r="B343" s="16"/>
      <c r="C343" s="16"/>
      <c r="D343" s="16"/>
      <c r="E343" s="16"/>
      <c r="F343" s="16"/>
      <c r="G343" s="26"/>
      <c r="H343" s="26"/>
      <c r="I343" s="26"/>
      <c r="J343" s="26"/>
      <c r="K343" s="16"/>
      <c r="L343" s="27" t="str">
        <f aca="false">IF(G343="","",G343-H343+I343+IF(K343="N",J343,0))</f>
        <v/>
      </c>
      <c r="M343" s="16"/>
      <c r="N343" s="16"/>
      <c r="O343" s="16"/>
      <c r="P343" s="16"/>
      <c r="Q343" s="16"/>
      <c r="R343" s="16"/>
    </row>
    <row r="344" customFormat="false" ht="15" hidden="false" customHeight="false" outlineLevel="0" collapsed="false">
      <c r="A344" s="25"/>
      <c r="B344" s="16"/>
      <c r="C344" s="16"/>
      <c r="D344" s="16"/>
      <c r="E344" s="16"/>
      <c r="F344" s="16"/>
      <c r="G344" s="26"/>
      <c r="H344" s="26"/>
      <c r="I344" s="26"/>
      <c r="J344" s="26"/>
      <c r="K344" s="16"/>
      <c r="L344" s="27" t="str">
        <f aca="false">IF(G344="","",G344-H344+I344+IF(K344="N",J344,0))</f>
        <v/>
      </c>
      <c r="M344" s="16"/>
      <c r="N344" s="16"/>
      <c r="O344" s="16"/>
      <c r="P344" s="16"/>
      <c r="Q344" s="16"/>
      <c r="R344" s="16"/>
    </row>
    <row r="345" customFormat="false" ht="15" hidden="false" customHeight="false" outlineLevel="0" collapsed="false">
      <c r="A345" s="25"/>
      <c r="B345" s="16"/>
      <c r="C345" s="16"/>
      <c r="D345" s="16"/>
      <c r="E345" s="16"/>
      <c r="F345" s="16"/>
      <c r="G345" s="26"/>
      <c r="H345" s="26"/>
      <c r="I345" s="26"/>
      <c r="J345" s="26"/>
      <c r="K345" s="16"/>
      <c r="L345" s="27" t="str">
        <f aca="false">IF(G345="","",G345-H345+I345+IF(K345="N",J345,0))</f>
        <v/>
      </c>
      <c r="M345" s="16"/>
      <c r="N345" s="16"/>
      <c r="O345" s="16"/>
      <c r="P345" s="16"/>
      <c r="Q345" s="16"/>
      <c r="R345" s="16"/>
    </row>
    <row r="346" customFormat="false" ht="15" hidden="false" customHeight="false" outlineLevel="0" collapsed="false">
      <c r="A346" s="25"/>
      <c r="B346" s="16"/>
      <c r="C346" s="16"/>
      <c r="D346" s="16"/>
      <c r="E346" s="16"/>
      <c r="F346" s="16"/>
      <c r="G346" s="26"/>
      <c r="H346" s="26"/>
      <c r="I346" s="26"/>
      <c r="J346" s="26"/>
      <c r="K346" s="16"/>
      <c r="L346" s="27" t="str">
        <f aca="false">IF(G346="","",G346-H346+I346+IF(K346="N",J346,0))</f>
        <v/>
      </c>
      <c r="M346" s="16"/>
      <c r="N346" s="16"/>
      <c r="O346" s="16"/>
      <c r="P346" s="16"/>
      <c r="Q346" s="16"/>
      <c r="R346" s="16"/>
    </row>
    <row r="347" customFormat="false" ht="15" hidden="false" customHeight="false" outlineLevel="0" collapsed="false">
      <c r="A347" s="25"/>
      <c r="B347" s="16"/>
      <c r="C347" s="16"/>
      <c r="D347" s="16"/>
      <c r="E347" s="16"/>
      <c r="F347" s="16"/>
      <c r="G347" s="26"/>
      <c r="H347" s="26"/>
      <c r="I347" s="26"/>
      <c r="J347" s="26"/>
      <c r="K347" s="16"/>
      <c r="L347" s="27" t="str">
        <f aca="false">IF(G347="","",G347-H347+I347+IF(K347="N",J347,0))</f>
        <v/>
      </c>
      <c r="M347" s="16"/>
      <c r="N347" s="16"/>
      <c r="O347" s="16"/>
      <c r="P347" s="16"/>
      <c r="Q347" s="16"/>
      <c r="R347" s="16"/>
    </row>
    <row r="348" customFormat="false" ht="15" hidden="false" customHeight="false" outlineLevel="0" collapsed="false">
      <c r="A348" s="25"/>
      <c r="B348" s="16"/>
      <c r="C348" s="16"/>
      <c r="D348" s="16"/>
      <c r="E348" s="16"/>
      <c r="F348" s="16"/>
      <c r="G348" s="26"/>
      <c r="H348" s="26"/>
      <c r="I348" s="26"/>
      <c r="J348" s="26"/>
      <c r="K348" s="16"/>
      <c r="L348" s="27" t="str">
        <f aca="false">IF(G348="","",G348-H348+I348+IF(K348="N",J348,0))</f>
        <v/>
      </c>
      <c r="M348" s="16"/>
      <c r="N348" s="16"/>
      <c r="O348" s="16"/>
      <c r="P348" s="16"/>
      <c r="Q348" s="16"/>
      <c r="R348" s="16"/>
    </row>
    <row r="349" customFormat="false" ht="15" hidden="false" customHeight="false" outlineLevel="0" collapsed="false">
      <c r="A349" s="25"/>
      <c r="B349" s="16"/>
      <c r="C349" s="16"/>
      <c r="D349" s="16"/>
      <c r="E349" s="16"/>
      <c r="F349" s="16"/>
      <c r="G349" s="26"/>
      <c r="H349" s="26"/>
      <c r="I349" s="26"/>
      <c r="J349" s="26"/>
      <c r="K349" s="16"/>
      <c r="L349" s="27" t="str">
        <f aca="false">IF(G349="","",G349-H349+I349+IF(K349="N",J349,0))</f>
        <v/>
      </c>
      <c r="M349" s="16"/>
      <c r="N349" s="16"/>
      <c r="O349" s="16"/>
      <c r="P349" s="16"/>
      <c r="Q349" s="16"/>
      <c r="R349" s="16"/>
    </row>
    <row r="350" customFormat="false" ht="15" hidden="false" customHeight="false" outlineLevel="0" collapsed="false">
      <c r="A350" s="25"/>
      <c r="B350" s="16"/>
      <c r="C350" s="16"/>
      <c r="D350" s="16"/>
      <c r="E350" s="16"/>
      <c r="F350" s="16"/>
      <c r="G350" s="26"/>
      <c r="H350" s="26"/>
      <c r="I350" s="26"/>
      <c r="J350" s="26"/>
      <c r="K350" s="16"/>
      <c r="L350" s="27" t="str">
        <f aca="false">IF(G350="","",G350-H350+I350+IF(K350="N",J350,0))</f>
        <v/>
      </c>
      <c r="M350" s="16"/>
      <c r="N350" s="16"/>
      <c r="O350" s="16"/>
      <c r="P350" s="16"/>
      <c r="Q350" s="16"/>
      <c r="R350" s="16"/>
    </row>
    <row r="351" customFormat="false" ht="15" hidden="false" customHeight="false" outlineLevel="0" collapsed="false">
      <c r="A351" s="25"/>
      <c r="B351" s="16"/>
      <c r="C351" s="16"/>
      <c r="D351" s="16"/>
      <c r="E351" s="16"/>
      <c r="F351" s="16"/>
      <c r="G351" s="26"/>
      <c r="H351" s="26"/>
      <c r="I351" s="26"/>
      <c r="J351" s="26"/>
      <c r="K351" s="16"/>
      <c r="L351" s="27" t="str">
        <f aca="false">IF(G351="","",G351-H351+I351+IF(K351="N",J351,0))</f>
        <v/>
      </c>
      <c r="M351" s="16"/>
      <c r="N351" s="16"/>
      <c r="O351" s="16"/>
      <c r="P351" s="16"/>
      <c r="Q351" s="16"/>
      <c r="R351" s="16"/>
    </row>
    <row r="352" customFormat="false" ht="15" hidden="false" customHeight="false" outlineLevel="0" collapsed="false">
      <c r="A352" s="25"/>
      <c r="B352" s="16"/>
      <c r="C352" s="16"/>
      <c r="D352" s="16"/>
      <c r="E352" s="16"/>
      <c r="F352" s="16"/>
      <c r="G352" s="26"/>
      <c r="H352" s="26"/>
      <c r="I352" s="26"/>
      <c r="J352" s="26"/>
      <c r="K352" s="16"/>
      <c r="L352" s="27" t="str">
        <f aca="false">IF(G352="","",G352-H352+I352+IF(K352="N",J352,0))</f>
        <v/>
      </c>
      <c r="M352" s="16"/>
      <c r="N352" s="16"/>
      <c r="O352" s="16"/>
      <c r="P352" s="16"/>
      <c r="Q352" s="16"/>
      <c r="R352" s="16"/>
    </row>
    <row r="353" customFormat="false" ht="15" hidden="false" customHeight="false" outlineLevel="0" collapsed="false">
      <c r="A353" s="25"/>
      <c r="B353" s="16"/>
      <c r="C353" s="16"/>
      <c r="D353" s="16"/>
      <c r="E353" s="16"/>
      <c r="F353" s="16"/>
      <c r="G353" s="26"/>
      <c r="H353" s="26"/>
      <c r="I353" s="26"/>
      <c r="J353" s="26"/>
      <c r="K353" s="16"/>
      <c r="L353" s="27" t="str">
        <f aca="false">IF(G353="","",G353-H353+I353+IF(K353="N",J353,0))</f>
        <v/>
      </c>
      <c r="M353" s="16"/>
      <c r="N353" s="16"/>
      <c r="O353" s="16"/>
      <c r="P353" s="16"/>
      <c r="Q353" s="16"/>
      <c r="R353" s="16"/>
    </row>
    <row r="354" customFormat="false" ht="15" hidden="false" customHeight="false" outlineLevel="0" collapsed="false">
      <c r="A354" s="25"/>
      <c r="B354" s="16"/>
      <c r="C354" s="16"/>
      <c r="D354" s="16"/>
      <c r="E354" s="16"/>
      <c r="F354" s="16"/>
      <c r="G354" s="26"/>
      <c r="H354" s="26"/>
      <c r="I354" s="26"/>
      <c r="J354" s="26"/>
      <c r="K354" s="16"/>
      <c r="L354" s="27" t="str">
        <f aca="false">IF(G354="","",G354-H354+I354+IF(K354="N",J354,0))</f>
        <v/>
      </c>
      <c r="M354" s="16"/>
      <c r="N354" s="16"/>
      <c r="O354" s="16"/>
      <c r="P354" s="16"/>
      <c r="Q354" s="16"/>
      <c r="R354" s="16"/>
    </row>
    <row r="355" customFormat="false" ht="15" hidden="false" customHeight="false" outlineLevel="0" collapsed="false">
      <c r="A355" s="25"/>
      <c r="B355" s="16"/>
      <c r="C355" s="16"/>
      <c r="D355" s="16"/>
      <c r="E355" s="16"/>
      <c r="F355" s="16"/>
      <c r="G355" s="26"/>
      <c r="H355" s="26"/>
      <c r="I355" s="26"/>
      <c r="J355" s="26"/>
      <c r="K355" s="16"/>
      <c r="L355" s="27" t="str">
        <f aca="false">IF(G355="","",G355-H355+I355+IF(K355="N",J355,0))</f>
        <v/>
      </c>
      <c r="M355" s="16"/>
      <c r="N355" s="16"/>
      <c r="O355" s="16"/>
      <c r="P355" s="16"/>
      <c r="Q355" s="16"/>
      <c r="R355" s="16"/>
    </row>
    <row r="356" customFormat="false" ht="15" hidden="false" customHeight="false" outlineLevel="0" collapsed="false">
      <c r="A356" s="25"/>
      <c r="B356" s="16"/>
      <c r="C356" s="16"/>
      <c r="D356" s="16"/>
      <c r="E356" s="16"/>
      <c r="F356" s="16"/>
      <c r="G356" s="26"/>
      <c r="H356" s="26"/>
      <c r="I356" s="26"/>
      <c r="J356" s="26"/>
      <c r="K356" s="16"/>
      <c r="L356" s="27" t="str">
        <f aca="false">IF(G356="","",G356-H356+I356+IF(K356="N",J356,0))</f>
        <v/>
      </c>
      <c r="M356" s="16"/>
      <c r="N356" s="16"/>
      <c r="O356" s="16"/>
      <c r="P356" s="16"/>
      <c r="Q356" s="16"/>
      <c r="R356" s="16"/>
    </row>
    <row r="357" customFormat="false" ht="15" hidden="false" customHeight="false" outlineLevel="0" collapsed="false">
      <c r="A357" s="25"/>
      <c r="B357" s="16"/>
      <c r="C357" s="16"/>
      <c r="D357" s="16"/>
      <c r="E357" s="16"/>
      <c r="F357" s="16"/>
      <c r="G357" s="26"/>
      <c r="H357" s="26"/>
      <c r="I357" s="26"/>
      <c r="J357" s="26"/>
      <c r="K357" s="16"/>
      <c r="L357" s="27" t="str">
        <f aca="false">IF(G357="","",G357-H357+I357+IF(K357="N",J357,0))</f>
        <v/>
      </c>
      <c r="M357" s="16"/>
      <c r="N357" s="16"/>
      <c r="O357" s="16"/>
      <c r="P357" s="16"/>
      <c r="Q357" s="16"/>
      <c r="R357" s="16"/>
    </row>
    <row r="358" customFormat="false" ht="15" hidden="false" customHeight="false" outlineLevel="0" collapsed="false">
      <c r="A358" s="25"/>
      <c r="B358" s="16"/>
      <c r="C358" s="16"/>
      <c r="D358" s="16"/>
      <c r="E358" s="16"/>
      <c r="F358" s="16"/>
      <c r="G358" s="26"/>
      <c r="H358" s="26"/>
      <c r="I358" s="26"/>
      <c r="J358" s="26"/>
      <c r="K358" s="16"/>
      <c r="L358" s="27" t="str">
        <f aca="false">IF(G358="","",G358-H358+I358+IF(K358="N",J358,0))</f>
        <v/>
      </c>
      <c r="M358" s="16"/>
      <c r="N358" s="16"/>
      <c r="O358" s="16"/>
      <c r="P358" s="16"/>
      <c r="Q358" s="16"/>
      <c r="R358" s="16"/>
    </row>
    <row r="359" customFormat="false" ht="15" hidden="false" customHeight="false" outlineLevel="0" collapsed="false">
      <c r="A359" s="25"/>
      <c r="B359" s="16"/>
      <c r="C359" s="16"/>
      <c r="D359" s="16"/>
      <c r="E359" s="16"/>
      <c r="F359" s="16"/>
      <c r="G359" s="26"/>
      <c r="H359" s="26"/>
      <c r="I359" s="26"/>
      <c r="J359" s="26"/>
      <c r="K359" s="16"/>
      <c r="L359" s="27" t="str">
        <f aca="false">IF(G359="","",G359-H359+I359+IF(K359="N",J359,0))</f>
        <v/>
      </c>
      <c r="M359" s="16"/>
      <c r="N359" s="16"/>
      <c r="O359" s="16"/>
      <c r="P359" s="16"/>
      <c r="Q359" s="16"/>
      <c r="R359" s="16"/>
    </row>
    <row r="360" customFormat="false" ht="15" hidden="false" customHeight="false" outlineLevel="0" collapsed="false">
      <c r="A360" s="25"/>
      <c r="B360" s="16"/>
      <c r="C360" s="16"/>
      <c r="D360" s="16"/>
      <c r="E360" s="16"/>
      <c r="F360" s="16"/>
      <c r="G360" s="26"/>
      <c r="H360" s="26"/>
      <c r="I360" s="26"/>
      <c r="J360" s="26"/>
      <c r="K360" s="16"/>
      <c r="L360" s="27" t="str">
        <f aca="false">IF(G360="","",G360-H360+I360+IF(K360="N",J360,0))</f>
        <v/>
      </c>
      <c r="M360" s="16"/>
      <c r="N360" s="16"/>
      <c r="O360" s="16"/>
      <c r="P360" s="16"/>
      <c r="Q360" s="16"/>
      <c r="R360" s="16"/>
    </row>
    <row r="361" customFormat="false" ht="15" hidden="false" customHeight="false" outlineLevel="0" collapsed="false">
      <c r="A361" s="25"/>
      <c r="B361" s="16"/>
      <c r="C361" s="16"/>
      <c r="D361" s="16"/>
      <c r="E361" s="16"/>
      <c r="F361" s="16"/>
      <c r="G361" s="26"/>
      <c r="H361" s="26"/>
      <c r="I361" s="26"/>
      <c r="J361" s="26"/>
      <c r="K361" s="16"/>
      <c r="L361" s="27" t="str">
        <f aca="false">IF(G361="","",G361-H361+I361+IF(K361="N",J361,0))</f>
        <v/>
      </c>
      <c r="M361" s="16"/>
      <c r="N361" s="16"/>
      <c r="O361" s="16"/>
      <c r="P361" s="16"/>
      <c r="Q361" s="16"/>
      <c r="R361" s="16"/>
    </row>
    <row r="362" customFormat="false" ht="15" hidden="false" customHeight="false" outlineLevel="0" collapsed="false">
      <c r="A362" s="25"/>
      <c r="B362" s="16"/>
      <c r="C362" s="16"/>
      <c r="D362" s="16"/>
      <c r="E362" s="16"/>
      <c r="F362" s="16"/>
      <c r="G362" s="26"/>
      <c r="H362" s="26"/>
      <c r="I362" s="26"/>
      <c r="J362" s="26"/>
      <c r="K362" s="16"/>
      <c r="L362" s="27" t="str">
        <f aca="false">IF(G362="","",G362-H362+I362+IF(K362="N",J362,0))</f>
        <v/>
      </c>
      <c r="M362" s="16"/>
      <c r="N362" s="16"/>
      <c r="O362" s="16"/>
      <c r="P362" s="16"/>
      <c r="Q362" s="16"/>
      <c r="R362" s="16"/>
    </row>
    <row r="363" customFormat="false" ht="15" hidden="false" customHeight="false" outlineLevel="0" collapsed="false">
      <c r="A363" s="25"/>
      <c r="B363" s="16"/>
      <c r="C363" s="16"/>
      <c r="D363" s="16"/>
      <c r="E363" s="16"/>
      <c r="F363" s="16"/>
      <c r="G363" s="26"/>
      <c r="H363" s="26"/>
      <c r="I363" s="26"/>
      <c r="J363" s="26"/>
      <c r="K363" s="16"/>
      <c r="L363" s="27" t="str">
        <f aca="false">IF(G363="","",G363-H363+I363+IF(K363="N",J363,0))</f>
        <v/>
      </c>
      <c r="M363" s="16"/>
      <c r="N363" s="16"/>
      <c r="O363" s="16"/>
      <c r="P363" s="16"/>
      <c r="Q363" s="16"/>
      <c r="R363" s="16"/>
    </row>
    <row r="364" customFormat="false" ht="15" hidden="false" customHeight="false" outlineLevel="0" collapsed="false">
      <c r="A364" s="25"/>
      <c r="B364" s="16"/>
      <c r="C364" s="16"/>
      <c r="D364" s="16"/>
      <c r="E364" s="16"/>
      <c r="F364" s="16"/>
      <c r="G364" s="26"/>
      <c r="H364" s="26"/>
      <c r="I364" s="26"/>
      <c r="J364" s="26"/>
      <c r="K364" s="16"/>
      <c r="L364" s="27" t="str">
        <f aca="false">IF(G364="","",G364-H364+I364+IF(K364="N",J364,0))</f>
        <v/>
      </c>
      <c r="M364" s="16"/>
      <c r="N364" s="16"/>
      <c r="O364" s="16"/>
      <c r="P364" s="16"/>
      <c r="Q364" s="16"/>
      <c r="R364" s="16"/>
    </row>
    <row r="365" customFormat="false" ht="15" hidden="false" customHeight="false" outlineLevel="0" collapsed="false">
      <c r="A365" s="25"/>
      <c r="B365" s="16"/>
      <c r="C365" s="16"/>
      <c r="D365" s="16"/>
      <c r="E365" s="16"/>
      <c r="F365" s="16"/>
      <c r="G365" s="26"/>
      <c r="H365" s="26"/>
      <c r="I365" s="26"/>
      <c r="J365" s="26"/>
      <c r="K365" s="16"/>
      <c r="L365" s="27" t="str">
        <f aca="false">IF(G365="","",G365-H365+I365+IF(K365="N",J365,0))</f>
        <v/>
      </c>
      <c r="M365" s="16"/>
      <c r="N365" s="16"/>
      <c r="O365" s="16"/>
      <c r="P365" s="16"/>
      <c r="Q365" s="16"/>
      <c r="R365" s="16"/>
    </row>
    <row r="366" customFormat="false" ht="15" hidden="false" customHeight="false" outlineLevel="0" collapsed="false">
      <c r="A366" s="25"/>
      <c r="B366" s="16"/>
      <c r="C366" s="16"/>
      <c r="D366" s="16"/>
      <c r="E366" s="16"/>
      <c r="F366" s="16"/>
      <c r="G366" s="26"/>
      <c r="H366" s="26"/>
      <c r="I366" s="26"/>
      <c r="J366" s="26"/>
      <c r="K366" s="16"/>
      <c r="L366" s="27" t="str">
        <f aca="false">IF(G366="","",G366-H366+I366+IF(K366="N",J366,0))</f>
        <v/>
      </c>
      <c r="M366" s="16"/>
      <c r="N366" s="16"/>
      <c r="O366" s="16"/>
      <c r="P366" s="16"/>
      <c r="Q366" s="16"/>
      <c r="R366" s="16"/>
    </row>
    <row r="367" customFormat="false" ht="15" hidden="false" customHeight="false" outlineLevel="0" collapsed="false">
      <c r="A367" s="25"/>
      <c r="B367" s="16"/>
      <c r="C367" s="16"/>
      <c r="D367" s="16"/>
      <c r="E367" s="16"/>
      <c r="F367" s="16"/>
      <c r="G367" s="26"/>
      <c r="H367" s="26"/>
      <c r="I367" s="26"/>
      <c r="J367" s="26"/>
      <c r="K367" s="16"/>
      <c r="L367" s="27" t="str">
        <f aca="false">IF(G367="","",G367-H367+I367+IF(K367="N",J367,0))</f>
        <v/>
      </c>
      <c r="M367" s="16"/>
      <c r="N367" s="16"/>
      <c r="O367" s="16"/>
      <c r="P367" s="16"/>
      <c r="Q367" s="16"/>
      <c r="R367" s="16"/>
    </row>
    <row r="368" customFormat="false" ht="15" hidden="false" customHeight="false" outlineLevel="0" collapsed="false">
      <c r="A368" s="25"/>
      <c r="B368" s="16"/>
      <c r="C368" s="16"/>
      <c r="D368" s="16"/>
      <c r="E368" s="16"/>
      <c r="F368" s="16"/>
      <c r="G368" s="26"/>
      <c r="H368" s="26"/>
      <c r="I368" s="26"/>
      <c r="J368" s="26"/>
      <c r="K368" s="16"/>
      <c r="L368" s="27" t="str">
        <f aca="false">IF(G368="","",G368-H368+I368+IF(K368="N",J368,0))</f>
        <v/>
      </c>
      <c r="M368" s="16"/>
      <c r="N368" s="16"/>
      <c r="O368" s="16"/>
      <c r="P368" s="16"/>
      <c r="Q368" s="16"/>
      <c r="R368" s="16"/>
    </row>
    <row r="369" customFormat="false" ht="15" hidden="false" customHeight="false" outlineLevel="0" collapsed="false">
      <c r="A369" s="25"/>
      <c r="B369" s="16"/>
      <c r="C369" s="16"/>
      <c r="D369" s="16"/>
      <c r="E369" s="16"/>
      <c r="F369" s="16"/>
      <c r="G369" s="26"/>
      <c r="H369" s="26"/>
      <c r="I369" s="26"/>
      <c r="J369" s="26"/>
      <c r="K369" s="16"/>
      <c r="L369" s="27" t="str">
        <f aca="false">IF(G369="","",G369-H369+I369+IF(K369="N",J369,0))</f>
        <v/>
      </c>
      <c r="M369" s="16"/>
      <c r="N369" s="16"/>
      <c r="O369" s="16"/>
      <c r="P369" s="16"/>
      <c r="Q369" s="16"/>
      <c r="R369" s="16"/>
    </row>
    <row r="370" customFormat="false" ht="15" hidden="false" customHeight="false" outlineLevel="0" collapsed="false">
      <c r="A370" s="25"/>
      <c r="B370" s="16"/>
      <c r="C370" s="16"/>
      <c r="D370" s="16"/>
      <c r="E370" s="16"/>
      <c r="F370" s="16"/>
      <c r="G370" s="26"/>
      <c r="H370" s="26"/>
      <c r="I370" s="26"/>
      <c r="J370" s="26"/>
      <c r="K370" s="16"/>
      <c r="L370" s="27" t="str">
        <f aca="false">IF(G370="","",G370-H370+I370+IF(K370="N",J370,0))</f>
        <v/>
      </c>
      <c r="M370" s="16"/>
      <c r="N370" s="16"/>
      <c r="O370" s="16"/>
      <c r="P370" s="16"/>
      <c r="Q370" s="16"/>
      <c r="R370" s="16"/>
    </row>
    <row r="371" customFormat="false" ht="15" hidden="false" customHeight="false" outlineLevel="0" collapsed="false">
      <c r="A371" s="25"/>
      <c r="B371" s="16"/>
      <c r="C371" s="16"/>
      <c r="D371" s="16"/>
      <c r="E371" s="16"/>
      <c r="F371" s="16"/>
      <c r="G371" s="26"/>
      <c r="H371" s="26"/>
      <c r="I371" s="26"/>
      <c r="J371" s="26"/>
      <c r="K371" s="16"/>
      <c r="L371" s="27" t="str">
        <f aca="false">IF(G371="","",G371-H371+I371+IF(K371="N",J371,0))</f>
        <v/>
      </c>
      <c r="M371" s="16"/>
      <c r="N371" s="16"/>
      <c r="O371" s="16"/>
      <c r="P371" s="16"/>
      <c r="Q371" s="16"/>
      <c r="R371" s="16"/>
    </row>
    <row r="372" customFormat="false" ht="15" hidden="false" customHeight="false" outlineLevel="0" collapsed="false">
      <c r="A372" s="25"/>
      <c r="B372" s="16"/>
      <c r="C372" s="16"/>
      <c r="D372" s="16"/>
      <c r="E372" s="16"/>
      <c r="F372" s="16"/>
      <c r="G372" s="26"/>
      <c r="H372" s="26"/>
      <c r="I372" s="26"/>
      <c r="J372" s="26"/>
      <c r="K372" s="16"/>
      <c r="L372" s="27" t="str">
        <f aca="false">IF(G372="","",G372-H372+I372+IF(K372="N",J372,0))</f>
        <v/>
      </c>
      <c r="M372" s="16"/>
      <c r="N372" s="16"/>
      <c r="O372" s="16"/>
      <c r="P372" s="16"/>
      <c r="Q372" s="16"/>
      <c r="R372" s="16"/>
    </row>
    <row r="373" customFormat="false" ht="15" hidden="false" customHeight="false" outlineLevel="0" collapsed="false">
      <c r="A373" s="25"/>
      <c r="B373" s="16"/>
      <c r="C373" s="16"/>
      <c r="D373" s="16"/>
      <c r="E373" s="16"/>
      <c r="F373" s="16"/>
      <c r="G373" s="26"/>
      <c r="H373" s="26"/>
      <c r="I373" s="26"/>
      <c r="J373" s="26"/>
      <c r="K373" s="16"/>
      <c r="L373" s="27" t="str">
        <f aca="false">IF(G373="","",G373-H373+I373+IF(K373="N",J373,0))</f>
        <v/>
      </c>
      <c r="M373" s="16"/>
      <c r="N373" s="16"/>
      <c r="O373" s="16"/>
      <c r="P373" s="16"/>
      <c r="Q373" s="16"/>
      <c r="R373" s="16"/>
    </row>
    <row r="374" customFormat="false" ht="15" hidden="false" customHeight="false" outlineLevel="0" collapsed="false">
      <c r="A374" s="25"/>
      <c r="B374" s="16"/>
      <c r="C374" s="16"/>
      <c r="D374" s="16"/>
      <c r="E374" s="16"/>
      <c r="F374" s="16"/>
      <c r="G374" s="26"/>
      <c r="H374" s="26"/>
      <c r="I374" s="26"/>
      <c r="J374" s="26"/>
      <c r="K374" s="16"/>
      <c r="L374" s="27" t="str">
        <f aca="false">IF(G374="","",G374-H374+I374+IF(K374="N",J374,0))</f>
        <v/>
      </c>
      <c r="M374" s="16"/>
      <c r="N374" s="16"/>
      <c r="O374" s="16"/>
      <c r="P374" s="16"/>
      <c r="Q374" s="16"/>
      <c r="R374" s="16"/>
    </row>
    <row r="375" customFormat="false" ht="15" hidden="false" customHeight="false" outlineLevel="0" collapsed="false">
      <c r="A375" s="25"/>
      <c r="B375" s="16"/>
      <c r="C375" s="16"/>
      <c r="D375" s="16"/>
      <c r="E375" s="16"/>
      <c r="F375" s="16"/>
      <c r="G375" s="26"/>
      <c r="H375" s="26"/>
      <c r="I375" s="26"/>
      <c r="J375" s="26"/>
      <c r="K375" s="16"/>
      <c r="L375" s="27" t="str">
        <f aca="false">IF(G375="","",G375-H375+I375+IF(K375="N",J375,0))</f>
        <v/>
      </c>
      <c r="M375" s="16"/>
      <c r="N375" s="16"/>
      <c r="O375" s="16"/>
      <c r="P375" s="16"/>
      <c r="Q375" s="16"/>
      <c r="R375" s="16"/>
    </row>
    <row r="376" customFormat="false" ht="15" hidden="false" customHeight="false" outlineLevel="0" collapsed="false">
      <c r="A376" s="25"/>
      <c r="B376" s="16"/>
      <c r="C376" s="16"/>
      <c r="D376" s="16"/>
      <c r="E376" s="16"/>
      <c r="F376" s="16"/>
      <c r="G376" s="26"/>
      <c r="H376" s="26"/>
      <c r="I376" s="26"/>
      <c r="J376" s="26"/>
      <c r="K376" s="16"/>
      <c r="L376" s="27" t="str">
        <f aca="false">IF(G376="","",G376-H376+I376+IF(K376="N",J376,0))</f>
        <v/>
      </c>
      <c r="M376" s="16"/>
      <c r="N376" s="16"/>
      <c r="O376" s="16"/>
      <c r="P376" s="16"/>
      <c r="Q376" s="16"/>
      <c r="R376" s="16"/>
    </row>
    <row r="377" customFormat="false" ht="15" hidden="false" customHeight="false" outlineLevel="0" collapsed="false">
      <c r="A377" s="25"/>
      <c r="B377" s="16"/>
      <c r="C377" s="16"/>
      <c r="D377" s="16"/>
      <c r="E377" s="16"/>
      <c r="F377" s="16"/>
      <c r="G377" s="26"/>
      <c r="H377" s="26"/>
      <c r="I377" s="26"/>
      <c r="J377" s="26"/>
      <c r="K377" s="16"/>
      <c r="L377" s="27" t="str">
        <f aca="false">IF(G377="","",G377-H377+I377+IF(K377="N",J377,0))</f>
        <v/>
      </c>
      <c r="M377" s="16"/>
      <c r="N377" s="16"/>
      <c r="O377" s="16"/>
      <c r="P377" s="16"/>
      <c r="Q377" s="16"/>
      <c r="R377" s="16"/>
    </row>
    <row r="378" customFormat="false" ht="15" hidden="false" customHeight="false" outlineLevel="0" collapsed="false">
      <c r="A378" s="25"/>
      <c r="B378" s="16"/>
      <c r="C378" s="16"/>
      <c r="D378" s="16"/>
      <c r="E378" s="16"/>
      <c r="F378" s="16"/>
      <c r="G378" s="26"/>
      <c r="H378" s="26"/>
      <c r="I378" s="26"/>
      <c r="J378" s="26"/>
      <c r="K378" s="16"/>
      <c r="L378" s="27" t="str">
        <f aca="false">IF(G378="","",G378-H378+I378+IF(K378="N",J378,0))</f>
        <v/>
      </c>
      <c r="M378" s="16"/>
      <c r="N378" s="16"/>
      <c r="O378" s="16"/>
      <c r="P378" s="16"/>
      <c r="Q378" s="16"/>
      <c r="R378" s="16"/>
    </row>
    <row r="379" customFormat="false" ht="15" hidden="false" customHeight="false" outlineLevel="0" collapsed="false">
      <c r="A379" s="25"/>
      <c r="B379" s="16"/>
      <c r="C379" s="16"/>
      <c r="D379" s="16"/>
      <c r="E379" s="16"/>
      <c r="F379" s="16"/>
      <c r="G379" s="26"/>
      <c r="H379" s="26"/>
      <c r="I379" s="26"/>
      <c r="J379" s="26"/>
      <c r="K379" s="16"/>
      <c r="L379" s="27" t="str">
        <f aca="false">IF(G379="","",G379-H379+I379+IF(K379="N",J379,0))</f>
        <v/>
      </c>
      <c r="M379" s="16"/>
      <c r="N379" s="16"/>
      <c r="O379" s="16"/>
      <c r="P379" s="16"/>
      <c r="Q379" s="16"/>
      <c r="R379" s="16"/>
    </row>
    <row r="380" customFormat="false" ht="15" hidden="false" customHeight="false" outlineLevel="0" collapsed="false">
      <c r="A380" s="25"/>
      <c r="B380" s="16"/>
      <c r="C380" s="16"/>
      <c r="D380" s="16"/>
      <c r="E380" s="16"/>
      <c r="F380" s="16"/>
      <c r="G380" s="26"/>
      <c r="H380" s="26"/>
      <c r="I380" s="26"/>
      <c r="J380" s="26"/>
      <c r="K380" s="16"/>
      <c r="L380" s="27" t="str">
        <f aca="false">IF(G380="","",G380-H380+I380+IF(K380="N",J380,0))</f>
        <v/>
      </c>
      <c r="M380" s="16"/>
      <c r="N380" s="16"/>
      <c r="O380" s="16"/>
      <c r="P380" s="16"/>
      <c r="Q380" s="16"/>
      <c r="R380" s="16"/>
    </row>
    <row r="381" customFormat="false" ht="15" hidden="false" customHeight="false" outlineLevel="0" collapsed="false">
      <c r="A381" s="25"/>
      <c r="B381" s="16"/>
      <c r="C381" s="16"/>
      <c r="D381" s="16"/>
      <c r="E381" s="16"/>
      <c r="F381" s="16"/>
      <c r="G381" s="26"/>
      <c r="H381" s="26"/>
      <c r="I381" s="26"/>
      <c r="J381" s="26"/>
      <c r="K381" s="16"/>
      <c r="L381" s="27" t="str">
        <f aca="false">IF(G381="","",G381-H381+I381+IF(K381="N",J381,0))</f>
        <v/>
      </c>
      <c r="M381" s="16"/>
      <c r="N381" s="16"/>
      <c r="O381" s="16"/>
      <c r="P381" s="16"/>
      <c r="Q381" s="16"/>
      <c r="R381" s="16"/>
    </row>
    <row r="382" customFormat="false" ht="15" hidden="false" customHeight="false" outlineLevel="0" collapsed="false">
      <c r="A382" s="25"/>
      <c r="B382" s="16"/>
      <c r="C382" s="16"/>
      <c r="D382" s="16"/>
      <c r="E382" s="16"/>
      <c r="F382" s="16"/>
      <c r="G382" s="26"/>
      <c r="H382" s="26"/>
      <c r="I382" s="26"/>
      <c r="J382" s="26"/>
      <c r="K382" s="16"/>
      <c r="L382" s="27" t="str">
        <f aca="false">IF(G382="","",G382-H382+I382+IF(K382="N",J382,0))</f>
        <v/>
      </c>
      <c r="M382" s="16"/>
      <c r="N382" s="16"/>
      <c r="O382" s="16"/>
      <c r="P382" s="16"/>
      <c r="Q382" s="16"/>
      <c r="R382" s="16"/>
    </row>
    <row r="383" customFormat="false" ht="15" hidden="false" customHeight="false" outlineLevel="0" collapsed="false">
      <c r="A383" s="25"/>
      <c r="B383" s="16"/>
      <c r="C383" s="16"/>
      <c r="D383" s="16"/>
      <c r="E383" s="16"/>
      <c r="F383" s="16"/>
      <c r="G383" s="26"/>
      <c r="H383" s="26"/>
      <c r="I383" s="26"/>
      <c r="J383" s="26"/>
      <c r="K383" s="16"/>
      <c r="L383" s="27" t="str">
        <f aca="false">IF(G383="","",G383-H383+I383+IF(K383="N",J383,0))</f>
        <v/>
      </c>
      <c r="M383" s="16"/>
      <c r="N383" s="16"/>
      <c r="O383" s="16"/>
      <c r="P383" s="16"/>
      <c r="Q383" s="16"/>
      <c r="R383" s="16"/>
    </row>
    <row r="384" customFormat="false" ht="15" hidden="false" customHeight="false" outlineLevel="0" collapsed="false">
      <c r="A384" s="25"/>
      <c r="B384" s="16"/>
      <c r="C384" s="16"/>
      <c r="D384" s="16"/>
      <c r="E384" s="16"/>
      <c r="F384" s="16"/>
      <c r="G384" s="26"/>
      <c r="H384" s="26"/>
      <c r="I384" s="26"/>
      <c r="J384" s="26"/>
      <c r="K384" s="16"/>
      <c r="L384" s="27" t="str">
        <f aca="false">IF(G384="","",G384-H384+I384+IF(K384="N",J384,0))</f>
        <v/>
      </c>
      <c r="M384" s="16"/>
      <c r="N384" s="16"/>
      <c r="O384" s="16"/>
      <c r="P384" s="16"/>
      <c r="Q384" s="16"/>
      <c r="R384" s="16"/>
    </row>
    <row r="385" customFormat="false" ht="15" hidden="false" customHeight="false" outlineLevel="0" collapsed="false">
      <c r="A385" s="25"/>
      <c r="B385" s="16"/>
      <c r="C385" s="16"/>
      <c r="D385" s="16"/>
      <c r="E385" s="16"/>
      <c r="F385" s="16"/>
      <c r="G385" s="26"/>
      <c r="H385" s="26"/>
      <c r="I385" s="26"/>
      <c r="J385" s="26"/>
      <c r="K385" s="16"/>
      <c r="L385" s="27" t="str">
        <f aca="false">IF(G385="","",G385-H385+I385+IF(K385="N",J385,0))</f>
        <v/>
      </c>
      <c r="M385" s="16"/>
      <c r="N385" s="16"/>
      <c r="O385" s="16"/>
      <c r="P385" s="16"/>
      <c r="Q385" s="16"/>
      <c r="R385" s="16"/>
    </row>
    <row r="386" customFormat="false" ht="15" hidden="false" customHeight="false" outlineLevel="0" collapsed="false">
      <c r="A386" s="25"/>
      <c r="B386" s="16"/>
      <c r="C386" s="16"/>
      <c r="D386" s="16"/>
      <c r="E386" s="16"/>
      <c r="F386" s="16"/>
      <c r="G386" s="26"/>
      <c r="H386" s="26"/>
      <c r="I386" s="26"/>
      <c r="J386" s="26"/>
      <c r="K386" s="16"/>
      <c r="L386" s="27" t="str">
        <f aca="false">IF(G386="","",G386-H386+I386+IF(K386="N",J386,0))</f>
        <v/>
      </c>
      <c r="M386" s="16"/>
      <c r="N386" s="16"/>
      <c r="O386" s="16"/>
      <c r="P386" s="16"/>
      <c r="Q386" s="16"/>
      <c r="R386" s="16"/>
    </row>
    <row r="387" customFormat="false" ht="15" hidden="false" customHeight="false" outlineLevel="0" collapsed="false">
      <c r="A387" s="25"/>
      <c r="B387" s="16"/>
      <c r="C387" s="16"/>
      <c r="D387" s="16"/>
      <c r="E387" s="16"/>
      <c r="F387" s="16"/>
      <c r="G387" s="26"/>
      <c r="H387" s="26"/>
      <c r="I387" s="26"/>
      <c r="J387" s="26"/>
      <c r="K387" s="16"/>
      <c r="L387" s="27" t="str">
        <f aca="false">IF(G387="","",G387-H387+I387+IF(K387="N",J387,0))</f>
        <v/>
      </c>
      <c r="M387" s="16"/>
      <c r="N387" s="16"/>
      <c r="O387" s="16"/>
      <c r="P387" s="16"/>
      <c r="Q387" s="16"/>
      <c r="R387" s="16"/>
    </row>
    <row r="388" customFormat="false" ht="15" hidden="false" customHeight="false" outlineLevel="0" collapsed="false">
      <c r="A388" s="25"/>
      <c r="B388" s="16"/>
      <c r="C388" s="16"/>
      <c r="D388" s="16"/>
      <c r="E388" s="16"/>
      <c r="F388" s="16"/>
      <c r="G388" s="26"/>
      <c r="H388" s="26"/>
      <c r="I388" s="26"/>
      <c r="J388" s="26"/>
      <c r="K388" s="16"/>
      <c r="L388" s="27" t="str">
        <f aca="false">IF(G388="","",G388-H388+I388+IF(K388="N",J388,0))</f>
        <v/>
      </c>
      <c r="M388" s="16"/>
      <c r="N388" s="16"/>
      <c r="O388" s="16"/>
      <c r="P388" s="16"/>
      <c r="Q388" s="16"/>
      <c r="R388" s="16"/>
    </row>
    <row r="389" customFormat="false" ht="15" hidden="false" customHeight="false" outlineLevel="0" collapsed="false">
      <c r="A389" s="25"/>
      <c r="B389" s="16"/>
      <c r="C389" s="16"/>
      <c r="D389" s="16"/>
      <c r="E389" s="16"/>
      <c r="F389" s="16"/>
      <c r="G389" s="26"/>
      <c r="H389" s="26"/>
      <c r="I389" s="26"/>
      <c r="J389" s="26"/>
      <c r="K389" s="16"/>
      <c r="L389" s="27" t="str">
        <f aca="false">IF(G389="","",G389-H389+I389+IF(K389="N",J389,0))</f>
        <v/>
      </c>
      <c r="M389" s="16"/>
      <c r="N389" s="16"/>
      <c r="O389" s="16"/>
      <c r="P389" s="16"/>
      <c r="Q389" s="16"/>
      <c r="R389" s="16"/>
    </row>
    <row r="390" customFormat="false" ht="15" hidden="false" customHeight="false" outlineLevel="0" collapsed="false">
      <c r="A390" s="25"/>
      <c r="B390" s="16"/>
      <c r="C390" s="16"/>
      <c r="D390" s="16"/>
      <c r="E390" s="16"/>
      <c r="F390" s="16"/>
      <c r="G390" s="26"/>
      <c r="H390" s="26"/>
      <c r="I390" s="26"/>
      <c r="J390" s="26"/>
      <c r="K390" s="16"/>
      <c r="L390" s="27" t="str">
        <f aca="false">IF(G390="","",G390-H390+I390+IF(K390="N",J390,0))</f>
        <v/>
      </c>
      <c r="M390" s="16"/>
      <c r="N390" s="16"/>
      <c r="O390" s="16"/>
      <c r="P390" s="16"/>
      <c r="Q390" s="16"/>
      <c r="R390" s="16"/>
    </row>
    <row r="391" customFormat="false" ht="15" hidden="false" customHeight="false" outlineLevel="0" collapsed="false">
      <c r="A391" s="25"/>
      <c r="B391" s="16"/>
      <c r="C391" s="16"/>
      <c r="D391" s="16"/>
      <c r="E391" s="16"/>
      <c r="F391" s="16"/>
      <c r="G391" s="26"/>
      <c r="H391" s="26"/>
      <c r="I391" s="26"/>
      <c r="J391" s="26"/>
      <c r="K391" s="16"/>
      <c r="L391" s="27" t="str">
        <f aca="false">IF(G391="","",G391-H391+I391+IF(K391="N",J391,0))</f>
        <v/>
      </c>
      <c r="M391" s="16"/>
      <c r="N391" s="16"/>
      <c r="O391" s="16"/>
      <c r="P391" s="16"/>
      <c r="Q391" s="16"/>
      <c r="R391" s="16"/>
    </row>
    <row r="392" customFormat="false" ht="15" hidden="false" customHeight="false" outlineLevel="0" collapsed="false">
      <c r="A392" s="25"/>
      <c r="B392" s="16"/>
      <c r="C392" s="16"/>
      <c r="D392" s="16"/>
      <c r="E392" s="16"/>
      <c r="F392" s="16"/>
      <c r="G392" s="26"/>
      <c r="H392" s="26"/>
      <c r="I392" s="26"/>
      <c r="J392" s="26"/>
      <c r="K392" s="16"/>
      <c r="L392" s="27" t="str">
        <f aca="false">IF(G392="","",G392-H392+I392+IF(K392="N",J392,0))</f>
        <v/>
      </c>
      <c r="M392" s="16"/>
      <c r="N392" s="16"/>
      <c r="O392" s="16"/>
      <c r="P392" s="16"/>
      <c r="Q392" s="16"/>
      <c r="R392" s="16"/>
    </row>
    <row r="393" customFormat="false" ht="15" hidden="false" customHeight="false" outlineLevel="0" collapsed="false">
      <c r="A393" s="25"/>
      <c r="B393" s="16"/>
      <c r="C393" s="16"/>
      <c r="D393" s="16"/>
      <c r="E393" s="16"/>
      <c r="F393" s="16"/>
      <c r="G393" s="26"/>
      <c r="H393" s="26"/>
      <c r="I393" s="26"/>
      <c r="J393" s="26"/>
      <c r="K393" s="16"/>
      <c r="L393" s="27" t="str">
        <f aca="false">IF(G393="","",G393-H393+I393+IF(K393="N",J393,0))</f>
        <v/>
      </c>
      <c r="M393" s="16"/>
      <c r="N393" s="16"/>
      <c r="O393" s="16"/>
      <c r="P393" s="16"/>
      <c r="Q393" s="16"/>
      <c r="R393" s="16"/>
    </row>
    <row r="394" customFormat="false" ht="15" hidden="false" customHeight="false" outlineLevel="0" collapsed="false">
      <c r="A394" s="25"/>
      <c r="B394" s="16"/>
      <c r="C394" s="16"/>
      <c r="D394" s="16"/>
      <c r="E394" s="16"/>
      <c r="F394" s="16"/>
      <c r="G394" s="26"/>
      <c r="H394" s="26"/>
      <c r="I394" s="26"/>
      <c r="J394" s="26"/>
      <c r="K394" s="16"/>
      <c r="L394" s="27" t="str">
        <f aca="false">IF(G394="","",G394-H394+I394+IF(K394="N",J394,0))</f>
        <v/>
      </c>
      <c r="M394" s="16"/>
      <c r="N394" s="16"/>
      <c r="O394" s="16"/>
      <c r="P394" s="16"/>
      <c r="Q394" s="16"/>
      <c r="R394" s="16"/>
    </row>
    <row r="395" customFormat="false" ht="15" hidden="false" customHeight="false" outlineLevel="0" collapsed="false">
      <c r="A395" s="25"/>
      <c r="B395" s="16"/>
      <c r="C395" s="16"/>
      <c r="D395" s="16"/>
      <c r="E395" s="16"/>
      <c r="F395" s="16"/>
      <c r="G395" s="26"/>
      <c r="H395" s="26"/>
      <c r="I395" s="26"/>
      <c r="J395" s="26"/>
      <c r="K395" s="16"/>
      <c r="L395" s="27" t="str">
        <f aca="false">IF(G395="","",G395-H395+I395+IF(K395="N",J395,0))</f>
        <v/>
      </c>
      <c r="M395" s="16"/>
      <c r="N395" s="16"/>
      <c r="O395" s="16"/>
      <c r="P395" s="16"/>
      <c r="Q395" s="16"/>
      <c r="R395" s="16"/>
    </row>
    <row r="396" customFormat="false" ht="15" hidden="false" customHeight="false" outlineLevel="0" collapsed="false">
      <c r="A396" s="25"/>
      <c r="B396" s="16"/>
      <c r="C396" s="16"/>
      <c r="D396" s="16"/>
      <c r="E396" s="16"/>
      <c r="F396" s="16"/>
      <c r="G396" s="26"/>
      <c r="H396" s="26"/>
      <c r="I396" s="26"/>
      <c r="J396" s="26"/>
      <c r="K396" s="16"/>
      <c r="L396" s="27" t="str">
        <f aca="false">IF(G396="","",G396-H396+I396+IF(K396="N",J396,0))</f>
        <v/>
      </c>
      <c r="M396" s="16"/>
      <c r="N396" s="16"/>
      <c r="O396" s="16"/>
      <c r="P396" s="16"/>
      <c r="Q396" s="16"/>
      <c r="R396" s="16"/>
    </row>
    <row r="397" customFormat="false" ht="15" hidden="false" customHeight="false" outlineLevel="0" collapsed="false">
      <c r="A397" s="25"/>
      <c r="B397" s="16"/>
      <c r="C397" s="16"/>
      <c r="D397" s="16"/>
      <c r="E397" s="16"/>
      <c r="F397" s="16"/>
      <c r="G397" s="26"/>
      <c r="H397" s="26"/>
      <c r="I397" s="26"/>
      <c r="J397" s="26"/>
      <c r="K397" s="16"/>
      <c r="L397" s="27" t="str">
        <f aca="false">IF(G397="","",G397-H397+I397+IF(K397="N",J397,0))</f>
        <v/>
      </c>
      <c r="M397" s="16"/>
      <c r="N397" s="16"/>
      <c r="O397" s="16"/>
      <c r="P397" s="16"/>
      <c r="Q397" s="16"/>
      <c r="R397" s="16"/>
    </row>
    <row r="398" customFormat="false" ht="15" hidden="false" customHeight="false" outlineLevel="0" collapsed="false">
      <c r="A398" s="25"/>
      <c r="B398" s="16"/>
      <c r="C398" s="16"/>
      <c r="D398" s="16"/>
      <c r="E398" s="16"/>
      <c r="F398" s="16"/>
      <c r="G398" s="26"/>
      <c r="H398" s="26"/>
      <c r="I398" s="26"/>
      <c r="J398" s="26"/>
      <c r="K398" s="16"/>
      <c r="L398" s="27" t="str">
        <f aca="false">IF(G398="","",G398-H398+I398+IF(K398="N",J398,0))</f>
        <v/>
      </c>
      <c r="M398" s="16"/>
      <c r="N398" s="16"/>
      <c r="O398" s="16"/>
      <c r="P398" s="16"/>
      <c r="Q398" s="16"/>
      <c r="R398" s="16"/>
    </row>
    <row r="399" customFormat="false" ht="15" hidden="false" customHeight="false" outlineLevel="0" collapsed="false">
      <c r="A399" s="25"/>
      <c r="B399" s="16"/>
      <c r="C399" s="16"/>
      <c r="D399" s="16"/>
      <c r="E399" s="16"/>
      <c r="F399" s="16"/>
      <c r="G399" s="26"/>
      <c r="H399" s="26"/>
      <c r="I399" s="26"/>
      <c r="J399" s="26"/>
      <c r="K399" s="16"/>
      <c r="L399" s="27" t="str">
        <f aca="false">IF(G399="","",G399-H399+I399+IF(K399="N",J399,0))</f>
        <v/>
      </c>
      <c r="M399" s="16"/>
      <c r="N399" s="16"/>
      <c r="O399" s="16"/>
      <c r="P399" s="16"/>
      <c r="Q399" s="16"/>
      <c r="R399" s="16"/>
    </row>
    <row r="400" customFormat="false" ht="15" hidden="false" customHeight="false" outlineLevel="0" collapsed="false">
      <c r="A400" s="25"/>
      <c r="B400" s="16"/>
      <c r="C400" s="16"/>
      <c r="D400" s="16"/>
      <c r="E400" s="16"/>
      <c r="F400" s="16"/>
      <c r="G400" s="26"/>
      <c r="H400" s="26"/>
      <c r="I400" s="26"/>
      <c r="J400" s="26"/>
      <c r="K400" s="16"/>
      <c r="L400" s="27" t="str">
        <f aca="false">IF(G400="","",G400-H400+I400+IF(K400="N",J400,0))</f>
        <v/>
      </c>
      <c r="M400" s="16"/>
      <c r="N400" s="16"/>
      <c r="O400" s="16"/>
      <c r="P400" s="16"/>
      <c r="Q400" s="16"/>
      <c r="R400" s="16"/>
    </row>
    <row r="401" customFormat="false" ht="15" hidden="false" customHeight="false" outlineLevel="0" collapsed="false">
      <c r="A401" s="25"/>
      <c r="B401" s="16"/>
      <c r="C401" s="16"/>
      <c r="D401" s="16"/>
      <c r="E401" s="16"/>
      <c r="F401" s="16"/>
      <c r="G401" s="26"/>
      <c r="H401" s="26"/>
      <c r="I401" s="26"/>
      <c r="J401" s="26"/>
      <c r="K401" s="16"/>
      <c r="L401" s="27" t="str">
        <f aca="false">IF(G401="","",G401-H401+I401+IF(K401="N",J401,0))</f>
        <v/>
      </c>
      <c r="M401" s="16"/>
      <c r="N401" s="16"/>
      <c r="O401" s="16"/>
      <c r="P401" s="16"/>
      <c r="Q401" s="16"/>
      <c r="R401" s="16"/>
    </row>
    <row r="402" customFormat="false" ht="15" hidden="false" customHeight="false" outlineLevel="0" collapsed="false">
      <c r="A402" s="25"/>
      <c r="B402" s="16"/>
      <c r="C402" s="16"/>
      <c r="D402" s="16"/>
      <c r="E402" s="16"/>
      <c r="F402" s="16"/>
      <c r="G402" s="26"/>
      <c r="H402" s="26"/>
      <c r="I402" s="26"/>
      <c r="J402" s="26"/>
      <c r="K402" s="16"/>
      <c r="L402" s="27" t="str">
        <f aca="false">IF(G402="","",G402-H402+I402+IF(K402="N",J402,0))</f>
        <v/>
      </c>
      <c r="M402" s="16"/>
      <c r="N402" s="16"/>
      <c r="O402" s="16"/>
      <c r="P402" s="16"/>
      <c r="Q402" s="16"/>
      <c r="R402" s="16"/>
    </row>
    <row r="403" customFormat="false" ht="15" hidden="false" customHeight="false" outlineLevel="0" collapsed="false">
      <c r="A403" s="25"/>
      <c r="B403" s="16"/>
      <c r="C403" s="16"/>
      <c r="D403" s="16"/>
      <c r="E403" s="16"/>
      <c r="F403" s="16"/>
      <c r="G403" s="26"/>
      <c r="H403" s="26"/>
      <c r="I403" s="26"/>
      <c r="J403" s="26"/>
      <c r="K403" s="16"/>
      <c r="L403" s="27" t="str">
        <f aca="false">IF(G403="","",G403-H403+I403+IF(K403="N",J403,0))</f>
        <v/>
      </c>
      <c r="M403" s="16"/>
      <c r="N403" s="16"/>
      <c r="O403" s="16"/>
      <c r="P403" s="16"/>
      <c r="Q403" s="16"/>
      <c r="R403" s="16"/>
    </row>
    <row r="404" customFormat="false" ht="15" hidden="false" customHeight="false" outlineLevel="0" collapsed="false">
      <c r="A404" s="25"/>
      <c r="B404" s="16"/>
      <c r="C404" s="16"/>
      <c r="D404" s="16"/>
      <c r="E404" s="16"/>
      <c r="F404" s="16"/>
      <c r="G404" s="26"/>
      <c r="H404" s="26"/>
      <c r="I404" s="26"/>
      <c r="J404" s="26"/>
      <c r="K404" s="16"/>
      <c r="L404" s="27" t="str">
        <f aca="false">IF(G404="","",G404-H404+I404+IF(K404="N",J404,0))</f>
        <v/>
      </c>
      <c r="M404" s="16"/>
      <c r="N404" s="16"/>
      <c r="O404" s="16"/>
      <c r="P404" s="16"/>
      <c r="Q404" s="16"/>
      <c r="R404" s="16"/>
    </row>
    <row r="405" customFormat="false" ht="15" hidden="false" customHeight="false" outlineLevel="0" collapsed="false">
      <c r="A405" s="25"/>
      <c r="B405" s="16"/>
      <c r="C405" s="16"/>
      <c r="D405" s="16"/>
      <c r="E405" s="16"/>
      <c r="F405" s="16"/>
      <c r="G405" s="26"/>
      <c r="H405" s="26"/>
      <c r="I405" s="26"/>
      <c r="J405" s="26"/>
      <c r="K405" s="16"/>
      <c r="L405" s="27" t="str">
        <f aca="false">IF(G405="","",G405-H405+I405+IF(K405="N",J405,0))</f>
        <v/>
      </c>
      <c r="M405" s="16"/>
      <c r="N405" s="16"/>
      <c r="O405" s="16"/>
      <c r="P405" s="16"/>
      <c r="Q405" s="16"/>
      <c r="R405" s="16"/>
    </row>
    <row r="406" customFormat="false" ht="15" hidden="false" customHeight="false" outlineLevel="0" collapsed="false">
      <c r="A406" s="25"/>
      <c r="B406" s="16"/>
      <c r="C406" s="16"/>
      <c r="D406" s="16"/>
      <c r="E406" s="16"/>
      <c r="F406" s="16"/>
      <c r="G406" s="26"/>
      <c r="H406" s="26"/>
      <c r="I406" s="26"/>
      <c r="J406" s="26"/>
      <c r="K406" s="16"/>
      <c r="L406" s="27" t="str">
        <f aca="false">IF(G406="","",G406-H406+I406+IF(K406="N",J406,0))</f>
        <v/>
      </c>
      <c r="M406" s="16"/>
      <c r="N406" s="16"/>
      <c r="O406" s="16"/>
      <c r="P406" s="16"/>
      <c r="Q406" s="16"/>
      <c r="R406" s="16"/>
    </row>
    <row r="407" customFormat="false" ht="15" hidden="false" customHeight="false" outlineLevel="0" collapsed="false">
      <c r="A407" s="25"/>
      <c r="B407" s="16"/>
      <c r="C407" s="16"/>
      <c r="D407" s="16"/>
      <c r="E407" s="16"/>
      <c r="F407" s="16"/>
      <c r="G407" s="26"/>
      <c r="H407" s="26"/>
      <c r="I407" s="26"/>
      <c r="J407" s="26"/>
      <c r="K407" s="16"/>
      <c r="L407" s="27" t="str">
        <f aca="false">IF(G407="","",G407-H407+I407+IF(K407="N",J407,0))</f>
        <v/>
      </c>
      <c r="M407" s="16"/>
      <c r="N407" s="16"/>
      <c r="O407" s="16"/>
      <c r="P407" s="16"/>
      <c r="Q407" s="16"/>
      <c r="R407" s="16"/>
    </row>
    <row r="408" customFormat="false" ht="15" hidden="false" customHeight="false" outlineLevel="0" collapsed="false">
      <c r="A408" s="25"/>
      <c r="B408" s="16"/>
      <c r="C408" s="16"/>
      <c r="D408" s="16"/>
      <c r="E408" s="16"/>
      <c r="F408" s="16"/>
      <c r="G408" s="26"/>
      <c r="H408" s="26"/>
      <c r="I408" s="26"/>
      <c r="J408" s="26"/>
      <c r="K408" s="16"/>
      <c r="L408" s="27" t="str">
        <f aca="false">IF(G408="","",G408-H408+I408+IF(K408="N",J408,0))</f>
        <v/>
      </c>
      <c r="M408" s="16"/>
      <c r="N408" s="16"/>
      <c r="O408" s="16"/>
      <c r="P408" s="16"/>
      <c r="Q408" s="16"/>
      <c r="R408" s="16"/>
    </row>
    <row r="409" customFormat="false" ht="15" hidden="false" customHeight="false" outlineLevel="0" collapsed="false">
      <c r="A409" s="25"/>
      <c r="B409" s="16"/>
      <c r="C409" s="16"/>
      <c r="D409" s="16"/>
      <c r="E409" s="16"/>
      <c r="F409" s="16"/>
      <c r="G409" s="26"/>
      <c r="H409" s="26"/>
      <c r="I409" s="26"/>
      <c r="J409" s="26"/>
      <c r="K409" s="16"/>
      <c r="L409" s="27" t="str">
        <f aca="false">IF(G409="","",G409-H409+I409+IF(K409="N",J409,0))</f>
        <v/>
      </c>
      <c r="M409" s="16"/>
      <c r="N409" s="16"/>
      <c r="O409" s="16"/>
      <c r="P409" s="16"/>
      <c r="Q409" s="16"/>
      <c r="R409" s="16"/>
    </row>
    <row r="410" customFormat="false" ht="15" hidden="false" customHeight="false" outlineLevel="0" collapsed="false">
      <c r="A410" s="25"/>
      <c r="B410" s="16"/>
      <c r="C410" s="16"/>
      <c r="D410" s="16"/>
      <c r="E410" s="16"/>
      <c r="F410" s="16"/>
      <c r="G410" s="26"/>
      <c r="H410" s="26"/>
      <c r="I410" s="26"/>
      <c r="J410" s="26"/>
      <c r="K410" s="16"/>
      <c r="L410" s="27" t="str">
        <f aca="false">IF(G410="","",G410-H410+I410+IF(K410="N",J410,0))</f>
        <v/>
      </c>
      <c r="M410" s="16"/>
      <c r="N410" s="16"/>
      <c r="O410" s="16"/>
      <c r="P410" s="16"/>
      <c r="Q410" s="16"/>
      <c r="R410" s="16"/>
    </row>
    <row r="411" customFormat="false" ht="15" hidden="false" customHeight="false" outlineLevel="0" collapsed="false">
      <c r="A411" s="25"/>
      <c r="B411" s="16"/>
      <c r="C411" s="16"/>
      <c r="D411" s="16"/>
      <c r="E411" s="16"/>
      <c r="F411" s="16"/>
      <c r="G411" s="26"/>
      <c r="H411" s="26"/>
      <c r="I411" s="26"/>
      <c r="J411" s="26"/>
      <c r="K411" s="16"/>
      <c r="L411" s="27" t="str">
        <f aca="false">IF(G411="","",G411-H411+I411+IF(K411="N",J411,0))</f>
        <v/>
      </c>
      <c r="M411" s="16"/>
      <c r="N411" s="16"/>
      <c r="O411" s="16"/>
      <c r="P411" s="16"/>
      <c r="Q411" s="16"/>
      <c r="R411" s="16"/>
    </row>
    <row r="412" customFormat="false" ht="15" hidden="false" customHeight="false" outlineLevel="0" collapsed="false">
      <c r="A412" s="25"/>
      <c r="B412" s="16"/>
      <c r="C412" s="16"/>
      <c r="D412" s="16"/>
      <c r="E412" s="16"/>
      <c r="F412" s="16"/>
      <c r="G412" s="26"/>
      <c r="H412" s="26"/>
      <c r="I412" s="26"/>
      <c r="J412" s="26"/>
      <c r="K412" s="16"/>
      <c r="L412" s="27" t="str">
        <f aca="false">IF(G412="","",G412-H412+I412+IF(K412="N",J412,0))</f>
        <v/>
      </c>
      <c r="M412" s="16"/>
      <c r="N412" s="16"/>
      <c r="O412" s="16"/>
      <c r="P412" s="16"/>
      <c r="Q412" s="16"/>
      <c r="R412" s="16"/>
    </row>
    <row r="413" customFormat="false" ht="15" hidden="false" customHeight="false" outlineLevel="0" collapsed="false">
      <c r="A413" s="25"/>
      <c r="B413" s="16"/>
      <c r="C413" s="16"/>
      <c r="D413" s="16"/>
      <c r="E413" s="16"/>
      <c r="F413" s="16"/>
      <c r="G413" s="26"/>
      <c r="H413" s="26"/>
      <c r="I413" s="26"/>
      <c r="J413" s="26"/>
      <c r="K413" s="16"/>
      <c r="L413" s="27" t="str">
        <f aca="false">IF(G413="","",G413-H413+I413+IF(K413="N",J413,0))</f>
        <v/>
      </c>
      <c r="M413" s="16"/>
      <c r="N413" s="16"/>
      <c r="O413" s="16"/>
      <c r="P413" s="16"/>
      <c r="Q413" s="16"/>
      <c r="R413" s="16"/>
    </row>
    <row r="414" customFormat="false" ht="15" hidden="false" customHeight="false" outlineLevel="0" collapsed="false">
      <c r="A414" s="25"/>
      <c r="B414" s="16"/>
      <c r="C414" s="16"/>
      <c r="D414" s="16"/>
      <c r="E414" s="16"/>
      <c r="F414" s="16"/>
      <c r="G414" s="26"/>
      <c r="H414" s="26"/>
      <c r="I414" s="26"/>
      <c r="J414" s="26"/>
      <c r="K414" s="16"/>
      <c r="L414" s="27" t="str">
        <f aca="false">IF(G414="","",G414-H414+I414+IF(K414="N",J414,0))</f>
        <v/>
      </c>
      <c r="M414" s="16"/>
      <c r="N414" s="16"/>
      <c r="O414" s="16"/>
      <c r="P414" s="16"/>
      <c r="Q414" s="16"/>
      <c r="R414" s="16"/>
    </row>
    <row r="415" customFormat="false" ht="15" hidden="false" customHeight="false" outlineLevel="0" collapsed="false">
      <c r="A415" s="25"/>
      <c r="B415" s="16"/>
      <c r="C415" s="16"/>
      <c r="D415" s="16"/>
      <c r="E415" s="16"/>
      <c r="F415" s="16"/>
      <c r="G415" s="26"/>
      <c r="H415" s="26"/>
      <c r="I415" s="26"/>
      <c r="J415" s="26"/>
      <c r="K415" s="16"/>
      <c r="L415" s="27" t="str">
        <f aca="false">IF(G415="","",G415-H415+I415+IF(K415="N",J415,0))</f>
        <v/>
      </c>
      <c r="M415" s="16"/>
      <c r="N415" s="16"/>
      <c r="O415" s="16"/>
      <c r="P415" s="16"/>
      <c r="Q415" s="16"/>
      <c r="R415" s="16"/>
    </row>
    <row r="416" customFormat="false" ht="15" hidden="false" customHeight="false" outlineLevel="0" collapsed="false">
      <c r="A416" s="25"/>
      <c r="B416" s="16"/>
      <c r="C416" s="16"/>
      <c r="D416" s="16"/>
      <c r="E416" s="16"/>
      <c r="F416" s="16"/>
      <c r="G416" s="26"/>
      <c r="H416" s="26"/>
      <c r="I416" s="26"/>
      <c r="J416" s="26"/>
      <c r="K416" s="16"/>
      <c r="L416" s="27" t="str">
        <f aca="false">IF(G416="","",G416-H416+I416+IF(K416="N",J416,0))</f>
        <v/>
      </c>
      <c r="M416" s="16"/>
      <c r="N416" s="16"/>
      <c r="O416" s="16"/>
      <c r="P416" s="16"/>
      <c r="Q416" s="16"/>
      <c r="R416" s="16"/>
    </row>
    <row r="417" customFormat="false" ht="15" hidden="false" customHeight="false" outlineLevel="0" collapsed="false">
      <c r="A417" s="25"/>
      <c r="B417" s="16"/>
      <c r="C417" s="16"/>
      <c r="D417" s="16"/>
      <c r="E417" s="16"/>
      <c r="F417" s="16"/>
      <c r="G417" s="26"/>
      <c r="H417" s="26"/>
      <c r="I417" s="26"/>
      <c r="J417" s="26"/>
      <c r="K417" s="16"/>
      <c r="L417" s="27" t="str">
        <f aca="false">IF(G417="","",G417-H417+I417+IF(K417="N",J417,0))</f>
        <v/>
      </c>
      <c r="M417" s="16"/>
      <c r="N417" s="16"/>
      <c r="O417" s="16"/>
      <c r="P417" s="16"/>
      <c r="Q417" s="16"/>
      <c r="R417" s="16"/>
    </row>
    <row r="418" customFormat="false" ht="15" hidden="false" customHeight="false" outlineLevel="0" collapsed="false">
      <c r="A418" s="25"/>
      <c r="B418" s="16"/>
      <c r="C418" s="16"/>
      <c r="D418" s="16"/>
      <c r="E418" s="16"/>
      <c r="F418" s="16"/>
      <c r="G418" s="26"/>
      <c r="H418" s="26"/>
      <c r="I418" s="26"/>
      <c r="J418" s="26"/>
      <c r="K418" s="16"/>
      <c r="L418" s="27" t="str">
        <f aca="false">IF(G418="","",G418-H418+I418+IF(K418="N",J418,0))</f>
        <v/>
      </c>
      <c r="M418" s="16"/>
      <c r="N418" s="16"/>
      <c r="O418" s="16"/>
      <c r="P418" s="16"/>
      <c r="Q418" s="16"/>
      <c r="R418" s="16"/>
    </row>
    <row r="419" customFormat="false" ht="15" hidden="false" customHeight="false" outlineLevel="0" collapsed="false">
      <c r="A419" s="25"/>
      <c r="B419" s="16"/>
      <c r="C419" s="16"/>
      <c r="D419" s="16"/>
      <c r="E419" s="16"/>
      <c r="F419" s="16"/>
      <c r="G419" s="26"/>
      <c r="H419" s="26"/>
      <c r="I419" s="26"/>
      <c r="J419" s="26"/>
      <c r="K419" s="16"/>
      <c r="L419" s="27" t="str">
        <f aca="false">IF(G419="","",G419-H419+I419+IF(K419="N",J419,0))</f>
        <v/>
      </c>
      <c r="M419" s="16"/>
      <c r="N419" s="16"/>
      <c r="O419" s="16"/>
      <c r="P419" s="16"/>
      <c r="Q419" s="16"/>
      <c r="R419" s="16"/>
    </row>
    <row r="420" customFormat="false" ht="15" hidden="false" customHeight="false" outlineLevel="0" collapsed="false">
      <c r="A420" s="25"/>
      <c r="B420" s="16"/>
      <c r="C420" s="16"/>
      <c r="D420" s="16"/>
      <c r="E420" s="16"/>
      <c r="F420" s="16"/>
      <c r="G420" s="26"/>
      <c r="H420" s="26"/>
      <c r="I420" s="26"/>
      <c r="J420" s="26"/>
      <c r="K420" s="16"/>
      <c r="L420" s="27" t="str">
        <f aca="false">IF(G420="","",G420-H420+I420+IF(K420="N",J420,0))</f>
        <v/>
      </c>
      <c r="M420" s="16"/>
      <c r="N420" s="16"/>
      <c r="O420" s="16"/>
      <c r="P420" s="16"/>
      <c r="Q420" s="16"/>
      <c r="R420" s="16"/>
    </row>
    <row r="421" customFormat="false" ht="15" hidden="false" customHeight="false" outlineLevel="0" collapsed="false">
      <c r="A421" s="25"/>
      <c r="B421" s="16"/>
      <c r="C421" s="16"/>
      <c r="D421" s="16"/>
      <c r="E421" s="16"/>
      <c r="F421" s="16"/>
      <c r="G421" s="26"/>
      <c r="H421" s="26"/>
      <c r="I421" s="26"/>
      <c r="J421" s="26"/>
      <c r="K421" s="16"/>
      <c r="L421" s="27" t="str">
        <f aca="false">IF(G421="","",G421-H421+I421+IF(K421="N",J421,0))</f>
        <v/>
      </c>
      <c r="M421" s="16"/>
      <c r="N421" s="16"/>
      <c r="O421" s="16"/>
      <c r="P421" s="16"/>
      <c r="Q421" s="16"/>
      <c r="R421" s="16"/>
    </row>
    <row r="422" customFormat="false" ht="15" hidden="false" customHeight="false" outlineLevel="0" collapsed="false">
      <c r="A422" s="25"/>
      <c r="B422" s="16"/>
      <c r="C422" s="16"/>
      <c r="D422" s="16"/>
      <c r="E422" s="16"/>
      <c r="F422" s="16"/>
      <c r="G422" s="26"/>
      <c r="H422" s="26"/>
      <c r="I422" s="26"/>
      <c r="J422" s="26"/>
      <c r="K422" s="16"/>
      <c r="L422" s="27" t="str">
        <f aca="false">IF(G422="","",G422-H422+I422+IF(K422="N",J422,0))</f>
        <v/>
      </c>
      <c r="M422" s="16"/>
      <c r="N422" s="16"/>
      <c r="O422" s="16"/>
      <c r="P422" s="16"/>
      <c r="Q422" s="16"/>
      <c r="R422" s="16"/>
    </row>
    <row r="423" customFormat="false" ht="15" hidden="false" customHeight="false" outlineLevel="0" collapsed="false">
      <c r="A423" s="25"/>
      <c r="B423" s="16"/>
      <c r="C423" s="16"/>
      <c r="D423" s="16"/>
      <c r="E423" s="16"/>
      <c r="F423" s="16"/>
      <c r="G423" s="26"/>
      <c r="H423" s="26"/>
      <c r="I423" s="26"/>
      <c r="J423" s="26"/>
      <c r="K423" s="16"/>
      <c r="L423" s="27" t="str">
        <f aca="false">IF(G423="","",G423-H423+I423+IF(K423="N",J423,0))</f>
        <v/>
      </c>
      <c r="M423" s="16"/>
      <c r="N423" s="16"/>
      <c r="O423" s="16"/>
      <c r="P423" s="16"/>
      <c r="Q423" s="16"/>
      <c r="R423" s="16"/>
    </row>
    <row r="424" customFormat="false" ht="15" hidden="false" customHeight="false" outlineLevel="0" collapsed="false">
      <c r="A424" s="25"/>
      <c r="B424" s="16"/>
      <c r="C424" s="16"/>
      <c r="D424" s="16"/>
      <c r="E424" s="16"/>
      <c r="F424" s="16"/>
      <c r="G424" s="26"/>
      <c r="H424" s="26"/>
      <c r="I424" s="26"/>
      <c r="J424" s="26"/>
      <c r="K424" s="16"/>
      <c r="L424" s="27" t="str">
        <f aca="false">IF(G424="","",G424-H424+I424+IF(K424="N",J424,0))</f>
        <v/>
      </c>
      <c r="M424" s="16"/>
      <c r="N424" s="16"/>
      <c r="O424" s="16"/>
      <c r="P424" s="16"/>
      <c r="Q424" s="16"/>
      <c r="R424" s="16"/>
    </row>
    <row r="425" customFormat="false" ht="15" hidden="false" customHeight="false" outlineLevel="0" collapsed="false">
      <c r="A425" s="25"/>
      <c r="B425" s="16"/>
      <c r="C425" s="16"/>
      <c r="D425" s="16"/>
      <c r="E425" s="16"/>
      <c r="F425" s="16"/>
      <c r="G425" s="26"/>
      <c r="H425" s="26"/>
      <c r="I425" s="26"/>
      <c r="J425" s="26"/>
      <c r="K425" s="16"/>
      <c r="L425" s="27" t="str">
        <f aca="false">IF(G425="","",G425-H425+I425+IF(K425="N",J425,0))</f>
        <v/>
      </c>
      <c r="M425" s="16"/>
      <c r="N425" s="16"/>
      <c r="O425" s="16"/>
      <c r="P425" s="16"/>
      <c r="Q425" s="16"/>
      <c r="R425" s="16"/>
    </row>
    <row r="426" customFormat="false" ht="15" hidden="false" customHeight="false" outlineLevel="0" collapsed="false">
      <c r="A426" s="25"/>
      <c r="B426" s="16"/>
      <c r="C426" s="16"/>
      <c r="D426" s="16"/>
      <c r="E426" s="16"/>
      <c r="F426" s="16"/>
      <c r="G426" s="26"/>
      <c r="H426" s="26"/>
      <c r="I426" s="26"/>
      <c r="J426" s="26"/>
      <c r="K426" s="16"/>
      <c r="L426" s="27" t="str">
        <f aca="false">IF(G426="","",G426-H426+I426+IF(K426="N",J426,0))</f>
        <v/>
      </c>
      <c r="M426" s="16"/>
      <c r="N426" s="16"/>
      <c r="O426" s="16"/>
      <c r="P426" s="16"/>
      <c r="Q426" s="16"/>
      <c r="R426" s="16"/>
    </row>
    <row r="427" customFormat="false" ht="15" hidden="false" customHeight="false" outlineLevel="0" collapsed="false">
      <c r="A427" s="25"/>
      <c r="B427" s="16"/>
      <c r="C427" s="16"/>
      <c r="D427" s="16"/>
      <c r="E427" s="16"/>
      <c r="F427" s="16"/>
      <c r="G427" s="26"/>
      <c r="H427" s="26"/>
      <c r="I427" s="26"/>
      <c r="J427" s="26"/>
      <c r="K427" s="16"/>
      <c r="L427" s="27" t="str">
        <f aca="false">IF(G427="","",G427-H427+I427+IF(K427="N",J427,0))</f>
        <v/>
      </c>
      <c r="M427" s="16"/>
      <c r="N427" s="16"/>
      <c r="O427" s="16"/>
      <c r="P427" s="16"/>
      <c r="Q427" s="16"/>
      <c r="R427" s="16"/>
    </row>
    <row r="428" customFormat="false" ht="15" hidden="false" customHeight="false" outlineLevel="0" collapsed="false">
      <c r="A428" s="25"/>
      <c r="B428" s="16"/>
      <c r="C428" s="16"/>
      <c r="D428" s="16"/>
      <c r="E428" s="16"/>
      <c r="F428" s="16"/>
      <c r="G428" s="26"/>
      <c r="H428" s="26"/>
      <c r="I428" s="26"/>
      <c r="J428" s="26"/>
      <c r="K428" s="16"/>
      <c r="L428" s="27" t="str">
        <f aca="false">IF(G428="","",G428-H428+I428+IF(K428="N",J428,0))</f>
        <v/>
      </c>
      <c r="M428" s="16"/>
      <c r="N428" s="16"/>
      <c r="O428" s="16"/>
      <c r="P428" s="16"/>
      <c r="Q428" s="16"/>
      <c r="R428" s="16"/>
    </row>
    <row r="429" customFormat="false" ht="15" hidden="false" customHeight="false" outlineLevel="0" collapsed="false">
      <c r="A429" s="25"/>
      <c r="B429" s="16"/>
      <c r="C429" s="16"/>
      <c r="D429" s="16"/>
      <c r="E429" s="16"/>
      <c r="F429" s="16"/>
      <c r="G429" s="26"/>
      <c r="H429" s="26"/>
      <c r="I429" s="26"/>
      <c r="J429" s="26"/>
      <c r="K429" s="16"/>
      <c r="L429" s="27" t="str">
        <f aca="false">IF(G429="","",G429-H429+I429+IF(K429="N",J429,0))</f>
        <v/>
      </c>
      <c r="M429" s="16"/>
      <c r="N429" s="16"/>
      <c r="O429" s="16"/>
      <c r="P429" s="16"/>
      <c r="Q429" s="16"/>
      <c r="R429" s="16"/>
    </row>
    <row r="430" customFormat="false" ht="15" hidden="false" customHeight="false" outlineLevel="0" collapsed="false">
      <c r="A430" s="25"/>
      <c r="B430" s="16"/>
      <c r="C430" s="16"/>
      <c r="D430" s="16"/>
      <c r="E430" s="16"/>
      <c r="F430" s="16"/>
      <c r="G430" s="26"/>
      <c r="H430" s="26"/>
      <c r="I430" s="26"/>
      <c r="J430" s="26"/>
      <c r="K430" s="16"/>
      <c r="L430" s="27" t="str">
        <f aca="false">IF(G430="","",G430-H430+I430+IF(K430="N",J430,0))</f>
        <v/>
      </c>
      <c r="M430" s="16"/>
      <c r="N430" s="16"/>
      <c r="O430" s="16"/>
      <c r="P430" s="16"/>
      <c r="Q430" s="16"/>
      <c r="R430" s="16"/>
    </row>
    <row r="431" customFormat="false" ht="15" hidden="false" customHeight="false" outlineLevel="0" collapsed="false">
      <c r="A431" s="25"/>
      <c r="B431" s="16"/>
      <c r="C431" s="16"/>
      <c r="D431" s="16"/>
      <c r="E431" s="16"/>
      <c r="F431" s="16"/>
      <c r="G431" s="26"/>
      <c r="H431" s="26"/>
      <c r="I431" s="26"/>
      <c r="J431" s="26"/>
      <c r="K431" s="16"/>
      <c r="L431" s="27" t="str">
        <f aca="false">IF(G431="","",G431-H431+I431+IF(K431="N",J431,0))</f>
        <v/>
      </c>
      <c r="M431" s="16"/>
      <c r="N431" s="16"/>
      <c r="O431" s="16"/>
      <c r="P431" s="16"/>
      <c r="Q431" s="16"/>
      <c r="R431" s="16"/>
    </row>
    <row r="432" customFormat="false" ht="15" hidden="false" customHeight="false" outlineLevel="0" collapsed="false">
      <c r="A432" s="25"/>
      <c r="B432" s="16"/>
      <c r="C432" s="16"/>
      <c r="D432" s="16"/>
      <c r="E432" s="16"/>
      <c r="F432" s="16"/>
      <c r="G432" s="26"/>
      <c r="H432" s="26"/>
      <c r="I432" s="26"/>
      <c r="J432" s="26"/>
      <c r="K432" s="16"/>
      <c r="L432" s="27" t="str">
        <f aca="false">IF(G432="","",G432-H432+I432+IF(K432="N",J432,0))</f>
        <v/>
      </c>
      <c r="M432" s="16"/>
      <c r="N432" s="16"/>
      <c r="O432" s="16"/>
      <c r="P432" s="16"/>
      <c r="Q432" s="16"/>
      <c r="R432" s="16"/>
    </row>
    <row r="433" customFormat="false" ht="15" hidden="false" customHeight="false" outlineLevel="0" collapsed="false">
      <c r="A433" s="25"/>
      <c r="B433" s="16"/>
      <c r="C433" s="16"/>
      <c r="D433" s="16"/>
      <c r="E433" s="16"/>
      <c r="F433" s="16"/>
      <c r="G433" s="26"/>
      <c r="H433" s="26"/>
      <c r="I433" s="26"/>
      <c r="J433" s="26"/>
      <c r="K433" s="16"/>
      <c r="L433" s="27" t="str">
        <f aca="false">IF(G433="","",G433-H433+I433+IF(K433="N",J433,0))</f>
        <v/>
      </c>
      <c r="M433" s="16"/>
      <c r="N433" s="16"/>
      <c r="O433" s="16"/>
      <c r="P433" s="16"/>
      <c r="Q433" s="16"/>
      <c r="R433" s="16"/>
    </row>
    <row r="434" customFormat="false" ht="15" hidden="false" customHeight="false" outlineLevel="0" collapsed="false">
      <c r="A434" s="25"/>
      <c r="B434" s="16"/>
      <c r="C434" s="16"/>
      <c r="D434" s="16"/>
      <c r="E434" s="16"/>
      <c r="F434" s="16"/>
      <c r="G434" s="26"/>
      <c r="H434" s="26"/>
      <c r="I434" s="26"/>
      <c r="J434" s="26"/>
      <c r="K434" s="16"/>
      <c r="L434" s="27" t="str">
        <f aca="false">IF(G434="","",G434-H434+I434+IF(K434="N",J434,0))</f>
        <v/>
      </c>
      <c r="M434" s="16"/>
      <c r="N434" s="16"/>
      <c r="O434" s="16"/>
      <c r="P434" s="16"/>
      <c r="Q434" s="16"/>
      <c r="R434" s="16"/>
    </row>
    <row r="435" customFormat="false" ht="15" hidden="false" customHeight="false" outlineLevel="0" collapsed="false">
      <c r="A435" s="25"/>
      <c r="B435" s="16"/>
      <c r="C435" s="16"/>
      <c r="D435" s="16"/>
      <c r="E435" s="16"/>
      <c r="F435" s="16"/>
      <c r="G435" s="26"/>
      <c r="H435" s="26"/>
      <c r="I435" s="26"/>
      <c r="J435" s="26"/>
      <c r="K435" s="16"/>
      <c r="L435" s="27" t="str">
        <f aca="false">IF(G435="","",G435-H435+I435+IF(K435="N",J435,0))</f>
        <v/>
      </c>
      <c r="M435" s="16"/>
      <c r="N435" s="16"/>
      <c r="O435" s="16"/>
      <c r="P435" s="16"/>
      <c r="Q435" s="16"/>
      <c r="R435" s="16"/>
    </row>
    <row r="436" customFormat="false" ht="15" hidden="false" customHeight="false" outlineLevel="0" collapsed="false">
      <c r="A436" s="25"/>
      <c r="B436" s="16"/>
      <c r="C436" s="16"/>
      <c r="D436" s="16"/>
      <c r="E436" s="16"/>
      <c r="F436" s="16"/>
      <c r="G436" s="26"/>
      <c r="H436" s="26"/>
      <c r="I436" s="26"/>
      <c r="J436" s="26"/>
      <c r="K436" s="16"/>
      <c r="L436" s="27" t="str">
        <f aca="false">IF(G436="","",G436-H436+I436+IF(K436="N",J436,0))</f>
        <v/>
      </c>
      <c r="M436" s="16"/>
      <c r="N436" s="16"/>
      <c r="O436" s="16"/>
      <c r="P436" s="16"/>
      <c r="Q436" s="16"/>
      <c r="R436" s="16"/>
    </row>
    <row r="437" customFormat="false" ht="15" hidden="false" customHeight="false" outlineLevel="0" collapsed="false">
      <c r="A437" s="25"/>
      <c r="B437" s="16"/>
      <c r="C437" s="16"/>
      <c r="D437" s="16"/>
      <c r="E437" s="16"/>
      <c r="F437" s="16"/>
      <c r="G437" s="26"/>
      <c r="H437" s="26"/>
      <c r="I437" s="26"/>
      <c r="J437" s="26"/>
      <c r="K437" s="16"/>
      <c r="L437" s="27" t="str">
        <f aca="false">IF(G437="","",G437-H437+I437+IF(K437="N",J437,0))</f>
        <v/>
      </c>
      <c r="M437" s="16"/>
      <c r="N437" s="16"/>
      <c r="O437" s="16"/>
      <c r="P437" s="16"/>
      <c r="Q437" s="16"/>
      <c r="R437" s="16"/>
    </row>
    <row r="438" customFormat="false" ht="15" hidden="false" customHeight="false" outlineLevel="0" collapsed="false">
      <c r="A438" s="25"/>
      <c r="B438" s="16"/>
      <c r="C438" s="16"/>
      <c r="D438" s="16"/>
      <c r="E438" s="16"/>
      <c r="F438" s="16"/>
      <c r="G438" s="26"/>
      <c r="H438" s="26"/>
      <c r="I438" s="26"/>
      <c r="J438" s="26"/>
      <c r="K438" s="16"/>
      <c r="L438" s="27" t="str">
        <f aca="false">IF(G438="","",G438-H438+I438+IF(K438="N",J438,0))</f>
        <v/>
      </c>
      <c r="M438" s="16"/>
      <c r="N438" s="16"/>
      <c r="O438" s="16"/>
      <c r="P438" s="16"/>
      <c r="Q438" s="16"/>
      <c r="R438" s="16"/>
    </row>
    <row r="439" customFormat="false" ht="15" hidden="false" customHeight="false" outlineLevel="0" collapsed="false">
      <c r="A439" s="25"/>
      <c r="B439" s="16"/>
      <c r="C439" s="16"/>
      <c r="D439" s="16"/>
      <c r="E439" s="16"/>
      <c r="F439" s="16"/>
      <c r="G439" s="26"/>
      <c r="H439" s="26"/>
      <c r="I439" s="26"/>
      <c r="J439" s="26"/>
      <c r="K439" s="16"/>
      <c r="L439" s="27" t="str">
        <f aca="false">IF(G439="","",G439-H439+I439+IF(K439="N",J439,0))</f>
        <v/>
      </c>
      <c r="M439" s="16"/>
      <c r="N439" s="16"/>
      <c r="O439" s="16"/>
      <c r="P439" s="16"/>
      <c r="Q439" s="16"/>
      <c r="R439" s="16"/>
    </row>
    <row r="440" customFormat="false" ht="15" hidden="false" customHeight="false" outlineLevel="0" collapsed="false">
      <c r="A440" s="25"/>
      <c r="B440" s="16"/>
      <c r="C440" s="16"/>
      <c r="D440" s="16"/>
      <c r="E440" s="16"/>
      <c r="F440" s="16"/>
      <c r="G440" s="26"/>
      <c r="H440" s="26"/>
      <c r="I440" s="26"/>
      <c r="J440" s="26"/>
      <c r="K440" s="16"/>
      <c r="L440" s="27" t="str">
        <f aca="false">IF(G440="","",G440-H440+I440+IF(K440="N",J440,0))</f>
        <v/>
      </c>
      <c r="M440" s="16"/>
      <c r="N440" s="16"/>
      <c r="O440" s="16"/>
      <c r="P440" s="16"/>
      <c r="Q440" s="16"/>
      <c r="R440" s="16"/>
    </row>
    <row r="441" customFormat="false" ht="15" hidden="false" customHeight="false" outlineLevel="0" collapsed="false">
      <c r="A441" s="25"/>
      <c r="B441" s="16"/>
      <c r="C441" s="16"/>
      <c r="D441" s="16"/>
      <c r="E441" s="16"/>
      <c r="F441" s="16"/>
      <c r="G441" s="26"/>
      <c r="H441" s="26"/>
      <c r="I441" s="26"/>
      <c r="J441" s="26"/>
      <c r="K441" s="16"/>
      <c r="L441" s="27" t="str">
        <f aca="false">IF(G441="","",G441-H441+I441+IF(K441="N",J441,0))</f>
        <v/>
      </c>
      <c r="M441" s="16"/>
      <c r="N441" s="16"/>
      <c r="O441" s="16"/>
      <c r="P441" s="16"/>
      <c r="Q441" s="16"/>
      <c r="R441" s="16"/>
    </row>
    <row r="442" customFormat="false" ht="15" hidden="false" customHeight="false" outlineLevel="0" collapsed="false">
      <c r="A442" s="25"/>
      <c r="B442" s="16"/>
      <c r="C442" s="16"/>
      <c r="D442" s="16"/>
      <c r="E442" s="16"/>
      <c r="F442" s="16"/>
      <c r="G442" s="26"/>
      <c r="H442" s="26"/>
      <c r="I442" s="26"/>
      <c r="J442" s="26"/>
      <c r="K442" s="16"/>
      <c r="L442" s="27" t="str">
        <f aca="false">IF(G442="","",G442-H442+I442+IF(K442="N",J442,0))</f>
        <v/>
      </c>
      <c r="M442" s="16"/>
      <c r="N442" s="16"/>
      <c r="O442" s="16"/>
      <c r="P442" s="16"/>
      <c r="Q442" s="16"/>
      <c r="R442" s="16"/>
    </row>
    <row r="443" customFormat="false" ht="15" hidden="false" customHeight="false" outlineLevel="0" collapsed="false">
      <c r="A443" s="25"/>
      <c r="B443" s="16"/>
      <c r="C443" s="16"/>
      <c r="D443" s="16"/>
      <c r="E443" s="16"/>
      <c r="F443" s="16"/>
      <c r="G443" s="26"/>
      <c r="H443" s="26"/>
      <c r="I443" s="26"/>
      <c r="J443" s="26"/>
      <c r="K443" s="16"/>
      <c r="L443" s="27" t="str">
        <f aca="false">IF(G443="","",G443-H443+I443+IF(K443="N",J443,0))</f>
        <v/>
      </c>
      <c r="M443" s="16"/>
      <c r="N443" s="16"/>
      <c r="O443" s="16"/>
      <c r="P443" s="16"/>
      <c r="Q443" s="16"/>
      <c r="R443" s="16"/>
    </row>
    <row r="444" customFormat="false" ht="15" hidden="false" customHeight="false" outlineLevel="0" collapsed="false">
      <c r="A444" s="25"/>
      <c r="B444" s="16"/>
      <c r="C444" s="16"/>
      <c r="D444" s="16"/>
      <c r="E444" s="16"/>
      <c r="F444" s="16"/>
      <c r="G444" s="26"/>
      <c r="H444" s="26"/>
      <c r="I444" s="26"/>
      <c r="J444" s="26"/>
      <c r="K444" s="16"/>
      <c r="L444" s="27" t="str">
        <f aca="false">IF(G444="","",G444-H444+I444+IF(K444="N",J444,0))</f>
        <v/>
      </c>
      <c r="M444" s="16"/>
      <c r="N444" s="16"/>
      <c r="O444" s="16"/>
      <c r="P444" s="16"/>
      <c r="Q444" s="16"/>
      <c r="R444" s="16"/>
    </row>
    <row r="445" customFormat="false" ht="15" hidden="false" customHeight="false" outlineLevel="0" collapsed="false">
      <c r="A445" s="25"/>
      <c r="B445" s="16"/>
      <c r="C445" s="16"/>
      <c r="D445" s="16"/>
      <c r="E445" s="16"/>
      <c r="F445" s="16"/>
      <c r="G445" s="26"/>
      <c r="H445" s="26"/>
      <c r="I445" s="26"/>
      <c r="J445" s="26"/>
      <c r="K445" s="16"/>
      <c r="L445" s="27" t="str">
        <f aca="false">IF(G445="","",G445-H445+I445+IF(K445="N",J445,0))</f>
        <v/>
      </c>
      <c r="M445" s="16"/>
      <c r="N445" s="16"/>
      <c r="O445" s="16"/>
      <c r="P445" s="16"/>
      <c r="Q445" s="16"/>
      <c r="R445" s="16"/>
    </row>
    <row r="446" customFormat="false" ht="15" hidden="false" customHeight="false" outlineLevel="0" collapsed="false">
      <c r="A446" s="25"/>
      <c r="B446" s="16"/>
      <c r="C446" s="16"/>
      <c r="D446" s="16"/>
      <c r="E446" s="16"/>
      <c r="F446" s="16"/>
      <c r="G446" s="26"/>
      <c r="H446" s="26"/>
      <c r="I446" s="26"/>
      <c r="J446" s="26"/>
      <c r="K446" s="16"/>
      <c r="L446" s="27" t="str">
        <f aca="false">IF(G446="","",G446-H446+I446+IF(K446="N",J446,0))</f>
        <v/>
      </c>
      <c r="M446" s="16"/>
      <c r="N446" s="16"/>
      <c r="O446" s="16"/>
      <c r="P446" s="16"/>
      <c r="Q446" s="16"/>
      <c r="R446" s="16"/>
    </row>
    <row r="447" customFormat="false" ht="15" hidden="false" customHeight="false" outlineLevel="0" collapsed="false">
      <c r="A447" s="25"/>
      <c r="B447" s="16"/>
      <c r="C447" s="16"/>
      <c r="D447" s="16"/>
      <c r="E447" s="16"/>
      <c r="F447" s="16"/>
      <c r="G447" s="26"/>
      <c r="H447" s="26"/>
      <c r="I447" s="26"/>
      <c r="J447" s="26"/>
      <c r="K447" s="16"/>
      <c r="L447" s="27" t="str">
        <f aca="false">IF(G447="","",G447-H447+I447+IF(K447="N",J447,0))</f>
        <v/>
      </c>
      <c r="M447" s="16"/>
      <c r="N447" s="16"/>
      <c r="O447" s="16"/>
      <c r="P447" s="16"/>
      <c r="Q447" s="16"/>
      <c r="R447" s="16"/>
    </row>
    <row r="448" customFormat="false" ht="15" hidden="false" customHeight="false" outlineLevel="0" collapsed="false">
      <c r="A448" s="25"/>
      <c r="B448" s="16"/>
      <c r="C448" s="16"/>
      <c r="D448" s="16"/>
      <c r="E448" s="16"/>
      <c r="F448" s="16"/>
      <c r="G448" s="26"/>
      <c r="H448" s="26"/>
      <c r="I448" s="26"/>
      <c r="J448" s="26"/>
      <c r="K448" s="16"/>
      <c r="L448" s="27" t="str">
        <f aca="false">IF(G448="","",G448-H448+I448+IF(K448="N",J448,0))</f>
        <v/>
      </c>
      <c r="M448" s="16"/>
      <c r="N448" s="16"/>
      <c r="O448" s="16"/>
      <c r="P448" s="16"/>
      <c r="Q448" s="16"/>
      <c r="R448" s="16"/>
    </row>
    <row r="449" customFormat="false" ht="15" hidden="false" customHeight="false" outlineLevel="0" collapsed="false">
      <c r="A449" s="25"/>
      <c r="B449" s="16"/>
      <c r="C449" s="16"/>
      <c r="D449" s="16"/>
      <c r="E449" s="16"/>
      <c r="F449" s="16"/>
      <c r="G449" s="26"/>
      <c r="H449" s="26"/>
      <c r="I449" s="26"/>
      <c r="J449" s="26"/>
      <c r="K449" s="16"/>
      <c r="L449" s="27" t="str">
        <f aca="false">IF(G449="","",G449-H449+I449+IF(K449="N",J449,0))</f>
        <v/>
      </c>
      <c r="M449" s="16"/>
      <c r="N449" s="16"/>
      <c r="O449" s="16"/>
      <c r="P449" s="16"/>
      <c r="Q449" s="16"/>
      <c r="R449" s="16"/>
    </row>
    <row r="450" customFormat="false" ht="15" hidden="false" customHeight="false" outlineLevel="0" collapsed="false">
      <c r="A450" s="25"/>
      <c r="B450" s="16"/>
      <c r="C450" s="16"/>
      <c r="D450" s="16"/>
      <c r="E450" s="16"/>
      <c r="F450" s="16"/>
      <c r="G450" s="26"/>
      <c r="H450" s="26"/>
      <c r="I450" s="26"/>
      <c r="J450" s="26"/>
      <c r="K450" s="16"/>
      <c r="L450" s="27" t="str">
        <f aca="false">IF(G450="","",G450-H450+I450+IF(K450="N",J450,0))</f>
        <v/>
      </c>
      <c r="M450" s="16"/>
      <c r="N450" s="16"/>
      <c r="O450" s="16"/>
      <c r="P450" s="16"/>
      <c r="Q450" s="16"/>
      <c r="R450" s="16"/>
    </row>
    <row r="451" customFormat="false" ht="15" hidden="false" customHeight="false" outlineLevel="0" collapsed="false">
      <c r="A451" s="25"/>
      <c r="B451" s="16"/>
      <c r="C451" s="16"/>
      <c r="D451" s="16"/>
      <c r="E451" s="16"/>
      <c r="F451" s="16"/>
      <c r="G451" s="26"/>
      <c r="H451" s="26"/>
      <c r="I451" s="26"/>
      <c r="J451" s="26"/>
      <c r="K451" s="16"/>
      <c r="L451" s="27" t="str">
        <f aca="false">IF(G451="","",G451-H451+I451+IF(K451="N",J451,0))</f>
        <v/>
      </c>
      <c r="M451" s="16"/>
      <c r="N451" s="16"/>
      <c r="O451" s="16"/>
      <c r="P451" s="16"/>
      <c r="Q451" s="16"/>
      <c r="R451" s="16"/>
    </row>
    <row r="452" customFormat="false" ht="15" hidden="false" customHeight="false" outlineLevel="0" collapsed="false">
      <c r="A452" s="25"/>
      <c r="B452" s="16"/>
      <c r="C452" s="16"/>
      <c r="D452" s="16"/>
      <c r="E452" s="16"/>
      <c r="F452" s="16"/>
      <c r="G452" s="26"/>
      <c r="H452" s="26"/>
      <c r="I452" s="26"/>
      <c r="J452" s="26"/>
      <c r="K452" s="16"/>
      <c r="L452" s="27" t="str">
        <f aca="false">IF(G452="","",G452-H452+I452+IF(K452="N",J452,0))</f>
        <v/>
      </c>
      <c r="M452" s="16"/>
      <c r="N452" s="16"/>
      <c r="O452" s="16"/>
      <c r="P452" s="16"/>
      <c r="Q452" s="16"/>
      <c r="R452" s="16"/>
    </row>
    <row r="453" customFormat="false" ht="15" hidden="false" customHeight="false" outlineLevel="0" collapsed="false">
      <c r="A453" s="25"/>
      <c r="B453" s="16"/>
      <c r="C453" s="16"/>
      <c r="D453" s="16"/>
      <c r="E453" s="16"/>
      <c r="F453" s="16"/>
      <c r="G453" s="26"/>
      <c r="H453" s="26"/>
      <c r="I453" s="26"/>
      <c r="J453" s="26"/>
      <c r="K453" s="16"/>
      <c r="L453" s="27" t="str">
        <f aca="false">IF(G453="","",G453-H453+I453+IF(K453="N",J453,0))</f>
        <v/>
      </c>
      <c r="M453" s="16"/>
      <c r="N453" s="16"/>
      <c r="O453" s="16"/>
      <c r="P453" s="16"/>
      <c r="Q453" s="16"/>
      <c r="R453" s="16"/>
    </row>
    <row r="454" customFormat="false" ht="15" hidden="false" customHeight="false" outlineLevel="0" collapsed="false">
      <c r="A454" s="25"/>
      <c r="B454" s="16"/>
      <c r="C454" s="16"/>
      <c r="D454" s="16"/>
      <c r="E454" s="16"/>
      <c r="F454" s="16"/>
      <c r="G454" s="26"/>
      <c r="H454" s="26"/>
      <c r="I454" s="26"/>
      <c r="J454" s="26"/>
      <c r="K454" s="16"/>
      <c r="L454" s="27" t="str">
        <f aca="false">IF(G454="","",G454-H454+I454+IF(K454="N",J454,0))</f>
        <v/>
      </c>
      <c r="M454" s="16"/>
      <c r="N454" s="16"/>
      <c r="O454" s="16"/>
      <c r="P454" s="16"/>
      <c r="Q454" s="16"/>
      <c r="R454" s="16"/>
    </row>
    <row r="455" customFormat="false" ht="15" hidden="false" customHeight="false" outlineLevel="0" collapsed="false">
      <c r="A455" s="25"/>
      <c r="B455" s="16"/>
      <c r="C455" s="16"/>
      <c r="D455" s="16"/>
      <c r="E455" s="16"/>
      <c r="F455" s="16"/>
      <c r="G455" s="26"/>
      <c r="H455" s="26"/>
      <c r="I455" s="26"/>
      <c r="J455" s="26"/>
      <c r="K455" s="16"/>
      <c r="L455" s="27" t="str">
        <f aca="false">IF(G455="","",G455-H455+I455+IF(K455="N",J455,0))</f>
        <v/>
      </c>
      <c r="M455" s="16"/>
      <c r="N455" s="16"/>
      <c r="O455" s="16"/>
      <c r="P455" s="16"/>
      <c r="Q455" s="16"/>
      <c r="R455" s="16"/>
    </row>
    <row r="456" customFormat="false" ht="15" hidden="false" customHeight="false" outlineLevel="0" collapsed="false">
      <c r="A456" s="25"/>
      <c r="B456" s="16"/>
      <c r="C456" s="16"/>
      <c r="D456" s="16"/>
      <c r="E456" s="16"/>
      <c r="F456" s="16"/>
      <c r="G456" s="26"/>
      <c r="H456" s="26"/>
      <c r="I456" s="26"/>
      <c r="J456" s="26"/>
      <c r="K456" s="16"/>
      <c r="L456" s="27" t="str">
        <f aca="false">IF(G456="","",G456-H456+I456+IF(K456="N",J456,0))</f>
        <v/>
      </c>
      <c r="M456" s="16"/>
      <c r="N456" s="16"/>
      <c r="O456" s="16"/>
      <c r="P456" s="16"/>
      <c r="Q456" s="16"/>
      <c r="R456" s="16"/>
    </row>
    <row r="457" customFormat="false" ht="15" hidden="false" customHeight="false" outlineLevel="0" collapsed="false">
      <c r="A457" s="25"/>
      <c r="B457" s="16"/>
      <c r="C457" s="16"/>
      <c r="D457" s="16"/>
      <c r="E457" s="16"/>
      <c r="F457" s="16"/>
      <c r="G457" s="26"/>
      <c r="H457" s="26"/>
      <c r="I457" s="26"/>
      <c r="J457" s="26"/>
      <c r="K457" s="16"/>
      <c r="L457" s="27" t="str">
        <f aca="false">IF(G457="","",G457-H457+I457+IF(K457="N",J457,0))</f>
        <v/>
      </c>
      <c r="M457" s="16"/>
      <c r="N457" s="16"/>
      <c r="O457" s="16"/>
      <c r="P457" s="16"/>
      <c r="Q457" s="16"/>
      <c r="R457" s="16"/>
    </row>
    <row r="458" customFormat="false" ht="15" hidden="false" customHeight="false" outlineLevel="0" collapsed="false">
      <c r="A458" s="25"/>
      <c r="B458" s="16"/>
      <c r="C458" s="16"/>
      <c r="D458" s="16"/>
      <c r="E458" s="16"/>
      <c r="F458" s="16"/>
      <c r="G458" s="26"/>
      <c r="H458" s="26"/>
      <c r="I458" s="26"/>
      <c r="J458" s="26"/>
      <c r="K458" s="16"/>
      <c r="L458" s="27" t="str">
        <f aca="false">IF(G458="","",G458-H458+I458+IF(K458="N",J458,0))</f>
        <v/>
      </c>
      <c r="M458" s="16"/>
      <c r="N458" s="16"/>
      <c r="O458" s="16"/>
      <c r="P458" s="16"/>
      <c r="Q458" s="16"/>
      <c r="R458" s="16"/>
    </row>
    <row r="459" customFormat="false" ht="15" hidden="false" customHeight="false" outlineLevel="0" collapsed="false">
      <c r="A459" s="25"/>
      <c r="B459" s="16"/>
      <c r="C459" s="16"/>
      <c r="D459" s="16"/>
      <c r="E459" s="16"/>
      <c r="F459" s="16"/>
      <c r="G459" s="26"/>
      <c r="H459" s="26"/>
      <c r="I459" s="26"/>
      <c r="J459" s="26"/>
      <c r="K459" s="16"/>
      <c r="L459" s="27" t="str">
        <f aca="false">IF(G459="","",G459-H459+I459+IF(K459="N",J459,0))</f>
        <v/>
      </c>
      <c r="M459" s="16"/>
      <c r="N459" s="16"/>
      <c r="O459" s="16"/>
      <c r="P459" s="16"/>
      <c r="Q459" s="16"/>
      <c r="R459" s="16"/>
    </row>
    <row r="460" customFormat="false" ht="15" hidden="false" customHeight="false" outlineLevel="0" collapsed="false">
      <c r="A460" s="25"/>
      <c r="B460" s="16"/>
      <c r="C460" s="16"/>
      <c r="D460" s="16"/>
      <c r="E460" s="16"/>
      <c r="F460" s="16"/>
      <c r="G460" s="26"/>
      <c r="H460" s="26"/>
      <c r="I460" s="26"/>
      <c r="J460" s="26"/>
      <c r="K460" s="16"/>
      <c r="L460" s="27" t="str">
        <f aca="false">IF(G460="","",G460-H460+I460+IF(K460="N",J460,0))</f>
        <v/>
      </c>
      <c r="M460" s="16"/>
      <c r="N460" s="16"/>
      <c r="O460" s="16"/>
      <c r="P460" s="16"/>
      <c r="Q460" s="16"/>
      <c r="R460" s="16"/>
    </row>
    <row r="461" customFormat="false" ht="15" hidden="false" customHeight="false" outlineLevel="0" collapsed="false">
      <c r="A461" s="25"/>
      <c r="B461" s="16"/>
      <c r="C461" s="16"/>
      <c r="D461" s="16"/>
      <c r="E461" s="16"/>
      <c r="F461" s="16"/>
      <c r="G461" s="26"/>
      <c r="H461" s="26"/>
      <c r="I461" s="26"/>
      <c r="J461" s="26"/>
      <c r="K461" s="16"/>
      <c r="L461" s="27" t="str">
        <f aca="false">IF(G461="","",G461-H461+I461+IF(K461="N",J461,0))</f>
        <v/>
      </c>
      <c r="M461" s="16"/>
      <c r="N461" s="16"/>
      <c r="O461" s="16"/>
      <c r="P461" s="16"/>
      <c r="Q461" s="16"/>
      <c r="R461" s="16"/>
    </row>
    <row r="462" customFormat="false" ht="15" hidden="false" customHeight="false" outlineLevel="0" collapsed="false">
      <c r="A462" s="25"/>
      <c r="B462" s="16"/>
      <c r="C462" s="16"/>
      <c r="D462" s="16"/>
      <c r="E462" s="16"/>
      <c r="F462" s="16"/>
      <c r="G462" s="26"/>
      <c r="H462" s="26"/>
      <c r="I462" s="26"/>
      <c r="J462" s="26"/>
      <c r="K462" s="16"/>
      <c r="L462" s="27" t="str">
        <f aca="false">IF(G462="","",G462-H462+I462+IF(K462="N",J462,0))</f>
        <v/>
      </c>
      <c r="M462" s="16"/>
      <c r="N462" s="16"/>
      <c r="O462" s="16"/>
      <c r="P462" s="16"/>
      <c r="Q462" s="16"/>
      <c r="R462" s="16"/>
    </row>
    <row r="463" customFormat="false" ht="15" hidden="false" customHeight="false" outlineLevel="0" collapsed="false">
      <c r="A463" s="25"/>
      <c r="B463" s="16"/>
      <c r="C463" s="16"/>
      <c r="D463" s="16"/>
      <c r="E463" s="16"/>
      <c r="F463" s="16"/>
      <c r="G463" s="26"/>
      <c r="H463" s="26"/>
      <c r="I463" s="26"/>
      <c r="J463" s="26"/>
      <c r="K463" s="16"/>
      <c r="L463" s="27" t="str">
        <f aca="false">IF(G463="","",G463-H463+I463+IF(K463="N",J463,0))</f>
        <v/>
      </c>
      <c r="M463" s="16"/>
      <c r="N463" s="16"/>
      <c r="O463" s="16"/>
      <c r="P463" s="16"/>
      <c r="Q463" s="16"/>
      <c r="R463" s="16"/>
    </row>
    <row r="464" customFormat="false" ht="15" hidden="false" customHeight="false" outlineLevel="0" collapsed="false">
      <c r="A464" s="25"/>
      <c r="B464" s="16"/>
      <c r="C464" s="16"/>
      <c r="D464" s="16"/>
      <c r="E464" s="16"/>
      <c r="F464" s="16"/>
      <c r="G464" s="26"/>
      <c r="H464" s="26"/>
      <c r="I464" s="26"/>
      <c r="J464" s="26"/>
      <c r="K464" s="16"/>
      <c r="L464" s="27" t="str">
        <f aca="false">IF(G464="","",G464-H464+I464+IF(K464="N",J464,0))</f>
        <v/>
      </c>
      <c r="M464" s="16"/>
      <c r="N464" s="16"/>
      <c r="O464" s="16"/>
      <c r="P464" s="16"/>
      <c r="Q464" s="16"/>
      <c r="R464" s="16"/>
    </row>
    <row r="465" customFormat="false" ht="15" hidden="false" customHeight="false" outlineLevel="0" collapsed="false">
      <c r="A465" s="25"/>
      <c r="B465" s="16"/>
      <c r="C465" s="16"/>
      <c r="D465" s="16"/>
      <c r="E465" s="16"/>
      <c r="F465" s="16"/>
      <c r="G465" s="26"/>
      <c r="H465" s="26"/>
      <c r="I465" s="26"/>
      <c r="J465" s="26"/>
      <c r="K465" s="16"/>
      <c r="L465" s="27" t="str">
        <f aca="false">IF(G465="","",G465-H465+I465+IF(K465="N",J465,0))</f>
        <v/>
      </c>
      <c r="M465" s="16"/>
      <c r="N465" s="16"/>
      <c r="O465" s="16"/>
      <c r="P465" s="16"/>
      <c r="Q465" s="16"/>
      <c r="R465" s="16"/>
    </row>
    <row r="466" customFormat="false" ht="15" hidden="false" customHeight="false" outlineLevel="0" collapsed="false">
      <c r="A466" s="25"/>
      <c r="B466" s="16"/>
      <c r="C466" s="16"/>
      <c r="D466" s="16"/>
      <c r="E466" s="16"/>
      <c r="F466" s="16"/>
      <c r="G466" s="26"/>
      <c r="H466" s="26"/>
      <c r="I466" s="26"/>
      <c r="J466" s="26"/>
      <c r="K466" s="16"/>
      <c r="L466" s="27" t="str">
        <f aca="false">IF(G466="","",G466-H466+I466+IF(K466="N",J466,0))</f>
        <v/>
      </c>
      <c r="M466" s="16"/>
      <c r="N466" s="16"/>
      <c r="O466" s="16"/>
      <c r="P466" s="16"/>
      <c r="Q466" s="16"/>
      <c r="R466" s="16"/>
    </row>
    <row r="467" customFormat="false" ht="15" hidden="false" customHeight="false" outlineLevel="0" collapsed="false">
      <c r="A467" s="25"/>
      <c r="B467" s="16"/>
      <c r="C467" s="16"/>
      <c r="D467" s="16"/>
      <c r="E467" s="16"/>
      <c r="F467" s="16"/>
      <c r="G467" s="26"/>
      <c r="H467" s="26"/>
      <c r="I467" s="26"/>
      <c r="J467" s="26"/>
      <c r="K467" s="16"/>
      <c r="L467" s="27" t="str">
        <f aca="false">IF(G467="","",G467-H467+I467+IF(K467="N",J467,0))</f>
        <v/>
      </c>
      <c r="M467" s="16"/>
      <c r="N467" s="16"/>
      <c r="O467" s="16"/>
      <c r="P467" s="16"/>
      <c r="Q467" s="16"/>
      <c r="R467" s="16"/>
    </row>
    <row r="468" customFormat="false" ht="15" hidden="false" customHeight="false" outlineLevel="0" collapsed="false">
      <c r="A468" s="25"/>
      <c r="B468" s="16"/>
      <c r="C468" s="16"/>
      <c r="D468" s="16"/>
      <c r="E468" s="16"/>
      <c r="F468" s="16"/>
      <c r="G468" s="26"/>
      <c r="H468" s="26"/>
      <c r="I468" s="26"/>
      <c r="J468" s="26"/>
      <c r="K468" s="16"/>
      <c r="L468" s="27" t="str">
        <f aca="false">IF(G468="","",G468-H468+I468+IF(K468="N",J468,0))</f>
        <v/>
      </c>
      <c r="M468" s="16"/>
      <c r="N468" s="16"/>
      <c r="O468" s="16"/>
      <c r="P468" s="16"/>
      <c r="Q468" s="16"/>
      <c r="R468" s="16"/>
    </row>
    <row r="469" customFormat="false" ht="15" hidden="false" customHeight="false" outlineLevel="0" collapsed="false">
      <c r="A469" s="25"/>
      <c r="B469" s="16"/>
      <c r="C469" s="16"/>
      <c r="D469" s="16"/>
      <c r="E469" s="16"/>
      <c r="F469" s="16"/>
      <c r="G469" s="26"/>
      <c r="H469" s="26"/>
      <c r="I469" s="26"/>
      <c r="J469" s="26"/>
      <c r="K469" s="16"/>
      <c r="L469" s="27" t="str">
        <f aca="false">IF(G469="","",G469-H469+I469+IF(K469="N",J469,0))</f>
        <v/>
      </c>
      <c r="M469" s="16"/>
      <c r="N469" s="16"/>
      <c r="O469" s="16"/>
      <c r="P469" s="16"/>
      <c r="Q469" s="16"/>
      <c r="R469" s="16"/>
    </row>
    <row r="470" customFormat="false" ht="15" hidden="false" customHeight="false" outlineLevel="0" collapsed="false">
      <c r="A470" s="25"/>
      <c r="B470" s="16"/>
      <c r="C470" s="16"/>
      <c r="D470" s="16"/>
      <c r="E470" s="16"/>
      <c r="F470" s="16"/>
      <c r="G470" s="26"/>
      <c r="H470" s="26"/>
      <c r="I470" s="26"/>
      <c r="J470" s="26"/>
      <c r="K470" s="16"/>
      <c r="L470" s="27" t="str">
        <f aca="false">IF(G470="","",G470-H470+I470+IF(K470="N",J470,0))</f>
        <v/>
      </c>
      <c r="M470" s="16"/>
      <c r="N470" s="16"/>
      <c r="O470" s="16"/>
      <c r="P470" s="16"/>
      <c r="Q470" s="16"/>
      <c r="R470" s="16"/>
    </row>
    <row r="471" customFormat="false" ht="15" hidden="false" customHeight="false" outlineLevel="0" collapsed="false">
      <c r="A471" s="25"/>
      <c r="B471" s="16"/>
      <c r="C471" s="16"/>
      <c r="D471" s="16"/>
      <c r="E471" s="16"/>
      <c r="F471" s="16"/>
      <c r="G471" s="26"/>
      <c r="H471" s="26"/>
      <c r="I471" s="26"/>
      <c r="J471" s="26"/>
      <c r="K471" s="16"/>
      <c r="L471" s="27" t="str">
        <f aca="false">IF(G471="","",G471-H471+I471+IF(K471="N",J471,0))</f>
        <v/>
      </c>
      <c r="M471" s="16"/>
      <c r="N471" s="16"/>
      <c r="O471" s="16"/>
      <c r="P471" s="16"/>
      <c r="Q471" s="16"/>
      <c r="R471" s="16"/>
    </row>
    <row r="472" customFormat="false" ht="15" hidden="false" customHeight="false" outlineLevel="0" collapsed="false">
      <c r="A472" s="25"/>
      <c r="B472" s="16"/>
      <c r="C472" s="16"/>
      <c r="D472" s="16"/>
      <c r="E472" s="16"/>
      <c r="F472" s="16"/>
      <c r="G472" s="26"/>
      <c r="H472" s="26"/>
      <c r="I472" s="26"/>
      <c r="J472" s="26"/>
      <c r="K472" s="16"/>
      <c r="L472" s="27" t="str">
        <f aca="false">IF(G472="","",G472-H472+I472+IF(K472="N",J472,0))</f>
        <v/>
      </c>
      <c r="M472" s="16"/>
      <c r="N472" s="16"/>
      <c r="O472" s="16"/>
      <c r="P472" s="16"/>
      <c r="Q472" s="16"/>
      <c r="R472" s="16"/>
    </row>
    <row r="473" customFormat="false" ht="15" hidden="false" customHeight="false" outlineLevel="0" collapsed="false">
      <c r="A473" s="25"/>
      <c r="B473" s="16"/>
      <c r="C473" s="16"/>
      <c r="D473" s="16"/>
      <c r="E473" s="16"/>
      <c r="F473" s="16"/>
      <c r="G473" s="26"/>
      <c r="H473" s="26"/>
      <c r="I473" s="26"/>
      <c r="J473" s="26"/>
      <c r="K473" s="16"/>
      <c r="L473" s="27" t="str">
        <f aca="false">IF(G473="","",G473-H473+I473+IF(K473="N",J473,0))</f>
        <v/>
      </c>
      <c r="M473" s="16"/>
      <c r="N473" s="16"/>
      <c r="O473" s="16"/>
      <c r="P473" s="16"/>
      <c r="Q473" s="16"/>
      <c r="R473" s="16"/>
    </row>
    <row r="474" customFormat="false" ht="15" hidden="false" customHeight="false" outlineLevel="0" collapsed="false">
      <c r="A474" s="25"/>
      <c r="B474" s="16"/>
      <c r="C474" s="16"/>
      <c r="D474" s="16"/>
      <c r="E474" s="16"/>
      <c r="F474" s="16"/>
      <c r="G474" s="26"/>
      <c r="H474" s="26"/>
      <c r="I474" s="26"/>
      <c r="J474" s="26"/>
      <c r="K474" s="16"/>
      <c r="L474" s="27" t="str">
        <f aca="false">IF(G474="","",G474-H474+I474+IF(K474="N",J474,0))</f>
        <v/>
      </c>
      <c r="M474" s="16"/>
      <c r="N474" s="16"/>
      <c r="O474" s="16"/>
      <c r="P474" s="16"/>
      <c r="Q474" s="16"/>
      <c r="R474" s="16"/>
    </row>
    <row r="475" customFormat="false" ht="15" hidden="false" customHeight="false" outlineLevel="0" collapsed="false">
      <c r="A475" s="25"/>
      <c r="B475" s="16"/>
      <c r="C475" s="16"/>
      <c r="D475" s="16"/>
      <c r="E475" s="16"/>
      <c r="F475" s="16"/>
      <c r="G475" s="26"/>
      <c r="H475" s="26"/>
      <c r="I475" s="26"/>
      <c r="J475" s="26"/>
      <c r="K475" s="16"/>
      <c r="L475" s="27" t="str">
        <f aca="false">IF(G475="","",G475-H475+I475+IF(K475="N",J475,0))</f>
        <v/>
      </c>
      <c r="M475" s="16"/>
      <c r="N475" s="16"/>
      <c r="O475" s="16"/>
      <c r="P475" s="16"/>
      <c r="Q475" s="16"/>
      <c r="R475" s="16"/>
    </row>
    <row r="476" customFormat="false" ht="15" hidden="false" customHeight="false" outlineLevel="0" collapsed="false">
      <c r="A476" s="25"/>
      <c r="B476" s="16"/>
      <c r="C476" s="16"/>
      <c r="D476" s="16"/>
      <c r="E476" s="16"/>
      <c r="F476" s="16"/>
      <c r="G476" s="26"/>
      <c r="H476" s="26"/>
      <c r="I476" s="26"/>
      <c r="J476" s="26"/>
      <c r="K476" s="16"/>
      <c r="L476" s="27" t="str">
        <f aca="false">IF(G476="","",G476-H476+I476+IF(K476="N",J476,0))</f>
        <v/>
      </c>
      <c r="M476" s="16"/>
      <c r="N476" s="16"/>
      <c r="O476" s="16"/>
      <c r="P476" s="16"/>
      <c r="Q476" s="16"/>
      <c r="R476" s="16"/>
    </row>
    <row r="477" customFormat="false" ht="15" hidden="false" customHeight="false" outlineLevel="0" collapsed="false">
      <c r="A477" s="25"/>
      <c r="B477" s="16"/>
      <c r="C477" s="16"/>
      <c r="D477" s="16"/>
      <c r="E477" s="16"/>
      <c r="F477" s="16"/>
      <c r="G477" s="26"/>
      <c r="H477" s="26"/>
      <c r="I477" s="26"/>
      <c r="J477" s="26"/>
      <c r="K477" s="16"/>
      <c r="L477" s="27" t="str">
        <f aca="false">IF(G477="","",G477-H477+I477+IF(K477="N",J477,0))</f>
        <v/>
      </c>
      <c r="M477" s="16"/>
      <c r="N477" s="16"/>
      <c r="O477" s="16"/>
      <c r="P477" s="16"/>
      <c r="Q477" s="16"/>
      <c r="R477" s="16"/>
    </row>
    <row r="478" customFormat="false" ht="15" hidden="false" customHeight="false" outlineLevel="0" collapsed="false">
      <c r="A478" s="25"/>
      <c r="B478" s="16"/>
      <c r="C478" s="16"/>
      <c r="D478" s="16"/>
      <c r="E478" s="16"/>
      <c r="F478" s="16"/>
      <c r="G478" s="26"/>
      <c r="H478" s="26"/>
      <c r="I478" s="26"/>
      <c r="J478" s="26"/>
      <c r="K478" s="16"/>
      <c r="L478" s="27" t="str">
        <f aca="false">IF(G478="","",G478-H478+I478+IF(K478="N",J478,0))</f>
        <v/>
      </c>
      <c r="M478" s="16"/>
      <c r="N478" s="16"/>
      <c r="O478" s="16"/>
      <c r="P478" s="16"/>
      <c r="Q478" s="16"/>
      <c r="R478" s="16"/>
    </row>
    <row r="479" customFormat="false" ht="15" hidden="false" customHeight="false" outlineLevel="0" collapsed="false">
      <c r="A479" s="25"/>
      <c r="B479" s="16"/>
      <c r="C479" s="16"/>
      <c r="D479" s="16"/>
      <c r="E479" s="16"/>
      <c r="F479" s="16"/>
      <c r="G479" s="26"/>
      <c r="H479" s="26"/>
      <c r="I479" s="26"/>
      <c r="J479" s="26"/>
      <c r="K479" s="16"/>
      <c r="L479" s="27" t="str">
        <f aca="false">IF(G479="","",G479-H479+I479+IF(K479="N",J479,0))</f>
        <v/>
      </c>
      <c r="M479" s="16"/>
      <c r="N479" s="16"/>
      <c r="O479" s="16"/>
      <c r="P479" s="16"/>
      <c r="Q479" s="16"/>
      <c r="R479" s="16"/>
    </row>
    <row r="480" customFormat="false" ht="15" hidden="false" customHeight="false" outlineLevel="0" collapsed="false">
      <c r="A480" s="25"/>
      <c r="B480" s="16"/>
      <c r="C480" s="16"/>
      <c r="D480" s="16"/>
      <c r="E480" s="16"/>
      <c r="F480" s="16"/>
      <c r="G480" s="26"/>
      <c r="H480" s="26"/>
      <c r="I480" s="26"/>
      <c r="J480" s="26"/>
      <c r="K480" s="16"/>
      <c r="L480" s="27" t="str">
        <f aca="false">IF(G480="","",G480-H480+I480+IF(K480="N",J480,0))</f>
        <v/>
      </c>
      <c r="M480" s="16"/>
      <c r="N480" s="16"/>
      <c r="O480" s="16"/>
      <c r="P480" s="16"/>
      <c r="Q480" s="16"/>
      <c r="R480" s="16"/>
    </row>
    <row r="481" customFormat="false" ht="15" hidden="false" customHeight="false" outlineLevel="0" collapsed="false">
      <c r="A481" s="25"/>
      <c r="B481" s="16"/>
      <c r="C481" s="16"/>
      <c r="D481" s="16"/>
      <c r="E481" s="16"/>
      <c r="F481" s="16"/>
      <c r="G481" s="26"/>
      <c r="H481" s="26"/>
      <c r="I481" s="26"/>
      <c r="J481" s="26"/>
      <c r="K481" s="16"/>
      <c r="L481" s="27" t="str">
        <f aca="false">IF(G481="","",G481-H481+I481+IF(K481="N",J481,0))</f>
        <v/>
      </c>
      <c r="M481" s="16"/>
      <c r="N481" s="16"/>
      <c r="O481" s="16"/>
      <c r="P481" s="16"/>
      <c r="Q481" s="16"/>
      <c r="R481" s="16"/>
    </row>
    <row r="482" customFormat="false" ht="15" hidden="false" customHeight="false" outlineLevel="0" collapsed="false">
      <c r="A482" s="25"/>
      <c r="B482" s="16"/>
      <c r="C482" s="16"/>
      <c r="D482" s="16"/>
      <c r="E482" s="16"/>
      <c r="F482" s="16"/>
      <c r="G482" s="26"/>
      <c r="H482" s="26"/>
      <c r="I482" s="26"/>
      <c r="J482" s="26"/>
      <c r="K482" s="16"/>
      <c r="L482" s="27" t="str">
        <f aca="false">IF(G482="","",G482-H482+I482+IF(K482="N",J482,0))</f>
        <v/>
      </c>
      <c r="M482" s="16"/>
      <c r="N482" s="16"/>
      <c r="O482" s="16"/>
      <c r="P482" s="16"/>
      <c r="Q482" s="16"/>
      <c r="R482" s="16"/>
    </row>
    <row r="483" customFormat="false" ht="15" hidden="false" customHeight="false" outlineLevel="0" collapsed="false">
      <c r="A483" s="25"/>
      <c r="B483" s="16"/>
      <c r="C483" s="16"/>
      <c r="D483" s="16"/>
      <c r="E483" s="16"/>
      <c r="F483" s="16"/>
      <c r="G483" s="26"/>
      <c r="H483" s="26"/>
      <c r="I483" s="26"/>
      <c r="J483" s="26"/>
      <c r="K483" s="16"/>
      <c r="L483" s="27" t="str">
        <f aca="false">IF(G483="","",G483-H483+I483+IF(K483="N",J483,0))</f>
        <v/>
      </c>
      <c r="M483" s="16"/>
      <c r="N483" s="16"/>
      <c r="O483" s="16"/>
      <c r="P483" s="16"/>
      <c r="Q483" s="16"/>
      <c r="R483" s="16"/>
    </row>
    <row r="484" customFormat="false" ht="15" hidden="false" customHeight="false" outlineLevel="0" collapsed="false">
      <c r="A484" s="25"/>
      <c r="B484" s="16"/>
      <c r="C484" s="16"/>
      <c r="D484" s="16"/>
      <c r="E484" s="16"/>
      <c r="F484" s="16"/>
      <c r="G484" s="26"/>
      <c r="H484" s="26"/>
      <c r="I484" s="26"/>
      <c r="J484" s="26"/>
      <c r="K484" s="16"/>
      <c r="L484" s="27" t="str">
        <f aca="false">IF(G484="","",G484-H484+I484+IF(K484="N",J484,0))</f>
        <v/>
      </c>
      <c r="M484" s="16"/>
      <c r="N484" s="16"/>
      <c r="O484" s="16"/>
      <c r="P484" s="16"/>
      <c r="Q484" s="16"/>
      <c r="R484" s="16"/>
    </row>
    <row r="485" customFormat="false" ht="15" hidden="false" customHeight="false" outlineLevel="0" collapsed="false">
      <c r="A485" s="25"/>
      <c r="B485" s="16"/>
      <c r="C485" s="16"/>
      <c r="D485" s="16"/>
      <c r="E485" s="16"/>
      <c r="F485" s="16"/>
      <c r="G485" s="26"/>
      <c r="H485" s="26"/>
      <c r="I485" s="26"/>
      <c r="J485" s="26"/>
      <c r="K485" s="16"/>
      <c r="L485" s="27" t="str">
        <f aca="false">IF(G485="","",G485-H485+I485+IF(K485="N",J485,0))</f>
        <v/>
      </c>
      <c r="M485" s="16"/>
      <c r="N485" s="16"/>
      <c r="O485" s="16"/>
      <c r="P485" s="16"/>
      <c r="Q485" s="16"/>
      <c r="R485" s="16"/>
    </row>
    <row r="486" customFormat="false" ht="15" hidden="false" customHeight="false" outlineLevel="0" collapsed="false">
      <c r="A486" s="25"/>
      <c r="B486" s="16"/>
      <c r="C486" s="16"/>
      <c r="D486" s="16"/>
      <c r="E486" s="16"/>
      <c r="F486" s="16"/>
      <c r="G486" s="26"/>
      <c r="H486" s="26"/>
      <c r="I486" s="26"/>
      <c r="J486" s="26"/>
      <c r="K486" s="16"/>
      <c r="L486" s="27" t="str">
        <f aca="false">IF(G486="","",G486-H486+I486+IF(K486="N",J486,0))</f>
        <v/>
      </c>
      <c r="M486" s="16"/>
      <c r="N486" s="16"/>
      <c r="O486" s="16"/>
      <c r="P486" s="16"/>
      <c r="Q486" s="16"/>
      <c r="R486" s="16"/>
    </row>
    <row r="487" customFormat="false" ht="15" hidden="false" customHeight="false" outlineLevel="0" collapsed="false">
      <c r="A487" s="25"/>
      <c r="B487" s="16"/>
      <c r="C487" s="16"/>
      <c r="D487" s="16"/>
      <c r="E487" s="16"/>
      <c r="F487" s="16"/>
      <c r="G487" s="26"/>
      <c r="H487" s="26"/>
      <c r="I487" s="26"/>
      <c r="J487" s="26"/>
      <c r="K487" s="16"/>
      <c r="L487" s="27" t="str">
        <f aca="false">IF(G487="","",G487-H487+I487+IF(K487="N",J487,0))</f>
        <v/>
      </c>
      <c r="M487" s="16"/>
      <c r="N487" s="16"/>
      <c r="O487" s="16"/>
      <c r="P487" s="16"/>
      <c r="Q487" s="16"/>
      <c r="R487" s="16"/>
    </row>
    <row r="488" customFormat="false" ht="15" hidden="false" customHeight="false" outlineLevel="0" collapsed="false">
      <c r="A488" s="25"/>
      <c r="B488" s="16"/>
      <c r="C488" s="16"/>
      <c r="D488" s="16"/>
      <c r="E488" s="16"/>
      <c r="F488" s="16"/>
      <c r="G488" s="26"/>
      <c r="H488" s="26"/>
      <c r="I488" s="26"/>
      <c r="J488" s="26"/>
      <c r="K488" s="16"/>
      <c r="L488" s="27" t="str">
        <f aca="false">IF(G488="","",G488-H488+I488+IF(K488="N",J488,0))</f>
        <v/>
      </c>
      <c r="M488" s="16"/>
      <c r="N488" s="16"/>
      <c r="O488" s="16"/>
      <c r="P488" s="16"/>
      <c r="Q488" s="16"/>
      <c r="R488" s="16"/>
    </row>
    <row r="489" customFormat="false" ht="15" hidden="false" customHeight="false" outlineLevel="0" collapsed="false">
      <c r="A489" s="25"/>
      <c r="B489" s="16"/>
      <c r="C489" s="16"/>
      <c r="D489" s="16"/>
      <c r="E489" s="16"/>
      <c r="F489" s="16"/>
      <c r="G489" s="26"/>
      <c r="H489" s="26"/>
      <c r="I489" s="26"/>
      <c r="J489" s="26"/>
      <c r="K489" s="16"/>
      <c r="L489" s="27" t="str">
        <f aca="false">IF(G489="","",G489-H489+I489+IF(K489="N",J489,0))</f>
        <v/>
      </c>
      <c r="M489" s="16"/>
      <c r="N489" s="16"/>
      <c r="O489" s="16"/>
      <c r="P489" s="16"/>
      <c r="Q489" s="16"/>
      <c r="R489" s="16"/>
    </row>
    <row r="490" customFormat="false" ht="15" hidden="false" customHeight="false" outlineLevel="0" collapsed="false">
      <c r="A490" s="25"/>
      <c r="B490" s="16"/>
      <c r="C490" s="16"/>
      <c r="D490" s="16"/>
      <c r="E490" s="16"/>
      <c r="F490" s="16"/>
      <c r="G490" s="26"/>
      <c r="H490" s="26"/>
      <c r="I490" s="26"/>
      <c r="J490" s="26"/>
      <c r="K490" s="16"/>
      <c r="L490" s="27" t="str">
        <f aca="false">IF(G490="","",G490-H490+I490+IF(K490="N",J490,0))</f>
        <v/>
      </c>
      <c r="M490" s="16"/>
      <c r="N490" s="16"/>
      <c r="O490" s="16"/>
      <c r="P490" s="16"/>
      <c r="Q490" s="16"/>
      <c r="R490" s="16"/>
    </row>
    <row r="491" customFormat="false" ht="15" hidden="false" customHeight="false" outlineLevel="0" collapsed="false">
      <c r="A491" s="25"/>
      <c r="B491" s="16"/>
      <c r="C491" s="16"/>
      <c r="D491" s="16"/>
      <c r="E491" s="16"/>
      <c r="F491" s="16"/>
      <c r="G491" s="26"/>
      <c r="H491" s="26"/>
      <c r="I491" s="26"/>
      <c r="J491" s="26"/>
      <c r="K491" s="16"/>
      <c r="L491" s="27" t="str">
        <f aca="false">IF(G491="","",G491-H491+I491+IF(K491="N",J491,0))</f>
        <v/>
      </c>
      <c r="M491" s="16"/>
      <c r="N491" s="16"/>
      <c r="O491" s="16"/>
      <c r="P491" s="16"/>
      <c r="Q491" s="16"/>
      <c r="R491" s="16"/>
    </row>
    <row r="492" customFormat="false" ht="15" hidden="false" customHeight="false" outlineLevel="0" collapsed="false">
      <c r="A492" s="25"/>
      <c r="B492" s="16"/>
      <c r="C492" s="16"/>
      <c r="D492" s="16"/>
      <c r="E492" s="16"/>
      <c r="F492" s="16"/>
      <c r="G492" s="26"/>
      <c r="H492" s="26"/>
      <c r="I492" s="26"/>
      <c r="J492" s="26"/>
      <c r="K492" s="16"/>
      <c r="L492" s="27" t="str">
        <f aca="false">IF(G492="","",G492-H492+I492+IF(K492="N",J492,0))</f>
        <v/>
      </c>
      <c r="M492" s="16"/>
      <c r="N492" s="16"/>
      <c r="O492" s="16"/>
      <c r="P492" s="16"/>
      <c r="Q492" s="16"/>
      <c r="R492" s="16"/>
    </row>
    <row r="493" customFormat="false" ht="15" hidden="false" customHeight="false" outlineLevel="0" collapsed="false">
      <c r="A493" s="25"/>
      <c r="B493" s="16"/>
      <c r="C493" s="16"/>
      <c r="D493" s="16"/>
      <c r="E493" s="16"/>
      <c r="F493" s="16"/>
      <c r="G493" s="26"/>
      <c r="H493" s="26"/>
      <c r="I493" s="26"/>
      <c r="J493" s="26"/>
      <c r="K493" s="16"/>
      <c r="L493" s="27" t="str">
        <f aca="false">IF(G493="","",G493-H493+I493+IF(K493="N",J493,0))</f>
        <v/>
      </c>
      <c r="M493" s="16"/>
      <c r="N493" s="16"/>
      <c r="O493" s="16"/>
      <c r="P493" s="16"/>
      <c r="Q493" s="16"/>
      <c r="R493" s="16"/>
    </row>
    <row r="494" customFormat="false" ht="15" hidden="false" customHeight="false" outlineLevel="0" collapsed="false">
      <c r="A494" s="25"/>
      <c r="B494" s="16"/>
      <c r="C494" s="16"/>
      <c r="D494" s="16"/>
      <c r="E494" s="16"/>
      <c r="F494" s="16"/>
      <c r="G494" s="26"/>
      <c r="H494" s="26"/>
      <c r="I494" s="26"/>
      <c r="J494" s="26"/>
      <c r="K494" s="16"/>
      <c r="L494" s="27" t="str">
        <f aca="false">IF(G494="","",G494-H494+I494+IF(K494="N",J494,0))</f>
        <v/>
      </c>
      <c r="M494" s="16"/>
      <c r="N494" s="16"/>
      <c r="O494" s="16"/>
      <c r="P494" s="16"/>
      <c r="Q494" s="16"/>
      <c r="R494" s="16"/>
    </row>
    <row r="495" customFormat="false" ht="15" hidden="false" customHeight="false" outlineLevel="0" collapsed="false">
      <c r="A495" s="25"/>
      <c r="B495" s="16"/>
      <c r="C495" s="16"/>
      <c r="D495" s="16"/>
      <c r="E495" s="16"/>
      <c r="F495" s="16"/>
      <c r="G495" s="26"/>
      <c r="H495" s="26"/>
      <c r="I495" s="26"/>
      <c r="J495" s="26"/>
      <c r="K495" s="16"/>
      <c r="L495" s="27" t="str">
        <f aca="false">IF(G495="","",G495-H495+I495+IF(K495="N",J495,0))</f>
        <v/>
      </c>
      <c r="M495" s="16"/>
      <c r="N495" s="16"/>
      <c r="O495" s="16"/>
      <c r="P495" s="16"/>
      <c r="Q495" s="16"/>
      <c r="R495" s="16"/>
    </row>
    <row r="496" customFormat="false" ht="15" hidden="false" customHeight="false" outlineLevel="0" collapsed="false">
      <c r="A496" s="25"/>
      <c r="B496" s="16"/>
      <c r="C496" s="16"/>
      <c r="D496" s="16"/>
      <c r="E496" s="16"/>
      <c r="F496" s="16"/>
      <c r="G496" s="26"/>
      <c r="H496" s="26"/>
      <c r="I496" s="26"/>
      <c r="J496" s="26"/>
      <c r="K496" s="16"/>
      <c r="L496" s="27" t="str">
        <f aca="false">IF(G496="","",G496-H496+I496+IF(K496="N",J496,0))</f>
        <v/>
      </c>
      <c r="M496" s="16"/>
      <c r="N496" s="16"/>
      <c r="O496" s="16"/>
      <c r="P496" s="16"/>
      <c r="Q496" s="16"/>
      <c r="R496" s="16"/>
    </row>
    <row r="497" customFormat="false" ht="15" hidden="false" customHeight="false" outlineLevel="0" collapsed="false">
      <c r="A497" s="25"/>
      <c r="B497" s="16"/>
      <c r="C497" s="16"/>
      <c r="D497" s="16"/>
      <c r="E497" s="16"/>
      <c r="F497" s="16"/>
      <c r="G497" s="26"/>
      <c r="H497" s="26"/>
      <c r="I497" s="26"/>
      <c r="J497" s="26"/>
      <c r="K497" s="16"/>
      <c r="L497" s="27" t="str">
        <f aca="false">IF(G497="","",G497-H497+I497+IF(K497="N",J497,0))</f>
        <v/>
      </c>
      <c r="M497" s="16"/>
      <c r="N497" s="16"/>
      <c r="O497" s="16"/>
      <c r="P497" s="16"/>
      <c r="Q497" s="16"/>
      <c r="R497" s="16"/>
    </row>
    <row r="498" customFormat="false" ht="15" hidden="false" customHeight="false" outlineLevel="0" collapsed="false">
      <c r="A498" s="25"/>
      <c r="B498" s="16"/>
      <c r="C498" s="16"/>
      <c r="D498" s="16"/>
      <c r="E498" s="16"/>
      <c r="F498" s="16"/>
      <c r="G498" s="26"/>
      <c r="H498" s="26"/>
      <c r="I498" s="26"/>
      <c r="J498" s="26"/>
      <c r="K498" s="16"/>
      <c r="L498" s="27" t="str">
        <f aca="false">IF(G498="","",G498-H498+I498+IF(K498="N",J498,0))</f>
        <v/>
      </c>
      <c r="M498" s="16"/>
      <c r="N498" s="16"/>
      <c r="O498" s="16"/>
      <c r="P498" s="16"/>
      <c r="Q498" s="16"/>
      <c r="R498" s="16"/>
    </row>
    <row r="499" customFormat="false" ht="15" hidden="false" customHeight="false" outlineLevel="0" collapsed="false">
      <c r="A499" s="25"/>
      <c r="B499" s="16"/>
      <c r="C499" s="16"/>
      <c r="D499" s="16"/>
      <c r="E499" s="16"/>
      <c r="F499" s="16"/>
      <c r="G499" s="26"/>
      <c r="H499" s="26"/>
      <c r="I499" s="26"/>
      <c r="J499" s="26"/>
      <c r="K499" s="16"/>
      <c r="L499" s="27" t="str">
        <f aca="false">IF(G499="","",G499-H499+I499+IF(K499="N",J499,0))</f>
        <v/>
      </c>
      <c r="M499" s="16"/>
      <c r="N499" s="16"/>
      <c r="O499" s="16"/>
      <c r="P499" s="16"/>
      <c r="Q499" s="16"/>
      <c r="R499" s="16"/>
    </row>
    <row r="500" customFormat="false" ht="15" hidden="false" customHeight="false" outlineLevel="0" collapsed="false">
      <c r="A500" s="25"/>
      <c r="B500" s="16"/>
      <c r="C500" s="16"/>
      <c r="D500" s="16"/>
      <c r="E500" s="16"/>
      <c r="F500" s="16"/>
      <c r="G500" s="26"/>
      <c r="H500" s="26"/>
      <c r="I500" s="26"/>
      <c r="J500" s="26"/>
      <c r="K500" s="16"/>
      <c r="L500" s="27" t="str">
        <f aca="false">IF(G500="","",G500-H500+I500+IF(K500="N",J500,0))</f>
        <v/>
      </c>
      <c r="M500" s="16"/>
      <c r="N500" s="16"/>
      <c r="O500" s="16"/>
      <c r="P500" s="16"/>
      <c r="Q500" s="16"/>
      <c r="R500" s="16"/>
    </row>
    <row r="501" customFormat="false" ht="15" hidden="false" customHeight="false" outlineLevel="0" collapsed="false">
      <c r="A501" s="25"/>
      <c r="B501" s="16"/>
      <c r="C501" s="16"/>
      <c r="D501" s="16"/>
      <c r="E501" s="16"/>
      <c r="F501" s="16"/>
      <c r="G501" s="26"/>
      <c r="H501" s="26"/>
      <c r="I501" s="26"/>
      <c r="J501" s="26"/>
      <c r="K501" s="16"/>
      <c r="L501" s="27" t="str">
        <f aca="false">IF(G501="","",G501-H501+I501+IF(K501="N",J501,0))</f>
        <v/>
      </c>
      <c r="M501" s="16"/>
      <c r="N501" s="16"/>
      <c r="O501" s="16"/>
      <c r="P501" s="16"/>
      <c r="Q501" s="16"/>
      <c r="R501" s="16"/>
    </row>
    <row r="502" customFormat="false" ht="15" hidden="false" customHeight="false" outlineLevel="0" collapsed="false">
      <c r="A502" s="25"/>
      <c r="B502" s="16"/>
      <c r="C502" s="16"/>
      <c r="D502" s="16"/>
      <c r="E502" s="16"/>
      <c r="F502" s="16"/>
      <c r="G502" s="26"/>
      <c r="H502" s="26"/>
      <c r="I502" s="26"/>
      <c r="J502" s="26"/>
      <c r="K502" s="16"/>
      <c r="L502" s="27" t="str">
        <f aca="false">IF(G502="","",G502-H502+I502+IF(K502="N",J502,0))</f>
        <v/>
      </c>
      <c r="M502" s="16"/>
      <c r="N502" s="16"/>
      <c r="O502" s="16"/>
      <c r="P502" s="16"/>
      <c r="Q502" s="16"/>
      <c r="R502" s="16"/>
    </row>
    <row r="503" customFormat="false" ht="15" hidden="false" customHeight="false" outlineLevel="0" collapsed="false">
      <c r="A503" s="25"/>
      <c r="B503" s="16"/>
      <c r="C503" s="16"/>
      <c r="D503" s="16"/>
      <c r="E503" s="16"/>
      <c r="F503" s="16"/>
      <c r="G503" s="26"/>
      <c r="H503" s="26"/>
      <c r="I503" s="26"/>
      <c r="J503" s="26"/>
      <c r="K503" s="16"/>
      <c r="L503" s="27" t="str">
        <f aca="false">IF(G503="","",G503-H503+I503+IF(K503="N",J503,0))</f>
        <v/>
      </c>
      <c r="M503" s="16"/>
      <c r="N503" s="16"/>
      <c r="O503" s="16"/>
      <c r="P503" s="16"/>
      <c r="Q503" s="16"/>
      <c r="R503" s="16"/>
    </row>
    <row r="504" customFormat="false" ht="15" hidden="false" customHeight="false" outlineLevel="0" collapsed="false">
      <c r="A504" s="25"/>
      <c r="B504" s="16"/>
      <c r="C504" s="16"/>
      <c r="D504" s="16"/>
      <c r="E504" s="16"/>
      <c r="F504" s="16"/>
      <c r="G504" s="26"/>
      <c r="H504" s="26"/>
      <c r="I504" s="26"/>
      <c r="J504" s="26"/>
      <c r="K504" s="16"/>
      <c r="L504" s="27" t="str">
        <f aca="false">IF(G504="","",G504-H504+I504+IF(K504="N",J504,0))</f>
        <v/>
      </c>
      <c r="M504" s="16"/>
      <c r="N504" s="16"/>
      <c r="O504" s="16"/>
      <c r="P504" s="16"/>
      <c r="Q504" s="16"/>
      <c r="R504" s="16"/>
    </row>
    <row r="505" customFormat="false" ht="15" hidden="false" customHeight="false" outlineLevel="0" collapsed="false">
      <c r="A505" s="25"/>
      <c r="B505" s="16"/>
      <c r="C505" s="16"/>
      <c r="D505" s="16"/>
      <c r="E505" s="16"/>
      <c r="F505" s="16"/>
      <c r="G505" s="26"/>
      <c r="H505" s="26"/>
      <c r="I505" s="26"/>
      <c r="J505" s="26"/>
      <c r="K505" s="16"/>
      <c r="L505" s="27" t="str">
        <f aca="false">IF(G505="","",G505-H505+I505+IF(K505="N",J505,0))</f>
        <v/>
      </c>
      <c r="M505" s="16"/>
      <c r="N505" s="16"/>
      <c r="O505" s="16"/>
      <c r="P505" s="16"/>
      <c r="Q505" s="16"/>
      <c r="R505" s="16"/>
    </row>
    <row r="506" customFormat="false" ht="15" hidden="false" customHeight="false" outlineLevel="0" collapsed="false">
      <c r="A506" s="25"/>
      <c r="B506" s="16"/>
      <c r="C506" s="16"/>
      <c r="D506" s="16"/>
      <c r="E506" s="16"/>
      <c r="F506" s="16"/>
      <c r="G506" s="26"/>
      <c r="H506" s="26"/>
      <c r="I506" s="26"/>
      <c r="J506" s="26"/>
      <c r="K506" s="16"/>
      <c r="L506" s="27" t="str">
        <f aca="false">IF(G506="","",G506-H506+I506+IF(K506="N",J506,0))</f>
        <v/>
      </c>
      <c r="M506" s="16"/>
      <c r="N506" s="16"/>
      <c r="O506" s="16"/>
      <c r="P506" s="16"/>
      <c r="Q506" s="16"/>
      <c r="R506" s="16"/>
    </row>
    <row r="507" customFormat="false" ht="15" hidden="false" customHeight="false" outlineLevel="0" collapsed="false">
      <c r="A507" s="25"/>
      <c r="B507" s="16"/>
      <c r="C507" s="16"/>
      <c r="D507" s="16"/>
      <c r="E507" s="16"/>
      <c r="F507" s="16"/>
      <c r="G507" s="26"/>
      <c r="H507" s="26"/>
      <c r="I507" s="26"/>
      <c r="J507" s="26"/>
      <c r="K507" s="16"/>
      <c r="L507" s="27" t="str">
        <f aca="false">IF(G507="","",G507-H507+I507+IF(K507="N",J507,0))</f>
        <v/>
      </c>
      <c r="M507" s="16"/>
      <c r="N507" s="16"/>
      <c r="O507" s="16"/>
      <c r="P507" s="16"/>
      <c r="Q507" s="16"/>
      <c r="R507" s="16"/>
    </row>
    <row r="508" customFormat="false" ht="15" hidden="false" customHeight="false" outlineLevel="0" collapsed="false">
      <c r="A508" s="25"/>
      <c r="B508" s="16"/>
      <c r="C508" s="16"/>
      <c r="D508" s="16"/>
      <c r="E508" s="16"/>
      <c r="F508" s="16"/>
      <c r="G508" s="26"/>
      <c r="H508" s="26"/>
      <c r="I508" s="26"/>
      <c r="J508" s="26"/>
      <c r="K508" s="16"/>
      <c r="L508" s="27" t="str">
        <f aca="false">IF(G508="","",G508-H508+I508+IF(K508="N",J508,0))</f>
        <v/>
      </c>
      <c r="M508" s="16"/>
      <c r="N508" s="16"/>
      <c r="O508" s="16"/>
      <c r="P508" s="16"/>
      <c r="Q508" s="16"/>
      <c r="R508" s="16"/>
    </row>
    <row r="509" customFormat="false" ht="15" hidden="false" customHeight="false" outlineLevel="0" collapsed="false">
      <c r="A509" s="25"/>
      <c r="B509" s="16"/>
      <c r="C509" s="16"/>
      <c r="D509" s="16"/>
      <c r="E509" s="16"/>
      <c r="F509" s="16"/>
      <c r="G509" s="26"/>
      <c r="H509" s="26"/>
      <c r="I509" s="26"/>
      <c r="J509" s="26"/>
      <c r="K509" s="16"/>
      <c r="L509" s="27" t="str">
        <f aca="false">IF(G509="","",G509-H509+I509+IF(K509="N",J509,0))</f>
        <v/>
      </c>
      <c r="M509" s="16"/>
      <c r="N509" s="16"/>
      <c r="O509" s="16"/>
      <c r="P509" s="16"/>
      <c r="Q509" s="16"/>
      <c r="R509" s="16"/>
    </row>
    <row r="510" customFormat="false" ht="15" hidden="false" customHeight="false" outlineLevel="0" collapsed="false">
      <c r="A510" s="25"/>
      <c r="B510" s="16"/>
      <c r="C510" s="16"/>
      <c r="D510" s="16"/>
      <c r="E510" s="16"/>
      <c r="F510" s="16"/>
      <c r="G510" s="26"/>
      <c r="H510" s="26"/>
      <c r="I510" s="26"/>
      <c r="J510" s="26"/>
      <c r="K510" s="16"/>
      <c r="L510" s="27" t="str">
        <f aca="false">IF(G510="","",G510-H510+I510+IF(K510="N",J510,0))</f>
        <v/>
      </c>
      <c r="M510" s="16"/>
      <c r="N510" s="16"/>
      <c r="O510" s="16"/>
      <c r="P510" s="16"/>
      <c r="Q510" s="16"/>
      <c r="R510" s="16"/>
    </row>
    <row r="511" customFormat="false" ht="15" hidden="false" customHeight="false" outlineLevel="0" collapsed="false">
      <c r="A511" s="25"/>
      <c r="B511" s="16"/>
      <c r="C511" s="16"/>
      <c r="D511" s="16"/>
      <c r="E511" s="16"/>
      <c r="F511" s="16"/>
      <c r="G511" s="26"/>
      <c r="H511" s="26"/>
      <c r="I511" s="26"/>
      <c r="J511" s="26"/>
      <c r="K511" s="16"/>
      <c r="L511" s="27" t="str">
        <f aca="false">IF(G511="","",G511-H511+I511+IF(K511="N",J511,0))</f>
        <v/>
      </c>
      <c r="M511" s="16"/>
      <c r="N511" s="16"/>
      <c r="O511" s="16"/>
      <c r="P511" s="16"/>
      <c r="Q511" s="16"/>
      <c r="R511" s="16"/>
    </row>
    <row r="512" customFormat="false" ht="15" hidden="false" customHeight="false" outlineLevel="0" collapsed="false">
      <c r="A512" s="25"/>
      <c r="B512" s="16"/>
      <c r="C512" s="16"/>
      <c r="D512" s="16"/>
      <c r="E512" s="16"/>
      <c r="F512" s="16"/>
      <c r="G512" s="26"/>
      <c r="H512" s="26"/>
      <c r="I512" s="26"/>
      <c r="J512" s="26"/>
      <c r="K512" s="16"/>
      <c r="L512" s="27" t="str">
        <f aca="false">IF(G512="","",G512-H512+I512+IF(K512="N",J512,0))</f>
        <v/>
      </c>
      <c r="M512" s="16"/>
      <c r="N512" s="16"/>
      <c r="O512" s="16"/>
      <c r="P512" s="16"/>
      <c r="Q512" s="16"/>
      <c r="R512" s="16"/>
    </row>
    <row r="513" customFormat="false" ht="15" hidden="false" customHeight="false" outlineLevel="0" collapsed="false">
      <c r="A513" s="25"/>
      <c r="B513" s="16"/>
      <c r="C513" s="16"/>
      <c r="D513" s="16"/>
      <c r="E513" s="16"/>
      <c r="F513" s="16"/>
      <c r="G513" s="26"/>
      <c r="H513" s="26"/>
      <c r="I513" s="26"/>
      <c r="J513" s="26"/>
      <c r="K513" s="16"/>
      <c r="L513" s="27" t="str">
        <f aca="false">IF(G513="","",G513-H513+I513+IF(K513="N",J513,0))</f>
        <v/>
      </c>
      <c r="M513" s="16"/>
      <c r="N513" s="16"/>
      <c r="O513" s="16"/>
      <c r="P513" s="16"/>
      <c r="Q513" s="16"/>
      <c r="R513" s="16"/>
    </row>
    <row r="514" customFormat="false" ht="15" hidden="false" customHeight="false" outlineLevel="0" collapsed="false">
      <c r="A514" s="25"/>
      <c r="B514" s="16"/>
      <c r="C514" s="16"/>
      <c r="D514" s="16"/>
      <c r="E514" s="16"/>
      <c r="F514" s="16"/>
      <c r="G514" s="26"/>
      <c r="H514" s="26"/>
      <c r="I514" s="26"/>
      <c r="J514" s="26"/>
      <c r="K514" s="16"/>
      <c r="L514" s="27" t="str">
        <f aca="false">IF(G514="","",G514-H514+I514+IF(K514="N",J514,0))</f>
        <v/>
      </c>
      <c r="M514" s="16"/>
      <c r="N514" s="16"/>
      <c r="O514" s="16"/>
      <c r="P514" s="16"/>
      <c r="Q514" s="16"/>
      <c r="R514" s="16"/>
    </row>
    <row r="515" customFormat="false" ht="15" hidden="false" customHeight="false" outlineLevel="0" collapsed="false">
      <c r="A515" s="25"/>
      <c r="B515" s="16"/>
      <c r="C515" s="16"/>
      <c r="D515" s="16"/>
      <c r="E515" s="16"/>
      <c r="F515" s="16"/>
      <c r="G515" s="26"/>
      <c r="H515" s="26"/>
      <c r="I515" s="26"/>
      <c r="J515" s="26"/>
      <c r="K515" s="16"/>
      <c r="L515" s="27" t="str">
        <f aca="false">IF(G515="","",G515-H515+I515+IF(K515="N",J515,0))</f>
        <v/>
      </c>
      <c r="M515" s="16"/>
      <c r="N515" s="16"/>
      <c r="O515" s="16"/>
      <c r="P515" s="16"/>
      <c r="Q515" s="16"/>
      <c r="R515" s="16"/>
    </row>
    <row r="516" customFormat="false" ht="15" hidden="false" customHeight="false" outlineLevel="0" collapsed="false">
      <c r="A516" s="25"/>
      <c r="B516" s="16"/>
      <c r="C516" s="16"/>
      <c r="D516" s="16"/>
      <c r="E516" s="16"/>
      <c r="F516" s="16"/>
      <c r="G516" s="26"/>
      <c r="H516" s="26"/>
      <c r="I516" s="26"/>
      <c r="J516" s="26"/>
      <c r="K516" s="16"/>
      <c r="L516" s="27" t="str">
        <f aca="false">IF(G516="","",G516-H516+I516+IF(K516="N",J516,0))</f>
        <v/>
      </c>
      <c r="M516" s="16"/>
      <c r="N516" s="16"/>
      <c r="O516" s="16"/>
      <c r="P516" s="16"/>
      <c r="Q516" s="16"/>
      <c r="R516" s="16"/>
    </row>
    <row r="517" customFormat="false" ht="15" hidden="false" customHeight="false" outlineLevel="0" collapsed="false">
      <c r="A517" s="25"/>
      <c r="B517" s="16"/>
      <c r="C517" s="16"/>
      <c r="D517" s="16"/>
      <c r="E517" s="16"/>
      <c r="F517" s="16"/>
      <c r="G517" s="26"/>
      <c r="H517" s="26"/>
      <c r="I517" s="26"/>
      <c r="J517" s="26"/>
      <c r="K517" s="16"/>
      <c r="L517" s="27" t="str">
        <f aca="false">IF(G517="","",G517-H517+I517+IF(K517="N",J517,0))</f>
        <v/>
      </c>
      <c r="M517" s="16"/>
      <c r="N517" s="16"/>
      <c r="O517" s="16"/>
      <c r="P517" s="16"/>
      <c r="Q517" s="16"/>
      <c r="R517" s="16"/>
    </row>
    <row r="518" customFormat="false" ht="15" hidden="false" customHeight="false" outlineLevel="0" collapsed="false">
      <c r="A518" s="25"/>
      <c r="B518" s="16"/>
      <c r="C518" s="16"/>
      <c r="D518" s="16"/>
      <c r="E518" s="16"/>
      <c r="F518" s="16"/>
      <c r="G518" s="26"/>
      <c r="H518" s="26"/>
      <c r="I518" s="26"/>
      <c r="J518" s="26"/>
      <c r="K518" s="16"/>
      <c r="L518" s="27" t="str">
        <f aca="false">IF(G518="","",G518-H518+I518+IF(K518="N",J518,0))</f>
        <v/>
      </c>
      <c r="M518" s="16"/>
      <c r="N518" s="16"/>
      <c r="O518" s="16"/>
      <c r="P518" s="16"/>
      <c r="Q518" s="16"/>
      <c r="R518" s="16"/>
    </row>
    <row r="519" customFormat="false" ht="15" hidden="false" customHeight="false" outlineLevel="0" collapsed="false">
      <c r="A519" s="25"/>
      <c r="B519" s="16"/>
      <c r="C519" s="16"/>
      <c r="D519" s="16"/>
      <c r="E519" s="16"/>
      <c r="F519" s="16"/>
      <c r="G519" s="26"/>
      <c r="H519" s="26"/>
      <c r="I519" s="26"/>
      <c r="J519" s="26"/>
      <c r="K519" s="16"/>
      <c r="L519" s="27" t="str">
        <f aca="false">IF(G519="","",G519-H519+I519+IF(K519="N",J519,0))</f>
        <v/>
      </c>
      <c r="M519" s="16"/>
      <c r="N519" s="16"/>
      <c r="O519" s="16"/>
      <c r="P519" s="16"/>
      <c r="Q519" s="16"/>
      <c r="R519" s="16"/>
    </row>
    <row r="520" customFormat="false" ht="15" hidden="false" customHeight="false" outlineLevel="0" collapsed="false">
      <c r="A520" s="25"/>
      <c r="B520" s="16"/>
      <c r="C520" s="16"/>
      <c r="D520" s="16"/>
      <c r="E520" s="16"/>
      <c r="F520" s="16"/>
      <c r="G520" s="26"/>
      <c r="H520" s="26"/>
      <c r="I520" s="26"/>
      <c r="J520" s="26"/>
      <c r="K520" s="16"/>
      <c r="L520" s="27" t="str">
        <f aca="false">IF(G520="","",G520-H520+I520+IF(K520="N",J520,0))</f>
        <v/>
      </c>
      <c r="M520" s="16"/>
      <c r="N520" s="16"/>
      <c r="O520" s="16"/>
      <c r="P520" s="16"/>
      <c r="Q520" s="16"/>
      <c r="R520" s="16"/>
    </row>
    <row r="521" customFormat="false" ht="15" hidden="false" customHeight="false" outlineLevel="0" collapsed="false">
      <c r="A521" s="25"/>
      <c r="B521" s="16"/>
      <c r="C521" s="16"/>
      <c r="D521" s="16"/>
      <c r="E521" s="16"/>
      <c r="F521" s="16"/>
      <c r="G521" s="26"/>
      <c r="H521" s="26"/>
      <c r="I521" s="26"/>
      <c r="J521" s="26"/>
      <c r="K521" s="16"/>
      <c r="L521" s="27" t="str">
        <f aca="false">IF(G521="","",G521-H521+I521+IF(K521="N",J521,0))</f>
        <v/>
      </c>
      <c r="M521" s="16"/>
      <c r="N521" s="16"/>
      <c r="O521" s="16"/>
      <c r="P521" s="16"/>
      <c r="Q521" s="16"/>
      <c r="R521" s="16"/>
    </row>
    <row r="522" customFormat="false" ht="15" hidden="false" customHeight="false" outlineLevel="0" collapsed="false">
      <c r="A522" s="25"/>
      <c r="B522" s="16"/>
      <c r="C522" s="16"/>
      <c r="D522" s="16"/>
      <c r="E522" s="16"/>
      <c r="F522" s="16"/>
      <c r="G522" s="26"/>
      <c r="H522" s="26"/>
      <c r="I522" s="26"/>
      <c r="J522" s="26"/>
      <c r="K522" s="16"/>
      <c r="L522" s="27" t="str">
        <f aca="false">IF(G522="","",G522-H522+I522+IF(K522="N",J522,0))</f>
        <v/>
      </c>
      <c r="M522" s="16"/>
      <c r="N522" s="16"/>
      <c r="O522" s="16"/>
      <c r="P522" s="16"/>
      <c r="Q522" s="16"/>
      <c r="R522" s="16"/>
    </row>
    <row r="523" customFormat="false" ht="15" hidden="false" customHeight="false" outlineLevel="0" collapsed="false">
      <c r="A523" s="25"/>
      <c r="B523" s="16"/>
      <c r="C523" s="16"/>
      <c r="D523" s="16"/>
      <c r="E523" s="16"/>
      <c r="F523" s="16"/>
      <c r="G523" s="26"/>
      <c r="H523" s="26"/>
      <c r="I523" s="26"/>
      <c r="J523" s="26"/>
      <c r="K523" s="16"/>
      <c r="L523" s="27" t="str">
        <f aca="false">IF(G523="","",G523-H523+I523+IF(K523="N",J523,0))</f>
        <v/>
      </c>
      <c r="M523" s="16"/>
      <c r="N523" s="16"/>
      <c r="O523" s="16"/>
      <c r="P523" s="16"/>
      <c r="Q523" s="16"/>
      <c r="R523" s="16"/>
    </row>
    <row r="524" customFormat="false" ht="15" hidden="false" customHeight="false" outlineLevel="0" collapsed="false">
      <c r="A524" s="25"/>
      <c r="B524" s="16"/>
      <c r="C524" s="16"/>
      <c r="D524" s="16"/>
      <c r="E524" s="16"/>
      <c r="F524" s="16"/>
      <c r="G524" s="26"/>
      <c r="H524" s="26"/>
      <c r="I524" s="26"/>
      <c r="J524" s="26"/>
      <c r="K524" s="16"/>
      <c r="L524" s="27" t="str">
        <f aca="false">IF(G524="","",G524-H524+I524+IF(K524="N",J524,0))</f>
        <v/>
      </c>
      <c r="M524" s="16"/>
      <c r="N524" s="16"/>
      <c r="O524" s="16"/>
      <c r="P524" s="16"/>
      <c r="Q524" s="16"/>
      <c r="R524" s="16"/>
    </row>
    <row r="525" customFormat="false" ht="15" hidden="false" customHeight="false" outlineLevel="0" collapsed="false">
      <c r="A525" s="25"/>
      <c r="B525" s="16"/>
      <c r="C525" s="16"/>
      <c r="D525" s="16"/>
      <c r="E525" s="16"/>
      <c r="F525" s="16"/>
      <c r="G525" s="26"/>
      <c r="H525" s="26"/>
      <c r="I525" s="26"/>
      <c r="J525" s="26"/>
      <c r="K525" s="16"/>
      <c r="L525" s="27" t="str">
        <f aca="false">IF(G525="","",G525-H525+I525+IF(K525="N",J525,0))</f>
        <v/>
      </c>
      <c r="M525" s="16"/>
      <c r="N525" s="16"/>
      <c r="O525" s="16"/>
      <c r="P525" s="16"/>
      <c r="Q525" s="16"/>
      <c r="R525" s="16"/>
    </row>
    <row r="526" customFormat="false" ht="15" hidden="false" customHeight="false" outlineLevel="0" collapsed="false">
      <c r="A526" s="25"/>
      <c r="B526" s="16"/>
      <c r="C526" s="16"/>
      <c r="D526" s="16"/>
      <c r="E526" s="16"/>
      <c r="F526" s="16"/>
      <c r="G526" s="26"/>
      <c r="H526" s="26"/>
      <c r="I526" s="26"/>
      <c r="J526" s="26"/>
      <c r="K526" s="16"/>
      <c r="L526" s="27" t="str">
        <f aca="false">IF(G526="","",G526-H526+I526+IF(K526="N",J526,0))</f>
        <v/>
      </c>
      <c r="M526" s="16"/>
      <c r="N526" s="16"/>
      <c r="O526" s="16"/>
      <c r="P526" s="16"/>
      <c r="Q526" s="16"/>
      <c r="R526" s="16"/>
    </row>
    <row r="527" customFormat="false" ht="15" hidden="false" customHeight="false" outlineLevel="0" collapsed="false">
      <c r="A527" s="25"/>
      <c r="B527" s="16"/>
      <c r="C527" s="16"/>
      <c r="D527" s="16"/>
      <c r="E527" s="16"/>
      <c r="F527" s="16"/>
      <c r="G527" s="26"/>
      <c r="H527" s="26"/>
      <c r="I527" s="26"/>
      <c r="J527" s="26"/>
      <c r="K527" s="16"/>
      <c r="L527" s="27" t="str">
        <f aca="false">IF(G527="","",G527-H527+I527+IF(K527="N",J527,0))</f>
        <v/>
      </c>
      <c r="M527" s="16"/>
      <c r="N527" s="16"/>
      <c r="O527" s="16"/>
      <c r="P527" s="16"/>
      <c r="Q527" s="16"/>
      <c r="R527" s="16"/>
    </row>
    <row r="528" customFormat="false" ht="15" hidden="false" customHeight="false" outlineLevel="0" collapsed="false">
      <c r="A528" s="25"/>
      <c r="B528" s="16"/>
      <c r="C528" s="16"/>
      <c r="D528" s="16"/>
      <c r="E528" s="16"/>
      <c r="F528" s="16"/>
      <c r="G528" s="26"/>
      <c r="H528" s="26"/>
      <c r="I528" s="26"/>
      <c r="J528" s="26"/>
      <c r="K528" s="16"/>
      <c r="L528" s="27" t="str">
        <f aca="false">IF(G528="","",G528-H528+I528+IF(K528="N",J528,0))</f>
        <v/>
      </c>
      <c r="M528" s="16"/>
      <c r="N528" s="16"/>
      <c r="O528" s="16"/>
      <c r="P528" s="16"/>
      <c r="Q528" s="16"/>
      <c r="R528" s="16"/>
    </row>
    <row r="529" customFormat="false" ht="15" hidden="false" customHeight="false" outlineLevel="0" collapsed="false">
      <c r="A529" s="25"/>
      <c r="B529" s="16"/>
      <c r="C529" s="16"/>
      <c r="D529" s="16"/>
      <c r="E529" s="16"/>
      <c r="F529" s="16"/>
      <c r="G529" s="26"/>
      <c r="H529" s="26"/>
      <c r="I529" s="26"/>
      <c r="J529" s="26"/>
      <c r="K529" s="16"/>
      <c r="L529" s="27" t="str">
        <f aca="false">IF(G529="","",G529-H529+I529+IF(K529="N",J529,0))</f>
        <v/>
      </c>
      <c r="M529" s="16"/>
      <c r="N529" s="16"/>
      <c r="O529" s="16"/>
      <c r="P529" s="16"/>
      <c r="Q529" s="16"/>
      <c r="R529" s="16"/>
    </row>
    <row r="530" customFormat="false" ht="15" hidden="false" customHeight="false" outlineLevel="0" collapsed="false">
      <c r="A530" s="25"/>
      <c r="B530" s="16"/>
      <c r="C530" s="16"/>
      <c r="D530" s="16"/>
      <c r="E530" s="16"/>
      <c r="F530" s="16"/>
      <c r="G530" s="26"/>
      <c r="H530" s="26"/>
      <c r="I530" s="26"/>
      <c r="J530" s="26"/>
      <c r="K530" s="16"/>
      <c r="L530" s="27" t="str">
        <f aca="false">IF(G530="","",G530-H530+I530+IF(K530="N",J530,0))</f>
        <v/>
      </c>
      <c r="M530" s="16"/>
      <c r="N530" s="16"/>
      <c r="O530" s="16"/>
      <c r="P530" s="16"/>
      <c r="Q530" s="16"/>
      <c r="R530" s="16"/>
    </row>
    <row r="531" customFormat="false" ht="15" hidden="false" customHeight="false" outlineLevel="0" collapsed="false">
      <c r="A531" s="25"/>
      <c r="B531" s="16"/>
      <c r="C531" s="16"/>
      <c r="D531" s="16"/>
      <c r="E531" s="16"/>
      <c r="F531" s="16"/>
      <c r="G531" s="26"/>
      <c r="H531" s="26"/>
      <c r="I531" s="26"/>
      <c r="J531" s="26"/>
      <c r="K531" s="16"/>
      <c r="L531" s="27" t="str">
        <f aca="false">IF(G531="","",G531-H531+I531+IF(K531="N",J531,0))</f>
        <v/>
      </c>
      <c r="M531" s="16"/>
      <c r="N531" s="16"/>
      <c r="O531" s="16"/>
      <c r="P531" s="16"/>
      <c r="Q531" s="16"/>
      <c r="R531" s="16"/>
    </row>
    <row r="532" customFormat="false" ht="15" hidden="false" customHeight="false" outlineLevel="0" collapsed="false">
      <c r="A532" s="25"/>
      <c r="B532" s="16"/>
      <c r="C532" s="16"/>
      <c r="D532" s="16"/>
      <c r="E532" s="16"/>
      <c r="F532" s="16"/>
      <c r="G532" s="26"/>
      <c r="H532" s="26"/>
      <c r="I532" s="26"/>
      <c r="J532" s="26"/>
      <c r="K532" s="16"/>
      <c r="L532" s="27" t="str">
        <f aca="false">IF(G532="","",G532-H532+I532+IF(K532="N",J532,0))</f>
        <v/>
      </c>
      <c r="M532" s="16"/>
      <c r="N532" s="16"/>
      <c r="O532" s="16"/>
      <c r="P532" s="16"/>
      <c r="Q532" s="16"/>
      <c r="R532" s="16"/>
    </row>
    <row r="533" customFormat="false" ht="15" hidden="false" customHeight="false" outlineLevel="0" collapsed="false">
      <c r="A533" s="25"/>
      <c r="B533" s="16"/>
      <c r="C533" s="16"/>
      <c r="D533" s="16"/>
      <c r="E533" s="16"/>
      <c r="F533" s="16"/>
      <c r="G533" s="26"/>
      <c r="H533" s="26"/>
      <c r="I533" s="26"/>
      <c r="J533" s="26"/>
      <c r="K533" s="16"/>
      <c r="L533" s="27" t="str">
        <f aca="false">IF(G533="","",G533-H533+I533+IF(K533="N",J533,0))</f>
        <v/>
      </c>
      <c r="M533" s="16"/>
      <c r="N533" s="16"/>
      <c r="O533" s="16"/>
      <c r="P533" s="16"/>
      <c r="Q533" s="16"/>
      <c r="R533" s="16"/>
    </row>
    <row r="534" customFormat="false" ht="15" hidden="false" customHeight="false" outlineLevel="0" collapsed="false">
      <c r="A534" s="25"/>
      <c r="B534" s="16"/>
      <c r="C534" s="16"/>
      <c r="D534" s="16"/>
      <c r="E534" s="16"/>
      <c r="F534" s="16"/>
      <c r="G534" s="26"/>
      <c r="H534" s="26"/>
      <c r="I534" s="26"/>
      <c r="J534" s="26"/>
      <c r="K534" s="16"/>
      <c r="L534" s="27" t="str">
        <f aca="false">IF(G534="","",G534-H534+I534+IF(K534="N",J534,0))</f>
        <v/>
      </c>
      <c r="M534" s="16"/>
      <c r="N534" s="16"/>
      <c r="O534" s="16"/>
      <c r="P534" s="16"/>
      <c r="Q534" s="16"/>
      <c r="R534" s="16"/>
    </row>
    <row r="535" customFormat="false" ht="15" hidden="false" customHeight="false" outlineLevel="0" collapsed="false">
      <c r="A535" s="25"/>
      <c r="B535" s="16"/>
      <c r="C535" s="16"/>
      <c r="D535" s="16"/>
      <c r="E535" s="16"/>
      <c r="F535" s="16"/>
      <c r="G535" s="26"/>
      <c r="H535" s="26"/>
      <c r="I535" s="26"/>
      <c r="J535" s="26"/>
      <c r="K535" s="16"/>
      <c r="L535" s="27" t="str">
        <f aca="false">IF(G535="","",G535-H535+I535+IF(K535="N",J535,0))</f>
        <v/>
      </c>
      <c r="M535" s="16"/>
      <c r="N535" s="16"/>
      <c r="O535" s="16"/>
      <c r="P535" s="16"/>
      <c r="Q535" s="16"/>
      <c r="R535" s="16"/>
    </row>
    <row r="536" customFormat="false" ht="15" hidden="false" customHeight="false" outlineLevel="0" collapsed="false">
      <c r="A536" s="25"/>
      <c r="B536" s="16"/>
      <c r="C536" s="16"/>
      <c r="D536" s="16"/>
      <c r="E536" s="16"/>
      <c r="F536" s="16"/>
      <c r="G536" s="26"/>
      <c r="H536" s="26"/>
      <c r="I536" s="26"/>
      <c r="J536" s="26"/>
      <c r="K536" s="16"/>
      <c r="L536" s="27" t="str">
        <f aca="false">IF(G536="","",G536-H536+I536+IF(K536="N",J536,0))</f>
        <v/>
      </c>
      <c r="M536" s="16"/>
      <c r="N536" s="16"/>
      <c r="O536" s="16"/>
      <c r="P536" s="16"/>
      <c r="Q536" s="16"/>
      <c r="R536" s="16"/>
    </row>
    <row r="537" customFormat="false" ht="15" hidden="false" customHeight="false" outlineLevel="0" collapsed="false">
      <c r="A537" s="25"/>
      <c r="B537" s="16"/>
      <c r="C537" s="16"/>
      <c r="D537" s="16"/>
      <c r="E537" s="16"/>
      <c r="F537" s="16"/>
      <c r="G537" s="26"/>
      <c r="H537" s="26"/>
      <c r="I537" s="26"/>
      <c r="J537" s="26"/>
      <c r="K537" s="16"/>
      <c r="L537" s="27" t="str">
        <f aca="false">IF(G537="","",G537-H537+I537+IF(K537="N",J537,0))</f>
        <v/>
      </c>
      <c r="M537" s="16"/>
      <c r="N537" s="16"/>
      <c r="O537" s="16"/>
      <c r="P537" s="16"/>
      <c r="Q537" s="16"/>
      <c r="R537" s="16"/>
    </row>
    <row r="538" customFormat="false" ht="15" hidden="false" customHeight="false" outlineLevel="0" collapsed="false">
      <c r="A538" s="25"/>
      <c r="B538" s="16"/>
      <c r="C538" s="16"/>
      <c r="D538" s="16"/>
      <c r="E538" s="16"/>
      <c r="F538" s="16"/>
      <c r="G538" s="26"/>
      <c r="H538" s="26"/>
      <c r="I538" s="26"/>
      <c r="J538" s="26"/>
      <c r="K538" s="16"/>
      <c r="L538" s="27" t="str">
        <f aca="false">IF(G538="","",G538-H538+I538+IF(K538="N",J538,0))</f>
        <v/>
      </c>
      <c r="M538" s="16"/>
      <c r="N538" s="16"/>
      <c r="O538" s="16"/>
      <c r="P538" s="16"/>
      <c r="Q538" s="16"/>
      <c r="R538" s="16"/>
    </row>
    <row r="539" customFormat="false" ht="15" hidden="false" customHeight="false" outlineLevel="0" collapsed="false">
      <c r="A539" s="25"/>
      <c r="B539" s="16"/>
      <c r="C539" s="16"/>
      <c r="D539" s="16"/>
      <c r="E539" s="16"/>
      <c r="F539" s="16"/>
      <c r="G539" s="26"/>
      <c r="H539" s="26"/>
      <c r="I539" s="26"/>
      <c r="J539" s="26"/>
      <c r="K539" s="16"/>
      <c r="L539" s="27" t="str">
        <f aca="false">IF(G539="","",G539-H539+I539+IF(K539="N",J539,0))</f>
        <v/>
      </c>
      <c r="M539" s="16"/>
      <c r="N539" s="16"/>
      <c r="O539" s="16"/>
      <c r="P539" s="16"/>
      <c r="Q539" s="16"/>
      <c r="R539" s="16"/>
    </row>
    <row r="540" customFormat="false" ht="15" hidden="false" customHeight="false" outlineLevel="0" collapsed="false">
      <c r="A540" s="25"/>
      <c r="B540" s="16"/>
      <c r="C540" s="16"/>
      <c r="D540" s="16"/>
      <c r="E540" s="16"/>
      <c r="F540" s="16"/>
      <c r="G540" s="26"/>
      <c r="H540" s="26"/>
      <c r="I540" s="26"/>
      <c r="J540" s="26"/>
      <c r="K540" s="16"/>
      <c r="L540" s="27" t="str">
        <f aca="false">IF(G540="","",G540-H540+I540+IF(K540="N",J540,0))</f>
        <v/>
      </c>
      <c r="M540" s="16"/>
      <c r="N540" s="16"/>
      <c r="O540" s="16"/>
      <c r="P540" s="16"/>
      <c r="Q540" s="16"/>
      <c r="R540" s="16"/>
    </row>
    <row r="541" customFormat="false" ht="15" hidden="false" customHeight="false" outlineLevel="0" collapsed="false">
      <c r="A541" s="25"/>
      <c r="B541" s="16"/>
      <c r="C541" s="16"/>
      <c r="D541" s="16"/>
      <c r="E541" s="16"/>
      <c r="F541" s="16"/>
      <c r="G541" s="26"/>
      <c r="H541" s="26"/>
      <c r="I541" s="26"/>
      <c r="J541" s="26"/>
      <c r="K541" s="16"/>
      <c r="L541" s="27" t="str">
        <f aca="false">IF(G541="","",G541-H541+I541+IF(K541="N",J541,0))</f>
        <v/>
      </c>
      <c r="M541" s="16"/>
      <c r="N541" s="16"/>
      <c r="O541" s="16"/>
      <c r="P541" s="16"/>
      <c r="Q541" s="16"/>
      <c r="R541" s="16"/>
    </row>
    <row r="542" customFormat="false" ht="15" hidden="false" customHeight="false" outlineLevel="0" collapsed="false">
      <c r="A542" s="25"/>
      <c r="B542" s="16"/>
      <c r="C542" s="16"/>
      <c r="D542" s="16"/>
      <c r="E542" s="16"/>
      <c r="F542" s="16"/>
      <c r="G542" s="26"/>
      <c r="H542" s="26"/>
      <c r="I542" s="26"/>
      <c r="J542" s="26"/>
      <c r="K542" s="16"/>
      <c r="L542" s="27" t="str">
        <f aca="false">IF(G542="","",G542-H542+I542+IF(K542="N",J542,0))</f>
        <v/>
      </c>
      <c r="M542" s="16"/>
      <c r="N542" s="16"/>
      <c r="O542" s="16"/>
      <c r="P542" s="16"/>
      <c r="Q542" s="16"/>
      <c r="R542" s="16"/>
    </row>
    <row r="543" customFormat="false" ht="15" hidden="false" customHeight="false" outlineLevel="0" collapsed="false">
      <c r="A543" s="25"/>
      <c r="B543" s="16"/>
      <c r="C543" s="16"/>
      <c r="D543" s="16"/>
      <c r="E543" s="16"/>
      <c r="F543" s="16"/>
      <c r="G543" s="26"/>
      <c r="H543" s="26"/>
      <c r="I543" s="26"/>
      <c r="J543" s="26"/>
      <c r="K543" s="16"/>
      <c r="L543" s="27" t="str">
        <f aca="false">IF(G543="","",G543-H543+I543+IF(K543="N",J543,0))</f>
        <v/>
      </c>
      <c r="M543" s="16"/>
      <c r="N543" s="16"/>
      <c r="O543" s="16"/>
      <c r="P543" s="16"/>
      <c r="Q543" s="16"/>
      <c r="R543" s="16"/>
    </row>
    <row r="544" customFormat="false" ht="15" hidden="false" customHeight="false" outlineLevel="0" collapsed="false">
      <c r="A544" s="25"/>
      <c r="B544" s="16"/>
      <c r="C544" s="16"/>
      <c r="D544" s="16"/>
      <c r="E544" s="16"/>
      <c r="F544" s="16"/>
      <c r="G544" s="26"/>
      <c r="H544" s="26"/>
      <c r="I544" s="26"/>
      <c r="J544" s="26"/>
      <c r="K544" s="16"/>
      <c r="L544" s="27" t="str">
        <f aca="false">IF(G544="","",G544-H544+I544+IF(K544="N",J544,0))</f>
        <v/>
      </c>
      <c r="M544" s="16"/>
      <c r="N544" s="16"/>
      <c r="O544" s="16"/>
      <c r="P544" s="16"/>
      <c r="Q544" s="16"/>
      <c r="R544" s="16"/>
    </row>
    <row r="545" customFormat="false" ht="15" hidden="false" customHeight="false" outlineLevel="0" collapsed="false">
      <c r="A545" s="25"/>
      <c r="B545" s="16"/>
      <c r="C545" s="16"/>
      <c r="D545" s="16"/>
      <c r="E545" s="16"/>
      <c r="F545" s="16"/>
      <c r="G545" s="26"/>
      <c r="H545" s="26"/>
      <c r="I545" s="26"/>
      <c r="J545" s="26"/>
      <c r="K545" s="16"/>
      <c r="L545" s="27" t="str">
        <f aca="false">IF(G545="","",G545-H545+I545+IF(K545="N",J545,0))</f>
        <v/>
      </c>
      <c r="M545" s="16"/>
      <c r="N545" s="16"/>
      <c r="O545" s="16"/>
      <c r="P545" s="16"/>
      <c r="Q545" s="16"/>
      <c r="R545" s="16"/>
    </row>
    <row r="546" customFormat="false" ht="15" hidden="false" customHeight="false" outlineLevel="0" collapsed="false">
      <c r="A546" s="25"/>
      <c r="B546" s="16"/>
      <c r="C546" s="16"/>
      <c r="D546" s="16"/>
      <c r="E546" s="16"/>
      <c r="F546" s="16"/>
      <c r="G546" s="26"/>
      <c r="H546" s="26"/>
      <c r="I546" s="26"/>
      <c r="J546" s="26"/>
      <c r="K546" s="16"/>
      <c r="L546" s="27" t="str">
        <f aca="false">IF(G546="","",G546-H546+I546+IF(K546="N",J546,0))</f>
        <v/>
      </c>
      <c r="M546" s="16"/>
      <c r="N546" s="16"/>
      <c r="O546" s="16"/>
      <c r="P546" s="16"/>
      <c r="Q546" s="16"/>
      <c r="R546" s="16"/>
    </row>
    <row r="547" customFormat="false" ht="15" hidden="false" customHeight="false" outlineLevel="0" collapsed="false">
      <c r="A547" s="25"/>
      <c r="B547" s="16"/>
      <c r="C547" s="16"/>
      <c r="D547" s="16"/>
      <c r="E547" s="16"/>
      <c r="F547" s="16"/>
      <c r="G547" s="26"/>
      <c r="H547" s="26"/>
      <c r="I547" s="26"/>
      <c r="J547" s="26"/>
      <c r="K547" s="16"/>
      <c r="L547" s="27" t="str">
        <f aca="false">IF(G547="","",G547-H547+I547+IF(K547="N",J547,0))</f>
        <v/>
      </c>
      <c r="M547" s="16"/>
      <c r="N547" s="16"/>
      <c r="O547" s="16"/>
      <c r="P547" s="16"/>
      <c r="Q547" s="16"/>
      <c r="R547" s="16"/>
    </row>
    <row r="548" customFormat="false" ht="15" hidden="false" customHeight="false" outlineLevel="0" collapsed="false">
      <c r="A548" s="25"/>
      <c r="B548" s="16"/>
      <c r="C548" s="16"/>
      <c r="D548" s="16"/>
      <c r="E548" s="16"/>
      <c r="F548" s="16"/>
      <c r="G548" s="26"/>
      <c r="H548" s="26"/>
      <c r="I548" s="26"/>
      <c r="J548" s="26"/>
      <c r="K548" s="16"/>
      <c r="L548" s="27" t="str">
        <f aca="false">IF(G548="","",G548-H548+I548+IF(K548="N",J548,0))</f>
        <v/>
      </c>
      <c r="M548" s="16"/>
      <c r="N548" s="16"/>
      <c r="O548" s="16"/>
      <c r="P548" s="16"/>
      <c r="Q548" s="16"/>
      <c r="R548" s="16"/>
    </row>
    <row r="549" customFormat="false" ht="15" hidden="false" customHeight="false" outlineLevel="0" collapsed="false">
      <c r="A549" s="25"/>
      <c r="B549" s="16"/>
      <c r="C549" s="16"/>
      <c r="D549" s="16"/>
      <c r="E549" s="16"/>
      <c r="F549" s="16"/>
      <c r="G549" s="26"/>
      <c r="H549" s="26"/>
      <c r="I549" s="26"/>
      <c r="J549" s="26"/>
      <c r="K549" s="16"/>
      <c r="L549" s="27" t="str">
        <f aca="false">IF(G549="","",G549-H549+I549+IF(K549="N",J549,0))</f>
        <v/>
      </c>
      <c r="M549" s="16"/>
      <c r="N549" s="16"/>
      <c r="O549" s="16"/>
      <c r="P549" s="16"/>
      <c r="Q549" s="16"/>
      <c r="R549" s="16"/>
    </row>
    <row r="550" customFormat="false" ht="15" hidden="false" customHeight="false" outlineLevel="0" collapsed="false">
      <c r="A550" s="25"/>
      <c r="B550" s="16"/>
      <c r="C550" s="16"/>
      <c r="D550" s="16"/>
      <c r="E550" s="16"/>
      <c r="F550" s="16"/>
      <c r="G550" s="26"/>
      <c r="H550" s="26"/>
      <c r="I550" s="26"/>
      <c r="J550" s="26"/>
      <c r="K550" s="16"/>
      <c r="L550" s="27" t="str">
        <f aca="false">IF(G550="","",G550-H550+I550+IF(K550="N",J550,0))</f>
        <v/>
      </c>
      <c r="M550" s="16"/>
      <c r="N550" s="16"/>
      <c r="O550" s="16"/>
      <c r="P550" s="16"/>
      <c r="Q550" s="16"/>
      <c r="R550" s="16"/>
    </row>
    <row r="551" customFormat="false" ht="15" hidden="false" customHeight="false" outlineLevel="0" collapsed="false">
      <c r="A551" s="25"/>
      <c r="B551" s="16"/>
      <c r="C551" s="16"/>
      <c r="D551" s="16"/>
      <c r="E551" s="16"/>
      <c r="F551" s="16"/>
      <c r="G551" s="26"/>
      <c r="H551" s="26"/>
      <c r="I551" s="26"/>
      <c r="J551" s="26"/>
      <c r="K551" s="16"/>
      <c r="L551" s="27" t="str">
        <f aca="false">IF(G551="","",G551-H551+I551+IF(K551="N",J551,0))</f>
        <v/>
      </c>
      <c r="M551" s="16"/>
      <c r="N551" s="16"/>
      <c r="O551" s="16"/>
      <c r="P551" s="16"/>
      <c r="Q551" s="16"/>
      <c r="R551" s="16"/>
    </row>
    <row r="552" customFormat="false" ht="15" hidden="false" customHeight="false" outlineLevel="0" collapsed="false">
      <c r="A552" s="25"/>
      <c r="B552" s="16"/>
      <c r="C552" s="16"/>
      <c r="D552" s="16"/>
      <c r="E552" s="16"/>
      <c r="F552" s="16"/>
      <c r="G552" s="26"/>
      <c r="H552" s="26"/>
      <c r="I552" s="26"/>
      <c r="J552" s="26"/>
      <c r="K552" s="16"/>
      <c r="L552" s="27" t="str">
        <f aca="false">IF(G552="","",G552-H552+I552+IF(K552="N",J552,0))</f>
        <v/>
      </c>
      <c r="M552" s="16"/>
      <c r="N552" s="16"/>
      <c r="O552" s="16"/>
      <c r="P552" s="16"/>
      <c r="Q552" s="16"/>
      <c r="R552" s="16"/>
    </row>
    <row r="553" customFormat="false" ht="15" hidden="false" customHeight="false" outlineLevel="0" collapsed="false">
      <c r="A553" s="25"/>
      <c r="B553" s="16"/>
      <c r="C553" s="16"/>
      <c r="D553" s="16"/>
      <c r="E553" s="16"/>
      <c r="F553" s="16"/>
      <c r="G553" s="26"/>
      <c r="H553" s="26"/>
      <c r="I553" s="26"/>
      <c r="J553" s="26"/>
      <c r="K553" s="16"/>
      <c r="L553" s="27" t="str">
        <f aca="false">IF(G553="","",G553-H553+I553+IF(K553="N",J553,0))</f>
        <v/>
      </c>
      <c r="M553" s="16"/>
      <c r="N553" s="16"/>
      <c r="O553" s="16"/>
      <c r="P553" s="16"/>
      <c r="Q553" s="16"/>
      <c r="R553" s="16"/>
    </row>
    <row r="554" customFormat="false" ht="15" hidden="false" customHeight="false" outlineLevel="0" collapsed="false">
      <c r="A554" s="25"/>
      <c r="B554" s="16"/>
      <c r="C554" s="16"/>
      <c r="D554" s="16"/>
      <c r="E554" s="16"/>
      <c r="F554" s="16"/>
      <c r="G554" s="26"/>
      <c r="H554" s="26"/>
      <c r="I554" s="26"/>
      <c r="J554" s="26"/>
      <c r="K554" s="16"/>
      <c r="L554" s="27" t="str">
        <f aca="false">IF(G554="","",G554-H554+I554+IF(K554="N",J554,0))</f>
        <v/>
      </c>
      <c r="M554" s="16"/>
      <c r="N554" s="16"/>
      <c r="O554" s="16"/>
      <c r="P554" s="16"/>
      <c r="Q554" s="16"/>
      <c r="R554" s="16"/>
    </row>
    <row r="555" customFormat="false" ht="15" hidden="false" customHeight="false" outlineLevel="0" collapsed="false">
      <c r="A555" s="25"/>
      <c r="B555" s="16"/>
      <c r="C555" s="16"/>
      <c r="D555" s="16"/>
      <c r="E555" s="16"/>
      <c r="F555" s="16"/>
      <c r="G555" s="26"/>
      <c r="H555" s="26"/>
      <c r="I555" s="26"/>
      <c r="J555" s="26"/>
      <c r="K555" s="16"/>
      <c r="L555" s="27" t="str">
        <f aca="false">IF(G555="","",G555-H555+I555+IF(K555="N",J555,0))</f>
        <v/>
      </c>
      <c r="M555" s="16"/>
      <c r="N555" s="16"/>
      <c r="O555" s="16"/>
      <c r="P555" s="16"/>
      <c r="Q555" s="16"/>
      <c r="R555" s="16"/>
    </row>
    <row r="556" customFormat="false" ht="15" hidden="false" customHeight="false" outlineLevel="0" collapsed="false">
      <c r="A556" s="25"/>
      <c r="B556" s="16"/>
      <c r="C556" s="16"/>
      <c r="D556" s="16"/>
      <c r="E556" s="16"/>
      <c r="F556" s="16"/>
      <c r="G556" s="26"/>
      <c r="H556" s="26"/>
      <c r="I556" s="26"/>
      <c r="J556" s="26"/>
      <c r="K556" s="16"/>
      <c r="L556" s="27" t="str">
        <f aca="false">IF(G556="","",G556-H556+I556+IF(K556="N",J556,0))</f>
        <v/>
      </c>
      <c r="M556" s="16"/>
      <c r="N556" s="16"/>
      <c r="O556" s="16"/>
      <c r="P556" s="16"/>
      <c r="Q556" s="16"/>
      <c r="R556" s="16"/>
    </row>
    <row r="557" customFormat="false" ht="15" hidden="false" customHeight="false" outlineLevel="0" collapsed="false">
      <c r="A557" s="25"/>
      <c r="B557" s="16"/>
      <c r="C557" s="16"/>
      <c r="D557" s="16"/>
      <c r="E557" s="16"/>
      <c r="F557" s="16"/>
      <c r="G557" s="26"/>
      <c r="H557" s="26"/>
      <c r="I557" s="26"/>
      <c r="J557" s="26"/>
      <c r="K557" s="16"/>
      <c r="L557" s="27" t="str">
        <f aca="false">IF(G557="","",G557-H557+I557+IF(K557="N",J557,0))</f>
        <v/>
      </c>
      <c r="M557" s="16"/>
      <c r="N557" s="16"/>
      <c r="O557" s="16"/>
      <c r="P557" s="16"/>
      <c r="Q557" s="16"/>
      <c r="R557" s="16"/>
    </row>
    <row r="558" customFormat="false" ht="15" hidden="false" customHeight="false" outlineLevel="0" collapsed="false">
      <c r="A558" s="25"/>
      <c r="B558" s="16"/>
      <c r="C558" s="16"/>
      <c r="D558" s="16"/>
      <c r="E558" s="16"/>
      <c r="F558" s="16"/>
      <c r="G558" s="26"/>
      <c r="H558" s="26"/>
      <c r="I558" s="26"/>
      <c r="J558" s="26"/>
      <c r="K558" s="16"/>
      <c r="L558" s="27" t="str">
        <f aca="false">IF(G558="","",G558-H558+I558+IF(K558="N",J558,0))</f>
        <v/>
      </c>
      <c r="M558" s="16"/>
      <c r="N558" s="16"/>
      <c r="O558" s="16"/>
      <c r="P558" s="16"/>
      <c r="Q558" s="16"/>
      <c r="R558" s="16"/>
    </row>
    <row r="559" customFormat="false" ht="15" hidden="false" customHeight="false" outlineLevel="0" collapsed="false">
      <c r="A559" s="25"/>
      <c r="B559" s="16"/>
      <c r="C559" s="16"/>
      <c r="D559" s="16"/>
      <c r="E559" s="16"/>
      <c r="F559" s="16"/>
      <c r="G559" s="26"/>
      <c r="H559" s="26"/>
      <c r="I559" s="26"/>
      <c r="J559" s="26"/>
      <c r="K559" s="16"/>
      <c r="L559" s="27" t="str">
        <f aca="false">IF(G559="","",G559-H559+I559+IF(K559="N",J559,0))</f>
        <v/>
      </c>
      <c r="M559" s="16"/>
      <c r="N559" s="16"/>
      <c r="O559" s="16"/>
      <c r="P559" s="16"/>
      <c r="Q559" s="16"/>
      <c r="R559" s="16"/>
    </row>
    <row r="560" customFormat="false" ht="15" hidden="false" customHeight="false" outlineLevel="0" collapsed="false">
      <c r="A560" s="25"/>
      <c r="B560" s="16"/>
      <c r="C560" s="16"/>
      <c r="D560" s="16"/>
      <c r="E560" s="16"/>
      <c r="F560" s="16"/>
      <c r="G560" s="26"/>
      <c r="H560" s="26"/>
      <c r="I560" s="26"/>
      <c r="J560" s="26"/>
      <c r="K560" s="16"/>
      <c r="L560" s="27" t="str">
        <f aca="false">IF(G560="","",G560-H560+I560+IF(K560="N",J560,0))</f>
        <v/>
      </c>
      <c r="M560" s="16"/>
      <c r="N560" s="16"/>
      <c r="O560" s="16"/>
      <c r="P560" s="16"/>
      <c r="Q560" s="16"/>
      <c r="R560" s="16"/>
    </row>
    <row r="561" customFormat="false" ht="15" hidden="false" customHeight="false" outlineLevel="0" collapsed="false">
      <c r="A561" s="25"/>
      <c r="B561" s="16"/>
      <c r="C561" s="16"/>
      <c r="D561" s="16"/>
      <c r="E561" s="16"/>
      <c r="F561" s="16"/>
      <c r="G561" s="26"/>
      <c r="H561" s="26"/>
      <c r="I561" s="26"/>
      <c r="J561" s="26"/>
      <c r="K561" s="16"/>
      <c r="L561" s="27" t="str">
        <f aca="false">IF(G561="","",G561-H561+I561+IF(K561="N",J561,0))</f>
        <v/>
      </c>
      <c r="M561" s="16"/>
      <c r="N561" s="16"/>
      <c r="O561" s="16"/>
      <c r="P561" s="16"/>
      <c r="Q561" s="16"/>
      <c r="R561" s="16"/>
    </row>
    <row r="562" customFormat="false" ht="15" hidden="false" customHeight="false" outlineLevel="0" collapsed="false">
      <c r="A562" s="25"/>
      <c r="B562" s="16"/>
      <c r="C562" s="16"/>
      <c r="D562" s="16"/>
      <c r="E562" s="16"/>
      <c r="F562" s="16"/>
      <c r="G562" s="26"/>
      <c r="H562" s="26"/>
      <c r="I562" s="26"/>
      <c r="J562" s="26"/>
      <c r="K562" s="16"/>
      <c r="L562" s="27" t="str">
        <f aca="false">IF(G562="","",G562-H562+I562+IF(K562="N",J562,0))</f>
        <v/>
      </c>
      <c r="M562" s="16"/>
      <c r="N562" s="16"/>
      <c r="O562" s="16"/>
      <c r="P562" s="16"/>
      <c r="Q562" s="16"/>
      <c r="R562" s="16"/>
    </row>
    <row r="563" customFormat="false" ht="15" hidden="false" customHeight="false" outlineLevel="0" collapsed="false">
      <c r="A563" s="25"/>
      <c r="B563" s="16"/>
      <c r="C563" s="16"/>
      <c r="D563" s="16"/>
      <c r="E563" s="16"/>
      <c r="F563" s="16"/>
      <c r="G563" s="26"/>
      <c r="H563" s="26"/>
      <c r="I563" s="26"/>
      <c r="J563" s="26"/>
      <c r="K563" s="16"/>
      <c r="L563" s="27" t="str">
        <f aca="false">IF(G563="","",G563-H563+I563+IF(K563="N",J563,0))</f>
        <v/>
      </c>
      <c r="M563" s="16"/>
      <c r="N563" s="16"/>
      <c r="O563" s="16"/>
      <c r="P563" s="16"/>
      <c r="Q563" s="16"/>
      <c r="R563" s="16"/>
    </row>
    <row r="564" customFormat="false" ht="15" hidden="false" customHeight="false" outlineLevel="0" collapsed="false">
      <c r="A564" s="25"/>
      <c r="B564" s="16"/>
      <c r="C564" s="16"/>
      <c r="D564" s="16"/>
      <c r="E564" s="16"/>
      <c r="F564" s="16"/>
      <c r="G564" s="26"/>
      <c r="H564" s="26"/>
      <c r="I564" s="26"/>
      <c r="J564" s="26"/>
      <c r="K564" s="16"/>
      <c r="L564" s="27" t="str">
        <f aca="false">IF(G564="","",G564-H564+I564+IF(K564="N",J564,0))</f>
        <v/>
      </c>
      <c r="M564" s="16"/>
      <c r="N564" s="16"/>
      <c r="O564" s="16"/>
      <c r="P564" s="16"/>
      <c r="Q564" s="16"/>
      <c r="R564" s="16"/>
    </row>
    <row r="565" customFormat="false" ht="15" hidden="false" customHeight="false" outlineLevel="0" collapsed="false">
      <c r="A565" s="25"/>
      <c r="B565" s="16"/>
      <c r="C565" s="16"/>
      <c r="D565" s="16"/>
      <c r="E565" s="16"/>
      <c r="F565" s="16"/>
      <c r="G565" s="26"/>
      <c r="H565" s="26"/>
      <c r="I565" s="26"/>
      <c r="J565" s="26"/>
      <c r="K565" s="16"/>
      <c r="L565" s="27" t="str">
        <f aca="false">IF(G565="","",G565-H565+I565+IF(K565="N",J565,0))</f>
        <v/>
      </c>
      <c r="M565" s="16"/>
      <c r="N565" s="16"/>
      <c r="O565" s="16"/>
      <c r="P565" s="16"/>
      <c r="Q565" s="16"/>
      <c r="R565" s="16"/>
    </row>
    <row r="566" customFormat="false" ht="15" hidden="false" customHeight="false" outlineLevel="0" collapsed="false">
      <c r="A566" s="25"/>
      <c r="B566" s="16"/>
      <c r="C566" s="16"/>
      <c r="D566" s="16"/>
      <c r="E566" s="16"/>
      <c r="F566" s="16"/>
      <c r="G566" s="26"/>
      <c r="H566" s="26"/>
      <c r="I566" s="26"/>
      <c r="J566" s="26"/>
      <c r="K566" s="16"/>
      <c r="L566" s="27" t="str">
        <f aca="false">IF(G566="","",G566-H566+I566+IF(K566="N",J566,0))</f>
        <v/>
      </c>
      <c r="M566" s="16"/>
      <c r="N566" s="16"/>
      <c r="O566" s="16"/>
      <c r="P566" s="16"/>
      <c r="Q566" s="16"/>
      <c r="R566" s="16"/>
    </row>
    <row r="567" customFormat="false" ht="15" hidden="false" customHeight="false" outlineLevel="0" collapsed="false">
      <c r="A567" s="25"/>
      <c r="B567" s="16"/>
      <c r="C567" s="16"/>
      <c r="D567" s="16"/>
      <c r="E567" s="16"/>
      <c r="F567" s="16"/>
      <c r="G567" s="26"/>
      <c r="H567" s="26"/>
      <c r="I567" s="26"/>
      <c r="J567" s="26"/>
      <c r="K567" s="16"/>
      <c r="L567" s="27" t="str">
        <f aca="false">IF(G567="","",G567-H567+I567+IF(K567="N",J567,0))</f>
        <v/>
      </c>
      <c r="M567" s="16"/>
      <c r="N567" s="16"/>
      <c r="O567" s="16"/>
      <c r="P567" s="16"/>
      <c r="Q567" s="16"/>
      <c r="R567" s="16"/>
    </row>
    <row r="568" customFormat="false" ht="15" hidden="false" customHeight="false" outlineLevel="0" collapsed="false">
      <c r="A568" s="25"/>
      <c r="B568" s="16"/>
      <c r="C568" s="16"/>
      <c r="D568" s="16"/>
      <c r="E568" s="16"/>
      <c r="F568" s="16"/>
      <c r="G568" s="26"/>
      <c r="H568" s="26"/>
      <c r="I568" s="26"/>
      <c r="J568" s="26"/>
      <c r="K568" s="16"/>
      <c r="L568" s="27" t="str">
        <f aca="false">IF(G568="","",G568-H568+I568+IF(K568="N",J568,0))</f>
        <v/>
      </c>
      <c r="M568" s="16"/>
      <c r="N568" s="16"/>
      <c r="O568" s="16"/>
      <c r="P568" s="16"/>
      <c r="Q568" s="16"/>
      <c r="R568" s="16"/>
    </row>
    <row r="569" customFormat="false" ht="15" hidden="false" customHeight="false" outlineLevel="0" collapsed="false">
      <c r="A569" s="25"/>
      <c r="B569" s="16"/>
      <c r="C569" s="16"/>
      <c r="D569" s="16"/>
      <c r="E569" s="16"/>
      <c r="F569" s="16"/>
      <c r="G569" s="26"/>
      <c r="H569" s="26"/>
      <c r="I569" s="26"/>
      <c r="J569" s="26"/>
      <c r="K569" s="16"/>
      <c r="L569" s="27" t="str">
        <f aca="false">IF(G569="","",G569-H569+I569+IF(K569="N",J569,0))</f>
        <v/>
      </c>
      <c r="M569" s="16"/>
      <c r="N569" s="16"/>
      <c r="O569" s="16"/>
      <c r="P569" s="16"/>
      <c r="Q569" s="16"/>
      <c r="R569" s="16"/>
    </row>
    <row r="570" customFormat="false" ht="15" hidden="false" customHeight="false" outlineLevel="0" collapsed="false">
      <c r="A570" s="25"/>
      <c r="B570" s="16"/>
      <c r="C570" s="16"/>
      <c r="D570" s="16"/>
      <c r="E570" s="16"/>
      <c r="F570" s="16"/>
      <c r="G570" s="26"/>
      <c r="H570" s="26"/>
      <c r="I570" s="26"/>
      <c r="J570" s="26"/>
      <c r="K570" s="16"/>
      <c r="L570" s="27" t="str">
        <f aca="false">IF(G570="","",G570-H570+I570+IF(K570="N",J570,0))</f>
        <v/>
      </c>
      <c r="M570" s="16"/>
      <c r="N570" s="16"/>
      <c r="O570" s="16"/>
      <c r="P570" s="16"/>
      <c r="Q570" s="16"/>
      <c r="R570" s="16"/>
    </row>
    <row r="571" customFormat="false" ht="15" hidden="false" customHeight="false" outlineLevel="0" collapsed="false">
      <c r="A571" s="25"/>
      <c r="B571" s="16"/>
      <c r="C571" s="16"/>
      <c r="D571" s="16"/>
      <c r="E571" s="16"/>
      <c r="F571" s="16"/>
      <c r="G571" s="26"/>
      <c r="H571" s="26"/>
      <c r="I571" s="26"/>
      <c r="J571" s="26"/>
      <c r="K571" s="16"/>
      <c r="L571" s="27" t="str">
        <f aca="false">IF(G571="","",G571-H571+I571+IF(K571="N",J571,0))</f>
        <v/>
      </c>
      <c r="M571" s="16"/>
      <c r="N571" s="16"/>
      <c r="O571" s="16"/>
      <c r="P571" s="16"/>
      <c r="Q571" s="16"/>
      <c r="R571" s="16"/>
    </row>
    <row r="572" customFormat="false" ht="15" hidden="false" customHeight="false" outlineLevel="0" collapsed="false">
      <c r="A572" s="25"/>
      <c r="B572" s="16"/>
      <c r="C572" s="16"/>
      <c r="D572" s="16"/>
      <c r="E572" s="16"/>
      <c r="F572" s="16"/>
      <c r="G572" s="26"/>
      <c r="H572" s="26"/>
      <c r="I572" s="26"/>
      <c r="J572" s="26"/>
      <c r="K572" s="16"/>
      <c r="L572" s="27" t="str">
        <f aca="false">IF(G572="","",G572-H572+I572+IF(K572="N",J572,0))</f>
        <v/>
      </c>
      <c r="M572" s="16"/>
      <c r="N572" s="16"/>
      <c r="O572" s="16"/>
      <c r="P572" s="16"/>
      <c r="Q572" s="16"/>
      <c r="R572" s="16"/>
    </row>
    <row r="573" customFormat="false" ht="15" hidden="false" customHeight="false" outlineLevel="0" collapsed="false">
      <c r="A573" s="25"/>
      <c r="B573" s="16"/>
      <c r="C573" s="16"/>
      <c r="D573" s="16"/>
      <c r="E573" s="16"/>
      <c r="F573" s="16"/>
      <c r="G573" s="26"/>
      <c r="H573" s="26"/>
      <c r="I573" s="26"/>
      <c r="J573" s="26"/>
      <c r="K573" s="16"/>
      <c r="L573" s="27" t="str">
        <f aca="false">IF(G573="","",G573-H573+I573+IF(K573="N",J573,0))</f>
        <v/>
      </c>
      <c r="M573" s="16"/>
      <c r="N573" s="16"/>
      <c r="O573" s="16"/>
      <c r="P573" s="16"/>
      <c r="Q573" s="16"/>
      <c r="R573" s="16"/>
    </row>
    <row r="574" customFormat="false" ht="15" hidden="false" customHeight="false" outlineLevel="0" collapsed="false">
      <c r="A574" s="25"/>
      <c r="B574" s="16"/>
      <c r="C574" s="16"/>
      <c r="D574" s="16"/>
      <c r="E574" s="16"/>
      <c r="F574" s="16"/>
      <c r="G574" s="26"/>
      <c r="H574" s="26"/>
      <c r="I574" s="26"/>
      <c r="J574" s="26"/>
      <c r="K574" s="16"/>
      <c r="L574" s="27" t="str">
        <f aca="false">IF(G574="","",G574-H574+I574+IF(K574="N",J574,0))</f>
        <v/>
      </c>
      <c r="M574" s="16"/>
      <c r="N574" s="16"/>
      <c r="O574" s="16"/>
      <c r="P574" s="16"/>
      <c r="Q574" s="16"/>
      <c r="R574" s="16"/>
    </row>
    <row r="575" customFormat="false" ht="15" hidden="false" customHeight="false" outlineLevel="0" collapsed="false">
      <c r="A575" s="25"/>
      <c r="B575" s="16"/>
      <c r="C575" s="16"/>
      <c r="D575" s="16"/>
      <c r="E575" s="16"/>
      <c r="F575" s="16"/>
      <c r="G575" s="26"/>
      <c r="H575" s="26"/>
      <c r="I575" s="26"/>
      <c r="J575" s="26"/>
      <c r="K575" s="16"/>
      <c r="L575" s="27" t="str">
        <f aca="false">IF(G575="","",G575-H575+I575+IF(K575="N",J575,0))</f>
        <v/>
      </c>
      <c r="M575" s="16"/>
      <c r="N575" s="16"/>
      <c r="O575" s="16"/>
      <c r="P575" s="16"/>
      <c r="Q575" s="16"/>
      <c r="R575" s="16"/>
    </row>
    <row r="576" customFormat="false" ht="15" hidden="false" customHeight="false" outlineLevel="0" collapsed="false">
      <c r="A576" s="25"/>
      <c r="B576" s="16"/>
      <c r="C576" s="16"/>
      <c r="D576" s="16"/>
      <c r="E576" s="16"/>
      <c r="F576" s="16"/>
      <c r="G576" s="26"/>
      <c r="H576" s="26"/>
      <c r="I576" s="26"/>
      <c r="J576" s="26"/>
      <c r="K576" s="16"/>
      <c r="L576" s="27" t="str">
        <f aca="false">IF(G576="","",G576-H576+I576+IF(K576="N",J576,0))</f>
        <v/>
      </c>
      <c r="M576" s="16"/>
      <c r="N576" s="16"/>
      <c r="O576" s="16"/>
      <c r="P576" s="16"/>
      <c r="Q576" s="16"/>
      <c r="R576" s="16"/>
    </row>
    <row r="577" customFormat="false" ht="15" hidden="false" customHeight="false" outlineLevel="0" collapsed="false">
      <c r="A577" s="25"/>
      <c r="B577" s="16"/>
      <c r="C577" s="16"/>
      <c r="D577" s="16"/>
      <c r="E577" s="16"/>
      <c r="F577" s="16"/>
      <c r="G577" s="26"/>
      <c r="H577" s="26"/>
      <c r="I577" s="26"/>
      <c r="J577" s="26"/>
      <c r="K577" s="16"/>
      <c r="L577" s="27" t="str">
        <f aca="false">IF(G577="","",G577-H577+I577+IF(K577="N",J577,0))</f>
        <v/>
      </c>
      <c r="M577" s="16"/>
      <c r="N577" s="16"/>
      <c r="O577" s="16"/>
      <c r="P577" s="16"/>
      <c r="Q577" s="16"/>
      <c r="R577" s="16"/>
    </row>
    <row r="578" customFormat="false" ht="15" hidden="false" customHeight="false" outlineLevel="0" collapsed="false">
      <c r="A578" s="25"/>
      <c r="B578" s="16"/>
      <c r="C578" s="16"/>
      <c r="D578" s="16"/>
      <c r="E578" s="16"/>
      <c r="F578" s="16"/>
      <c r="G578" s="26"/>
      <c r="H578" s="26"/>
      <c r="I578" s="26"/>
      <c r="J578" s="26"/>
      <c r="K578" s="16"/>
      <c r="L578" s="27" t="str">
        <f aca="false">IF(G578="","",G578-H578+I578+IF(K578="N",J578,0))</f>
        <v/>
      </c>
      <c r="M578" s="16"/>
      <c r="N578" s="16"/>
      <c r="O578" s="16"/>
      <c r="P578" s="16"/>
      <c r="Q578" s="16"/>
      <c r="R578" s="16"/>
    </row>
    <row r="579" customFormat="false" ht="15" hidden="false" customHeight="false" outlineLevel="0" collapsed="false">
      <c r="A579" s="25"/>
      <c r="B579" s="16"/>
      <c r="C579" s="16"/>
      <c r="D579" s="16"/>
      <c r="E579" s="16"/>
      <c r="F579" s="16"/>
      <c r="G579" s="26"/>
      <c r="H579" s="26"/>
      <c r="I579" s="26"/>
      <c r="J579" s="26"/>
      <c r="K579" s="16"/>
      <c r="L579" s="27" t="str">
        <f aca="false">IF(G579="","",G579-H579+I579+IF(K579="N",J579,0))</f>
        <v/>
      </c>
      <c r="M579" s="16"/>
      <c r="N579" s="16"/>
      <c r="O579" s="16"/>
      <c r="P579" s="16"/>
      <c r="Q579" s="16"/>
      <c r="R579" s="16"/>
    </row>
    <row r="580" customFormat="false" ht="15" hidden="false" customHeight="false" outlineLevel="0" collapsed="false">
      <c r="A580" s="25"/>
      <c r="B580" s="16"/>
      <c r="C580" s="16"/>
      <c r="D580" s="16"/>
      <c r="E580" s="16"/>
      <c r="F580" s="16"/>
      <c r="G580" s="26"/>
      <c r="H580" s="26"/>
      <c r="I580" s="26"/>
      <c r="J580" s="26"/>
      <c r="K580" s="16"/>
      <c r="L580" s="27" t="str">
        <f aca="false">IF(G580="","",G580-H580+I580+IF(K580="N",J580,0))</f>
        <v/>
      </c>
      <c r="M580" s="16"/>
      <c r="N580" s="16"/>
      <c r="O580" s="16"/>
      <c r="P580" s="16"/>
      <c r="Q580" s="16"/>
      <c r="R580" s="16"/>
    </row>
    <row r="581" customFormat="false" ht="15" hidden="false" customHeight="false" outlineLevel="0" collapsed="false">
      <c r="A581" s="25"/>
      <c r="B581" s="16"/>
      <c r="C581" s="16"/>
      <c r="D581" s="16"/>
      <c r="E581" s="16"/>
      <c r="F581" s="16"/>
      <c r="G581" s="26"/>
      <c r="H581" s="26"/>
      <c r="I581" s="26"/>
      <c r="J581" s="26"/>
      <c r="K581" s="16"/>
      <c r="L581" s="27" t="str">
        <f aca="false">IF(G581="","",G581-H581+I581+IF(K581="N",J581,0))</f>
        <v/>
      </c>
      <c r="M581" s="16"/>
      <c r="N581" s="16"/>
      <c r="O581" s="16"/>
      <c r="P581" s="16"/>
      <c r="Q581" s="16"/>
      <c r="R581" s="16"/>
    </row>
    <row r="582" customFormat="false" ht="15" hidden="false" customHeight="false" outlineLevel="0" collapsed="false">
      <c r="A582" s="25"/>
      <c r="B582" s="16"/>
      <c r="C582" s="16"/>
      <c r="D582" s="16"/>
      <c r="E582" s="16"/>
      <c r="F582" s="16"/>
      <c r="G582" s="26"/>
      <c r="H582" s="26"/>
      <c r="I582" s="26"/>
      <c r="J582" s="26"/>
      <c r="K582" s="16"/>
      <c r="L582" s="27" t="str">
        <f aca="false">IF(G582="","",G582-H582+I582+IF(K582="N",J582,0))</f>
        <v/>
      </c>
      <c r="M582" s="16"/>
      <c r="N582" s="16"/>
      <c r="O582" s="16"/>
      <c r="P582" s="16"/>
      <c r="Q582" s="16"/>
      <c r="R582" s="16"/>
    </row>
    <row r="583" customFormat="false" ht="15" hidden="false" customHeight="false" outlineLevel="0" collapsed="false">
      <c r="A583" s="25"/>
      <c r="B583" s="16"/>
      <c r="C583" s="16"/>
      <c r="D583" s="16"/>
      <c r="E583" s="16"/>
      <c r="F583" s="16"/>
      <c r="G583" s="26"/>
      <c r="H583" s="26"/>
      <c r="I583" s="26"/>
      <c r="J583" s="26"/>
      <c r="K583" s="16"/>
      <c r="L583" s="27" t="str">
        <f aca="false">IF(G583="","",G583-H583+I583+IF(K583="N",J583,0))</f>
        <v/>
      </c>
      <c r="M583" s="16"/>
      <c r="N583" s="16"/>
      <c r="O583" s="16"/>
      <c r="P583" s="16"/>
      <c r="Q583" s="16"/>
      <c r="R583" s="16"/>
    </row>
    <row r="584" customFormat="false" ht="15" hidden="false" customHeight="false" outlineLevel="0" collapsed="false">
      <c r="A584" s="25"/>
      <c r="B584" s="16"/>
      <c r="C584" s="16"/>
      <c r="D584" s="16"/>
      <c r="E584" s="16"/>
      <c r="F584" s="16"/>
      <c r="G584" s="26"/>
      <c r="H584" s="26"/>
      <c r="I584" s="26"/>
      <c r="J584" s="26"/>
      <c r="K584" s="16"/>
      <c r="L584" s="27" t="str">
        <f aca="false">IF(G584="","",G584-H584+I584+IF(K584="N",J584,0))</f>
        <v/>
      </c>
      <c r="M584" s="16"/>
      <c r="N584" s="16"/>
      <c r="O584" s="16"/>
      <c r="P584" s="16"/>
      <c r="Q584" s="16"/>
      <c r="R584" s="16"/>
    </row>
    <row r="585" customFormat="false" ht="15" hidden="false" customHeight="false" outlineLevel="0" collapsed="false">
      <c r="A585" s="25"/>
      <c r="B585" s="16"/>
      <c r="C585" s="16"/>
      <c r="D585" s="16"/>
      <c r="E585" s="16"/>
      <c r="F585" s="16"/>
      <c r="G585" s="26"/>
      <c r="H585" s="26"/>
      <c r="I585" s="26"/>
      <c r="J585" s="26"/>
      <c r="K585" s="16"/>
      <c r="L585" s="27" t="str">
        <f aca="false">IF(G585="","",G585-H585+I585+IF(K585="N",J585,0))</f>
        <v/>
      </c>
      <c r="M585" s="16"/>
      <c r="N585" s="16"/>
      <c r="O585" s="16"/>
      <c r="P585" s="16"/>
      <c r="Q585" s="16"/>
      <c r="R585" s="16"/>
    </row>
    <row r="586" customFormat="false" ht="15" hidden="false" customHeight="false" outlineLevel="0" collapsed="false">
      <c r="A586" s="25"/>
      <c r="B586" s="16"/>
      <c r="C586" s="16"/>
      <c r="D586" s="16"/>
      <c r="E586" s="16"/>
      <c r="F586" s="16"/>
      <c r="G586" s="26"/>
      <c r="H586" s="26"/>
      <c r="I586" s="26"/>
      <c r="J586" s="26"/>
      <c r="K586" s="16"/>
      <c r="L586" s="27" t="str">
        <f aca="false">IF(G586="","",G586-H586+I586+IF(K586="N",J586,0))</f>
        <v/>
      </c>
      <c r="M586" s="16"/>
      <c r="N586" s="16"/>
      <c r="O586" s="16"/>
      <c r="P586" s="16"/>
      <c r="Q586" s="16"/>
      <c r="R586" s="16"/>
    </row>
    <row r="587" customFormat="false" ht="15" hidden="false" customHeight="false" outlineLevel="0" collapsed="false">
      <c r="A587" s="25"/>
      <c r="B587" s="16"/>
      <c r="C587" s="16"/>
      <c r="D587" s="16"/>
      <c r="E587" s="16"/>
      <c r="F587" s="16"/>
      <c r="G587" s="26"/>
      <c r="H587" s="26"/>
      <c r="I587" s="26"/>
      <c r="J587" s="26"/>
      <c r="K587" s="16"/>
      <c r="L587" s="27" t="str">
        <f aca="false">IF(G587="","",G587-H587+I587+IF(K587="N",J587,0))</f>
        <v/>
      </c>
      <c r="M587" s="16"/>
      <c r="N587" s="16"/>
      <c r="O587" s="16"/>
      <c r="P587" s="16"/>
      <c r="Q587" s="16"/>
      <c r="R587" s="16"/>
    </row>
    <row r="588" customFormat="false" ht="15" hidden="false" customHeight="false" outlineLevel="0" collapsed="false">
      <c r="A588" s="25"/>
      <c r="B588" s="16"/>
      <c r="C588" s="16"/>
      <c r="D588" s="16"/>
      <c r="E588" s="16"/>
      <c r="F588" s="16"/>
      <c r="G588" s="26"/>
      <c r="H588" s="26"/>
      <c r="I588" s="26"/>
      <c r="J588" s="26"/>
      <c r="K588" s="16"/>
      <c r="L588" s="27" t="str">
        <f aca="false">IF(G588="","",G588-H588+I588+IF(K588="N",J588,0))</f>
        <v/>
      </c>
      <c r="M588" s="16"/>
      <c r="N588" s="16"/>
      <c r="O588" s="16"/>
      <c r="P588" s="16"/>
      <c r="Q588" s="16"/>
      <c r="R588" s="16"/>
    </row>
    <row r="589" customFormat="false" ht="15" hidden="false" customHeight="false" outlineLevel="0" collapsed="false">
      <c r="A589" s="25"/>
      <c r="B589" s="16"/>
      <c r="C589" s="16"/>
      <c r="D589" s="16"/>
      <c r="E589" s="16"/>
      <c r="F589" s="16"/>
      <c r="G589" s="26"/>
      <c r="H589" s="26"/>
      <c r="I589" s="26"/>
      <c r="J589" s="26"/>
      <c r="K589" s="16"/>
      <c r="L589" s="27" t="str">
        <f aca="false">IF(G589="","",G589-H589+I589+IF(K589="N",J589,0))</f>
        <v/>
      </c>
      <c r="M589" s="16"/>
      <c r="N589" s="16"/>
      <c r="O589" s="16"/>
      <c r="P589" s="16"/>
      <c r="Q589" s="16"/>
      <c r="R589" s="16"/>
    </row>
    <row r="590" customFormat="false" ht="15" hidden="false" customHeight="false" outlineLevel="0" collapsed="false">
      <c r="A590" s="25"/>
      <c r="B590" s="16"/>
      <c r="C590" s="16"/>
      <c r="D590" s="16"/>
      <c r="E590" s="16"/>
      <c r="F590" s="16"/>
      <c r="G590" s="26"/>
      <c r="H590" s="26"/>
      <c r="I590" s="26"/>
      <c r="J590" s="26"/>
      <c r="K590" s="16"/>
      <c r="L590" s="27" t="str">
        <f aca="false">IF(G590="","",G590-H590+I590+IF(K590="N",J590,0))</f>
        <v/>
      </c>
      <c r="M590" s="16"/>
      <c r="N590" s="16"/>
      <c r="O590" s="16"/>
      <c r="P590" s="16"/>
      <c r="Q590" s="16"/>
      <c r="R590" s="16"/>
    </row>
    <row r="591" customFormat="false" ht="15" hidden="false" customHeight="false" outlineLevel="0" collapsed="false">
      <c r="A591" s="25"/>
      <c r="B591" s="16"/>
      <c r="C591" s="16"/>
      <c r="D591" s="16"/>
      <c r="E591" s="16"/>
      <c r="F591" s="16"/>
      <c r="G591" s="26"/>
      <c r="H591" s="26"/>
      <c r="I591" s="26"/>
      <c r="J591" s="26"/>
      <c r="K591" s="16"/>
      <c r="L591" s="27" t="str">
        <f aca="false">IF(G591="","",G591-H591+I591+IF(K591="N",J591,0))</f>
        <v/>
      </c>
      <c r="M591" s="16"/>
      <c r="N591" s="16"/>
      <c r="O591" s="16"/>
      <c r="P591" s="16"/>
      <c r="Q591" s="16"/>
      <c r="R591" s="16"/>
    </row>
    <row r="592" customFormat="false" ht="15" hidden="false" customHeight="false" outlineLevel="0" collapsed="false">
      <c r="A592" s="25"/>
      <c r="B592" s="16"/>
      <c r="C592" s="16"/>
      <c r="D592" s="16"/>
      <c r="E592" s="16"/>
      <c r="F592" s="16"/>
      <c r="G592" s="26"/>
      <c r="H592" s="26"/>
      <c r="I592" s="26"/>
      <c r="J592" s="26"/>
      <c r="K592" s="16"/>
      <c r="L592" s="27" t="str">
        <f aca="false">IF(G592="","",G592-H592+I592+IF(K592="N",J592,0))</f>
        <v/>
      </c>
      <c r="M592" s="16"/>
      <c r="N592" s="16"/>
      <c r="O592" s="16"/>
      <c r="P592" s="16"/>
      <c r="Q592" s="16"/>
      <c r="R592" s="16"/>
    </row>
    <row r="593" customFormat="false" ht="15" hidden="false" customHeight="false" outlineLevel="0" collapsed="false">
      <c r="A593" s="25"/>
      <c r="B593" s="16"/>
      <c r="C593" s="16"/>
      <c r="D593" s="16"/>
      <c r="E593" s="16"/>
      <c r="F593" s="16"/>
      <c r="G593" s="26"/>
      <c r="H593" s="26"/>
      <c r="I593" s="26"/>
      <c r="J593" s="26"/>
      <c r="K593" s="16"/>
      <c r="L593" s="27" t="str">
        <f aca="false">IF(G593="","",G593-H593+I593+IF(K593="N",J593,0))</f>
        <v/>
      </c>
      <c r="M593" s="16"/>
      <c r="N593" s="16"/>
      <c r="O593" s="16"/>
      <c r="P593" s="16"/>
      <c r="Q593" s="16"/>
      <c r="R593" s="16"/>
    </row>
    <row r="594" customFormat="false" ht="15" hidden="false" customHeight="false" outlineLevel="0" collapsed="false">
      <c r="A594" s="25"/>
      <c r="B594" s="16"/>
      <c r="C594" s="16"/>
      <c r="D594" s="16"/>
      <c r="E594" s="16"/>
      <c r="F594" s="16"/>
      <c r="G594" s="26"/>
      <c r="H594" s="26"/>
      <c r="I594" s="26"/>
      <c r="J594" s="26"/>
      <c r="K594" s="16"/>
      <c r="L594" s="27" t="str">
        <f aca="false">IF(G594="","",G594-H594+I594+IF(K594="N",J594,0))</f>
        <v/>
      </c>
      <c r="M594" s="16"/>
      <c r="N594" s="16"/>
      <c r="O594" s="16"/>
      <c r="P594" s="16"/>
      <c r="Q594" s="16"/>
      <c r="R594" s="16"/>
    </row>
    <row r="595" customFormat="false" ht="15" hidden="false" customHeight="false" outlineLevel="0" collapsed="false">
      <c r="A595" s="25"/>
      <c r="B595" s="16"/>
      <c r="C595" s="16"/>
      <c r="D595" s="16"/>
      <c r="E595" s="16"/>
      <c r="F595" s="16"/>
      <c r="G595" s="26"/>
      <c r="H595" s="26"/>
      <c r="I595" s="26"/>
      <c r="J595" s="26"/>
      <c r="K595" s="16"/>
      <c r="L595" s="27" t="str">
        <f aca="false">IF(G595="","",G595-H595+I595+IF(K595="N",J595,0))</f>
        <v/>
      </c>
      <c r="M595" s="16"/>
      <c r="N595" s="16"/>
      <c r="O595" s="16"/>
      <c r="P595" s="16"/>
      <c r="Q595" s="16"/>
      <c r="R595" s="16"/>
    </row>
    <row r="596" customFormat="false" ht="15" hidden="false" customHeight="false" outlineLevel="0" collapsed="false">
      <c r="A596" s="25"/>
      <c r="B596" s="16"/>
      <c r="C596" s="16"/>
      <c r="D596" s="16"/>
      <c r="E596" s="16"/>
      <c r="F596" s="16"/>
      <c r="G596" s="26"/>
      <c r="H596" s="26"/>
      <c r="I596" s="26"/>
      <c r="J596" s="26"/>
      <c r="K596" s="16"/>
      <c r="L596" s="27" t="str">
        <f aca="false">IF(G596="","",G596-H596+I596+IF(K596="N",J596,0))</f>
        <v/>
      </c>
      <c r="M596" s="16"/>
      <c r="N596" s="16"/>
      <c r="O596" s="16"/>
      <c r="P596" s="16"/>
      <c r="Q596" s="16"/>
      <c r="R596" s="16"/>
    </row>
    <row r="597" customFormat="false" ht="15" hidden="false" customHeight="false" outlineLevel="0" collapsed="false">
      <c r="A597" s="25"/>
      <c r="B597" s="16"/>
      <c r="C597" s="16"/>
      <c r="D597" s="16"/>
      <c r="E597" s="16"/>
      <c r="F597" s="16"/>
      <c r="G597" s="26"/>
      <c r="H597" s="26"/>
      <c r="I597" s="26"/>
      <c r="J597" s="26"/>
      <c r="K597" s="16"/>
      <c r="L597" s="27" t="str">
        <f aca="false">IF(G597="","",G597-H597+I597+IF(K597="N",J597,0))</f>
        <v/>
      </c>
      <c r="M597" s="16"/>
      <c r="N597" s="16"/>
      <c r="O597" s="16"/>
      <c r="P597" s="16"/>
      <c r="Q597" s="16"/>
      <c r="R597" s="16"/>
    </row>
    <row r="598" customFormat="false" ht="15" hidden="false" customHeight="false" outlineLevel="0" collapsed="false">
      <c r="A598" s="25"/>
      <c r="B598" s="16"/>
      <c r="C598" s="16"/>
      <c r="D598" s="16"/>
      <c r="E598" s="16"/>
      <c r="F598" s="16"/>
      <c r="G598" s="26"/>
      <c r="H598" s="26"/>
      <c r="I598" s="26"/>
      <c r="J598" s="26"/>
      <c r="K598" s="16"/>
      <c r="L598" s="27" t="str">
        <f aca="false">IF(G598="","",G598-H598+I598+IF(K598="N",J598,0))</f>
        <v/>
      </c>
      <c r="M598" s="16"/>
      <c r="N598" s="16"/>
      <c r="O598" s="16"/>
      <c r="P598" s="16"/>
      <c r="Q598" s="16"/>
      <c r="R598" s="16"/>
    </row>
    <row r="599" customFormat="false" ht="15" hidden="false" customHeight="false" outlineLevel="0" collapsed="false">
      <c r="A599" s="25"/>
      <c r="B599" s="16"/>
      <c r="C599" s="16"/>
      <c r="D599" s="16"/>
      <c r="E599" s="16"/>
      <c r="F599" s="16"/>
      <c r="G599" s="26"/>
      <c r="H599" s="26"/>
      <c r="I599" s="26"/>
      <c r="J599" s="26"/>
      <c r="K599" s="16"/>
      <c r="L599" s="27" t="str">
        <f aca="false">IF(G599="","",G599-H599+I599+IF(K599="N",J599,0))</f>
        <v/>
      </c>
      <c r="M599" s="16"/>
      <c r="N599" s="16"/>
      <c r="O599" s="16"/>
      <c r="P599" s="16"/>
      <c r="Q599" s="16"/>
      <c r="R599" s="16"/>
    </row>
    <row r="600" customFormat="false" ht="15" hidden="false" customHeight="false" outlineLevel="0" collapsed="false">
      <c r="A600" s="25"/>
      <c r="B600" s="16"/>
      <c r="C600" s="16"/>
      <c r="D600" s="16"/>
      <c r="E600" s="16"/>
      <c r="F600" s="16"/>
      <c r="G600" s="26"/>
      <c r="H600" s="26"/>
      <c r="I600" s="26"/>
      <c r="J600" s="26"/>
      <c r="K600" s="16"/>
      <c r="L600" s="27" t="str">
        <f aca="false">IF(G600="","",G600-H600+I600+IF(K600="N",J600,0))</f>
        <v/>
      </c>
      <c r="M600" s="16"/>
      <c r="N600" s="16"/>
      <c r="O600" s="16"/>
      <c r="P600" s="16"/>
      <c r="Q600" s="16"/>
      <c r="R600" s="16"/>
    </row>
    <row r="601" customFormat="false" ht="15" hidden="false" customHeight="false" outlineLevel="0" collapsed="false">
      <c r="A601" s="25"/>
      <c r="B601" s="16"/>
      <c r="C601" s="16"/>
      <c r="D601" s="16"/>
      <c r="E601" s="16"/>
      <c r="F601" s="16"/>
      <c r="G601" s="26"/>
      <c r="H601" s="26"/>
      <c r="I601" s="26"/>
      <c r="J601" s="26"/>
      <c r="K601" s="16"/>
      <c r="L601" s="27" t="str">
        <f aca="false">IF(G601="","",G601-H601+I601+IF(K601="N",J601,0))</f>
        <v/>
      </c>
      <c r="M601" s="16"/>
      <c r="N601" s="16"/>
      <c r="O601" s="16"/>
      <c r="P601" s="16"/>
      <c r="Q601" s="16"/>
      <c r="R601" s="16"/>
    </row>
    <row r="602" customFormat="false" ht="15" hidden="false" customHeight="false" outlineLevel="0" collapsed="false">
      <c r="A602" s="25"/>
      <c r="B602" s="16"/>
      <c r="C602" s="16"/>
      <c r="D602" s="16"/>
      <c r="E602" s="16"/>
      <c r="F602" s="16"/>
      <c r="G602" s="26"/>
      <c r="H602" s="26"/>
      <c r="I602" s="26"/>
      <c r="J602" s="26"/>
      <c r="K602" s="16"/>
      <c r="L602" s="27" t="str">
        <f aca="false">IF(G602="","",G602-H602+I602+IF(K602="N",J602,0))</f>
        <v/>
      </c>
      <c r="M602" s="16"/>
      <c r="N602" s="16"/>
      <c r="O602" s="16"/>
      <c r="P602" s="16"/>
      <c r="Q602" s="16"/>
      <c r="R602" s="16"/>
    </row>
    <row r="603" customFormat="false" ht="15" hidden="false" customHeight="false" outlineLevel="0" collapsed="false">
      <c r="A603" s="25"/>
      <c r="B603" s="16"/>
      <c r="C603" s="16"/>
      <c r="D603" s="16"/>
      <c r="E603" s="16"/>
      <c r="F603" s="16"/>
      <c r="G603" s="26"/>
      <c r="H603" s="26"/>
      <c r="I603" s="26"/>
      <c r="J603" s="26"/>
      <c r="K603" s="16"/>
      <c r="L603" s="27" t="str">
        <f aca="false">IF(G603="","",G603-H603+I603+IF(K603="N",J603,0))</f>
        <v/>
      </c>
      <c r="M603" s="16"/>
      <c r="N603" s="16"/>
      <c r="O603" s="16"/>
      <c r="P603" s="16"/>
      <c r="Q603" s="16"/>
      <c r="R603" s="16"/>
    </row>
    <row r="604" customFormat="false" ht="15" hidden="false" customHeight="false" outlineLevel="0" collapsed="false">
      <c r="A604" s="25"/>
      <c r="B604" s="16"/>
      <c r="C604" s="16"/>
      <c r="D604" s="16"/>
      <c r="E604" s="16"/>
      <c r="F604" s="16"/>
      <c r="G604" s="26"/>
      <c r="H604" s="26"/>
      <c r="I604" s="26"/>
      <c r="J604" s="26"/>
      <c r="K604" s="16"/>
      <c r="L604" s="27" t="str">
        <f aca="false">IF(G604="","",G604-H604+I604+IF(K604="N",J604,0))</f>
        <v/>
      </c>
      <c r="M604" s="16"/>
      <c r="N604" s="16"/>
      <c r="O604" s="16"/>
      <c r="P604" s="16"/>
      <c r="Q604" s="16"/>
      <c r="R604" s="16"/>
    </row>
    <row r="605" customFormat="false" ht="15" hidden="false" customHeight="false" outlineLevel="0" collapsed="false">
      <c r="A605" s="25"/>
      <c r="B605" s="16"/>
      <c r="C605" s="16"/>
      <c r="D605" s="16"/>
      <c r="E605" s="16"/>
      <c r="F605" s="16"/>
      <c r="G605" s="26"/>
      <c r="H605" s="26"/>
      <c r="I605" s="26"/>
      <c r="J605" s="26"/>
      <c r="K605" s="16"/>
      <c r="L605" s="27" t="str">
        <f aca="false">IF(G605="","",G605-H605+I605+IF(K605="N",J605,0))</f>
        <v/>
      </c>
      <c r="M605" s="16"/>
      <c r="N605" s="16"/>
      <c r="O605" s="16"/>
      <c r="P605" s="16"/>
      <c r="Q605" s="16"/>
      <c r="R605" s="16"/>
    </row>
    <row r="606" customFormat="false" ht="15" hidden="false" customHeight="false" outlineLevel="0" collapsed="false">
      <c r="A606" s="25"/>
      <c r="B606" s="16"/>
      <c r="C606" s="16"/>
      <c r="D606" s="16"/>
      <c r="E606" s="16"/>
      <c r="F606" s="16"/>
      <c r="G606" s="26"/>
      <c r="H606" s="26"/>
      <c r="I606" s="26"/>
      <c r="J606" s="26"/>
      <c r="K606" s="16"/>
      <c r="L606" s="27" t="str">
        <f aca="false">IF(G606="","",G606-H606+I606+IF(K606="N",J606,0))</f>
        <v/>
      </c>
      <c r="M606" s="16"/>
      <c r="N606" s="16"/>
      <c r="O606" s="16"/>
      <c r="P606" s="16"/>
      <c r="Q606" s="16"/>
      <c r="R606" s="16"/>
    </row>
    <row r="607" customFormat="false" ht="15" hidden="false" customHeight="false" outlineLevel="0" collapsed="false">
      <c r="A607" s="25"/>
      <c r="B607" s="16"/>
      <c r="C607" s="16"/>
      <c r="D607" s="16"/>
      <c r="E607" s="16"/>
      <c r="F607" s="16"/>
      <c r="G607" s="26"/>
      <c r="H607" s="26"/>
      <c r="I607" s="26"/>
      <c r="J607" s="26"/>
      <c r="K607" s="16"/>
      <c r="L607" s="27" t="str">
        <f aca="false">IF(G607="","",G607-H607+I607+IF(K607="N",J607,0))</f>
        <v/>
      </c>
      <c r="M607" s="16"/>
      <c r="N607" s="16"/>
      <c r="O607" s="16"/>
      <c r="P607" s="16"/>
      <c r="Q607" s="16"/>
      <c r="R607" s="16"/>
    </row>
    <row r="608" customFormat="false" ht="15" hidden="false" customHeight="false" outlineLevel="0" collapsed="false">
      <c r="A608" s="25"/>
      <c r="B608" s="16"/>
      <c r="C608" s="16"/>
      <c r="D608" s="16"/>
      <c r="E608" s="16"/>
      <c r="F608" s="16"/>
      <c r="G608" s="26"/>
      <c r="H608" s="26"/>
      <c r="I608" s="26"/>
      <c r="J608" s="26"/>
      <c r="K608" s="16"/>
      <c r="L608" s="27" t="str">
        <f aca="false">IF(G608="","",G608-H608+I608+IF(K608="N",J608,0))</f>
        <v/>
      </c>
      <c r="M608" s="16"/>
      <c r="N608" s="16"/>
      <c r="O608" s="16"/>
      <c r="P608" s="16"/>
      <c r="Q608" s="16"/>
      <c r="R608" s="16"/>
    </row>
    <row r="609" customFormat="false" ht="15" hidden="false" customHeight="false" outlineLevel="0" collapsed="false">
      <c r="A609" s="25"/>
      <c r="B609" s="16"/>
      <c r="C609" s="16"/>
      <c r="D609" s="16"/>
      <c r="E609" s="16"/>
      <c r="F609" s="16"/>
      <c r="G609" s="26"/>
      <c r="H609" s="26"/>
      <c r="I609" s="26"/>
      <c r="J609" s="26"/>
      <c r="K609" s="16"/>
      <c r="L609" s="27" t="str">
        <f aca="false">IF(G609="","",G609-H609+I609+IF(K609="N",J609,0))</f>
        <v/>
      </c>
      <c r="M609" s="16"/>
      <c r="N609" s="16"/>
      <c r="O609" s="16"/>
      <c r="P609" s="16"/>
      <c r="Q609" s="16"/>
      <c r="R609" s="16"/>
    </row>
    <row r="610" customFormat="false" ht="15" hidden="false" customHeight="false" outlineLevel="0" collapsed="false">
      <c r="A610" s="25"/>
      <c r="B610" s="16"/>
      <c r="C610" s="16"/>
      <c r="D610" s="16"/>
      <c r="E610" s="16"/>
      <c r="F610" s="16"/>
      <c r="G610" s="26"/>
      <c r="H610" s="26"/>
      <c r="I610" s="26"/>
      <c r="J610" s="26"/>
      <c r="K610" s="16"/>
      <c r="L610" s="27" t="str">
        <f aca="false">IF(G610="","",G610-H610+I610+IF(K610="N",J610,0))</f>
        <v/>
      </c>
      <c r="M610" s="16"/>
      <c r="N610" s="16"/>
      <c r="O610" s="16"/>
      <c r="P610" s="16"/>
      <c r="Q610" s="16"/>
      <c r="R610" s="16"/>
    </row>
    <row r="611" customFormat="false" ht="15" hidden="false" customHeight="false" outlineLevel="0" collapsed="false">
      <c r="A611" s="25"/>
      <c r="B611" s="16"/>
      <c r="C611" s="16"/>
      <c r="D611" s="16"/>
      <c r="E611" s="16"/>
      <c r="F611" s="16"/>
      <c r="G611" s="26"/>
      <c r="H611" s="26"/>
      <c r="I611" s="26"/>
      <c r="J611" s="26"/>
      <c r="K611" s="16"/>
      <c r="L611" s="27" t="str">
        <f aca="false">IF(G611="","",G611-H611+I611+IF(K611="N",J611,0))</f>
        <v/>
      </c>
      <c r="M611" s="16"/>
      <c r="N611" s="16"/>
      <c r="O611" s="16"/>
      <c r="P611" s="16"/>
      <c r="Q611" s="16"/>
      <c r="R611" s="16"/>
    </row>
    <row r="612" customFormat="false" ht="15" hidden="false" customHeight="false" outlineLevel="0" collapsed="false">
      <c r="A612" s="25"/>
      <c r="B612" s="16"/>
      <c r="C612" s="16"/>
      <c r="D612" s="16"/>
      <c r="E612" s="16"/>
      <c r="F612" s="16"/>
      <c r="G612" s="26"/>
      <c r="H612" s="26"/>
      <c r="I612" s="26"/>
      <c r="J612" s="26"/>
      <c r="K612" s="16"/>
      <c r="L612" s="27" t="str">
        <f aca="false">IF(G612="","",G612-H612+I612+IF(K612="N",J612,0))</f>
        <v/>
      </c>
      <c r="M612" s="16"/>
      <c r="N612" s="16"/>
      <c r="O612" s="16"/>
      <c r="P612" s="16"/>
      <c r="Q612" s="16"/>
      <c r="R612" s="16"/>
    </row>
    <row r="613" customFormat="false" ht="15" hidden="false" customHeight="false" outlineLevel="0" collapsed="false">
      <c r="A613" s="25"/>
      <c r="B613" s="16"/>
      <c r="C613" s="16"/>
      <c r="D613" s="16"/>
      <c r="E613" s="16"/>
      <c r="F613" s="16"/>
      <c r="G613" s="26"/>
      <c r="H613" s="26"/>
      <c r="I613" s="26"/>
      <c r="J613" s="26"/>
      <c r="K613" s="16"/>
      <c r="L613" s="27" t="str">
        <f aca="false">IF(G613="","",G613-H613+I613+IF(K613="N",J613,0))</f>
        <v/>
      </c>
      <c r="M613" s="16"/>
      <c r="N613" s="16"/>
      <c r="O613" s="16"/>
      <c r="P613" s="16"/>
      <c r="Q613" s="16"/>
      <c r="R613" s="16"/>
    </row>
    <row r="614" customFormat="false" ht="15" hidden="false" customHeight="false" outlineLevel="0" collapsed="false">
      <c r="A614" s="25"/>
      <c r="B614" s="16"/>
      <c r="C614" s="16"/>
      <c r="D614" s="16"/>
      <c r="E614" s="16"/>
      <c r="F614" s="16"/>
      <c r="G614" s="26"/>
      <c r="H614" s="26"/>
      <c r="I614" s="26"/>
      <c r="J614" s="26"/>
      <c r="K614" s="16"/>
      <c r="L614" s="27" t="str">
        <f aca="false">IF(G614="","",G614-H614+I614+IF(K614="N",J614,0))</f>
        <v/>
      </c>
      <c r="M614" s="16"/>
      <c r="N614" s="16"/>
      <c r="O614" s="16"/>
      <c r="P614" s="16"/>
      <c r="Q614" s="16"/>
      <c r="R614" s="16"/>
    </row>
    <row r="615" customFormat="false" ht="15" hidden="false" customHeight="false" outlineLevel="0" collapsed="false">
      <c r="A615" s="25"/>
      <c r="B615" s="16"/>
      <c r="C615" s="16"/>
      <c r="D615" s="16"/>
      <c r="E615" s="16"/>
      <c r="F615" s="16"/>
      <c r="G615" s="26"/>
      <c r="H615" s="26"/>
      <c r="I615" s="26"/>
      <c r="J615" s="26"/>
      <c r="K615" s="16"/>
      <c r="L615" s="27" t="str">
        <f aca="false">IF(G615="","",G615-H615+I615+IF(K615="N",J615,0))</f>
        <v/>
      </c>
      <c r="M615" s="16"/>
      <c r="N615" s="16"/>
      <c r="O615" s="16"/>
      <c r="P615" s="16"/>
      <c r="Q615" s="16"/>
      <c r="R615" s="16"/>
    </row>
    <row r="616" customFormat="false" ht="15" hidden="false" customHeight="false" outlineLevel="0" collapsed="false">
      <c r="A616" s="25"/>
      <c r="B616" s="16"/>
      <c r="C616" s="16"/>
      <c r="D616" s="16"/>
      <c r="E616" s="16"/>
      <c r="F616" s="16"/>
      <c r="G616" s="26"/>
      <c r="H616" s="26"/>
      <c r="I616" s="26"/>
      <c r="J616" s="26"/>
      <c r="K616" s="16"/>
      <c r="L616" s="27" t="str">
        <f aca="false">IF(G616="","",G616-H616+I616+IF(K616="N",J616,0))</f>
        <v/>
      </c>
      <c r="M616" s="16"/>
      <c r="N616" s="16"/>
      <c r="O616" s="16"/>
      <c r="P616" s="16"/>
      <c r="Q616" s="16"/>
      <c r="R616" s="16"/>
    </row>
    <row r="617" customFormat="false" ht="15" hidden="false" customHeight="false" outlineLevel="0" collapsed="false">
      <c r="A617" s="25"/>
      <c r="B617" s="16"/>
      <c r="C617" s="16"/>
      <c r="D617" s="16"/>
      <c r="E617" s="16"/>
      <c r="F617" s="16"/>
      <c r="G617" s="26"/>
      <c r="H617" s="26"/>
      <c r="I617" s="26"/>
      <c r="J617" s="26"/>
      <c r="K617" s="16"/>
      <c r="L617" s="27" t="str">
        <f aca="false">IF(G617="","",G617-H617+I617+IF(K617="N",J617,0))</f>
        <v/>
      </c>
      <c r="M617" s="16"/>
      <c r="N617" s="16"/>
      <c r="O617" s="16"/>
      <c r="P617" s="16"/>
      <c r="Q617" s="16"/>
      <c r="R617" s="16"/>
    </row>
    <row r="618" customFormat="false" ht="15" hidden="false" customHeight="false" outlineLevel="0" collapsed="false">
      <c r="A618" s="25"/>
      <c r="B618" s="16"/>
      <c r="C618" s="16"/>
      <c r="D618" s="16"/>
      <c r="E618" s="16"/>
      <c r="F618" s="16"/>
      <c r="G618" s="26"/>
      <c r="H618" s="26"/>
      <c r="I618" s="26"/>
      <c r="J618" s="26"/>
      <c r="K618" s="16"/>
      <c r="L618" s="27" t="str">
        <f aca="false">IF(G618="","",G618-H618+I618+IF(K618="N",J618,0))</f>
        <v/>
      </c>
      <c r="M618" s="16"/>
      <c r="N618" s="16"/>
      <c r="O618" s="16"/>
      <c r="P618" s="16"/>
      <c r="Q618" s="16"/>
      <c r="R618" s="16"/>
    </row>
    <row r="619" customFormat="false" ht="15" hidden="false" customHeight="false" outlineLevel="0" collapsed="false">
      <c r="A619" s="25"/>
      <c r="B619" s="16"/>
      <c r="C619" s="16"/>
      <c r="D619" s="16"/>
      <c r="E619" s="16"/>
      <c r="F619" s="16"/>
      <c r="G619" s="26"/>
      <c r="H619" s="26"/>
      <c r="I619" s="26"/>
      <c r="J619" s="26"/>
      <c r="K619" s="16"/>
      <c r="L619" s="27" t="str">
        <f aca="false">IF(G619="","",G619-H619+I619+IF(K619="N",J619,0))</f>
        <v/>
      </c>
      <c r="M619" s="16"/>
      <c r="N619" s="16"/>
      <c r="O619" s="16"/>
      <c r="P619" s="16"/>
      <c r="Q619" s="16"/>
      <c r="R619" s="16"/>
    </row>
    <row r="620" customFormat="false" ht="15" hidden="false" customHeight="false" outlineLevel="0" collapsed="false">
      <c r="A620" s="25"/>
      <c r="B620" s="16"/>
      <c r="C620" s="16"/>
      <c r="D620" s="16"/>
      <c r="E620" s="16"/>
      <c r="F620" s="16"/>
      <c r="G620" s="26"/>
      <c r="H620" s="26"/>
      <c r="I620" s="26"/>
      <c r="J620" s="26"/>
      <c r="K620" s="16"/>
      <c r="L620" s="27" t="str">
        <f aca="false">IF(G620="","",G620-H620+I620+IF(K620="N",J620,0))</f>
        <v/>
      </c>
      <c r="M620" s="16"/>
      <c r="N620" s="16"/>
      <c r="O620" s="16"/>
      <c r="P620" s="16"/>
      <c r="Q620" s="16"/>
      <c r="R620" s="16"/>
    </row>
    <row r="621" customFormat="false" ht="15" hidden="false" customHeight="false" outlineLevel="0" collapsed="false">
      <c r="A621" s="25"/>
      <c r="B621" s="16"/>
      <c r="C621" s="16"/>
      <c r="D621" s="16"/>
      <c r="E621" s="16"/>
      <c r="F621" s="16"/>
      <c r="G621" s="26"/>
      <c r="H621" s="26"/>
      <c r="I621" s="26"/>
      <c r="J621" s="26"/>
      <c r="K621" s="16"/>
      <c r="L621" s="27" t="str">
        <f aca="false">IF(G621="","",G621-H621+I621+IF(K621="N",J621,0))</f>
        <v/>
      </c>
      <c r="M621" s="16"/>
      <c r="N621" s="16"/>
      <c r="O621" s="16"/>
      <c r="P621" s="16"/>
      <c r="Q621" s="16"/>
      <c r="R621" s="16"/>
    </row>
    <row r="622" customFormat="false" ht="15" hidden="false" customHeight="false" outlineLevel="0" collapsed="false">
      <c r="A622" s="25"/>
      <c r="B622" s="16"/>
      <c r="C622" s="16"/>
      <c r="D622" s="16"/>
      <c r="E622" s="16"/>
      <c r="F622" s="16"/>
      <c r="G622" s="26"/>
      <c r="H622" s="26"/>
      <c r="I622" s="26"/>
      <c r="J622" s="26"/>
      <c r="K622" s="16"/>
      <c r="L622" s="27" t="str">
        <f aca="false">IF(G622="","",G622-H622+I622+IF(K622="N",J622,0))</f>
        <v/>
      </c>
      <c r="M622" s="16"/>
      <c r="N622" s="16"/>
      <c r="O622" s="16"/>
      <c r="P622" s="16"/>
      <c r="Q622" s="16"/>
      <c r="R622" s="16"/>
    </row>
    <row r="623" customFormat="false" ht="15" hidden="false" customHeight="false" outlineLevel="0" collapsed="false">
      <c r="A623" s="25"/>
      <c r="B623" s="16"/>
      <c r="C623" s="16"/>
      <c r="D623" s="16"/>
      <c r="E623" s="16"/>
      <c r="F623" s="16"/>
      <c r="G623" s="26"/>
      <c r="H623" s="26"/>
      <c r="I623" s="26"/>
      <c r="J623" s="26"/>
      <c r="K623" s="16"/>
      <c r="L623" s="27" t="str">
        <f aca="false">IF(G623="","",G623-H623+I623+IF(K623="N",J623,0))</f>
        <v/>
      </c>
      <c r="M623" s="16"/>
      <c r="N623" s="16"/>
      <c r="O623" s="16"/>
      <c r="P623" s="16"/>
      <c r="Q623" s="16"/>
      <c r="R623" s="16"/>
    </row>
    <row r="624" customFormat="false" ht="15" hidden="false" customHeight="false" outlineLevel="0" collapsed="false">
      <c r="A624" s="25"/>
      <c r="B624" s="16"/>
      <c r="C624" s="16"/>
      <c r="D624" s="16"/>
      <c r="E624" s="16"/>
      <c r="F624" s="16"/>
      <c r="G624" s="26"/>
      <c r="H624" s="26"/>
      <c r="I624" s="26"/>
      <c r="J624" s="26"/>
      <c r="K624" s="16"/>
      <c r="L624" s="27" t="str">
        <f aca="false">IF(G624="","",G624-H624+I624+IF(K624="N",J624,0))</f>
        <v/>
      </c>
      <c r="M624" s="16"/>
      <c r="N624" s="16"/>
      <c r="O624" s="16"/>
      <c r="P624" s="16"/>
      <c r="Q624" s="16"/>
      <c r="R624" s="16"/>
    </row>
    <row r="625" customFormat="false" ht="15" hidden="false" customHeight="false" outlineLevel="0" collapsed="false">
      <c r="A625" s="25"/>
      <c r="B625" s="16"/>
      <c r="C625" s="16"/>
      <c r="D625" s="16"/>
      <c r="E625" s="16"/>
      <c r="F625" s="16"/>
      <c r="G625" s="26"/>
      <c r="H625" s="26"/>
      <c r="I625" s="26"/>
      <c r="J625" s="26"/>
      <c r="K625" s="16"/>
      <c r="L625" s="27" t="str">
        <f aca="false">IF(G625="","",G625-H625+I625+IF(K625="N",J625,0))</f>
        <v/>
      </c>
      <c r="M625" s="16"/>
      <c r="N625" s="16"/>
      <c r="O625" s="16"/>
      <c r="P625" s="16"/>
      <c r="Q625" s="16"/>
      <c r="R625" s="16"/>
    </row>
    <row r="626" customFormat="false" ht="15" hidden="false" customHeight="false" outlineLevel="0" collapsed="false">
      <c r="A626" s="25"/>
      <c r="B626" s="16"/>
      <c r="C626" s="16"/>
      <c r="D626" s="16"/>
      <c r="E626" s="16"/>
      <c r="F626" s="16"/>
      <c r="G626" s="26"/>
      <c r="H626" s="26"/>
      <c r="I626" s="26"/>
      <c r="J626" s="26"/>
      <c r="K626" s="16"/>
      <c r="L626" s="27" t="str">
        <f aca="false">IF(G626="","",G626-H626+I626+IF(K626="N",J626,0))</f>
        <v/>
      </c>
      <c r="M626" s="16"/>
      <c r="N626" s="16"/>
      <c r="O626" s="16"/>
      <c r="P626" s="16"/>
      <c r="Q626" s="16"/>
      <c r="R626" s="16"/>
    </row>
    <row r="627" customFormat="false" ht="15" hidden="false" customHeight="false" outlineLevel="0" collapsed="false">
      <c r="A627" s="25"/>
      <c r="B627" s="16"/>
      <c r="C627" s="16"/>
      <c r="D627" s="16"/>
      <c r="E627" s="16"/>
      <c r="F627" s="16"/>
      <c r="G627" s="26"/>
      <c r="H627" s="26"/>
      <c r="I627" s="26"/>
      <c r="J627" s="26"/>
      <c r="K627" s="16"/>
      <c r="L627" s="27" t="str">
        <f aca="false">IF(G627="","",G627-H627+I627+IF(K627="N",J627,0))</f>
        <v/>
      </c>
      <c r="M627" s="16"/>
      <c r="N627" s="16"/>
      <c r="O627" s="16"/>
      <c r="P627" s="16"/>
      <c r="Q627" s="16"/>
      <c r="R627" s="16"/>
    </row>
    <row r="628" customFormat="false" ht="15" hidden="false" customHeight="false" outlineLevel="0" collapsed="false">
      <c r="A628" s="25"/>
      <c r="B628" s="16"/>
      <c r="C628" s="16"/>
      <c r="D628" s="16"/>
      <c r="E628" s="16"/>
      <c r="F628" s="16"/>
      <c r="G628" s="26"/>
      <c r="H628" s="26"/>
      <c r="I628" s="26"/>
      <c r="J628" s="26"/>
      <c r="K628" s="16"/>
      <c r="L628" s="27" t="str">
        <f aca="false">IF(G628="","",G628-H628+I628+IF(K628="N",J628,0))</f>
        <v/>
      </c>
      <c r="M628" s="16"/>
      <c r="N628" s="16"/>
      <c r="O628" s="16"/>
      <c r="P628" s="16"/>
      <c r="Q628" s="16"/>
      <c r="R628" s="16"/>
    </row>
    <row r="629" customFormat="false" ht="15" hidden="false" customHeight="false" outlineLevel="0" collapsed="false">
      <c r="A629" s="25"/>
      <c r="B629" s="16"/>
      <c r="C629" s="16"/>
      <c r="D629" s="16"/>
      <c r="E629" s="16"/>
      <c r="F629" s="16"/>
      <c r="G629" s="26"/>
      <c r="H629" s="26"/>
      <c r="I629" s="26"/>
      <c r="J629" s="26"/>
      <c r="K629" s="16"/>
      <c r="L629" s="27" t="str">
        <f aca="false">IF(G629="","",G629-H629+I629+IF(K629="N",J629,0))</f>
        <v/>
      </c>
      <c r="M629" s="16"/>
      <c r="N629" s="16"/>
      <c r="O629" s="16"/>
      <c r="P629" s="16"/>
      <c r="Q629" s="16"/>
      <c r="R629" s="16"/>
    </row>
    <row r="630" customFormat="false" ht="15" hidden="false" customHeight="false" outlineLevel="0" collapsed="false">
      <c r="A630" s="25"/>
      <c r="B630" s="16"/>
      <c r="C630" s="16"/>
      <c r="D630" s="16"/>
      <c r="E630" s="16"/>
      <c r="F630" s="16"/>
      <c r="G630" s="26"/>
      <c r="H630" s="26"/>
      <c r="I630" s="26"/>
      <c r="J630" s="26"/>
      <c r="K630" s="16"/>
      <c r="L630" s="27" t="str">
        <f aca="false">IF(G630="","",G630-H630+I630+IF(K630="N",J630,0))</f>
        <v/>
      </c>
      <c r="M630" s="16"/>
      <c r="N630" s="16"/>
      <c r="O630" s="16"/>
      <c r="P630" s="16"/>
      <c r="Q630" s="16"/>
      <c r="R630" s="16"/>
    </row>
    <row r="631" customFormat="false" ht="15" hidden="false" customHeight="false" outlineLevel="0" collapsed="false">
      <c r="A631" s="25"/>
      <c r="B631" s="16"/>
      <c r="C631" s="16"/>
      <c r="D631" s="16"/>
      <c r="E631" s="16"/>
      <c r="F631" s="16"/>
      <c r="G631" s="26"/>
      <c r="H631" s="26"/>
      <c r="I631" s="26"/>
      <c r="J631" s="26"/>
      <c r="K631" s="16"/>
      <c r="L631" s="27" t="str">
        <f aca="false">IF(G631="","",G631-H631+I631+IF(K631="N",J631,0))</f>
        <v/>
      </c>
      <c r="M631" s="16"/>
      <c r="N631" s="16"/>
      <c r="O631" s="16"/>
      <c r="P631" s="16"/>
      <c r="Q631" s="16"/>
      <c r="R631" s="16"/>
    </row>
    <row r="632" customFormat="false" ht="15" hidden="false" customHeight="false" outlineLevel="0" collapsed="false">
      <c r="A632" s="25"/>
      <c r="B632" s="16"/>
      <c r="C632" s="16"/>
      <c r="D632" s="16"/>
      <c r="E632" s="16"/>
      <c r="F632" s="16"/>
      <c r="G632" s="26"/>
      <c r="H632" s="26"/>
      <c r="I632" s="26"/>
      <c r="J632" s="26"/>
      <c r="K632" s="16"/>
      <c r="L632" s="27" t="str">
        <f aca="false">IF(G632="","",G632-H632+I632+IF(K632="N",J632,0))</f>
        <v/>
      </c>
      <c r="M632" s="16"/>
      <c r="N632" s="16"/>
      <c r="O632" s="16"/>
      <c r="P632" s="16"/>
      <c r="Q632" s="16"/>
      <c r="R632" s="16"/>
    </row>
    <row r="633" customFormat="false" ht="15" hidden="false" customHeight="false" outlineLevel="0" collapsed="false">
      <c r="A633" s="25"/>
      <c r="B633" s="16"/>
      <c r="C633" s="16"/>
      <c r="D633" s="16"/>
      <c r="E633" s="16"/>
      <c r="F633" s="16"/>
      <c r="G633" s="26"/>
      <c r="H633" s="26"/>
      <c r="I633" s="26"/>
      <c r="J633" s="26"/>
      <c r="K633" s="16"/>
      <c r="L633" s="27" t="str">
        <f aca="false">IF(G633="","",G633-H633+I633+IF(K633="N",J633,0))</f>
        <v/>
      </c>
      <c r="M633" s="16"/>
      <c r="N633" s="16"/>
      <c r="O633" s="16"/>
      <c r="P633" s="16"/>
      <c r="Q633" s="16"/>
      <c r="R633" s="16"/>
    </row>
    <row r="634" customFormat="false" ht="15" hidden="false" customHeight="false" outlineLevel="0" collapsed="false">
      <c r="A634" s="25"/>
      <c r="B634" s="16"/>
      <c r="C634" s="16"/>
      <c r="D634" s="16"/>
      <c r="E634" s="16"/>
      <c r="F634" s="16"/>
      <c r="G634" s="26"/>
      <c r="H634" s="26"/>
      <c r="I634" s="26"/>
      <c r="J634" s="26"/>
      <c r="K634" s="16"/>
      <c r="L634" s="27" t="str">
        <f aca="false">IF(G634="","",G634-H634+I634+IF(K634="N",J634,0))</f>
        <v/>
      </c>
      <c r="M634" s="16"/>
      <c r="N634" s="16"/>
      <c r="O634" s="16"/>
      <c r="P634" s="16"/>
      <c r="Q634" s="16"/>
      <c r="R634" s="16"/>
    </row>
    <row r="635" customFormat="false" ht="15" hidden="false" customHeight="false" outlineLevel="0" collapsed="false">
      <c r="A635" s="25"/>
      <c r="B635" s="16"/>
      <c r="C635" s="16"/>
      <c r="D635" s="16"/>
      <c r="E635" s="16"/>
      <c r="F635" s="16"/>
      <c r="G635" s="26"/>
      <c r="H635" s="26"/>
      <c r="I635" s="26"/>
      <c r="J635" s="26"/>
      <c r="K635" s="16"/>
      <c r="L635" s="27" t="str">
        <f aca="false">IF(G635="","",G635-H635+I635+IF(K635="N",J635,0))</f>
        <v/>
      </c>
      <c r="M635" s="16"/>
      <c r="N635" s="16"/>
      <c r="O635" s="16"/>
      <c r="P635" s="16"/>
      <c r="Q635" s="16"/>
      <c r="R635" s="16"/>
    </row>
    <row r="636" customFormat="false" ht="15" hidden="false" customHeight="false" outlineLevel="0" collapsed="false">
      <c r="A636" s="25"/>
      <c r="B636" s="16"/>
      <c r="C636" s="16"/>
      <c r="D636" s="16"/>
      <c r="E636" s="16"/>
      <c r="F636" s="16"/>
      <c r="G636" s="26"/>
      <c r="H636" s="26"/>
      <c r="I636" s="26"/>
      <c r="J636" s="26"/>
      <c r="K636" s="16"/>
      <c r="L636" s="27" t="str">
        <f aca="false">IF(G636="","",G636-H636+I636+IF(K636="N",J636,0))</f>
        <v/>
      </c>
      <c r="M636" s="16"/>
      <c r="N636" s="16"/>
      <c r="O636" s="16"/>
      <c r="P636" s="16"/>
      <c r="Q636" s="16"/>
      <c r="R636" s="16"/>
    </row>
    <row r="637" customFormat="false" ht="15" hidden="false" customHeight="false" outlineLevel="0" collapsed="false">
      <c r="A637" s="25"/>
      <c r="B637" s="16"/>
      <c r="C637" s="16"/>
      <c r="D637" s="16"/>
      <c r="E637" s="16"/>
      <c r="F637" s="16"/>
      <c r="G637" s="26"/>
      <c r="H637" s="26"/>
      <c r="I637" s="26"/>
      <c r="J637" s="26"/>
      <c r="K637" s="16"/>
      <c r="L637" s="27" t="str">
        <f aca="false">IF(G637="","",G637-H637+I637+IF(K637="N",J637,0))</f>
        <v/>
      </c>
      <c r="M637" s="16"/>
      <c r="N637" s="16"/>
      <c r="O637" s="16"/>
      <c r="P637" s="16"/>
      <c r="Q637" s="16"/>
      <c r="R637" s="16"/>
    </row>
    <row r="638" customFormat="false" ht="15" hidden="false" customHeight="false" outlineLevel="0" collapsed="false">
      <c r="A638" s="25"/>
      <c r="B638" s="16"/>
      <c r="C638" s="16"/>
      <c r="D638" s="16"/>
      <c r="E638" s="16"/>
      <c r="F638" s="16"/>
      <c r="G638" s="26"/>
      <c r="H638" s="26"/>
      <c r="I638" s="26"/>
      <c r="J638" s="26"/>
      <c r="K638" s="16"/>
      <c r="L638" s="27" t="str">
        <f aca="false">IF(G638="","",G638-H638+I638+IF(K638="N",J638,0))</f>
        <v/>
      </c>
      <c r="M638" s="16"/>
      <c r="N638" s="16"/>
      <c r="O638" s="16"/>
      <c r="P638" s="16"/>
      <c r="Q638" s="16"/>
      <c r="R638" s="16"/>
    </row>
    <row r="639" customFormat="false" ht="15" hidden="false" customHeight="false" outlineLevel="0" collapsed="false">
      <c r="A639" s="25"/>
      <c r="B639" s="16"/>
      <c r="C639" s="16"/>
      <c r="D639" s="16"/>
      <c r="E639" s="16"/>
      <c r="F639" s="16"/>
      <c r="G639" s="26"/>
      <c r="H639" s="26"/>
      <c r="I639" s="26"/>
      <c r="J639" s="26"/>
      <c r="K639" s="16"/>
      <c r="L639" s="27" t="str">
        <f aca="false">IF(G639="","",G639-H639+I639+IF(K639="N",J639,0))</f>
        <v/>
      </c>
      <c r="M639" s="16"/>
      <c r="N639" s="16"/>
      <c r="O639" s="16"/>
      <c r="P639" s="16"/>
      <c r="Q639" s="16"/>
      <c r="R639" s="16"/>
    </row>
    <row r="640" customFormat="false" ht="15" hidden="false" customHeight="false" outlineLevel="0" collapsed="false">
      <c r="A640" s="25"/>
      <c r="B640" s="16"/>
      <c r="C640" s="16"/>
      <c r="D640" s="16"/>
      <c r="E640" s="16"/>
      <c r="F640" s="16"/>
      <c r="G640" s="26"/>
      <c r="H640" s="26"/>
      <c r="I640" s="26"/>
      <c r="J640" s="26"/>
      <c r="K640" s="16"/>
      <c r="L640" s="27" t="str">
        <f aca="false">IF(G640="","",G640-H640+I640+IF(K640="N",J640,0))</f>
        <v/>
      </c>
      <c r="M640" s="16"/>
      <c r="N640" s="16"/>
      <c r="O640" s="16"/>
      <c r="P640" s="16"/>
      <c r="Q640" s="16"/>
      <c r="R640" s="16"/>
    </row>
    <row r="641" customFormat="false" ht="15" hidden="false" customHeight="false" outlineLevel="0" collapsed="false">
      <c r="A641" s="25"/>
      <c r="B641" s="16"/>
      <c r="C641" s="16"/>
      <c r="D641" s="16"/>
      <c r="E641" s="16"/>
      <c r="F641" s="16"/>
      <c r="G641" s="26"/>
      <c r="H641" s="26"/>
      <c r="I641" s="26"/>
      <c r="J641" s="26"/>
      <c r="K641" s="16"/>
      <c r="L641" s="27" t="str">
        <f aca="false">IF(G641="","",G641-H641+I641+IF(K641="N",J641,0))</f>
        <v/>
      </c>
      <c r="M641" s="16"/>
      <c r="N641" s="16"/>
      <c r="O641" s="16"/>
      <c r="P641" s="16"/>
      <c r="Q641" s="16"/>
      <c r="R641" s="16"/>
    </row>
    <row r="642" customFormat="false" ht="15" hidden="false" customHeight="false" outlineLevel="0" collapsed="false">
      <c r="A642" s="25"/>
      <c r="B642" s="16"/>
      <c r="C642" s="16"/>
      <c r="D642" s="16"/>
      <c r="E642" s="16"/>
      <c r="F642" s="16"/>
      <c r="G642" s="26"/>
      <c r="H642" s="26"/>
      <c r="I642" s="26"/>
      <c r="J642" s="26"/>
      <c r="K642" s="16"/>
      <c r="L642" s="27" t="str">
        <f aca="false">IF(G642="","",G642-H642+I642+IF(K642="N",J642,0))</f>
        <v/>
      </c>
      <c r="M642" s="16"/>
      <c r="N642" s="16"/>
      <c r="O642" s="16"/>
      <c r="P642" s="16"/>
      <c r="Q642" s="16"/>
      <c r="R642" s="16"/>
    </row>
    <row r="643" customFormat="false" ht="15" hidden="false" customHeight="false" outlineLevel="0" collapsed="false">
      <c r="A643" s="25"/>
      <c r="B643" s="16"/>
      <c r="C643" s="16"/>
      <c r="D643" s="16"/>
      <c r="E643" s="16"/>
      <c r="F643" s="16"/>
      <c r="G643" s="26"/>
      <c r="H643" s="26"/>
      <c r="I643" s="26"/>
      <c r="J643" s="26"/>
      <c r="K643" s="16"/>
      <c r="L643" s="27" t="str">
        <f aca="false">IF(G643="","",G643-H643+I643+IF(K643="N",J643,0))</f>
        <v/>
      </c>
      <c r="M643" s="16"/>
      <c r="N643" s="16"/>
      <c r="O643" s="16"/>
      <c r="P643" s="16"/>
      <c r="Q643" s="16"/>
      <c r="R643" s="16"/>
    </row>
    <row r="644" customFormat="false" ht="15" hidden="false" customHeight="false" outlineLevel="0" collapsed="false">
      <c r="A644" s="25"/>
      <c r="B644" s="16"/>
      <c r="C644" s="16"/>
      <c r="D644" s="16"/>
      <c r="E644" s="16"/>
      <c r="F644" s="16"/>
      <c r="G644" s="26"/>
      <c r="H644" s="26"/>
      <c r="I644" s="26"/>
      <c r="J644" s="26"/>
      <c r="K644" s="16"/>
      <c r="L644" s="27" t="str">
        <f aca="false">IF(G644="","",G644-H644+I644+IF(K644="N",J644,0))</f>
        <v/>
      </c>
      <c r="M644" s="16"/>
      <c r="N644" s="16"/>
      <c r="O644" s="16"/>
      <c r="P644" s="16"/>
      <c r="Q644" s="16"/>
      <c r="R644" s="16"/>
    </row>
    <row r="645" customFormat="false" ht="15" hidden="false" customHeight="false" outlineLevel="0" collapsed="false">
      <c r="A645" s="25"/>
      <c r="B645" s="16"/>
      <c r="C645" s="16"/>
      <c r="D645" s="16"/>
      <c r="E645" s="16"/>
      <c r="F645" s="16"/>
      <c r="G645" s="26"/>
      <c r="H645" s="26"/>
      <c r="I645" s="26"/>
      <c r="J645" s="26"/>
      <c r="K645" s="16"/>
      <c r="L645" s="27" t="str">
        <f aca="false">IF(G645="","",G645-H645+I645+IF(K645="N",J645,0))</f>
        <v/>
      </c>
      <c r="M645" s="16"/>
      <c r="N645" s="16"/>
      <c r="O645" s="16"/>
      <c r="P645" s="16"/>
      <c r="Q645" s="16"/>
      <c r="R645" s="16"/>
    </row>
    <row r="646" customFormat="false" ht="15" hidden="false" customHeight="false" outlineLevel="0" collapsed="false">
      <c r="A646" s="25"/>
      <c r="B646" s="16"/>
      <c r="C646" s="16"/>
      <c r="D646" s="16"/>
      <c r="E646" s="16"/>
      <c r="F646" s="16"/>
      <c r="G646" s="26"/>
      <c r="H646" s="26"/>
      <c r="I646" s="26"/>
      <c r="J646" s="26"/>
      <c r="K646" s="16"/>
      <c r="L646" s="27" t="str">
        <f aca="false">IF(G646="","",G646-H646+I646+IF(K646="N",J646,0))</f>
        <v/>
      </c>
      <c r="M646" s="16"/>
      <c r="N646" s="16"/>
      <c r="O646" s="16"/>
      <c r="P646" s="16"/>
      <c r="Q646" s="16"/>
      <c r="R646" s="16"/>
    </row>
    <row r="647" customFormat="false" ht="15" hidden="false" customHeight="false" outlineLevel="0" collapsed="false">
      <c r="A647" s="25"/>
      <c r="B647" s="16"/>
      <c r="C647" s="16"/>
      <c r="D647" s="16"/>
      <c r="E647" s="16"/>
      <c r="F647" s="16"/>
      <c r="G647" s="26"/>
      <c r="H647" s="26"/>
      <c r="I647" s="26"/>
      <c r="J647" s="26"/>
      <c r="K647" s="16"/>
      <c r="L647" s="27" t="str">
        <f aca="false">IF(G647="","",G647-H647+I647+IF(K647="N",J647,0))</f>
        <v/>
      </c>
      <c r="M647" s="16"/>
      <c r="N647" s="16"/>
      <c r="O647" s="16"/>
      <c r="P647" s="16"/>
      <c r="Q647" s="16"/>
      <c r="R647" s="16"/>
    </row>
    <row r="648" customFormat="false" ht="15" hidden="false" customHeight="false" outlineLevel="0" collapsed="false">
      <c r="A648" s="25"/>
      <c r="B648" s="16"/>
      <c r="C648" s="16"/>
      <c r="D648" s="16"/>
      <c r="E648" s="16"/>
      <c r="F648" s="16"/>
      <c r="G648" s="26"/>
      <c r="H648" s="26"/>
      <c r="I648" s="26"/>
      <c r="J648" s="26"/>
      <c r="K648" s="16"/>
      <c r="L648" s="27" t="str">
        <f aca="false">IF(G648="","",G648-H648+I648+IF(K648="N",J648,0))</f>
        <v/>
      </c>
      <c r="M648" s="16"/>
      <c r="N648" s="16"/>
      <c r="O648" s="16"/>
      <c r="P648" s="16"/>
      <c r="Q648" s="16"/>
      <c r="R648" s="16"/>
    </row>
    <row r="649" customFormat="false" ht="15" hidden="false" customHeight="false" outlineLevel="0" collapsed="false">
      <c r="A649" s="25"/>
      <c r="B649" s="16"/>
      <c r="C649" s="16"/>
      <c r="D649" s="16"/>
      <c r="E649" s="16"/>
      <c r="F649" s="16"/>
      <c r="G649" s="26"/>
      <c r="H649" s="26"/>
      <c r="I649" s="26"/>
      <c r="J649" s="26"/>
      <c r="K649" s="16"/>
      <c r="L649" s="27" t="str">
        <f aca="false">IF(G649="","",G649-H649+I649+IF(K649="N",J649,0))</f>
        <v/>
      </c>
      <c r="M649" s="16"/>
      <c r="N649" s="16"/>
      <c r="O649" s="16"/>
      <c r="P649" s="16"/>
      <c r="Q649" s="16"/>
      <c r="R649" s="16"/>
    </row>
    <row r="650" customFormat="false" ht="15" hidden="false" customHeight="false" outlineLevel="0" collapsed="false">
      <c r="A650" s="25"/>
      <c r="B650" s="16"/>
      <c r="C650" s="16"/>
      <c r="D650" s="16"/>
      <c r="E650" s="16"/>
      <c r="F650" s="16"/>
      <c r="G650" s="26"/>
      <c r="H650" s="26"/>
      <c r="I650" s="26"/>
      <c r="J650" s="26"/>
      <c r="K650" s="16"/>
      <c r="L650" s="27" t="str">
        <f aca="false">IF(G650="","",G650-H650+I650+IF(K650="N",J650,0))</f>
        <v/>
      </c>
      <c r="M650" s="16"/>
      <c r="N650" s="16"/>
      <c r="O650" s="16"/>
      <c r="P650" s="16"/>
      <c r="Q650" s="16"/>
      <c r="R650" s="16"/>
    </row>
    <row r="651" customFormat="false" ht="15" hidden="false" customHeight="false" outlineLevel="0" collapsed="false">
      <c r="A651" s="25"/>
      <c r="B651" s="16"/>
      <c r="C651" s="16"/>
      <c r="D651" s="16"/>
      <c r="E651" s="16"/>
      <c r="F651" s="16"/>
      <c r="G651" s="26"/>
      <c r="H651" s="26"/>
      <c r="I651" s="26"/>
      <c r="J651" s="26"/>
      <c r="K651" s="16"/>
      <c r="L651" s="27" t="str">
        <f aca="false">IF(G651="","",G651-H651+I651+IF(K651="N",J651,0))</f>
        <v/>
      </c>
      <c r="M651" s="16"/>
      <c r="N651" s="16"/>
      <c r="O651" s="16"/>
      <c r="P651" s="16"/>
      <c r="Q651" s="16"/>
      <c r="R651" s="16"/>
    </row>
    <row r="652" customFormat="false" ht="15" hidden="false" customHeight="false" outlineLevel="0" collapsed="false">
      <c r="A652" s="25"/>
      <c r="B652" s="16"/>
      <c r="C652" s="16"/>
      <c r="D652" s="16"/>
      <c r="E652" s="16"/>
      <c r="F652" s="16"/>
      <c r="G652" s="26"/>
      <c r="H652" s="26"/>
      <c r="I652" s="26"/>
      <c r="J652" s="26"/>
      <c r="K652" s="16"/>
      <c r="L652" s="27" t="str">
        <f aca="false">IF(G652="","",G652-H652+I652+IF(K652="N",J652,0))</f>
        <v/>
      </c>
      <c r="M652" s="16"/>
      <c r="N652" s="16"/>
      <c r="O652" s="16"/>
      <c r="P652" s="16"/>
      <c r="Q652" s="16"/>
      <c r="R652" s="16"/>
    </row>
    <row r="653" customFormat="false" ht="15" hidden="false" customHeight="false" outlineLevel="0" collapsed="false">
      <c r="A653" s="25"/>
      <c r="B653" s="16"/>
      <c r="C653" s="16"/>
      <c r="D653" s="16"/>
      <c r="E653" s="16"/>
      <c r="F653" s="16"/>
      <c r="G653" s="26"/>
      <c r="H653" s="26"/>
      <c r="I653" s="26"/>
      <c r="J653" s="26"/>
      <c r="K653" s="16"/>
      <c r="L653" s="27" t="str">
        <f aca="false">IF(G653="","",G653-H653+I653+IF(K653="N",J653,0))</f>
        <v/>
      </c>
      <c r="M653" s="16"/>
      <c r="N653" s="16"/>
      <c r="O653" s="16"/>
      <c r="P653" s="16"/>
      <c r="Q653" s="16"/>
      <c r="R653" s="16"/>
    </row>
    <row r="654" customFormat="false" ht="15" hidden="false" customHeight="false" outlineLevel="0" collapsed="false">
      <c r="A654" s="25"/>
      <c r="B654" s="16"/>
      <c r="C654" s="16"/>
      <c r="D654" s="16"/>
      <c r="E654" s="16"/>
      <c r="F654" s="16"/>
      <c r="G654" s="26"/>
      <c r="H654" s="26"/>
      <c r="I654" s="26"/>
      <c r="J654" s="26"/>
      <c r="K654" s="16"/>
      <c r="L654" s="27" t="str">
        <f aca="false">IF(G654="","",G654-H654+I654+IF(K654="N",J654,0))</f>
        <v/>
      </c>
      <c r="M654" s="16"/>
      <c r="N654" s="16"/>
      <c r="O654" s="16"/>
      <c r="P654" s="16"/>
      <c r="Q654" s="16"/>
      <c r="R654" s="16"/>
    </row>
    <row r="655" customFormat="false" ht="15" hidden="false" customHeight="false" outlineLevel="0" collapsed="false">
      <c r="A655" s="25"/>
      <c r="B655" s="16"/>
      <c r="C655" s="16"/>
      <c r="D655" s="16"/>
      <c r="E655" s="16"/>
      <c r="F655" s="16"/>
      <c r="G655" s="26"/>
      <c r="H655" s="26"/>
      <c r="I655" s="26"/>
      <c r="J655" s="26"/>
      <c r="K655" s="16"/>
      <c r="L655" s="27" t="str">
        <f aca="false">IF(G655="","",G655-H655+I655+IF(K655="N",J655,0))</f>
        <v/>
      </c>
      <c r="M655" s="16"/>
      <c r="N655" s="16"/>
      <c r="O655" s="16"/>
      <c r="P655" s="16"/>
      <c r="Q655" s="16"/>
      <c r="R655" s="16"/>
    </row>
    <row r="656" customFormat="false" ht="15" hidden="false" customHeight="false" outlineLevel="0" collapsed="false">
      <c r="A656" s="25"/>
      <c r="B656" s="16"/>
      <c r="C656" s="16"/>
      <c r="D656" s="16"/>
      <c r="E656" s="16"/>
      <c r="F656" s="16"/>
      <c r="G656" s="26"/>
      <c r="H656" s="26"/>
      <c r="I656" s="26"/>
      <c r="J656" s="26"/>
      <c r="K656" s="16"/>
      <c r="L656" s="27" t="str">
        <f aca="false">IF(G656="","",G656-H656+I656+IF(K656="N",J656,0))</f>
        <v/>
      </c>
      <c r="M656" s="16"/>
      <c r="N656" s="16"/>
      <c r="O656" s="16"/>
      <c r="P656" s="16"/>
      <c r="Q656" s="16"/>
      <c r="R656" s="16"/>
    </row>
    <row r="657" customFormat="false" ht="15" hidden="false" customHeight="false" outlineLevel="0" collapsed="false">
      <c r="A657" s="25"/>
      <c r="B657" s="16"/>
      <c r="C657" s="16"/>
      <c r="D657" s="16"/>
      <c r="E657" s="16"/>
      <c r="F657" s="16"/>
      <c r="G657" s="26"/>
      <c r="H657" s="26"/>
      <c r="I657" s="26"/>
      <c r="J657" s="26"/>
      <c r="K657" s="16"/>
      <c r="L657" s="27" t="str">
        <f aca="false">IF(G657="","",G657-H657+I657+IF(K657="N",J657,0))</f>
        <v/>
      </c>
      <c r="M657" s="16"/>
      <c r="N657" s="16"/>
      <c r="O657" s="16"/>
      <c r="P657" s="16"/>
      <c r="Q657" s="16"/>
      <c r="R657" s="16"/>
    </row>
    <row r="658" customFormat="false" ht="15" hidden="false" customHeight="false" outlineLevel="0" collapsed="false">
      <c r="A658" s="25"/>
      <c r="B658" s="16"/>
      <c r="C658" s="16"/>
      <c r="D658" s="16"/>
      <c r="E658" s="16"/>
      <c r="F658" s="16"/>
      <c r="G658" s="26"/>
      <c r="H658" s="26"/>
      <c r="I658" s="26"/>
      <c r="J658" s="26"/>
      <c r="K658" s="16"/>
      <c r="L658" s="27" t="str">
        <f aca="false">IF(G658="","",G658-H658+I658+IF(K658="N",J658,0))</f>
        <v/>
      </c>
      <c r="M658" s="16"/>
      <c r="N658" s="16"/>
      <c r="O658" s="16"/>
      <c r="P658" s="16"/>
      <c r="Q658" s="16"/>
      <c r="R658" s="16"/>
    </row>
    <row r="659" customFormat="false" ht="15" hidden="false" customHeight="false" outlineLevel="0" collapsed="false">
      <c r="A659" s="25"/>
      <c r="B659" s="16"/>
      <c r="C659" s="16"/>
      <c r="D659" s="16"/>
      <c r="E659" s="16"/>
      <c r="F659" s="16"/>
      <c r="G659" s="26"/>
      <c r="H659" s="26"/>
      <c r="I659" s="26"/>
      <c r="J659" s="26"/>
      <c r="K659" s="16"/>
      <c r="L659" s="27" t="str">
        <f aca="false">IF(G659="","",G659-H659+I659+IF(K659="N",J659,0))</f>
        <v/>
      </c>
      <c r="M659" s="16"/>
      <c r="N659" s="16"/>
      <c r="O659" s="16"/>
      <c r="P659" s="16"/>
      <c r="Q659" s="16"/>
      <c r="R659" s="16"/>
    </row>
    <row r="660" customFormat="false" ht="15" hidden="false" customHeight="false" outlineLevel="0" collapsed="false">
      <c r="A660" s="25"/>
      <c r="B660" s="16"/>
      <c r="C660" s="16"/>
      <c r="D660" s="16"/>
      <c r="E660" s="16"/>
      <c r="F660" s="16"/>
      <c r="G660" s="26"/>
      <c r="H660" s="26"/>
      <c r="I660" s="26"/>
      <c r="J660" s="26"/>
      <c r="K660" s="16"/>
      <c r="L660" s="27" t="str">
        <f aca="false">IF(G660="","",G660-H660+I660+IF(K660="N",J660,0))</f>
        <v/>
      </c>
      <c r="M660" s="16"/>
      <c r="N660" s="16"/>
      <c r="O660" s="16"/>
      <c r="P660" s="16"/>
      <c r="Q660" s="16"/>
      <c r="R660" s="16"/>
    </row>
    <row r="661" customFormat="false" ht="15" hidden="false" customHeight="false" outlineLevel="0" collapsed="false">
      <c r="A661" s="25"/>
      <c r="B661" s="16"/>
      <c r="C661" s="16"/>
      <c r="D661" s="16"/>
      <c r="E661" s="16"/>
      <c r="F661" s="16"/>
      <c r="G661" s="26"/>
      <c r="H661" s="26"/>
      <c r="I661" s="26"/>
      <c r="J661" s="26"/>
      <c r="K661" s="16"/>
      <c r="L661" s="27" t="str">
        <f aca="false">IF(G661="","",G661-H661+I661+IF(K661="N",J661,0))</f>
        <v/>
      </c>
      <c r="M661" s="16"/>
      <c r="N661" s="16"/>
      <c r="O661" s="16"/>
      <c r="P661" s="16"/>
      <c r="Q661" s="16"/>
      <c r="R661" s="16"/>
    </row>
    <row r="662" customFormat="false" ht="15" hidden="false" customHeight="false" outlineLevel="0" collapsed="false">
      <c r="A662" s="25"/>
      <c r="B662" s="16"/>
      <c r="C662" s="16"/>
      <c r="D662" s="16"/>
      <c r="E662" s="16"/>
      <c r="F662" s="16"/>
      <c r="G662" s="26"/>
      <c r="H662" s="26"/>
      <c r="I662" s="26"/>
      <c r="J662" s="26"/>
      <c r="K662" s="16"/>
      <c r="L662" s="27" t="str">
        <f aca="false">IF(G662="","",G662-H662+I662+IF(K662="N",J662,0))</f>
        <v/>
      </c>
      <c r="M662" s="16"/>
      <c r="N662" s="16"/>
      <c r="O662" s="16"/>
      <c r="P662" s="16"/>
      <c r="Q662" s="16"/>
      <c r="R662" s="16"/>
    </row>
    <row r="663" customFormat="false" ht="15" hidden="false" customHeight="false" outlineLevel="0" collapsed="false">
      <c r="A663" s="25"/>
      <c r="B663" s="16"/>
      <c r="C663" s="16"/>
      <c r="D663" s="16"/>
      <c r="E663" s="16"/>
      <c r="F663" s="16"/>
      <c r="G663" s="26"/>
      <c r="H663" s="26"/>
      <c r="I663" s="26"/>
      <c r="J663" s="26"/>
      <c r="K663" s="16"/>
      <c r="L663" s="27" t="str">
        <f aca="false">IF(G663="","",G663-H663+I663+IF(K663="N",J663,0))</f>
        <v/>
      </c>
      <c r="M663" s="16"/>
      <c r="N663" s="16"/>
      <c r="O663" s="16"/>
      <c r="P663" s="16"/>
      <c r="Q663" s="16"/>
      <c r="R663" s="16"/>
    </row>
    <row r="664" customFormat="false" ht="15" hidden="false" customHeight="false" outlineLevel="0" collapsed="false">
      <c r="A664" s="25"/>
      <c r="B664" s="16"/>
      <c r="C664" s="16"/>
      <c r="D664" s="16"/>
      <c r="E664" s="16"/>
      <c r="F664" s="16"/>
      <c r="G664" s="26"/>
      <c r="H664" s="26"/>
      <c r="I664" s="26"/>
      <c r="J664" s="26"/>
      <c r="K664" s="16"/>
      <c r="L664" s="27" t="str">
        <f aca="false">IF(G664="","",G664-H664+I664+IF(K664="N",J664,0))</f>
        <v/>
      </c>
      <c r="M664" s="16"/>
      <c r="N664" s="16"/>
      <c r="O664" s="16"/>
      <c r="P664" s="16"/>
      <c r="Q664" s="16"/>
      <c r="R664" s="16"/>
    </row>
    <row r="665" customFormat="false" ht="15" hidden="false" customHeight="false" outlineLevel="0" collapsed="false">
      <c r="A665" s="25"/>
      <c r="B665" s="16"/>
      <c r="C665" s="16"/>
      <c r="D665" s="16"/>
      <c r="E665" s="16"/>
      <c r="F665" s="16"/>
      <c r="G665" s="26"/>
      <c r="H665" s="26"/>
      <c r="I665" s="26"/>
      <c r="J665" s="26"/>
      <c r="K665" s="16"/>
      <c r="L665" s="27" t="str">
        <f aca="false">IF(G665="","",G665-H665+I665+IF(K665="N",J665,0))</f>
        <v/>
      </c>
      <c r="M665" s="16"/>
      <c r="N665" s="16"/>
      <c r="O665" s="16"/>
      <c r="P665" s="16"/>
      <c r="Q665" s="16"/>
      <c r="R665" s="16"/>
    </row>
    <row r="666" customFormat="false" ht="15" hidden="false" customHeight="false" outlineLevel="0" collapsed="false">
      <c r="A666" s="25"/>
      <c r="B666" s="16"/>
      <c r="C666" s="16"/>
      <c r="D666" s="16"/>
      <c r="E666" s="16"/>
      <c r="F666" s="16"/>
      <c r="G666" s="26"/>
      <c r="H666" s="26"/>
      <c r="I666" s="26"/>
      <c r="J666" s="26"/>
      <c r="K666" s="16"/>
      <c r="L666" s="27" t="str">
        <f aca="false">IF(G666="","",G666-H666+I666+IF(K666="N",J666,0))</f>
        <v/>
      </c>
      <c r="M666" s="16"/>
      <c r="N666" s="16"/>
      <c r="O666" s="16"/>
      <c r="P666" s="16"/>
      <c r="Q666" s="16"/>
      <c r="R666" s="16"/>
    </row>
    <row r="667" customFormat="false" ht="15" hidden="false" customHeight="false" outlineLevel="0" collapsed="false">
      <c r="A667" s="25"/>
      <c r="B667" s="16"/>
      <c r="C667" s="16"/>
      <c r="D667" s="16"/>
      <c r="E667" s="16"/>
      <c r="F667" s="16"/>
      <c r="G667" s="26"/>
      <c r="H667" s="26"/>
      <c r="I667" s="26"/>
      <c r="J667" s="26"/>
      <c r="K667" s="16"/>
      <c r="L667" s="27" t="str">
        <f aca="false">IF(G667="","",G667-H667+I667+IF(K667="N",J667,0))</f>
        <v/>
      </c>
      <c r="M667" s="16"/>
      <c r="N667" s="16"/>
      <c r="O667" s="16"/>
      <c r="P667" s="16"/>
      <c r="Q667" s="16"/>
      <c r="R667" s="16"/>
    </row>
    <row r="668" customFormat="false" ht="15" hidden="false" customHeight="false" outlineLevel="0" collapsed="false">
      <c r="A668" s="25"/>
      <c r="B668" s="16"/>
      <c r="C668" s="16"/>
      <c r="D668" s="16"/>
      <c r="E668" s="16"/>
      <c r="F668" s="16"/>
      <c r="G668" s="26"/>
      <c r="H668" s="26"/>
      <c r="I668" s="26"/>
      <c r="J668" s="26"/>
      <c r="K668" s="16"/>
      <c r="L668" s="27" t="str">
        <f aca="false">IF(G668="","",G668-H668+I668+IF(K668="N",J668,0))</f>
        <v/>
      </c>
      <c r="M668" s="16"/>
      <c r="N668" s="16"/>
      <c r="O668" s="16"/>
      <c r="P668" s="16"/>
      <c r="Q668" s="16"/>
      <c r="R668" s="16"/>
    </row>
    <row r="669" customFormat="false" ht="15" hidden="false" customHeight="false" outlineLevel="0" collapsed="false">
      <c r="A669" s="25"/>
      <c r="B669" s="16"/>
      <c r="C669" s="16"/>
      <c r="D669" s="16"/>
      <c r="E669" s="16"/>
      <c r="F669" s="16"/>
      <c r="G669" s="26"/>
      <c r="H669" s="26"/>
      <c r="I669" s="26"/>
      <c r="J669" s="26"/>
      <c r="K669" s="16"/>
      <c r="L669" s="27" t="str">
        <f aca="false">IF(G669="","",G669-H669+I669+IF(K669="N",J669,0))</f>
        <v/>
      </c>
      <c r="M669" s="16"/>
      <c r="N669" s="16"/>
      <c r="O669" s="16"/>
      <c r="P669" s="16"/>
      <c r="Q669" s="16"/>
      <c r="R669" s="16"/>
    </row>
    <row r="670" customFormat="false" ht="15" hidden="false" customHeight="false" outlineLevel="0" collapsed="false">
      <c r="A670" s="25"/>
      <c r="B670" s="16"/>
      <c r="C670" s="16"/>
      <c r="D670" s="16"/>
      <c r="E670" s="16"/>
      <c r="F670" s="16"/>
      <c r="G670" s="26"/>
      <c r="H670" s="26"/>
      <c r="I670" s="26"/>
      <c r="J670" s="26"/>
      <c r="K670" s="16"/>
      <c r="L670" s="27" t="str">
        <f aca="false">IF(G670="","",G670-H670+I670+IF(K670="N",J670,0))</f>
        <v/>
      </c>
      <c r="M670" s="16"/>
      <c r="N670" s="16"/>
      <c r="O670" s="16"/>
      <c r="P670" s="16"/>
      <c r="Q670" s="16"/>
      <c r="R670" s="16"/>
    </row>
    <row r="671" customFormat="false" ht="15" hidden="false" customHeight="false" outlineLevel="0" collapsed="false">
      <c r="A671" s="25"/>
      <c r="B671" s="16"/>
      <c r="C671" s="16"/>
      <c r="D671" s="16"/>
      <c r="E671" s="16"/>
      <c r="F671" s="16"/>
      <c r="G671" s="26"/>
      <c r="H671" s="26"/>
      <c r="I671" s="26"/>
      <c r="J671" s="26"/>
      <c r="K671" s="16"/>
      <c r="L671" s="27" t="str">
        <f aca="false">IF(G671="","",G671-H671+I671+IF(K671="N",J671,0))</f>
        <v/>
      </c>
      <c r="M671" s="16"/>
      <c r="N671" s="16"/>
      <c r="O671" s="16"/>
      <c r="P671" s="16"/>
      <c r="Q671" s="16"/>
      <c r="R671" s="16"/>
    </row>
    <row r="672" customFormat="false" ht="15" hidden="false" customHeight="false" outlineLevel="0" collapsed="false">
      <c r="A672" s="25"/>
      <c r="B672" s="16"/>
      <c r="C672" s="16"/>
      <c r="D672" s="16"/>
      <c r="E672" s="16"/>
      <c r="F672" s="16"/>
      <c r="G672" s="26"/>
      <c r="H672" s="26"/>
      <c r="I672" s="26"/>
      <c r="J672" s="26"/>
      <c r="K672" s="16"/>
      <c r="L672" s="27" t="str">
        <f aca="false">IF(G672="","",G672-H672+I672+IF(K672="N",J672,0))</f>
        <v/>
      </c>
      <c r="M672" s="16"/>
      <c r="N672" s="16"/>
      <c r="O672" s="16"/>
      <c r="P672" s="16"/>
      <c r="Q672" s="16"/>
      <c r="R672" s="16"/>
    </row>
    <row r="673" customFormat="false" ht="15" hidden="false" customHeight="false" outlineLevel="0" collapsed="false">
      <c r="A673" s="25"/>
      <c r="B673" s="16"/>
      <c r="C673" s="16"/>
      <c r="D673" s="16"/>
      <c r="E673" s="16"/>
      <c r="F673" s="16"/>
      <c r="G673" s="26"/>
      <c r="H673" s="26"/>
      <c r="I673" s="26"/>
      <c r="J673" s="26"/>
      <c r="K673" s="16"/>
      <c r="L673" s="27" t="str">
        <f aca="false">IF(G673="","",G673-H673+I673+IF(K673="N",J673,0))</f>
        <v/>
      </c>
      <c r="M673" s="16"/>
      <c r="N673" s="16"/>
      <c r="O673" s="16"/>
      <c r="P673" s="16"/>
      <c r="Q673" s="16"/>
      <c r="R673" s="16"/>
    </row>
    <row r="674" customFormat="false" ht="15" hidden="false" customHeight="false" outlineLevel="0" collapsed="false">
      <c r="A674" s="25"/>
      <c r="B674" s="16"/>
      <c r="C674" s="16"/>
      <c r="D674" s="16"/>
      <c r="E674" s="16"/>
      <c r="F674" s="16"/>
      <c r="G674" s="26"/>
      <c r="H674" s="26"/>
      <c r="I674" s="26"/>
      <c r="J674" s="26"/>
      <c r="K674" s="16"/>
      <c r="L674" s="27" t="str">
        <f aca="false">IF(G674="","",G674-H674+I674+IF(K674="N",J674,0))</f>
        <v/>
      </c>
      <c r="M674" s="16"/>
      <c r="N674" s="16"/>
      <c r="O674" s="16"/>
      <c r="P674" s="16"/>
      <c r="Q674" s="16"/>
      <c r="R674" s="16"/>
    </row>
    <row r="675" customFormat="false" ht="15" hidden="false" customHeight="false" outlineLevel="0" collapsed="false">
      <c r="A675" s="25"/>
      <c r="B675" s="16"/>
      <c r="C675" s="16"/>
      <c r="D675" s="16"/>
      <c r="E675" s="16"/>
      <c r="F675" s="16"/>
      <c r="G675" s="26"/>
      <c r="H675" s="26"/>
      <c r="I675" s="26"/>
      <c r="J675" s="26"/>
      <c r="K675" s="16"/>
      <c r="L675" s="27" t="str">
        <f aca="false">IF(G675="","",G675-H675+I675+IF(K675="N",J675,0))</f>
        <v/>
      </c>
      <c r="M675" s="16"/>
      <c r="N675" s="16"/>
      <c r="O675" s="16"/>
      <c r="P675" s="16"/>
      <c r="Q675" s="16"/>
      <c r="R675" s="16"/>
    </row>
    <row r="676" customFormat="false" ht="15" hidden="false" customHeight="false" outlineLevel="0" collapsed="false">
      <c r="A676" s="25"/>
      <c r="B676" s="16"/>
      <c r="C676" s="16"/>
      <c r="D676" s="16"/>
      <c r="E676" s="16"/>
      <c r="F676" s="16"/>
      <c r="G676" s="26"/>
      <c r="H676" s="26"/>
      <c r="I676" s="26"/>
      <c r="J676" s="26"/>
      <c r="K676" s="16"/>
      <c r="L676" s="27" t="str">
        <f aca="false">IF(G676="","",G676-H676+I676+IF(K676="N",J676,0))</f>
        <v/>
      </c>
      <c r="M676" s="16"/>
      <c r="N676" s="16"/>
      <c r="O676" s="16"/>
      <c r="P676" s="16"/>
      <c r="Q676" s="16"/>
      <c r="R676" s="16"/>
    </row>
    <row r="677" customFormat="false" ht="15" hidden="false" customHeight="false" outlineLevel="0" collapsed="false">
      <c r="A677" s="25"/>
      <c r="B677" s="16"/>
      <c r="C677" s="16"/>
      <c r="D677" s="16"/>
      <c r="E677" s="16"/>
      <c r="F677" s="16"/>
      <c r="G677" s="26"/>
      <c r="H677" s="26"/>
      <c r="I677" s="26"/>
      <c r="J677" s="26"/>
      <c r="K677" s="16"/>
      <c r="L677" s="27" t="str">
        <f aca="false">IF(G677="","",G677-H677+I677+IF(K677="N",J677,0))</f>
        <v/>
      </c>
      <c r="M677" s="16"/>
      <c r="N677" s="16"/>
      <c r="O677" s="16"/>
      <c r="P677" s="16"/>
      <c r="Q677" s="16"/>
      <c r="R677" s="16"/>
    </row>
    <row r="678" customFormat="false" ht="15" hidden="false" customHeight="false" outlineLevel="0" collapsed="false">
      <c r="A678" s="25"/>
      <c r="B678" s="16"/>
      <c r="C678" s="16"/>
      <c r="D678" s="16"/>
      <c r="E678" s="16"/>
      <c r="F678" s="16"/>
      <c r="G678" s="26"/>
      <c r="H678" s="26"/>
      <c r="I678" s="26"/>
      <c r="J678" s="26"/>
      <c r="K678" s="16"/>
      <c r="L678" s="27" t="str">
        <f aca="false">IF(G678="","",G678-H678+I678+IF(K678="N",J678,0))</f>
        <v/>
      </c>
      <c r="M678" s="16"/>
      <c r="N678" s="16"/>
      <c r="O678" s="16"/>
      <c r="P678" s="16"/>
      <c r="Q678" s="16"/>
      <c r="R678" s="16"/>
    </row>
    <row r="679" customFormat="false" ht="15" hidden="false" customHeight="false" outlineLevel="0" collapsed="false">
      <c r="A679" s="25"/>
      <c r="B679" s="16"/>
      <c r="C679" s="16"/>
      <c r="D679" s="16"/>
      <c r="E679" s="16"/>
      <c r="F679" s="16"/>
      <c r="G679" s="26"/>
      <c r="H679" s="26"/>
      <c r="I679" s="26"/>
      <c r="J679" s="26"/>
      <c r="K679" s="16"/>
      <c r="L679" s="27" t="str">
        <f aca="false">IF(G679="","",G679-H679+I679+IF(K679="N",J679,0))</f>
        <v/>
      </c>
      <c r="M679" s="16"/>
      <c r="N679" s="16"/>
      <c r="O679" s="16"/>
      <c r="P679" s="16"/>
      <c r="Q679" s="16"/>
      <c r="R679" s="16"/>
    </row>
    <row r="680" customFormat="false" ht="15" hidden="false" customHeight="false" outlineLevel="0" collapsed="false">
      <c r="A680" s="25"/>
      <c r="B680" s="16"/>
      <c r="C680" s="16"/>
      <c r="D680" s="16"/>
      <c r="E680" s="16"/>
      <c r="F680" s="16"/>
      <c r="G680" s="26"/>
      <c r="H680" s="26"/>
      <c r="I680" s="26"/>
      <c r="J680" s="26"/>
      <c r="K680" s="16"/>
      <c r="L680" s="27" t="str">
        <f aca="false">IF(G680="","",G680-H680+I680+IF(K680="N",J680,0))</f>
        <v/>
      </c>
      <c r="M680" s="16"/>
      <c r="N680" s="16"/>
      <c r="O680" s="16"/>
      <c r="P680" s="16"/>
      <c r="Q680" s="16"/>
      <c r="R680" s="16"/>
    </row>
    <row r="681" customFormat="false" ht="15" hidden="false" customHeight="false" outlineLevel="0" collapsed="false">
      <c r="A681" s="25"/>
      <c r="B681" s="16"/>
      <c r="C681" s="16"/>
      <c r="D681" s="16"/>
      <c r="E681" s="16"/>
      <c r="F681" s="16"/>
      <c r="G681" s="26"/>
      <c r="H681" s="26"/>
      <c r="I681" s="26"/>
      <c r="J681" s="26"/>
      <c r="K681" s="16"/>
      <c r="L681" s="27" t="str">
        <f aca="false">IF(G681="","",G681-H681+I681+IF(K681="N",J681,0))</f>
        <v/>
      </c>
      <c r="M681" s="16"/>
      <c r="N681" s="16"/>
      <c r="O681" s="16"/>
      <c r="P681" s="16"/>
      <c r="Q681" s="16"/>
      <c r="R681" s="16"/>
    </row>
    <row r="682" customFormat="false" ht="15" hidden="false" customHeight="false" outlineLevel="0" collapsed="false">
      <c r="A682" s="25"/>
      <c r="B682" s="16"/>
      <c r="C682" s="16"/>
      <c r="D682" s="16"/>
      <c r="E682" s="16"/>
      <c r="F682" s="16"/>
      <c r="G682" s="26"/>
      <c r="H682" s="26"/>
      <c r="I682" s="26"/>
      <c r="J682" s="26"/>
      <c r="K682" s="16"/>
      <c r="L682" s="27" t="str">
        <f aca="false">IF(G682="","",G682-H682+I682+IF(K682="N",J682,0))</f>
        <v/>
      </c>
      <c r="M682" s="16"/>
      <c r="N682" s="16"/>
      <c r="O682" s="16"/>
      <c r="P682" s="16"/>
      <c r="Q682" s="16"/>
      <c r="R682" s="16"/>
    </row>
    <row r="683" customFormat="false" ht="15" hidden="false" customHeight="false" outlineLevel="0" collapsed="false">
      <c r="A683" s="25"/>
      <c r="B683" s="16"/>
      <c r="C683" s="16"/>
      <c r="D683" s="16"/>
      <c r="E683" s="16"/>
      <c r="F683" s="16"/>
      <c r="G683" s="26"/>
      <c r="H683" s="26"/>
      <c r="I683" s="26"/>
      <c r="J683" s="26"/>
      <c r="K683" s="16"/>
      <c r="L683" s="27" t="str">
        <f aca="false">IF(G683="","",G683-H683+I683+IF(K683="N",J683,0))</f>
        <v/>
      </c>
      <c r="M683" s="16"/>
      <c r="N683" s="16"/>
      <c r="O683" s="16"/>
      <c r="P683" s="16"/>
      <c r="Q683" s="16"/>
      <c r="R683" s="16"/>
    </row>
    <row r="684" customFormat="false" ht="15" hidden="false" customHeight="false" outlineLevel="0" collapsed="false">
      <c r="A684" s="25"/>
      <c r="B684" s="16"/>
      <c r="C684" s="16"/>
      <c r="D684" s="16"/>
      <c r="E684" s="16"/>
      <c r="F684" s="16"/>
      <c r="G684" s="26"/>
      <c r="H684" s="26"/>
      <c r="I684" s="26"/>
      <c r="J684" s="26"/>
      <c r="K684" s="16"/>
      <c r="L684" s="27" t="str">
        <f aca="false">IF(G684="","",G684-H684+I684+IF(K684="N",J684,0))</f>
        <v/>
      </c>
      <c r="M684" s="16"/>
      <c r="N684" s="16"/>
      <c r="O684" s="16"/>
      <c r="P684" s="16"/>
      <c r="Q684" s="16"/>
      <c r="R684" s="16"/>
    </row>
    <row r="685" customFormat="false" ht="15" hidden="false" customHeight="false" outlineLevel="0" collapsed="false">
      <c r="A685" s="25"/>
      <c r="B685" s="16"/>
      <c r="C685" s="16"/>
      <c r="D685" s="16"/>
      <c r="E685" s="16"/>
      <c r="F685" s="16"/>
      <c r="G685" s="26"/>
      <c r="H685" s="26"/>
      <c r="I685" s="26"/>
      <c r="J685" s="26"/>
      <c r="K685" s="16"/>
      <c r="L685" s="27" t="str">
        <f aca="false">IF(G685="","",G685-H685+I685+IF(K685="N",J685,0))</f>
        <v/>
      </c>
      <c r="M685" s="16"/>
      <c r="N685" s="16"/>
      <c r="O685" s="16"/>
      <c r="P685" s="16"/>
      <c r="Q685" s="16"/>
      <c r="R685" s="16"/>
    </row>
    <row r="686" customFormat="false" ht="15" hidden="false" customHeight="false" outlineLevel="0" collapsed="false">
      <c r="A686" s="25"/>
      <c r="B686" s="16"/>
      <c r="C686" s="16"/>
      <c r="D686" s="16"/>
      <c r="E686" s="16"/>
      <c r="F686" s="16"/>
      <c r="G686" s="26"/>
      <c r="H686" s="26"/>
      <c r="I686" s="26"/>
      <c r="J686" s="26"/>
      <c r="K686" s="16"/>
      <c r="L686" s="27" t="str">
        <f aca="false">IF(G686="","",G686-H686+I686+IF(K686="N",J686,0))</f>
        <v/>
      </c>
      <c r="M686" s="16"/>
      <c r="N686" s="16"/>
      <c r="O686" s="16"/>
      <c r="P686" s="16"/>
      <c r="Q686" s="16"/>
      <c r="R686" s="16"/>
    </row>
    <row r="687" customFormat="false" ht="15" hidden="false" customHeight="false" outlineLevel="0" collapsed="false">
      <c r="A687" s="25"/>
      <c r="B687" s="16"/>
      <c r="C687" s="16"/>
      <c r="D687" s="16"/>
      <c r="E687" s="16"/>
      <c r="F687" s="16"/>
      <c r="G687" s="26"/>
      <c r="H687" s="26"/>
      <c r="I687" s="26"/>
      <c r="J687" s="26"/>
      <c r="K687" s="16"/>
      <c r="L687" s="27" t="str">
        <f aca="false">IF(G687="","",G687-H687+I687+IF(K687="N",J687,0))</f>
        <v/>
      </c>
      <c r="M687" s="16"/>
      <c r="N687" s="16"/>
      <c r="O687" s="16"/>
      <c r="P687" s="16"/>
      <c r="Q687" s="16"/>
      <c r="R687" s="16"/>
    </row>
    <row r="688" customFormat="false" ht="15" hidden="false" customHeight="false" outlineLevel="0" collapsed="false">
      <c r="A688" s="25"/>
      <c r="B688" s="16"/>
      <c r="C688" s="16"/>
      <c r="D688" s="16"/>
      <c r="E688" s="16"/>
      <c r="F688" s="16"/>
      <c r="G688" s="26"/>
      <c r="H688" s="26"/>
      <c r="I688" s="26"/>
      <c r="J688" s="26"/>
      <c r="K688" s="16"/>
      <c r="L688" s="27" t="str">
        <f aca="false">IF(G688="","",G688-H688+I688+IF(K688="N",J688,0))</f>
        <v/>
      </c>
      <c r="M688" s="16"/>
      <c r="N688" s="16"/>
      <c r="O688" s="16"/>
      <c r="P688" s="16"/>
      <c r="Q688" s="16"/>
      <c r="R688" s="16"/>
    </row>
    <row r="689" customFormat="false" ht="15" hidden="false" customHeight="false" outlineLevel="0" collapsed="false">
      <c r="A689" s="25"/>
      <c r="B689" s="16"/>
      <c r="C689" s="16"/>
      <c r="D689" s="16"/>
      <c r="E689" s="16"/>
      <c r="F689" s="16"/>
      <c r="G689" s="26"/>
      <c r="H689" s="26"/>
      <c r="I689" s="26"/>
      <c r="J689" s="26"/>
      <c r="K689" s="16"/>
      <c r="L689" s="27" t="str">
        <f aca="false">IF(G689="","",G689-H689+I689+IF(K689="N",J689,0))</f>
        <v/>
      </c>
      <c r="M689" s="16"/>
      <c r="N689" s="16"/>
      <c r="O689" s="16"/>
      <c r="P689" s="16"/>
      <c r="Q689" s="16"/>
      <c r="R689" s="16"/>
    </row>
    <row r="690" customFormat="false" ht="15" hidden="false" customHeight="false" outlineLevel="0" collapsed="false">
      <c r="A690" s="25"/>
      <c r="B690" s="16"/>
      <c r="C690" s="16"/>
      <c r="D690" s="16"/>
      <c r="E690" s="16"/>
      <c r="F690" s="16"/>
      <c r="G690" s="26"/>
      <c r="H690" s="26"/>
      <c r="I690" s="26"/>
      <c r="J690" s="26"/>
      <c r="K690" s="16"/>
      <c r="L690" s="27" t="str">
        <f aca="false">IF(G690="","",G690-H690+I690+IF(K690="N",J690,0))</f>
        <v/>
      </c>
      <c r="M690" s="16"/>
      <c r="N690" s="16"/>
      <c r="O690" s="16"/>
      <c r="P690" s="16"/>
      <c r="Q690" s="16"/>
      <c r="R690" s="16"/>
    </row>
    <row r="691" customFormat="false" ht="15" hidden="false" customHeight="false" outlineLevel="0" collapsed="false">
      <c r="A691" s="25"/>
      <c r="B691" s="16"/>
      <c r="C691" s="16"/>
      <c r="D691" s="16"/>
      <c r="E691" s="16"/>
      <c r="F691" s="16"/>
      <c r="G691" s="26"/>
      <c r="H691" s="26"/>
      <c r="I691" s="26"/>
      <c r="J691" s="26"/>
      <c r="K691" s="16"/>
      <c r="L691" s="27" t="str">
        <f aca="false">IF(G691="","",G691-H691+I691+IF(K691="N",J691,0))</f>
        <v/>
      </c>
      <c r="M691" s="16"/>
      <c r="N691" s="16"/>
      <c r="O691" s="16"/>
      <c r="P691" s="16"/>
      <c r="Q691" s="16"/>
      <c r="R691" s="16"/>
    </row>
    <row r="692" customFormat="false" ht="15" hidden="false" customHeight="false" outlineLevel="0" collapsed="false">
      <c r="A692" s="25"/>
      <c r="B692" s="16"/>
      <c r="C692" s="16"/>
      <c r="D692" s="16"/>
      <c r="E692" s="16"/>
      <c r="F692" s="16"/>
      <c r="G692" s="26"/>
      <c r="H692" s="26"/>
      <c r="I692" s="26"/>
      <c r="J692" s="26"/>
      <c r="K692" s="16"/>
      <c r="L692" s="27" t="str">
        <f aca="false">IF(G692="","",G692-H692+I692+IF(K692="N",J692,0))</f>
        <v/>
      </c>
      <c r="M692" s="16"/>
      <c r="N692" s="16"/>
      <c r="O692" s="16"/>
      <c r="P692" s="16"/>
      <c r="Q692" s="16"/>
      <c r="R692" s="16"/>
    </row>
    <row r="693" customFormat="false" ht="15" hidden="false" customHeight="false" outlineLevel="0" collapsed="false">
      <c r="A693" s="25"/>
      <c r="B693" s="16"/>
      <c r="C693" s="16"/>
      <c r="D693" s="16"/>
      <c r="E693" s="16"/>
      <c r="F693" s="16"/>
      <c r="G693" s="26"/>
      <c r="H693" s="26"/>
      <c r="I693" s="26"/>
      <c r="J693" s="26"/>
      <c r="K693" s="16"/>
      <c r="L693" s="27" t="str">
        <f aca="false">IF(G693="","",G693-H693+I693+IF(K693="N",J693,0))</f>
        <v/>
      </c>
      <c r="M693" s="16"/>
      <c r="N693" s="16"/>
      <c r="O693" s="16"/>
      <c r="P693" s="16"/>
      <c r="Q693" s="16"/>
      <c r="R693" s="16"/>
    </row>
    <row r="694" customFormat="false" ht="15" hidden="false" customHeight="false" outlineLevel="0" collapsed="false">
      <c r="A694" s="25"/>
      <c r="B694" s="16"/>
      <c r="C694" s="16"/>
      <c r="D694" s="16"/>
      <c r="E694" s="16"/>
      <c r="F694" s="16"/>
      <c r="G694" s="26"/>
      <c r="H694" s="26"/>
      <c r="I694" s="26"/>
      <c r="J694" s="26"/>
      <c r="K694" s="16"/>
      <c r="L694" s="27" t="str">
        <f aca="false">IF(G694="","",G694-H694+I694+IF(K694="N",J694,0))</f>
        <v/>
      </c>
      <c r="M694" s="16"/>
      <c r="N694" s="16"/>
      <c r="O694" s="16"/>
      <c r="P694" s="16"/>
      <c r="Q694" s="16"/>
      <c r="R694" s="16"/>
    </row>
    <row r="695" customFormat="false" ht="15" hidden="false" customHeight="false" outlineLevel="0" collapsed="false">
      <c r="A695" s="25"/>
      <c r="B695" s="16"/>
      <c r="C695" s="16"/>
      <c r="D695" s="16"/>
      <c r="E695" s="16"/>
      <c r="F695" s="16"/>
      <c r="G695" s="26"/>
      <c r="H695" s="26"/>
      <c r="I695" s="26"/>
      <c r="J695" s="26"/>
      <c r="K695" s="16"/>
      <c r="L695" s="27" t="str">
        <f aca="false">IF(G695="","",G695-H695+I695+IF(K695="N",J695,0))</f>
        <v/>
      </c>
      <c r="M695" s="16"/>
      <c r="N695" s="16"/>
      <c r="O695" s="16"/>
      <c r="P695" s="16"/>
      <c r="Q695" s="16"/>
      <c r="R695" s="16"/>
    </row>
    <row r="696" customFormat="false" ht="15" hidden="false" customHeight="false" outlineLevel="0" collapsed="false">
      <c r="A696" s="25"/>
      <c r="B696" s="16"/>
      <c r="C696" s="16"/>
      <c r="D696" s="16"/>
      <c r="E696" s="16"/>
      <c r="F696" s="16"/>
      <c r="G696" s="26"/>
      <c r="H696" s="26"/>
      <c r="I696" s="26"/>
      <c r="J696" s="26"/>
      <c r="K696" s="16"/>
      <c r="L696" s="27" t="str">
        <f aca="false">IF(G696="","",G696-H696+I696+IF(K696="N",J696,0))</f>
        <v/>
      </c>
      <c r="M696" s="16"/>
      <c r="N696" s="16"/>
      <c r="O696" s="16"/>
      <c r="P696" s="16"/>
      <c r="Q696" s="16"/>
      <c r="R696" s="16"/>
    </row>
    <row r="697" customFormat="false" ht="15" hidden="false" customHeight="false" outlineLevel="0" collapsed="false">
      <c r="A697" s="25"/>
      <c r="B697" s="16"/>
      <c r="C697" s="16"/>
      <c r="D697" s="16"/>
      <c r="E697" s="16"/>
      <c r="F697" s="16"/>
      <c r="G697" s="26"/>
      <c r="H697" s="26"/>
      <c r="I697" s="26"/>
      <c r="J697" s="26"/>
      <c r="K697" s="16"/>
      <c r="L697" s="27" t="str">
        <f aca="false">IF(G697="","",G697-H697+I697+IF(K697="N",J697,0))</f>
        <v/>
      </c>
      <c r="M697" s="16"/>
      <c r="N697" s="16"/>
      <c r="O697" s="16"/>
      <c r="P697" s="16"/>
      <c r="Q697" s="16"/>
      <c r="R697" s="16"/>
    </row>
    <row r="698" customFormat="false" ht="15" hidden="false" customHeight="false" outlineLevel="0" collapsed="false">
      <c r="A698" s="25"/>
      <c r="B698" s="16"/>
      <c r="C698" s="16"/>
      <c r="D698" s="16"/>
      <c r="E698" s="16"/>
      <c r="F698" s="16"/>
      <c r="G698" s="26"/>
      <c r="H698" s="26"/>
      <c r="I698" s="26"/>
      <c r="J698" s="26"/>
      <c r="K698" s="16"/>
      <c r="L698" s="27" t="str">
        <f aca="false">IF(G698="","",G698-H698+I698+IF(K698="N",J698,0))</f>
        <v/>
      </c>
      <c r="M698" s="16"/>
      <c r="N698" s="16"/>
      <c r="O698" s="16"/>
      <c r="P698" s="16"/>
      <c r="Q698" s="16"/>
      <c r="R698" s="16"/>
    </row>
    <row r="699" customFormat="false" ht="15" hidden="false" customHeight="false" outlineLevel="0" collapsed="false">
      <c r="A699" s="25"/>
      <c r="B699" s="16"/>
      <c r="C699" s="16"/>
      <c r="D699" s="16"/>
      <c r="E699" s="16"/>
      <c r="F699" s="16"/>
      <c r="G699" s="26"/>
      <c r="H699" s="26"/>
      <c r="I699" s="26"/>
      <c r="J699" s="26"/>
      <c r="K699" s="16"/>
      <c r="L699" s="27" t="str">
        <f aca="false">IF(G699="","",G699-H699+I699+IF(K699="N",J699,0))</f>
        <v/>
      </c>
      <c r="M699" s="16"/>
      <c r="N699" s="16"/>
      <c r="O699" s="16"/>
      <c r="P699" s="16"/>
      <c r="Q699" s="16"/>
      <c r="R699" s="16"/>
    </row>
    <row r="700" customFormat="false" ht="15" hidden="false" customHeight="false" outlineLevel="0" collapsed="false">
      <c r="A700" s="25"/>
      <c r="B700" s="16"/>
      <c r="C700" s="16"/>
      <c r="D700" s="16"/>
      <c r="E700" s="16"/>
      <c r="F700" s="16"/>
      <c r="G700" s="26"/>
      <c r="H700" s="26"/>
      <c r="I700" s="26"/>
      <c r="J700" s="26"/>
      <c r="K700" s="16"/>
      <c r="L700" s="27" t="str">
        <f aca="false">IF(G700="","",G700-H700+I700+IF(K700="N",J700,0))</f>
        <v/>
      </c>
      <c r="M700" s="16"/>
      <c r="N700" s="16"/>
      <c r="O700" s="16"/>
      <c r="P700" s="16"/>
      <c r="Q700" s="16"/>
      <c r="R700" s="16"/>
    </row>
    <row r="701" customFormat="false" ht="15" hidden="false" customHeight="false" outlineLevel="0" collapsed="false">
      <c r="A701" s="25"/>
      <c r="B701" s="16"/>
      <c r="C701" s="16"/>
      <c r="D701" s="16"/>
      <c r="E701" s="16"/>
      <c r="F701" s="16"/>
      <c r="G701" s="26"/>
      <c r="H701" s="26"/>
      <c r="I701" s="26"/>
      <c r="J701" s="26"/>
      <c r="K701" s="16"/>
      <c r="L701" s="27" t="str">
        <f aca="false">IF(G701="","",G701-H701+I701+IF(K701="N",J701,0))</f>
        <v/>
      </c>
      <c r="M701" s="16"/>
      <c r="N701" s="16"/>
      <c r="O701" s="16"/>
      <c r="P701" s="16"/>
      <c r="Q701" s="16"/>
      <c r="R701" s="16"/>
    </row>
    <row r="702" customFormat="false" ht="15" hidden="false" customHeight="false" outlineLevel="0" collapsed="false">
      <c r="A702" s="25"/>
      <c r="B702" s="16"/>
      <c r="C702" s="16"/>
      <c r="D702" s="16"/>
      <c r="E702" s="16"/>
      <c r="F702" s="16"/>
      <c r="G702" s="26"/>
      <c r="H702" s="26"/>
      <c r="I702" s="26"/>
      <c r="J702" s="26"/>
      <c r="K702" s="16"/>
      <c r="L702" s="27" t="str">
        <f aca="false">IF(G702="","",G702-H702+I702+IF(K702="N",J702,0))</f>
        <v/>
      </c>
      <c r="M702" s="16"/>
      <c r="N702" s="16"/>
      <c r="O702" s="16"/>
      <c r="P702" s="16"/>
      <c r="Q702" s="16"/>
      <c r="R702" s="16"/>
    </row>
    <row r="703" customFormat="false" ht="15" hidden="false" customHeight="false" outlineLevel="0" collapsed="false">
      <c r="A703" s="25"/>
      <c r="B703" s="16"/>
      <c r="C703" s="16"/>
      <c r="D703" s="16"/>
      <c r="E703" s="16"/>
      <c r="F703" s="16"/>
      <c r="G703" s="26"/>
      <c r="H703" s="26"/>
      <c r="I703" s="26"/>
      <c r="J703" s="26"/>
      <c r="K703" s="16"/>
      <c r="L703" s="27" t="str">
        <f aca="false">IF(G703="","",G703-H703+I703+IF(K703="N",J703,0))</f>
        <v/>
      </c>
      <c r="M703" s="16"/>
      <c r="N703" s="16"/>
      <c r="O703" s="16"/>
      <c r="P703" s="16"/>
      <c r="Q703" s="16"/>
      <c r="R703" s="16"/>
    </row>
    <row r="704" customFormat="false" ht="15" hidden="false" customHeight="false" outlineLevel="0" collapsed="false">
      <c r="A704" s="25"/>
      <c r="B704" s="16"/>
      <c r="C704" s="16"/>
      <c r="D704" s="16"/>
      <c r="E704" s="16"/>
      <c r="F704" s="16"/>
      <c r="G704" s="26"/>
      <c r="H704" s="26"/>
      <c r="I704" s="26"/>
      <c r="J704" s="26"/>
      <c r="K704" s="16"/>
      <c r="L704" s="27" t="str">
        <f aca="false">IF(G704="","",G704-H704+I704+IF(K704="N",J704,0))</f>
        <v/>
      </c>
      <c r="M704" s="16"/>
      <c r="N704" s="16"/>
      <c r="O704" s="16"/>
      <c r="P704" s="16"/>
      <c r="Q704" s="16"/>
      <c r="R704" s="16"/>
    </row>
    <row r="705" customFormat="false" ht="15" hidden="false" customHeight="false" outlineLevel="0" collapsed="false">
      <c r="A705" s="25"/>
      <c r="B705" s="16"/>
      <c r="C705" s="16"/>
      <c r="D705" s="16"/>
      <c r="E705" s="16"/>
      <c r="F705" s="16"/>
      <c r="G705" s="26"/>
      <c r="H705" s="26"/>
      <c r="I705" s="26"/>
      <c r="J705" s="26"/>
      <c r="K705" s="16"/>
      <c r="L705" s="27" t="str">
        <f aca="false">IF(G705="","",G705-H705+I705+IF(K705="N",J705,0))</f>
        <v/>
      </c>
      <c r="M705" s="16"/>
      <c r="N705" s="16"/>
      <c r="O705" s="16"/>
      <c r="P705" s="16"/>
      <c r="Q705" s="16"/>
      <c r="R705" s="16"/>
    </row>
    <row r="706" customFormat="false" ht="15" hidden="false" customHeight="false" outlineLevel="0" collapsed="false">
      <c r="A706" s="25"/>
      <c r="B706" s="16"/>
      <c r="C706" s="16"/>
      <c r="D706" s="16"/>
      <c r="E706" s="16"/>
      <c r="F706" s="16"/>
      <c r="G706" s="26"/>
      <c r="H706" s="26"/>
      <c r="I706" s="26"/>
      <c r="J706" s="26"/>
      <c r="K706" s="16"/>
      <c r="L706" s="27" t="str">
        <f aca="false">IF(G706="","",G706-H706+I706+IF(K706="N",J706,0))</f>
        <v/>
      </c>
      <c r="M706" s="16"/>
      <c r="N706" s="16"/>
      <c r="O706" s="16"/>
      <c r="P706" s="16"/>
      <c r="Q706" s="16"/>
      <c r="R706" s="16"/>
    </row>
    <row r="707" customFormat="false" ht="15" hidden="false" customHeight="false" outlineLevel="0" collapsed="false">
      <c r="A707" s="25"/>
      <c r="B707" s="16"/>
      <c r="C707" s="16"/>
      <c r="D707" s="16"/>
      <c r="E707" s="16"/>
      <c r="F707" s="16"/>
      <c r="G707" s="26"/>
      <c r="H707" s="26"/>
      <c r="I707" s="26"/>
      <c r="J707" s="26"/>
      <c r="K707" s="16"/>
      <c r="L707" s="27" t="str">
        <f aca="false">IF(G707="","",G707-H707+I707+IF(K707="N",J707,0))</f>
        <v/>
      </c>
      <c r="M707" s="16"/>
      <c r="N707" s="16"/>
      <c r="O707" s="16"/>
      <c r="P707" s="16"/>
      <c r="Q707" s="16"/>
      <c r="R707" s="16"/>
    </row>
    <row r="708" customFormat="false" ht="15" hidden="false" customHeight="false" outlineLevel="0" collapsed="false">
      <c r="A708" s="25"/>
      <c r="B708" s="16"/>
      <c r="C708" s="16"/>
      <c r="D708" s="16"/>
      <c r="E708" s="16"/>
      <c r="F708" s="16"/>
      <c r="G708" s="26"/>
      <c r="H708" s="26"/>
      <c r="I708" s="26"/>
      <c r="J708" s="26"/>
      <c r="K708" s="16"/>
      <c r="L708" s="27" t="str">
        <f aca="false">IF(G708="","",G708-H708+I708+IF(K708="N",J708,0))</f>
        <v/>
      </c>
      <c r="M708" s="16"/>
      <c r="N708" s="16"/>
      <c r="O708" s="16"/>
      <c r="P708" s="16"/>
      <c r="Q708" s="16"/>
      <c r="R708" s="16"/>
    </row>
    <row r="709" customFormat="false" ht="15" hidden="false" customHeight="false" outlineLevel="0" collapsed="false">
      <c r="A709" s="25"/>
      <c r="B709" s="16"/>
      <c r="C709" s="16"/>
      <c r="D709" s="16"/>
      <c r="E709" s="16"/>
      <c r="F709" s="16"/>
      <c r="G709" s="26"/>
      <c r="H709" s="26"/>
      <c r="I709" s="26"/>
      <c r="J709" s="26"/>
      <c r="K709" s="16"/>
      <c r="L709" s="27" t="str">
        <f aca="false">IF(G709="","",G709-H709+I709+IF(K709="N",J709,0))</f>
        <v/>
      </c>
      <c r="M709" s="16"/>
      <c r="N709" s="16"/>
      <c r="O709" s="16"/>
      <c r="P709" s="16"/>
      <c r="Q709" s="16"/>
      <c r="R709" s="16"/>
    </row>
    <row r="710" customFormat="false" ht="15" hidden="false" customHeight="false" outlineLevel="0" collapsed="false">
      <c r="A710" s="25"/>
      <c r="B710" s="16"/>
      <c r="C710" s="16"/>
      <c r="D710" s="16"/>
      <c r="E710" s="16"/>
      <c r="F710" s="16"/>
      <c r="G710" s="26"/>
      <c r="H710" s="26"/>
      <c r="I710" s="26"/>
      <c r="J710" s="26"/>
      <c r="K710" s="16"/>
      <c r="L710" s="27" t="str">
        <f aca="false">IF(G710="","",G710-H710+I710+IF(K710="N",J710,0))</f>
        <v/>
      </c>
      <c r="M710" s="16"/>
      <c r="N710" s="16"/>
      <c r="O710" s="16"/>
      <c r="P710" s="16"/>
      <c r="Q710" s="16"/>
      <c r="R710" s="16"/>
    </row>
    <row r="711" customFormat="false" ht="15" hidden="false" customHeight="false" outlineLevel="0" collapsed="false">
      <c r="A711" s="25"/>
      <c r="B711" s="16"/>
      <c r="C711" s="16"/>
      <c r="D711" s="16"/>
      <c r="E711" s="16"/>
      <c r="F711" s="16"/>
      <c r="G711" s="26"/>
      <c r="H711" s="26"/>
      <c r="I711" s="26"/>
      <c r="J711" s="26"/>
      <c r="K711" s="16"/>
      <c r="L711" s="27" t="str">
        <f aca="false">IF(G711="","",G711-H711+I711+IF(K711="N",J711,0))</f>
        <v/>
      </c>
      <c r="M711" s="16"/>
      <c r="N711" s="16"/>
      <c r="O711" s="16"/>
      <c r="P711" s="16"/>
      <c r="Q711" s="16"/>
      <c r="R711" s="16"/>
    </row>
    <row r="712" customFormat="false" ht="15" hidden="false" customHeight="false" outlineLevel="0" collapsed="false">
      <c r="A712" s="25"/>
      <c r="B712" s="16"/>
      <c r="C712" s="16"/>
      <c r="D712" s="16"/>
      <c r="E712" s="16"/>
      <c r="F712" s="16"/>
      <c r="G712" s="26"/>
      <c r="H712" s="26"/>
      <c r="I712" s="26"/>
      <c r="J712" s="26"/>
      <c r="K712" s="16"/>
      <c r="L712" s="27" t="str">
        <f aca="false">IF(G712="","",G712-H712+I712+IF(K712="N",J712,0))</f>
        <v/>
      </c>
      <c r="M712" s="16"/>
      <c r="N712" s="16"/>
      <c r="O712" s="16"/>
      <c r="P712" s="16"/>
      <c r="Q712" s="16"/>
      <c r="R712" s="16"/>
    </row>
    <row r="713" customFormat="false" ht="15" hidden="false" customHeight="false" outlineLevel="0" collapsed="false">
      <c r="A713" s="25"/>
      <c r="B713" s="16"/>
      <c r="C713" s="16"/>
      <c r="D713" s="16"/>
      <c r="E713" s="16"/>
      <c r="F713" s="16"/>
      <c r="G713" s="26"/>
      <c r="H713" s="26"/>
      <c r="I713" s="26"/>
      <c r="J713" s="26"/>
      <c r="K713" s="16"/>
      <c r="L713" s="27" t="str">
        <f aca="false">IF(G713="","",G713-H713+I713+IF(K713="N",J713,0))</f>
        <v/>
      </c>
      <c r="M713" s="16"/>
      <c r="N713" s="16"/>
      <c r="O713" s="16"/>
      <c r="P713" s="16"/>
      <c r="Q713" s="16"/>
      <c r="R713" s="16"/>
    </row>
    <row r="714" customFormat="false" ht="15" hidden="false" customHeight="false" outlineLevel="0" collapsed="false">
      <c r="A714" s="25"/>
      <c r="B714" s="16"/>
      <c r="C714" s="16"/>
      <c r="D714" s="16"/>
      <c r="E714" s="16"/>
      <c r="F714" s="16"/>
      <c r="G714" s="26"/>
      <c r="H714" s="26"/>
      <c r="I714" s="26"/>
      <c r="J714" s="26"/>
      <c r="K714" s="16"/>
      <c r="L714" s="27" t="str">
        <f aca="false">IF(G714="","",G714-H714+I714+IF(K714="N",J714,0))</f>
        <v/>
      </c>
      <c r="M714" s="16"/>
      <c r="N714" s="16"/>
      <c r="O714" s="16"/>
      <c r="P714" s="16"/>
      <c r="Q714" s="16"/>
      <c r="R714" s="16"/>
    </row>
    <row r="715" customFormat="false" ht="15" hidden="false" customHeight="false" outlineLevel="0" collapsed="false">
      <c r="A715" s="25"/>
      <c r="B715" s="16"/>
      <c r="C715" s="16"/>
      <c r="D715" s="16"/>
      <c r="E715" s="16"/>
      <c r="F715" s="16"/>
      <c r="G715" s="26"/>
      <c r="H715" s="26"/>
      <c r="I715" s="26"/>
      <c r="J715" s="26"/>
      <c r="K715" s="16"/>
      <c r="L715" s="27" t="str">
        <f aca="false">IF(G715="","",G715-H715+I715+IF(K715="N",J715,0))</f>
        <v/>
      </c>
      <c r="M715" s="16"/>
      <c r="N715" s="16"/>
      <c r="O715" s="16"/>
      <c r="P715" s="16"/>
      <c r="Q715" s="16"/>
      <c r="R715" s="16"/>
    </row>
    <row r="716" customFormat="false" ht="15" hidden="false" customHeight="false" outlineLevel="0" collapsed="false">
      <c r="A716" s="25"/>
      <c r="B716" s="16"/>
      <c r="C716" s="16"/>
      <c r="D716" s="16"/>
      <c r="E716" s="16"/>
      <c r="F716" s="16"/>
      <c r="G716" s="26"/>
      <c r="H716" s="26"/>
      <c r="I716" s="26"/>
      <c r="J716" s="26"/>
      <c r="K716" s="16"/>
      <c r="L716" s="27" t="str">
        <f aca="false">IF(G716="","",G716-H716+I716+IF(K716="N",J716,0))</f>
        <v/>
      </c>
      <c r="M716" s="16"/>
      <c r="N716" s="16"/>
      <c r="O716" s="16"/>
      <c r="P716" s="16"/>
      <c r="Q716" s="16"/>
      <c r="R716" s="16"/>
    </row>
    <row r="717" customFormat="false" ht="15" hidden="false" customHeight="false" outlineLevel="0" collapsed="false">
      <c r="A717" s="25"/>
      <c r="B717" s="16"/>
      <c r="C717" s="16"/>
      <c r="D717" s="16"/>
      <c r="E717" s="16"/>
      <c r="F717" s="16"/>
      <c r="G717" s="26"/>
      <c r="H717" s="26"/>
      <c r="I717" s="26"/>
      <c r="J717" s="26"/>
      <c r="K717" s="16"/>
      <c r="L717" s="27" t="str">
        <f aca="false">IF(G717="","",G717-H717+I717+IF(K717="N",J717,0))</f>
        <v/>
      </c>
      <c r="M717" s="16"/>
      <c r="N717" s="16"/>
      <c r="O717" s="16"/>
      <c r="P717" s="16"/>
      <c r="Q717" s="16"/>
      <c r="R717" s="16"/>
    </row>
    <row r="718" customFormat="false" ht="15" hidden="false" customHeight="false" outlineLevel="0" collapsed="false">
      <c r="A718" s="25"/>
      <c r="B718" s="16"/>
      <c r="C718" s="16"/>
      <c r="D718" s="16"/>
      <c r="E718" s="16"/>
      <c r="F718" s="16"/>
      <c r="G718" s="26"/>
      <c r="H718" s="26"/>
      <c r="I718" s="26"/>
      <c r="J718" s="26"/>
      <c r="K718" s="16"/>
      <c r="L718" s="27" t="str">
        <f aca="false">IF(G718="","",G718-H718+I718+IF(K718="N",J718,0))</f>
        <v/>
      </c>
      <c r="M718" s="16"/>
      <c r="N718" s="16"/>
      <c r="O718" s="16"/>
      <c r="P718" s="16"/>
      <c r="Q718" s="16"/>
      <c r="R718" s="16"/>
    </row>
    <row r="719" customFormat="false" ht="15" hidden="false" customHeight="false" outlineLevel="0" collapsed="false">
      <c r="A719" s="25"/>
      <c r="B719" s="16"/>
      <c r="C719" s="16"/>
      <c r="D719" s="16"/>
      <c r="E719" s="16"/>
      <c r="F719" s="16"/>
      <c r="G719" s="26"/>
      <c r="H719" s="26"/>
      <c r="I719" s="26"/>
      <c r="J719" s="26"/>
      <c r="K719" s="16"/>
      <c r="L719" s="27" t="str">
        <f aca="false">IF(G719="","",G719-H719+I719+IF(K719="N",J719,0))</f>
        <v/>
      </c>
      <c r="M719" s="16"/>
      <c r="N719" s="16"/>
      <c r="O719" s="16"/>
      <c r="P719" s="16"/>
      <c r="Q719" s="16"/>
      <c r="R719" s="16"/>
    </row>
    <row r="720" customFormat="false" ht="15" hidden="false" customHeight="false" outlineLevel="0" collapsed="false">
      <c r="A720" s="25"/>
      <c r="B720" s="16"/>
      <c r="C720" s="16"/>
      <c r="D720" s="16"/>
      <c r="E720" s="16"/>
      <c r="F720" s="16"/>
      <c r="G720" s="26"/>
      <c r="H720" s="26"/>
      <c r="I720" s="26"/>
      <c r="J720" s="26"/>
      <c r="K720" s="16"/>
      <c r="L720" s="27" t="str">
        <f aca="false">IF(G720="","",G720-H720+I720+IF(K720="N",J720,0))</f>
        <v/>
      </c>
      <c r="M720" s="16"/>
      <c r="N720" s="16"/>
      <c r="O720" s="16"/>
      <c r="P720" s="16"/>
      <c r="Q720" s="16"/>
      <c r="R720" s="16"/>
    </row>
    <row r="721" customFormat="false" ht="15" hidden="false" customHeight="false" outlineLevel="0" collapsed="false">
      <c r="A721" s="25"/>
      <c r="B721" s="16"/>
      <c r="C721" s="16"/>
      <c r="D721" s="16"/>
      <c r="E721" s="16"/>
      <c r="F721" s="16"/>
      <c r="G721" s="26"/>
      <c r="H721" s="26"/>
      <c r="I721" s="26"/>
      <c r="J721" s="26"/>
      <c r="K721" s="16"/>
      <c r="L721" s="27" t="str">
        <f aca="false">IF(G721="","",G721-H721+I721+IF(K721="N",J721,0))</f>
        <v/>
      </c>
      <c r="M721" s="16"/>
      <c r="N721" s="16"/>
      <c r="O721" s="16"/>
      <c r="P721" s="16"/>
      <c r="Q721" s="16"/>
      <c r="R721" s="16"/>
    </row>
    <row r="722" customFormat="false" ht="15" hidden="false" customHeight="false" outlineLevel="0" collapsed="false">
      <c r="A722" s="25"/>
      <c r="B722" s="16"/>
      <c r="C722" s="16"/>
      <c r="D722" s="16"/>
      <c r="E722" s="16"/>
      <c r="F722" s="16"/>
      <c r="G722" s="26"/>
      <c r="H722" s="26"/>
      <c r="I722" s="26"/>
      <c r="J722" s="26"/>
      <c r="K722" s="16"/>
      <c r="L722" s="27" t="str">
        <f aca="false">IF(G722="","",G722-H722+I722+IF(K722="N",J722,0))</f>
        <v/>
      </c>
      <c r="M722" s="16"/>
      <c r="N722" s="16"/>
      <c r="O722" s="16"/>
      <c r="P722" s="16"/>
      <c r="Q722" s="16"/>
      <c r="R722" s="16"/>
    </row>
    <row r="723" customFormat="false" ht="15" hidden="false" customHeight="false" outlineLevel="0" collapsed="false">
      <c r="A723" s="25"/>
      <c r="B723" s="16"/>
      <c r="C723" s="16"/>
      <c r="D723" s="16"/>
      <c r="E723" s="16"/>
      <c r="F723" s="16"/>
      <c r="G723" s="26"/>
      <c r="H723" s="26"/>
      <c r="I723" s="26"/>
      <c r="J723" s="26"/>
      <c r="K723" s="16"/>
      <c r="L723" s="27" t="str">
        <f aca="false">IF(G723="","",G723-H723+I723+IF(K723="N",J723,0))</f>
        <v/>
      </c>
      <c r="M723" s="16"/>
      <c r="N723" s="16"/>
      <c r="O723" s="16"/>
      <c r="P723" s="16"/>
      <c r="Q723" s="16"/>
      <c r="R723" s="16"/>
    </row>
    <row r="724" customFormat="false" ht="15" hidden="false" customHeight="false" outlineLevel="0" collapsed="false">
      <c r="A724" s="25"/>
      <c r="B724" s="16"/>
      <c r="C724" s="16"/>
      <c r="D724" s="16"/>
      <c r="E724" s="16"/>
      <c r="F724" s="16"/>
      <c r="G724" s="26"/>
      <c r="H724" s="26"/>
      <c r="I724" s="26"/>
      <c r="J724" s="26"/>
      <c r="K724" s="16"/>
      <c r="L724" s="27" t="str">
        <f aca="false">IF(G724="","",G724-H724+I724+IF(K724="N",J724,0))</f>
        <v/>
      </c>
      <c r="M724" s="16"/>
      <c r="N724" s="16"/>
      <c r="O724" s="16"/>
      <c r="P724" s="16"/>
      <c r="Q724" s="16"/>
      <c r="R724" s="16"/>
    </row>
    <row r="725" customFormat="false" ht="15" hidden="false" customHeight="false" outlineLevel="0" collapsed="false">
      <c r="A725" s="25"/>
      <c r="B725" s="16"/>
      <c r="C725" s="16"/>
      <c r="D725" s="16"/>
      <c r="E725" s="16"/>
      <c r="F725" s="16"/>
      <c r="G725" s="26"/>
      <c r="H725" s="26"/>
      <c r="I725" s="26"/>
      <c r="J725" s="26"/>
      <c r="K725" s="16"/>
      <c r="L725" s="27" t="str">
        <f aca="false">IF(G725="","",G725-H725+I725+IF(K725="N",J725,0))</f>
        <v/>
      </c>
      <c r="M725" s="16"/>
      <c r="N725" s="16"/>
      <c r="O725" s="16"/>
      <c r="P725" s="16"/>
      <c r="Q725" s="16"/>
      <c r="R725" s="16"/>
    </row>
    <row r="726" customFormat="false" ht="15" hidden="false" customHeight="false" outlineLevel="0" collapsed="false">
      <c r="A726" s="25"/>
      <c r="B726" s="16"/>
      <c r="C726" s="16"/>
      <c r="D726" s="16"/>
      <c r="E726" s="16"/>
      <c r="F726" s="16"/>
      <c r="G726" s="26"/>
      <c r="H726" s="26"/>
      <c r="I726" s="26"/>
      <c r="J726" s="26"/>
      <c r="K726" s="16"/>
      <c r="L726" s="27" t="str">
        <f aca="false">IF(G726="","",G726-H726+I726+IF(K726="N",J726,0))</f>
        <v/>
      </c>
      <c r="M726" s="16"/>
      <c r="N726" s="16"/>
      <c r="O726" s="16"/>
      <c r="P726" s="16"/>
      <c r="Q726" s="16"/>
      <c r="R726" s="16"/>
    </row>
    <row r="727" customFormat="false" ht="15" hidden="false" customHeight="false" outlineLevel="0" collapsed="false">
      <c r="A727" s="25"/>
      <c r="B727" s="16"/>
      <c r="C727" s="16"/>
      <c r="D727" s="16"/>
      <c r="E727" s="16"/>
      <c r="F727" s="16"/>
      <c r="G727" s="26"/>
      <c r="H727" s="26"/>
      <c r="I727" s="26"/>
      <c r="J727" s="26"/>
      <c r="K727" s="16"/>
      <c r="L727" s="27" t="str">
        <f aca="false">IF(G727="","",G727-H727+I727+IF(K727="N",J727,0))</f>
        <v/>
      </c>
      <c r="M727" s="16"/>
      <c r="N727" s="16"/>
      <c r="O727" s="16"/>
      <c r="P727" s="16"/>
      <c r="Q727" s="16"/>
      <c r="R727" s="16"/>
    </row>
    <row r="728" customFormat="false" ht="15" hidden="false" customHeight="false" outlineLevel="0" collapsed="false">
      <c r="A728" s="25"/>
      <c r="B728" s="16"/>
      <c r="C728" s="16"/>
      <c r="D728" s="16"/>
      <c r="E728" s="16"/>
      <c r="F728" s="16"/>
      <c r="G728" s="26"/>
      <c r="H728" s="26"/>
      <c r="I728" s="26"/>
      <c r="J728" s="26"/>
      <c r="K728" s="16"/>
      <c r="L728" s="27" t="str">
        <f aca="false">IF(G728="","",G728-H728+I728+IF(K728="N",J728,0))</f>
        <v/>
      </c>
      <c r="M728" s="16"/>
      <c r="N728" s="16"/>
      <c r="O728" s="16"/>
      <c r="P728" s="16"/>
      <c r="Q728" s="16"/>
      <c r="R728" s="16"/>
    </row>
    <row r="729" customFormat="false" ht="15" hidden="false" customHeight="false" outlineLevel="0" collapsed="false">
      <c r="A729" s="25"/>
      <c r="B729" s="16"/>
      <c r="C729" s="16"/>
      <c r="D729" s="16"/>
      <c r="E729" s="16"/>
      <c r="F729" s="16"/>
      <c r="G729" s="26"/>
      <c r="H729" s="26"/>
      <c r="I729" s="26"/>
      <c r="J729" s="26"/>
      <c r="K729" s="16"/>
      <c r="L729" s="27" t="str">
        <f aca="false">IF(G729="","",G729-H729+I729+IF(K729="N",J729,0))</f>
        <v/>
      </c>
      <c r="M729" s="16"/>
      <c r="N729" s="16"/>
      <c r="O729" s="16"/>
      <c r="P729" s="16"/>
      <c r="Q729" s="16"/>
      <c r="R729" s="16"/>
    </row>
    <row r="730" customFormat="false" ht="15" hidden="false" customHeight="false" outlineLevel="0" collapsed="false">
      <c r="A730" s="25"/>
      <c r="B730" s="16"/>
      <c r="C730" s="16"/>
      <c r="D730" s="16"/>
      <c r="E730" s="16"/>
      <c r="F730" s="16"/>
      <c r="G730" s="26"/>
      <c r="H730" s="26"/>
      <c r="I730" s="26"/>
      <c r="J730" s="26"/>
      <c r="K730" s="16"/>
      <c r="L730" s="27" t="str">
        <f aca="false">IF(G730="","",G730-H730+I730+IF(K730="N",J730,0))</f>
        <v/>
      </c>
      <c r="M730" s="16"/>
      <c r="N730" s="16"/>
      <c r="O730" s="16"/>
      <c r="P730" s="16"/>
      <c r="Q730" s="16"/>
      <c r="R730" s="16"/>
    </row>
    <row r="731" customFormat="false" ht="15" hidden="false" customHeight="false" outlineLevel="0" collapsed="false">
      <c r="A731" s="25"/>
      <c r="B731" s="16"/>
      <c r="C731" s="16"/>
      <c r="D731" s="16"/>
      <c r="E731" s="16"/>
      <c r="F731" s="16"/>
      <c r="G731" s="26"/>
      <c r="H731" s="26"/>
      <c r="I731" s="26"/>
      <c r="J731" s="26"/>
      <c r="K731" s="16"/>
      <c r="L731" s="27" t="str">
        <f aca="false">IF(G731="","",G731-H731+I731+IF(K731="N",J731,0))</f>
        <v/>
      </c>
      <c r="M731" s="16"/>
      <c r="N731" s="16"/>
      <c r="O731" s="16"/>
      <c r="P731" s="16"/>
      <c r="Q731" s="16"/>
      <c r="R731" s="16"/>
    </row>
    <row r="732" customFormat="false" ht="15" hidden="false" customHeight="false" outlineLevel="0" collapsed="false">
      <c r="A732" s="25"/>
      <c r="B732" s="16"/>
      <c r="C732" s="16"/>
      <c r="D732" s="16"/>
      <c r="E732" s="16"/>
      <c r="F732" s="16"/>
      <c r="G732" s="26"/>
      <c r="H732" s="26"/>
      <c r="I732" s="26"/>
      <c r="J732" s="26"/>
      <c r="K732" s="16"/>
      <c r="L732" s="27" t="str">
        <f aca="false">IF(G732="","",G732-H732+I732+IF(K732="N",J732,0))</f>
        <v/>
      </c>
      <c r="M732" s="16"/>
      <c r="N732" s="16"/>
      <c r="O732" s="16"/>
      <c r="P732" s="16"/>
      <c r="Q732" s="16"/>
      <c r="R732" s="16"/>
    </row>
    <row r="733" customFormat="false" ht="15" hidden="false" customHeight="false" outlineLevel="0" collapsed="false">
      <c r="A733" s="25"/>
      <c r="B733" s="16"/>
      <c r="C733" s="16"/>
      <c r="D733" s="16"/>
      <c r="E733" s="16"/>
      <c r="F733" s="16"/>
      <c r="G733" s="26"/>
      <c r="H733" s="26"/>
      <c r="I733" s="26"/>
      <c r="J733" s="26"/>
      <c r="K733" s="16"/>
      <c r="L733" s="27" t="str">
        <f aca="false">IF(G733="","",G733-H733+I733+IF(K733="N",J733,0))</f>
        <v/>
      </c>
      <c r="M733" s="16"/>
      <c r="N733" s="16"/>
      <c r="O733" s="16"/>
      <c r="P733" s="16"/>
      <c r="Q733" s="16"/>
      <c r="R733" s="16"/>
    </row>
    <row r="734" customFormat="false" ht="15" hidden="false" customHeight="false" outlineLevel="0" collapsed="false">
      <c r="A734" s="25"/>
      <c r="B734" s="16"/>
      <c r="C734" s="16"/>
      <c r="D734" s="16"/>
      <c r="E734" s="16"/>
      <c r="F734" s="16"/>
      <c r="G734" s="26"/>
      <c r="H734" s="26"/>
      <c r="I734" s="26"/>
      <c r="J734" s="26"/>
      <c r="K734" s="16"/>
      <c r="L734" s="27" t="str">
        <f aca="false">IF(G734="","",G734-H734+I734+IF(K734="N",J734,0))</f>
        <v/>
      </c>
      <c r="M734" s="16"/>
      <c r="N734" s="16"/>
      <c r="O734" s="16"/>
      <c r="P734" s="16"/>
      <c r="Q734" s="16"/>
      <c r="R734" s="16"/>
    </row>
    <row r="735" customFormat="false" ht="15" hidden="false" customHeight="false" outlineLevel="0" collapsed="false">
      <c r="A735" s="25"/>
      <c r="B735" s="16"/>
      <c r="C735" s="16"/>
      <c r="D735" s="16"/>
      <c r="E735" s="16"/>
      <c r="F735" s="16"/>
      <c r="G735" s="26"/>
      <c r="H735" s="26"/>
      <c r="I735" s="26"/>
      <c r="J735" s="26"/>
      <c r="K735" s="16"/>
      <c r="L735" s="27" t="str">
        <f aca="false">IF(G735="","",G735-H735+I735+IF(K735="N",J735,0))</f>
        <v/>
      </c>
      <c r="M735" s="16"/>
      <c r="N735" s="16"/>
      <c r="O735" s="16"/>
      <c r="P735" s="16"/>
      <c r="Q735" s="16"/>
      <c r="R735" s="16"/>
    </row>
    <row r="736" customFormat="false" ht="15" hidden="false" customHeight="false" outlineLevel="0" collapsed="false">
      <c r="A736" s="25"/>
      <c r="B736" s="16"/>
      <c r="C736" s="16"/>
      <c r="D736" s="16"/>
      <c r="E736" s="16"/>
      <c r="F736" s="16"/>
      <c r="G736" s="26"/>
      <c r="H736" s="26"/>
      <c r="I736" s="26"/>
      <c r="J736" s="26"/>
      <c r="K736" s="16"/>
      <c r="L736" s="27" t="str">
        <f aca="false">IF(G736="","",G736-H736+I736+IF(K736="N",J736,0))</f>
        <v/>
      </c>
      <c r="M736" s="16"/>
      <c r="N736" s="16"/>
      <c r="O736" s="16"/>
      <c r="P736" s="16"/>
      <c r="Q736" s="16"/>
      <c r="R736" s="16"/>
    </row>
    <row r="737" customFormat="false" ht="15" hidden="false" customHeight="false" outlineLevel="0" collapsed="false">
      <c r="A737" s="25"/>
      <c r="B737" s="16"/>
      <c r="C737" s="16"/>
      <c r="D737" s="16"/>
      <c r="E737" s="16"/>
      <c r="F737" s="16"/>
      <c r="G737" s="26"/>
      <c r="H737" s="26"/>
      <c r="I737" s="26"/>
      <c r="J737" s="26"/>
      <c r="K737" s="16"/>
      <c r="L737" s="27" t="str">
        <f aca="false">IF(G737="","",G737-H737+I737+IF(K737="N",J737,0))</f>
        <v/>
      </c>
      <c r="M737" s="16"/>
      <c r="N737" s="16"/>
      <c r="O737" s="16"/>
      <c r="P737" s="16"/>
      <c r="Q737" s="16"/>
      <c r="R737" s="16"/>
    </row>
    <row r="738" customFormat="false" ht="15" hidden="false" customHeight="false" outlineLevel="0" collapsed="false">
      <c r="A738" s="25"/>
      <c r="B738" s="16"/>
      <c r="C738" s="16"/>
      <c r="D738" s="16"/>
      <c r="E738" s="16"/>
      <c r="F738" s="16"/>
      <c r="G738" s="26"/>
      <c r="H738" s="26"/>
      <c r="I738" s="26"/>
      <c r="J738" s="26"/>
      <c r="K738" s="16"/>
      <c r="L738" s="27" t="str">
        <f aca="false">IF(G738="","",G738-H738+I738+IF(K738="N",J738,0))</f>
        <v/>
      </c>
      <c r="M738" s="16"/>
      <c r="N738" s="16"/>
      <c r="O738" s="16"/>
      <c r="P738" s="16"/>
      <c r="Q738" s="16"/>
      <c r="R738" s="16"/>
    </row>
    <row r="739" customFormat="false" ht="15" hidden="false" customHeight="false" outlineLevel="0" collapsed="false">
      <c r="A739" s="25"/>
      <c r="B739" s="16"/>
      <c r="C739" s="16"/>
      <c r="D739" s="16"/>
      <c r="E739" s="16"/>
      <c r="F739" s="16"/>
      <c r="G739" s="26"/>
      <c r="H739" s="26"/>
      <c r="I739" s="26"/>
      <c r="J739" s="26"/>
      <c r="K739" s="16"/>
      <c r="L739" s="27" t="str">
        <f aca="false">IF(G739="","",G739-H739+I739+IF(K739="N",J739,0))</f>
        <v/>
      </c>
      <c r="M739" s="16"/>
      <c r="N739" s="16"/>
      <c r="O739" s="16"/>
      <c r="P739" s="16"/>
      <c r="Q739" s="16"/>
      <c r="R739" s="16"/>
    </row>
    <row r="740" customFormat="false" ht="15" hidden="false" customHeight="false" outlineLevel="0" collapsed="false">
      <c r="A740" s="25"/>
      <c r="B740" s="16"/>
      <c r="C740" s="16"/>
      <c r="D740" s="16"/>
      <c r="E740" s="16"/>
      <c r="F740" s="16"/>
      <c r="G740" s="26"/>
      <c r="H740" s="26"/>
      <c r="I740" s="26"/>
      <c r="J740" s="26"/>
      <c r="K740" s="16"/>
      <c r="L740" s="27" t="str">
        <f aca="false">IF(G740="","",G740-H740+I740+IF(K740="N",J740,0))</f>
        <v/>
      </c>
      <c r="M740" s="16"/>
      <c r="N740" s="16"/>
      <c r="O740" s="16"/>
      <c r="P740" s="16"/>
      <c r="Q740" s="16"/>
      <c r="R740" s="16"/>
    </row>
    <row r="741" customFormat="false" ht="15" hidden="false" customHeight="false" outlineLevel="0" collapsed="false">
      <c r="A741" s="25"/>
      <c r="B741" s="16"/>
      <c r="C741" s="16"/>
      <c r="D741" s="16"/>
      <c r="E741" s="16"/>
      <c r="F741" s="16"/>
      <c r="G741" s="26"/>
      <c r="H741" s="26"/>
      <c r="I741" s="26"/>
      <c r="J741" s="26"/>
      <c r="K741" s="16"/>
      <c r="L741" s="27" t="str">
        <f aca="false">IF(G741="","",G741-H741+I741+IF(K741="N",J741,0))</f>
        <v/>
      </c>
      <c r="M741" s="16"/>
      <c r="N741" s="16"/>
      <c r="O741" s="16"/>
      <c r="P741" s="16"/>
      <c r="Q741" s="16"/>
      <c r="R741" s="16"/>
    </row>
    <row r="742" customFormat="false" ht="15" hidden="false" customHeight="false" outlineLevel="0" collapsed="false">
      <c r="A742" s="25"/>
      <c r="B742" s="16"/>
      <c r="C742" s="16"/>
      <c r="D742" s="16"/>
      <c r="E742" s="16"/>
      <c r="F742" s="16"/>
      <c r="G742" s="26"/>
      <c r="H742" s="26"/>
      <c r="I742" s="26"/>
      <c r="J742" s="26"/>
      <c r="K742" s="16"/>
      <c r="L742" s="27" t="str">
        <f aca="false">IF(G742="","",G742-H742+I742+IF(K742="N",J742,0))</f>
        <v/>
      </c>
      <c r="M742" s="16"/>
      <c r="N742" s="16"/>
      <c r="O742" s="16"/>
      <c r="P742" s="16"/>
      <c r="Q742" s="16"/>
      <c r="R742" s="16"/>
    </row>
    <row r="743" customFormat="false" ht="15" hidden="false" customHeight="false" outlineLevel="0" collapsed="false">
      <c r="A743" s="25"/>
      <c r="B743" s="16"/>
      <c r="C743" s="16"/>
      <c r="D743" s="16"/>
      <c r="E743" s="16"/>
      <c r="F743" s="16"/>
      <c r="G743" s="26"/>
      <c r="H743" s="26"/>
      <c r="I743" s="26"/>
      <c r="J743" s="26"/>
      <c r="K743" s="16"/>
      <c r="L743" s="27" t="str">
        <f aca="false">IF(G743="","",G743-H743+I743+IF(K743="N",J743,0))</f>
        <v/>
      </c>
      <c r="M743" s="16"/>
      <c r="N743" s="16"/>
      <c r="O743" s="16"/>
      <c r="P743" s="16"/>
      <c r="Q743" s="16"/>
      <c r="R743" s="16"/>
    </row>
    <row r="744" customFormat="false" ht="15" hidden="false" customHeight="false" outlineLevel="0" collapsed="false">
      <c r="A744" s="25"/>
      <c r="B744" s="16"/>
      <c r="C744" s="16"/>
      <c r="D744" s="16"/>
      <c r="E744" s="16"/>
      <c r="F744" s="16"/>
      <c r="G744" s="26"/>
      <c r="H744" s="26"/>
      <c r="I744" s="26"/>
      <c r="J744" s="26"/>
      <c r="K744" s="16"/>
      <c r="L744" s="27" t="str">
        <f aca="false">IF(G744="","",G744-H744+I744+IF(K744="N",J744,0))</f>
        <v/>
      </c>
      <c r="M744" s="16"/>
      <c r="N744" s="16"/>
      <c r="O744" s="16"/>
      <c r="P744" s="16"/>
      <c r="Q744" s="16"/>
      <c r="R744" s="16"/>
    </row>
    <row r="745" customFormat="false" ht="15" hidden="false" customHeight="false" outlineLevel="0" collapsed="false">
      <c r="A745" s="25"/>
      <c r="B745" s="16"/>
      <c r="C745" s="16"/>
      <c r="D745" s="16"/>
      <c r="E745" s="16"/>
      <c r="F745" s="16"/>
      <c r="G745" s="26"/>
      <c r="H745" s="26"/>
      <c r="I745" s="26"/>
      <c r="J745" s="26"/>
      <c r="K745" s="16"/>
      <c r="L745" s="27" t="str">
        <f aca="false">IF(G745="","",G745-H745+I745+IF(K745="N",J745,0))</f>
        <v/>
      </c>
      <c r="M745" s="16"/>
      <c r="N745" s="16"/>
      <c r="O745" s="16"/>
      <c r="P745" s="16"/>
      <c r="Q745" s="16"/>
      <c r="R745" s="16"/>
    </row>
    <row r="746" customFormat="false" ht="15" hidden="false" customHeight="false" outlineLevel="0" collapsed="false">
      <c r="A746" s="25"/>
      <c r="B746" s="16"/>
      <c r="C746" s="16"/>
      <c r="D746" s="16"/>
      <c r="E746" s="16"/>
      <c r="F746" s="16"/>
      <c r="G746" s="26"/>
      <c r="H746" s="26"/>
      <c r="I746" s="26"/>
      <c r="J746" s="26"/>
      <c r="K746" s="16"/>
      <c r="L746" s="27" t="str">
        <f aca="false">IF(G746="","",G746-H746+I746+IF(K746="N",J746,0))</f>
        <v/>
      </c>
      <c r="M746" s="16"/>
      <c r="N746" s="16"/>
      <c r="O746" s="16"/>
      <c r="P746" s="16"/>
      <c r="Q746" s="16"/>
      <c r="R746" s="16"/>
    </row>
    <row r="747" customFormat="false" ht="15" hidden="false" customHeight="false" outlineLevel="0" collapsed="false">
      <c r="A747" s="25"/>
      <c r="B747" s="16"/>
      <c r="C747" s="16"/>
      <c r="D747" s="16"/>
      <c r="E747" s="16"/>
      <c r="F747" s="16"/>
      <c r="G747" s="26"/>
      <c r="H747" s="26"/>
      <c r="I747" s="26"/>
      <c r="J747" s="26"/>
      <c r="K747" s="16"/>
      <c r="L747" s="27" t="str">
        <f aca="false">IF(G747="","",G747-H747+I747+IF(K747="N",J747,0))</f>
        <v/>
      </c>
      <c r="M747" s="16"/>
      <c r="N747" s="16"/>
      <c r="O747" s="16"/>
      <c r="P747" s="16"/>
      <c r="Q747" s="16"/>
      <c r="R747" s="16"/>
    </row>
    <row r="748" customFormat="false" ht="15" hidden="false" customHeight="false" outlineLevel="0" collapsed="false">
      <c r="A748" s="25"/>
      <c r="B748" s="16"/>
      <c r="C748" s="16"/>
      <c r="D748" s="16"/>
      <c r="E748" s="16"/>
      <c r="F748" s="16"/>
      <c r="G748" s="26"/>
      <c r="H748" s="26"/>
      <c r="I748" s="26"/>
      <c r="J748" s="26"/>
      <c r="K748" s="16"/>
      <c r="L748" s="27" t="str">
        <f aca="false">IF(G748="","",G748-H748+I748+IF(K748="N",J748,0))</f>
        <v/>
      </c>
      <c r="M748" s="16"/>
      <c r="N748" s="16"/>
      <c r="O748" s="16"/>
      <c r="P748" s="16"/>
      <c r="Q748" s="16"/>
      <c r="R748" s="16"/>
    </row>
    <row r="749" customFormat="false" ht="15" hidden="false" customHeight="false" outlineLevel="0" collapsed="false">
      <c r="A749" s="25"/>
      <c r="B749" s="16"/>
      <c r="C749" s="16"/>
      <c r="D749" s="16"/>
      <c r="E749" s="16"/>
      <c r="F749" s="16"/>
      <c r="G749" s="26"/>
      <c r="H749" s="26"/>
      <c r="I749" s="26"/>
      <c r="J749" s="26"/>
      <c r="K749" s="16"/>
      <c r="L749" s="27" t="str">
        <f aca="false">IF(G749="","",G749-H749+I749+IF(K749="N",J749,0))</f>
        <v/>
      </c>
      <c r="M749" s="16"/>
      <c r="N749" s="16"/>
      <c r="O749" s="16"/>
      <c r="P749" s="16"/>
      <c r="Q749" s="16"/>
      <c r="R749" s="16"/>
    </row>
    <row r="750" customFormat="false" ht="15" hidden="false" customHeight="false" outlineLevel="0" collapsed="false">
      <c r="A750" s="25"/>
      <c r="B750" s="16"/>
      <c r="C750" s="16"/>
      <c r="D750" s="16"/>
      <c r="E750" s="16"/>
      <c r="F750" s="16"/>
      <c r="G750" s="26"/>
      <c r="H750" s="26"/>
      <c r="I750" s="26"/>
      <c r="J750" s="26"/>
      <c r="K750" s="16"/>
      <c r="L750" s="27" t="str">
        <f aca="false">IF(G750="","",G750-H750+I750+IF(K750="N",J750,0))</f>
        <v/>
      </c>
      <c r="M750" s="16"/>
      <c r="N750" s="16"/>
      <c r="O750" s="16"/>
      <c r="P750" s="16"/>
      <c r="Q750" s="16"/>
      <c r="R750" s="16"/>
    </row>
    <row r="751" customFormat="false" ht="15" hidden="false" customHeight="false" outlineLevel="0" collapsed="false">
      <c r="A751" s="25"/>
      <c r="B751" s="16"/>
      <c r="C751" s="16"/>
      <c r="D751" s="16"/>
      <c r="E751" s="16"/>
      <c r="F751" s="16"/>
      <c r="G751" s="26"/>
      <c r="H751" s="26"/>
      <c r="I751" s="26"/>
      <c r="J751" s="26"/>
      <c r="K751" s="16"/>
      <c r="L751" s="27" t="str">
        <f aca="false">IF(G751="","",G751-H751+I751+IF(K751="N",J751,0))</f>
        <v/>
      </c>
      <c r="M751" s="16"/>
      <c r="N751" s="16"/>
      <c r="O751" s="16"/>
      <c r="P751" s="16"/>
      <c r="Q751" s="16"/>
      <c r="R751" s="16"/>
    </row>
    <row r="752" customFormat="false" ht="15" hidden="false" customHeight="false" outlineLevel="0" collapsed="false">
      <c r="A752" s="25"/>
      <c r="B752" s="16"/>
      <c r="C752" s="16"/>
      <c r="D752" s="16"/>
      <c r="E752" s="16"/>
      <c r="F752" s="16"/>
      <c r="G752" s="26"/>
      <c r="H752" s="26"/>
      <c r="I752" s="26"/>
      <c r="J752" s="26"/>
      <c r="K752" s="16"/>
      <c r="L752" s="27" t="str">
        <f aca="false">IF(G752="","",G752-H752+I752+IF(K752="N",J752,0))</f>
        <v/>
      </c>
      <c r="M752" s="16"/>
      <c r="N752" s="16"/>
      <c r="O752" s="16"/>
      <c r="P752" s="16"/>
      <c r="Q752" s="16"/>
      <c r="R752" s="16"/>
    </row>
    <row r="753" customFormat="false" ht="15" hidden="false" customHeight="false" outlineLevel="0" collapsed="false">
      <c r="A753" s="25"/>
      <c r="B753" s="16"/>
      <c r="C753" s="16"/>
      <c r="D753" s="16"/>
      <c r="E753" s="16"/>
      <c r="F753" s="16"/>
      <c r="G753" s="26"/>
      <c r="H753" s="26"/>
      <c r="I753" s="26"/>
      <c r="J753" s="26"/>
      <c r="K753" s="16"/>
      <c r="L753" s="27" t="str">
        <f aca="false">IF(G753="","",G753-H753+I753+IF(K753="N",J753,0))</f>
        <v/>
      </c>
      <c r="M753" s="16"/>
      <c r="N753" s="16"/>
      <c r="O753" s="16"/>
      <c r="P753" s="16"/>
      <c r="Q753" s="16"/>
      <c r="R753" s="16"/>
    </row>
    <row r="754" customFormat="false" ht="15" hidden="false" customHeight="false" outlineLevel="0" collapsed="false">
      <c r="A754" s="25"/>
      <c r="B754" s="16"/>
      <c r="C754" s="16"/>
      <c r="D754" s="16"/>
      <c r="E754" s="16"/>
      <c r="F754" s="16"/>
      <c r="G754" s="26"/>
      <c r="H754" s="26"/>
      <c r="I754" s="26"/>
      <c r="J754" s="26"/>
      <c r="K754" s="16"/>
      <c r="L754" s="27" t="str">
        <f aca="false">IF(G754="","",G754-H754+I754+IF(K754="N",J754,0))</f>
        <v/>
      </c>
      <c r="M754" s="16"/>
      <c r="N754" s="16"/>
      <c r="O754" s="16"/>
      <c r="P754" s="16"/>
      <c r="Q754" s="16"/>
      <c r="R754" s="16"/>
    </row>
    <row r="755" customFormat="false" ht="15" hidden="false" customHeight="false" outlineLevel="0" collapsed="false">
      <c r="A755" s="25"/>
      <c r="B755" s="16"/>
      <c r="C755" s="16"/>
      <c r="D755" s="16"/>
      <c r="E755" s="16"/>
      <c r="F755" s="16"/>
      <c r="G755" s="26"/>
      <c r="H755" s="26"/>
      <c r="I755" s="26"/>
      <c r="J755" s="26"/>
      <c r="K755" s="16"/>
      <c r="L755" s="27" t="str">
        <f aca="false">IF(G755="","",G755-H755+I755+IF(K755="N",J755,0))</f>
        <v/>
      </c>
      <c r="M755" s="16"/>
      <c r="N755" s="16"/>
      <c r="O755" s="16"/>
      <c r="P755" s="16"/>
      <c r="Q755" s="16"/>
      <c r="R755" s="16"/>
    </row>
    <row r="756" customFormat="false" ht="15" hidden="false" customHeight="false" outlineLevel="0" collapsed="false">
      <c r="A756" s="25"/>
      <c r="B756" s="16"/>
      <c r="C756" s="16"/>
      <c r="D756" s="16"/>
      <c r="E756" s="16"/>
      <c r="F756" s="16"/>
      <c r="G756" s="26"/>
      <c r="H756" s="26"/>
      <c r="I756" s="26"/>
      <c r="J756" s="26"/>
      <c r="K756" s="16"/>
      <c r="L756" s="27" t="str">
        <f aca="false">IF(G756="","",G756-H756+I756+IF(K756="N",J756,0))</f>
        <v/>
      </c>
      <c r="M756" s="16"/>
      <c r="N756" s="16"/>
      <c r="O756" s="16"/>
      <c r="P756" s="16"/>
      <c r="Q756" s="16"/>
      <c r="R756" s="16"/>
    </row>
    <row r="757" customFormat="false" ht="15" hidden="false" customHeight="false" outlineLevel="0" collapsed="false">
      <c r="A757" s="25"/>
      <c r="B757" s="16"/>
      <c r="C757" s="16"/>
      <c r="D757" s="16"/>
      <c r="E757" s="16"/>
      <c r="F757" s="16"/>
      <c r="G757" s="26"/>
      <c r="H757" s="26"/>
      <c r="I757" s="26"/>
      <c r="J757" s="26"/>
      <c r="K757" s="16"/>
      <c r="L757" s="27" t="str">
        <f aca="false">IF(G757="","",G757-H757+I757+IF(K757="N",J757,0))</f>
        <v/>
      </c>
      <c r="M757" s="16"/>
      <c r="N757" s="16"/>
      <c r="O757" s="16"/>
      <c r="P757" s="16"/>
      <c r="Q757" s="16"/>
      <c r="R757" s="16"/>
    </row>
    <row r="758" customFormat="false" ht="15" hidden="false" customHeight="false" outlineLevel="0" collapsed="false">
      <c r="A758" s="25"/>
      <c r="B758" s="16"/>
      <c r="C758" s="16"/>
      <c r="D758" s="16"/>
      <c r="E758" s="16"/>
      <c r="F758" s="16"/>
      <c r="G758" s="26"/>
      <c r="H758" s="26"/>
      <c r="I758" s="26"/>
      <c r="J758" s="26"/>
      <c r="K758" s="16"/>
      <c r="L758" s="27" t="str">
        <f aca="false">IF(G758="","",G758-H758+I758+IF(K758="N",J758,0))</f>
        <v/>
      </c>
      <c r="M758" s="16"/>
      <c r="N758" s="16"/>
      <c r="O758" s="16"/>
      <c r="P758" s="16"/>
      <c r="Q758" s="16"/>
      <c r="R758" s="16"/>
    </row>
    <row r="759" customFormat="false" ht="15" hidden="false" customHeight="false" outlineLevel="0" collapsed="false">
      <c r="A759" s="25"/>
      <c r="B759" s="16"/>
      <c r="C759" s="16"/>
      <c r="D759" s="16"/>
      <c r="E759" s="16"/>
      <c r="F759" s="16"/>
      <c r="G759" s="26"/>
      <c r="H759" s="26"/>
      <c r="I759" s="26"/>
      <c r="J759" s="26"/>
      <c r="K759" s="16"/>
      <c r="L759" s="27" t="str">
        <f aca="false">IF(G759="","",G759-H759+I759+IF(K759="N",J759,0))</f>
        <v/>
      </c>
      <c r="M759" s="16"/>
      <c r="N759" s="16"/>
      <c r="O759" s="16"/>
      <c r="P759" s="16"/>
      <c r="Q759" s="16"/>
      <c r="R759" s="16"/>
    </row>
    <row r="760" customFormat="false" ht="15" hidden="false" customHeight="false" outlineLevel="0" collapsed="false">
      <c r="A760" s="25"/>
      <c r="B760" s="16"/>
      <c r="C760" s="16"/>
      <c r="D760" s="16"/>
      <c r="E760" s="16"/>
      <c r="F760" s="16"/>
      <c r="G760" s="26"/>
      <c r="H760" s="26"/>
      <c r="I760" s="26"/>
      <c r="J760" s="26"/>
      <c r="K760" s="16"/>
      <c r="L760" s="27" t="str">
        <f aca="false">IF(G760="","",G760-H760+I760+IF(K760="N",J760,0))</f>
        <v/>
      </c>
      <c r="M760" s="16"/>
      <c r="N760" s="16"/>
      <c r="O760" s="16"/>
      <c r="P760" s="16"/>
      <c r="Q760" s="16"/>
      <c r="R760" s="16"/>
    </row>
    <row r="761" customFormat="false" ht="15" hidden="false" customHeight="false" outlineLevel="0" collapsed="false">
      <c r="A761" s="25"/>
      <c r="B761" s="16"/>
      <c r="C761" s="16"/>
      <c r="D761" s="16"/>
      <c r="E761" s="16"/>
      <c r="F761" s="16"/>
      <c r="G761" s="26"/>
      <c r="H761" s="26"/>
      <c r="I761" s="26"/>
      <c r="J761" s="26"/>
      <c r="K761" s="16"/>
      <c r="L761" s="27" t="str">
        <f aca="false">IF(G761="","",G761-H761+I761+IF(K761="N",J761,0))</f>
        <v/>
      </c>
      <c r="M761" s="16"/>
      <c r="N761" s="16"/>
      <c r="O761" s="16"/>
      <c r="P761" s="16"/>
      <c r="Q761" s="16"/>
      <c r="R761" s="16"/>
    </row>
    <row r="762" customFormat="false" ht="15" hidden="false" customHeight="false" outlineLevel="0" collapsed="false">
      <c r="A762" s="25"/>
      <c r="B762" s="16"/>
      <c r="C762" s="16"/>
      <c r="D762" s="16"/>
      <c r="E762" s="16"/>
      <c r="F762" s="16"/>
      <c r="G762" s="26"/>
      <c r="H762" s="26"/>
      <c r="I762" s="26"/>
      <c r="J762" s="26"/>
      <c r="K762" s="16"/>
      <c r="L762" s="27" t="str">
        <f aca="false">IF(G762="","",G762-H762+I762+IF(K762="N",J762,0))</f>
        <v/>
      </c>
      <c r="M762" s="16"/>
      <c r="N762" s="16"/>
      <c r="O762" s="16"/>
      <c r="P762" s="16"/>
      <c r="Q762" s="16"/>
      <c r="R762" s="16"/>
    </row>
    <row r="763" customFormat="false" ht="15" hidden="false" customHeight="false" outlineLevel="0" collapsed="false">
      <c r="A763" s="25"/>
      <c r="B763" s="16"/>
      <c r="C763" s="16"/>
      <c r="D763" s="16"/>
      <c r="E763" s="16"/>
      <c r="F763" s="16"/>
      <c r="G763" s="26"/>
      <c r="H763" s="26"/>
      <c r="I763" s="26"/>
      <c r="J763" s="26"/>
      <c r="K763" s="16"/>
      <c r="L763" s="27" t="str">
        <f aca="false">IF(G763="","",G763-H763+I763+IF(K763="N",J763,0))</f>
        <v/>
      </c>
      <c r="M763" s="16"/>
      <c r="N763" s="16"/>
      <c r="O763" s="16"/>
      <c r="P763" s="16"/>
      <c r="Q763" s="16"/>
      <c r="R763" s="16"/>
    </row>
    <row r="764" customFormat="false" ht="15" hidden="false" customHeight="false" outlineLevel="0" collapsed="false">
      <c r="A764" s="25"/>
      <c r="B764" s="16"/>
      <c r="C764" s="16"/>
      <c r="D764" s="16"/>
      <c r="E764" s="16"/>
      <c r="F764" s="16"/>
      <c r="G764" s="26"/>
      <c r="H764" s="26"/>
      <c r="I764" s="26"/>
      <c r="J764" s="26"/>
      <c r="K764" s="16"/>
      <c r="L764" s="27" t="str">
        <f aca="false">IF(G764="","",G764-H764+I764+IF(K764="N",J764,0))</f>
        <v/>
      </c>
      <c r="M764" s="16"/>
      <c r="N764" s="16"/>
      <c r="O764" s="16"/>
      <c r="P764" s="16"/>
      <c r="Q764" s="16"/>
      <c r="R764" s="16"/>
    </row>
    <row r="765" customFormat="false" ht="15" hidden="false" customHeight="false" outlineLevel="0" collapsed="false">
      <c r="A765" s="25"/>
      <c r="B765" s="16"/>
      <c r="C765" s="16"/>
      <c r="D765" s="16"/>
      <c r="E765" s="16"/>
      <c r="F765" s="16"/>
      <c r="G765" s="26"/>
      <c r="H765" s="26"/>
      <c r="I765" s="26"/>
      <c r="J765" s="26"/>
      <c r="K765" s="16"/>
      <c r="L765" s="27" t="str">
        <f aca="false">IF(G765="","",G765-H765+I765+IF(K765="N",J765,0))</f>
        <v/>
      </c>
      <c r="M765" s="16"/>
      <c r="N765" s="16"/>
      <c r="O765" s="16"/>
      <c r="P765" s="16"/>
      <c r="Q765" s="16"/>
      <c r="R765" s="16"/>
    </row>
    <row r="766" customFormat="false" ht="15" hidden="false" customHeight="false" outlineLevel="0" collapsed="false">
      <c r="A766" s="25"/>
      <c r="B766" s="16"/>
      <c r="C766" s="16"/>
      <c r="D766" s="16"/>
      <c r="E766" s="16"/>
      <c r="F766" s="16"/>
      <c r="G766" s="26"/>
      <c r="H766" s="26"/>
      <c r="I766" s="26"/>
      <c r="J766" s="26"/>
      <c r="K766" s="16"/>
      <c r="L766" s="27" t="str">
        <f aca="false">IF(G766="","",G766-H766+I766+IF(K766="N",J766,0))</f>
        <v/>
      </c>
      <c r="M766" s="16"/>
      <c r="N766" s="16"/>
      <c r="O766" s="16"/>
      <c r="P766" s="16"/>
      <c r="Q766" s="16"/>
      <c r="R766" s="16"/>
    </row>
    <row r="767" customFormat="false" ht="15" hidden="false" customHeight="false" outlineLevel="0" collapsed="false">
      <c r="A767" s="25"/>
      <c r="B767" s="16"/>
      <c r="C767" s="16"/>
      <c r="D767" s="16"/>
      <c r="E767" s="16"/>
      <c r="F767" s="16"/>
      <c r="G767" s="26"/>
      <c r="H767" s="26"/>
      <c r="I767" s="26"/>
      <c r="J767" s="26"/>
      <c r="K767" s="16"/>
      <c r="L767" s="27" t="str">
        <f aca="false">IF(G767="","",G767-H767+I767+IF(K767="N",J767,0))</f>
        <v/>
      </c>
      <c r="M767" s="16"/>
      <c r="N767" s="16"/>
      <c r="O767" s="16"/>
      <c r="P767" s="16"/>
      <c r="Q767" s="16"/>
      <c r="R767" s="16"/>
    </row>
    <row r="768" customFormat="false" ht="15" hidden="false" customHeight="false" outlineLevel="0" collapsed="false">
      <c r="A768" s="25"/>
      <c r="B768" s="16"/>
      <c r="C768" s="16"/>
      <c r="D768" s="16"/>
      <c r="E768" s="16"/>
      <c r="F768" s="16"/>
      <c r="G768" s="26"/>
      <c r="H768" s="26"/>
      <c r="I768" s="26"/>
      <c r="J768" s="26"/>
      <c r="K768" s="16"/>
      <c r="L768" s="27" t="str">
        <f aca="false">IF(G768="","",G768-H768+I768+IF(K768="N",J768,0))</f>
        <v/>
      </c>
      <c r="M768" s="16"/>
      <c r="N768" s="16"/>
      <c r="O768" s="16"/>
      <c r="P768" s="16"/>
      <c r="Q768" s="16"/>
      <c r="R768" s="16"/>
    </row>
    <row r="769" customFormat="false" ht="15" hidden="false" customHeight="false" outlineLevel="0" collapsed="false">
      <c r="A769" s="25"/>
      <c r="B769" s="16"/>
      <c r="C769" s="16"/>
      <c r="D769" s="16"/>
      <c r="E769" s="16"/>
      <c r="F769" s="16"/>
      <c r="G769" s="26"/>
      <c r="H769" s="26"/>
      <c r="I769" s="26"/>
      <c r="J769" s="26"/>
      <c r="K769" s="16"/>
      <c r="L769" s="27" t="str">
        <f aca="false">IF(G769="","",G769-H769+I769+IF(K769="N",J769,0))</f>
        <v/>
      </c>
      <c r="M769" s="16"/>
      <c r="N769" s="16"/>
      <c r="O769" s="16"/>
      <c r="P769" s="16"/>
      <c r="Q769" s="16"/>
      <c r="R769" s="16"/>
    </row>
    <row r="770" customFormat="false" ht="15" hidden="false" customHeight="false" outlineLevel="0" collapsed="false">
      <c r="A770" s="25"/>
      <c r="B770" s="16"/>
      <c r="C770" s="16"/>
      <c r="D770" s="16"/>
      <c r="E770" s="16"/>
      <c r="F770" s="16"/>
      <c r="G770" s="26"/>
      <c r="H770" s="26"/>
      <c r="I770" s="26"/>
      <c r="J770" s="26"/>
      <c r="K770" s="16"/>
      <c r="L770" s="27" t="str">
        <f aca="false">IF(G770="","",G770-H770+I770+IF(K770="N",J770,0))</f>
        <v/>
      </c>
      <c r="M770" s="16"/>
      <c r="N770" s="16"/>
      <c r="O770" s="16"/>
      <c r="P770" s="16"/>
      <c r="Q770" s="16"/>
      <c r="R770" s="16"/>
    </row>
    <row r="771" customFormat="false" ht="15" hidden="false" customHeight="false" outlineLevel="0" collapsed="false">
      <c r="A771" s="25"/>
      <c r="B771" s="16"/>
      <c r="C771" s="16"/>
      <c r="D771" s="16"/>
      <c r="E771" s="16"/>
      <c r="F771" s="16"/>
      <c r="G771" s="26"/>
      <c r="H771" s="26"/>
      <c r="I771" s="26"/>
      <c r="J771" s="26"/>
      <c r="K771" s="16"/>
      <c r="L771" s="27" t="str">
        <f aca="false">IF(G771="","",G771-H771+I771+IF(K771="N",J771,0))</f>
        <v/>
      </c>
      <c r="M771" s="16"/>
      <c r="N771" s="16"/>
      <c r="O771" s="16"/>
      <c r="P771" s="16"/>
      <c r="Q771" s="16"/>
      <c r="R771" s="16"/>
    </row>
    <row r="772" customFormat="false" ht="15" hidden="false" customHeight="false" outlineLevel="0" collapsed="false">
      <c r="A772" s="25"/>
      <c r="B772" s="16"/>
      <c r="C772" s="16"/>
      <c r="D772" s="16"/>
      <c r="E772" s="16"/>
      <c r="F772" s="16"/>
      <c r="G772" s="26"/>
      <c r="H772" s="26"/>
      <c r="I772" s="26"/>
      <c r="J772" s="26"/>
      <c r="K772" s="16"/>
      <c r="L772" s="27" t="str">
        <f aca="false">IF(G772="","",G772-H772+I772+IF(K772="N",J772,0))</f>
        <v/>
      </c>
      <c r="M772" s="16"/>
      <c r="N772" s="16"/>
      <c r="O772" s="16"/>
      <c r="P772" s="16"/>
      <c r="Q772" s="16"/>
      <c r="R772" s="16"/>
    </row>
    <row r="773" customFormat="false" ht="15" hidden="false" customHeight="false" outlineLevel="0" collapsed="false">
      <c r="A773" s="25"/>
      <c r="B773" s="16"/>
      <c r="C773" s="16"/>
      <c r="D773" s="16"/>
      <c r="E773" s="16"/>
      <c r="F773" s="16"/>
      <c r="G773" s="26"/>
      <c r="H773" s="26"/>
      <c r="I773" s="26"/>
      <c r="J773" s="26"/>
      <c r="K773" s="16"/>
      <c r="L773" s="27" t="str">
        <f aca="false">IF(G773="","",G773-H773+I773+IF(K773="N",J773,0))</f>
        <v/>
      </c>
      <c r="M773" s="16"/>
      <c r="N773" s="16"/>
      <c r="O773" s="16"/>
      <c r="P773" s="16"/>
      <c r="Q773" s="16"/>
      <c r="R773" s="16"/>
    </row>
    <row r="774" customFormat="false" ht="15" hidden="false" customHeight="false" outlineLevel="0" collapsed="false">
      <c r="A774" s="25"/>
      <c r="B774" s="16"/>
      <c r="C774" s="16"/>
      <c r="D774" s="16"/>
      <c r="E774" s="16"/>
      <c r="F774" s="16"/>
      <c r="G774" s="26"/>
      <c r="H774" s="26"/>
      <c r="I774" s="26"/>
      <c r="J774" s="26"/>
      <c r="K774" s="16"/>
      <c r="L774" s="27" t="str">
        <f aca="false">IF(G774="","",G774-H774+I774+IF(K774="N",J774,0))</f>
        <v/>
      </c>
      <c r="M774" s="16"/>
      <c r="N774" s="16"/>
      <c r="O774" s="16"/>
      <c r="P774" s="16"/>
      <c r="Q774" s="16"/>
      <c r="R774" s="16"/>
    </row>
    <row r="775" customFormat="false" ht="15" hidden="false" customHeight="false" outlineLevel="0" collapsed="false">
      <c r="A775" s="25"/>
      <c r="B775" s="16"/>
      <c r="C775" s="16"/>
      <c r="D775" s="16"/>
      <c r="E775" s="16"/>
      <c r="F775" s="16"/>
      <c r="G775" s="26"/>
      <c r="H775" s="26"/>
      <c r="I775" s="26"/>
      <c r="J775" s="26"/>
      <c r="K775" s="16"/>
      <c r="L775" s="27" t="str">
        <f aca="false">IF(G775="","",G775-H775+I775+IF(K775="N",J775,0))</f>
        <v/>
      </c>
      <c r="M775" s="16"/>
      <c r="N775" s="16"/>
      <c r="O775" s="16"/>
      <c r="P775" s="16"/>
      <c r="Q775" s="16"/>
      <c r="R775" s="16"/>
    </row>
    <row r="776" customFormat="false" ht="15" hidden="false" customHeight="false" outlineLevel="0" collapsed="false">
      <c r="A776" s="25"/>
      <c r="B776" s="16"/>
      <c r="C776" s="16"/>
      <c r="D776" s="16"/>
      <c r="E776" s="16"/>
      <c r="F776" s="16"/>
      <c r="G776" s="26"/>
      <c r="H776" s="26"/>
      <c r="I776" s="26"/>
      <c r="J776" s="26"/>
      <c r="K776" s="16"/>
      <c r="L776" s="27" t="str">
        <f aca="false">IF(G776="","",G776-H776+I776+IF(K776="N",J776,0))</f>
        <v/>
      </c>
      <c r="M776" s="16"/>
      <c r="N776" s="16"/>
      <c r="O776" s="16"/>
      <c r="P776" s="16"/>
      <c r="Q776" s="16"/>
      <c r="R776" s="16"/>
    </row>
    <row r="777" customFormat="false" ht="15" hidden="false" customHeight="false" outlineLevel="0" collapsed="false">
      <c r="A777" s="25"/>
      <c r="B777" s="16"/>
      <c r="C777" s="16"/>
      <c r="D777" s="16"/>
      <c r="E777" s="16"/>
      <c r="F777" s="16"/>
      <c r="G777" s="26"/>
      <c r="H777" s="26"/>
      <c r="I777" s="26"/>
      <c r="J777" s="26"/>
      <c r="K777" s="16"/>
      <c r="L777" s="27" t="str">
        <f aca="false">IF(G777="","",G777-H777+I777+IF(K777="N",J777,0))</f>
        <v/>
      </c>
      <c r="M777" s="16"/>
      <c r="N777" s="16"/>
      <c r="O777" s="16"/>
      <c r="P777" s="16"/>
      <c r="Q777" s="16"/>
      <c r="R777" s="16"/>
    </row>
    <row r="778" customFormat="false" ht="15" hidden="false" customHeight="false" outlineLevel="0" collapsed="false">
      <c r="A778" s="25"/>
      <c r="B778" s="16"/>
      <c r="C778" s="16"/>
      <c r="D778" s="16"/>
      <c r="E778" s="16"/>
      <c r="F778" s="16"/>
      <c r="G778" s="26"/>
      <c r="H778" s="26"/>
      <c r="I778" s="26"/>
      <c r="J778" s="26"/>
      <c r="K778" s="16"/>
      <c r="L778" s="27" t="str">
        <f aca="false">IF(G778="","",G778-H778+I778+IF(K778="N",J778,0))</f>
        <v/>
      </c>
      <c r="M778" s="16"/>
      <c r="N778" s="16"/>
      <c r="O778" s="16"/>
      <c r="P778" s="16"/>
      <c r="Q778" s="16"/>
      <c r="R778" s="16"/>
    </row>
    <row r="779" customFormat="false" ht="15" hidden="false" customHeight="false" outlineLevel="0" collapsed="false">
      <c r="A779" s="25"/>
      <c r="B779" s="16"/>
      <c r="C779" s="16"/>
      <c r="D779" s="16"/>
      <c r="E779" s="16"/>
      <c r="F779" s="16"/>
      <c r="G779" s="26"/>
      <c r="H779" s="26"/>
      <c r="I779" s="26"/>
      <c r="J779" s="26"/>
      <c r="K779" s="16"/>
      <c r="L779" s="27" t="str">
        <f aca="false">IF(G779="","",G779-H779+I779+IF(K779="N",J779,0))</f>
        <v/>
      </c>
      <c r="M779" s="16"/>
      <c r="N779" s="16"/>
      <c r="O779" s="16"/>
      <c r="P779" s="16"/>
      <c r="Q779" s="16"/>
      <c r="R779" s="16"/>
    </row>
    <row r="780" customFormat="false" ht="15" hidden="false" customHeight="false" outlineLevel="0" collapsed="false">
      <c r="A780" s="25"/>
      <c r="B780" s="16"/>
      <c r="C780" s="16"/>
      <c r="D780" s="16"/>
      <c r="E780" s="16"/>
      <c r="F780" s="16"/>
      <c r="G780" s="26"/>
      <c r="H780" s="26"/>
      <c r="I780" s="26"/>
      <c r="J780" s="26"/>
      <c r="K780" s="16"/>
      <c r="L780" s="27" t="str">
        <f aca="false">IF(G780="","",G780-H780+I780+IF(K780="N",J780,0))</f>
        <v/>
      </c>
      <c r="M780" s="16"/>
      <c r="N780" s="16"/>
      <c r="O780" s="16"/>
      <c r="P780" s="16"/>
      <c r="Q780" s="16"/>
      <c r="R780" s="16"/>
    </row>
    <row r="781" customFormat="false" ht="15" hidden="false" customHeight="false" outlineLevel="0" collapsed="false">
      <c r="A781" s="25"/>
      <c r="B781" s="16"/>
      <c r="C781" s="16"/>
      <c r="D781" s="16"/>
      <c r="E781" s="16"/>
      <c r="F781" s="16"/>
      <c r="G781" s="26"/>
      <c r="H781" s="26"/>
      <c r="I781" s="26"/>
      <c r="J781" s="26"/>
      <c r="K781" s="16"/>
      <c r="L781" s="27" t="str">
        <f aca="false">IF(G781="","",G781-H781+I781+IF(K781="N",J781,0))</f>
        <v/>
      </c>
      <c r="M781" s="16"/>
      <c r="N781" s="16"/>
      <c r="O781" s="16"/>
      <c r="P781" s="16"/>
      <c r="Q781" s="16"/>
      <c r="R781" s="16"/>
    </row>
    <row r="782" customFormat="false" ht="15" hidden="false" customHeight="false" outlineLevel="0" collapsed="false">
      <c r="A782" s="25"/>
      <c r="B782" s="16"/>
      <c r="C782" s="16"/>
      <c r="D782" s="16"/>
      <c r="E782" s="16"/>
      <c r="F782" s="16"/>
      <c r="G782" s="26"/>
      <c r="H782" s="26"/>
      <c r="I782" s="26"/>
      <c r="J782" s="26"/>
      <c r="K782" s="16"/>
      <c r="L782" s="27" t="str">
        <f aca="false">IF(G782="","",G782-H782+I782+IF(K782="N",J782,0))</f>
        <v/>
      </c>
      <c r="M782" s="16"/>
      <c r="N782" s="16"/>
      <c r="O782" s="16"/>
      <c r="P782" s="16"/>
      <c r="Q782" s="16"/>
      <c r="R782" s="16"/>
    </row>
    <row r="783" customFormat="false" ht="15" hidden="false" customHeight="false" outlineLevel="0" collapsed="false">
      <c r="A783" s="25"/>
      <c r="B783" s="16"/>
      <c r="C783" s="16"/>
      <c r="D783" s="16"/>
      <c r="E783" s="16"/>
      <c r="F783" s="16"/>
      <c r="G783" s="26"/>
      <c r="H783" s="26"/>
      <c r="I783" s="26"/>
      <c r="J783" s="26"/>
      <c r="K783" s="16"/>
      <c r="L783" s="27" t="str">
        <f aca="false">IF(G783="","",G783-H783+I783+IF(K783="N",J783,0))</f>
        <v/>
      </c>
      <c r="M783" s="16"/>
      <c r="N783" s="16"/>
      <c r="O783" s="16"/>
      <c r="P783" s="16"/>
      <c r="Q783" s="16"/>
      <c r="R783" s="16"/>
    </row>
    <row r="784" customFormat="false" ht="15" hidden="false" customHeight="false" outlineLevel="0" collapsed="false">
      <c r="A784" s="25"/>
      <c r="B784" s="16"/>
      <c r="C784" s="16"/>
      <c r="D784" s="16"/>
      <c r="E784" s="16"/>
      <c r="F784" s="16"/>
      <c r="G784" s="26"/>
      <c r="H784" s="26"/>
      <c r="I784" s="26"/>
      <c r="J784" s="26"/>
      <c r="K784" s="16"/>
      <c r="L784" s="27" t="str">
        <f aca="false">IF(G784="","",G784-H784+I784+IF(K784="N",J784,0))</f>
        <v/>
      </c>
      <c r="M784" s="16"/>
      <c r="N784" s="16"/>
      <c r="O784" s="16"/>
      <c r="P784" s="16"/>
      <c r="Q784" s="16"/>
      <c r="R784" s="16"/>
    </row>
    <row r="785" customFormat="false" ht="15" hidden="false" customHeight="false" outlineLevel="0" collapsed="false">
      <c r="A785" s="25"/>
      <c r="B785" s="16"/>
      <c r="C785" s="16"/>
      <c r="D785" s="16"/>
      <c r="E785" s="16"/>
      <c r="F785" s="16"/>
      <c r="G785" s="26"/>
      <c r="H785" s="26"/>
      <c r="I785" s="26"/>
      <c r="J785" s="26"/>
      <c r="K785" s="16"/>
      <c r="L785" s="27" t="str">
        <f aca="false">IF(G785="","",G785-H785+I785+IF(K785="N",J785,0))</f>
        <v/>
      </c>
      <c r="M785" s="16"/>
      <c r="N785" s="16"/>
      <c r="O785" s="16"/>
      <c r="P785" s="16"/>
      <c r="Q785" s="16"/>
      <c r="R785" s="16"/>
    </row>
    <row r="786" customFormat="false" ht="15" hidden="false" customHeight="false" outlineLevel="0" collapsed="false">
      <c r="A786" s="25"/>
      <c r="B786" s="16"/>
      <c r="C786" s="16"/>
      <c r="D786" s="16"/>
      <c r="E786" s="16"/>
      <c r="F786" s="16"/>
      <c r="G786" s="26"/>
      <c r="H786" s="26"/>
      <c r="I786" s="26"/>
      <c r="J786" s="26"/>
      <c r="K786" s="16"/>
      <c r="L786" s="27" t="str">
        <f aca="false">IF(G786="","",G786-H786+I786+IF(K786="N",J786,0))</f>
        <v/>
      </c>
      <c r="M786" s="16"/>
      <c r="N786" s="16"/>
      <c r="O786" s="16"/>
      <c r="P786" s="16"/>
      <c r="Q786" s="16"/>
      <c r="R786" s="16"/>
    </row>
    <row r="787" customFormat="false" ht="15" hidden="false" customHeight="false" outlineLevel="0" collapsed="false">
      <c r="A787" s="25"/>
      <c r="B787" s="16"/>
      <c r="C787" s="16"/>
      <c r="D787" s="16"/>
      <c r="E787" s="16"/>
      <c r="F787" s="16"/>
      <c r="G787" s="26"/>
      <c r="H787" s="26"/>
      <c r="I787" s="26"/>
      <c r="J787" s="26"/>
      <c r="K787" s="16"/>
      <c r="L787" s="27" t="str">
        <f aca="false">IF(G787="","",G787-H787+I787+IF(K787="N",J787,0))</f>
        <v/>
      </c>
      <c r="M787" s="16"/>
      <c r="N787" s="16"/>
      <c r="O787" s="16"/>
      <c r="P787" s="16"/>
      <c r="Q787" s="16"/>
      <c r="R787" s="16"/>
    </row>
    <row r="788" customFormat="false" ht="15" hidden="false" customHeight="false" outlineLevel="0" collapsed="false">
      <c r="A788" s="25"/>
      <c r="B788" s="16"/>
      <c r="C788" s="16"/>
      <c r="D788" s="16"/>
      <c r="E788" s="16"/>
      <c r="F788" s="16"/>
      <c r="G788" s="26"/>
      <c r="H788" s="26"/>
      <c r="I788" s="26"/>
      <c r="J788" s="26"/>
      <c r="K788" s="16"/>
      <c r="L788" s="27" t="str">
        <f aca="false">IF(G788="","",G788-H788+I788+IF(K788="N",J788,0))</f>
        <v/>
      </c>
      <c r="M788" s="16"/>
      <c r="N788" s="16"/>
      <c r="O788" s="16"/>
      <c r="P788" s="16"/>
      <c r="Q788" s="16"/>
      <c r="R788" s="16"/>
    </row>
    <row r="789" customFormat="false" ht="15" hidden="false" customHeight="false" outlineLevel="0" collapsed="false">
      <c r="A789" s="25"/>
      <c r="B789" s="16"/>
      <c r="C789" s="16"/>
      <c r="D789" s="16"/>
      <c r="E789" s="16"/>
      <c r="F789" s="16"/>
      <c r="G789" s="26"/>
      <c r="H789" s="26"/>
      <c r="I789" s="26"/>
      <c r="J789" s="26"/>
      <c r="K789" s="16"/>
      <c r="L789" s="27" t="str">
        <f aca="false">IF(G789="","",G789-H789+I789+IF(K789="N",J789,0))</f>
        <v/>
      </c>
      <c r="M789" s="16"/>
      <c r="N789" s="16"/>
      <c r="O789" s="16"/>
      <c r="P789" s="16"/>
      <c r="Q789" s="16"/>
      <c r="R789" s="16"/>
    </row>
    <row r="790" customFormat="false" ht="15" hidden="false" customHeight="false" outlineLevel="0" collapsed="false">
      <c r="A790" s="25"/>
      <c r="B790" s="16"/>
      <c r="C790" s="16"/>
      <c r="D790" s="16"/>
      <c r="E790" s="16"/>
      <c r="F790" s="16"/>
      <c r="G790" s="26"/>
      <c r="H790" s="26"/>
      <c r="I790" s="26"/>
      <c r="J790" s="26"/>
      <c r="K790" s="16"/>
      <c r="L790" s="27" t="str">
        <f aca="false">IF(G790="","",G790-H790+I790+IF(K790="N",J790,0))</f>
        <v/>
      </c>
      <c r="M790" s="16"/>
      <c r="N790" s="16"/>
      <c r="O790" s="16"/>
      <c r="P790" s="16"/>
      <c r="Q790" s="16"/>
      <c r="R790" s="16"/>
    </row>
    <row r="791" customFormat="false" ht="15" hidden="false" customHeight="false" outlineLevel="0" collapsed="false">
      <c r="A791" s="25"/>
      <c r="B791" s="16"/>
      <c r="C791" s="16"/>
      <c r="D791" s="16"/>
      <c r="E791" s="16"/>
      <c r="F791" s="16"/>
      <c r="G791" s="26"/>
      <c r="H791" s="26"/>
      <c r="I791" s="26"/>
      <c r="J791" s="26"/>
      <c r="K791" s="16"/>
      <c r="L791" s="27" t="str">
        <f aca="false">IF(G791="","",G791-H791+I791+IF(K791="N",J791,0))</f>
        <v/>
      </c>
      <c r="M791" s="16"/>
      <c r="N791" s="16"/>
      <c r="O791" s="16"/>
      <c r="P791" s="16"/>
      <c r="Q791" s="16"/>
      <c r="R791" s="16"/>
    </row>
    <row r="792" customFormat="false" ht="15" hidden="false" customHeight="false" outlineLevel="0" collapsed="false">
      <c r="A792" s="25"/>
      <c r="B792" s="16"/>
      <c r="C792" s="16"/>
      <c r="D792" s="16"/>
      <c r="E792" s="16"/>
      <c r="F792" s="16"/>
      <c r="G792" s="26"/>
      <c r="H792" s="26"/>
      <c r="I792" s="26"/>
      <c r="J792" s="26"/>
      <c r="K792" s="16"/>
      <c r="L792" s="27" t="str">
        <f aca="false">IF(G792="","",G792-H792+I792+IF(K792="N",J792,0))</f>
        <v/>
      </c>
      <c r="M792" s="16"/>
      <c r="N792" s="16"/>
      <c r="O792" s="16"/>
      <c r="P792" s="16"/>
      <c r="Q792" s="16"/>
      <c r="R792" s="16"/>
    </row>
    <row r="793" customFormat="false" ht="15" hidden="false" customHeight="false" outlineLevel="0" collapsed="false">
      <c r="A793" s="25"/>
      <c r="B793" s="16"/>
      <c r="C793" s="16"/>
      <c r="D793" s="16"/>
      <c r="E793" s="16"/>
      <c r="F793" s="16"/>
      <c r="G793" s="26"/>
      <c r="H793" s="26"/>
      <c r="I793" s="26"/>
      <c r="J793" s="26"/>
      <c r="K793" s="16"/>
      <c r="L793" s="27" t="str">
        <f aca="false">IF(G793="","",G793-H793+I793+IF(K793="N",J793,0))</f>
        <v/>
      </c>
      <c r="M793" s="16"/>
      <c r="N793" s="16"/>
      <c r="O793" s="16"/>
      <c r="P793" s="16"/>
      <c r="Q793" s="16"/>
      <c r="R793" s="16"/>
    </row>
    <row r="794" customFormat="false" ht="15" hidden="false" customHeight="false" outlineLevel="0" collapsed="false">
      <c r="A794" s="25"/>
      <c r="B794" s="16"/>
      <c r="C794" s="16"/>
      <c r="D794" s="16"/>
      <c r="E794" s="16"/>
      <c r="F794" s="16"/>
      <c r="G794" s="26"/>
      <c r="H794" s="26"/>
      <c r="I794" s="26"/>
      <c r="J794" s="26"/>
      <c r="K794" s="16"/>
      <c r="L794" s="27" t="str">
        <f aca="false">IF(G794="","",G794-H794+I794+IF(K794="N",J794,0))</f>
        <v/>
      </c>
      <c r="M794" s="16"/>
      <c r="N794" s="16"/>
      <c r="O794" s="16"/>
      <c r="P794" s="16"/>
      <c r="Q794" s="16"/>
      <c r="R794" s="16"/>
    </row>
    <row r="795" customFormat="false" ht="15" hidden="false" customHeight="false" outlineLevel="0" collapsed="false">
      <c r="A795" s="25"/>
      <c r="B795" s="16"/>
      <c r="C795" s="16"/>
      <c r="D795" s="16"/>
      <c r="E795" s="16"/>
      <c r="F795" s="16"/>
      <c r="G795" s="26"/>
      <c r="H795" s="26"/>
      <c r="I795" s="26"/>
      <c r="J795" s="26"/>
      <c r="K795" s="16"/>
      <c r="L795" s="27" t="str">
        <f aca="false">IF(G795="","",G795-H795+I795+IF(K795="N",J795,0))</f>
        <v/>
      </c>
      <c r="M795" s="16"/>
      <c r="N795" s="16"/>
      <c r="O795" s="16"/>
      <c r="P795" s="16"/>
      <c r="Q795" s="16"/>
      <c r="R795" s="16"/>
    </row>
    <row r="796" customFormat="false" ht="15" hidden="false" customHeight="false" outlineLevel="0" collapsed="false">
      <c r="A796" s="25"/>
      <c r="B796" s="16"/>
      <c r="C796" s="16"/>
      <c r="D796" s="16"/>
      <c r="E796" s="16"/>
      <c r="F796" s="16"/>
      <c r="G796" s="26"/>
      <c r="H796" s="26"/>
      <c r="I796" s="26"/>
      <c r="J796" s="26"/>
      <c r="K796" s="16"/>
      <c r="L796" s="27" t="str">
        <f aca="false">IF(G796="","",G796-H796+I796+IF(K796="N",J796,0))</f>
        <v/>
      </c>
      <c r="M796" s="16"/>
      <c r="N796" s="16"/>
      <c r="O796" s="16"/>
      <c r="P796" s="16"/>
      <c r="Q796" s="16"/>
      <c r="R796" s="16"/>
    </row>
    <row r="797" customFormat="false" ht="15" hidden="false" customHeight="false" outlineLevel="0" collapsed="false">
      <c r="A797" s="25"/>
      <c r="B797" s="16"/>
      <c r="C797" s="16"/>
      <c r="D797" s="16"/>
      <c r="E797" s="16"/>
      <c r="F797" s="16"/>
      <c r="G797" s="26"/>
      <c r="H797" s="26"/>
      <c r="I797" s="26"/>
      <c r="J797" s="26"/>
      <c r="K797" s="16"/>
      <c r="L797" s="27" t="str">
        <f aca="false">IF(G797="","",G797-H797+I797+IF(K797="N",J797,0))</f>
        <v/>
      </c>
      <c r="M797" s="16"/>
      <c r="N797" s="16"/>
      <c r="O797" s="16"/>
      <c r="P797" s="16"/>
      <c r="Q797" s="16"/>
      <c r="R797" s="16"/>
    </row>
    <row r="798" customFormat="false" ht="15" hidden="false" customHeight="false" outlineLevel="0" collapsed="false">
      <c r="A798" s="25"/>
      <c r="B798" s="16"/>
      <c r="C798" s="16"/>
      <c r="D798" s="16"/>
      <c r="E798" s="16"/>
      <c r="F798" s="16"/>
      <c r="G798" s="26"/>
      <c r="H798" s="26"/>
      <c r="I798" s="26"/>
      <c r="J798" s="26"/>
      <c r="K798" s="16"/>
      <c r="L798" s="27" t="str">
        <f aca="false">IF(G798="","",G798-H798+I798+IF(K798="N",J798,0))</f>
        <v/>
      </c>
      <c r="M798" s="16"/>
      <c r="N798" s="16"/>
      <c r="O798" s="16"/>
      <c r="P798" s="16"/>
      <c r="Q798" s="16"/>
      <c r="R798" s="16"/>
    </row>
    <row r="799" customFormat="false" ht="15" hidden="false" customHeight="false" outlineLevel="0" collapsed="false">
      <c r="A799" s="25"/>
      <c r="B799" s="16"/>
      <c r="C799" s="16"/>
      <c r="D799" s="16"/>
      <c r="E799" s="16"/>
      <c r="F799" s="16"/>
      <c r="G799" s="26"/>
      <c r="H799" s="26"/>
      <c r="I799" s="26"/>
      <c r="J799" s="26"/>
      <c r="K799" s="16"/>
      <c r="L799" s="27" t="str">
        <f aca="false">IF(G799="","",G799-H799+I799+IF(K799="N",J799,0))</f>
        <v/>
      </c>
      <c r="M799" s="16"/>
      <c r="N799" s="16"/>
      <c r="O799" s="16"/>
      <c r="P799" s="16"/>
      <c r="Q799" s="16"/>
      <c r="R799" s="16"/>
    </row>
    <row r="800" customFormat="false" ht="15" hidden="false" customHeight="false" outlineLevel="0" collapsed="false">
      <c r="A800" s="25"/>
      <c r="B800" s="16"/>
      <c r="C800" s="16"/>
      <c r="D800" s="16"/>
      <c r="E800" s="16"/>
      <c r="F800" s="16"/>
      <c r="G800" s="26"/>
      <c r="H800" s="26"/>
      <c r="I800" s="26"/>
      <c r="J800" s="26"/>
      <c r="K800" s="16"/>
      <c r="L800" s="27" t="str">
        <f aca="false">IF(G800="","",G800-H800+I800+IF(K800="N",J800,0))</f>
        <v/>
      </c>
      <c r="M800" s="16"/>
      <c r="N800" s="16"/>
      <c r="O800" s="16"/>
      <c r="P800" s="16"/>
      <c r="Q800" s="16"/>
      <c r="R800" s="16"/>
    </row>
    <row r="801" customFormat="false" ht="15" hidden="false" customHeight="false" outlineLevel="0" collapsed="false">
      <c r="A801" s="25"/>
      <c r="B801" s="16"/>
      <c r="C801" s="16"/>
      <c r="D801" s="16"/>
      <c r="E801" s="16"/>
      <c r="F801" s="16"/>
      <c r="G801" s="26"/>
      <c r="H801" s="26"/>
      <c r="I801" s="26"/>
      <c r="J801" s="26"/>
      <c r="K801" s="16"/>
      <c r="L801" s="27" t="str">
        <f aca="false">IF(G801="","",G801-H801+I801+IF(K801="N",J801,0))</f>
        <v/>
      </c>
      <c r="M801" s="16"/>
      <c r="N801" s="16"/>
      <c r="O801" s="16"/>
      <c r="P801" s="16"/>
      <c r="Q801" s="16"/>
      <c r="R801" s="16"/>
    </row>
    <row r="802" customFormat="false" ht="15" hidden="false" customHeight="false" outlineLevel="0" collapsed="false">
      <c r="A802" s="25"/>
      <c r="B802" s="16"/>
      <c r="C802" s="16"/>
      <c r="D802" s="16"/>
      <c r="E802" s="16"/>
      <c r="F802" s="16"/>
      <c r="G802" s="26"/>
      <c r="H802" s="26"/>
      <c r="I802" s="26"/>
      <c r="J802" s="26"/>
      <c r="K802" s="16"/>
      <c r="L802" s="27" t="str">
        <f aca="false">IF(G802="","",G802-H802+I802+IF(K802="N",J802,0))</f>
        <v/>
      </c>
      <c r="M802" s="16"/>
      <c r="N802" s="16"/>
      <c r="O802" s="16"/>
      <c r="P802" s="16"/>
      <c r="Q802" s="16"/>
      <c r="R802" s="16"/>
    </row>
    <row r="803" customFormat="false" ht="15" hidden="false" customHeight="false" outlineLevel="0" collapsed="false">
      <c r="A803" s="25"/>
      <c r="B803" s="16"/>
      <c r="C803" s="16"/>
      <c r="D803" s="16"/>
      <c r="E803" s="16"/>
      <c r="F803" s="16"/>
      <c r="G803" s="26"/>
      <c r="H803" s="26"/>
      <c r="I803" s="26"/>
      <c r="J803" s="26"/>
      <c r="K803" s="16"/>
      <c r="L803" s="27" t="str">
        <f aca="false">IF(G803="","",G803-H803+I803+IF(K803="N",J803,0))</f>
        <v/>
      </c>
      <c r="M803" s="16"/>
      <c r="N803" s="16"/>
      <c r="O803" s="16"/>
      <c r="P803" s="16"/>
      <c r="Q803" s="16"/>
      <c r="R803" s="16"/>
    </row>
    <row r="804" customFormat="false" ht="15" hidden="false" customHeight="false" outlineLevel="0" collapsed="false">
      <c r="A804" s="25"/>
      <c r="B804" s="16"/>
      <c r="C804" s="16"/>
      <c r="D804" s="16"/>
      <c r="E804" s="16"/>
      <c r="F804" s="16"/>
      <c r="G804" s="26"/>
      <c r="H804" s="26"/>
      <c r="I804" s="26"/>
      <c r="J804" s="26"/>
      <c r="K804" s="16"/>
      <c r="L804" s="27" t="str">
        <f aca="false">IF(G804="","",G804-H804+I804+IF(K804="N",J804,0))</f>
        <v/>
      </c>
      <c r="M804" s="16"/>
      <c r="N804" s="16"/>
      <c r="O804" s="16"/>
      <c r="P804" s="16"/>
      <c r="Q804" s="16"/>
      <c r="R804" s="16"/>
    </row>
    <row r="805" customFormat="false" ht="15" hidden="false" customHeight="false" outlineLevel="0" collapsed="false">
      <c r="A805" s="25"/>
      <c r="B805" s="16"/>
      <c r="C805" s="16"/>
      <c r="D805" s="16"/>
      <c r="E805" s="16"/>
      <c r="F805" s="16"/>
      <c r="G805" s="26"/>
      <c r="H805" s="26"/>
      <c r="I805" s="26"/>
      <c r="J805" s="26"/>
      <c r="K805" s="16"/>
      <c r="L805" s="27" t="str">
        <f aca="false">IF(G805="","",G805-H805+I805+IF(K805="N",J805,0))</f>
        <v/>
      </c>
      <c r="M805" s="16"/>
      <c r="N805" s="16"/>
      <c r="O805" s="16"/>
      <c r="P805" s="16"/>
      <c r="Q805" s="16"/>
      <c r="R805" s="16"/>
    </row>
    <row r="806" customFormat="false" ht="15" hidden="false" customHeight="false" outlineLevel="0" collapsed="false">
      <c r="A806" s="25"/>
      <c r="B806" s="16"/>
      <c r="C806" s="16"/>
      <c r="D806" s="16"/>
      <c r="E806" s="16"/>
      <c r="F806" s="16"/>
      <c r="G806" s="26"/>
      <c r="H806" s="26"/>
      <c r="I806" s="26"/>
      <c r="J806" s="26"/>
      <c r="K806" s="16"/>
      <c r="L806" s="27" t="str">
        <f aca="false">IF(G806="","",G806-H806+I806+IF(K806="N",J806,0))</f>
        <v/>
      </c>
      <c r="M806" s="16"/>
      <c r="N806" s="16"/>
      <c r="O806" s="16"/>
      <c r="P806" s="16"/>
      <c r="Q806" s="16"/>
      <c r="R806" s="16"/>
    </row>
    <row r="807" customFormat="false" ht="15" hidden="false" customHeight="false" outlineLevel="0" collapsed="false">
      <c r="A807" s="25"/>
      <c r="B807" s="16"/>
      <c r="C807" s="16"/>
      <c r="D807" s="16"/>
      <c r="E807" s="16"/>
      <c r="F807" s="16"/>
      <c r="G807" s="26"/>
      <c r="H807" s="26"/>
      <c r="I807" s="26"/>
      <c r="J807" s="26"/>
      <c r="K807" s="16"/>
      <c r="L807" s="27" t="str">
        <f aca="false">IF(G807="","",G807-H807+I807+IF(K807="N",J807,0))</f>
        <v/>
      </c>
      <c r="M807" s="16"/>
      <c r="N807" s="16"/>
      <c r="O807" s="16"/>
      <c r="P807" s="16"/>
      <c r="Q807" s="16"/>
      <c r="R807" s="16"/>
    </row>
    <row r="808" customFormat="false" ht="15" hidden="false" customHeight="false" outlineLevel="0" collapsed="false">
      <c r="A808" s="25"/>
      <c r="B808" s="16"/>
      <c r="C808" s="16"/>
      <c r="D808" s="16"/>
      <c r="E808" s="16"/>
      <c r="F808" s="16"/>
      <c r="G808" s="26"/>
      <c r="H808" s="26"/>
      <c r="I808" s="26"/>
      <c r="J808" s="26"/>
      <c r="K808" s="16"/>
      <c r="L808" s="27" t="str">
        <f aca="false">IF(G808="","",G808-H808+I808+IF(K808="N",J808,0))</f>
        <v/>
      </c>
      <c r="M808" s="16"/>
      <c r="N808" s="16"/>
      <c r="O808" s="16"/>
      <c r="P808" s="16"/>
      <c r="Q808" s="16"/>
      <c r="R808" s="16"/>
    </row>
    <row r="809" customFormat="false" ht="15" hidden="false" customHeight="false" outlineLevel="0" collapsed="false">
      <c r="A809" s="25"/>
      <c r="B809" s="16"/>
      <c r="C809" s="16"/>
      <c r="D809" s="16"/>
      <c r="E809" s="16"/>
      <c r="F809" s="16"/>
      <c r="G809" s="26"/>
      <c r="H809" s="26"/>
      <c r="I809" s="26"/>
      <c r="J809" s="26"/>
      <c r="K809" s="16"/>
      <c r="L809" s="27" t="str">
        <f aca="false">IF(G809="","",G809-H809+I809+IF(K809="N",J809,0))</f>
        <v/>
      </c>
      <c r="M809" s="16"/>
      <c r="N809" s="16"/>
      <c r="O809" s="16"/>
      <c r="P809" s="16"/>
      <c r="Q809" s="16"/>
      <c r="R809" s="16"/>
    </row>
    <row r="810" customFormat="false" ht="15" hidden="false" customHeight="false" outlineLevel="0" collapsed="false">
      <c r="A810" s="25"/>
      <c r="B810" s="16"/>
      <c r="C810" s="16"/>
      <c r="D810" s="16"/>
      <c r="E810" s="16"/>
      <c r="F810" s="16"/>
      <c r="G810" s="26"/>
      <c r="H810" s="26"/>
      <c r="I810" s="26"/>
      <c r="J810" s="26"/>
      <c r="K810" s="16"/>
      <c r="L810" s="27" t="str">
        <f aca="false">IF(G810="","",G810-H810+I810+IF(K810="N",J810,0))</f>
        <v/>
      </c>
      <c r="M810" s="16"/>
      <c r="N810" s="16"/>
      <c r="O810" s="16"/>
      <c r="P810" s="16"/>
      <c r="Q810" s="16"/>
      <c r="R810" s="16"/>
    </row>
    <row r="811" customFormat="false" ht="15" hidden="false" customHeight="false" outlineLevel="0" collapsed="false">
      <c r="A811" s="25"/>
      <c r="B811" s="16"/>
      <c r="C811" s="16"/>
      <c r="D811" s="16"/>
      <c r="E811" s="16"/>
      <c r="F811" s="16"/>
      <c r="G811" s="26"/>
      <c r="H811" s="26"/>
      <c r="I811" s="26"/>
      <c r="J811" s="26"/>
      <c r="K811" s="16"/>
      <c r="L811" s="27" t="str">
        <f aca="false">IF(G811="","",G811-H811+I811+IF(K811="N",J811,0))</f>
        <v/>
      </c>
      <c r="M811" s="16"/>
      <c r="N811" s="16"/>
      <c r="O811" s="16"/>
      <c r="P811" s="16"/>
      <c r="Q811" s="16"/>
      <c r="R811" s="16"/>
    </row>
    <row r="812" customFormat="false" ht="15" hidden="false" customHeight="false" outlineLevel="0" collapsed="false">
      <c r="A812" s="25"/>
      <c r="B812" s="16"/>
      <c r="C812" s="16"/>
      <c r="D812" s="16"/>
      <c r="E812" s="16"/>
      <c r="F812" s="16"/>
      <c r="G812" s="26"/>
      <c r="H812" s="26"/>
      <c r="I812" s="26"/>
      <c r="J812" s="26"/>
      <c r="K812" s="16"/>
      <c r="L812" s="27" t="str">
        <f aca="false">IF(G812="","",G812-H812+I812+IF(K812="N",J812,0))</f>
        <v/>
      </c>
      <c r="M812" s="16"/>
      <c r="N812" s="16"/>
      <c r="O812" s="16"/>
      <c r="P812" s="16"/>
      <c r="Q812" s="16"/>
      <c r="R812" s="16"/>
    </row>
    <row r="813" customFormat="false" ht="15" hidden="false" customHeight="false" outlineLevel="0" collapsed="false">
      <c r="A813" s="25"/>
      <c r="B813" s="16"/>
      <c r="C813" s="16"/>
      <c r="D813" s="16"/>
      <c r="E813" s="16"/>
      <c r="F813" s="16"/>
      <c r="G813" s="26"/>
      <c r="H813" s="26"/>
      <c r="I813" s="26"/>
      <c r="J813" s="26"/>
      <c r="K813" s="16"/>
      <c r="L813" s="27" t="str">
        <f aca="false">IF(G813="","",G813-H813+I813+IF(K813="N",J813,0))</f>
        <v/>
      </c>
      <c r="M813" s="16"/>
      <c r="N813" s="16"/>
      <c r="O813" s="16"/>
      <c r="P813" s="16"/>
      <c r="Q813" s="16"/>
      <c r="R813" s="16"/>
    </row>
    <row r="814" customFormat="false" ht="15" hidden="false" customHeight="false" outlineLevel="0" collapsed="false">
      <c r="A814" s="25"/>
      <c r="B814" s="16"/>
      <c r="C814" s="16"/>
      <c r="D814" s="16"/>
      <c r="E814" s="16"/>
      <c r="F814" s="16"/>
      <c r="G814" s="26"/>
      <c r="H814" s="26"/>
      <c r="I814" s="26"/>
      <c r="J814" s="26"/>
      <c r="K814" s="16"/>
      <c r="L814" s="27" t="str">
        <f aca="false">IF(G814="","",G814-H814+I814+IF(K814="N",J814,0))</f>
        <v/>
      </c>
      <c r="M814" s="16"/>
      <c r="N814" s="16"/>
      <c r="O814" s="16"/>
      <c r="P814" s="16"/>
      <c r="Q814" s="16"/>
      <c r="R814" s="16"/>
    </row>
    <row r="815" customFormat="false" ht="15" hidden="false" customHeight="false" outlineLevel="0" collapsed="false">
      <c r="A815" s="25"/>
      <c r="B815" s="16"/>
      <c r="C815" s="16"/>
      <c r="D815" s="16"/>
      <c r="E815" s="16"/>
      <c r="F815" s="16"/>
      <c r="G815" s="26"/>
      <c r="H815" s="26"/>
      <c r="I815" s="26"/>
      <c r="J815" s="26"/>
      <c r="K815" s="16"/>
      <c r="L815" s="27" t="str">
        <f aca="false">IF(G815="","",G815-H815+I815+IF(K815="N",J815,0))</f>
        <v/>
      </c>
      <c r="M815" s="16"/>
      <c r="N815" s="16"/>
      <c r="O815" s="16"/>
      <c r="P815" s="16"/>
      <c r="Q815" s="16"/>
      <c r="R815" s="16"/>
    </row>
    <row r="816" customFormat="false" ht="15" hidden="false" customHeight="false" outlineLevel="0" collapsed="false">
      <c r="A816" s="25"/>
      <c r="B816" s="16"/>
      <c r="C816" s="16"/>
      <c r="D816" s="16"/>
      <c r="E816" s="16"/>
      <c r="F816" s="16"/>
      <c r="G816" s="26"/>
      <c r="H816" s="26"/>
      <c r="I816" s="26"/>
      <c r="J816" s="26"/>
      <c r="K816" s="16"/>
      <c r="L816" s="27" t="str">
        <f aca="false">IF(G816="","",G816-H816+I816+IF(K816="N",J816,0))</f>
        <v/>
      </c>
      <c r="M816" s="16"/>
      <c r="N816" s="16"/>
      <c r="O816" s="16"/>
      <c r="P816" s="16"/>
      <c r="Q816" s="16"/>
      <c r="R816" s="16"/>
    </row>
    <row r="817" customFormat="false" ht="15" hidden="false" customHeight="false" outlineLevel="0" collapsed="false">
      <c r="A817" s="25"/>
      <c r="B817" s="16"/>
      <c r="C817" s="16"/>
      <c r="D817" s="16"/>
      <c r="E817" s="16"/>
      <c r="F817" s="16"/>
      <c r="G817" s="26"/>
      <c r="H817" s="26"/>
      <c r="I817" s="26"/>
      <c r="J817" s="26"/>
      <c r="K817" s="16"/>
      <c r="L817" s="27" t="str">
        <f aca="false">IF(G817="","",G817-H817+I817+IF(K817="N",J817,0))</f>
        <v/>
      </c>
      <c r="M817" s="16"/>
      <c r="N817" s="16"/>
      <c r="O817" s="16"/>
      <c r="P817" s="16"/>
      <c r="Q817" s="16"/>
      <c r="R817" s="16"/>
    </row>
    <row r="818" customFormat="false" ht="15" hidden="false" customHeight="false" outlineLevel="0" collapsed="false">
      <c r="A818" s="25"/>
      <c r="B818" s="16"/>
      <c r="C818" s="16"/>
      <c r="D818" s="16"/>
      <c r="E818" s="16"/>
      <c r="F818" s="16"/>
      <c r="G818" s="26"/>
      <c r="H818" s="26"/>
      <c r="I818" s="26"/>
      <c r="J818" s="26"/>
      <c r="K818" s="16"/>
      <c r="L818" s="27" t="str">
        <f aca="false">IF(G818="","",G818-H818+I818+IF(K818="N",J818,0))</f>
        <v/>
      </c>
      <c r="M818" s="16"/>
      <c r="N818" s="16"/>
      <c r="O818" s="16"/>
      <c r="P818" s="16"/>
      <c r="Q818" s="16"/>
      <c r="R818" s="16"/>
    </row>
    <row r="819" customFormat="false" ht="15" hidden="false" customHeight="false" outlineLevel="0" collapsed="false">
      <c r="A819" s="25"/>
      <c r="B819" s="16"/>
      <c r="C819" s="16"/>
      <c r="D819" s="16"/>
      <c r="E819" s="16"/>
      <c r="F819" s="16"/>
      <c r="G819" s="26"/>
      <c r="H819" s="26"/>
      <c r="I819" s="26"/>
      <c r="J819" s="26"/>
      <c r="K819" s="16"/>
      <c r="L819" s="27" t="str">
        <f aca="false">IF(G819="","",G819-H819+I819+IF(K819="N",J819,0))</f>
        <v/>
      </c>
      <c r="M819" s="16"/>
      <c r="N819" s="16"/>
      <c r="O819" s="16"/>
      <c r="P819" s="16"/>
      <c r="Q819" s="16"/>
      <c r="R819" s="16"/>
    </row>
    <row r="820" customFormat="false" ht="15" hidden="false" customHeight="false" outlineLevel="0" collapsed="false">
      <c r="A820" s="25"/>
      <c r="B820" s="16"/>
      <c r="C820" s="16"/>
      <c r="D820" s="16"/>
      <c r="E820" s="16"/>
      <c r="F820" s="16"/>
      <c r="G820" s="26"/>
      <c r="H820" s="26"/>
      <c r="I820" s="26"/>
      <c r="J820" s="26"/>
      <c r="K820" s="16"/>
      <c r="L820" s="27" t="str">
        <f aca="false">IF(G820="","",G820-H820+I820+IF(K820="N",J820,0))</f>
        <v/>
      </c>
      <c r="M820" s="16"/>
      <c r="N820" s="16"/>
      <c r="O820" s="16"/>
      <c r="P820" s="16"/>
      <c r="Q820" s="16"/>
      <c r="R820" s="16"/>
    </row>
    <row r="821" customFormat="false" ht="15" hidden="false" customHeight="false" outlineLevel="0" collapsed="false">
      <c r="A821" s="25"/>
      <c r="B821" s="16"/>
      <c r="C821" s="16"/>
      <c r="D821" s="16"/>
      <c r="E821" s="16"/>
      <c r="F821" s="16"/>
      <c r="G821" s="26"/>
      <c r="H821" s="26"/>
      <c r="I821" s="26"/>
      <c r="J821" s="26"/>
      <c r="K821" s="16"/>
      <c r="L821" s="27" t="str">
        <f aca="false">IF(G821="","",G821-H821+I821+IF(K821="N",J821,0))</f>
        <v/>
      </c>
      <c r="M821" s="16"/>
      <c r="N821" s="16"/>
      <c r="O821" s="16"/>
      <c r="P821" s="16"/>
      <c r="Q821" s="16"/>
      <c r="R821" s="16"/>
    </row>
    <row r="822" customFormat="false" ht="15" hidden="false" customHeight="false" outlineLevel="0" collapsed="false">
      <c r="A822" s="25"/>
      <c r="B822" s="16"/>
      <c r="C822" s="16"/>
      <c r="D822" s="16"/>
      <c r="E822" s="16"/>
      <c r="F822" s="16"/>
      <c r="G822" s="26"/>
      <c r="H822" s="26"/>
      <c r="I822" s="26"/>
      <c r="J822" s="26"/>
      <c r="K822" s="16"/>
      <c r="L822" s="27" t="str">
        <f aca="false">IF(G822="","",G822-H822+I822+IF(K822="N",J822,0))</f>
        <v/>
      </c>
      <c r="M822" s="16"/>
      <c r="N822" s="16"/>
      <c r="O822" s="16"/>
      <c r="P822" s="16"/>
      <c r="Q822" s="16"/>
      <c r="R822" s="16"/>
    </row>
    <row r="823" customFormat="false" ht="15" hidden="false" customHeight="false" outlineLevel="0" collapsed="false">
      <c r="A823" s="25"/>
      <c r="B823" s="16"/>
      <c r="C823" s="16"/>
      <c r="D823" s="16"/>
      <c r="E823" s="16"/>
      <c r="F823" s="16"/>
      <c r="G823" s="26"/>
      <c r="H823" s="26"/>
      <c r="I823" s="26"/>
      <c r="J823" s="26"/>
      <c r="K823" s="16"/>
      <c r="L823" s="27" t="str">
        <f aca="false">IF(G823="","",G823-H823+I823+IF(K823="N",J823,0))</f>
        <v/>
      </c>
      <c r="M823" s="16"/>
      <c r="N823" s="16"/>
      <c r="O823" s="16"/>
      <c r="P823" s="16"/>
      <c r="Q823" s="16"/>
      <c r="R823" s="16"/>
    </row>
    <row r="824" customFormat="false" ht="15" hidden="false" customHeight="false" outlineLevel="0" collapsed="false">
      <c r="A824" s="25"/>
      <c r="B824" s="16"/>
      <c r="C824" s="16"/>
      <c r="D824" s="16"/>
      <c r="E824" s="16"/>
      <c r="F824" s="16"/>
      <c r="G824" s="26"/>
      <c r="H824" s="26"/>
      <c r="I824" s="26"/>
      <c r="J824" s="26"/>
      <c r="K824" s="16"/>
      <c r="L824" s="27" t="str">
        <f aca="false">IF(G824="","",G824-H824+I824+IF(K824="N",J824,0))</f>
        <v/>
      </c>
      <c r="M824" s="16"/>
      <c r="N824" s="16"/>
      <c r="O824" s="16"/>
      <c r="P824" s="16"/>
      <c r="Q824" s="16"/>
      <c r="R824" s="16"/>
    </row>
    <row r="825" customFormat="false" ht="15" hidden="false" customHeight="false" outlineLevel="0" collapsed="false">
      <c r="A825" s="25"/>
      <c r="B825" s="16"/>
      <c r="C825" s="16"/>
      <c r="D825" s="16"/>
      <c r="E825" s="16"/>
      <c r="F825" s="16"/>
      <c r="G825" s="26"/>
      <c r="H825" s="26"/>
      <c r="I825" s="26"/>
      <c r="J825" s="26"/>
      <c r="K825" s="16"/>
      <c r="L825" s="27" t="str">
        <f aca="false">IF(G825="","",G825-H825+I825+IF(K825="N",J825,0))</f>
        <v/>
      </c>
      <c r="M825" s="16"/>
      <c r="N825" s="16"/>
      <c r="O825" s="16"/>
      <c r="P825" s="16"/>
      <c r="Q825" s="16"/>
      <c r="R825" s="16"/>
    </row>
    <row r="826" customFormat="false" ht="15" hidden="false" customHeight="false" outlineLevel="0" collapsed="false">
      <c r="A826" s="25"/>
      <c r="B826" s="16"/>
      <c r="C826" s="16"/>
      <c r="D826" s="16"/>
      <c r="E826" s="16"/>
      <c r="F826" s="16"/>
      <c r="G826" s="26"/>
      <c r="H826" s="26"/>
      <c r="I826" s="26"/>
      <c r="J826" s="26"/>
      <c r="K826" s="16"/>
      <c r="L826" s="27" t="str">
        <f aca="false">IF(G826="","",G826-H826+I826+IF(K826="N",J826,0))</f>
        <v/>
      </c>
      <c r="M826" s="16"/>
      <c r="N826" s="16"/>
      <c r="O826" s="16"/>
      <c r="P826" s="16"/>
      <c r="Q826" s="16"/>
      <c r="R826" s="16"/>
    </row>
    <row r="827" customFormat="false" ht="15" hidden="false" customHeight="false" outlineLevel="0" collapsed="false">
      <c r="A827" s="25"/>
      <c r="B827" s="16"/>
      <c r="C827" s="16"/>
      <c r="D827" s="16"/>
      <c r="E827" s="16"/>
      <c r="F827" s="16"/>
      <c r="G827" s="26"/>
      <c r="H827" s="26"/>
      <c r="I827" s="26"/>
      <c r="J827" s="26"/>
      <c r="K827" s="16"/>
      <c r="L827" s="27" t="str">
        <f aca="false">IF(G827="","",G827-H827+I827+IF(K827="N",J827,0))</f>
        <v/>
      </c>
      <c r="M827" s="16"/>
      <c r="N827" s="16"/>
      <c r="O827" s="16"/>
      <c r="P827" s="16"/>
      <c r="Q827" s="16"/>
      <c r="R827" s="16"/>
    </row>
    <row r="828" customFormat="false" ht="15" hidden="false" customHeight="false" outlineLevel="0" collapsed="false">
      <c r="A828" s="25"/>
      <c r="B828" s="16"/>
      <c r="C828" s="16"/>
      <c r="D828" s="16"/>
      <c r="E828" s="16"/>
      <c r="F828" s="16"/>
      <c r="G828" s="26"/>
      <c r="H828" s="26"/>
      <c r="I828" s="26"/>
      <c r="J828" s="26"/>
      <c r="K828" s="16"/>
      <c r="L828" s="27" t="str">
        <f aca="false">IF(G828="","",G828-H828+I828+IF(K828="N",J828,0))</f>
        <v/>
      </c>
      <c r="M828" s="16"/>
      <c r="N828" s="16"/>
      <c r="O828" s="16"/>
      <c r="P828" s="16"/>
      <c r="Q828" s="16"/>
      <c r="R828" s="16"/>
    </row>
    <row r="829" customFormat="false" ht="15" hidden="false" customHeight="false" outlineLevel="0" collapsed="false">
      <c r="A829" s="25"/>
      <c r="B829" s="16"/>
      <c r="C829" s="16"/>
      <c r="D829" s="16"/>
      <c r="E829" s="16"/>
      <c r="F829" s="16"/>
      <c r="G829" s="26"/>
      <c r="H829" s="26"/>
      <c r="I829" s="26"/>
      <c r="J829" s="26"/>
      <c r="K829" s="16"/>
      <c r="L829" s="27" t="str">
        <f aca="false">IF(G829="","",G829-H829+I829+IF(K829="N",J829,0))</f>
        <v/>
      </c>
      <c r="M829" s="16"/>
      <c r="N829" s="16"/>
      <c r="O829" s="16"/>
      <c r="P829" s="16"/>
      <c r="Q829" s="16"/>
      <c r="R829" s="16"/>
    </row>
    <row r="830" customFormat="false" ht="15" hidden="false" customHeight="false" outlineLevel="0" collapsed="false">
      <c r="A830" s="25"/>
      <c r="B830" s="16"/>
      <c r="C830" s="16"/>
      <c r="D830" s="16"/>
      <c r="E830" s="16"/>
      <c r="F830" s="16"/>
      <c r="G830" s="26"/>
      <c r="H830" s="26"/>
      <c r="I830" s="26"/>
      <c r="J830" s="26"/>
      <c r="K830" s="16"/>
      <c r="L830" s="27" t="str">
        <f aca="false">IF(G830="","",G830-H830+I830+IF(K830="N",J830,0))</f>
        <v/>
      </c>
      <c r="M830" s="16"/>
      <c r="N830" s="16"/>
      <c r="O830" s="16"/>
      <c r="P830" s="16"/>
      <c r="Q830" s="16"/>
      <c r="R830" s="16"/>
    </row>
    <row r="831" customFormat="false" ht="15" hidden="false" customHeight="false" outlineLevel="0" collapsed="false">
      <c r="A831" s="25"/>
      <c r="B831" s="16"/>
      <c r="C831" s="16"/>
      <c r="D831" s="16"/>
      <c r="E831" s="16"/>
      <c r="F831" s="16"/>
      <c r="G831" s="26"/>
      <c r="H831" s="26"/>
      <c r="I831" s="26"/>
      <c r="J831" s="26"/>
      <c r="K831" s="16"/>
      <c r="L831" s="27" t="str">
        <f aca="false">IF(G831="","",G831-H831+I831+IF(K831="N",J831,0))</f>
        <v/>
      </c>
      <c r="M831" s="16"/>
      <c r="N831" s="16"/>
      <c r="O831" s="16"/>
      <c r="P831" s="16"/>
      <c r="Q831" s="16"/>
      <c r="R831" s="16"/>
    </row>
    <row r="832" customFormat="false" ht="15" hidden="false" customHeight="false" outlineLevel="0" collapsed="false">
      <c r="A832" s="25"/>
      <c r="B832" s="16"/>
      <c r="C832" s="16"/>
      <c r="D832" s="16"/>
      <c r="E832" s="16"/>
      <c r="F832" s="16"/>
      <c r="G832" s="26"/>
      <c r="H832" s="26"/>
      <c r="I832" s="26"/>
      <c r="J832" s="26"/>
      <c r="K832" s="16"/>
      <c r="L832" s="27" t="str">
        <f aca="false">IF(G832="","",G832-H832+I832+IF(K832="N",J832,0))</f>
        <v/>
      </c>
      <c r="M832" s="16"/>
      <c r="N832" s="16"/>
      <c r="O832" s="16"/>
      <c r="P832" s="16"/>
      <c r="Q832" s="16"/>
      <c r="R832" s="16"/>
    </row>
    <row r="833" customFormat="false" ht="15" hidden="false" customHeight="false" outlineLevel="0" collapsed="false">
      <c r="A833" s="25"/>
      <c r="B833" s="16"/>
      <c r="C833" s="16"/>
      <c r="D833" s="16"/>
      <c r="E833" s="16"/>
      <c r="F833" s="16"/>
      <c r="G833" s="26"/>
      <c r="H833" s="26"/>
      <c r="I833" s="26"/>
      <c r="J833" s="26"/>
      <c r="K833" s="16"/>
      <c r="L833" s="27" t="str">
        <f aca="false">IF(G833="","",G833-H833+I833+IF(K833="N",J833,0))</f>
        <v/>
      </c>
      <c r="M833" s="16"/>
      <c r="N833" s="16"/>
      <c r="O833" s="16"/>
      <c r="P833" s="16"/>
      <c r="Q833" s="16"/>
      <c r="R833" s="16"/>
    </row>
    <row r="834" customFormat="false" ht="15" hidden="false" customHeight="false" outlineLevel="0" collapsed="false">
      <c r="A834" s="25"/>
      <c r="B834" s="16"/>
      <c r="C834" s="16"/>
      <c r="D834" s="16"/>
      <c r="E834" s="16"/>
      <c r="F834" s="16"/>
      <c r="G834" s="26"/>
      <c r="H834" s="26"/>
      <c r="I834" s="26"/>
      <c r="J834" s="26"/>
      <c r="K834" s="16"/>
      <c r="L834" s="27" t="str">
        <f aca="false">IF(G834="","",G834-H834+I834+IF(K834="N",J834,0))</f>
        <v/>
      </c>
      <c r="M834" s="16"/>
      <c r="N834" s="16"/>
      <c r="O834" s="16"/>
      <c r="P834" s="16"/>
      <c r="Q834" s="16"/>
      <c r="R834" s="16"/>
    </row>
    <row r="835" customFormat="false" ht="15" hidden="false" customHeight="false" outlineLevel="0" collapsed="false">
      <c r="A835" s="25"/>
      <c r="B835" s="16"/>
      <c r="C835" s="16"/>
      <c r="D835" s="16"/>
      <c r="E835" s="16"/>
      <c r="F835" s="16"/>
      <c r="G835" s="26"/>
      <c r="H835" s="26"/>
      <c r="I835" s="26"/>
      <c r="J835" s="26"/>
      <c r="K835" s="16"/>
      <c r="L835" s="27" t="str">
        <f aca="false">IF(G835="","",G835-H835+I835+IF(K835="N",J835,0))</f>
        <v/>
      </c>
      <c r="M835" s="16"/>
      <c r="N835" s="16"/>
      <c r="O835" s="16"/>
      <c r="P835" s="16"/>
      <c r="Q835" s="16"/>
      <c r="R835" s="16"/>
    </row>
    <row r="836" customFormat="false" ht="15" hidden="false" customHeight="false" outlineLevel="0" collapsed="false">
      <c r="A836" s="25"/>
      <c r="B836" s="16"/>
      <c r="C836" s="16"/>
      <c r="D836" s="16"/>
      <c r="E836" s="16"/>
      <c r="F836" s="16"/>
      <c r="G836" s="26"/>
      <c r="H836" s="26"/>
      <c r="I836" s="26"/>
      <c r="J836" s="26"/>
      <c r="K836" s="16"/>
      <c r="L836" s="27" t="str">
        <f aca="false">IF(G836="","",G836-H836+I836+IF(K836="N",J836,0))</f>
        <v/>
      </c>
      <c r="M836" s="16"/>
      <c r="N836" s="16"/>
      <c r="O836" s="16"/>
      <c r="P836" s="16"/>
      <c r="Q836" s="16"/>
      <c r="R836" s="16"/>
    </row>
    <row r="837" customFormat="false" ht="15" hidden="false" customHeight="false" outlineLevel="0" collapsed="false">
      <c r="A837" s="25"/>
      <c r="B837" s="16"/>
      <c r="C837" s="16"/>
      <c r="D837" s="16"/>
      <c r="E837" s="16"/>
      <c r="F837" s="16"/>
      <c r="G837" s="26"/>
      <c r="H837" s="26"/>
      <c r="I837" s="26"/>
      <c r="J837" s="26"/>
      <c r="K837" s="16"/>
      <c r="L837" s="27" t="str">
        <f aca="false">IF(G837="","",G837-H837+I837+IF(K837="N",J837,0))</f>
        <v/>
      </c>
      <c r="M837" s="16"/>
      <c r="N837" s="16"/>
      <c r="O837" s="16"/>
      <c r="P837" s="16"/>
      <c r="Q837" s="16"/>
      <c r="R837" s="16"/>
    </row>
    <row r="838" customFormat="false" ht="15" hidden="false" customHeight="false" outlineLevel="0" collapsed="false">
      <c r="A838" s="25"/>
      <c r="B838" s="16"/>
      <c r="C838" s="16"/>
      <c r="D838" s="16"/>
      <c r="E838" s="16"/>
      <c r="F838" s="16"/>
      <c r="G838" s="26"/>
      <c r="H838" s="26"/>
      <c r="I838" s="26"/>
      <c r="J838" s="26"/>
      <c r="K838" s="16"/>
      <c r="L838" s="27" t="str">
        <f aca="false">IF(G838="","",G838-H838+I838+IF(K838="N",J838,0))</f>
        <v/>
      </c>
      <c r="M838" s="16"/>
      <c r="N838" s="16"/>
      <c r="O838" s="16"/>
      <c r="P838" s="16"/>
      <c r="Q838" s="16"/>
      <c r="R838" s="16"/>
    </row>
    <row r="839" customFormat="false" ht="15" hidden="false" customHeight="false" outlineLevel="0" collapsed="false">
      <c r="A839" s="25"/>
      <c r="B839" s="16"/>
      <c r="C839" s="16"/>
      <c r="D839" s="16"/>
      <c r="E839" s="16"/>
      <c r="F839" s="16"/>
      <c r="G839" s="26"/>
      <c r="H839" s="26"/>
      <c r="I839" s="26"/>
      <c r="J839" s="26"/>
      <c r="K839" s="16"/>
      <c r="L839" s="27" t="str">
        <f aca="false">IF(G839="","",G839-H839+I839+IF(K839="N",J839,0))</f>
        <v/>
      </c>
      <c r="M839" s="16"/>
      <c r="N839" s="16"/>
      <c r="O839" s="16"/>
      <c r="P839" s="16"/>
      <c r="Q839" s="16"/>
      <c r="R839" s="16"/>
    </row>
    <row r="840" customFormat="false" ht="15" hidden="false" customHeight="false" outlineLevel="0" collapsed="false">
      <c r="A840" s="25"/>
      <c r="B840" s="16"/>
      <c r="C840" s="16"/>
      <c r="D840" s="16"/>
      <c r="E840" s="16"/>
      <c r="F840" s="16"/>
      <c r="G840" s="26"/>
      <c r="H840" s="26"/>
      <c r="I840" s="26"/>
      <c r="J840" s="26"/>
      <c r="K840" s="16"/>
      <c r="L840" s="27" t="str">
        <f aca="false">IF(G840="","",G840-H840+I840+IF(K840="N",J840,0))</f>
        <v/>
      </c>
      <c r="M840" s="16"/>
      <c r="N840" s="16"/>
      <c r="O840" s="16"/>
      <c r="P840" s="16"/>
      <c r="Q840" s="16"/>
      <c r="R840" s="16"/>
    </row>
    <row r="841" customFormat="false" ht="15" hidden="false" customHeight="false" outlineLevel="0" collapsed="false">
      <c r="A841" s="25"/>
      <c r="B841" s="16"/>
      <c r="C841" s="16"/>
      <c r="D841" s="16"/>
      <c r="E841" s="16"/>
      <c r="F841" s="16"/>
      <c r="G841" s="26"/>
      <c r="H841" s="26"/>
      <c r="I841" s="26"/>
      <c r="J841" s="26"/>
      <c r="K841" s="16"/>
      <c r="L841" s="27" t="str">
        <f aca="false">IF(G841="","",G841-H841+I841+IF(K841="N",J841,0))</f>
        <v/>
      </c>
      <c r="M841" s="16"/>
      <c r="N841" s="16"/>
      <c r="O841" s="16"/>
      <c r="P841" s="16"/>
      <c r="Q841" s="16"/>
      <c r="R841" s="16"/>
    </row>
    <row r="842" customFormat="false" ht="15" hidden="false" customHeight="false" outlineLevel="0" collapsed="false">
      <c r="A842" s="25"/>
      <c r="B842" s="16"/>
      <c r="C842" s="16"/>
      <c r="D842" s="16"/>
      <c r="E842" s="16"/>
      <c r="F842" s="16"/>
      <c r="G842" s="26"/>
      <c r="H842" s="26"/>
      <c r="I842" s="26"/>
      <c r="J842" s="26"/>
      <c r="K842" s="16"/>
      <c r="L842" s="27" t="str">
        <f aca="false">IF(G842="","",G842-H842+I842+IF(K842="N",J842,0))</f>
        <v/>
      </c>
      <c r="M842" s="16"/>
      <c r="N842" s="16"/>
      <c r="O842" s="16"/>
      <c r="P842" s="16"/>
      <c r="Q842" s="16"/>
      <c r="R842" s="16"/>
    </row>
    <row r="843" customFormat="false" ht="15" hidden="false" customHeight="false" outlineLevel="0" collapsed="false">
      <c r="A843" s="25"/>
      <c r="B843" s="16"/>
      <c r="C843" s="16"/>
      <c r="D843" s="16"/>
      <c r="E843" s="16"/>
      <c r="F843" s="16"/>
      <c r="G843" s="26"/>
      <c r="H843" s="26"/>
      <c r="I843" s="26"/>
      <c r="J843" s="26"/>
      <c r="K843" s="16"/>
      <c r="L843" s="27" t="str">
        <f aca="false">IF(G843="","",G843-H843+I843+IF(K843="N",J843,0))</f>
        <v/>
      </c>
      <c r="M843" s="16"/>
      <c r="N843" s="16"/>
      <c r="O843" s="16"/>
      <c r="P843" s="16"/>
      <c r="Q843" s="16"/>
      <c r="R843" s="16"/>
    </row>
    <row r="844" customFormat="false" ht="15" hidden="false" customHeight="false" outlineLevel="0" collapsed="false">
      <c r="A844" s="25"/>
      <c r="B844" s="16"/>
      <c r="C844" s="16"/>
      <c r="D844" s="16"/>
      <c r="E844" s="16"/>
      <c r="F844" s="16"/>
      <c r="G844" s="26"/>
      <c r="H844" s="26"/>
      <c r="I844" s="26"/>
      <c r="J844" s="26"/>
      <c r="K844" s="16"/>
      <c r="L844" s="27" t="str">
        <f aca="false">IF(G844="","",G844-H844+I844+IF(K844="N",J844,0))</f>
        <v/>
      </c>
      <c r="M844" s="16"/>
      <c r="N844" s="16"/>
      <c r="O844" s="16"/>
      <c r="P844" s="16"/>
      <c r="Q844" s="16"/>
      <c r="R844" s="16"/>
    </row>
    <row r="845" customFormat="false" ht="15" hidden="false" customHeight="false" outlineLevel="0" collapsed="false">
      <c r="A845" s="25"/>
      <c r="B845" s="16"/>
      <c r="C845" s="16"/>
      <c r="D845" s="16"/>
      <c r="E845" s="16"/>
      <c r="F845" s="16"/>
      <c r="G845" s="26"/>
      <c r="H845" s="26"/>
      <c r="I845" s="26"/>
      <c r="J845" s="26"/>
      <c r="K845" s="16"/>
      <c r="L845" s="27" t="str">
        <f aca="false">IF(G845="","",G845-H845+I845+IF(K845="N",J845,0))</f>
        <v/>
      </c>
      <c r="M845" s="16"/>
      <c r="N845" s="16"/>
      <c r="O845" s="16"/>
      <c r="P845" s="16"/>
      <c r="Q845" s="16"/>
      <c r="R845" s="16"/>
    </row>
    <row r="846" customFormat="false" ht="15" hidden="false" customHeight="false" outlineLevel="0" collapsed="false">
      <c r="A846" s="25"/>
      <c r="B846" s="16"/>
      <c r="C846" s="16"/>
      <c r="D846" s="16"/>
      <c r="E846" s="16"/>
      <c r="F846" s="16"/>
      <c r="G846" s="26"/>
      <c r="H846" s="26"/>
      <c r="I846" s="26"/>
      <c r="J846" s="26"/>
      <c r="K846" s="16"/>
      <c r="L846" s="27" t="str">
        <f aca="false">IF(G846="","",G846-H846+I846+IF(K846="N",J846,0))</f>
        <v/>
      </c>
      <c r="M846" s="16"/>
      <c r="N846" s="16"/>
      <c r="O846" s="16"/>
      <c r="P846" s="16"/>
      <c r="Q846" s="16"/>
      <c r="R846" s="16"/>
    </row>
    <row r="847" customFormat="false" ht="15" hidden="false" customHeight="false" outlineLevel="0" collapsed="false">
      <c r="A847" s="25"/>
      <c r="B847" s="16"/>
      <c r="C847" s="16"/>
      <c r="D847" s="16"/>
      <c r="E847" s="16"/>
      <c r="F847" s="16"/>
      <c r="G847" s="26"/>
      <c r="H847" s="26"/>
      <c r="I847" s="26"/>
      <c r="J847" s="26"/>
      <c r="K847" s="16"/>
      <c r="L847" s="27" t="str">
        <f aca="false">IF(G847="","",G847-H847+I847+IF(K847="N",J847,0))</f>
        <v/>
      </c>
      <c r="M847" s="16"/>
      <c r="N847" s="16"/>
      <c r="O847" s="16"/>
      <c r="P847" s="16"/>
      <c r="Q847" s="16"/>
      <c r="R847" s="16"/>
    </row>
    <row r="848" customFormat="false" ht="15" hidden="false" customHeight="false" outlineLevel="0" collapsed="false">
      <c r="A848" s="25"/>
      <c r="B848" s="16"/>
      <c r="C848" s="16"/>
      <c r="D848" s="16"/>
      <c r="E848" s="16"/>
      <c r="F848" s="16"/>
      <c r="G848" s="26"/>
      <c r="H848" s="26"/>
      <c r="I848" s="26"/>
      <c r="J848" s="26"/>
      <c r="K848" s="16"/>
      <c r="L848" s="27" t="str">
        <f aca="false">IF(G848="","",G848-H848+I848+IF(K848="N",J848,0))</f>
        <v/>
      </c>
      <c r="M848" s="16"/>
      <c r="N848" s="16"/>
      <c r="O848" s="16"/>
      <c r="P848" s="16"/>
      <c r="Q848" s="16"/>
      <c r="R848" s="16"/>
    </row>
    <row r="849" customFormat="false" ht="15" hidden="false" customHeight="false" outlineLevel="0" collapsed="false">
      <c r="A849" s="25"/>
      <c r="B849" s="16"/>
      <c r="C849" s="16"/>
      <c r="D849" s="16"/>
      <c r="E849" s="16"/>
      <c r="F849" s="16"/>
      <c r="G849" s="26"/>
      <c r="H849" s="26"/>
      <c r="I849" s="26"/>
      <c r="J849" s="26"/>
      <c r="K849" s="16"/>
      <c r="L849" s="27" t="str">
        <f aca="false">IF(G849="","",G849-H849+I849+IF(K849="N",J849,0))</f>
        <v/>
      </c>
      <c r="M849" s="16"/>
      <c r="N849" s="16"/>
      <c r="O849" s="16"/>
      <c r="P849" s="16"/>
      <c r="Q849" s="16"/>
      <c r="R849" s="16"/>
    </row>
    <row r="850" customFormat="false" ht="15" hidden="false" customHeight="false" outlineLevel="0" collapsed="false">
      <c r="A850" s="25"/>
      <c r="B850" s="16"/>
      <c r="C850" s="16"/>
      <c r="D850" s="16"/>
      <c r="E850" s="16"/>
      <c r="F850" s="16"/>
      <c r="G850" s="26"/>
      <c r="H850" s="26"/>
      <c r="I850" s="26"/>
      <c r="J850" s="26"/>
      <c r="K850" s="16"/>
      <c r="L850" s="27" t="str">
        <f aca="false">IF(G850="","",G850-H850+I850+IF(K850="N",J850,0))</f>
        <v/>
      </c>
      <c r="M850" s="16"/>
      <c r="N850" s="16"/>
      <c r="O850" s="16"/>
      <c r="P850" s="16"/>
      <c r="Q850" s="16"/>
      <c r="R850" s="16"/>
    </row>
    <row r="851" customFormat="false" ht="15" hidden="false" customHeight="false" outlineLevel="0" collapsed="false">
      <c r="A851" s="25"/>
      <c r="B851" s="16"/>
      <c r="C851" s="16"/>
      <c r="D851" s="16"/>
      <c r="E851" s="16"/>
      <c r="F851" s="16"/>
      <c r="G851" s="26"/>
      <c r="H851" s="26"/>
      <c r="I851" s="26"/>
      <c r="J851" s="26"/>
      <c r="K851" s="16"/>
      <c r="L851" s="27" t="str">
        <f aca="false">IF(G851="","",G851-H851+I851+IF(K851="N",J851,0))</f>
        <v/>
      </c>
      <c r="M851" s="16"/>
      <c r="N851" s="16"/>
      <c r="O851" s="16"/>
      <c r="P851" s="16"/>
      <c r="Q851" s="16"/>
      <c r="R851" s="16"/>
    </row>
    <row r="852" customFormat="false" ht="15" hidden="false" customHeight="false" outlineLevel="0" collapsed="false">
      <c r="A852" s="25"/>
      <c r="B852" s="16"/>
      <c r="C852" s="16"/>
      <c r="D852" s="16"/>
      <c r="E852" s="16"/>
      <c r="F852" s="16"/>
      <c r="G852" s="26"/>
      <c r="H852" s="26"/>
      <c r="I852" s="26"/>
      <c r="J852" s="26"/>
      <c r="K852" s="16"/>
      <c r="L852" s="27" t="str">
        <f aca="false">IF(G852="","",G852-H852+I852+IF(K852="N",J852,0))</f>
        <v/>
      </c>
      <c r="M852" s="16"/>
      <c r="N852" s="16"/>
      <c r="O852" s="16"/>
      <c r="P852" s="16"/>
      <c r="Q852" s="16"/>
      <c r="R852" s="16"/>
    </row>
    <row r="853" customFormat="false" ht="15" hidden="false" customHeight="false" outlineLevel="0" collapsed="false">
      <c r="A853" s="25"/>
      <c r="B853" s="16"/>
      <c r="C853" s="16"/>
      <c r="D853" s="16"/>
      <c r="E853" s="16"/>
      <c r="F853" s="16"/>
      <c r="G853" s="26"/>
      <c r="H853" s="26"/>
      <c r="I853" s="26"/>
      <c r="J853" s="26"/>
      <c r="K853" s="16"/>
      <c r="L853" s="27" t="str">
        <f aca="false">IF(G853="","",G853-H853+I853+IF(K853="N",J853,0))</f>
        <v/>
      </c>
      <c r="M853" s="16"/>
      <c r="N853" s="16"/>
      <c r="O853" s="16"/>
      <c r="P853" s="16"/>
      <c r="Q853" s="16"/>
      <c r="R853" s="16"/>
    </row>
    <row r="854" customFormat="false" ht="15" hidden="false" customHeight="false" outlineLevel="0" collapsed="false">
      <c r="A854" s="25"/>
      <c r="B854" s="16"/>
      <c r="C854" s="16"/>
      <c r="D854" s="16"/>
      <c r="E854" s="16"/>
      <c r="F854" s="16"/>
      <c r="G854" s="26"/>
      <c r="H854" s="26"/>
      <c r="I854" s="26"/>
      <c r="J854" s="26"/>
      <c r="K854" s="16"/>
      <c r="L854" s="27" t="str">
        <f aca="false">IF(G854="","",G854-H854+I854+IF(K854="N",J854,0))</f>
        <v/>
      </c>
      <c r="M854" s="16"/>
      <c r="N854" s="16"/>
      <c r="O854" s="16"/>
      <c r="P854" s="16"/>
      <c r="Q854" s="16"/>
      <c r="R854" s="16"/>
    </row>
    <row r="855" customFormat="false" ht="15" hidden="false" customHeight="false" outlineLevel="0" collapsed="false">
      <c r="A855" s="25"/>
      <c r="B855" s="16"/>
      <c r="C855" s="16"/>
      <c r="D855" s="16"/>
      <c r="E855" s="16"/>
      <c r="F855" s="16"/>
      <c r="G855" s="26"/>
      <c r="H855" s="26"/>
      <c r="I855" s="26"/>
      <c r="J855" s="26"/>
      <c r="K855" s="16"/>
      <c r="L855" s="27" t="str">
        <f aca="false">IF(G855="","",G855-H855+I855+IF(K855="N",J855,0))</f>
        <v/>
      </c>
      <c r="M855" s="16"/>
      <c r="N855" s="16"/>
      <c r="O855" s="16"/>
      <c r="P855" s="16"/>
      <c r="Q855" s="16"/>
      <c r="R855" s="16"/>
    </row>
    <row r="856" customFormat="false" ht="15" hidden="false" customHeight="false" outlineLevel="0" collapsed="false">
      <c r="A856" s="25"/>
      <c r="B856" s="16"/>
      <c r="C856" s="16"/>
      <c r="D856" s="16"/>
      <c r="E856" s="16"/>
      <c r="F856" s="16"/>
      <c r="G856" s="26"/>
      <c r="H856" s="26"/>
      <c r="I856" s="26"/>
      <c r="J856" s="26"/>
      <c r="K856" s="16"/>
      <c r="L856" s="27" t="str">
        <f aca="false">IF(G856="","",G856-H856+I856+IF(K856="N",J856,0))</f>
        <v/>
      </c>
      <c r="M856" s="16"/>
      <c r="N856" s="16"/>
      <c r="O856" s="16"/>
      <c r="P856" s="16"/>
      <c r="Q856" s="16"/>
      <c r="R856" s="16"/>
    </row>
    <row r="857" customFormat="false" ht="15" hidden="false" customHeight="false" outlineLevel="0" collapsed="false">
      <c r="A857" s="25"/>
      <c r="B857" s="16"/>
      <c r="C857" s="16"/>
      <c r="D857" s="16"/>
      <c r="E857" s="16"/>
      <c r="F857" s="16"/>
      <c r="G857" s="26"/>
      <c r="H857" s="26"/>
      <c r="I857" s="26"/>
      <c r="J857" s="26"/>
      <c r="K857" s="16"/>
      <c r="L857" s="27" t="str">
        <f aca="false">IF(G857="","",G857-H857+I857+IF(K857="N",J857,0))</f>
        <v/>
      </c>
      <c r="M857" s="16"/>
      <c r="N857" s="16"/>
      <c r="O857" s="16"/>
      <c r="P857" s="16"/>
      <c r="Q857" s="16"/>
      <c r="R857" s="16"/>
    </row>
    <row r="858" customFormat="false" ht="15" hidden="false" customHeight="false" outlineLevel="0" collapsed="false">
      <c r="A858" s="25"/>
      <c r="B858" s="16"/>
      <c r="C858" s="16"/>
      <c r="D858" s="16"/>
      <c r="E858" s="16"/>
      <c r="F858" s="16"/>
      <c r="G858" s="26"/>
      <c r="H858" s="26"/>
      <c r="I858" s="26"/>
      <c r="J858" s="26"/>
      <c r="K858" s="16"/>
      <c r="L858" s="27" t="str">
        <f aca="false">IF(G858="","",G858-H858+I858+IF(K858="N",J858,0))</f>
        <v/>
      </c>
      <c r="M858" s="16"/>
      <c r="N858" s="16"/>
      <c r="O858" s="16"/>
      <c r="P858" s="16"/>
      <c r="Q858" s="16"/>
      <c r="R858" s="16"/>
    </row>
    <row r="859" customFormat="false" ht="15" hidden="false" customHeight="false" outlineLevel="0" collapsed="false">
      <c r="A859" s="25"/>
      <c r="B859" s="16"/>
      <c r="C859" s="16"/>
      <c r="D859" s="16"/>
      <c r="E859" s="16"/>
      <c r="F859" s="16"/>
      <c r="G859" s="26"/>
      <c r="H859" s="26"/>
      <c r="I859" s="26"/>
      <c r="J859" s="26"/>
      <c r="K859" s="16"/>
      <c r="L859" s="27" t="str">
        <f aca="false">IF(G859="","",G859-H859+I859+IF(K859="N",J859,0))</f>
        <v/>
      </c>
      <c r="M859" s="16"/>
      <c r="N859" s="16"/>
      <c r="O859" s="16"/>
      <c r="P859" s="16"/>
      <c r="Q859" s="16"/>
      <c r="R859" s="16"/>
    </row>
    <row r="860" customFormat="false" ht="15" hidden="false" customHeight="false" outlineLevel="0" collapsed="false">
      <c r="A860" s="25"/>
      <c r="B860" s="16"/>
      <c r="C860" s="16"/>
      <c r="D860" s="16"/>
      <c r="E860" s="16"/>
      <c r="F860" s="16"/>
      <c r="G860" s="26"/>
      <c r="H860" s="26"/>
      <c r="I860" s="26"/>
      <c r="J860" s="26"/>
      <c r="K860" s="16"/>
      <c r="L860" s="27" t="str">
        <f aca="false">IF(G860="","",G860-H860+I860+IF(K860="N",J860,0))</f>
        <v/>
      </c>
      <c r="M860" s="16"/>
      <c r="N860" s="16"/>
      <c r="O860" s="16"/>
      <c r="P860" s="16"/>
      <c r="Q860" s="16"/>
      <c r="R860" s="16"/>
    </row>
    <row r="861" customFormat="false" ht="15" hidden="false" customHeight="false" outlineLevel="0" collapsed="false">
      <c r="A861" s="25"/>
      <c r="B861" s="16"/>
      <c r="C861" s="16"/>
      <c r="D861" s="16"/>
      <c r="E861" s="16"/>
      <c r="F861" s="16"/>
      <c r="G861" s="26"/>
      <c r="H861" s="26"/>
      <c r="I861" s="26"/>
      <c r="J861" s="26"/>
      <c r="K861" s="16"/>
      <c r="L861" s="27" t="str">
        <f aca="false">IF(G861="","",G861-H861+I861+IF(K861="N",J861,0))</f>
        <v/>
      </c>
      <c r="M861" s="16"/>
      <c r="N861" s="16"/>
      <c r="O861" s="16"/>
      <c r="P861" s="16"/>
      <c r="Q861" s="16"/>
      <c r="R861" s="16"/>
    </row>
    <row r="862" customFormat="false" ht="15" hidden="false" customHeight="false" outlineLevel="0" collapsed="false">
      <c r="A862" s="25"/>
      <c r="B862" s="16"/>
      <c r="C862" s="16"/>
      <c r="D862" s="16"/>
      <c r="E862" s="16"/>
      <c r="F862" s="16"/>
      <c r="G862" s="26"/>
      <c r="H862" s="26"/>
      <c r="I862" s="26"/>
      <c r="J862" s="26"/>
      <c r="K862" s="16"/>
      <c r="L862" s="27" t="str">
        <f aca="false">IF(G862="","",G862-H862+I862+IF(K862="N",J862,0))</f>
        <v/>
      </c>
      <c r="M862" s="16"/>
      <c r="N862" s="16"/>
      <c r="O862" s="16"/>
      <c r="P862" s="16"/>
      <c r="Q862" s="16"/>
      <c r="R862" s="16"/>
    </row>
    <row r="863" customFormat="false" ht="15" hidden="false" customHeight="false" outlineLevel="0" collapsed="false">
      <c r="A863" s="25"/>
      <c r="B863" s="16"/>
      <c r="C863" s="16"/>
      <c r="D863" s="16"/>
      <c r="E863" s="16"/>
      <c r="F863" s="16"/>
      <c r="G863" s="26"/>
      <c r="H863" s="26"/>
      <c r="I863" s="26"/>
      <c r="J863" s="26"/>
      <c r="K863" s="16"/>
      <c r="L863" s="27" t="str">
        <f aca="false">IF(G863="","",G863-H863+I863+IF(K863="N",J863,0))</f>
        <v/>
      </c>
      <c r="M863" s="16"/>
      <c r="N863" s="16"/>
      <c r="O863" s="16"/>
      <c r="P863" s="16"/>
      <c r="Q863" s="16"/>
      <c r="R863" s="16"/>
    </row>
    <row r="864" customFormat="false" ht="15" hidden="false" customHeight="false" outlineLevel="0" collapsed="false">
      <c r="A864" s="25"/>
      <c r="B864" s="16"/>
      <c r="C864" s="16"/>
      <c r="D864" s="16"/>
      <c r="E864" s="16"/>
      <c r="F864" s="16"/>
      <c r="G864" s="26"/>
      <c r="H864" s="26"/>
      <c r="I864" s="26"/>
      <c r="J864" s="26"/>
      <c r="K864" s="16"/>
      <c r="L864" s="27" t="str">
        <f aca="false">IF(G864="","",G864-H864+I864+IF(K864="N",J864,0))</f>
        <v/>
      </c>
      <c r="M864" s="16"/>
      <c r="N864" s="16"/>
      <c r="O864" s="16"/>
      <c r="P864" s="16"/>
      <c r="Q864" s="16"/>
      <c r="R864" s="16"/>
    </row>
    <row r="865" customFormat="false" ht="15" hidden="false" customHeight="false" outlineLevel="0" collapsed="false">
      <c r="A865" s="25"/>
      <c r="B865" s="16"/>
      <c r="C865" s="16"/>
      <c r="D865" s="16"/>
      <c r="E865" s="16"/>
      <c r="F865" s="16"/>
      <c r="G865" s="26"/>
      <c r="H865" s="26"/>
      <c r="I865" s="26"/>
      <c r="J865" s="26"/>
      <c r="K865" s="16"/>
      <c r="L865" s="27" t="str">
        <f aca="false">IF(G865="","",G865-H865+I865+IF(K865="N",J865,0))</f>
        <v/>
      </c>
      <c r="M865" s="16"/>
      <c r="N865" s="16"/>
      <c r="O865" s="16"/>
      <c r="P865" s="16"/>
      <c r="Q865" s="16"/>
      <c r="R865" s="16"/>
    </row>
    <row r="866" customFormat="false" ht="15" hidden="false" customHeight="false" outlineLevel="0" collapsed="false">
      <c r="A866" s="25"/>
      <c r="B866" s="16"/>
      <c r="C866" s="16"/>
      <c r="D866" s="16"/>
      <c r="E866" s="16"/>
      <c r="F866" s="16"/>
      <c r="G866" s="26"/>
      <c r="H866" s="26"/>
      <c r="I866" s="26"/>
      <c r="J866" s="26"/>
      <c r="K866" s="16"/>
      <c r="L866" s="27" t="str">
        <f aca="false">IF(G866="","",G866-H866+I866+IF(K866="N",J866,0))</f>
        <v/>
      </c>
      <c r="M866" s="16"/>
      <c r="N866" s="16"/>
      <c r="O866" s="16"/>
      <c r="P866" s="16"/>
      <c r="Q866" s="16"/>
      <c r="R866" s="16"/>
    </row>
    <row r="867" customFormat="false" ht="15" hidden="false" customHeight="false" outlineLevel="0" collapsed="false">
      <c r="A867" s="25"/>
      <c r="B867" s="16"/>
      <c r="C867" s="16"/>
      <c r="D867" s="16"/>
      <c r="E867" s="16"/>
      <c r="F867" s="16"/>
      <c r="G867" s="26"/>
      <c r="H867" s="26"/>
      <c r="I867" s="26"/>
      <c r="J867" s="26"/>
      <c r="K867" s="16"/>
      <c r="L867" s="27" t="str">
        <f aca="false">IF(G867="","",G867-H867+I867+IF(K867="N",J867,0))</f>
        <v/>
      </c>
      <c r="M867" s="16"/>
      <c r="N867" s="16"/>
      <c r="O867" s="16"/>
      <c r="P867" s="16"/>
      <c r="Q867" s="16"/>
      <c r="R867" s="16"/>
    </row>
    <row r="868" customFormat="false" ht="15" hidden="false" customHeight="false" outlineLevel="0" collapsed="false">
      <c r="A868" s="25"/>
      <c r="B868" s="16"/>
      <c r="C868" s="16"/>
      <c r="D868" s="16"/>
      <c r="E868" s="16"/>
      <c r="F868" s="16"/>
      <c r="G868" s="26"/>
      <c r="H868" s="26"/>
      <c r="I868" s="26"/>
      <c r="J868" s="26"/>
      <c r="K868" s="16"/>
      <c r="L868" s="27" t="str">
        <f aca="false">IF(G868="","",G868-H868+I868+IF(K868="N",J868,0))</f>
        <v/>
      </c>
      <c r="M868" s="16"/>
      <c r="N868" s="16"/>
      <c r="O868" s="16"/>
      <c r="P868" s="16"/>
      <c r="Q868" s="16"/>
      <c r="R868" s="16"/>
    </row>
    <row r="869" customFormat="false" ht="15" hidden="false" customHeight="false" outlineLevel="0" collapsed="false">
      <c r="A869" s="25"/>
      <c r="B869" s="16"/>
      <c r="C869" s="16"/>
      <c r="D869" s="16"/>
      <c r="E869" s="16"/>
      <c r="F869" s="16"/>
      <c r="G869" s="26"/>
      <c r="H869" s="26"/>
      <c r="I869" s="26"/>
      <c r="J869" s="26"/>
      <c r="K869" s="16"/>
      <c r="L869" s="27" t="str">
        <f aca="false">IF(G869="","",G869-H869+I869+IF(K869="N",J869,0))</f>
        <v/>
      </c>
      <c r="M869" s="16"/>
      <c r="N869" s="16"/>
      <c r="O869" s="16"/>
      <c r="P869" s="16"/>
      <c r="Q869" s="16"/>
      <c r="R869" s="16"/>
    </row>
    <row r="870" customFormat="false" ht="15" hidden="false" customHeight="false" outlineLevel="0" collapsed="false">
      <c r="A870" s="25"/>
      <c r="B870" s="16"/>
      <c r="C870" s="16"/>
      <c r="D870" s="16"/>
      <c r="E870" s="16"/>
      <c r="F870" s="16"/>
      <c r="G870" s="26"/>
      <c r="H870" s="26"/>
      <c r="I870" s="26"/>
      <c r="J870" s="26"/>
      <c r="K870" s="16"/>
      <c r="L870" s="27" t="str">
        <f aca="false">IF(G870="","",G870-H870+I870+IF(K870="N",J870,0))</f>
        <v/>
      </c>
      <c r="M870" s="16"/>
      <c r="N870" s="16"/>
      <c r="O870" s="16"/>
      <c r="P870" s="16"/>
      <c r="Q870" s="16"/>
      <c r="R870" s="16"/>
    </row>
    <row r="871" customFormat="false" ht="15" hidden="false" customHeight="false" outlineLevel="0" collapsed="false">
      <c r="A871" s="25"/>
      <c r="B871" s="16"/>
      <c r="C871" s="16"/>
      <c r="D871" s="16"/>
      <c r="E871" s="16"/>
      <c r="F871" s="16"/>
      <c r="G871" s="26"/>
      <c r="H871" s="26"/>
      <c r="I871" s="26"/>
      <c r="J871" s="26"/>
      <c r="K871" s="16"/>
      <c r="L871" s="27" t="str">
        <f aca="false">IF(G871="","",G871-H871+I871+IF(K871="N",J871,0))</f>
        <v/>
      </c>
      <c r="M871" s="16"/>
      <c r="N871" s="16"/>
      <c r="O871" s="16"/>
      <c r="P871" s="16"/>
      <c r="Q871" s="16"/>
      <c r="R871" s="16"/>
    </row>
    <row r="872" customFormat="false" ht="15" hidden="false" customHeight="false" outlineLevel="0" collapsed="false">
      <c r="A872" s="25"/>
      <c r="B872" s="16"/>
      <c r="C872" s="16"/>
      <c r="D872" s="16"/>
      <c r="E872" s="16"/>
      <c r="F872" s="16"/>
      <c r="G872" s="26"/>
      <c r="H872" s="26"/>
      <c r="I872" s="26"/>
      <c r="J872" s="26"/>
      <c r="K872" s="16"/>
      <c r="L872" s="27" t="str">
        <f aca="false">IF(G872="","",G872-H872+I872+IF(K872="N",J872,0))</f>
        <v/>
      </c>
      <c r="M872" s="16"/>
      <c r="N872" s="16"/>
      <c r="O872" s="16"/>
      <c r="P872" s="16"/>
      <c r="Q872" s="16"/>
      <c r="R872" s="16"/>
    </row>
    <row r="873" customFormat="false" ht="15" hidden="false" customHeight="false" outlineLevel="0" collapsed="false">
      <c r="A873" s="25"/>
      <c r="B873" s="16"/>
      <c r="C873" s="16"/>
      <c r="D873" s="16"/>
      <c r="E873" s="16"/>
      <c r="F873" s="16"/>
      <c r="G873" s="26"/>
      <c r="H873" s="26"/>
      <c r="I873" s="26"/>
      <c r="J873" s="26"/>
      <c r="K873" s="16"/>
      <c r="L873" s="27" t="str">
        <f aca="false">IF(G873="","",G873-H873+I873+IF(K873="N",J873,0))</f>
        <v/>
      </c>
      <c r="M873" s="16"/>
      <c r="N873" s="16"/>
      <c r="O873" s="16"/>
      <c r="P873" s="16"/>
      <c r="Q873" s="16"/>
      <c r="R873" s="16"/>
    </row>
    <row r="874" customFormat="false" ht="15" hidden="false" customHeight="false" outlineLevel="0" collapsed="false">
      <c r="A874" s="25"/>
      <c r="B874" s="16"/>
      <c r="C874" s="16"/>
      <c r="D874" s="16"/>
      <c r="E874" s="16"/>
      <c r="F874" s="16"/>
      <c r="G874" s="26"/>
      <c r="H874" s="26"/>
      <c r="I874" s="26"/>
      <c r="J874" s="26"/>
      <c r="K874" s="16"/>
      <c r="L874" s="27" t="str">
        <f aca="false">IF(G874="","",G874-H874+I874+IF(K874="N",J874,0))</f>
        <v/>
      </c>
      <c r="M874" s="16"/>
      <c r="N874" s="16"/>
      <c r="O874" s="16"/>
      <c r="P874" s="16"/>
      <c r="Q874" s="16"/>
      <c r="R874" s="16"/>
    </row>
    <row r="875" customFormat="false" ht="15" hidden="false" customHeight="false" outlineLevel="0" collapsed="false">
      <c r="A875" s="25"/>
      <c r="B875" s="16"/>
      <c r="C875" s="16"/>
      <c r="D875" s="16"/>
      <c r="E875" s="16"/>
      <c r="F875" s="16"/>
      <c r="G875" s="26"/>
      <c r="H875" s="26"/>
      <c r="I875" s="26"/>
      <c r="J875" s="26"/>
      <c r="K875" s="16"/>
      <c r="L875" s="27" t="str">
        <f aca="false">IF(G875="","",G875-H875+I875+IF(K875="N",J875,0))</f>
        <v/>
      </c>
      <c r="M875" s="16"/>
      <c r="N875" s="16"/>
      <c r="O875" s="16"/>
      <c r="P875" s="16"/>
      <c r="Q875" s="16"/>
      <c r="R875" s="16"/>
    </row>
    <row r="876" customFormat="false" ht="15" hidden="false" customHeight="false" outlineLevel="0" collapsed="false">
      <c r="A876" s="25"/>
      <c r="B876" s="16"/>
      <c r="C876" s="16"/>
      <c r="D876" s="16"/>
      <c r="E876" s="16"/>
      <c r="F876" s="16"/>
      <c r="G876" s="26"/>
      <c r="H876" s="26"/>
      <c r="I876" s="26"/>
      <c r="J876" s="26"/>
      <c r="K876" s="16"/>
      <c r="L876" s="27" t="str">
        <f aca="false">IF(G876="","",G876-H876+I876+IF(K876="N",J876,0))</f>
        <v/>
      </c>
      <c r="M876" s="16"/>
      <c r="N876" s="16"/>
      <c r="O876" s="16"/>
      <c r="P876" s="16"/>
      <c r="Q876" s="16"/>
      <c r="R876" s="16"/>
    </row>
    <row r="877" customFormat="false" ht="15" hidden="false" customHeight="false" outlineLevel="0" collapsed="false">
      <c r="A877" s="25"/>
      <c r="B877" s="16"/>
      <c r="C877" s="16"/>
      <c r="D877" s="16"/>
      <c r="E877" s="16"/>
      <c r="F877" s="16"/>
      <c r="G877" s="26"/>
      <c r="H877" s="26"/>
      <c r="I877" s="26"/>
      <c r="J877" s="26"/>
      <c r="K877" s="16"/>
      <c r="L877" s="27" t="str">
        <f aca="false">IF(G877="","",G877-H877+I877+IF(K877="N",J877,0))</f>
        <v/>
      </c>
      <c r="M877" s="16"/>
      <c r="N877" s="16"/>
      <c r="O877" s="16"/>
      <c r="P877" s="16"/>
      <c r="Q877" s="16"/>
      <c r="R877" s="16"/>
    </row>
    <row r="878" customFormat="false" ht="15" hidden="false" customHeight="false" outlineLevel="0" collapsed="false">
      <c r="A878" s="25"/>
      <c r="B878" s="16"/>
      <c r="C878" s="16"/>
      <c r="D878" s="16"/>
      <c r="E878" s="16"/>
      <c r="F878" s="16"/>
      <c r="G878" s="26"/>
      <c r="H878" s="26"/>
      <c r="I878" s="26"/>
      <c r="J878" s="26"/>
      <c r="K878" s="16"/>
      <c r="L878" s="27" t="str">
        <f aca="false">IF(G878="","",G878-H878+I878+IF(K878="N",J878,0))</f>
        <v/>
      </c>
      <c r="M878" s="16"/>
      <c r="N878" s="16"/>
      <c r="O878" s="16"/>
      <c r="P878" s="16"/>
      <c r="Q878" s="16"/>
      <c r="R878" s="16"/>
    </row>
    <row r="879" customFormat="false" ht="15" hidden="false" customHeight="false" outlineLevel="0" collapsed="false">
      <c r="A879" s="25"/>
      <c r="B879" s="16"/>
      <c r="C879" s="16"/>
      <c r="D879" s="16"/>
      <c r="E879" s="16"/>
      <c r="F879" s="16"/>
      <c r="G879" s="26"/>
      <c r="H879" s="26"/>
      <c r="I879" s="26"/>
      <c r="J879" s="26"/>
      <c r="K879" s="16"/>
      <c r="L879" s="27" t="str">
        <f aca="false">IF(G879="","",G879-H879+I879+IF(K879="N",J879,0))</f>
        <v/>
      </c>
      <c r="M879" s="16"/>
      <c r="N879" s="16"/>
      <c r="O879" s="16"/>
      <c r="P879" s="16"/>
      <c r="Q879" s="16"/>
      <c r="R879" s="16"/>
    </row>
    <row r="880" customFormat="false" ht="15" hidden="false" customHeight="false" outlineLevel="0" collapsed="false">
      <c r="A880" s="25"/>
      <c r="B880" s="16"/>
      <c r="C880" s="16"/>
      <c r="D880" s="16"/>
      <c r="E880" s="16"/>
      <c r="F880" s="16"/>
      <c r="G880" s="26"/>
      <c r="H880" s="26"/>
      <c r="I880" s="26"/>
      <c r="J880" s="26"/>
      <c r="K880" s="16"/>
      <c r="L880" s="27" t="str">
        <f aca="false">IF(G880="","",G880-H880+I880+IF(K880="N",J880,0))</f>
        <v/>
      </c>
      <c r="M880" s="16"/>
      <c r="N880" s="16"/>
      <c r="O880" s="16"/>
      <c r="P880" s="16"/>
      <c r="Q880" s="16"/>
      <c r="R880" s="16"/>
    </row>
    <row r="881" customFormat="false" ht="15" hidden="false" customHeight="false" outlineLevel="0" collapsed="false">
      <c r="A881" s="25"/>
      <c r="B881" s="16"/>
      <c r="C881" s="16"/>
      <c r="D881" s="16"/>
      <c r="E881" s="16"/>
      <c r="F881" s="16"/>
      <c r="G881" s="26"/>
      <c r="H881" s="26"/>
      <c r="I881" s="26"/>
      <c r="J881" s="26"/>
      <c r="K881" s="16"/>
      <c r="L881" s="27" t="str">
        <f aca="false">IF(G881="","",G881-H881+I881+IF(K881="N",J881,0))</f>
        <v/>
      </c>
      <c r="M881" s="16"/>
      <c r="N881" s="16"/>
      <c r="O881" s="16"/>
      <c r="P881" s="16"/>
      <c r="Q881" s="16"/>
      <c r="R881" s="16"/>
    </row>
    <row r="882" customFormat="false" ht="15" hidden="false" customHeight="false" outlineLevel="0" collapsed="false">
      <c r="A882" s="25"/>
      <c r="B882" s="16"/>
      <c r="C882" s="16"/>
      <c r="D882" s="16"/>
      <c r="E882" s="16"/>
      <c r="F882" s="16"/>
      <c r="G882" s="26"/>
      <c r="H882" s="26"/>
      <c r="I882" s="26"/>
      <c r="J882" s="26"/>
      <c r="K882" s="16"/>
      <c r="L882" s="27" t="str">
        <f aca="false">IF(G882="","",G882-H882+I882+IF(K882="N",J882,0))</f>
        <v/>
      </c>
      <c r="M882" s="16"/>
      <c r="N882" s="16"/>
      <c r="O882" s="16"/>
      <c r="P882" s="16"/>
      <c r="Q882" s="16"/>
      <c r="R882" s="16"/>
    </row>
    <row r="883" customFormat="false" ht="15" hidden="false" customHeight="false" outlineLevel="0" collapsed="false">
      <c r="A883" s="25"/>
      <c r="B883" s="16"/>
      <c r="C883" s="16"/>
      <c r="D883" s="16"/>
      <c r="E883" s="16"/>
      <c r="F883" s="16"/>
      <c r="G883" s="26"/>
      <c r="H883" s="26"/>
      <c r="I883" s="26"/>
      <c r="J883" s="26"/>
      <c r="K883" s="16"/>
      <c r="L883" s="27" t="str">
        <f aca="false">IF(G883="","",G883-H883+I883+IF(K883="N",J883,0))</f>
        <v/>
      </c>
      <c r="M883" s="16"/>
      <c r="N883" s="16"/>
      <c r="O883" s="16"/>
      <c r="P883" s="16"/>
      <c r="Q883" s="16"/>
      <c r="R883" s="16"/>
    </row>
    <row r="884" customFormat="false" ht="15" hidden="false" customHeight="false" outlineLevel="0" collapsed="false">
      <c r="A884" s="25"/>
      <c r="B884" s="16"/>
      <c r="C884" s="16"/>
      <c r="D884" s="16"/>
      <c r="E884" s="16"/>
      <c r="F884" s="16"/>
      <c r="G884" s="26"/>
      <c r="H884" s="26"/>
      <c r="I884" s="26"/>
      <c r="J884" s="26"/>
      <c r="K884" s="16"/>
      <c r="L884" s="27" t="str">
        <f aca="false">IF(G884="","",G884-H884+I884+IF(K884="N",J884,0))</f>
        <v/>
      </c>
      <c r="M884" s="16"/>
      <c r="N884" s="16"/>
      <c r="O884" s="16"/>
      <c r="P884" s="16"/>
      <c r="Q884" s="16"/>
      <c r="R884" s="16"/>
    </row>
    <row r="885" customFormat="false" ht="15" hidden="false" customHeight="false" outlineLevel="0" collapsed="false">
      <c r="A885" s="25"/>
      <c r="B885" s="16"/>
      <c r="C885" s="16"/>
      <c r="D885" s="16"/>
      <c r="E885" s="16"/>
      <c r="F885" s="16"/>
      <c r="G885" s="26"/>
      <c r="H885" s="26"/>
      <c r="I885" s="26"/>
      <c r="J885" s="26"/>
      <c r="K885" s="16"/>
      <c r="L885" s="27" t="str">
        <f aca="false">IF(G885="","",G885-H885+I885+IF(K885="N",J885,0))</f>
        <v/>
      </c>
      <c r="M885" s="16"/>
      <c r="N885" s="16"/>
      <c r="O885" s="16"/>
      <c r="P885" s="16"/>
      <c r="Q885" s="16"/>
      <c r="R885" s="16"/>
    </row>
    <row r="886" customFormat="false" ht="15" hidden="false" customHeight="false" outlineLevel="0" collapsed="false">
      <c r="A886" s="25"/>
      <c r="B886" s="16"/>
      <c r="C886" s="16"/>
      <c r="D886" s="16"/>
      <c r="E886" s="16"/>
      <c r="F886" s="16"/>
      <c r="G886" s="26"/>
      <c r="H886" s="26"/>
      <c r="I886" s="26"/>
      <c r="J886" s="26"/>
      <c r="K886" s="16"/>
      <c r="L886" s="27" t="str">
        <f aca="false">IF(G886="","",G886-H886+I886+IF(K886="N",J886,0))</f>
        <v/>
      </c>
      <c r="M886" s="16"/>
      <c r="N886" s="16"/>
      <c r="O886" s="16"/>
      <c r="P886" s="16"/>
      <c r="Q886" s="16"/>
      <c r="R886" s="16"/>
    </row>
    <row r="887" customFormat="false" ht="15" hidden="false" customHeight="false" outlineLevel="0" collapsed="false">
      <c r="A887" s="25"/>
      <c r="B887" s="16"/>
      <c r="C887" s="16"/>
      <c r="D887" s="16"/>
      <c r="E887" s="16"/>
      <c r="F887" s="16"/>
      <c r="G887" s="26"/>
      <c r="H887" s="26"/>
      <c r="I887" s="26"/>
      <c r="J887" s="26"/>
      <c r="K887" s="16"/>
      <c r="L887" s="27" t="str">
        <f aca="false">IF(G887="","",G887-H887+I887+IF(K887="N",J887,0))</f>
        <v/>
      </c>
      <c r="M887" s="16"/>
      <c r="N887" s="16"/>
      <c r="O887" s="16"/>
      <c r="P887" s="16"/>
      <c r="Q887" s="16"/>
      <c r="R887" s="16"/>
    </row>
    <row r="888" customFormat="false" ht="15" hidden="false" customHeight="false" outlineLevel="0" collapsed="false">
      <c r="A888" s="25"/>
      <c r="B888" s="16"/>
      <c r="C888" s="16"/>
      <c r="D888" s="16"/>
      <c r="E888" s="16"/>
      <c r="F888" s="16"/>
      <c r="G888" s="26"/>
      <c r="H888" s="26"/>
      <c r="I888" s="26"/>
      <c r="J888" s="26"/>
      <c r="K888" s="16"/>
      <c r="L888" s="27" t="str">
        <f aca="false">IF(G888="","",G888-H888+I888+IF(K888="N",J888,0))</f>
        <v/>
      </c>
      <c r="M888" s="16"/>
      <c r="N888" s="16"/>
      <c r="O888" s="16"/>
      <c r="P888" s="16"/>
      <c r="Q888" s="16"/>
      <c r="R888" s="16"/>
    </row>
    <row r="889" customFormat="false" ht="15" hidden="false" customHeight="false" outlineLevel="0" collapsed="false">
      <c r="A889" s="25"/>
      <c r="B889" s="16"/>
      <c r="C889" s="16"/>
      <c r="D889" s="16"/>
      <c r="E889" s="16"/>
      <c r="F889" s="16"/>
      <c r="G889" s="26"/>
      <c r="H889" s="26"/>
      <c r="I889" s="26"/>
      <c r="J889" s="26"/>
      <c r="K889" s="16"/>
      <c r="L889" s="27" t="str">
        <f aca="false">IF(G889="","",G889-H889+I889+IF(K889="N",J889,0))</f>
        <v/>
      </c>
      <c r="M889" s="16"/>
      <c r="N889" s="16"/>
      <c r="O889" s="16"/>
      <c r="P889" s="16"/>
      <c r="Q889" s="16"/>
      <c r="R889" s="16"/>
    </row>
    <row r="890" customFormat="false" ht="15" hidden="false" customHeight="false" outlineLevel="0" collapsed="false">
      <c r="A890" s="25"/>
      <c r="B890" s="16"/>
      <c r="C890" s="16"/>
      <c r="D890" s="16"/>
      <c r="E890" s="16"/>
      <c r="F890" s="16"/>
      <c r="G890" s="26"/>
      <c r="H890" s="26"/>
      <c r="I890" s="26"/>
      <c r="J890" s="26"/>
      <c r="K890" s="16"/>
      <c r="L890" s="27" t="str">
        <f aca="false">IF(G890="","",G890-H890+I890+IF(K890="N",J890,0))</f>
        <v/>
      </c>
      <c r="M890" s="16"/>
      <c r="N890" s="16"/>
      <c r="O890" s="16"/>
      <c r="P890" s="16"/>
      <c r="Q890" s="16"/>
      <c r="R890" s="16"/>
    </row>
    <row r="891" customFormat="false" ht="15" hidden="false" customHeight="false" outlineLevel="0" collapsed="false">
      <c r="A891" s="25"/>
      <c r="B891" s="16"/>
      <c r="C891" s="16"/>
      <c r="D891" s="16"/>
      <c r="E891" s="16"/>
      <c r="F891" s="16"/>
      <c r="G891" s="26"/>
      <c r="H891" s="26"/>
      <c r="I891" s="26"/>
      <c r="J891" s="26"/>
      <c r="K891" s="16"/>
      <c r="L891" s="27" t="str">
        <f aca="false">IF(G891="","",G891-H891+I891+IF(K891="N",J891,0))</f>
        <v/>
      </c>
      <c r="M891" s="16"/>
      <c r="N891" s="16"/>
      <c r="O891" s="16"/>
      <c r="P891" s="16"/>
      <c r="Q891" s="16"/>
      <c r="R891" s="16"/>
    </row>
    <row r="892" customFormat="false" ht="15" hidden="false" customHeight="false" outlineLevel="0" collapsed="false">
      <c r="A892" s="25"/>
      <c r="B892" s="16"/>
      <c r="C892" s="16"/>
      <c r="D892" s="16"/>
      <c r="E892" s="16"/>
      <c r="F892" s="16"/>
      <c r="G892" s="26"/>
      <c r="H892" s="26"/>
      <c r="I892" s="26"/>
      <c r="J892" s="26"/>
      <c r="K892" s="16"/>
      <c r="L892" s="27" t="str">
        <f aca="false">IF(G892="","",G892-H892+I892+IF(K892="N",J892,0))</f>
        <v/>
      </c>
      <c r="M892" s="16"/>
      <c r="N892" s="16"/>
      <c r="O892" s="16"/>
      <c r="P892" s="16"/>
      <c r="Q892" s="16"/>
      <c r="R892" s="16"/>
    </row>
    <row r="893" customFormat="false" ht="15" hidden="false" customHeight="false" outlineLevel="0" collapsed="false">
      <c r="A893" s="25"/>
      <c r="B893" s="16"/>
      <c r="C893" s="16"/>
      <c r="D893" s="16"/>
      <c r="E893" s="16"/>
      <c r="F893" s="16"/>
      <c r="G893" s="26"/>
      <c r="H893" s="26"/>
      <c r="I893" s="26"/>
      <c r="J893" s="26"/>
      <c r="K893" s="16"/>
      <c r="L893" s="27" t="str">
        <f aca="false">IF(G893="","",G893-H893+I893+IF(K893="N",J893,0))</f>
        <v/>
      </c>
      <c r="M893" s="16"/>
      <c r="N893" s="16"/>
      <c r="O893" s="16"/>
      <c r="P893" s="16"/>
      <c r="Q893" s="16"/>
      <c r="R893" s="16"/>
    </row>
    <row r="894" customFormat="false" ht="15" hidden="false" customHeight="false" outlineLevel="0" collapsed="false">
      <c r="A894" s="25"/>
      <c r="B894" s="16"/>
      <c r="C894" s="16"/>
      <c r="D894" s="16"/>
      <c r="E894" s="16"/>
      <c r="F894" s="16"/>
      <c r="G894" s="26"/>
      <c r="H894" s="26"/>
      <c r="I894" s="26"/>
      <c r="J894" s="26"/>
      <c r="K894" s="16"/>
      <c r="L894" s="27" t="str">
        <f aca="false">IF(G894="","",G894-H894+I894+IF(K894="N",J894,0))</f>
        <v/>
      </c>
      <c r="M894" s="16"/>
      <c r="N894" s="16"/>
      <c r="O894" s="16"/>
      <c r="P894" s="16"/>
      <c r="Q894" s="16"/>
      <c r="R894" s="16"/>
    </row>
    <row r="895" customFormat="false" ht="15" hidden="false" customHeight="false" outlineLevel="0" collapsed="false">
      <c r="A895" s="25"/>
      <c r="B895" s="16"/>
      <c r="C895" s="16"/>
      <c r="D895" s="16"/>
      <c r="E895" s="16"/>
      <c r="F895" s="16"/>
      <c r="G895" s="26"/>
      <c r="H895" s="26"/>
      <c r="I895" s="26"/>
      <c r="J895" s="26"/>
      <c r="K895" s="16"/>
      <c r="L895" s="27" t="str">
        <f aca="false">IF(G895="","",G895-H895+I895+IF(K895="N",J895,0))</f>
        <v/>
      </c>
      <c r="M895" s="16"/>
      <c r="N895" s="16"/>
      <c r="O895" s="16"/>
      <c r="P895" s="16"/>
      <c r="Q895" s="16"/>
      <c r="R895" s="16"/>
    </row>
    <row r="896" customFormat="false" ht="15" hidden="false" customHeight="false" outlineLevel="0" collapsed="false">
      <c r="A896" s="25"/>
      <c r="B896" s="16"/>
      <c r="C896" s="16"/>
      <c r="D896" s="16"/>
      <c r="E896" s="16"/>
      <c r="F896" s="16"/>
      <c r="G896" s="26"/>
      <c r="H896" s="26"/>
      <c r="I896" s="26"/>
      <c r="J896" s="26"/>
      <c r="K896" s="16"/>
      <c r="L896" s="27" t="str">
        <f aca="false">IF(G896="","",G896-H896+I896+IF(K896="N",J896,0))</f>
        <v/>
      </c>
      <c r="M896" s="16"/>
      <c r="N896" s="16"/>
      <c r="O896" s="16"/>
      <c r="P896" s="16"/>
      <c r="Q896" s="16"/>
      <c r="R896" s="16"/>
    </row>
    <row r="897" customFormat="false" ht="15" hidden="false" customHeight="false" outlineLevel="0" collapsed="false">
      <c r="A897" s="25"/>
      <c r="B897" s="16"/>
      <c r="C897" s="16"/>
      <c r="D897" s="16"/>
      <c r="E897" s="16"/>
      <c r="F897" s="16"/>
      <c r="G897" s="26"/>
      <c r="H897" s="26"/>
      <c r="I897" s="26"/>
      <c r="J897" s="26"/>
      <c r="K897" s="16"/>
      <c r="L897" s="27" t="str">
        <f aca="false">IF(G897="","",G897-H897+I897+IF(K897="N",J897,0))</f>
        <v/>
      </c>
      <c r="M897" s="16"/>
      <c r="N897" s="16"/>
      <c r="O897" s="16"/>
      <c r="P897" s="16"/>
      <c r="Q897" s="16"/>
      <c r="R897" s="16"/>
    </row>
    <row r="898" customFormat="false" ht="15" hidden="false" customHeight="false" outlineLevel="0" collapsed="false">
      <c r="A898" s="25"/>
      <c r="B898" s="16"/>
      <c r="C898" s="16"/>
      <c r="D898" s="16"/>
      <c r="E898" s="16"/>
      <c r="F898" s="16"/>
      <c r="G898" s="26"/>
      <c r="H898" s="26"/>
      <c r="I898" s="26"/>
      <c r="J898" s="26"/>
      <c r="K898" s="16"/>
      <c r="L898" s="27" t="str">
        <f aca="false">IF(G898="","",G898-H898+I898+IF(K898="N",J898,0))</f>
        <v/>
      </c>
      <c r="M898" s="16"/>
      <c r="N898" s="16"/>
      <c r="O898" s="16"/>
      <c r="P898" s="16"/>
      <c r="Q898" s="16"/>
      <c r="R898" s="16"/>
    </row>
    <row r="899" customFormat="false" ht="15" hidden="false" customHeight="false" outlineLevel="0" collapsed="false">
      <c r="A899" s="25"/>
      <c r="B899" s="16"/>
      <c r="C899" s="16"/>
      <c r="D899" s="16"/>
      <c r="E899" s="16"/>
      <c r="F899" s="16"/>
      <c r="G899" s="26"/>
      <c r="H899" s="26"/>
      <c r="I899" s="26"/>
      <c r="J899" s="26"/>
      <c r="K899" s="16"/>
      <c r="L899" s="27" t="str">
        <f aca="false">IF(G899="","",G899-H899+I899+IF(K899="N",J899,0))</f>
        <v/>
      </c>
      <c r="M899" s="16"/>
      <c r="N899" s="16"/>
      <c r="O899" s="16"/>
      <c r="P899" s="16"/>
      <c r="Q899" s="16"/>
      <c r="R899" s="16"/>
    </row>
    <row r="900" customFormat="false" ht="15" hidden="false" customHeight="false" outlineLevel="0" collapsed="false">
      <c r="A900" s="25"/>
      <c r="B900" s="16"/>
      <c r="C900" s="16"/>
      <c r="D900" s="16"/>
      <c r="E900" s="16"/>
      <c r="F900" s="16"/>
      <c r="G900" s="26"/>
      <c r="H900" s="26"/>
      <c r="I900" s="26"/>
      <c r="J900" s="26"/>
      <c r="K900" s="16"/>
      <c r="L900" s="27" t="str">
        <f aca="false">IF(G900="","",G900-H900+I900+IF(K900="N",J900,0))</f>
        <v/>
      </c>
      <c r="M900" s="16"/>
      <c r="N900" s="16"/>
      <c r="O900" s="16"/>
      <c r="P900" s="16"/>
      <c r="Q900" s="16"/>
      <c r="R900" s="16"/>
    </row>
    <row r="901" customFormat="false" ht="15" hidden="false" customHeight="false" outlineLevel="0" collapsed="false">
      <c r="A901" s="25"/>
      <c r="B901" s="16"/>
      <c r="C901" s="16"/>
      <c r="D901" s="16"/>
      <c r="E901" s="16"/>
      <c r="F901" s="16"/>
      <c r="G901" s="26"/>
      <c r="H901" s="26"/>
      <c r="I901" s="26"/>
      <c r="J901" s="26"/>
      <c r="K901" s="16"/>
      <c r="L901" s="27" t="str">
        <f aca="false">IF(G901="","",G901-H901+I901+IF(K901="N",J901,0))</f>
        <v/>
      </c>
      <c r="M901" s="16"/>
      <c r="N901" s="16"/>
      <c r="O901" s="16"/>
      <c r="P901" s="16"/>
      <c r="Q901" s="16"/>
      <c r="R901" s="16"/>
    </row>
    <row r="902" customFormat="false" ht="15" hidden="false" customHeight="false" outlineLevel="0" collapsed="false">
      <c r="A902" s="25"/>
      <c r="B902" s="16"/>
      <c r="C902" s="16"/>
      <c r="D902" s="16"/>
      <c r="E902" s="16"/>
      <c r="F902" s="16"/>
      <c r="G902" s="26"/>
      <c r="H902" s="26"/>
      <c r="I902" s="26"/>
      <c r="J902" s="26"/>
      <c r="K902" s="16"/>
      <c r="L902" s="27" t="str">
        <f aca="false">IF(G902="","",G902-H902+I902+IF(K902="N",J902,0))</f>
        <v/>
      </c>
      <c r="M902" s="16"/>
      <c r="N902" s="16"/>
      <c r="O902" s="16"/>
      <c r="P902" s="16"/>
      <c r="Q902" s="16"/>
      <c r="R902" s="16"/>
    </row>
    <row r="903" customFormat="false" ht="15" hidden="false" customHeight="false" outlineLevel="0" collapsed="false">
      <c r="A903" s="25"/>
      <c r="B903" s="16"/>
      <c r="C903" s="16"/>
      <c r="D903" s="16"/>
      <c r="E903" s="16"/>
      <c r="F903" s="16"/>
      <c r="G903" s="26"/>
      <c r="H903" s="26"/>
      <c r="I903" s="26"/>
      <c r="J903" s="26"/>
      <c r="K903" s="16"/>
      <c r="L903" s="27" t="str">
        <f aca="false">IF(G903="","",G903-H903+I903+IF(K903="N",J903,0))</f>
        <v/>
      </c>
      <c r="M903" s="16"/>
      <c r="N903" s="16"/>
      <c r="O903" s="16"/>
      <c r="P903" s="16"/>
      <c r="Q903" s="16"/>
      <c r="R903" s="16"/>
    </row>
    <row r="904" customFormat="false" ht="15" hidden="false" customHeight="false" outlineLevel="0" collapsed="false">
      <c r="A904" s="25"/>
      <c r="B904" s="16"/>
      <c r="C904" s="16"/>
      <c r="D904" s="16"/>
      <c r="E904" s="16"/>
      <c r="F904" s="16"/>
      <c r="G904" s="26"/>
      <c r="H904" s="26"/>
      <c r="I904" s="26"/>
      <c r="J904" s="26"/>
      <c r="K904" s="16"/>
      <c r="L904" s="27" t="str">
        <f aca="false">IF(G904="","",G904-H904+I904+IF(K904="N",J904,0))</f>
        <v/>
      </c>
      <c r="M904" s="16"/>
      <c r="N904" s="16"/>
      <c r="O904" s="16"/>
      <c r="P904" s="16"/>
      <c r="Q904" s="16"/>
      <c r="R904" s="16"/>
    </row>
    <row r="905" customFormat="false" ht="15" hidden="false" customHeight="false" outlineLevel="0" collapsed="false">
      <c r="A905" s="25"/>
      <c r="B905" s="16"/>
      <c r="C905" s="16"/>
      <c r="D905" s="16"/>
      <c r="E905" s="16"/>
      <c r="F905" s="16"/>
      <c r="G905" s="26"/>
      <c r="H905" s="26"/>
      <c r="I905" s="26"/>
      <c r="J905" s="26"/>
      <c r="K905" s="16"/>
      <c r="L905" s="27" t="str">
        <f aca="false">IF(G905="","",G905-H905+I905+IF(K905="N",J905,0))</f>
        <v/>
      </c>
      <c r="M905" s="16"/>
      <c r="N905" s="16"/>
      <c r="O905" s="16"/>
      <c r="P905" s="16"/>
      <c r="Q905" s="16"/>
      <c r="R905" s="16"/>
    </row>
    <row r="906" customFormat="false" ht="15" hidden="false" customHeight="false" outlineLevel="0" collapsed="false">
      <c r="A906" s="25"/>
      <c r="B906" s="16"/>
      <c r="C906" s="16"/>
      <c r="D906" s="16"/>
      <c r="E906" s="16"/>
      <c r="F906" s="16"/>
      <c r="G906" s="26"/>
      <c r="H906" s="26"/>
      <c r="I906" s="26"/>
      <c r="J906" s="26"/>
      <c r="K906" s="16"/>
      <c r="L906" s="27" t="str">
        <f aca="false">IF(G906="","",G906-H906+I906+IF(K906="N",J906,0))</f>
        <v/>
      </c>
      <c r="M906" s="16"/>
      <c r="N906" s="16"/>
      <c r="O906" s="16"/>
      <c r="P906" s="16"/>
      <c r="Q906" s="16"/>
      <c r="R906" s="16"/>
    </row>
    <row r="907" customFormat="false" ht="15" hidden="false" customHeight="false" outlineLevel="0" collapsed="false">
      <c r="A907" s="25"/>
      <c r="B907" s="16"/>
      <c r="C907" s="16"/>
      <c r="D907" s="16"/>
      <c r="E907" s="16"/>
      <c r="F907" s="16"/>
      <c r="G907" s="26"/>
      <c r="H907" s="26"/>
      <c r="I907" s="26"/>
      <c r="J907" s="26"/>
      <c r="K907" s="16"/>
      <c r="L907" s="27" t="str">
        <f aca="false">IF(G907="","",G907-H907+I907+IF(K907="N",J907,0))</f>
        <v/>
      </c>
      <c r="M907" s="16"/>
      <c r="N907" s="16"/>
      <c r="O907" s="16"/>
      <c r="P907" s="16"/>
      <c r="Q907" s="16"/>
      <c r="R907" s="16"/>
    </row>
    <row r="908" customFormat="false" ht="15" hidden="false" customHeight="false" outlineLevel="0" collapsed="false">
      <c r="A908" s="25"/>
      <c r="B908" s="16"/>
      <c r="C908" s="16"/>
      <c r="D908" s="16"/>
      <c r="E908" s="16"/>
      <c r="F908" s="16"/>
      <c r="G908" s="26"/>
      <c r="H908" s="26"/>
      <c r="I908" s="26"/>
      <c r="J908" s="26"/>
      <c r="K908" s="16"/>
      <c r="L908" s="27" t="str">
        <f aca="false">IF(G908="","",G908-H908+I908+IF(K908="N",J908,0))</f>
        <v/>
      </c>
      <c r="M908" s="16"/>
      <c r="N908" s="16"/>
      <c r="O908" s="16"/>
      <c r="P908" s="16"/>
      <c r="Q908" s="16"/>
      <c r="R908" s="16"/>
    </row>
    <row r="909" customFormat="false" ht="15" hidden="false" customHeight="false" outlineLevel="0" collapsed="false">
      <c r="A909" s="25"/>
      <c r="B909" s="16"/>
      <c r="C909" s="16"/>
      <c r="D909" s="16"/>
      <c r="E909" s="16"/>
      <c r="F909" s="16"/>
      <c r="G909" s="26"/>
      <c r="H909" s="26"/>
      <c r="I909" s="26"/>
      <c r="J909" s="26"/>
      <c r="K909" s="16"/>
      <c r="L909" s="27" t="str">
        <f aca="false">IF(G909="","",G909-H909+I909+IF(K909="N",J909,0))</f>
        <v/>
      </c>
      <c r="M909" s="16"/>
      <c r="N909" s="16"/>
      <c r="O909" s="16"/>
      <c r="P909" s="16"/>
      <c r="Q909" s="16"/>
      <c r="R909" s="16"/>
    </row>
    <row r="910" customFormat="false" ht="15" hidden="false" customHeight="false" outlineLevel="0" collapsed="false">
      <c r="A910" s="25"/>
      <c r="B910" s="16"/>
      <c r="C910" s="16"/>
      <c r="D910" s="16"/>
      <c r="E910" s="16"/>
      <c r="F910" s="16"/>
      <c r="G910" s="26"/>
      <c r="H910" s="26"/>
      <c r="I910" s="26"/>
      <c r="J910" s="26"/>
      <c r="K910" s="16"/>
      <c r="L910" s="27" t="str">
        <f aca="false">IF(G910="","",G910-H910+I910+IF(K910="N",J910,0))</f>
        <v/>
      </c>
      <c r="M910" s="16"/>
      <c r="N910" s="16"/>
      <c r="O910" s="16"/>
      <c r="P910" s="16"/>
      <c r="Q910" s="16"/>
      <c r="R910" s="16"/>
    </row>
    <row r="911" customFormat="false" ht="15" hidden="false" customHeight="false" outlineLevel="0" collapsed="false">
      <c r="A911" s="25"/>
      <c r="B911" s="16"/>
      <c r="C911" s="16"/>
      <c r="D911" s="16"/>
      <c r="E911" s="16"/>
      <c r="F911" s="16"/>
      <c r="G911" s="26"/>
      <c r="H911" s="26"/>
      <c r="I911" s="26"/>
      <c r="J911" s="26"/>
      <c r="K911" s="16"/>
      <c r="L911" s="27" t="str">
        <f aca="false">IF(G911="","",G911-H911+I911+IF(K911="N",J911,0))</f>
        <v/>
      </c>
      <c r="M911" s="16"/>
      <c r="N911" s="16"/>
      <c r="O911" s="16"/>
      <c r="P911" s="16"/>
      <c r="Q911" s="16"/>
      <c r="R911" s="16"/>
    </row>
    <row r="912" customFormat="false" ht="15" hidden="false" customHeight="false" outlineLevel="0" collapsed="false">
      <c r="A912" s="25"/>
      <c r="B912" s="16"/>
      <c r="C912" s="16"/>
      <c r="D912" s="16"/>
      <c r="E912" s="16"/>
      <c r="F912" s="16"/>
      <c r="G912" s="26"/>
      <c r="H912" s="26"/>
      <c r="I912" s="26"/>
      <c r="J912" s="26"/>
      <c r="K912" s="16"/>
      <c r="L912" s="27" t="str">
        <f aca="false">IF(G912="","",G912-H912+I912+IF(K912="N",J912,0))</f>
        <v/>
      </c>
      <c r="M912" s="16"/>
      <c r="N912" s="16"/>
      <c r="O912" s="16"/>
      <c r="P912" s="16"/>
      <c r="Q912" s="16"/>
      <c r="R912" s="16"/>
    </row>
    <row r="913" customFormat="false" ht="15" hidden="false" customHeight="false" outlineLevel="0" collapsed="false">
      <c r="A913" s="25"/>
      <c r="B913" s="16"/>
      <c r="C913" s="16"/>
      <c r="D913" s="16"/>
      <c r="E913" s="16"/>
      <c r="F913" s="16"/>
      <c r="G913" s="26"/>
      <c r="H913" s="26"/>
      <c r="I913" s="26"/>
      <c r="J913" s="26"/>
      <c r="K913" s="16"/>
      <c r="L913" s="27" t="str">
        <f aca="false">IF(G913="","",G913-H913+I913+IF(K913="N",J913,0))</f>
        <v/>
      </c>
      <c r="M913" s="16"/>
      <c r="N913" s="16"/>
      <c r="O913" s="16"/>
      <c r="P913" s="16"/>
      <c r="Q913" s="16"/>
      <c r="R913" s="16"/>
    </row>
    <row r="914" customFormat="false" ht="15" hidden="false" customHeight="false" outlineLevel="0" collapsed="false">
      <c r="A914" s="25"/>
      <c r="B914" s="16"/>
      <c r="C914" s="16"/>
      <c r="D914" s="16"/>
      <c r="E914" s="16"/>
      <c r="F914" s="16"/>
      <c r="G914" s="26"/>
      <c r="H914" s="26"/>
      <c r="I914" s="26"/>
      <c r="J914" s="26"/>
      <c r="K914" s="16"/>
      <c r="L914" s="27" t="str">
        <f aca="false">IF(G914="","",G914-H914+I914+IF(K914="N",J914,0))</f>
        <v/>
      </c>
      <c r="M914" s="16"/>
      <c r="N914" s="16"/>
      <c r="O914" s="16"/>
      <c r="P914" s="16"/>
      <c r="Q914" s="16"/>
      <c r="R914" s="16"/>
    </row>
    <row r="915" customFormat="false" ht="15" hidden="false" customHeight="false" outlineLevel="0" collapsed="false">
      <c r="A915" s="25"/>
      <c r="B915" s="16"/>
      <c r="C915" s="16"/>
      <c r="D915" s="16"/>
      <c r="E915" s="16"/>
      <c r="F915" s="16"/>
      <c r="G915" s="26"/>
      <c r="H915" s="26"/>
      <c r="I915" s="26"/>
      <c r="J915" s="26"/>
      <c r="K915" s="16"/>
      <c r="L915" s="27" t="str">
        <f aca="false">IF(G915="","",G915-H915+I915+IF(K915="N",J915,0))</f>
        <v/>
      </c>
      <c r="M915" s="16"/>
      <c r="N915" s="16"/>
      <c r="O915" s="16"/>
      <c r="P915" s="16"/>
      <c r="Q915" s="16"/>
      <c r="R915" s="16"/>
    </row>
    <row r="916" customFormat="false" ht="15" hidden="false" customHeight="false" outlineLevel="0" collapsed="false">
      <c r="A916" s="25"/>
      <c r="B916" s="16"/>
      <c r="C916" s="16"/>
      <c r="D916" s="16"/>
      <c r="E916" s="16"/>
      <c r="F916" s="16"/>
      <c r="G916" s="26"/>
      <c r="H916" s="26"/>
      <c r="I916" s="26"/>
      <c r="J916" s="26"/>
      <c r="K916" s="16"/>
      <c r="L916" s="27" t="str">
        <f aca="false">IF(G916="","",G916-H916+I916+IF(K916="N",J916,0))</f>
        <v/>
      </c>
      <c r="M916" s="16"/>
      <c r="N916" s="16"/>
      <c r="O916" s="16"/>
      <c r="P916" s="16"/>
      <c r="Q916" s="16"/>
      <c r="R916" s="16"/>
    </row>
    <row r="917" customFormat="false" ht="15" hidden="false" customHeight="false" outlineLevel="0" collapsed="false">
      <c r="A917" s="25"/>
      <c r="B917" s="16"/>
      <c r="C917" s="16"/>
      <c r="D917" s="16"/>
      <c r="E917" s="16"/>
      <c r="F917" s="16"/>
      <c r="G917" s="26"/>
      <c r="H917" s="26"/>
      <c r="I917" s="26"/>
      <c r="J917" s="26"/>
      <c r="K917" s="16"/>
      <c r="L917" s="27" t="str">
        <f aca="false">IF(G917="","",G917-H917+I917+IF(K917="N",J917,0))</f>
        <v/>
      </c>
      <c r="M917" s="16"/>
      <c r="N917" s="16"/>
      <c r="O917" s="16"/>
      <c r="P917" s="16"/>
      <c r="Q917" s="16"/>
      <c r="R917" s="16"/>
    </row>
    <row r="918" customFormat="false" ht="15" hidden="false" customHeight="false" outlineLevel="0" collapsed="false">
      <c r="A918" s="25"/>
      <c r="B918" s="16"/>
      <c r="C918" s="16"/>
      <c r="D918" s="16"/>
      <c r="E918" s="16"/>
      <c r="F918" s="16"/>
      <c r="G918" s="26"/>
      <c r="H918" s="26"/>
      <c r="I918" s="26"/>
      <c r="J918" s="26"/>
      <c r="K918" s="16"/>
      <c r="L918" s="27" t="str">
        <f aca="false">IF(G918="","",G918-H918+I918+IF(K918="N",J918,0))</f>
        <v/>
      </c>
      <c r="M918" s="16"/>
      <c r="N918" s="16"/>
      <c r="O918" s="16"/>
      <c r="P918" s="16"/>
      <c r="Q918" s="16"/>
      <c r="R918" s="16"/>
    </row>
    <row r="919" customFormat="false" ht="15" hidden="false" customHeight="false" outlineLevel="0" collapsed="false">
      <c r="A919" s="25"/>
      <c r="B919" s="16"/>
      <c r="C919" s="16"/>
      <c r="D919" s="16"/>
      <c r="E919" s="16"/>
      <c r="F919" s="16"/>
      <c r="G919" s="26"/>
      <c r="H919" s="26"/>
      <c r="I919" s="26"/>
      <c r="J919" s="26"/>
      <c r="K919" s="16"/>
      <c r="L919" s="27" t="str">
        <f aca="false">IF(G919="","",G919-H919+I919+IF(K919="N",J919,0))</f>
        <v/>
      </c>
      <c r="M919" s="16"/>
      <c r="N919" s="16"/>
      <c r="O919" s="16"/>
      <c r="P919" s="16"/>
      <c r="Q919" s="16"/>
      <c r="R919" s="16"/>
    </row>
    <row r="920" customFormat="false" ht="15" hidden="false" customHeight="false" outlineLevel="0" collapsed="false">
      <c r="A920" s="25"/>
      <c r="B920" s="16"/>
      <c r="C920" s="16"/>
      <c r="D920" s="16"/>
      <c r="E920" s="16"/>
      <c r="F920" s="16"/>
      <c r="G920" s="26"/>
      <c r="H920" s="26"/>
      <c r="I920" s="26"/>
      <c r="J920" s="26"/>
      <c r="K920" s="16"/>
      <c r="L920" s="27" t="str">
        <f aca="false">IF(G920="","",G920-H920+I920+IF(K920="N",J920,0))</f>
        <v/>
      </c>
      <c r="M920" s="16"/>
      <c r="N920" s="16"/>
      <c r="O920" s="16"/>
      <c r="P920" s="16"/>
      <c r="Q920" s="16"/>
      <c r="R920" s="16"/>
    </row>
    <row r="921" customFormat="false" ht="15" hidden="false" customHeight="false" outlineLevel="0" collapsed="false">
      <c r="A921" s="25"/>
      <c r="B921" s="16"/>
      <c r="C921" s="16"/>
      <c r="D921" s="16"/>
      <c r="E921" s="16"/>
      <c r="F921" s="16"/>
      <c r="G921" s="26"/>
      <c r="H921" s="26"/>
      <c r="I921" s="26"/>
      <c r="J921" s="26"/>
      <c r="K921" s="16"/>
      <c r="L921" s="27" t="str">
        <f aca="false">IF(G921="","",G921-H921+I921+IF(K921="N",J921,0))</f>
        <v/>
      </c>
      <c r="M921" s="16"/>
      <c r="N921" s="16"/>
      <c r="O921" s="16"/>
      <c r="P921" s="16"/>
      <c r="Q921" s="16"/>
      <c r="R921" s="16"/>
    </row>
    <row r="922" customFormat="false" ht="15" hidden="false" customHeight="false" outlineLevel="0" collapsed="false">
      <c r="A922" s="25"/>
      <c r="B922" s="16"/>
      <c r="C922" s="16"/>
      <c r="D922" s="16"/>
      <c r="E922" s="16"/>
      <c r="F922" s="16"/>
      <c r="G922" s="26"/>
      <c r="H922" s="26"/>
      <c r="I922" s="26"/>
      <c r="J922" s="26"/>
      <c r="K922" s="16"/>
      <c r="L922" s="27" t="str">
        <f aca="false">IF(G922="","",G922-H922+I922+IF(K922="N",J922,0))</f>
        <v/>
      </c>
      <c r="M922" s="16"/>
      <c r="N922" s="16"/>
      <c r="O922" s="16"/>
      <c r="P922" s="16"/>
      <c r="Q922" s="16"/>
      <c r="R922" s="16"/>
    </row>
    <row r="923" customFormat="false" ht="15" hidden="false" customHeight="false" outlineLevel="0" collapsed="false">
      <c r="A923" s="25"/>
      <c r="B923" s="16"/>
      <c r="C923" s="16"/>
      <c r="D923" s="16"/>
      <c r="E923" s="16"/>
      <c r="F923" s="16"/>
      <c r="G923" s="26"/>
      <c r="H923" s="26"/>
      <c r="I923" s="26"/>
      <c r="J923" s="26"/>
      <c r="K923" s="16"/>
      <c r="L923" s="27" t="str">
        <f aca="false">IF(G923="","",G923-H923+I923+IF(K923="N",J923,0))</f>
        <v/>
      </c>
      <c r="M923" s="16"/>
      <c r="N923" s="16"/>
      <c r="O923" s="16"/>
      <c r="P923" s="16"/>
      <c r="Q923" s="16"/>
      <c r="R923" s="16"/>
    </row>
    <row r="924" customFormat="false" ht="15" hidden="false" customHeight="false" outlineLevel="0" collapsed="false">
      <c r="A924" s="25"/>
      <c r="B924" s="16"/>
      <c r="C924" s="16"/>
      <c r="D924" s="16"/>
      <c r="E924" s="16"/>
      <c r="F924" s="16"/>
      <c r="G924" s="26"/>
      <c r="H924" s="26"/>
      <c r="I924" s="26"/>
      <c r="J924" s="26"/>
      <c r="K924" s="16"/>
      <c r="L924" s="27" t="str">
        <f aca="false">IF(G924="","",G924-H924+I924+IF(K924="N",J924,0))</f>
        <v/>
      </c>
      <c r="M924" s="16"/>
      <c r="N924" s="16"/>
      <c r="O924" s="16"/>
      <c r="P924" s="16"/>
      <c r="Q924" s="16"/>
      <c r="R924" s="16"/>
    </row>
    <row r="925" customFormat="false" ht="15" hidden="false" customHeight="false" outlineLevel="0" collapsed="false">
      <c r="A925" s="25"/>
      <c r="B925" s="16"/>
      <c r="C925" s="16"/>
      <c r="D925" s="16"/>
      <c r="E925" s="16"/>
      <c r="F925" s="16"/>
      <c r="G925" s="26"/>
      <c r="H925" s="26"/>
      <c r="I925" s="26"/>
      <c r="J925" s="26"/>
      <c r="K925" s="16"/>
      <c r="L925" s="27" t="str">
        <f aca="false">IF(G925="","",G925-H925+I925+IF(K925="N",J925,0))</f>
        <v/>
      </c>
      <c r="M925" s="16"/>
      <c r="N925" s="16"/>
      <c r="O925" s="16"/>
      <c r="P925" s="16"/>
      <c r="Q925" s="16"/>
      <c r="R925" s="16"/>
    </row>
    <row r="926" customFormat="false" ht="15" hidden="false" customHeight="false" outlineLevel="0" collapsed="false">
      <c r="A926" s="25"/>
      <c r="B926" s="16"/>
      <c r="C926" s="16"/>
      <c r="D926" s="16"/>
      <c r="E926" s="16"/>
      <c r="F926" s="16"/>
      <c r="G926" s="26"/>
      <c r="H926" s="26"/>
      <c r="I926" s="26"/>
      <c r="J926" s="26"/>
      <c r="K926" s="16"/>
      <c r="L926" s="27" t="str">
        <f aca="false">IF(G926="","",G926-H926+I926+IF(K926="N",J926,0))</f>
        <v/>
      </c>
      <c r="M926" s="16"/>
      <c r="N926" s="16"/>
      <c r="O926" s="16"/>
      <c r="P926" s="16"/>
      <c r="Q926" s="16"/>
      <c r="R926" s="16"/>
    </row>
    <row r="927" customFormat="false" ht="15" hidden="false" customHeight="false" outlineLevel="0" collapsed="false">
      <c r="A927" s="25"/>
      <c r="B927" s="16"/>
      <c r="C927" s="16"/>
      <c r="D927" s="16"/>
      <c r="E927" s="16"/>
      <c r="F927" s="16"/>
      <c r="G927" s="26"/>
      <c r="H927" s="26"/>
      <c r="I927" s="26"/>
      <c r="J927" s="26"/>
      <c r="K927" s="16"/>
      <c r="L927" s="27" t="str">
        <f aca="false">IF(G927="","",G927-H927+I927+IF(K927="N",J927,0))</f>
        <v/>
      </c>
      <c r="M927" s="16"/>
      <c r="N927" s="16"/>
      <c r="O927" s="16"/>
      <c r="P927" s="16"/>
      <c r="Q927" s="16"/>
      <c r="R927" s="16"/>
    </row>
    <row r="928" customFormat="false" ht="15" hidden="false" customHeight="false" outlineLevel="0" collapsed="false">
      <c r="A928" s="25"/>
      <c r="B928" s="16"/>
      <c r="C928" s="16"/>
      <c r="D928" s="16"/>
      <c r="E928" s="16"/>
      <c r="F928" s="16"/>
      <c r="G928" s="26"/>
      <c r="H928" s="26"/>
      <c r="I928" s="26"/>
      <c r="J928" s="26"/>
      <c r="K928" s="16"/>
      <c r="L928" s="27" t="str">
        <f aca="false">IF(G928="","",G928-H928+I928+IF(K928="N",J928,0))</f>
        <v/>
      </c>
      <c r="M928" s="16"/>
      <c r="N928" s="16"/>
      <c r="O928" s="16"/>
      <c r="P928" s="16"/>
      <c r="Q928" s="16"/>
      <c r="R928" s="16"/>
    </row>
    <row r="929" customFormat="false" ht="15" hidden="false" customHeight="false" outlineLevel="0" collapsed="false">
      <c r="A929" s="25"/>
      <c r="B929" s="16"/>
      <c r="C929" s="16"/>
      <c r="D929" s="16"/>
      <c r="E929" s="16"/>
      <c r="F929" s="16"/>
      <c r="G929" s="26"/>
      <c r="H929" s="26"/>
      <c r="I929" s="26"/>
      <c r="J929" s="26"/>
      <c r="K929" s="16"/>
      <c r="L929" s="27" t="str">
        <f aca="false">IF(G929="","",G929-H929+I929+IF(K929="N",J929,0))</f>
        <v/>
      </c>
      <c r="M929" s="16"/>
      <c r="N929" s="16"/>
      <c r="O929" s="16"/>
      <c r="P929" s="16"/>
      <c r="Q929" s="16"/>
      <c r="R929" s="16"/>
    </row>
    <row r="930" customFormat="false" ht="15" hidden="false" customHeight="false" outlineLevel="0" collapsed="false">
      <c r="A930" s="25"/>
      <c r="B930" s="16"/>
      <c r="C930" s="16"/>
      <c r="D930" s="16"/>
      <c r="E930" s="16"/>
      <c r="F930" s="16"/>
      <c r="G930" s="26"/>
      <c r="H930" s="26"/>
      <c r="I930" s="26"/>
      <c r="J930" s="26"/>
      <c r="K930" s="16"/>
      <c r="L930" s="27" t="str">
        <f aca="false">IF(G930="","",G930-H930+I930+IF(K930="N",J930,0))</f>
        <v/>
      </c>
      <c r="M930" s="16"/>
      <c r="N930" s="16"/>
      <c r="O930" s="16"/>
      <c r="P930" s="16"/>
      <c r="Q930" s="16"/>
      <c r="R930" s="16"/>
    </row>
    <row r="931" customFormat="false" ht="15" hidden="false" customHeight="false" outlineLevel="0" collapsed="false">
      <c r="A931" s="25"/>
      <c r="B931" s="16"/>
      <c r="C931" s="16"/>
      <c r="D931" s="16"/>
      <c r="E931" s="16"/>
      <c r="F931" s="16"/>
      <c r="G931" s="26"/>
      <c r="H931" s="26"/>
      <c r="I931" s="26"/>
      <c r="J931" s="26"/>
      <c r="K931" s="16"/>
      <c r="L931" s="27" t="str">
        <f aca="false">IF(G931="","",G931-H931+I931+IF(K931="N",J931,0))</f>
        <v/>
      </c>
      <c r="M931" s="16"/>
      <c r="N931" s="16"/>
      <c r="O931" s="16"/>
      <c r="P931" s="16"/>
      <c r="Q931" s="16"/>
      <c r="R931" s="16"/>
    </row>
    <row r="932" customFormat="false" ht="15" hidden="false" customHeight="false" outlineLevel="0" collapsed="false">
      <c r="A932" s="25"/>
      <c r="B932" s="16"/>
      <c r="C932" s="16"/>
      <c r="D932" s="16"/>
      <c r="E932" s="16"/>
      <c r="F932" s="16"/>
      <c r="G932" s="26"/>
      <c r="H932" s="26"/>
      <c r="I932" s="26"/>
      <c r="J932" s="26"/>
      <c r="K932" s="16"/>
      <c r="L932" s="27" t="str">
        <f aca="false">IF(G932="","",G932-H932+I932+IF(K932="N",J932,0))</f>
        <v/>
      </c>
      <c r="M932" s="16"/>
      <c r="N932" s="16"/>
      <c r="O932" s="16"/>
      <c r="P932" s="16"/>
      <c r="Q932" s="16"/>
      <c r="R932" s="16"/>
    </row>
    <row r="933" customFormat="false" ht="15" hidden="false" customHeight="false" outlineLevel="0" collapsed="false">
      <c r="A933" s="25"/>
      <c r="B933" s="16"/>
      <c r="C933" s="16"/>
      <c r="D933" s="16"/>
      <c r="E933" s="16"/>
      <c r="F933" s="16"/>
      <c r="G933" s="26"/>
      <c r="H933" s="26"/>
      <c r="I933" s="26"/>
      <c r="J933" s="26"/>
      <c r="K933" s="16"/>
      <c r="L933" s="27" t="str">
        <f aca="false">IF(G933="","",G933-H933+I933+IF(K933="N",J933,0))</f>
        <v/>
      </c>
      <c r="M933" s="16"/>
      <c r="N933" s="16"/>
      <c r="O933" s="16"/>
      <c r="P933" s="16"/>
      <c r="Q933" s="16"/>
      <c r="R933" s="16"/>
    </row>
    <row r="934" customFormat="false" ht="15" hidden="false" customHeight="false" outlineLevel="0" collapsed="false">
      <c r="A934" s="25"/>
      <c r="B934" s="16"/>
      <c r="C934" s="16"/>
      <c r="D934" s="16"/>
      <c r="E934" s="16"/>
      <c r="F934" s="16"/>
      <c r="G934" s="26"/>
      <c r="H934" s="26"/>
      <c r="I934" s="26"/>
      <c r="J934" s="26"/>
      <c r="K934" s="16"/>
      <c r="L934" s="27" t="str">
        <f aca="false">IF(G934="","",G934-H934+I934+IF(K934="N",J934,0))</f>
        <v/>
      </c>
      <c r="M934" s="16"/>
      <c r="N934" s="16"/>
      <c r="O934" s="16"/>
      <c r="P934" s="16"/>
      <c r="Q934" s="16"/>
      <c r="R934" s="16"/>
    </row>
    <row r="935" customFormat="false" ht="15" hidden="false" customHeight="false" outlineLevel="0" collapsed="false">
      <c r="A935" s="25"/>
      <c r="B935" s="16"/>
      <c r="C935" s="16"/>
      <c r="D935" s="16"/>
      <c r="E935" s="16"/>
      <c r="F935" s="16"/>
      <c r="G935" s="26"/>
      <c r="H935" s="26"/>
      <c r="I935" s="26"/>
      <c r="J935" s="26"/>
      <c r="K935" s="16"/>
      <c r="L935" s="27" t="str">
        <f aca="false">IF(G935="","",G935-H935+I935+IF(K935="N",J935,0))</f>
        <v/>
      </c>
      <c r="M935" s="16"/>
      <c r="N935" s="16"/>
      <c r="O935" s="16"/>
      <c r="P935" s="16"/>
      <c r="Q935" s="16"/>
      <c r="R935" s="16"/>
    </row>
    <row r="936" customFormat="false" ht="15" hidden="false" customHeight="false" outlineLevel="0" collapsed="false">
      <c r="A936" s="25"/>
      <c r="B936" s="16"/>
      <c r="C936" s="16"/>
      <c r="D936" s="16"/>
      <c r="E936" s="16"/>
      <c r="F936" s="16"/>
      <c r="G936" s="26"/>
      <c r="H936" s="26"/>
      <c r="I936" s="26"/>
      <c r="J936" s="26"/>
      <c r="K936" s="16"/>
      <c r="L936" s="27" t="str">
        <f aca="false">IF(G936="","",G936-H936+I936+IF(K936="N",J936,0))</f>
        <v/>
      </c>
      <c r="M936" s="16"/>
      <c r="N936" s="16"/>
      <c r="O936" s="16"/>
      <c r="P936" s="16"/>
      <c r="Q936" s="16"/>
      <c r="R936" s="16"/>
    </row>
    <row r="937" customFormat="false" ht="15" hidden="false" customHeight="false" outlineLevel="0" collapsed="false">
      <c r="A937" s="25"/>
      <c r="B937" s="16"/>
      <c r="C937" s="16"/>
      <c r="D937" s="16"/>
      <c r="E937" s="16"/>
      <c r="F937" s="16"/>
      <c r="G937" s="26"/>
      <c r="H937" s="26"/>
      <c r="I937" s="26"/>
      <c r="J937" s="26"/>
      <c r="K937" s="16"/>
      <c r="L937" s="27" t="str">
        <f aca="false">IF(G937="","",G937-H937+I937+IF(K937="N",J937,0))</f>
        <v/>
      </c>
      <c r="M937" s="16"/>
      <c r="N937" s="16"/>
      <c r="O937" s="16"/>
      <c r="P937" s="16"/>
      <c r="Q937" s="16"/>
      <c r="R937" s="16"/>
    </row>
    <row r="938" customFormat="false" ht="15" hidden="false" customHeight="false" outlineLevel="0" collapsed="false">
      <c r="A938" s="25"/>
      <c r="B938" s="16"/>
      <c r="C938" s="16"/>
      <c r="D938" s="16"/>
      <c r="E938" s="16"/>
      <c r="F938" s="16"/>
      <c r="G938" s="26"/>
      <c r="H938" s="26"/>
      <c r="I938" s="26"/>
      <c r="J938" s="26"/>
      <c r="K938" s="16"/>
      <c r="L938" s="27" t="str">
        <f aca="false">IF(G938="","",G938-H938+I938+IF(K938="N",J938,0))</f>
        <v/>
      </c>
      <c r="M938" s="16"/>
      <c r="N938" s="16"/>
      <c r="O938" s="16"/>
      <c r="P938" s="16"/>
      <c r="Q938" s="16"/>
      <c r="R938" s="16"/>
    </row>
    <row r="939" customFormat="false" ht="15" hidden="false" customHeight="false" outlineLevel="0" collapsed="false">
      <c r="A939" s="25"/>
      <c r="B939" s="16"/>
      <c r="C939" s="16"/>
      <c r="D939" s="16"/>
      <c r="E939" s="16"/>
      <c r="F939" s="16"/>
      <c r="G939" s="26"/>
      <c r="H939" s="26"/>
      <c r="I939" s="26"/>
      <c r="J939" s="26"/>
      <c r="K939" s="16"/>
      <c r="L939" s="27" t="str">
        <f aca="false">IF(G939="","",G939-H939+I939+IF(K939="N",J939,0))</f>
        <v/>
      </c>
      <c r="M939" s="16"/>
      <c r="N939" s="16"/>
      <c r="O939" s="16"/>
      <c r="P939" s="16"/>
      <c r="Q939" s="16"/>
      <c r="R939" s="16"/>
    </row>
    <row r="940" customFormat="false" ht="15" hidden="false" customHeight="false" outlineLevel="0" collapsed="false">
      <c r="A940" s="25"/>
      <c r="B940" s="16"/>
      <c r="C940" s="16"/>
      <c r="D940" s="16"/>
      <c r="E940" s="16"/>
      <c r="F940" s="16"/>
      <c r="G940" s="26"/>
      <c r="H940" s="26"/>
      <c r="I940" s="26"/>
      <c r="J940" s="26"/>
      <c r="K940" s="16"/>
      <c r="L940" s="27" t="str">
        <f aca="false">IF(G940="","",G940-H940+I940+IF(K940="N",J940,0))</f>
        <v/>
      </c>
      <c r="M940" s="16"/>
      <c r="N940" s="16"/>
      <c r="O940" s="16"/>
      <c r="P940" s="16"/>
      <c r="Q940" s="16"/>
      <c r="R940" s="16"/>
    </row>
    <row r="941" customFormat="false" ht="15" hidden="false" customHeight="false" outlineLevel="0" collapsed="false">
      <c r="A941" s="25"/>
      <c r="B941" s="16"/>
      <c r="C941" s="16"/>
      <c r="D941" s="16"/>
      <c r="E941" s="16"/>
      <c r="F941" s="16"/>
      <c r="G941" s="26"/>
      <c r="H941" s="26"/>
      <c r="I941" s="26"/>
      <c r="J941" s="26"/>
      <c r="K941" s="16"/>
      <c r="L941" s="27" t="str">
        <f aca="false">IF(G941="","",G941-H941+I941+IF(K941="N",J941,0))</f>
        <v/>
      </c>
      <c r="M941" s="16"/>
      <c r="N941" s="16"/>
      <c r="O941" s="16"/>
      <c r="P941" s="16"/>
      <c r="Q941" s="16"/>
      <c r="R941" s="16"/>
    </row>
    <row r="942" customFormat="false" ht="15" hidden="false" customHeight="false" outlineLevel="0" collapsed="false">
      <c r="A942" s="25"/>
      <c r="B942" s="16"/>
      <c r="C942" s="16"/>
      <c r="D942" s="16"/>
      <c r="E942" s="16"/>
      <c r="F942" s="16"/>
      <c r="G942" s="26"/>
      <c r="H942" s="26"/>
      <c r="I942" s="26"/>
      <c r="J942" s="26"/>
      <c r="K942" s="16"/>
      <c r="L942" s="27" t="str">
        <f aca="false">IF(G942="","",G942-H942+I942+IF(K942="N",J942,0))</f>
        <v/>
      </c>
      <c r="M942" s="16"/>
      <c r="N942" s="16"/>
      <c r="O942" s="16"/>
      <c r="P942" s="16"/>
      <c r="Q942" s="16"/>
      <c r="R942" s="16"/>
    </row>
    <row r="943" customFormat="false" ht="15" hidden="false" customHeight="false" outlineLevel="0" collapsed="false">
      <c r="A943" s="25"/>
      <c r="B943" s="16"/>
      <c r="C943" s="16"/>
      <c r="D943" s="16"/>
      <c r="E943" s="16"/>
      <c r="F943" s="16"/>
      <c r="G943" s="26"/>
      <c r="H943" s="26"/>
      <c r="I943" s="26"/>
      <c r="J943" s="26"/>
      <c r="K943" s="16"/>
      <c r="L943" s="27" t="str">
        <f aca="false">IF(G943="","",G943-H943+I943+IF(K943="N",J943,0))</f>
        <v/>
      </c>
      <c r="M943" s="16"/>
      <c r="N943" s="16"/>
      <c r="O943" s="16"/>
      <c r="P943" s="16"/>
      <c r="Q943" s="16"/>
      <c r="R943" s="16"/>
    </row>
    <row r="944" customFormat="false" ht="15" hidden="false" customHeight="false" outlineLevel="0" collapsed="false">
      <c r="A944" s="25"/>
      <c r="B944" s="16"/>
      <c r="C944" s="16"/>
      <c r="D944" s="16"/>
      <c r="E944" s="16"/>
      <c r="F944" s="16"/>
      <c r="G944" s="26"/>
      <c r="H944" s="26"/>
      <c r="I944" s="26"/>
      <c r="J944" s="26"/>
      <c r="K944" s="16"/>
      <c r="L944" s="27" t="str">
        <f aca="false">IF(G944="","",G944-H944+I944+IF(K944="N",J944,0))</f>
        <v/>
      </c>
      <c r="M944" s="16"/>
      <c r="N944" s="16"/>
      <c r="O944" s="16"/>
      <c r="P944" s="16"/>
      <c r="Q944" s="16"/>
      <c r="R944" s="16"/>
    </row>
    <row r="945" customFormat="false" ht="15" hidden="false" customHeight="false" outlineLevel="0" collapsed="false">
      <c r="A945" s="25"/>
      <c r="B945" s="16"/>
      <c r="C945" s="16"/>
      <c r="D945" s="16"/>
      <c r="E945" s="16"/>
      <c r="F945" s="16"/>
      <c r="G945" s="26"/>
      <c r="H945" s="26"/>
      <c r="I945" s="26"/>
      <c r="J945" s="26"/>
      <c r="K945" s="16"/>
      <c r="L945" s="27" t="str">
        <f aca="false">IF(G945="","",G945-H945+I945+IF(K945="N",J945,0))</f>
        <v/>
      </c>
      <c r="M945" s="16"/>
      <c r="N945" s="16"/>
      <c r="O945" s="16"/>
      <c r="P945" s="16"/>
      <c r="Q945" s="16"/>
      <c r="R945" s="16"/>
    </row>
    <row r="946" customFormat="false" ht="15" hidden="false" customHeight="false" outlineLevel="0" collapsed="false">
      <c r="A946" s="25"/>
      <c r="B946" s="16"/>
      <c r="C946" s="16"/>
      <c r="D946" s="16"/>
      <c r="E946" s="16"/>
      <c r="F946" s="16"/>
      <c r="G946" s="26"/>
      <c r="H946" s="26"/>
      <c r="I946" s="26"/>
      <c r="J946" s="26"/>
      <c r="K946" s="16"/>
      <c r="L946" s="27" t="str">
        <f aca="false">IF(G946="","",G946-H946+I946+IF(K946="N",J946,0))</f>
        <v/>
      </c>
      <c r="M946" s="16"/>
      <c r="N946" s="16"/>
      <c r="O946" s="16"/>
      <c r="P946" s="16"/>
      <c r="Q946" s="16"/>
      <c r="R946" s="16"/>
    </row>
    <row r="947" customFormat="false" ht="15" hidden="false" customHeight="false" outlineLevel="0" collapsed="false">
      <c r="A947" s="25"/>
      <c r="B947" s="16"/>
      <c r="C947" s="16"/>
      <c r="D947" s="16"/>
      <c r="E947" s="16"/>
      <c r="F947" s="16"/>
      <c r="G947" s="26"/>
      <c r="H947" s="26"/>
      <c r="I947" s="26"/>
      <c r="J947" s="26"/>
      <c r="K947" s="16"/>
      <c r="L947" s="27" t="str">
        <f aca="false">IF(G947="","",G947-H947+I947+IF(K947="N",J947,0))</f>
        <v/>
      </c>
      <c r="M947" s="16"/>
      <c r="N947" s="16"/>
      <c r="O947" s="16"/>
      <c r="P947" s="16"/>
      <c r="Q947" s="16"/>
      <c r="R947" s="16"/>
    </row>
    <row r="948" customFormat="false" ht="15" hidden="false" customHeight="false" outlineLevel="0" collapsed="false">
      <c r="A948" s="25"/>
      <c r="B948" s="16"/>
      <c r="C948" s="16"/>
      <c r="D948" s="16"/>
      <c r="E948" s="16"/>
      <c r="F948" s="16"/>
      <c r="G948" s="26"/>
      <c r="H948" s="26"/>
      <c r="I948" s="26"/>
      <c r="J948" s="26"/>
      <c r="K948" s="16"/>
      <c r="L948" s="27" t="str">
        <f aca="false">IF(G948="","",G948-H948+I948+IF(K948="N",J948,0))</f>
        <v/>
      </c>
      <c r="M948" s="16"/>
      <c r="N948" s="16"/>
      <c r="O948" s="16"/>
      <c r="P948" s="16"/>
      <c r="Q948" s="16"/>
      <c r="R948" s="16"/>
    </row>
    <row r="949" customFormat="false" ht="15" hidden="false" customHeight="false" outlineLevel="0" collapsed="false">
      <c r="A949" s="25"/>
      <c r="B949" s="16"/>
      <c r="C949" s="16"/>
      <c r="D949" s="16"/>
      <c r="E949" s="16"/>
      <c r="F949" s="16"/>
      <c r="G949" s="26"/>
      <c r="H949" s="26"/>
      <c r="I949" s="26"/>
      <c r="J949" s="26"/>
      <c r="K949" s="16"/>
      <c r="L949" s="27" t="str">
        <f aca="false">IF(G949="","",G949-H949+I949+IF(K949="N",J949,0))</f>
        <v/>
      </c>
      <c r="M949" s="16"/>
      <c r="N949" s="16"/>
      <c r="O949" s="16"/>
      <c r="P949" s="16"/>
      <c r="Q949" s="16"/>
      <c r="R949" s="16"/>
    </row>
    <row r="950" customFormat="false" ht="15" hidden="false" customHeight="false" outlineLevel="0" collapsed="false">
      <c r="A950" s="25"/>
      <c r="B950" s="16"/>
      <c r="C950" s="16"/>
      <c r="D950" s="16"/>
      <c r="E950" s="16"/>
      <c r="F950" s="16"/>
      <c r="G950" s="26"/>
      <c r="H950" s="26"/>
      <c r="I950" s="26"/>
      <c r="J950" s="26"/>
      <c r="K950" s="16"/>
      <c r="L950" s="27" t="str">
        <f aca="false">IF(G950="","",G950-H950+I950+IF(K950="N",J950,0))</f>
        <v/>
      </c>
      <c r="M950" s="16"/>
      <c r="N950" s="16"/>
      <c r="O950" s="16"/>
      <c r="P950" s="16"/>
      <c r="Q950" s="16"/>
      <c r="R950" s="16"/>
    </row>
    <row r="951" customFormat="false" ht="15" hidden="false" customHeight="false" outlineLevel="0" collapsed="false">
      <c r="A951" s="25"/>
      <c r="B951" s="16"/>
      <c r="C951" s="16"/>
      <c r="D951" s="16"/>
      <c r="E951" s="16"/>
      <c r="F951" s="16"/>
      <c r="G951" s="26"/>
      <c r="H951" s="26"/>
      <c r="I951" s="26"/>
      <c r="J951" s="26"/>
      <c r="K951" s="16"/>
      <c r="L951" s="27" t="str">
        <f aca="false">IF(G951="","",G951-H951+I951+IF(K951="N",J951,0))</f>
        <v/>
      </c>
      <c r="M951" s="16"/>
      <c r="N951" s="16"/>
      <c r="O951" s="16"/>
      <c r="P951" s="16"/>
      <c r="Q951" s="16"/>
      <c r="R951" s="16"/>
    </row>
    <row r="952" customFormat="false" ht="15" hidden="false" customHeight="false" outlineLevel="0" collapsed="false">
      <c r="A952" s="25"/>
      <c r="B952" s="16"/>
      <c r="C952" s="16"/>
      <c r="D952" s="16"/>
      <c r="E952" s="16"/>
      <c r="F952" s="16"/>
      <c r="G952" s="26"/>
      <c r="H952" s="26"/>
      <c r="I952" s="26"/>
      <c r="J952" s="26"/>
      <c r="K952" s="16"/>
      <c r="L952" s="27" t="str">
        <f aca="false">IF(G952="","",G952-H952+I952+IF(K952="N",J952,0))</f>
        <v/>
      </c>
      <c r="M952" s="16"/>
      <c r="N952" s="16"/>
      <c r="O952" s="16"/>
      <c r="P952" s="16"/>
      <c r="Q952" s="16"/>
      <c r="R952" s="16"/>
    </row>
    <row r="953" customFormat="false" ht="15" hidden="false" customHeight="false" outlineLevel="0" collapsed="false">
      <c r="A953" s="25"/>
      <c r="B953" s="16"/>
      <c r="C953" s="16"/>
      <c r="D953" s="16"/>
      <c r="E953" s="16"/>
      <c r="F953" s="16"/>
      <c r="G953" s="26"/>
      <c r="H953" s="26"/>
      <c r="I953" s="26"/>
      <c r="J953" s="26"/>
      <c r="K953" s="16"/>
      <c r="L953" s="27" t="str">
        <f aca="false">IF(G953="","",G953-H953+I953+IF(K953="N",J953,0))</f>
        <v/>
      </c>
      <c r="M953" s="16"/>
      <c r="N953" s="16"/>
      <c r="O953" s="16"/>
      <c r="P953" s="16"/>
      <c r="Q953" s="16"/>
      <c r="R953" s="16"/>
    </row>
    <row r="954" customFormat="false" ht="15" hidden="false" customHeight="false" outlineLevel="0" collapsed="false">
      <c r="A954" s="25"/>
      <c r="B954" s="16"/>
      <c r="C954" s="16"/>
      <c r="D954" s="16"/>
      <c r="E954" s="16"/>
      <c r="F954" s="16"/>
      <c r="G954" s="26"/>
      <c r="H954" s="26"/>
      <c r="I954" s="26"/>
      <c r="J954" s="26"/>
      <c r="K954" s="16"/>
      <c r="L954" s="27" t="str">
        <f aca="false">IF(G954="","",G954-H954+I954+IF(K954="N",J954,0))</f>
        <v/>
      </c>
      <c r="M954" s="16"/>
      <c r="N954" s="16"/>
      <c r="O954" s="16"/>
      <c r="P954" s="16"/>
      <c r="Q954" s="16"/>
      <c r="R954" s="16"/>
    </row>
    <row r="955" customFormat="false" ht="15" hidden="false" customHeight="false" outlineLevel="0" collapsed="false">
      <c r="A955" s="25"/>
      <c r="B955" s="16"/>
      <c r="C955" s="16"/>
      <c r="D955" s="16"/>
      <c r="E955" s="16"/>
      <c r="F955" s="16"/>
      <c r="G955" s="26"/>
      <c r="H955" s="26"/>
      <c r="I955" s="26"/>
      <c r="J955" s="26"/>
      <c r="K955" s="16"/>
      <c r="L955" s="27" t="str">
        <f aca="false">IF(G955="","",G955-H955+I955+IF(K955="N",J955,0))</f>
        <v/>
      </c>
      <c r="M955" s="16"/>
      <c r="N955" s="16"/>
      <c r="O955" s="16"/>
      <c r="P955" s="16"/>
      <c r="Q955" s="16"/>
      <c r="R955" s="16"/>
    </row>
    <row r="956" customFormat="false" ht="15" hidden="false" customHeight="false" outlineLevel="0" collapsed="false">
      <c r="A956" s="25"/>
      <c r="B956" s="16"/>
      <c r="C956" s="16"/>
      <c r="D956" s="16"/>
      <c r="E956" s="16"/>
      <c r="F956" s="16"/>
      <c r="G956" s="26"/>
      <c r="H956" s="26"/>
      <c r="I956" s="26"/>
      <c r="J956" s="26"/>
      <c r="K956" s="16"/>
      <c r="L956" s="27" t="str">
        <f aca="false">IF(G956="","",G956-H956+I956+IF(K956="N",J956,0))</f>
        <v/>
      </c>
      <c r="M956" s="16"/>
      <c r="N956" s="16"/>
      <c r="O956" s="16"/>
      <c r="P956" s="16"/>
      <c r="Q956" s="16"/>
      <c r="R956" s="16"/>
    </row>
    <row r="957" customFormat="false" ht="15" hidden="false" customHeight="false" outlineLevel="0" collapsed="false">
      <c r="A957" s="25"/>
      <c r="B957" s="16"/>
      <c r="C957" s="16"/>
      <c r="D957" s="16"/>
      <c r="E957" s="16"/>
      <c r="F957" s="16"/>
      <c r="G957" s="26"/>
      <c r="H957" s="26"/>
      <c r="I957" s="26"/>
      <c r="J957" s="26"/>
      <c r="K957" s="16"/>
      <c r="L957" s="27" t="str">
        <f aca="false">IF(G957="","",G957-H957+I957+IF(K957="N",J957,0))</f>
        <v/>
      </c>
      <c r="M957" s="16"/>
      <c r="N957" s="16"/>
      <c r="O957" s="16"/>
      <c r="P957" s="16"/>
      <c r="Q957" s="16"/>
      <c r="R957" s="16"/>
    </row>
    <row r="958" customFormat="false" ht="15" hidden="false" customHeight="false" outlineLevel="0" collapsed="false">
      <c r="A958" s="25"/>
      <c r="B958" s="16"/>
      <c r="C958" s="16"/>
      <c r="D958" s="16"/>
      <c r="E958" s="16"/>
      <c r="F958" s="16"/>
      <c r="G958" s="26"/>
      <c r="H958" s="26"/>
      <c r="I958" s="26"/>
      <c r="J958" s="26"/>
      <c r="K958" s="16"/>
      <c r="L958" s="27" t="str">
        <f aca="false">IF(G958="","",G958-H958+I958+IF(K958="N",J958,0))</f>
        <v/>
      </c>
      <c r="M958" s="16"/>
      <c r="N958" s="16"/>
      <c r="O958" s="16"/>
      <c r="P958" s="16"/>
      <c r="Q958" s="16"/>
      <c r="R958" s="16"/>
    </row>
    <row r="959" customFormat="false" ht="15" hidden="false" customHeight="false" outlineLevel="0" collapsed="false">
      <c r="A959" s="25"/>
      <c r="B959" s="16"/>
      <c r="C959" s="16"/>
      <c r="D959" s="16"/>
      <c r="E959" s="16"/>
      <c r="F959" s="16"/>
      <c r="G959" s="26"/>
      <c r="H959" s="26"/>
      <c r="I959" s="26"/>
      <c r="J959" s="26"/>
      <c r="K959" s="16"/>
      <c r="L959" s="27" t="str">
        <f aca="false">IF(G959="","",G959-H959+I959+IF(K959="N",J959,0))</f>
        <v/>
      </c>
      <c r="M959" s="16"/>
      <c r="N959" s="16"/>
      <c r="O959" s="16"/>
      <c r="P959" s="16"/>
      <c r="Q959" s="16"/>
      <c r="R959" s="16"/>
    </row>
    <row r="960" customFormat="false" ht="15" hidden="false" customHeight="false" outlineLevel="0" collapsed="false">
      <c r="A960" s="25"/>
      <c r="B960" s="16"/>
      <c r="C960" s="16"/>
      <c r="D960" s="16"/>
      <c r="E960" s="16"/>
      <c r="F960" s="16"/>
      <c r="G960" s="26"/>
      <c r="H960" s="26"/>
      <c r="I960" s="26"/>
      <c r="J960" s="26"/>
      <c r="K960" s="16"/>
      <c r="L960" s="27" t="str">
        <f aca="false">IF(G960="","",G960-H960+I960+IF(K960="N",J960,0))</f>
        <v/>
      </c>
      <c r="M960" s="16"/>
      <c r="N960" s="16"/>
      <c r="O960" s="16"/>
      <c r="P960" s="16"/>
      <c r="Q960" s="16"/>
      <c r="R960" s="16"/>
    </row>
    <row r="961" customFormat="false" ht="15" hidden="false" customHeight="false" outlineLevel="0" collapsed="false">
      <c r="A961" s="25"/>
      <c r="B961" s="16"/>
      <c r="C961" s="16"/>
      <c r="D961" s="16"/>
      <c r="E961" s="16"/>
      <c r="F961" s="16"/>
      <c r="G961" s="26"/>
      <c r="H961" s="26"/>
      <c r="I961" s="26"/>
      <c r="J961" s="26"/>
      <c r="K961" s="16"/>
      <c r="L961" s="27" t="str">
        <f aca="false">IF(G961="","",G961-H961+I961+IF(K961="N",J961,0))</f>
        <v/>
      </c>
      <c r="M961" s="16"/>
      <c r="N961" s="16"/>
      <c r="O961" s="16"/>
      <c r="P961" s="16"/>
      <c r="Q961" s="16"/>
      <c r="R961" s="16"/>
    </row>
    <row r="962" customFormat="false" ht="15" hidden="false" customHeight="false" outlineLevel="0" collapsed="false">
      <c r="A962" s="25"/>
      <c r="B962" s="16"/>
      <c r="C962" s="16"/>
      <c r="D962" s="16"/>
      <c r="E962" s="16"/>
      <c r="F962" s="16"/>
      <c r="G962" s="26"/>
      <c r="H962" s="26"/>
      <c r="I962" s="26"/>
      <c r="J962" s="26"/>
      <c r="K962" s="16"/>
      <c r="L962" s="27" t="str">
        <f aca="false">IF(G962="","",G962-H962+I962+IF(K962="N",J962,0))</f>
        <v/>
      </c>
      <c r="M962" s="16"/>
      <c r="N962" s="16"/>
      <c r="O962" s="16"/>
      <c r="P962" s="16"/>
      <c r="Q962" s="16"/>
      <c r="R962" s="16"/>
    </row>
    <row r="963" customFormat="false" ht="15" hidden="false" customHeight="false" outlineLevel="0" collapsed="false">
      <c r="A963" s="25"/>
      <c r="B963" s="16"/>
      <c r="C963" s="16"/>
      <c r="D963" s="16"/>
      <c r="E963" s="16"/>
      <c r="F963" s="16"/>
      <c r="G963" s="26"/>
      <c r="H963" s="26"/>
      <c r="I963" s="26"/>
      <c r="J963" s="26"/>
      <c r="K963" s="16"/>
      <c r="L963" s="27" t="str">
        <f aca="false">IF(G963="","",G963-H963+I963+IF(K963="N",J963,0))</f>
        <v/>
      </c>
      <c r="M963" s="16"/>
      <c r="N963" s="16"/>
      <c r="O963" s="16"/>
      <c r="P963" s="16"/>
      <c r="Q963" s="16"/>
      <c r="R963" s="16"/>
    </row>
    <row r="964" customFormat="false" ht="15" hidden="false" customHeight="false" outlineLevel="0" collapsed="false">
      <c r="A964" s="25"/>
      <c r="B964" s="16"/>
      <c r="C964" s="16"/>
      <c r="D964" s="16"/>
      <c r="E964" s="16"/>
      <c r="F964" s="16"/>
      <c r="G964" s="26"/>
      <c r="H964" s="26"/>
      <c r="I964" s="26"/>
      <c r="J964" s="26"/>
      <c r="K964" s="16"/>
      <c r="L964" s="27" t="str">
        <f aca="false">IF(G964="","",G964-H964+I964+IF(K964="N",J964,0))</f>
        <v/>
      </c>
      <c r="M964" s="16"/>
      <c r="N964" s="16"/>
      <c r="O964" s="16"/>
      <c r="P964" s="16"/>
      <c r="Q964" s="16"/>
      <c r="R964" s="16"/>
    </row>
    <row r="965" customFormat="false" ht="15" hidden="false" customHeight="false" outlineLevel="0" collapsed="false">
      <c r="A965" s="25"/>
      <c r="B965" s="16"/>
      <c r="C965" s="16"/>
      <c r="D965" s="16"/>
      <c r="E965" s="16"/>
      <c r="F965" s="16"/>
      <c r="G965" s="26"/>
      <c r="H965" s="26"/>
      <c r="I965" s="26"/>
      <c r="J965" s="26"/>
      <c r="K965" s="16"/>
      <c r="L965" s="27" t="str">
        <f aca="false">IF(G965="","",G965-H965+I965+IF(K965="N",J965,0))</f>
        <v/>
      </c>
      <c r="M965" s="16"/>
      <c r="N965" s="16"/>
      <c r="O965" s="16"/>
      <c r="P965" s="16"/>
      <c r="Q965" s="16"/>
      <c r="R965" s="16"/>
    </row>
    <row r="966" customFormat="false" ht="15" hidden="false" customHeight="false" outlineLevel="0" collapsed="false">
      <c r="A966" s="25"/>
      <c r="B966" s="16"/>
      <c r="C966" s="16"/>
      <c r="D966" s="16"/>
      <c r="E966" s="16"/>
      <c r="F966" s="16"/>
      <c r="G966" s="26"/>
      <c r="H966" s="26"/>
      <c r="I966" s="26"/>
      <c r="J966" s="26"/>
      <c r="K966" s="16"/>
      <c r="L966" s="27" t="str">
        <f aca="false">IF(G966="","",G966-H966+I966+IF(K966="N",J966,0))</f>
        <v/>
      </c>
      <c r="M966" s="16"/>
      <c r="N966" s="16"/>
      <c r="O966" s="16"/>
      <c r="P966" s="16"/>
      <c r="Q966" s="16"/>
      <c r="R966" s="16"/>
    </row>
    <row r="967" customFormat="false" ht="15" hidden="false" customHeight="false" outlineLevel="0" collapsed="false">
      <c r="A967" s="25"/>
      <c r="B967" s="16"/>
      <c r="C967" s="16"/>
      <c r="D967" s="16"/>
      <c r="E967" s="16"/>
      <c r="F967" s="16"/>
      <c r="G967" s="26"/>
      <c r="H967" s="26"/>
      <c r="I967" s="26"/>
      <c r="J967" s="26"/>
      <c r="K967" s="16"/>
      <c r="L967" s="27" t="str">
        <f aca="false">IF(G967="","",G967-H967+I967+IF(K967="N",J967,0))</f>
        <v/>
      </c>
      <c r="M967" s="16"/>
      <c r="N967" s="16"/>
      <c r="O967" s="16"/>
      <c r="P967" s="16"/>
      <c r="Q967" s="16"/>
      <c r="R967" s="16"/>
    </row>
    <row r="968" customFormat="false" ht="15" hidden="false" customHeight="false" outlineLevel="0" collapsed="false">
      <c r="A968" s="25"/>
      <c r="B968" s="16"/>
      <c r="C968" s="16"/>
      <c r="D968" s="16"/>
      <c r="E968" s="16"/>
      <c r="F968" s="16"/>
      <c r="G968" s="26"/>
      <c r="H968" s="26"/>
      <c r="I968" s="26"/>
      <c r="J968" s="26"/>
      <c r="K968" s="16"/>
      <c r="L968" s="27" t="str">
        <f aca="false">IF(G968="","",G968-H968+I968+IF(K968="N",J968,0))</f>
        <v/>
      </c>
      <c r="M968" s="16"/>
      <c r="N968" s="16"/>
      <c r="O968" s="16"/>
      <c r="P968" s="16"/>
      <c r="Q968" s="16"/>
      <c r="R968" s="16"/>
    </row>
    <row r="969" customFormat="false" ht="15" hidden="false" customHeight="false" outlineLevel="0" collapsed="false">
      <c r="A969" s="25"/>
      <c r="B969" s="16"/>
      <c r="C969" s="16"/>
      <c r="D969" s="16"/>
      <c r="E969" s="16"/>
      <c r="F969" s="16"/>
      <c r="G969" s="26"/>
      <c r="H969" s="26"/>
      <c r="I969" s="26"/>
      <c r="J969" s="26"/>
      <c r="K969" s="16"/>
      <c r="L969" s="27" t="str">
        <f aca="false">IF(G969="","",G969-H969+I969+IF(K969="N",J969,0))</f>
        <v/>
      </c>
      <c r="M969" s="16"/>
      <c r="N969" s="16"/>
      <c r="O969" s="16"/>
      <c r="P969" s="16"/>
      <c r="Q969" s="16"/>
      <c r="R969" s="16"/>
    </row>
    <row r="970" customFormat="false" ht="15" hidden="false" customHeight="false" outlineLevel="0" collapsed="false">
      <c r="A970" s="25"/>
      <c r="B970" s="16"/>
      <c r="C970" s="16"/>
      <c r="D970" s="16"/>
      <c r="E970" s="16"/>
      <c r="F970" s="16"/>
      <c r="G970" s="26"/>
      <c r="H970" s="26"/>
      <c r="I970" s="26"/>
      <c r="J970" s="26"/>
      <c r="K970" s="16"/>
      <c r="L970" s="27" t="str">
        <f aca="false">IF(G970="","",G970-H970+I970+IF(K970="N",J970,0))</f>
        <v/>
      </c>
      <c r="M970" s="16"/>
      <c r="N970" s="16"/>
      <c r="O970" s="16"/>
      <c r="P970" s="16"/>
      <c r="Q970" s="16"/>
      <c r="R970" s="16"/>
    </row>
    <row r="971" customFormat="false" ht="15" hidden="false" customHeight="false" outlineLevel="0" collapsed="false">
      <c r="A971" s="25"/>
      <c r="B971" s="16"/>
      <c r="C971" s="16"/>
      <c r="D971" s="16"/>
      <c r="E971" s="16"/>
      <c r="F971" s="16"/>
      <c r="G971" s="26"/>
      <c r="H971" s="26"/>
      <c r="I971" s="26"/>
      <c r="J971" s="26"/>
      <c r="K971" s="16"/>
      <c r="L971" s="27" t="str">
        <f aca="false">IF(G971="","",G971-H971+I971+IF(K971="N",J971,0))</f>
        <v/>
      </c>
      <c r="M971" s="16"/>
      <c r="N971" s="16"/>
      <c r="O971" s="16"/>
      <c r="P971" s="16"/>
      <c r="Q971" s="16"/>
      <c r="R971" s="16"/>
    </row>
    <row r="972" customFormat="false" ht="15" hidden="false" customHeight="false" outlineLevel="0" collapsed="false">
      <c r="A972" s="25"/>
      <c r="B972" s="16"/>
      <c r="C972" s="16"/>
      <c r="D972" s="16"/>
      <c r="E972" s="16"/>
      <c r="F972" s="16"/>
      <c r="G972" s="26"/>
      <c r="H972" s="26"/>
      <c r="I972" s="26"/>
      <c r="J972" s="26"/>
      <c r="K972" s="16"/>
      <c r="L972" s="27" t="str">
        <f aca="false">IF(G972="","",G972-H972+I972+IF(K972="N",J972,0))</f>
        <v/>
      </c>
      <c r="M972" s="16"/>
      <c r="N972" s="16"/>
      <c r="O972" s="16"/>
      <c r="P972" s="16"/>
      <c r="Q972" s="16"/>
      <c r="R972" s="16"/>
    </row>
    <row r="973" customFormat="false" ht="15" hidden="false" customHeight="false" outlineLevel="0" collapsed="false">
      <c r="A973" s="25"/>
      <c r="B973" s="16"/>
      <c r="C973" s="16"/>
      <c r="D973" s="16"/>
      <c r="E973" s="16"/>
      <c r="F973" s="16"/>
      <c r="G973" s="26"/>
      <c r="H973" s="26"/>
      <c r="I973" s="26"/>
      <c r="J973" s="26"/>
      <c r="K973" s="16"/>
      <c r="L973" s="27" t="str">
        <f aca="false">IF(G973="","",G973-H973+I973+IF(K973="N",J973,0))</f>
        <v/>
      </c>
      <c r="M973" s="16"/>
      <c r="N973" s="16"/>
      <c r="O973" s="16"/>
      <c r="P973" s="16"/>
      <c r="Q973" s="16"/>
      <c r="R973" s="16"/>
    </row>
    <row r="974" customFormat="false" ht="15" hidden="false" customHeight="false" outlineLevel="0" collapsed="false">
      <c r="A974" s="25"/>
      <c r="B974" s="16"/>
      <c r="C974" s="16"/>
      <c r="D974" s="16"/>
      <c r="E974" s="16"/>
      <c r="F974" s="16"/>
      <c r="G974" s="26"/>
      <c r="H974" s="26"/>
      <c r="I974" s="26"/>
      <c r="J974" s="26"/>
      <c r="K974" s="16"/>
      <c r="L974" s="27" t="str">
        <f aca="false">IF(G974="","",G974-H974+I974+IF(K974="N",J974,0))</f>
        <v/>
      </c>
      <c r="M974" s="16"/>
      <c r="N974" s="16"/>
      <c r="O974" s="16"/>
      <c r="P974" s="16"/>
      <c r="Q974" s="16"/>
      <c r="R974" s="16"/>
    </row>
    <row r="975" customFormat="false" ht="15" hidden="false" customHeight="false" outlineLevel="0" collapsed="false">
      <c r="A975" s="25"/>
      <c r="B975" s="16"/>
      <c r="C975" s="16"/>
      <c r="D975" s="16"/>
      <c r="E975" s="16"/>
      <c r="F975" s="16"/>
      <c r="G975" s="26"/>
      <c r="H975" s="26"/>
      <c r="I975" s="26"/>
      <c r="J975" s="26"/>
      <c r="K975" s="16"/>
      <c r="L975" s="27" t="str">
        <f aca="false">IF(G975="","",G975-H975+I975+IF(K975="N",J975,0))</f>
        <v/>
      </c>
      <c r="M975" s="16"/>
      <c r="N975" s="16"/>
      <c r="O975" s="16"/>
      <c r="P975" s="16"/>
      <c r="Q975" s="16"/>
      <c r="R975" s="16"/>
    </row>
    <row r="976" customFormat="false" ht="15" hidden="false" customHeight="false" outlineLevel="0" collapsed="false">
      <c r="A976" s="25"/>
      <c r="B976" s="16"/>
      <c r="C976" s="16"/>
      <c r="D976" s="16"/>
      <c r="E976" s="16"/>
      <c r="F976" s="16"/>
      <c r="G976" s="26"/>
      <c r="H976" s="26"/>
      <c r="I976" s="26"/>
      <c r="J976" s="26"/>
      <c r="K976" s="16"/>
      <c r="L976" s="27" t="str">
        <f aca="false">IF(G976="","",G976-H976+I976+IF(K976="N",J976,0))</f>
        <v/>
      </c>
      <c r="M976" s="16"/>
      <c r="N976" s="16"/>
      <c r="O976" s="16"/>
      <c r="P976" s="16"/>
      <c r="Q976" s="16"/>
      <c r="R976" s="16"/>
    </row>
    <row r="977" customFormat="false" ht="15" hidden="false" customHeight="false" outlineLevel="0" collapsed="false">
      <c r="A977" s="25"/>
      <c r="B977" s="16"/>
      <c r="C977" s="16"/>
      <c r="D977" s="16"/>
      <c r="E977" s="16"/>
      <c r="F977" s="16"/>
      <c r="G977" s="26"/>
      <c r="H977" s="26"/>
      <c r="I977" s="26"/>
      <c r="J977" s="26"/>
      <c r="K977" s="16"/>
      <c r="L977" s="27" t="str">
        <f aca="false">IF(G977="","",G977-H977+I977+IF(K977="N",J977,0))</f>
        <v/>
      </c>
      <c r="M977" s="16"/>
      <c r="N977" s="16"/>
      <c r="O977" s="16"/>
      <c r="P977" s="16"/>
      <c r="Q977" s="16"/>
      <c r="R977" s="16"/>
    </row>
    <row r="978" customFormat="false" ht="15" hidden="false" customHeight="false" outlineLevel="0" collapsed="false">
      <c r="A978" s="25"/>
      <c r="B978" s="16"/>
      <c r="C978" s="16"/>
      <c r="D978" s="16"/>
      <c r="E978" s="16"/>
      <c r="F978" s="16"/>
      <c r="G978" s="26"/>
      <c r="H978" s="26"/>
      <c r="I978" s="26"/>
      <c r="J978" s="26"/>
      <c r="K978" s="16"/>
      <c r="L978" s="27" t="str">
        <f aca="false">IF(G978="","",G978-H978+I978+IF(K978="N",J978,0))</f>
        <v/>
      </c>
      <c r="M978" s="16"/>
      <c r="N978" s="16"/>
      <c r="O978" s="16"/>
      <c r="P978" s="16"/>
      <c r="Q978" s="16"/>
      <c r="R978" s="16"/>
    </row>
    <row r="979" customFormat="false" ht="15" hidden="false" customHeight="false" outlineLevel="0" collapsed="false">
      <c r="A979" s="25"/>
      <c r="B979" s="16"/>
      <c r="C979" s="16"/>
      <c r="D979" s="16"/>
      <c r="E979" s="16"/>
      <c r="F979" s="16"/>
      <c r="G979" s="26"/>
      <c r="H979" s="26"/>
      <c r="I979" s="26"/>
      <c r="J979" s="26"/>
      <c r="K979" s="16"/>
      <c r="L979" s="27" t="str">
        <f aca="false">IF(G979="","",G979-H979+I979+IF(K979="N",J979,0))</f>
        <v/>
      </c>
      <c r="M979" s="16"/>
      <c r="N979" s="16"/>
      <c r="O979" s="16"/>
      <c r="P979" s="16"/>
      <c r="Q979" s="16"/>
      <c r="R979" s="16"/>
    </row>
    <row r="980" customFormat="false" ht="15" hidden="false" customHeight="false" outlineLevel="0" collapsed="false">
      <c r="A980" s="25"/>
      <c r="B980" s="16"/>
      <c r="C980" s="16"/>
      <c r="D980" s="16"/>
      <c r="E980" s="16"/>
      <c r="F980" s="16"/>
      <c r="G980" s="26"/>
      <c r="H980" s="26"/>
      <c r="I980" s="26"/>
      <c r="J980" s="26"/>
      <c r="K980" s="16"/>
      <c r="L980" s="27" t="str">
        <f aca="false">IF(G980="","",G980-H980+I980+IF(K980="N",J980,0))</f>
        <v/>
      </c>
      <c r="M980" s="16"/>
      <c r="N980" s="16"/>
      <c r="O980" s="16"/>
      <c r="P980" s="16"/>
      <c r="Q980" s="16"/>
      <c r="R980" s="16"/>
    </row>
    <row r="981" customFormat="false" ht="15" hidden="false" customHeight="false" outlineLevel="0" collapsed="false">
      <c r="A981" s="25"/>
      <c r="B981" s="16"/>
      <c r="C981" s="16"/>
      <c r="D981" s="16"/>
      <c r="E981" s="16"/>
      <c r="F981" s="16"/>
      <c r="G981" s="26"/>
      <c r="H981" s="26"/>
      <c r="I981" s="26"/>
      <c r="J981" s="26"/>
      <c r="K981" s="16"/>
      <c r="L981" s="27" t="str">
        <f aca="false">IF(G981="","",G981-H981+I981+IF(K981="N",J981,0))</f>
        <v/>
      </c>
      <c r="M981" s="16"/>
      <c r="N981" s="16"/>
      <c r="O981" s="16"/>
      <c r="P981" s="16"/>
      <c r="Q981" s="16"/>
      <c r="R981" s="16"/>
    </row>
    <row r="982" customFormat="false" ht="15" hidden="false" customHeight="false" outlineLevel="0" collapsed="false">
      <c r="A982" s="25"/>
      <c r="B982" s="16"/>
      <c r="C982" s="16"/>
      <c r="D982" s="16"/>
      <c r="E982" s="16"/>
      <c r="F982" s="16"/>
      <c r="G982" s="26"/>
      <c r="H982" s="26"/>
      <c r="I982" s="26"/>
      <c r="J982" s="26"/>
      <c r="K982" s="16"/>
      <c r="L982" s="27" t="str">
        <f aca="false">IF(G982="","",G982-H982+I982+IF(K982="N",J982,0))</f>
        <v/>
      </c>
      <c r="M982" s="16"/>
      <c r="N982" s="16"/>
      <c r="O982" s="16"/>
      <c r="P982" s="16"/>
      <c r="Q982" s="16"/>
      <c r="R982" s="16"/>
    </row>
    <row r="983" customFormat="false" ht="15" hidden="false" customHeight="false" outlineLevel="0" collapsed="false">
      <c r="A983" s="25"/>
      <c r="B983" s="16"/>
      <c r="C983" s="16"/>
      <c r="D983" s="16"/>
      <c r="E983" s="16"/>
      <c r="F983" s="16"/>
      <c r="G983" s="26"/>
      <c r="H983" s="26"/>
      <c r="I983" s="26"/>
      <c r="J983" s="26"/>
      <c r="K983" s="16"/>
      <c r="L983" s="27" t="str">
        <f aca="false">IF(G983="","",G983-H983+I983+IF(K983="N",J983,0))</f>
        <v/>
      </c>
      <c r="M983" s="16"/>
      <c r="N983" s="16"/>
      <c r="O983" s="16"/>
      <c r="P983" s="16"/>
      <c r="Q983" s="16"/>
      <c r="R983" s="16"/>
    </row>
    <row r="984" customFormat="false" ht="15" hidden="false" customHeight="false" outlineLevel="0" collapsed="false">
      <c r="A984" s="25"/>
      <c r="B984" s="16"/>
      <c r="C984" s="16"/>
      <c r="D984" s="16"/>
      <c r="E984" s="16"/>
      <c r="F984" s="16"/>
      <c r="G984" s="26"/>
      <c r="H984" s="26"/>
      <c r="I984" s="26"/>
      <c r="J984" s="26"/>
      <c r="K984" s="16"/>
      <c r="L984" s="27" t="str">
        <f aca="false">IF(G984="","",G984-H984+I984+IF(K984="N",J984,0))</f>
        <v/>
      </c>
      <c r="M984" s="16"/>
      <c r="N984" s="16"/>
      <c r="O984" s="16"/>
      <c r="P984" s="16"/>
      <c r="Q984" s="16"/>
      <c r="R984" s="16"/>
    </row>
    <row r="985" customFormat="false" ht="15" hidden="false" customHeight="false" outlineLevel="0" collapsed="false">
      <c r="A985" s="25"/>
      <c r="B985" s="16"/>
      <c r="C985" s="16"/>
      <c r="D985" s="16"/>
      <c r="E985" s="16"/>
      <c r="F985" s="16"/>
      <c r="G985" s="26"/>
      <c r="H985" s="26"/>
      <c r="I985" s="26"/>
      <c r="J985" s="26"/>
      <c r="K985" s="16"/>
      <c r="L985" s="27" t="str">
        <f aca="false">IF(G985="","",G985-H985+I985+IF(K985="N",J985,0))</f>
        <v/>
      </c>
      <c r="M985" s="16"/>
      <c r="N985" s="16"/>
      <c r="O985" s="16"/>
      <c r="P985" s="16"/>
      <c r="Q985" s="16"/>
      <c r="R985" s="16"/>
    </row>
    <row r="986" customFormat="false" ht="15" hidden="false" customHeight="false" outlineLevel="0" collapsed="false">
      <c r="A986" s="25"/>
      <c r="B986" s="16"/>
      <c r="C986" s="16"/>
      <c r="D986" s="16"/>
      <c r="E986" s="16"/>
      <c r="F986" s="16"/>
      <c r="G986" s="26"/>
      <c r="H986" s="26"/>
      <c r="I986" s="26"/>
      <c r="J986" s="26"/>
      <c r="K986" s="16"/>
      <c r="L986" s="27" t="str">
        <f aca="false">IF(G986="","",G986-H986+I986+IF(K986="N",J986,0))</f>
        <v/>
      </c>
      <c r="M986" s="16"/>
      <c r="N986" s="16"/>
      <c r="O986" s="16"/>
      <c r="P986" s="16"/>
      <c r="Q986" s="16"/>
      <c r="R986" s="16"/>
    </row>
    <row r="987" customFormat="false" ht="15" hidden="false" customHeight="false" outlineLevel="0" collapsed="false">
      <c r="A987" s="25"/>
      <c r="B987" s="16"/>
      <c r="C987" s="16"/>
      <c r="D987" s="16"/>
      <c r="E987" s="16"/>
      <c r="F987" s="16"/>
      <c r="G987" s="26"/>
      <c r="H987" s="26"/>
      <c r="I987" s="26"/>
      <c r="J987" s="26"/>
      <c r="K987" s="16"/>
      <c r="L987" s="27" t="str">
        <f aca="false">IF(G987="","",G987-H987+I987+IF(K987="N",J987,0))</f>
        <v/>
      </c>
      <c r="M987" s="16"/>
      <c r="N987" s="16"/>
      <c r="O987" s="16"/>
      <c r="P987" s="16"/>
      <c r="Q987" s="16"/>
      <c r="R987" s="16"/>
    </row>
    <row r="988" customFormat="false" ht="15" hidden="false" customHeight="false" outlineLevel="0" collapsed="false">
      <c r="A988" s="25"/>
      <c r="B988" s="16"/>
      <c r="C988" s="16"/>
      <c r="D988" s="16"/>
      <c r="E988" s="16"/>
      <c r="F988" s="16"/>
      <c r="G988" s="26"/>
      <c r="H988" s="26"/>
      <c r="I988" s="26"/>
      <c r="J988" s="26"/>
      <c r="K988" s="16"/>
      <c r="L988" s="27" t="str">
        <f aca="false">IF(G988="","",G988-H988+I988+IF(K988="N",J988,0))</f>
        <v/>
      </c>
      <c r="M988" s="16"/>
      <c r="N988" s="16"/>
      <c r="O988" s="16"/>
      <c r="P988" s="16"/>
      <c r="Q988" s="16"/>
      <c r="R988" s="16"/>
    </row>
    <row r="989" customFormat="false" ht="15" hidden="false" customHeight="false" outlineLevel="0" collapsed="false">
      <c r="A989" s="25"/>
      <c r="B989" s="16"/>
      <c r="C989" s="16"/>
      <c r="D989" s="16"/>
      <c r="E989" s="16"/>
      <c r="F989" s="16"/>
      <c r="G989" s="26"/>
      <c r="H989" s="26"/>
      <c r="I989" s="26"/>
      <c r="J989" s="26"/>
      <c r="K989" s="16"/>
      <c r="L989" s="27" t="str">
        <f aca="false">IF(G989="","",G989-H989+I989+IF(K989="N",J989,0))</f>
        <v/>
      </c>
      <c r="M989" s="16"/>
      <c r="N989" s="16"/>
      <c r="O989" s="16"/>
      <c r="P989" s="16"/>
      <c r="Q989" s="16"/>
      <c r="R989" s="16"/>
    </row>
    <row r="990" customFormat="false" ht="15" hidden="false" customHeight="false" outlineLevel="0" collapsed="false">
      <c r="A990" s="25"/>
      <c r="B990" s="16"/>
      <c r="C990" s="16"/>
      <c r="D990" s="16"/>
      <c r="E990" s="16"/>
      <c r="F990" s="16"/>
      <c r="G990" s="26"/>
      <c r="H990" s="26"/>
      <c r="I990" s="26"/>
      <c r="J990" s="26"/>
      <c r="K990" s="16"/>
      <c r="L990" s="27" t="str">
        <f aca="false">IF(G990="","",G990-H990+I990+IF(K990="N",J990,0))</f>
        <v/>
      </c>
      <c r="M990" s="16"/>
      <c r="N990" s="16"/>
      <c r="O990" s="16"/>
      <c r="P990" s="16"/>
      <c r="Q990" s="16"/>
      <c r="R990" s="16"/>
    </row>
    <row r="991" customFormat="false" ht="15" hidden="false" customHeight="false" outlineLevel="0" collapsed="false">
      <c r="A991" s="25"/>
      <c r="B991" s="16"/>
      <c r="C991" s="16"/>
      <c r="D991" s="16"/>
      <c r="E991" s="16"/>
      <c r="F991" s="16"/>
      <c r="G991" s="26"/>
      <c r="H991" s="26"/>
      <c r="I991" s="26"/>
      <c r="J991" s="26"/>
      <c r="K991" s="16"/>
      <c r="L991" s="27" t="str">
        <f aca="false">IF(G991="","",G991-H991+I991+IF(K991="N",J991,0))</f>
        <v/>
      </c>
      <c r="M991" s="16"/>
      <c r="N991" s="16"/>
      <c r="O991" s="16"/>
      <c r="P991" s="16"/>
      <c r="Q991" s="16"/>
      <c r="R991" s="16"/>
    </row>
    <row r="992" customFormat="false" ht="15" hidden="false" customHeight="false" outlineLevel="0" collapsed="false">
      <c r="A992" s="25"/>
      <c r="B992" s="16"/>
      <c r="C992" s="16"/>
      <c r="D992" s="16"/>
      <c r="E992" s="16"/>
      <c r="F992" s="16"/>
      <c r="G992" s="26"/>
      <c r="H992" s="26"/>
      <c r="I992" s="26"/>
      <c r="J992" s="26"/>
      <c r="K992" s="16"/>
      <c r="L992" s="27" t="str">
        <f aca="false">IF(G992="","",G992-H992+I992+IF(K992="N",J992,0))</f>
        <v/>
      </c>
      <c r="M992" s="16"/>
      <c r="N992" s="16"/>
      <c r="O992" s="16"/>
      <c r="P992" s="16"/>
      <c r="Q992" s="16"/>
      <c r="R992" s="16"/>
    </row>
    <row r="993" customFormat="false" ht="15" hidden="false" customHeight="false" outlineLevel="0" collapsed="false">
      <c r="A993" s="25"/>
      <c r="B993" s="16"/>
      <c r="C993" s="16"/>
      <c r="D993" s="16"/>
      <c r="E993" s="16"/>
      <c r="F993" s="16"/>
      <c r="G993" s="26"/>
      <c r="H993" s="26"/>
      <c r="I993" s="26"/>
      <c r="J993" s="26"/>
      <c r="K993" s="16"/>
      <c r="L993" s="27" t="str">
        <f aca="false">IF(G993="","",G993-H993+I993+IF(K993="N",J993,0))</f>
        <v/>
      </c>
      <c r="M993" s="16"/>
      <c r="N993" s="16"/>
      <c r="O993" s="16"/>
      <c r="P993" s="16"/>
      <c r="Q993" s="16"/>
      <c r="R993" s="16"/>
    </row>
    <row r="994" customFormat="false" ht="15" hidden="false" customHeight="false" outlineLevel="0" collapsed="false">
      <c r="A994" s="25"/>
      <c r="B994" s="16"/>
      <c r="C994" s="16"/>
      <c r="D994" s="16"/>
      <c r="E994" s="16"/>
      <c r="F994" s="16"/>
      <c r="G994" s="26"/>
      <c r="H994" s="26"/>
      <c r="I994" s="26"/>
      <c r="J994" s="26"/>
      <c r="K994" s="16"/>
      <c r="L994" s="27" t="str">
        <f aca="false">IF(G994="","",G994-H994+I994+IF(K994="N",J994,0))</f>
        <v/>
      </c>
      <c r="M994" s="16"/>
      <c r="N994" s="16"/>
      <c r="O994" s="16"/>
      <c r="P994" s="16"/>
      <c r="Q994" s="16"/>
      <c r="R994" s="16"/>
    </row>
    <row r="995" customFormat="false" ht="15" hidden="false" customHeight="false" outlineLevel="0" collapsed="false">
      <c r="A995" s="25"/>
      <c r="B995" s="16"/>
      <c r="C995" s="16"/>
      <c r="D995" s="16"/>
      <c r="E995" s="16"/>
      <c r="F995" s="16"/>
      <c r="G995" s="26"/>
      <c r="H995" s="26"/>
      <c r="I995" s="26"/>
      <c r="J995" s="26"/>
      <c r="K995" s="16"/>
      <c r="L995" s="27" t="str">
        <f aca="false">IF(G995="","",G995-H995+I995+IF(K995="N",J995,0))</f>
        <v/>
      </c>
      <c r="M995" s="16"/>
      <c r="N995" s="16"/>
      <c r="O995" s="16"/>
      <c r="P995" s="16"/>
      <c r="Q995" s="16"/>
      <c r="R995" s="16"/>
    </row>
    <row r="996" customFormat="false" ht="15" hidden="false" customHeight="false" outlineLevel="0" collapsed="false">
      <c r="A996" s="25"/>
      <c r="B996" s="16"/>
      <c r="C996" s="16"/>
      <c r="D996" s="16"/>
      <c r="E996" s="16"/>
      <c r="F996" s="16"/>
      <c r="G996" s="26"/>
      <c r="H996" s="26"/>
      <c r="I996" s="26"/>
      <c r="J996" s="26"/>
      <c r="K996" s="16"/>
      <c r="L996" s="27" t="str">
        <f aca="false">IF(G996="","",G996-H996+I996+IF(K996="N",J996,0))</f>
        <v/>
      </c>
      <c r="M996" s="16"/>
      <c r="N996" s="16"/>
      <c r="O996" s="16"/>
      <c r="P996" s="16"/>
      <c r="Q996" s="16"/>
      <c r="R996" s="16"/>
    </row>
    <row r="997" customFormat="false" ht="15" hidden="false" customHeight="false" outlineLevel="0" collapsed="false">
      <c r="A997" s="25"/>
      <c r="B997" s="16"/>
      <c r="C997" s="16"/>
      <c r="D997" s="16"/>
      <c r="E997" s="16"/>
      <c r="F997" s="16"/>
      <c r="G997" s="26"/>
      <c r="H997" s="26"/>
      <c r="I997" s="26"/>
      <c r="J997" s="26"/>
      <c r="K997" s="16"/>
      <c r="L997" s="27" t="str">
        <f aca="false">IF(G997="","",G997-H997+I997+IF(K997="N",J997,0))</f>
        <v/>
      </c>
      <c r="M997" s="16"/>
      <c r="N997" s="16"/>
      <c r="O997" s="16"/>
      <c r="P997" s="16"/>
      <c r="Q997" s="16"/>
      <c r="R997" s="16"/>
    </row>
    <row r="998" customFormat="false" ht="15" hidden="false" customHeight="false" outlineLevel="0" collapsed="false">
      <c r="A998" s="25"/>
      <c r="B998" s="16"/>
      <c r="C998" s="16"/>
      <c r="D998" s="16"/>
      <c r="E998" s="16"/>
      <c r="F998" s="16"/>
      <c r="G998" s="26"/>
      <c r="H998" s="26"/>
      <c r="I998" s="26"/>
      <c r="J998" s="26"/>
      <c r="K998" s="16"/>
      <c r="L998" s="27" t="str">
        <f aca="false">IF(G998="","",G998-H998+I998+IF(K998="N",J998,0))</f>
        <v/>
      </c>
      <c r="M998" s="16"/>
      <c r="N998" s="16"/>
      <c r="O998" s="16"/>
      <c r="P998" s="16"/>
      <c r="Q998" s="16"/>
      <c r="R998" s="16"/>
    </row>
    <row r="999" customFormat="false" ht="15" hidden="false" customHeight="false" outlineLevel="0" collapsed="false">
      <c r="A999" s="25"/>
      <c r="B999" s="16"/>
      <c r="C999" s="16"/>
      <c r="D999" s="16"/>
      <c r="E999" s="16"/>
      <c r="F999" s="16"/>
      <c r="G999" s="26"/>
      <c r="H999" s="26"/>
      <c r="I999" s="26"/>
      <c r="J999" s="26"/>
      <c r="K999" s="16"/>
      <c r="L999" s="27" t="str">
        <f aca="false">IF(G999="","",G999-H999+I999+IF(K999="N",J999,0))</f>
        <v/>
      </c>
      <c r="M999" s="16"/>
      <c r="N999" s="16"/>
      <c r="O999" s="16"/>
      <c r="P999" s="16"/>
      <c r="Q999" s="16"/>
      <c r="R999" s="16"/>
    </row>
    <row r="1000" customFormat="false" ht="15" hidden="false" customHeight="false" outlineLevel="0" collapsed="false">
      <c r="A1000" s="25"/>
      <c r="B1000" s="16"/>
      <c r="C1000" s="16"/>
      <c r="D1000" s="16"/>
      <c r="E1000" s="16"/>
      <c r="F1000" s="16"/>
      <c r="G1000" s="26"/>
      <c r="H1000" s="26"/>
      <c r="I1000" s="26"/>
      <c r="J1000" s="26"/>
      <c r="K1000" s="16"/>
      <c r="L1000" s="27" t="str">
        <f aca="false">IF(G1000="","",G1000-H1000+I1000+IF(K1000="N",J1000,0))</f>
        <v/>
      </c>
      <c r="M1000" s="16"/>
      <c r="N1000" s="16"/>
      <c r="O1000" s="16"/>
      <c r="P1000" s="16"/>
      <c r="Q1000" s="16"/>
      <c r="R1000" s="16"/>
    </row>
    <row r="1001" customFormat="false" ht="15" hidden="false" customHeight="false" outlineLevel="0" collapsed="false">
      <c r="A1001" s="25"/>
      <c r="B1001" s="16"/>
      <c r="C1001" s="16"/>
      <c r="D1001" s="16"/>
      <c r="E1001" s="16"/>
      <c r="F1001" s="16"/>
      <c r="G1001" s="26"/>
      <c r="H1001" s="26"/>
      <c r="I1001" s="26"/>
      <c r="J1001" s="26"/>
      <c r="K1001" s="16"/>
      <c r="L1001" s="27" t="str">
        <f aca="false">IF(G1001="","",G1001-H1001+I1001+IF(K1001="N",J1001,0))</f>
        <v/>
      </c>
      <c r="M1001" s="16"/>
      <c r="N1001" s="16"/>
      <c r="O1001" s="16"/>
      <c r="P1001" s="16"/>
      <c r="Q1001" s="16"/>
      <c r="R1001" s="16"/>
    </row>
    <row r="1002" customFormat="false" ht="15" hidden="false" customHeight="false" outlineLevel="0" collapsed="false">
      <c r="A1002" s="25"/>
      <c r="B1002" s="16"/>
      <c r="C1002" s="16"/>
      <c r="D1002" s="16"/>
      <c r="E1002" s="16"/>
      <c r="F1002" s="16"/>
      <c r="G1002" s="26"/>
      <c r="H1002" s="26"/>
      <c r="I1002" s="26"/>
      <c r="J1002" s="26"/>
      <c r="K1002" s="16"/>
      <c r="L1002" s="27" t="str">
        <f aca="false">IF(G1002="","",G1002-H1002+I1002+IF(K1002="N",J1002,0))</f>
        <v/>
      </c>
      <c r="M1002" s="16"/>
      <c r="N1002" s="16"/>
      <c r="O1002" s="16"/>
      <c r="P1002" s="16"/>
      <c r="Q1002" s="16"/>
      <c r="R1002" s="16"/>
    </row>
    <row r="1003" customFormat="false" ht="15" hidden="false" customHeight="false" outlineLevel="0" collapsed="false">
      <c r="A1003" s="25"/>
      <c r="B1003" s="16"/>
      <c r="C1003" s="16"/>
      <c r="D1003" s="16"/>
      <c r="E1003" s="16"/>
      <c r="F1003" s="16"/>
      <c r="G1003" s="26"/>
      <c r="H1003" s="26"/>
      <c r="I1003" s="26"/>
      <c r="J1003" s="26"/>
      <c r="K1003" s="16"/>
      <c r="L1003" s="27" t="str">
        <f aca="false">IF(G1003="","",G1003-H1003+I1003+IF(K1003="N",J1003,0))</f>
        <v/>
      </c>
      <c r="M1003" s="16"/>
      <c r="N1003" s="16"/>
      <c r="O1003" s="16"/>
      <c r="P1003" s="16"/>
      <c r="Q1003" s="16"/>
      <c r="R1003" s="16"/>
    </row>
    <row r="1004" customFormat="false" ht="15" hidden="false" customHeight="false" outlineLevel="0" collapsed="false">
      <c r="A1004" s="25"/>
      <c r="B1004" s="16"/>
      <c r="C1004" s="16"/>
      <c r="D1004" s="16"/>
      <c r="E1004" s="16"/>
      <c r="F1004" s="16"/>
      <c r="G1004" s="26"/>
      <c r="H1004" s="26"/>
      <c r="I1004" s="26"/>
      <c r="J1004" s="26"/>
      <c r="K1004" s="16"/>
      <c r="L1004" s="27" t="str">
        <f aca="false">IF(G1004="","",G1004-H1004+I1004+IF(K1004="N",J1004,0))</f>
        <v/>
      </c>
      <c r="M1004" s="16"/>
      <c r="N1004" s="16"/>
      <c r="O1004" s="16"/>
      <c r="P1004" s="16"/>
      <c r="Q1004" s="16"/>
      <c r="R1004" s="16"/>
    </row>
  </sheetData>
  <autoFilter ref="A4:R1004"/>
  <mergeCells count="1">
    <mergeCell ref="A2:L2"/>
  </mergeCells>
  <dataValidations count="5">
    <dataValidation allowBlank="true" error="Pick a value from the list." errorStyle="stop" errorTitle="Not on the list" operator="between" prompt="Pick the channel (list lives on Chart of Accounts)." showDropDown="false" showErrorMessage="true" showInputMessage="true" sqref="B5:B1004" type="list">
      <formula1>ChannelList</formula1>
      <formula2>0</formula2>
    </dataValidation>
    <dataValidation allowBlank="true" error="Pick a value from the list." errorStyle="stop" errorTitle="Not on the list" operator="between" showDropDown="false" showErrorMessage="true" showInputMessage="false" sqref="K5:K1004" type="list">
      <formula1>"Y,N"</formula1>
      <formula2>0</formula2>
    </dataValidation>
    <dataValidation allowBlank="true" error="Pick a value from the list." errorStyle="stop" errorTitle="Not on the list" operator="between" showDropDown="false" showErrorMessage="true" showInputMessage="false" sqref="N5:N1004" type="list">
      <formula1>"Y,N"</formula1>
      <formula2>0</formula2>
    </dataValidation>
    <dataValidation allowBlank="true" error="Pick a value from the list." errorStyle="stop" errorTitle="Not on the list" operator="between" showDropDown="false" showErrorMessage="true" showInputMessage="false" sqref="O5:O1004" type="list">
      <formula1>IncomeAccounts</formula1>
      <formula2>0</formula2>
    </dataValidation>
    <dataValidation allowBlank="true" error="Enter a number (0 or more). Put refunds in Notes and ask the accountant." errorStyle="stop" operator="greaterThanOrEqual" showDropDown="false" showErrorMessage="true" showInputMessage="false" sqref="F5:F1004"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940"/>
    <pageSetUpPr fitToPage="true"/>
  </sheetPr>
  <dimension ref="A1:K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28"/>
    <col collapsed="false" customWidth="true" hidden="false" outlineLevel="0" max="3" min="3" style="0" width="40"/>
    <col collapsed="false" customWidth="true" hidden="false" outlineLevel="0" max="4" min="4" style="0" width="12"/>
    <col collapsed="false" customWidth="true" hidden="false" outlineLevel="0" max="5" min="5" style="0" width="32"/>
    <col collapsed="false" customWidth="true" hidden="false" outlineLevel="0" max="6" min="6" style="0" width="40"/>
    <col collapsed="false" customWidth="true" hidden="false" outlineLevel="0" max="7" min="7" style="0" width="46"/>
    <col collapsed="false" customWidth="true" hidden="false" outlineLevel="0" max="8" min="8" style="0" width="12"/>
    <col collapsed="false" customWidth="true" hidden="false" outlineLevel="0" max="9" min="9" style="0" width="11"/>
    <col collapsed="false" customWidth="true" hidden="false" outlineLevel="0" max="10" min="10" style="0" width="30"/>
    <col collapsed="false" customWidth="true" hidden="false" outlineLevel="0" max="11" min="11" style="0" width="10"/>
  </cols>
  <sheetData>
    <row r="1" customFormat="false" ht="24" hidden="false" customHeight="true" outlineLevel="0" collapsed="false">
      <c r="A1" s="1" t="s">
        <v>36</v>
      </c>
    </row>
    <row r="2" customFormat="false" ht="42" hidden="false" customHeight="true" outlineLevel="0" collapsed="false">
      <c r="A2" s="11" t="s">
        <v>527</v>
      </c>
      <c r="B2" s="11"/>
      <c r="C2" s="11"/>
      <c r="D2" s="11"/>
      <c r="E2" s="11"/>
      <c r="F2" s="11"/>
      <c r="G2" s="11"/>
      <c r="H2" s="11"/>
      <c r="I2" s="11"/>
    </row>
    <row r="4" customFormat="false" ht="39.75" hidden="false" customHeight="true" outlineLevel="0" collapsed="false">
      <c r="A4" s="12" t="s">
        <v>485</v>
      </c>
      <c r="B4" s="12" t="s">
        <v>528</v>
      </c>
      <c r="C4" s="12" t="s">
        <v>529</v>
      </c>
      <c r="D4" s="12" t="s">
        <v>530</v>
      </c>
      <c r="E4" s="12" t="s">
        <v>531</v>
      </c>
      <c r="F4" s="12" t="s">
        <v>532</v>
      </c>
      <c r="G4" s="12" t="s">
        <v>500</v>
      </c>
      <c r="H4" s="12" t="s">
        <v>533</v>
      </c>
      <c r="I4" s="12" t="s">
        <v>534</v>
      </c>
      <c r="J4" s="12" t="s">
        <v>535</v>
      </c>
      <c r="K4" s="12" t="s">
        <v>501</v>
      </c>
    </row>
    <row r="5" customFormat="false" ht="15" hidden="false" customHeight="false" outlineLevel="0" collapsed="false">
      <c r="A5" s="22" t="n">
        <v>46297</v>
      </c>
      <c r="B5" s="7" t="s">
        <v>478</v>
      </c>
      <c r="C5" s="7" t="s">
        <v>83</v>
      </c>
      <c r="D5" s="23" t="n">
        <v>14.25</v>
      </c>
      <c r="E5" s="7" t="s">
        <v>132</v>
      </c>
      <c r="F5" s="7" t="s">
        <v>536</v>
      </c>
      <c r="G5" s="7" t="s">
        <v>537</v>
      </c>
      <c r="H5" s="7" t="s">
        <v>513</v>
      </c>
      <c r="I5" s="7"/>
      <c r="J5" s="28" t="str">
        <f aca="false">IF(AND(H5="Y",E5="Business checking (debit/ACH/check)"),"Counts toward 1099-NEC",IF(H5="Y","Paid by card/PayPal - 1099-K side",""))</f>
        <v/>
      </c>
      <c r="K5" s="7" t="s">
        <v>509</v>
      </c>
    </row>
    <row r="6" customFormat="false" ht="15" hidden="false" customHeight="false" outlineLevel="0" collapsed="false">
      <c r="A6" s="22" t="n">
        <v>46301</v>
      </c>
      <c r="B6" s="7" t="s">
        <v>368</v>
      </c>
      <c r="C6" s="7" t="s">
        <v>70</v>
      </c>
      <c r="D6" s="23" t="n">
        <v>60</v>
      </c>
      <c r="E6" s="7" t="s">
        <v>132</v>
      </c>
      <c r="F6" s="7" t="s">
        <v>538</v>
      </c>
      <c r="G6" s="7" t="s">
        <v>539</v>
      </c>
      <c r="H6" s="7" t="s">
        <v>513</v>
      </c>
      <c r="I6" s="7"/>
      <c r="J6" s="28" t="str">
        <f aca="false">IF(AND(H6="Y",E6="Business checking (debit/ACH/check)"),"Counts toward 1099-NEC",IF(H6="Y","Paid by card/PayPal - 1099-K side",""))</f>
        <v/>
      </c>
      <c r="K6" s="7" t="s">
        <v>509</v>
      </c>
    </row>
    <row r="7" customFormat="false" ht="15" hidden="false" customHeight="false" outlineLevel="0" collapsed="false">
      <c r="A7" s="22" t="n">
        <v>46315</v>
      </c>
      <c r="B7" s="7" t="s">
        <v>540</v>
      </c>
      <c r="C7" s="7" t="s">
        <v>158</v>
      </c>
      <c r="D7" s="23" t="n">
        <v>400</v>
      </c>
      <c r="E7" s="7" t="s">
        <v>541</v>
      </c>
      <c r="F7" s="7" t="s">
        <v>542</v>
      </c>
      <c r="G7" s="7" t="s">
        <v>543</v>
      </c>
      <c r="H7" s="7" t="s">
        <v>505</v>
      </c>
      <c r="I7" s="7" t="s">
        <v>505</v>
      </c>
      <c r="J7" s="28" t="str">
        <f aca="false">IF(AND(H7="Y",E7="Business checking (debit/ACH/check)"),"Counts toward 1099-NEC",IF(H7="Y","Paid by card/PayPal - 1099-K side",""))</f>
        <v>Counts toward 1099-NEC</v>
      </c>
      <c r="K7" s="7" t="s">
        <v>509</v>
      </c>
    </row>
    <row r="8" customFormat="false" ht="15" hidden="false" customHeight="false" outlineLevel="0" collapsed="false">
      <c r="A8" s="25"/>
      <c r="B8" s="16"/>
      <c r="C8" s="16"/>
      <c r="D8" s="26"/>
      <c r="E8" s="16"/>
      <c r="F8" s="16"/>
      <c r="G8" s="16"/>
      <c r="H8" s="16"/>
      <c r="I8" s="16"/>
      <c r="J8" s="8" t="str">
        <f aca="false">IF(AND(H8="Y",E8="Business checking (debit/ACH/check)"),"Counts toward 1099-NEC",IF(H8="Y","Paid by card/PayPal - 1099-K side",""))</f>
        <v/>
      </c>
      <c r="K8" s="16"/>
    </row>
    <row r="9" customFormat="false" ht="15" hidden="false" customHeight="false" outlineLevel="0" collapsed="false">
      <c r="A9" s="25"/>
      <c r="B9" s="16"/>
      <c r="C9" s="16"/>
      <c r="D9" s="26"/>
      <c r="E9" s="16"/>
      <c r="F9" s="16"/>
      <c r="G9" s="16"/>
      <c r="H9" s="16"/>
      <c r="I9" s="16"/>
      <c r="J9" s="8" t="str">
        <f aca="false">IF(AND(H9="Y",E9="Business checking (debit/ACH/check)"),"Counts toward 1099-NEC",IF(H9="Y","Paid by card/PayPal - 1099-K side",""))</f>
        <v/>
      </c>
      <c r="K9" s="16"/>
    </row>
    <row r="10" customFormat="false" ht="15" hidden="false" customHeight="false" outlineLevel="0" collapsed="false">
      <c r="A10" s="25"/>
      <c r="B10" s="16"/>
      <c r="C10" s="16"/>
      <c r="D10" s="26"/>
      <c r="E10" s="16"/>
      <c r="F10" s="16"/>
      <c r="G10" s="16"/>
      <c r="H10" s="16"/>
      <c r="I10" s="16"/>
      <c r="J10" s="8" t="str">
        <f aca="false">IF(AND(H10="Y",E10="Business checking (debit/ACH/check)"),"Counts toward 1099-NEC",IF(H10="Y","Paid by card/PayPal - 1099-K side",""))</f>
        <v/>
      </c>
      <c r="K10" s="16"/>
    </row>
    <row r="11" customFormat="false" ht="15" hidden="false" customHeight="false" outlineLevel="0" collapsed="false">
      <c r="A11" s="25"/>
      <c r="B11" s="16"/>
      <c r="C11" s="16"/>
      <c r="D11" s="26"/>
      <c r="E11" s="16"/>
      <c r="F11" s="16"/>
      <c r="G11" s="16"/>
      <c r="H11" s="16"/>
      <c r="I11" s="16"/>
      <c r="J11" s="8" t="str">
        <f aca="false">IF(AND(H11="Y",E11="Business checking (debit/ACH/check)"),"Counts toward 1099-NEC",IF(H11="Y","Paid by card/PayPal - 1099-K side",""))</f>
        <v/>
      </c>
      <c r="K11" s="16"/>
    </row>
    <row r="12" customFormat="false" ht="15" hidden="false" customHeight="false" outlineLevel="0" collapsed="false">
      <c r="A12" s="25"/>
      <c r="B12" s="16"/>
      <c r="C12" s="16"/>
      <c r="D12" s="26"/>
      <c r="E12" s="16"/>
      <c r="F12" s="16"/>
      <c r="G12" s="16"/>
      <c r="H12" s="16"/>
      <c r="I12" s="16"/>
      <c r="J12" s="8" t="str">
        <f aca="false">IF(AND(H12="Y",E12="Business checking (debit/ACH/check)"),"Counts toward 1099-NEC",IF(H12="Y","Paid by card/PayPal - 1099-K side",""))</f>
        <v/>
      </c>
      <c r="K12" s="16"/>
    </row>
    <row r="13" customFormat="false" ht="15" hidden="false" customHeight="false" outlineLevel="0" collapsed="false">
      <c r="A13" s="25"/>
      <c r="B13" s="16"/>
      <c r="C13" s="16"/>
      <c r="D13" s="26"/>
      <c r="E13" s="16"/>
      <c r="F13" s="16"/>
      <c r="G13" s="16"/>
      <c r="H13" s="16"/>
      <c r="I13" s="16"/>
      <c r="J13" s="8" t="str">
        <f aca="false">IF(AND(H13="Y",E13="Business checking (debit/ACH/check)"),"Counts toward 1099-NEC",IF(H13="Y","Paid by card/PayPal - 1099-K side",""))</f>
        <v/>
      </c>
      <c r="K13" s="16"/>
    </row>
    <row r="14" customFormat="false" ht="15" hidden="false" customHeight="false" outlineLevel="0" collapsed="false">
      <c r="A14" s="25"/>
      <c r="B14" s="16"/>
      <c r="C14" s="16"/>
      <c r="D14" s="26"/>
      <c r="E14" s="16"/>
      <c r="F14" s="16"/>
      <c r="G14" s="16"/>
      <c r="H14" s="16"/>
      <c r="I14" s="16"/>
      <c r="J14" s="8" t="str">
        <f aca="false">IF(AND(H14="Y",E14="Business checking (debit/ACH/check)"),"Counts toward 1099-NEC",IF(H14="Y","Paid by card/PayPal - 1099-K side",""))</f>
        <v/>
      </c>
      <c r="K14" s="16"/>
    </row>
    <row r="15" customFormat="false" ht="15" hidden="false" customHeight="false" outlineLevel="0" collapsed="false">
      <c r="A15" s="25"/>
      <c r="B15" s="16"/>
      <c r="C15" s="16"/>
      <c r="D15" s="26"/>
      <c r="E15" s="16"/>
      <c r="F15" s="16"/>
      <c r="G15" s="16"/>
      <c r="H15" s="16"/>
      <c r="I15" s="16"/>
      <c r="J15" s="8" t="str">
        <f aca="false">IF(AND(H15="Y",E15="Business checking (debit/ACH/check)"),"Counts toward 1099-NEC",IF(H15="Y","Paid by card/PayPal - 1099-K side",""))</f>
        <v/>
      </c>
      <c r="K15" s="16"/>
    </row>
    <row r="16" customFormat="false" ht="15" hidden="false" customHeight="false" outlineLevel="0" collapsed="false">
      <c r="A16" s="25"/>
      <c r="B16" s="16"/>
      <c r="C16" s="16"/>
      <c r="D16" s="26"/>
      <c r="E16" s="16"/>
      <c r="F16" s="16"/>
      <c r="G16" s="16"/>
      <c r="H16" s="16"/>
      <c r="I16" s="16"/>
      <c r="J16" s="8" t="str">
        <f aca="false">IF(AND(H16="Y",E16="Business checking (debit/ACH/check)"),"Counts toward 1099-NEC",IF(H16="Y","Paid by card/PayPal - 1099-K side",""))</f>
        <v/>
      </c>
      <c r="K16" s="16"/>
    </row>
    <row r="17" customFormat="false" ht="15" hidden="false" customHeight="false" outlineLevel="0" collapsed="false">
      <c r="A17" s="25"/>
      <c r="B17" s="16"/>
      <c r="C17" s="16"/>
      <c r="D17" s="26"/>
      <c r="E17" s="16"/>
      <c r="F17" s="16"/>
      <c r="G17" s="16"/>
      <c r="H17" s="16"/>
      <c r="I17" s="16"/>
      <c r="J17" s="8" t="str">
        <f aca="false">IF(AND(H17="Y",E17="Business checking (debit/ACH/check)"),"Counts toward 1099-NEC",IF(H17="Y","Paid by card/PayPal - 1099-K side",""))</f>
        <v/>
      </c>
      <c r="K17" s="16"/>
    </row>
    <row r="18" customFormat="false" ht="15" hidden="false" customHeight="false" outlineLevel="0" collapsed="false">
      <c r="A18" s="25"/>
      <c r="B18" s="16"/>
      <c r="C18" s="16"/>
      <c r="D18" s="26"/>
      <c r="E18" s="16"/>
      <c r="F18" s="16"/>
      <c r="G18" s="16"/>
      <c r="H18" s="16"/>
      <c r="I18" s="16"/>
      <c r="J18" s="8" t="str">
        <f aca="false">IF(AND(H18="Y",E18="Business checking (debit/ACH/check)"),"Counts toward 1099-NEC",IF(H18="Y","Paid by card/PayPal - 1099-K side",""))</f>
        <v/>
      </c>
      <c r="K18" s="16"/>
    </row>
    <row r="19" customFormat="false" ht="15" hidden="false" customHeight="false" outlineLevel="0" collapsed="false">
      <c r="A19" s="25"/>
      <c r="B19" s="16"/>
      <c r="C19" s="16"/>
      <c r="D19" s="26"/>
      <c r="E19" s="16"/>
      <c r="F19" s="16"/>
      <c r="G19" s="16"/>
      <c r="H19" s="16"/>
      <c r="I19" s="16"/>
      <c r="J19" s="8" t="str">
        <f aca="false">IF(AND(H19="Y",E19="Business checking (debit/ACH/check)"),"Counts toward 1099-NEC",IF(H19="Y","Paid by card/PayPal - 1099-K side",""))</f>
        <v/>
      </c>
      <c r="K19" s="16"/>
    </row>
    <row r="20" customFormat="false" ht="15" hidden="false" customHeight="false" outlineLevel="0" collapsed="false">
      <c r="A20" s="25"/>
      <c r="B20" s="16"/>
      <c r="C20" s="16"/>
      <c r="D20" s="26"/>
      <c r="E20" s="16"/>
      <c r="F20" s="16"/>
      <c r="G20" s="16"/>
      <c r="H20" s="16"/>
      <c r="I20" s="16"/>
      <c r="J20" s="8" t="str">
        <f aca="false">IF(AND(H20="Y",E20="Business checking (debit/ACH/check)"),"Counts toward 1099-NEC",IF(H20="Y","Paid by card/PayPal - 1099-K side",""))</f>
        <v/>
      </c>
      <c r="K20" s="16"/>
    </row>
    <row r="21" customFormat="false" ht="15" hidden="false" customHeight="false" outlineLevel="0" collapsed="false">
      <c r="A21" s="25"/>
      <c r="B21" s="16"/>
      <c r="C21" s="16"/>
      <c r="D21" s="26"/>
      <c r="E21" s="16"/>
      <c r="F21" s="16"/>
      <c r="G21" s="16"/>
      <c r="H21" s="16"/>
      <c r="I21" s="16"/>
      <c r="J21" s="8" t="str">
        <f aca="false">IF(AND(H21="Y",E21="Business checking (debit/ACH/check)"),"Counts toward 1099-NEC",IF(H21="Y","Paid by card/PayPal - 1099-K side",""))</f>
        <v/>
      </c>
      <c r="K21" s="16"/>
    </row>
    <row r="22" customFormat="false" ht="15" hidden="false" customHeight="false" outlineLevel="0" collapsed="false">
      <c r="A22" s="25"/>
      <c r="B22" s="16"/>
      <c r="C22" s="16"/>
      <c r="D22" s="26"/>
      <c r="E22" s="16"/>
      <c r="F22" s="16"/>
      <c r="G22" s="16"/>
      <c r="H22" s="16"/>
      <c r="I22" s="16"/>
      <c r="J22" s="8" t="str">
        <f aca="false">IF(AND(H22="Y",E22="Business checking (debit/ACH/check)"),"Counts toward 1099-NEC",IF(H22="Y","Paid by card/PayPal - 1099-K side",""))</f>
        <v/>
      </c>
      <c r="K22" s="16"/>
    </row>
    <row r="23" customFormat="false" ht="15" hidden="false" customHeight="false" outlineLevel="0" collapsed="false">
      <c r="A23" s="25"/>
      <c r="B23" s="16"/>
      <c r="C23" s="16"/>
      <c r="D23" s="26"/>
      <c r="E23" s="16"/>
      <c r="F23" s="16"/>
      <c r="G23" s="16"/>
      <c r="H23" s="16"/>
      <c r="I23" s="16"/>
      <c r="J23" s="8" t="str">
        <f aca="false">IF(AND(H23="Y",E23="Business checking (debit/ACH/check)"),"Counts toward 1099-NEC",IF(H23="Y","Paid by card/PayPal - 1099-K side",""))</f>
        <v/>
      </c>
      <c r="K23" s="16"/>
    </row>
    <row r="24" customFormat="false" ht="15" hidden="false" customHeight="false" outlineLevel="0" collapsed="false">
      <c r="A24" s="25"/>
      <c r="B24" s="16"/>
      <c r="C24" s="16"/>
      <c r="D24" s="26"/>
      <c r="E24" s="16"/>
      <c r="F24" s="16"/>
      <c r="G24" s="16"/>
      <c r="H24" s="16"/>
      <c r="I24" s="16"/>
      <c r="J24" s="8" t="str">
        <f aca="false">IF(AND(H24="Y",E24="Business checking (debit/ACH/check)"),"Counts toward 1099-NEC",IF(H24="Y","Paid by card/PayPal - 1099-K side",""))</f>
        <v/>
      </c>
      <c r="K24" s="16"/>
    </row>
    <row r="25" customFormat="false" ht="15" hidden="false" customHeight="false" outlineLevel="0" collapsed="false">
      <c r="A25" s="25"/>
      <c r="B25" s="16"/>
      <c r="C25" s="16"/>
      <c r="D25" s="26"/>
      <c r="E25" s="16"/>
      <c r="F25" s="16"/>
      <c r="G25" s="16"/>
      <c r="H25" s="16"/>
      <c r="I25" s="16"/>
      <c r="J25" s="8" t="str">
        <f aca="false">IF(AND(H25="Y",E25="Business checking (debit/ACH/check)"),"Counts toward 1099-NEC",IF(H25="Y","Paid by card/PayPal - 1099-K side",""))</f>
        <v/>
      </c>
      <c r="K25" s="16"/>
    </row>
    <row r="26" customFormat="false" ht="15" hidden="false" customHeight="false" outlineLevel="0" collapsed="false">
      <c r="A26" s="25"/>
      <c r="B26" s="16"/>
      <c r="C26" s="16"/>
      <c r="D26" s="26"/>
      <c r="E26" s="16"/>
      <c r="F26" s="16"/>
      <c r="G26" s="16"/>
      <c r="H26" s="16"/>
      <c r="I26" s="16"/>
      <c r="J26" s="8" t="str">
        <f aca="false">IF(AND(H26="Y",E26="Business checking (debit/ACH/check)"),"Counts toward 1099-NEC",IF(H26="Y","Paid by card/PayPal - 1099-K side",""))</f>
        <v/>
      </c>
      <c r="K26" s="16"/>
    </row>
    <row r="27" customFormat="false" ht="15" hidden="false" customHeight="false" outlineLevel="0" collapsed="false">
      <c r="A27" s="25"/>
      <c r="B27" s="16"/>
      <c r="C27" s="16"/>
      <c r="D27" s="26"/>
      <c r="E27" s="16"/>
      <c r="F27" s="16"/>
      <c r="G27" s="16"/>
      <c r="H27" s="16"/>
      <c r="I27" s="16"/>
      <c r="J27" s="8" t="str">
        <f aca="false">IF(AND(H27="Y",E27="Business checking (debit/ACH/check)"),"Counts toward 1099-NEC",IF(H27="Y","Paid by card/PayPal - 1099-K side",""))</f>
        <v/>
      </c>
      <c r="K27" s="16"/>
    </row>
    <row r="28" customFormat="false" ht="15" hidden="false" customHeight="false" outlineLevel="0" collapsed="false">
      <c r="A28" s="25"/>
      <c r="B28" s="16"/>
      <c r="C28" s="16"/>
      <c r="D28" s="26"/>
      <c r="E28" s="16"/>
      <c r="F28" s="16"/>
      <c r="G28" s="16"/>
      <c r="H28" s="16"/>
      <c r="I28" s="16"/>
      <c r="J28" s="8" t="str">
        <f aca="false">IF(AND(H28="Y",E28="Business checking (debit/ACH/check)"),"Counts toward 1099-NEC",IF(H28="Y","Paid by card/PayPal - 1099-K side",""))</f>
        <v/>
      </c>
      <c r="K28" s="16"/>
    </row>
    <row r="29" customFormat="false" ht="15" hidden="false" customHeight="false" outlineLevel="0" collapsed="false">
      <c r="A29" s="25"/>
      <c r="B29" s="16"/>
      <c r="C29" s="16"/>
      <c r="D29" s="26"/>
      <c r="E29" s="16"/>
      <c r="F29" s="16"/>
      <c r="G29" s="16"/>
      <c r="H29" s="16"/>
      <c r="I29" s="16"/>
      <c r="J29" s="8" t="str">
        <f aca="false">IF(AND(H29="Y",E29="Business checking (debit/ACH/check)"),"Counts toward 1099-NEC",IF(H29="Y","Paid by card/PayPal - 1099-K side",""))</f>
        <v/>
      </c>
      <c r="K29" s="16"/>
    </row>
    <row r="30" customFormat="false" ht="15" hidden="false" customHeight="false" outlineLevel="0" collapsed="false">
      <c r="A30" s="25"/>
      <c r="B30" s="16"/>
      <c r="C30" s="16"/>
      <c r="D30" s="26"/>
      <c r="E30" s="16"/>
      <c r="F30" s="16"/>
      <c r="G30" s="16"/>
      <c r="H30" s="16"/>
      <c r="I30" s="16"/>
      <c r="J30" s="8" t="str">
        <f aca="false">IF(AND(H30="Y",E30="Business checking (debit/ACH/check)"),"Counts toward 1099-NEC",IF(H30="Y","Paid by card/PayPal - 1099-K side",""))</f>
        <v/>
      </c>
      <c r="K30" s="16"/>
    </row>
    <row r="31" customFormat="false" ht="15" hidden="false" customHeight="false" outlineLevel="0" collapsed="false">
      <c r="A31" s="25"/>
      <c r="B31" s="16"/>
      <c r="C31" s="16"/>
      <c r="D31" s="26"/>
      <c r="E31" s="16"/>
      <c r="F31" s="16"/>
      <c r="G31" s="16"/>
      <c r="H31" s="16"/>
      <c r="I31" s="16"/>
      <c r="J31" s="8" t="str">
        <f aca="false">IF(AND(H31="Y",E31="Business checking (debit/ACH/check)"),"Counts toward 1099-NEC",IF(H31="Y","Paid by card/PayPal - 1099-K side",""))</f>
        <v/>
      </c>
      <c r="K31" s="16"/>
    </row>
    <row r="32" customFormat="false" ht="15" hidden="false" customHeight="false" outlineLevel="0" collapsed="false">
      <c r="A32" s="25"/>
      <c r="B32" s="16"/>
      <c r="C32" s="16"/>
      <c r="D32" s="26"/>
      <c r="E32" s="16"/>
      <c r="F32" s="16"/>
      <c r="G32" s="16"/>
      <c r="H32" s="16"/>
      <c r="I32" s="16"/>
      <c r="J32" s="8" t="str">
        <f aca="false">IF(AND(H32="Y",E32="Business checking (debit/ACH/check)"),"Counts toward 1099-NEC",IF(H32="Y","Paid by card/PayPal - 1099-K side",""))</f>
        <v/>
      </c>
      <c r="K32" s="16"/>
    </row>
    <row r="33" customFormat="false" ht="15" hidden="false" customHeight="false" outlineLevel="0" collapsed="false">
      <c r="A33" s="25"/>
      <c r="B33" s="16"/>
      <c r="C33" s="16"/>
      <c r="D33" s="26"/>
      <c r="E33" s="16"/>
      <c r="F33" s="16"/>
      <c r="G33" s="16"/>
      <c r="H33" s="16"/>
      <c r="I33" s="16"/>
      <c r="J33" s="8" t="str">
        <f aca="false">IF(AND(H33="Y",E33="Business checking (debit/ACH/check)"),"Counts toward 1099-NEC",IF(H33="Y","Paid by card/PayPal - 1099-K side",""))</f>
        <v/>
      </c>
      <c r="K33" s="16"/>
    </row>
    <row r="34" customFormat="false" ht="15" hidden="false" customHeight="false" outlineLevel="0" collapsed="false">
      <c r="A34" s="25"/>
      <c r="B34" s="16"/>
      <c r="C34" s="16"/>
      <c r="D34" s="26"/>
      <c r="E34" s="16"/>
      <c r="F34" s="16"/>
      <c r="G34" s="16"/>
      <c r="H34" s="16"/>
      <c r="I34" s="16"/>
      <c r="J34" s="8" t="str">
        <f aca="false">IF(AND(H34="Y",E34="Business checking (debit/ACH/check)"),"Counts toward 1099-NEC",IF(H34="Y","Paid by card/PayPal - 1099-K side",""))</f>
        <v/>
      </c>
      <c r="K34" s="16"/>
    </row>
    <row r="35" customFormat="false" ht="15" hidden="false" customHeight="false" outlineLevel="0" collapsed="false">
      <c r="A35" s="25"/>
      <c r="B35" s="16"/>
      <c r="C35" s="16"/>
      <c r="D35" s="26"/>
      <c r="E35" s="16"/>
      <c r="F35" s="16"/>
      <c r="G35" s="16"/>
      <c r="H35" s="16"/>
      <c r="I35" s="16"/>
      <c r="J35" s="8" t="str">
        <f aca="false">IF(AND(H35="Y",E35="Business checking (debit/ACH/check)"),"Counts toward 1099-NEC",IF(H35="Y","Paid by card/PayPal - 1099-K side",""))</f>
        <v/>
      </c>
      <c r="K35" s="16"/>
    </row>
    <row r="36" customFormat="false" ht="15" hidden="false" customHeight="false" outlineLevel="0" collapsed="false">
      <c r="A36" s="25"/>
      <c r="B36" s="16"/>
      <c r="C36" s="16"/>
      <c r="D36" s="26"/>
      <c r="E36" s="16"/>
      <c r="F36" s="16"/>
      <c r="G36" s="16"/>
      <c r="H36" s="16"/>
      <c r="I36" s="16"/>
      <c r="J36" s="8" t="str">
        <f aca="false">IF(AND(H36="Y",E36="Business checking (debit/ACH/check)"),"Counts toward 1099-NEC",IF(H36="Y","Paid by card/PayPal - 1099-K side",""))</f>
        <v/>
      </c>
      <c r="K36" s="16"/>
    </row>
    <row r="37" customFormat="false" ht="15" hidden="false" customHeight="false" outlineLevel="0" collapsed="false">
      <c r="A37" s="25"/>
      <c r="B37" s="16"/>
      <c r="C37" s="16"/>
      <c r="D37" s="26"/>
      <c r="E37" s="16"/>
      <c r="F37" s="16"/>
      <c r="G37" s="16"/>
      <c r="H37" s="16"/>
      <c r="I37" s="16"/>
      <c r="J37" s="8" t="str">
        <f aca="false">IF(AND(H37="Y",E37="Business checking (debit/ACH/check)"),"Counts toward 1099-NEC",IF(H37="Y","Paid by card/PayPal - 1099-K side",""))</f>
        <v/>
      </c>
      <c r="K37" s="16"/>
    </row>
    <row r="38" customFormat="false" ht="15" hidden="false" customHeight="false" outlineLevel="0" collapsed="false">
      <c r="A38" s="25"/>
      <c r="B38" s="16"/>
      <c r="C38" s="16"/>
      <c r="D38" s="26"/>
      <c r="E38" s="16"/>
      <c r="F38" s="16"/>
      <c r="G38" s="16"/>
      <c r="H38" s="16"/>
      <c r="I38" s="16"/>
      <c r="J38" s="8" t="str">
        <f aca="false">IF(AND(H38="Y",E38="Business checking (debit/ACH/check)"),"Counts toward 1099-NEC",IF(H38="Y","Paid by card/PayPal - 1099-K side",""))</f>
        <v/>
      </c>
      <c r="K38" s="16"/>
    </row>
    <row r="39" customFormat="false" ht="15" hidden="false" customHeight="false" outlineLevel="0" collapsed="false">
      <c r="A39" s="25"/>
      <c r="B39" s="16"/>
      <c r="C39" s="16"/>
      <c r="D39" s="26"/>
      <c r="E39" s="16"/>
      <c r="F39" s="16"/>
      <c r="G39" s="16"/>
      <c r="H39" s="16"/>
      <c r="I39" s="16"/>
      <c r="J39" s="8" t="str">
        <f aca="false">IF(AND(H39="Y",E39="Business checking (debit/ACH/check)"),"Counts toward 1099-NEC",IF(H39="Y","Paid by card/PayPal - 1099-K side",""))</f>
        <v/>
      </c>
      <c r="K39" s="16"/>
    </row>
    <row r="40" customFormat="false" ht="15" hidden="false" customHeight="false" outlineLevel="0" collapsed="false">
      <c r="A40" s="25"/>
      <c r="B40" s="16"/>
      <c r="C40" s="16"/>
      <c r="D40" s="26"/>
      <c r="E40" s="16"/>
      <c r="F40" s="16"/>
      <c r="G40" s="16"/>
      <c r="H40" s="16"/>
      <c r="I40" s="16"/>
      <c r="J40" s="8" t="str">
        <f aca="false">IF(AND(H40="Y",E40="Business checking (debit/ACH/check)"),"Counts toward 1099-NEC",IF(H40="Y","Paid by card/PayPal - 1099-K side",""))</f>
        <v/>
      </c>
      <c r="K40" s="16"/>
    </row>
    <row r="41" customFormat="false" ht="15" hidden="false" customHeight="false" outlineLevel="0" collapsed="false">
      <c r="A41" s="25"/>
      <c r="B41" s="16"/>
      <c r="C41" s="16"/>
      <c r="D41" s="26"/>
      <c r="E41" s="16"/>
      <c r="F41" s="16"/>
      <c r="G41" s="16"/>
      <c r="H41" s="16"/>
      <c r="I41" s="16"/>
      <c r="J41" s="8" t="str">
        <f aca="false">IF(AND(H41="Y",E41="Business checking (debit/ACH/check)"),"Counts toward 1099-NEC",IF(H41="Y","Paid by card/PayPal - 1099-K side",""))</f>
        <v/>
      </c>
      <c r="K41" s="16"/>
    </row>
    <row r="42" customFormat="false" ht="15" hidden="false" customHeight="false" outlineLevel="0" collapsed="false">
      <c r="A42" s="25"/>
      <c r="B42" s="16"/>
      <c r="C42" s="16"/>
      <c r="D42" s="26"/>
      <c r="E42" s="16"/>
      <c r="F42" s="16"/>
      <c r="G42" s="16"/>
      <c r="H42" s="16"/>
      <c r="I42" s="16"/>
      <c r="J42" s="8" t="str">
        <f aca="false">IF(AND(H42="Y",E42="Business checking (debit/ACH/check)"),"Counts toward 1099-NEC",IF(H42="Y","Paid by card/PayPal - 1099-K side",""))</f>
        <v/>
      </c>
      <c r="K42" s="16"/>
    </row>
    <row r="43" customFormat="false" ht="15" hidden="false" customHeight="false" outlineLevel="0" collapsed="false">
      <c r="A43" s="25"/>
      <c r="B43" s="16"/>
      <c r="C43" s="16"/>
      <c r="D43" s="26"/>
      <c r="E43" s="16"/>
      <c r="F43" s="16"/>
      <c r="G43" s="16"/>
      <c r="H43" s="16"/>
      <c r="I43" s="16"/>
      <c r="J43" s="8" t="str">
        <f aca="false">IF(AND(H43="Y",E43="Business checking (debit/ACH/check)"),"Counts toward 1099-NEC",IF(H43="Y","Paid by card/PayPal - 1099-K side",""))</f>
        <v/>
      </c>
      <c r="K43" s="16"/>
    </row>
    <row r="44" customFormat="false" ht="15" hidden="false" customHeight="false" outlineLevel="0" collapsed="false">
      <c r="A44" s="25"/>
      <c r="B44" s="16"/>
      <c r="C44" s="16"/>
      <c r="D44" s="26"/>
      <c r="E44" s="16"/>
      <c r="F44" s="16"/>
      <c r="G44" s="16"/>
      <c r="H44" s="16"/>
      <c r="I44" s="16"/>
      <c r="J44" s="8" t="str">
        <f aca="false">IF(AND(H44="Y",E44="Business checking (debit/ACH/check)"),"Counts toward 1099-NEC",IF(H44="Y","Paid by card/PayPal - 1099-K side",""))</f>
        <v/>
      </c>
      <c r="K44" s="16"/>
    </row>
    <row r="45" customFormat="false" ht="15" hidden="false" customHeight="false" outlineLevel="0" collapsed="false">
      <c r="A45" s="25"/>
      <c r="B45" s="16"/>
      <c r="C45" s="16"/>
      <c r="D45" s="26"/>
      <c r="E45" s="16"/>
      <c r="F45" s="16"/>
      <c r="G45" s="16"/>
      <c r="H45" s="16"/>
      <c r="I45" s="16"/>
      <c r="J45" s="8" t="str">
        <f aca="false">IF(AND(H45="Y",E45="Business checking (debit/ACH/check)"),"Counts toward 1099-NEC",IF(H45="Y","Paid by card/PayPal - 1099-K side",""))</f>
        <v/>
      </c>
      <c r="K45" s="16"/>
    </row>
    <row r="46" customFormat="false" ht="15" hidden="false" customHeight="false" outlineLevel="0" collapsed="false">
      <c r="A46" s="25"/>
      <c r="B46" s="16"/>
      <c r="C46" s="16"/>
      <c r="D46" s="26"/>
      <c r="E46" s="16"/>
      <c r="F46" s="16"/>
      <c r="G46" s="16"/>
      <c r="H46" s="16"/>
      <c r="I46" s="16"/>
      <c r="J46" s="8" t="str">
        <f aca="false">IF(AND(H46="Y",E46="Business checking (debit/ACH/check)"),"Counts toward 1099-NEC",IF(H46="Y","Paid by card/PayPal - 1099-K side",""))</f>
        <v/>
      </c>
      <c r="K46" s="16"/>
    </row>
    <row r="47" customFormat="false" ht="15" hidden="false" customHeight="false" outlineLevel="0" collapsed="false">
      <c r="A47" s="25"/>
      <c r="B47" s="16"/>
      <c r="C47" s="16"/>
      <c r="D47" s="26"/>
      <c r="E47" s="16"/>
      <c r="F47" s="16"/>
      <c r="G47" s="16"/>
      <c r="H47" s="16"/>
      <c r="I47" s="16"/>
      <c r="J47" s="8" t="str">
        <f aca="false">IF(AND(H47="Y",E47="Business checking (debit/ACH/check)"),"Counts toward 1099-NEC",IF(H47="Y","Paid by card/PayPal - 1099-K side",""))</f>
        <v/>
      </c>
      <c r="K47" s="16"/>
    </row>
    <row r="48" customFormat="false" ht="15" hidden="false" customHeight="false" outlineLevel="0" collapsed="false">
      <c r="A48" s="25"/>
      <c r="B48" s="16"/>
      <c r="C48" s="16"/>
      <c r="D48" s="26"/>
      <c r="E48" s="16"/>
      <c r="F48" s="16"/>
      <c r="G48" s="16"/>
      <c r="H48" s="16"/>
      <c r="I48" s="16"/>
      <c r="J48" s="8" t="str">
        <f aca="false">IF(AND(H48="Y",E48="Business checking (debit/ACH/check)"),"Counts toward 1099-NEC",IF(H48="Y","Paid by card/PayPal - 1099-K side",""))</f>
        <v/>
      </c>
      <c r="K48" s="16"/>
    </row>
    <row r="49" customFormat="false" ht="15" hidden="false" customHeight="false" outlineLevel="0" collapsed="false">
      <c r="A49" s="25"/>
      <c r="B49" s="16"/>
      <c r="C49" s="16"/>
      <c r="D49" s="26"/>
      <c r="E49" s="16"/>
      <c r="F49" s="16"/>
      <c r="G49" s="16"/>
      <c r="H49" s="16"/>
      <c r="I49" s="16"/>
      <c r="J49" s="8" t="str">
        <f aca="false">IF(AND(H49="Y",E49="Business checking (debit/ACH/check)"),"Counts toward 1099-NEC",IF(H49="Y","Paid by card/PayPal - 1099-K side",""))</f>
        <v/>
      </c>
      <c r="K49" s="16"/>
    </row>
    <row r="50" customFormat="false" ht="15" hidden="false" customHeight="false" outlineLevel="0" collapsed="false">
      <c r="A50" s="25"/>
      <c r="B50" s="16"/>
      <c r="C50" s="16"/>
      <c r="D50" s="26"/>
      <c r="E50" s="16"/>
      <c r="F50" s="16"/>
      <c r="G50" s="16"/>
      <c r="H50" s="16"/>
      <c r="I50" s="16"/>
      <c r="J50" s="8" t="str">
        <f aca="false">IF(AND(H50="Y",E50="Business checking (debit/ACH/check)"),"Counts toward 1099-NEC",IF(H50="Y","Paid by card/PayPal - 1099-K side",""))</f>
        <v/>
      </c>
      <c r="K50" s="16"/>
    </row>
    <row r="51" customFormat="false" ht="15" hidden="false" customHeight="false" outlineLevel="0" collapsed="false">
      <c r="A51" s="25"/>
      <c r="B51" s="16"/>
      <c r="C51" s="16"/>
      <c r="D51" s="26"/>
      <c r="E51" s="16"/>
      <c r="F51" s="16"/>
      <c r="G51" s="16"/>
      <c r="H51" s="16"/>
      <c r="I51" s="16"/>
      <c r="J51" s="8" t="str">
        <f aca="false">IF(AND(H51="Y",E51="Business checking (debit/ACH/check)"),"Counts toward 1099-NEC",IF(H51="Y","Paid by card/PayPal - 1099-K side",""))</f>
        <v/>
      </c>
      <c r="K51" s="16"/>
    </row>
    <row r="52" customFormat="false" ht="15" hidden="false" customHeight="false" outlineLevel="0" collapsed="false">
      <c r="A52" s="25"/>
      <c r="B52" s="16"/>
      <c r="C52" s="16"/>
      <c r="D52" s="26"/>
      <c r="E52" s="16"/>
      <c r="F52" s="16"/>
      <c r="G52" s="16"/>
      <c r="H52" s="16"/>
      <c r="I52" s="16"/>
      <c r="J52" s="8" t="str">
        <f aca="false">IF(AND(H52="Y",E52="Business checking (debit/ACH/check)"),"Counts toward 1099-NEC",IF(H52="Y","Paid by card/PayPal - 1099-K side",""))</f>
        <v/>
      </c>
      <c r="K52" s="16"/>
    </row>
    <row r="53" customFormat="false" ht="15" hidden="false" customHeight="false" outlineLevel="0" collapsed="false">
      <c r="A53" s="25"/>
      <c r="B53" s="16"/>
      <c r="C53" s="16"/>
      <c r="D53" s="26"/>
      <c r="E53" s="16"/>
      <c r="F53" s="16"/>
      <c r="G53" s="16"/>
      <c r="H53" s="16"/>
      <c r="I53" s="16"/>
      <c r="J53" s="8" t="str">
        <f aca="false">IF(AND(H53="Y",E53="Business checking (debit/ACH/check)"),"Counts toward 1099-NEC",IF(H53="Y","Paid by card/PayPal - 1099-K side",""))</f>
        <v/>
      </c>
      <c r="K53" s="16"/>
    </row>
    <row r="54" customFormat="false" ht="15" hidden="false" customHeight="false" outlineLevel="0" collapsed="false">
      <c r="A54" s="25"/>
      <c r="B54" s="16"/>
      <c r="C54" s="16"/>
      <c r="D54" s="26"/>
      <c r="E54" s="16"/>
      <c r="F54" s="16"/>
      <c r="G54" s="16"/>
      <c r="H54" s="16"/>
      <c r="I54" s="16"/>
      <c r="J54" s="8" t="str">
        <f aca="false">IF(AND(H54="Y",E54="Business checking (debit/ACH/check)"),"Counts toward 1099-NEC",IF(H54="Y","Paid by card/PayPal - 1099-K side",""))</f>
        <v/>
      </c>
      <c r="K54" s="16"/>
    </row>
    <row r="55" customFormat="false" ht="15" hidden="false" customHeight="false" outlineLevel="0" collapsed="false">
      <c r="A55" s="25"/>
      <c r="B55" s="16"/>
      <c r="C55" s="16"/>
      <c r="D55" s="26"/>
      <c r="E55" s="16"/>
      <c r="F55" s="16"/>
      <c r="G55" s="16"/>
      <c r="H55" s="16"/>
      <c r="I55" s="16"/>
      <c r="J55" s="8" t="str">
        <f aca="false">IF(AND(H55="Y",E55="Business checking (debit/ACH/check)"),"Counts toward 1099-NEC",IF(H55="Y","Paid by card/PayPal - 1099-K side",""))</f>
        <v/>
      </c>
      <c r="K55" s="16"/>
    </row>
    <row r="56" customFormat="false" ht="15" hidden="false" customHeight="false" outlineLevel="0" collapsed="false">
      <c r="A56" s="25"/>
      <c r="B56" s="16"/>
      <c r="C56" s="16"/>
      <c r="D56" s="26"/>
      <c r="E56" s="16"/>
      <c r="F56" s="16"/>
      <c r="G56" s="16"/>
      <c r="H56" s="16"/>
      <c r="I56" s="16"/>
      <c r="J56" s="8" t="str">
        <f aca="false">IF(AND(H56="Y",E56="Business checking (debit/ACH/check)"),"Counts toward 1099-NEC",IF(H56="Y","Paid by card/PayPal - 1099-K side",""))</f>
        <v/>
      </c>
      <c r="K56" s="16"/>
    </row>
    <row r="57" customFormat="false" ht="15" hidden="false" customHeight="false" outlineLevel="0" collapsed="false">
      <c r="A57" s="25"/>
      <c r="B57" s="16"/>
      <c r="C57" s="16"/>
      <c r="D57" s="26"/>
      <c r="E57" s="16"/>
      <c r="F57" s="16"/>
      <c r="G57" s="16"/>
      <c r="H57" s="16"/>
      <c r="I57" s="16"/>
      <c r="J57" s="8" t="str">
        <f aca="false">IF(AND(H57="Y",E57="Business checking (debit/ACH/check)"),"Counts toward 1099-NEC",IF(H57="Y","Paid by card/PayPal - 1099-K side",""))</f>
        <v/>
      </c>
      <c r="K57" s="16"/>
    </row>
    <row r="58" customFormat="false" ht="15" hidden="false" customHeight="false" outlineLevel="0" collapsed="false">
      <c r="A58" s="25"/>
      <c r="B58" s="16"/>
      <c r="C58" s="16"/>
      <c r="D58" s="26"/>
      <c r="E58" s="16"/>
      <c r="F58" s="16"/>
      <c r="G58" s="16"/>
      <c r="H58" s="16"/>
      <c r="I58" s="16"/>
      <c r="J58" s="8" t="str">
        <f aca="false">IF(AND(H58="Y",E58="Business checking (debit/ACH/check)"),"Counts toward 1099-NEC",IF(H58="Y","Paid by card/PayPal - 1099-K side",""))</f>
        <v/>
      </c>
      <c r="K58" s="16"/>
    </row>
    <row r="59" customFormat="false" ht="15" hidden="false" customHeight="false" outlineLevel="0" collapsed="false">
      <c r="A59" s="25"/>
      <c r="B59" s="16"/>
      <c r="C59" s="16"/>
      <c r="D59" s="26"/>
      <c r="E59" s="16"/>
      <c r="F59" s="16"/>
      <c r="G59" s="16"/>
      <c r="H59" s="16"/>
      <c r="I59" s="16"/>
      <c r="J59" s="8" t="str">
        <f aca="false">IF(AND(H59="Y",E59="Business checking (debit/ACH/check)"),"Counts toward 1099-NEC",IF(H59="Y","Paid by card/PayPal - 1099-K side",""))</f>
        <v/>
      </c>
      <c r="K59" s="16"/>
    </row>
    <row r="60" customFormat="false" ht="15" hidden="false" customHeight="false" outlineLevel="0" collapsed="false">
      <c r="A60" s="25"/>
      <c r="B60" s="16"/>
      <c r="C60" s="16"/>
      <c r="D60" s="26"/>
      <c r="E60" s="16"/>
      <c r="F60" s="16"/>
      <c r="G60" s="16"/>
      <c r="H60" s="16"/>
      <c r="I60" s="16"/>
      <c r="J60" s="8" t="str">
        <f aca="false">IF(AND(H60="Y",E60="Business checking (debit/ACH/check)"),"Counts toward 1099-NEC",IF(H60="Y","Paid by card/PayPal - 1099-K side",""))</f>
        <v/>
      </c>
      <c r="K60" s="16"/>
    </row>
    <row r="61" customFormat="false" ht="15" hidden="false" customHeight="false" outlineLevel="0" collapsed="false">
      <c r="A61" s="25"/>
      <c r="B61" s="16"/>
      <c r="C61" s="16"/>
      <c r="D61" s="26"/>
      <c r="E61" s="16"/>
      <c r="F61" s="16"/>
      <c r="G61" s="16"/>
      <c r="H61" s="16"/>
      <c r="I61" s="16"/>
      <c r="J61" s="8" t="str">
        <f aca="false">IF(AND(H61="Y",E61="Business checking (debit/ACH/check)"),"Counts toward 1099-NEC",IF(H61="Y","Paid by card/PayPal - 1099-K side",""))</f>
        <v/>
      </c>
      <c r="K61" s="16"/>
    </row>
    <row r="62" customFormat="false" ht="15" hidden="false" customHeight="false" outlineLevel="0" collapsed="false">
      <c r="A62" s="25"/>
      <c r="B62" s="16"/>
      <c r="C62" s="16"/>
      <c r="D62" s="26"/>
      <c r="E62" s="16"/>
      <c r="F62" s="16"/>
      <c r="G62" s="16"/>
      <c r="H62" s="16"/>
      <c r="I62" s="16"/>
      <c r="J62" s="8" t="str">
        <f aca="false">IF(AND(H62="Y",E62="Business checking (debit/ACH/check)"),"Counts toward 1099-NEC",IF(H62="Y","Paid by card/PayPal - 1099-K side",""))</f>
        <v/>
      </c>
      <c r="K62" s="16"/>
    </row>
    <row r="63" customFormat="false" ht="15" hidden="false" customHeight="false" outlineLevel="0" collapsed="false">
      <c r="A63" s="25"/>
      <c r="B63" s="16"/>
      <c r="C63" s="16"/>
      <c r="D63" s="26"/>
      <c r="E63" s="16"/>
      <c r="F63" s="16"/>
      <c r="G63" s="16"/>
      <c r="H63" s="16"/>
      <c r="I63" s="16"/>
      <c r="J63" s="8" t="str">
        <f aca="false">IF(AND(H63="Y",E63="Business checking (debit/ACH/check)"),"Counts toward 1099-NEC",IF(H63="Y","Paid by card/PayPal - 1099-K side",""))</f>
        <v/>
      </c>
      <c r="K63" s="16"/>
    </row>
    <row r="64" customFormat="false" ht="15" hidden="false" customHeight="false" outlineLevel="0" collapsed="false">
      <c r="A64" s="25"/>
      <c r="B64" s="16"/>
      <c r="C64" s="16"/>
      <c r="D64" s="26"/>
      <c r="E64" s="16"/>
      <c r="F64" s="16"/>
      <c r="G64" s="16"/>
      <c r="H64" s="16"/>
      <c r="I64" s="16"/>
      <c r="J64" s="8" t="str">
        <f aca="false">IF(AND(H64="Y",E64="Business checking (debit/ACH/check)"),"Counts toward 1099-NEC",IF(H64="Y","Paid by card/PayPal - 1099-K side",""))</f>
        <v/>
      </c>
      <c r="K64" s="16"/>
    </row>
    <row r="65" customFormat="false" ht="15" hidden="false" customHeight="false" outlineLevel="0" collapsed="false">
      <c r="A65" s="25"/>
      <c r="B65" s="16"/>
      <c r="C65" s="16"/>
      <c r="D65" s="26"/>
      <c r="E65" s="16"/>
      <c r="F65" s="16"/>
      <c r="G65" s="16"/>
      <c r="H65" s="16"/>
      <c r="I65" s="16"/>
      <c r="J65" s="8" t="str">
        <f aca="false">IF(AND(H65="Y",E65="Business checking (debit/ACH/check)"),"Counts toward 1099-NEC",IF(H65="Y","Paid by card/PayPal - 1099-K side",""))</f>
        <v/>
      </c>
      <c r="K65" s="16"/>
    </row>
    <row r="66" customFormat="false" ht="15" hidden="false" customHeight="false" outlineLevel="0" collapsed="false">
      <c r="A66" s="25"/>
      <c r="B66" s="16"/>
      <c r="C66" s="16"/>
      <c r="D66" s="26"/>
      <c r="E66" s="16"/>
      <c r="F66" s="16"/>
      <c r="G66" s="16"/>
      <c r="H66" s="16"/>
      <c r="I66" s="16"/>
      <c r="J66" s="8" t="str">
        <f aca="false">IF(AND(H66="Y",E66="Business checking (debit/ACH/check)"),"Counts toward 1099-NEC",IF(H66="Y","Paid by card/PayPal - 1099-K side",""))</f>
        <v/>
      </c>
      <c r="K66" s="16"/>
    </row>
    <row r="67" customFormat="false" ht="15" hidden="false" customHeight="false" outlineLevel="0" collapsed="false">
      <c r="A67" s="25"/>
      <c r="B67" s="16"/>
      <c r="C67" s="16"/>
      <c r="D67" s="26"/>
      <c r="E67" s="16"/>
      <c r="F67" s="16"/>
      <c r="G67" s="16"/>
      <c r="H67" s="16"/>
      <c r="I67" s="16"/>
      <c r="J67" s="8" t="str">
        <f aca="false">IF(AND(H67="Y",E67="Business checking (debit/ACH/check)"),"Counts toward 1099-NEC",IF(H67="Y","Paid by card/PayPal - 1099-K side",""))</f>
        <v/>
      </c>
      <c r="K67" s="16"/>
    </row>
    <row r="68" customFormat="false" ht="15" hidden="false" customHeight="false" outlineLevel="0" collapsed="false">
      <c r="A68" s="25"/>
      <c r="B68" s="16"/>
      <c r="C68" s="16"/>
      <c r="D68" s="26"/>
      <c r="E68" s="16"/>
      <c r="F68" s="16"/>
      <c r="G68" s="16"/>
      <c r="H68" s="16"/>
      <c r="I68" s="16"/>
      <c r="J68" s="8" t="str">
        <f aca="false">IF(AND(H68="Y",E68="Business checking (debit/ACH/check)"),"Counts toward 1099-NEC",IF(H68="Y","Paid by card/PayPal - 1099-K side",""))</f>
        <v/>
      </c>
      <c r="K68" s="16"/>
    </row>
    <row r="69" customFormat="false" ht="15" hidden="false" customHeight="false" outlineLevel="0" collapsed="false">
      <c r="A69" s="25"/>
      <c r="B69" s="16"/>
      <c r="C69" s="16"/>
      <c r="D69" s="26"/>
      <c r="E69" s="16"/>
      <c r="F69" s="16"/>
      <c r="G69" s="16"/>
      <c r="H69" s="16"/>
      <c r="I69" s="16"/>
      <c r="J69" s="8" t="str">
        <f aca="false">IF(AND(H69="Y",E69="Business checking (debit/ACH/check)"),"Counts toward 1099-NEC",IF(H69="Y","Paid by card/PayPal - 1099-K side",""))</f>
        <v/>
      </c>
      <c r="K69" s="16"/>
    </row>
    <row r="70" customFormat="false" ht="15" hidden="false" customHeight="false" outlineLevel="0" collapsed="false">
      <c r="A70" s="25"/>
      <c r="B70" s="16"/>
      <c r="C70" s="16"/>
      <c r="D70" s="26"/>
      <c r="E70" s="16"/>
      <c r="F70" s="16"/>
      <c r="G70" s="16"/>
      <c r="H70" s="16"/>
      <c r="I70" s="16"/>
      <c r="J70" s="8" t="str">
        <f aca="false">IF(AND(H70="Y",E70="Business checking (debit/ACH/check)"),"Counts toward 1099-NEC",IF(H70="Y","Paid by card/PayPal - 1099-K side",""))</f>
        <v/>
      </c>
      <c r="K70" s="16"/>
    </row>
    <row r="71" customFormat="false" ht="15" hidden="false" customHeight="false" outlineLevel="0" collapsed="false">
      <c r="A71" s="25"/>
      <c r="B71" s="16"/>
      <c r="C71" s="16"/>
      <c r="D71" s="26"/>
      <c r="E71" s="16"/>
      <c r="F71" s="16"/>
      <c r="G71" s="16"/>
      <c r="H71" s="16"/>
      <c r="I71" s="16"/>
      <c r="J71" s="8" t="str">
        <f aca="false">IF(AND(H71="Y",E71="Business checking (debit/ACH/check)"),"Counts toward 1099-NEC",IF(H71="Y","Paid by card/PayPal - 1099-K side",""))</f>
        <v/>
      </c>
      <c r="K71" s="16"/>
    </row>
    <row r="72" customFormat="false" ht="15" hidden="false" customHeight="false" outlineLevel="0" collapsed="false">
      <c r="A72" s="25"/>
      <c r="B72" s="16"/>
      <c r="C72" s="16"/>
      <c r="D72" s="26"/>
      <c r="E72" s="16"/>
      <c r="F72" s="16"/>
      <c r="G72" s="16"/>
      <c r="H72" s="16"/>
      <c r="I72" s="16"/>
      <c r="J72" s="8" t="str">
        <f aca="false">IF(AND(H72="Y",E72="Business checking (debit/ACH/check)"),"Counts toward 1099-NEC",IF(H72="Y","Paid by card/PayPal - 1099-K side",""))</f>
        <v/>
      </c>
      <c r="K72" s="16"/>
    </row>
    <row r="73" customFormat="false" ht="15" hidden="false" customHeight="false" outlineLevel="0" collapsed="false">
      <c r="A73" s="25"/>
      <c r="B73" s="16"/>
      <c r="C73" s="16"/>
      <c r="D73" s="26"/>
      <c r="E73" s="16"/>
      <c r="F73" s="16"/>
      <c r="G73" s="16"/>
      <c r="H73" s="16"/>
      <c r="I73" s="16"/>
      <c r="J73" s="8" t="str">
        <f aca="false">IF(AND(H73="Y",E73="Business checking (debit/ACH/check)"),"Counts toward 1099-NEC",IF(H73="Y","Paid by card/PayPal - 1099-K side",""))</f>
        <v/>
      </c>
      <c r="K73" s="16"/>
    </row>
    <row r="74" customFormat="false" ht="15" hidden="false" customHeight="false" outlineLevel="0" collapsed="false">
      <c r="A74" s="25"/>
      <c r="B74" s="16"/>
      <c r="C74" s="16"/>
      <c r="D74" s="26"/>
      <c r="E74" s="16"/>
      <c r="F74" s="16"/>
      <c r="G74" s="16"/>
      <c r="H74" s="16"/>
      <c r="I74" s="16"/>
      <c r="J74" s="8" t="str">
        <f aca="false">IF(AND(H74="Y",E74="Business checking (debit/ACH/check)"),"Counts toward 1099-NEC",IF(H74="Y","Paid by card/PayPal - 1099-K side",""))</f>
        <v/>
      </c>
      <c r="K74" s="16"/>
    </row>
    <row r="75" customFormat="false" ht="15" hidden="false" customHeight="false" outlineLevel="0" collapsed="false">
      <c r="A75" s="25"/>
      <c r="B75" s="16"/>
      <c r="C75" s="16"/>
      <c r="D75" s="26"/>
      <c r="E75" s="16"/>
      <c r="F75" s="16"/>
      <c r="G75" s="16"/>
      <c r="H75" s="16"/>
      <c r="I75" s="16"/>
      <c r="J75" s="8" t="str">
        <f aca="false">IF(AND(H75="Y",E75="Business checking (debit/ACH/check)"),"Counts toward 1099-NEC",IF(H75="Y","Paid by card/PayPal - 1099-K side",""))</f>
        <v/>
      </c>
      <c r="K75" s="16"/>
    </row>
    <row r="76" customFormat="false" ht="15" hidden="false" customHeight="false" outlineLevel="0" collapsed="false">
      <c r="A76" s="25"/>
      <c r="B76" s="16"/>
      <c r="C76" s="16"/>
      <c r="D76" s="26"/>
      <c r="E76" s="16"/>
      <c r="F76" s="16"/>
      <c r="G76" s="16"/>
      <c r="H76" s="16"/>
      <c r="I76" s="16"/>
      <c r="J76" s="8" t="str">
        <f aca="false">IF(AND(H76="Y",E76="Business checking (debit/ACH/check)"),"Counts toward 1099-NEC",IF(H76="Y","Paid by card/PayPal - 1099-K side",""))</f>
        <v/>
      </c>
      <c r="K76" s="16"/>
    </row>
    <row r="77" customFormat="false" ht="15" hidden="false" customHeight="false" outlineLevel="0" collapsed="false">
      <c r="A77" s="25"/>
      <c r="B77" s="16"/>
      <c r="C77" s="16"/>
      <c r="D77" s="26"/>
      <c r="E77" s="16"/>
      <c r="F77" s="16"/>
      <c r="G77" s="16"/>
      <c r="H77" s="16"/>
      <c r="I77" s="16"/>
      <c r="J77" s="8" t="str">
        <f aca="false">IF(AND(H77="Y",E77="Business checking (debit/ACH/check)"),"Counts toward 1099-NEC",IF(H77="Y","Paid by card/PayPal - 1099-K side",""))</f>
        <v/>
      </c>
      <c r="K77" s="16"/>
    </row>
    <row r="78" customFormat="false" ht="15" hidden="false" customHeight="false" outlineLevel="0" collapsed="false">
      <c r="A78" s="25"/>
      <c r="B78" s="16"/>
      <c r="C78" s="16"/>
      <c r="D78" s="26"/>
      <c r="E78" s="16"/>
      <c r="F78" s="16"/>
      <c r="G78" s="16"/>
      <c r="H78" s="16"/>
      <c r="I78" s="16"/>
      <c r="J78" s="8" t="str">
        <f aca="false">IF(AND(H78="Y",E78="Business checking (debit/ACH/check)"),"Counts toward 1099-NEC",IF(H78="Y","Paid by card/PayPal - 1099-K side",""))</f>
        <v/>
      </c>
      <c r="K78" s="16"/>
    </row>
    <row r="79" customFormat="false" ht="15" hidden="false" customHeight="false" outlineLevel="0" collapsed="false">
      <c r="A79" s="25"/>
      <c r="B79" s="16"/>
      <c r="C79" s="16"/>
      <c r="D79" s="26"/>
      <c r="E79" s="16"/>
      <c r="F79" s="16"/>
      <c r="G79" s="16"/>
      <c r="H79" s="16"/>
      <c r="I79" s="16"/>
      <c r="J79" s="8" t="str">
        <f aca="false">IF(AND(H79="Y",E79="Business checking (debit/ACH/check)"),"Counts toward 1099-NEC",IF(H79="Y","Paid by card/PayPal - 1099-K side",""))</f>
        <v/>
      </c>
      <c r="K79" s="16"/>
    </row>
    <row r="80" customFormat="false" ht="15" hidden="false" customHeight="false" outlineLevel="0" collapsed="false">
      <c r="A80" s="25"/>
      <c r="B80" s="16"/>
      <c r="C80" s="16"/>
      <c r="D80" s="26"/>
      <c r="E80" s="16"/>
      <c r="F80" s="16"/>
      <c r="G80" s="16"/>
      <c r="H80" s="16"/>
      <c r="I80" s="16"/>
      <c r="J80" s="8" t="str">
        <f aca="false">IF(AND(H80="Y",E80="Business checking (debit/ACH/check)"),"Counts toward 1099-NEC",IF(H80="Y","Paid by card/PayPal - 1099-K side",""))</f>
        <v/>
      </c>
      <c r="K80" s="16"/>
    </row>
    <row r="81" customFormat="false" ht="15" hidden="false" customHeight="false" outlineLevel="0" collapsed="false">
      <c r="A81" s="25"/>
      <c r="B81" s="16"/>
      <c r="C81" s="16"/>
      <c r="D81" s="26"/>
      <c r="E81" s="16"/>
      <c r="F81" s="16"/>
      <c r="G81" s="16"/>
      <c r="H81" s="16"/>
      <c r="I81" s="16"/>
      <c r="J81" s="8" t="str">
        <f aca="false">IF(AND(H81="Y",E81="Business checking (debit/ACH/check)"),"Counts toward 1099-NEC",IF(H81="Y","Paid by card/PayPal - 1099-K side",""))</f>
        <v/>
      </c>
      <c r="K81" s="16"/>
    </row>
    <row r="82" customFormat="false" ht="15" hidden="false" customHeight="false" outlineLevel="0" collapsed="false">
      <c r="A82" s="25"/>
      <c r="B82" s="16"/>
      <c r="C82" s="16"/>
      <c r="D82" s="26"/>
      <c r="E82" s="16"/>
      <c r="F82" s="16"/>
      <c r="G82" s="16"/>
      <c r="H82" s="16"/>
      <c r="I82" s="16"/>
      <c r="J82" s="8" t="str">
        <f aca="false">IF(AND(H82="Y",E82="Business checking (debit/ACH/check)"),"Counts toward 1099-NEC",IF(H82="Y","Paid by card/PayPal - 1099-K side",""))</f>
        <v/>
      </c>
      <c r="K82" s="16"/>
    </row>
    <row r="83" customFormat="false" ht="15" hidden="false" customHeight="false" outlineLevel="0" collapsed="false">
      <c r="A83" s="25"/>
      <c r="B83" s="16"/>
      <c r="C83" s="16"/>
      <c r="D83" s="26"/>
      <c r="E83" s="16"/>
      <c r="F83" s="16"/>
      <c r="G83" s="16"/>
      <c r="H83" s="16"/>
      <c r="I83" s="16"/>
      <c r="J83" s="8" t="str">
        <f aca="false">IF(AND(H83="Y",E83="Business checking (debit/ACH/check)"),"Counts toward 1099-NEC",IF(H83="Y","Paid by card/PayPal - 1099-K side",""))</f>
        <v/>
      </c>
      <c r="K83" s="16"/>
    </row>
    <row r="84" customFormat="false" ht="15" hidden="false" customHeight="false" outlineLevel="0" collapsed="false">
      <c r="A84" s="25"/>
      <c r="B84" s="16"/>
      <c r="C84" s="16"/>
      <c r="D84" s="26"/>
      <c r="E84" s="16"/>
      <c r="F84" s="16"/>
      <c r="G84" s="16"/>
      <c r="H84" s="16"/>
      <c r="I84" s="16"/>
      <c r="J84" s="8" t="str">
        <f aca="false">IF(AND(H84="Y",E84="Business checking (debit/ACH/check)"),"Counts toward 1099-NEC",IF(H84="Y","Paid by card/PayPal - 1099-K side",""))</f>
        <v/>
      </c>
      <c r="K84" s="16"/>
    </row>
    <row r="85" customFormat="false" ht="15" hidden="false" customHeight="false" outlineLevel="0" collapsed="false">
      <c r="A85" s="25"/>
      <c r="B85" s="16"/>
      <c r="C85" s="16"/>
      <c r="D85" s="26"/>
      <c r="E85" s="16"/>
      <c r="F85" s="16"/>
      <c r="G85" s="16"/>
      <c r="H85" s="16"/>
      <c r="I85" s="16"/>
      <c r="J85" s="8" t="str">
        <f aca="false">IF(AND(H85="Y",E85="Business checking (debit/ACH/check)"),"Counts toward 1099-NEC",IF(H85="Y","Paid by card/PayPal - 1099-K side",""))</f>
        <v/>
      </c>
      <c r="K85" s="16"/>
    </row>
    <row r="86" customFormat="false" ht="15" hidden="false" customHeight="false" outlineLevel="0" collapsed="false">
      <c r="A86" s="25"/>
      <c r="B86" s="16"/>
      <c r="C86" s="16"/>
      <c r="D86" s="26"/>
      <c r="E86" s="16"/>
      <c r="F86" s="16"/>
      <c r="G86" s="16"/>
      <c r="H86" s="16"/>
      <c r="I86" s="16"/>
      <c r="J86" s="8" t="str">
        <f aca="false">IF(AND(H86="Y",E86="Business checking (debit/ACH/check)"),"Counts toward 1099-NEC",IF(H86="Y","Paid by card/PayPal - 1099-K side",""))</f>
        <v/>
      </c>
      <c r="K86" s="16"/>
    </row>
    <row r="87" customFormat="false" ht="15" hidden="false" customHeight="false" outlineLevel="0" collapsed="false">
      <c r="A87" s="25"/>
      <c r="B87" s="16"/>
      <c r="C87" s="16"/>
      <c r="D87" s="26"/>
      <c r="E87" s="16"/>
      <c r="F87" s="16"/>
      <c r="G87" s="16"/>
      <c r="H87" s="16"/>
      <c r="I87" s="16"/>
      <c r="J87" s="8" t="str">
        <f aca="false">IF(AND(H87="Y",E87="Business checking (debit/ACH/check)"),"Counts toward 1099-NEC",IF(H87="Y","Paid by card/PayPal - 1099-K side",""))</f>
        <v/>
      </c>
      <c r="K87" s="16"/>
    </row>
    <row r="88" customFormat="false" ht="15" hidden="false" customHeight="false" outlineLevel="0" collapsed="false">
      <c r="A88" s="25"/>
      <c r="B88" s="16"/>
      <c r="C88" s="16"/>
      <c r="D88" s="26"/>
      <c r="E88" s="16"/>
      <c r="F88" s="16"/>
      <c r="G88" s="16"/>
      <c r="H88" s="16"/>
      <c r="I88" s="16"/>
      <c r="J88" s="8" t="str">
        <f aca="false">IF(AND(H88="Y",E88="Business checking (debit/ACH/check)"),"Counts toward 1099-NEC",IF(H88="Y","Paid by card/PayPal - 1099-K side",""))</f>
        <v/>
      </c>
      <c r="K88" s="16"/>
    </row>
    <row r="89" customFormat="false" ht="15" hidden="false" customHeight="false" outlineLevel="0" collapsed="false">
      <c r="A89" s="25"/>
      <c r="B89" s="16"/>
      <c r="C89" s="16"/>
      <c r="D89" s="26"/>
      <c r="E89" s="16"/>
      <c r="F89" s="16"/>
      <c r="G89" s="16"/>
      <c r="H89" s="16"/>
      <c r="I89" s="16"/>
      <c r="J89" s="8" t="str">
        <f aca="false">IF(AND(H89="Y",E89="Business checking (debit/ACH/check)"),"Counts toward 1099-NEC",IF(H89="Y","Paid by card/PayPal - 1099-K side",""))</f>
        <v/>
      </c>
      <c r="K89" s="16"/>
    </row>
    <row r="90" customFormat="false" ht="15" hidden="false" customHeight="false" outlineLevel="0" collapsed="false">
      <c r="A90" s="25"/>
      <c r="B90" s="16"/>
      <c r="C90" s="16"/>
      <c r="D90" s="26"/>
      <c r="E90" s="16"/>
      <c r="F90" s="16"/>
      <c r="G90" s="16"/>
      <c r="H90" s="16"/>
      <c r="I90" s="16"/>
      <c r="J90" s="8" t="str">
        <f aca="false">IF(AND(H90="Y",E90="Business checking (debit/ACH/check)"),"Counts toward 1099-NEC",IF(H90="Y","Paid by card/PayPal - 1099-K side",""))</f>
        <v/>
      </c>
      <c r="K90" s="16"/>
    </row>
    <row r="91" customFormat="false" ht="15" hidden="false" customHeight="false" outlineLevel="0" collapsed="false">
      <c r="A91" s="25"/>
      <c r="B91" s="16"/>
      <c r="C91" s="16"/>
      <c r="D91" s="26"/>
      <c r="E91" s="16"/>
      <c r="F91" s="16"/>
      <c r="G91" s="16"/>
      <c r="H91" s="16"/>
      <c r="I91" s="16"/>
      <c r="J91" s="8" t="str">
        <f aca="false">IF(AND(H91="Y",E91="Business checking (debit/ACH/check)"),"Counts toward 1099-NEC",IF(H91="Y","Paid by card/PayPal - 1099-K side",""))</f>
        <v/>
      </c>
      <c r="K91" s="16"/>
    </row>
    <row r="92" customFormat="false" ht="15" hidden="false" customHeight="false" outlineLevel="0" collapsed="false">
      <c r="A92" s="25"/>
      <c r="B92" s="16"/>
      <c r="C92" s="16"/>
      <c r="D92" s="26"/>
      <c r="E92" s="16"/>
      <c r="F92" s="16"/>
      <c r="G92" s="16"/>
      <c r="H92" s="16"/>
      <c r="I92" s="16"/>
      <c r="J92" s="8" t="str">
        <f aca="false">IF(AND(H92="Y",E92="Business checking (debit/ACH/check)"),"Counts toward 1099-NEC",IF(H92="Y","Paid by card/PayPal - 1099-K side",""))</f>
        <v/>
      </c>
      <c r="K92" s="16"/>
    </row>
    <row r="93" customFormat="false" ht="15" hidden="false" customHeight="false" outlineLevel="0" collapsed="false">
      <c r="A93" s="25"/>
      <c r="B93" s="16"/>
      <c r="C93" s="16"/>
      <c r="D93" s="26"/>
      <c r="E93" s="16"/>
      <c r="F93" s="16"/>
      <c r="G93" s="16"/>
      <c r="H93" s="16"/>
      <c r="I93" s="16"/>
      <c r="J93" s="8" t="str">
        <f aca="false">IF(AND(H93="Y",E93="Business checking (debit/ACH/check)"),"Counts toward 1099-NEC",IF(H93="Y","Paid by card/PayPal - 1099-K side",""))</f>
        <v/>
      </c>
      <c r="K93" s="16"/>
    </row>
    <row r="94" customFormat="false" ht="15" hidden="false" customHeight="false" outlineLevel="0" collapsed="false">
      <c r="A94" s="25"/>
      <c r="B94" s="16"/>
      <c r="C94" s="16"/>
      <c r="D94" s="26"/>
      <c r="E94" s="16"/>
      <c r="F94" s="16"/>
      <c r="G94" s="16"/>
      <c r="H94" s="16"/>
      <c r="I94" s="16"/>
      <c r="J94" s="8" t="str">
        <f aca="false">IF(AND(H94="Y",E94="Business checking (debit/ACH/check)"),"Counts toward 1099-NEC",IF(H94="Y","Paid by card/PayPal - 1099-K side",""))</f>
        <v/>
      </c>
      <c r="K94" s="16"/>
    </row>
    <row r="95" customFormat="false" ht="15" hidden="false" customHeight="false" outlineLevel="0" collapsed="false">
      <c r="A95" s="25"/>
      <c r="B95" s="16"/>
      <c r="C95" s="16"/>
      <c r="D95" s="26"/>
      <c r="E95" s="16"/>
      <c r="F95" s="16"/>
      <c r="G95" s="16"/>
      <c r="H95" s="16"/>
      <c r="I95" s="16"/>
      <c r="J95" s="8" t="str">
        <f aca="false">IF(AND(H95="Y",E95="Business checking (debit/ACH/check)"),"Counts toward 1099-NEC",IF(H95="Y","Paid by card/PayPal - 1099-K side",""))</f>
        <v/>
      </c>
      <c r="K95" s="16"/>
    </row>
    <row r="96" customFormat="false" ht="15" hidden="false" customHeight="false" outlineLevel="0" collapsed="false">
      <c r="A96" s="25"/>
      <c r="B96" s="16"/>
      <c r="C96" s="16"/>
      <c r="D96" s="26"/>
      <c r="E96" s="16"/>
      <c r="F96" s="16"/>
      <c r="G96" s="16"/>
      <c r="H96" s="16"/>
      <c r="I96" s="16"/>
      <c r="J96" s="8" t="str">
        <f aca="false">IF(AND(H96="Y",E96="Business checking (debit/ACH/check)"),"Counts toward 1099-NEC",IF(H96="Y","Paid by card/PayPal - 1099-K side",""))</f>
        <v/>
      </c>
      <c r="K96" s="16"/>
    </row>
    <row r="97" customFormat="false" ht="15" hidden="false" customHeight="false" outlineLevel="0" collapsed="false">
      <c r="A97" s="25"/>
      <c r="B97" s="16"/>
      <c r="C97" s="16"/>
      <c r="D97" s="26"/>
      <c r="E97" s="16"/>
      <c r="F97" s="16"/>
      <c r="G97" s="16"/>
      <c r="H97" s="16"/>
      <c r="I97" s="16"/>
      <c r="J97" s="8" t="str">
        <f aca="false">IF(AND(H97="Y",E97="Business checking (debit/ACH/check)"),"Counts toward 1099-NEC",IF(H97="Y","Paid by card/PayPal - 1099-K side",""))</f>
        <v/>
      </c>
      <c r="K97" s="16"/>
    </row>
    <row r="98" customFormat="false" ht="15" hidden="false" customHeight="false" outlineLevel="0" collapsed="false">
      <c r="A98" s="25"/>
      <c r="B98" s="16"/>
      <c r="C98" s="16"/>
      <c r="D98" s="26"/>
      <c r="E98" s="16"/>
      <c r="F98" s="16"/>
      <c r="G98" s="16"/>
      <c r="H98" s="16"/>
      <c r="I98" s="16"/>
      <c r="J98" s="8" t="str">
        <f aca="false">IF(AND(H98="Y",E98="Business checking (debit/ACH/check)"),"Counts toward 1099-NEC",IF(H98="Y","Paid by card/PayPal - 1099-K side",""))</f>
        <v/>
      </c>
      <c r="K98" s="16"/>
    </row>
    <row r="99" customFormat="false" ht="15" hidden="false" customHeight="false" outlineLevel="0" collapsed="false">
      <c r="A99" s="25"/>
      <c r="B99" s="16"/>
      <c r="C99" s="16"/>
      <c r="D99" s="26"/>
      <c r="E99" s="16"/>
      <c r="F99" s="16"/>
      <c r="G99" s="16"/>
      <c r="H99" s="16"/>
      <c r="I99" s="16"/>
      <c r="J99" s="8" t="str">
        <f aca="false">IF(AND(H99="Y",E99="Business checking (debit/ACH/check)"),"Counts toward 1099-NEC",IF(H99="Y","Paid by card/PayPal - 1099-K side",""))</f>
        <v/>
      </c>
      <c r="K99" s="16"/>
    </row>
    <row r="100" customFormat="false" ht="15" hidden="false" customHeight="false" outlineLevel="0" collapsed="false">
      <c r="A100" s="25"/>
      <c r="B100" s="16"/>
      <c r="C100" s="16"/>
      <c r="D100" s="26"/>
      <c r="E100" s="16"/>
      <c r="F100" s="16"/>
      <c r="G100" s="16"/>
      <c r="H100" s="16"/>
      <c r="I100" s="16"/>
      <c r="J100" s="8" t="str">
        <f aca="false">IF(AND(H100="Y",E100="Business checking (debit/ACH/check)"),"Counts toward 1099-NEC",IF(H100="Y","Paid by card/PayPal - 1099-K side",""))</f>
        <v/>
      </c>
      <c r="K100" s="16"/>
    </row>
    <row r="101" customFormat="false" ht="15" hidden="false" customHeight="false" outlineLevel="0" collapsed="false">
      <c r="A101" s="25"/>
      <c r="B101" s="16"/>
      <c r="C101" s="16"/>
      <c r="D101" s="26"/>
      <c r="E101" s="16"/>
      <c r="F101" s="16"/>
      <c r="G101" s="16"/>
      <c r="H101" s="16"/>
      <c r="I101" s="16"/>
      <c r="J101" s="8" t="str">
        <f aca="false">IF(AND(H101="Y",E101="Business checking (debit/ACH/check)"),"Counts toward 1099-NEC",IF(H101="Y","Paid by card/PayPal - 1099-K side",""))</f>
        <v/>
      </c>
      <c r="K101" s="16"/>
    </row>
    <row r="102" customFormat="false" ht="15" hidden="false" customHeight="false" outlineLevel="0" collapsed="false">
      <c r="A102" s="25"/>
      <c r="B102" s="16"/>
      <c r="C102" s="16"/>
      <c r="D102" s="26"/>
      <c r="E102" s="16"/>
      <c r="F102" s="16"/>
      <c r="G102" s="16"/>
      <c r="H102" s="16"/>
      <c r="I102" s="16"/>
      <c r="J102" s="8" t="str">
        <f aca="false">IF(AND(H102="Y",E102="Business checking (debit/ACH/check)"),"Counts toward 1099-NEC",IF(H102="Y","Paid by card/PayPal - 1099-K side",""))</f>
        <v/>
      </c>
      <c r="K102" s="16"/>
    </row>
    <row r="103" customFormat="false" ht="15" hidden="false" customHeight="false" outlineLevel="0" collapsed="false">
      <c r="A103" s="25"/>
      <c r="B103" s="16"/>
      <c r="C103" s="16"/>
      <c r="D103" s="26"/>
      <c r="E103" s="16"/>
      <c r="F103" s="16"/>
      <c r="G103" s="16"/>
      <c r="H103" s="16"/>
      <c r="I103" s="16"/>
      <c r="J103" s="8" t="str">
        <f aca="false">IF(AND(H103="Y",E103="Business checking (debit/ACH/check)"),"Counts toward 1099-NEC",IF(H103="Y","Paid by card/PayPal - 1099-K side",""))</f>
        <v/>
      </c>
      <c r="K103" s="16"/>
    </row>
    <row r="104" customFormat="false" ht="15" hidden="false" customHeight="false" outlineLevel="0" collapsed="false">
      <c r="A104" s="25"/>
      <c r="B104" s="16"/>
      <c r="C104" s="16"/>
      <c r="D104" s="26"/>
      <c r="E104" s="16"/>
      <c r="F104" s="16"/>
      <c r="G104" s="16"/>
      <c r="H104" s="16"/>
      <c r="I104" s="16"/>
      <c r="J104" s="8" t="str">
        <f aca="false">IF(AND(H104="Y",E104="Business checking (debit/ACH/check)"),"Counts toward 1099-NEC",IF(H104="Y","Paid by card/PayPal - 1099-K side",""))</f>
        <v/>
      </c>
      <c r="K104" s="16"/>
    </row>
    <row r="105" customFormat="false" ht="15" hidden="false" customHeight="false" outlineLevel="0" collapsed="false">
      <c r="A105" s="25"/>
      <c r="B105" s="16"/>
      <c r="C105" s="16"/>
      <c r="D105" s="26"/>
      <c r="E105" s="16"/>
      <c r="F105" s="16"/>
      <c r="G105" s="16"/>
      <c r="H105" s="16"/>
      <c r="I105" s="16"/>
      <c r="J105" s="8" t="str">
        <f aca="false">IF(AND(H105="Y",E105="Business checking (debit/ACH/check)"),"Counts toward 1099-NEC",IF(H105="Y","Paid by card/PayPal - 1099-K side",""))</f>
        <v/>
      </c>
      <c r="K105" s="16"/>
    </row>
    <row r="106" customFormat="false" ht="15" hidden="false" customHeight="false" outlineLevel="0" collapsed="false">
      <c r="A106" s="25"/>
      <c r="B106" s="16"/>
      <c r="C106" s="16"/>
      <c r="D106" s="26"/>
      <c r="E106" s="16"/>
      <c r="F106" s="16"/>
      <c r="G106" s="16"/>
      <c r="H106" s="16"/>
      <c r="I106" s="16"/>
      <c r="J106" s="8" t="str">
        <f aca="false">IF(AND(H106="Y",E106="Business checking (debit/ACH/check)"),"Counts toward 1099-NEC",IF(H106="Y","Paid by card/PayPal - 1099-K side",""))</f>
        <v/>
      </c>
      <c r="K106" s="16"/>
    </row>
    <row r="107" customFormat="false" ht="15" hidden="false" customHeight="false" outlineLevel="0" collapsed="false">
      <c r="A107" s="25"/>
      <c r="B107" s="16"/>
      <c r="C107" s="16"/>
      <c r="D107" s="26"/>
      <c r="E107" s="16"/>
      <c r="F107" s="16"/>
      <c r="G107" s="16"/>
      <c r="H107" s="16"/>
      <c r="I107" s="16"/>
      <c r="J107" s="8" t="str">
        <f aca="false">IF(AND(H107="Y",E107="Business checking (debit/ACH/check)"),"Counts toward 1099-NEC",IF(H107="Y","Paid by card/PayPal - 1099-K side",""))</f>
        <v/>
      </c>
      <c r="K107" s="16"/>
    </row>
    <row r="108" customFormat="false" ht="15" hidden="false" customHeight="false" outlineLevel="0" collapsed="false">
      <c r="A108" s="25"/>
      <c r="B108" s="16"/>
      <c r="C108" s="16"/>
      <c r="D108" s="26"/>
      <c r="E108" s="16"/>
      <c r="F108" s="16"/>
      <c r="G108" s="16"/>
      <c r="H108" s="16"/>
      <c r="I108" s="16"/>
      <c r="J108" s="8" t="str">
        <f aca="false">IF(AND(H108="Y",E108="Business checking (debit/ACH/check)"),"Counts toward 1099-NEC",IF(H108="Y","Paid by card/PayPal - 1099-K side",""))</f>
        <v/>
      </c>
      <c r="K108" s="16"/>
    </row>
    <row r="109" customFormat="false" ht="15" hidden="false" customHeight="false" outlineLevel="0" collapsed="false">
      <c r="A109" s="25"/>
      <c r="B109" s="16"/>
      <c r="C109" s="16"/>
      <c r="D109" s="26"/>
      <c r="E109" s="16"/>
      <c r="F109" s="16"/>
      <c r="G109" s="16"/>
      <c r="H109" s="16"/>
      <c r="I109" s="16"/>
      <c r="J109" s="8" t="str">
        <f aca="false">IF(AND(H109="Y",E109="Business checking (debit/ACH/check)"),"Counts toward 1099-NEC",IF(H109="Y","Paid by card/PayPal - 1099-K side",""))</f>
        <v/>
      </c>
      <c r="K109" s="16"/>
    </row>
    <row r="110" customFormat="false" ht="15" hidden="false" customHeight="false" outlineLevel="0" collapsed="false">
      <c r="A110" s="25"/>
      <c r="B110" s="16"/>
      <c r="C110" s="16"/>
      <c r="D110" s="26"/>
      <c r="E110" s="16"/>
      <c r="F110" s="16"/>
      <c r="G110" s="16"/>
      <c r="H110" s="16"/>
      <c r="I110" s="16"/>
      <c r="J110" s="8" t="str">
        <f aca="false">IF(AND(H110="Y",E110="Business checking (debit/ACH/check)"),"Counts toward 1099-NEC",IF(H110="Y","Paid by card/PayPal - 1099-K side",""))</f>
        <v/>
      </c>
      <c r="K110" s="16"/>
    </row>
    <row r="111" customFormat="false" ht="15" hidden="false" customHeight="false" outlineLevel="0" collapsed="false">
      <c r="A111" s="25"/>
      <c r="B111" s="16"/>
      <c r="C111" s="16"/>
      <c r="D111" s="26"/>
      <c r="E111" s="16"/>
      <c r="F111" s="16"/>
      <c r="G111" s="16"/>
      <c r="H111" s="16"/>
      <c r="I111" s="16"/>
      <c r="J111" s="8" t="str">
        <f aca="false">IF(AND(H111="Y",E111="Business checking (debit/ACH/check)"),"Counts toward 1099-NEC",IF(H111="Y","Paid by card/PayPal - 1099-K side",""))</f>
        <v/>
      </c>
      <c r="K111" s="16"/>
    </row>
    <row r="112" customFormat="false" ht="15" hidden="false" customHeight="false" outlineLevel="0" collapsed="false">
      <c r="A112" s="25"/>
      <c r="B112" s="16"/>
      <c r="C112" s="16"/>
      <c r="D112" s="26"/>
      <c r="E112" s="16"/>
      <c r="F112" s="16"/>
      <c r="G112" s="16"/>
      <c r="H112" s="16"/>
      <c r="I112" s="16"/>
      <c r="J112" s="8" t="str">
        <f aca="false">IF(AND(H112="Y",E112="Business checking (debit/ACH/check)"),"Counts toward 1099-NEC",IF(H112="Y","Paid by card/PayPal - 1099-K side",""))</f>
        <v/>
      </c>
      <c r="K112" s="16"/>
    </row>
    <row r="113" customFormat="false" ht="15" hidden="false" customHeight="false" outlineLevel="0" collapsed="false">
      <c r="A113" s="25"/>
      <c r="B113" s="16"/>
      <c r="C113" s="16"/>
      <c r="D113" s="26"/>
      <c r="E113" s="16"/>
      <c r="F113" s="16"/>
      <c r="G113" s="16"/>
      <c r="H113" s="16"/>
      <c r="I113" s="16"/>
      <c r="J113" s="8" t="str">
        <f aca="false">IF(AND(H113="Y",E113="Business checking (debit/ACH/check)"),"Counts toward 1099-NEC",IF(H113="Y","Paid by card/PayPal - 1099-K side",""))</f>
        <v/>
      </c>
      <c r="K113" s="16"/>
    </row>
    <row r="114" customFormat="false" ht="15" hidden="false" customHeight="false" outlineLevel="0" collapsed="false">
      <c r="A114" s="25"/>
      <c r="B114" s="16"/>
      <c r="C114" s="16"/>
      <c r="D114" s="26"/>
      <c r="E114" s="16"/>
      <c r="F114" s="16"/>
      <c r="G114" s="16"/>
      <c r="H114" s="16"/>
      <c r="I114" s="16"/>
      <c r="J114" s="8" t="str">
        <f aca="false">IF(AND(H114="Y",E114="Business checking (debit/ACH/check)"),"Counts toward 1099-NEC",IF(H114="Y","Paid by card/PayPal - 1099-K side",""))</f>
        <v/>
      </c>
      <c r="K114" s="16"/>
    </row>
    <row r="115" customFormat="false" ht="15" hidden="false" customHeight="false" outlineLevel="0" collapsed="false">
      <c r="A115" s="25"/>
      <c r="B115" s="16"/>
      <c r="C115" s="16"/>
      <c r="D115" s="26"/>
      <c r="E115" s="16"/>
      <c r="F115" s="16"/>
      <c r="G115" s="16"/>
      <c r="H115" s="16"/>
      <c r="I115" s="16"/>
      <c r="J115" s="8" t="str">
        <f aca="false">IF(AND(H115="Y",E115="Business checking (debit/ACH/check)"),"Counts toward 1099-NEC",IF(H115="Y","Paid by card/PayPal - 1099-K side",""))</f>
        <v/>
      </c>
      <c r="K115" s="16"/>
    </row>
    <row r="116" customFormat="false" ht="15" hidden="false" customHeight="false" outlineLevel="0" collapsed="false">
      <c r="A116" s="25"/>
      <c r="B116" s="16"/>
      <c r="C116" s="16"/>
      <c r="D116" s="26"/>
      <c r="E116" s="16"/>
      <c r="F116" s="16"/>
      <c r="G116" s="16"/>
      <c r="H116" s="16"/>
      <c r="I116" s="16"/>
      <c r="J116" s="8" t="str">
        <f aca="false">IF(AND(H116="Y",E116="Business checking (debit/ACH/check)"),"Counts toward 1099-NEC",IF(H116="Y","Paid by card/PayPal - 1099-K side",""))</f>
        <v/>
      </c>
      <c r="K116" s="16"/>
    </row>
    <row r="117" customFormat="false" ht="15" hidden="false" customHeight="false" outlineLevel="0" collapsed="false">
      <c r="A117" s="25"/>
      <c r="B117" s="16"/>
      <c r="C117" s="16"/>
      <c r="D117" s="26"/>
      <c r="E117" s="16"/>
      <c r="F117" s="16"/>
      <c r="G117" s="16"/>
      <c r="H117" s="16"/>
      <c r="I117" s="16"/>
      <c r="J117" s="8" t="str">
        <f aca="false">IF(AND(H117="Y",E117="Business checking (debit/ACH/check)"),"Counts toward 1099-NEC",IF(H117="Y","Paid by card/PayPal - 1099-K side",""))</f>
        <v/>
      </c>
      <c r="K117" s="16"/>
    </row>
    <row r="118" customFormat="false" ht="15" hidden="false" customHeight="false" outlineLevel="0" collapsed="false">
      <c r="A118" s="25"/>
      <c r="B118" s="16"/>
      <c r="C118" s="16"/>
      <c r="D118" s="26"/>
      <c r="E118" s="16"/>
      <c r="F118" s="16"/>
      <c r="G118" s="16"/>
      <c r="H118" s="16"/>
      <c r="I118" s="16"/>
      <c r="J118" s="8" t="str">
        <f aca="false">IF(AND(H118="Y",E118="Business checking (debit/ACH/check)"),"Counts toward 1099-NEC",IF(H118="Y","Paid by card/PayPal - 1099-K side",""))</f>
        <v/>
      </c>
      <c r="K118" s="16"/>
    </row>
    <row r="119" customFormat="false" ht="15" hidden="false" customHeight="false" outlineLevel="0" collapsed="false">
      <c r="A119" s="25"/>
      <c r="B119" s="16"/>
      <c r="C119" s="16"/>
      <c r="D119" s="26"/>
      <c r="E119" s="16"/>
      <c r="F119" s="16"/>
      <c r="G119" s="16"/>
      <c r="H119" s="16"/>
      <c r="I119" s="16"/>
      <c r="J119" s="8" t="str">
        <f aca="false">IF(AND(H119="Y",E119="Business checking (debit/ACH/check)"),"Counts toward 1099-NEC",IF(H119="Y","Paid by card/PayPal - 1099-K side",""))</f>
        <v/>
      </c>
      <c r="K119" s="16"/>
    </row>
    <row r="120" customFormat="false" ht="15" hidden="false" customHeight="false" outlineLevel="0" collapsed="false">
      <c r="A120" s="25"/>
      <c r="B120" s="16"/>
      <c r="C120" s="16"/>
      <c r="D120" s="26"/>
      <c r="E120" s="16"/>
      <c r="F120" s="16"/>
      <c r="G120" s="16"/>
      <c r="H120" s="16"/>
      <c r="I120" s="16"/>
      <c r="J120" s="8" t="str">
        <f aca="false">IF(AND(H120="Y",E120="Business checking (debit/ACH/check)"),"Counts toward 1099-NEC",IF(H120="Y","Paid by card/PayPal - 1099-K side",""))</f>
        <v/>
      </c>
      <c r="K120" s="16"/>
    </row>
    <row r="121" customFormat="false" ht="15" hidden="false" customHeight="false" outlineLevel="0" collapsed="false">
      <c r="A121" s="25"/>
      <c r="B121" s="16"/>
      <c r="C121" s="16"/>
      <c r="D121" s="26"/>
      <c r="E121" s="16"/>
      <c r="F121" s="16"/>
      <c r="G121" s="16"/>
      <c r="H121" s="16"/>
      <c r="I121" s="16"/>
      <c r="J121" s="8" t="str">
        <f aca="false">IF(AND(H121="Y",E121="Business checking (debit/ACH/check)"),"Counts toward 1099-NEC",IF(H121="Y","Paid by card/PayPal - 1099-K side",""))</f>
        <v/>
      </c>
      <c r="K121" s="16"/>
    </row>
    <row r="122" customFormat="false" ht="15" hidden="false" customHeight="false" outlineLevel="0" collapsed="false">
      <c r="A122" s="25"/>
      <c r="B122" s="16"/>
      <c r="C122" s="16"/>
      <c r="D122" s="26"/>
      <c r="E122" s="16"/>
      <c r="F122" s="16"/>
      <c r="G122" s="16"/>
      <c r="H122" s="16"/>
      <c r="I122" s="16"/>
      <c r="J122" s="8" t="str">
        <f aca="false">IF(AND(H122="Y",E122="Business checking (debit/ACH/check)"),"Counts toward 1099-NEC",IF(H122="Y","Paid by card/PayPal - 1099-K side",""))</f>
        <v/>
      </c>
      <c r="K122" s="16"/>
    </row>
    <row r="123" customFormat="false" ht="15" hidden="false" customHeight="false" outlineLevel="0" collapsed="false">
      <c r="A123" s="25"/>
      <c r="B123" s="16"/>
      <c r="C123" s="16"/>
      <c r="D123" s="26"/>
      <c r="E123" s="16"/>
      <c r="F123" s="16"/>
      <c r="G123" s="16"/>
      <c r="H123" s="16"/>
      <c r="I123" s="16"/>
      <c r="J123" s="8" t="str">
        <f aca="false">IF(AND(H123="Y",E123="Business checking (debit/ACH/check)"),"Counts toward 1099-NEC",IF(H123="Y","Paid by card/PayPal - 1099-K side",""))</f>
        <v/>
      </c>
      <c r="K123" s="16"/>
    </row>
    <row r="124" customFormat="false" ht="15" hidden="false" customHeight="false" outlineLevel="0" collapsed="false">
      <c r="A124" s="25"/>
      <c r="B124" s="16"/>
      <c r="C124" s="16"/>
      <c r="D124" s="26"/>
      <c r="E124" s="16"/>
      <c r="F124" s="16"/>
      <c r="G124" s="16"/>
      <c r="H124" s="16"/>
      <c r="I124" s="16"/>
      <c r="J124" s="8" t="str">
        <f aca="false">IF(AND(H124="Y",E124="Business checking (debit/ACH/check)"),"Counts toward 1099-NEC",IF(H124="Y","Paid by card/PayPal - 1099-K side",""))</f>
        <v/>
      </c>
      <c r="K124" s="16"/>
    </row>
    <row r="125" customFormat="false" ht="15" hidden="false" customHeight="false" outlineLevel="0" collapsed="false">
      <c r="A125" s="25"/>
      <c r="B125" s="16"/>
      <c r="C125" s="16"/>
      <c r="D125" s="26"/>
      <c r="E125" s="16"/>
      <c r="F125" s="16"/>
      <c r="G125" s="16"/>
      <c r="H125" s="16"/>
      <c r="I125" s="16"/>
      <c r="J125" s="8" t="str">
        <f aca="false">IF(AND(H125="Y",E125="Business checking (debit/ACH/check)"),"Counts toward 1099-NEC",IF(H125="Y","Paid by card/PayPal - 1099-K side",""))</f>
        <v/>
      </c>
      <c r="K125" s="16"/>
    </row>
    <row r="126" customFormat="false" ht="15" hidden="false" customHeight="false" outlineLevel="0" collapsed="false">
      <c r="A126" s="25"/>
      <c r="B126" s="16"/>
      <c r="C126" s="16"/>
      <c r="D126" s="26"/>
      <c r="E126" s="16"/>
      <c r="F126" s="16"/>
      <c r="G126" s="16"/>
      <c r="H126" s="16"/>
      <c r="I126" s="16"/>
      <c r="J126" s="8" t="str">
        <f aca="false">IF(AND(H126="Y",E126="Business checking (debit/ACH/check)"),"Counts toward 1099-NEC",IF(H126="Y","Paid by card/PayPal - 1099-K side",""))</f>
        <v/>
      </c>
      <c r="K126" s="16"/>
    </row>
    <row r="127" customFormat="false" ht="15" hidden="false" customHeight="false" outlineLevel="0" collapsed="false">
      <c r="A127" s="25"/>
      <c r="B127" s="16"/>
      <c r="C127" s="16"/>
      <c r="D127" s="26"/>
      <c r="E127" s="16"/>
      <c r="F127" s="16"/>
      <c r="G127" s="16"/>
      <c r="H127" s="16"/>
      <c r="I127" s="16"/>
      <c r="J127" s="8" t="str">
        <f aca="false">IF(AND(H127="Y",E127="Business checking (debit/ACH/check)"),"Counts toward 1099-NEC",IF(H127="Y","Paid by card/PayPal - 1099-K side",""))</f>
        <v/>
      </c>
      <c r="K127" s="16"/>
    </row>
    <row r="128" customFormat="false" ht="15" hidden="false" customHeight="false" outlineLevel="0" collapsed="false">
      <c r="A128" s="25"/>
      <c r="B128" s="16"/>
      <c r="C128" s="16"/>
      <c r="D128" s="26"/>
      <c r="E128" s="16"/>
      <c r="F128" s="16"/>
      <c r="G128" s="16"/>
      <c r="H128" s="16"/>
      <c r="I128" s="16"/>
      <c r="J128" s="8" t="str">
        <f aca="false">IF(AND(H128="Y",E128="Business checking (debit/ACH/check)"),"Counts toward 1099-NEC",IF(H128="Y","Paid by card/PayPal - 1099-K side",""))</f>
        <v/>
      </c>
      <c r="K128" s="16"/>
    </row>
    <row r="129" customFormat="false" ht="15" hidden="false" customHeight="false" outlineLevel="0" collapsed="false">
      <c r="A129" s="25"/>
      <c r="B129" s="16"/>
      <c r="C129" s="16"/>
      <c r="D129" s="26"/>
      <c r="E129" s="16"/>
      <c r="F129" s="16"/>
      <c r="G129" s="16"/>
      <c r="H129" s="16"/>
      <c r="I129" s="16"/>
      <c r="J129" s="8" t="str">
        <f aca="false">IF(AND(H129="Y",E129="Business checking (debit/ACH/check)"),"Counts toward 1099-NEC",IF(H129="Y","Paid by card/PayPal - 1099-K side",""))</f>
        <v/>
      </c>
      <c r="K129" s="16"/>
    </row>
    <row r="130" customFormat="false" ht="15" hidden="false" customHeight="false" outlineLevel="0" collapsed="false">
      <c r="A130" s="25"/>
      <c r="B130" s="16"/>
      <c r="C130" s="16"/>
      <c r="D130" s="26"/>
      <c r="E130" s="16"/>
      <c r="F130" s="16"/>
      <c r="G130" s="16"/>
      <c r="H130" s="16"/>
      <c r="I130" s="16"/>
      <c r="J130" s="8" t="str">
        <f aca="false">IF(AND(H130="Y",E130="Business checking (debit/ACH/check)"),"Counts toward 1099-NEC",IF(H130="Y","Paid by card/PayPal - 1099-K side",""))</f>
        <v/>
      </c>
      <c r="K130" s="16"/>
    </row>
    <row r="131" customFormat="false" ht="15" hidden="false" customHeight="false" outlineLevel="0" collapsed="false">
      <c r="A131" s="25"/>
      <c r="B131" s="16"/>
      <c r="C131" s="16"/>
      <c r="D131" s="26"/>
      <c r="E131" s="16"/>
      <c r="F131" s="16"/>
      <c r="G131" s="16"/>
      <c r="H131" s="16"/>
      <c r="I131" s="16"/>
      <c r="J131" s="8" t="str">
        <f aca="false">IF(AND(H131="Y",E131="Business checking (debit/ACH/check)"),"Counts toward 1099-NEC",IF(H131="Y","Paid by card/PayPal - 1099-K side",""))</f>
        <v/>
      </c>
      <c r="K131" s="16"/>
    </row>
    <row r="132" customFormat="false" ht="15" hidden="false" customHeight="false" outlineLevel="0" collapsed="false">
      <c r="A132" s="25"/>
      <c r="B132" s="16"/>
      <c r="C132" s="16"/>
      <c r="D132" s="26"/>
      <c r="E132" s="16"/>
      <c r="F132" s="16"/>
      <c r="G132" s="16"/>
      <c r="H132" s="16"/>
      <c r="I132" s="16"/>
      <c r="J132" s="8" t="str">
        <f aca="false">IF(AND(H132="Y",E132="Business checking (debit/ACH/check)"),"Counts toward 1099-NEC",IF(H132="Y","Paid by card/PayPal - 1099-K side",""))</f>
        <v/>
      </c>
      <c r="K132" s="16"/>
    </row>
    <row r="133" customFormat="false" ht="15" hidden="false" customHeight="false" outlineLevel="0" collapsed="false">
      <c r="A133" s="25"/>
      <c r="B133" s="16"/>
      <c r="C133" s="16"/>
      <c r="D133" s="26"/>
      <c r="E133" s="16"/>
      <c r="F133" s="16"/>
      <c r="G133" s="16"/>
      <c r="H133" s="16"/>
      <c r="I133" s="16"/>
      <c r="J133" s="8" t="str">
        <f aca="false">IF(AND(H133="Y",E133="Business checking (debit/ACH/check)"),"Counts toward 1099-NEC",IF(H133="Y","Paid by card/PayPal - 1099-K side",""))</f>
        <v/>
      </c>
      <c r="K133" s="16"/>
    </row>
    <row r="134" customFormat="false" ht="15" hidden="false" customHeight="false" outlineLevel="0" collapsed="false">
      <c r="A134" s="25"/>
      <c r="B134" s="16"/>
      <c r="C134" s="16"/>
      <c r="D134" s="26"/>
      <c r="E134" s="16"/>
      <c r="F134" s="16"/>
      <c r="G134" s="16"/>
      <c r="H134" s="16"/>
      <c r="I134" s="16"/>
      <c r="J134" s="8" t="str">
        <f aca="false">IF(AND(H134="Y",E134="Business checking (debit/ACH/check)"),"Counts toward 1099-NEC",IF(H134="Y","Paid by card/PayPal - 1099-K side",""))</f>
        <v/>
      </c>
      <c r="K134" s="16"/>
    </row>
    <row r="135" customFormat="false" ht="15" hidden="false" customHeight="false" outlineLevel="0" collapsed="false">
      <c r="A135" s="25"/>
      <c r="B135" s="16"/>
      <c r="C135" s="16"/>
      <c r="D135" s="26"/>
      <c r="E135" s="16"/>
      <c r="F135" s="16"/>
      <c r="G135" s="16"/>
      <c r="H135" s="16"/>
      <c r="I135" s="16"/>
      <c r="J135" s="8" t="str">
        <f aca="false">IF(AND(H135="Y",E135="Business checking (debit/ACH/check)"),"Counts toward 1099-NEC",IF(H135="Y","Paid by card/PayPal - 1099-K side",""))</f>
        <v/>
      </c>
      <c r="K135" s="16"/>
    </row>
    <row r="136" customFormat="false" ht="15" hidden="false" customHeight="false" outlineLevel="0" collapsed="false">
      <c r="A136" s="25"/>
      <c r="B136" s="16"/>
      <c r="C136" s="16"/>
      <c r="D136" s="26"/>
      <c r="E136" s="16"/>
      <c r="F136" s="16"/>
      <c r="G136" s="16"/>
      <c r="H136" s="16"/>
      <c r="I136" s="16"/>
      <c r="J136" s="8" t="str">
        <f aca="false">IF(AND(H136="Y",E136="Business checking (debit/ACH/check)"),"Counts toward 1099-NEC",IF(H136="Y","Paid by card/PayPal - 1099-K side",""))</f>
        <v/>
      </c>
      <c r="K136" s="16"/>
    </row>
    <row r="137" customFormat="false" ht="15" hidden="false" customHeight="false" outlineLevel="0" collapsed="false">
      <c r="A137" s="25"/>
      <c r="B137" s="16"/>
      <c r="C137" s="16"/>
      <c r="D137" s="26"/>
      <c r="E137" s="16"/>
      <c r="F137" s="16"/>
      <c r="G137" s="16"/>
      <c r="H137" s="16"/>
      <c r="I137" s="16"/>
      <c r="J137" s="8" t="str">
        <f aca="false">IF(AND(H137="Y",E137="Business checking (debit/ACH/check)"),"Counts toward 1099-NEC",IF(H137="Y","Paid by card/PayPal - 1099-K side",""))</f>
        <v/>
      </c>
      <c r="K137" s="16"/>
    </row>
    <row r="138" customFormat="false" ht="15" hidden="false" customHeight="false" outlineLevel="0" collapsed="false">
      <c r="A138" s="25"/>
      <c r="B138" s="16"/>
      <c r="C138" s="16"/>
      <c r="D138" s="26"/>
      <c r="E138" s="16"/>
      <c r="F138" s="16"/>
      <c r="G138" s="16"/>
      <c r="H138" s="16"/>
      <c r="I138" s="16"/>
      <c r="J138" s="8" t="str">
        <f aca="false">IF(AND(H138="Y",E138="Business checking (debit/ACH/check)"),"Counts toward 1099-NEC",IF(H138="Y","Paid by card/PayPal - 1099-K side",""))</f>
        <v/>
      </c>
      <c r="K138" s="16"/>
    </row>
    <row r="139" customFormat="false" ht="15" hidden="false" customHeight="false" outlineLevel="0" collapsed="false">
      <c r="A139" s="25"/>
      <c r="B139" s="16"/>
      <c r="C139" s="16"/>
      <c r="D139" s="26"/>
      <c r="E139" s="16"/>
      <c r="F139" s="16"/>
      <c r="G139" s="16"/>
      <c r="H139" s="16"/>
      <c r="I139" s="16"/>
      <c r="J139" s="8" t="str">
        <f aca="false">IF(AND(H139="Y",E139="Business checking (debit/ACH/check)"),"Counts toward 1099-NEC",IF(H139="Y","Paid by card/PayPal - 1099-K side",""))</f>
        <v/>
      </c>
      <c r="K139" s="16"/>
    </row>
    <row r="140" customFormat="false" ht="15" hidden="false" customHeight="false" outlineLevel="0" collapsed="false">
      <c r="A140" s="25"/>
      <c r="B140" s="16"/>
      <c r="C140" s="16"/>
      <c r="D140" s="26"/>
      <c r="E140" s="16"/>
      <c r="F140" s="16"/>
      <c r="G140" s="16"/>
      <c r="H140" s="16"/>
      <c r="I140" s="16"/>
      <c r="J140" s="8" t="str">
        <f aca="false">IF(AND(H140="Y",E140="Business checking (debit/ACH/check)"),"Counts toward 1099-NEC",IF(H140="Y","Paid by card/PayPal - 1099-K side",""))</f>
        <v/>
      </c>
      <c r="K140" s="16"/>
    </row>
    <row r="141" customFormat="false" ht="15" hidden="false" customHeight="false" outlineLevel="0" collapsed="false">
      <c r="A141" s="25"/>
      <c r="B141" s="16"/>
      <c r="C141" s="16"/>
      <c r="D141" s="26"/>
      <c r="E141" s="16"/>
      <c r="F141" s="16"/>
      <c r="G141" s="16"/>
      <c r="H141" s="16"/>
      <c r="I141" s="16"/>
      <c r="J141" s="8" t="str">
        <f aca="false">IF(AND(H141="Y",E141="Business checking (debit/ACH/check)"),"Counts toward 1099-NEC",IF(H141="Y","Paid by card/PayPal - 1099-K side",""))</f>
        <v/>
      </c>
      <c r="K141" s="16"/>
    </row>
    <row r="142" customFormat="false" ht="15" hidden="false" customHeight="false" outlineLevel="0" collapsed="false">
      <c r="A142" s="25"/>
      <c r="B142" s="16"/>
      <c r="C142" s="16"/>
      <c r="D142" s="26"/>
      <c r="E142" s="16"/>
      <c r="F142" s="16"/>
      <c r="G142" s="16"/>
      <c r="H142" s="16"/>
      <c r="I142" s="16"/>
      <c r="J142" s="8" t="str">
        <f aca="false">IF(AND(H142="Y",E142="Business checking (debit/ACH/check)"),"Counts toward 1099-NEC",IF(H142="Y","Paid by card/PayPal - 1099-K side",""))</f>
        <v/>
      </c>
      <c r="K142" s="16"/>
    </row>
    <row r="143" customFormat="false" ht="15" hidden="false" customHeight="false" outlineLevel="0" collapsed="false">
      <c r="A143" s="25"/>
      <c r="B143" s="16"/>
      <c r="C143" s="16"/>
      <c r="D143" s="26"/>
      <c r="E143" s="16"/>
      <c r="F143" s="16"/>
      <c r="G143" s="16"/>
      <c r="H143" s="16"/>
      <c r="I143" s="16"/>
      <c r="J143" s="8" t="str">
        <f aca="false">IF(AND(H143="Y",E143="Business checking (debit/ACH/check)"),"Counts toward 1099-NEC",IF(H143="Y","Paid by card/PayPal - 1099-K side",""))</f>
        <v/>
      </c>
      <c r="K143" s="16"/>
    </row>
    <row r="144" customFormat="false" ht="15" hidden="false" customHeight="false" outlineLevel="0" collapsed="false">
      <c r="A144" s="25"/>
      <c r="B144" s="16"/>
      <c r="C144" s="16"/>
      <c r="D144" s="26"/>
      <c r="E144" s="16"/>
      <c r="F144" s="16"/>
      <c r="G144" s="16"/>
      <c r="H144" s="16"/>
      <c r="I144" s="16"/>
      <c r="J144" s="8" t="str">
        <f aca="false">IF(AND(H144="Y",E144="Business checking (debit/ACH/check)"),"Counts toward 1099-NEC",IF(H144="Y","Paid by card/PayPal - 1099-K side",""))</f>
        <v/>
      </c>
      <c r="K144" s="16"/>
    </row>
    <row r="145" customFormat="false" ht="15" hidden="false" customHeight="false" outlineLevel="0" collapsed="false">
      <c r="A145" s="25"/>
      <c r="B145" s="16"/>
      <c r="C145" s="16"/>
      <c r="D145" s="26"/>
      <c r="E145" s="16"/>
      <c r="F145" s="16"/>
      <c r="G145" s="16"/>
      <c r="H145" s="16"/>
      <c r="I145" s="16"/>
      <c r="J145" s="8" t="str">
        <f aca="false">IF(AND(H145="Y",E145="Business checking (debit/ACH/check)"),"Counts toward 1099-NEC",IF(H145="Y","Paid by card/PayPal - 1099-K side",""))</f>
        <v/>
      </c>
      <c r="K145" s="16"/>
    </row>
    <row r="146" customFormat="false" ht="15" hidden="false" customHeight="false" outlineLevel="0" collapsed="false">
      <c r="A146" s="25"/>
      <c r="B146" s="16"/>
      <c r="C146" s="16"/>
      <c r="D146" s="26"/>
      <c r="E146" s="16"/>
      <c r="F146" s="16"/>
      <c r="G146" s="16"/>
      <c r="H146" s="16"/>
      <c r="I146" s="16"/>
      <c r="J146" s="8" t="str">
        <f aca="false">IF(AND(H146="Y",E146="Business checking (debit/ACH/check)"),"Counts toward 1099-NEC",IF(H146="Y","Paid by card/PayPal - 1099-K side",""))</f>
        <v/>
      </c>
      <c r="K146" s="16"/>
    </row>
    <row r="147" customFormat="false" ht="15" hidden="false" customHeight="false" outlineLevel="0" collapsed="false">
      <c r="A147" s="25"/>
      <c r="B147" s="16"/>
      <c r="C147" s="16"/>
      <c r="D147" s="26"/>
      <c r="E147" s="16"/>
      <c r="F147" s="16"/>
      <c r="G147" s="16"/>
      <c r="H147" s="16"/>
      <c r="I147" s="16"/>
      <c r="J147" s="8" t="str">
        <f aca="false">IF(AND(H147="Y",E147="Business checking (debit/ACH/check)"),"Counts toward 1099-NEC",IF(H147="Y","Paid by card/PayPal - 1099-K side",""))</f>
        <v/>
      </c>
      <c r="K147" s="16"/>
    </row>
    <row r="148" customFormat="false" ht="15" hidden="false" customHeight="false" outlineLevel="0" collapsed="false">
      <c r="A148" s="25"/>
      <c r="B148" s="16"/>
      <c r="C148" s="16"/>
      <c r="D148" s="26"/>
      <c r="E148" s="16"/>
      <c r="F148" s="16"/>
      <c r="G148" s="16"/>
      <c r="H148" s="16"/>
      <c r="I148" s="16"/>
      <c r="J148" s="8" t="str">
        <f aca="false">IF(AND(H148="Y",E148="Business checking (debit/ACH/check)"),"Counts toward 1099-NEC",IF(H148="Y","Paid by card/PayPal - 1099-K side",""))</f>
        <v/>
      </c>
      <c r="K148" s="16"/>
    </row>
    <row r="149" customFormat="false" ht="15" hidden="false" customHeight="false" outlineLevel="0" collapsed="false">
      <c r="A149" s="25"/>
      <c r="B149" s="16"/>
      <c r="C149" s="16"/>
      <c r="D149" s="26"/>
      <c r="E149" s="16"/>
      <c r="F149" s="16"/>
      <c r="G149" s="16"/>
      <c r="H149" s="16"/>
      <c r="I149" s="16"/>
      <c r="J149" s="8" t="str">
        <f aca="false">IF(AND(H149="Y",E149="Business checking (debit/ACH/check)"),"Counts toward 1099-NEC",IF(H149="Y","Paid by card/PayPal - 1099-K side",""))</f>
        <v/>
      </c>
      <c r="K149" s="16"/>
    </row>
    <row r="150" customFormat="false" ht="15" hidden="false" customHeight="false" outlineLevel="0" collapsed="false">
      <c r="A150" s="25"/>
      <c r="B150" s="16"/>
      <c r="C150" s="16"/>
      <c r="D150" s="26"/>
      <c r="E150" s="16"/>
      <c r="F150" s="16"/>
      <c r="G150" s="16"/>
      <c r="H150" s="16"/>
      <c r="I150" s="16"/>
      <c r="J150" s="8" t="str">
        <f aca="false">IF(AND(H150="Y",E150="Business checking (debit/ACH/check)"),"Counts toward 1099-NEC",IF(H150="Y","Paid by card/PayPal - 1099-K side",""))</f>
        <v/>
      </c>
      <c r="K150" s="16"/>
    </row>
    <row r="151" customFormat="false" ht="15" hidden="false" customHeight="false" outlineLevel="0" collapsed="false">
      <c r="A151" s="25"/>
      <c r="B151" s="16"/>
      <c r="C151" s="16"/>
      <c r="D151" s="26"/>
      <c r="E151" s="16"/>
      <c r="F151" s="16"/>
      <c r="G151" s="16"/>
      <c r="H151" s="16"/>
      <c r="I151" s="16"/>
      <c r="J151" s="8" t="str">
        <f aca="false">IF(AND(H151="Y",E151="Business checking (debit/ACH/check)"),"Counts toward 1099-NEC",IF(H151="Y","Paid by card/PayPal - 1099-K side",""))</f>
        <v/>
      </c>
      <c r="K151" s="16"/>
    </row>
    <row r="152" customFormat="false" ht="15" hidden="false" customHeight="false" outlineLevel="0" collapsed="false">
      <c r="A152" s="25"/>
      <c r="B152" s="16"/>
      <c r="C152" s="16"/>
      <c r="D152" s="26"/>
      <c r="E152" s="16"/>
      <c r="F152" s="16"/>
      <c r="G152" s="16"/>
      <c r="H152" s="16"/>
      <c r="I152" s="16"/>
      <c r="J152" s="8" t="str">
        <f aca="false">IF(AND(H152="Y",E152="Business checking (debit/ACH/check)"),"Counts toward 1099-NEC",IF(H152="Y","Paid by card/PayPal - 1099-K side",""))</f>
        <v/>
      </c>
      <c r="K152" s="16"/>
    </row>
    <row r="153" customFormat="false" ht="15" hidden="false" customHeight="false" outlineLevel="0" collapsed="false">
      <c r="A153" s="25"/>
      <c r="B153" s="16"/>
      <c r="C153" s="16"/>
      <c r="D153" s="26"/>
      <c r="E153" s="16"/>
      <c r="F153" s="16"/>
      <c r="G153" s="16"/>
      <c r="H153" s="16"/>
      <c r="I153" s="16"/>
      <c r="J153" s="8" t="str">
        <f aca="false">IF(AND(H153="Y",E153="Business checking (debit/ACH/check)"),"Counts toward 1099-NEC",IF(H153="Y","Paid by card/PayPal - 1099-K side",""))</f>
        <v/>
      </c>
      <c r="K153" s="16"/>
    </row>
    <row r="154" customFormat="false" ht="15" hidden="false" customHeight="false" outlineLevel="0" collapsed="false">
      <c r="A154" s="25"/>
      <c r="B154" s="16"/>
      <c r="C154" s="16"/>
      <c r="D154" s="26"/>
      <c r="E154" s="16"/>
      <c r="F154" s="16"/>
      <c r="G154" s="16"/>
      <c r="H154" s="16"/>
      <c r="I154" s="16"/>
      <c r="J154" s="8" t="str">
        <f aca="false">IF(AND(H154="Y",E154="Business checking (debit/ACH/check)"),"Counts toward 1099-NEC",IF(H154="Y","Paid by card/PayPal - 1099-K side",""))</f>
        <v/>
      </c>
      <c r="K154" s="16"/>
    </row>
    <row r="155" customFormat="false" ht="15" hidden="false" customHeight="false" outlineLevel="0" collapsed="false">
      <c r="A155" s="25"/>
      <c r="B155" s="16"/>
      <c r="C155" s="16"/>
      <c r="D155" s="26"/>
      <c r="E155" s="16"/>
      <c r="F155" s="16"/>
      <c r="G155" s="16"/>
      <c r="H155" s="16"/>
      <c r="I155" s="16"/>
      <c r="J155" s="8" t="str">
        <f aca="false">IF(AND(H155="Y",E155="Business checking (debit/ACH/check)"),"Counts toward 1099-NEC",IF(H155="Y","Paid by card/PayPal - 1099-K side",""))</f>
        <v/>
      </c>
      <c r="K155" s="16"/>
    </row>
    <row r="156" customFormat="false" ht="15" hidden="false" customHeight="false" outlineLevel="0" collapsed="false">
      <c r="A156" s="25"/>
      <c r="B156" s="16"/>
      <c r="C156" s="16"/>
      <c r="D156" s="26"/>
      <c r="E156" s="16"/>
      <c r="F156" s="16"/>
      <c r="G156" s="16"/>
      <c r="H156" s="16"/>
      <c r="I156" s="16"/>
      <c r="J156" s="8" t="str">
        <f aca="false">IF(AND(H156="Y",E156="Business checking (debit/ACH/check)"),"Counts toward 1099-NEC",IF(H156="Y","Paid by card/PayPal - 1099-K side",""))</f>
        <v/>
      </c>
      <c r="K156" s="16"/>
    </row>
    <row r="157" customFormat="false" ht="15" hidden="false" customHeight="false" outlineLevel="0" collapsed="false">
      <c r="A157" s="25"/>
      <c r="B157" s="16"/>
      <c r="C157" s="16"/>
      <c r="D157" s="26"/>
      <c r="E157" s="16"/>
      <c r="F157" s="16"/>
      <c r="G157" s="16"/>
      <c r="H157" s="16"/>
      <c r="I157" s="16"/>
      <c r="J157" s="8" t="str">
        <f aca="false">IF(AND(H157="Y",E157="Business checking (debit/ACH/check)"),"Counts toward 1099-NEC",IF(H157="Y","Paid by card/PayPal - 1099-K side",""))</f>
        <v/>
      </c>
      <c r="K157" s="16"/>
    </row>
    <row r="158" customFormat="false" ht="15" hidden="false" customHeight="false" outlineLevel="0" collapsed="false">
      <c r="A158" s="25"/>
      <c r="B158" s="16"/>
      <c r="C158" s="16"/>
      <c r="D158" s="26"/>
      <c r="E158" s="16"/>
      <c r="F158" s="16"/>
      <c r="G158" s="16"/>
      <c r="H158" s="16"/>
      <c r="I158" s="16"/>
      <c r="J158" s="8" t="str">
        <f aca="false">IF(AND(H158="Y",E158="Business checking (debit/ACH/check)"),"Counts toward 1099-NEC",IF(H158="Y","Paid by card/PayPal - 1099-K side",""))</f>
        <v/>
      </c>
      <c r="K158" s="16"/>
    </row>
    <row r="159" customFormat="false" ht="15" hidden="false" customHeight="false" outlineLevel="0" collapsed="false">
      <c r="A159" s="25"/>
      <c r="B159" s="16"/>
      <c r="C159" s="16"/>
      <c r="D159" s="26"/>
      <c r="E159" s="16"/>
      <c r="F159" s="16"/>
      <c r="G159" s="16"/>
      <c r="H159" s="16"/>
      <c r="I159" s="16"/>
      <c r="J159" s="8" t="str">
        <f aca="false">IF(AND(H159="Y",E159="Business checking (debit/ACH/check)"),"Counts toward 1099-NEC",IF(H159="Y","Paid by card/PayPal - 1099-K side",""))</f>
        <v/>
      </c>
      <c r="K159" s="16"/>
    </row>
    <row r="160" customFormat="false" ht="15" hidden="false" customHeight="false" outlineLevel="0" collapsed="false">
      <c r="A160" s="25"/>
      <c r="B160" s="16"/>
      <c r="C160" s="16"/>
      <c r="D160" s="26"/>
      <c r="E160" s="16"/>
      <c r="F160" s="16"/>
      <c r="G160" s="16"/>
      <c r="H160" s="16"/>
      <c r="I160" s="16"/>
      <c r="J160" s="8" t="str">
        <f aca="false">IF(AND(H160="Y",E160="Business checking (debit/ACH/check)"),"Counts toward 1099-NEC",IF(H160="Y","Paid by card/PayPal - 1099-K side",""))</f>
        <v/>
      </c>
      <c r="K160" s="16"/>
    </row>
    <row r="161" customFormat="false" ht="15" hidden="false" customHeight="false" outlineLevel="0" collapsed="false">
      <c r="A161" s="25"/>
      <c r="B161" s="16"/>
      <c r="C161" s="16"/>
      <c r="D161" s="26"/>
      <c r="E161" s="16"/>
      <c r="F161" s="16"/>
      <c r="G161" s="16"/>
      <c r="H161" s="16"/>
      <c r="I161" s="16"/>
      <c r="J161" s="8" t="str">
        <f aca="false">IF(AND(H161="Y",E161="Business checking (debit/ACH/check)"),"Counts toward 1099-NEC",IF(H161="Y","Paid by card/PayPal - 1099-K side",""))</f>
        <v/>
      </c>
      <c r="K161" s="16"/>
    </row>
    <row r="162" customFormat="false" ht="15" hidden="false" customHeight="false" outlineLevel="0" collapsed="false">
      <c r="A162" s="25"/>
      <c r="B162" s="16"/>
      <c r="C162" s="16"/>
      <c r="D162" s="26"/>
      <c r="E162" s="16"/>
      <c r="F162" s="16"/>
      <c r="G162" s="16"/>
      <c r="H162" s="16"/>
      <c r="I162" s="16"/>
      <c r="J162" s="8" t="str">
        <f aca="false">IF(AND(H162="Y",E162="Business checking (debit/ACH/check)"),"Counts toward 1099-NEC",IF(H162="Y","Paid by card/PayPal - 1099-K side",""))</f>
        <v/>
      </c>
      <c r="K162" s="16"/>
    </row>
    <row r="163" customFormat="false" ht="15" hidden="false" customHeight="false" outlineLevel="0" collapsed="false">
      <c r="A163" s="25"/>
      <c r="B163" s="16"/>
      <c r="C163" s="16"/>
      <c r="D163" s="26"/>
      <c r="E163" s="16"/>
      <c r="F163" s="16"/>
      <c r="G163" s="16"/>
      <c r="H163" s="16"/>
      <c r="I163" s="16"/>
      <c r="J163" s="8" t="str">
        <f aca="false">IF(AND(H163="Y",E163="Business checking (debit/ACH/check)"),"Counts toward 1099-NEC",IF(H163="Y","Paid by card/PayPal - 1099-K side",""))</f>
        <v/>
      </c>
      <c r="K163" s="16"/>
    </row>
    <row r="164" customFormat="false" ht="15" hidden="false" customHeight="false" outlineLevel="0" collapsed="false">
      <c r="A164" s="25"/>
      <c r="B164" s="16"/>
      <c r="C164" s="16"/>
      <c r="D164" s="26"/>
      <c r="E164" s="16"/>
      <c r="F164" s="16"/>
      <c r="G164" s="16"/>
      <c r="H164" s="16"/>
      <c r="I164" s="16"/>
      <c r="J164" s="8" t="str">
        <f aca="false">IF(AND(H164="Y",E164="Business checking (debit/ACH/check)"),"Counts toward 1099-NEC",IF(H164="Y","Paid by card/PayPal - 1099-K side",""))</f>
        <v/>
      </c>
      <c r="K164" s="16"/>
    </row>
    <row r="165" customFormat="false" ht="15" hidden="false" customHeight="false" outlineLevel="0" collapsed="false">
      <c r="A165" s="25"/>
      <c r="B165" s="16"/>
      <c r="C165" s="16"/>
      <c r="D165" s="26"/>
      <c r="E165" s="16"/>
      <c r="F165" s="16"/>
      <c r="G165" s="16"/>
      <c r="H165" s="16"/>
      <c r="I165" s="16"/>
      <c r="J165" s="8" t="str">
        <f aca="false">IF(AND(H165="Y",E165="Business checking (debit/ACH/check)"),"Counts toward 1099-NEC",IF(H165="Y","Paid by card/PayPal - 1099-K side",""))</f>
        <v/>
      </c>
      <c r="K165" s="16"/>
    </row>
    <row r="166" customFormat="false" ht="15" hidden="false" customHeight="false" outlineLevel="0" collapsed="false">
      <c r="A166" s="25"/>
      <c r="B166" s="16"/>
      <c r="C166" s="16"/>
      <c r="D166" s="26"/>
      <c r="E166" s="16"/>
      <c r="F166" s="16"/>
      <c r="G166" s="16"/>
      <c r="H166" s="16"/>
      <c r="I166" s="16"/>
      <c r="J166" s="8" t="str">
        <f aca="false">IF(AND(H166="Y",E166="Business checking (debit/ACH/check)"),"Counts toward 1099-NEC",IF(H166="Y","Paid by card/PayPal - 1099-K side",""))</f>
        <v/>
      </c>
      <c r="K166" s="16"/>
    </row>
    <row r="167" customFormat="false" ht="15" hidden="false" customHeight="false" outlineLevel="0" collapsed="false">
      <c r="A167" s="25"/>
      <c r="B167" s="16"/>
      <c r="C167" s="16"/>
      <c r="D167" s="26"/>
      <c r="E167" s="16"/>
      <c r="F167" s="16"/>
      <c r="G167" s="16"/>
      <c r="H167" s="16"/>
      <c r="I167" s="16"/>
      <c r="J167" s="8" t="str">
        <f aca="false">IF(AND(H167="Y",E167="Business checking (debit/ACH/check)"),"Counts toward 1099-NEC",IF(H167="Y","Paid by card/PayPal - 1099-K side",""))</f>
        <v/>
      </c>
      <c r="K167" s="16"/>
    </row>
    <row r="168" customFormat="false" ht="15" hidden="false" customHeight="false" outlineLevel="0" collapsed="false">
      <c r="A168" s="25"/>
      <c r="B168" s="16"/>
      <c r="C168" s="16"/>
      <c r="D168" s="26"/>
      <c r="E168" s="16"/>
      <c r="F168" s="16"/>
      <c r="G168" s="16"/>
      <c r="H168" s="16"/>
      <c r="I168" s="16"/>
      <c r="J168" s="8" t="str">
        <f aca="false">IF(AND(H168="Y",E168="Business checking (debit/ACH/check)"),"Counts toward 1099-NEC",IF(H168="Y","Paid by card/PayPal - 1099-K side",""))</f>
        <v/>
      </c>
      <c r="K168" s="16"/>
    </row>
    <row r="169" customFormat="false" ht="15" hidden="false" customHeight="false" outlineLevel="0" collapsed="false">
      <c r="A169" s="25"/>
      <c r="B169" s="16"/>
      <c r="C169" s="16"/>
      <c r="D169" s="26"/>
      <c r="E169" s="16"/>
      <c r="F169" s="16"/>
      <c r="G169" s="16"/>
      <c r="H169" s="16"/>
      <c r="I169" s="16"/>
      <c r="J169" s="8" t="str">
        <f aca="false">IF(AND(H169="Y",E169="Business checking (debit/ACH/check)"),"Counts toward 1099-NEC",IF(H169="Y","Paid by card/PayPal - 1099-K side",""))</f>
        <v/>
      </c>
      <c r="K169" s="16"/>
    </row>
    <row r="170" customFormat="false" ht="15" hidden="false" customHeight="false" outlineLevel="0" collapsed="false">
      <c r="A170" s="25"/>
      <c r="B170" s="16"/>
      <c r="C170" s="16"/>
      <c r="D170" s="26"/>
      <c r="E170" s="16"/>
      <c r="F170" s="16"/>
      <c r="G170" s="16"/>
      <c r="H170" s="16"/>
      <c r="I170" s="16"/>
      <c r="J170" s="8" t="str">
        <f aca="false">IF(AND(H170="Y",E170="Business checking (debit/ACH/check)"),"Counts toward 1099-NEC",IF(H170="Y","Paid by card/PayPal - 1099-K side",""))</f>
        <v/>
      </c>
      <c r="K170" s="16"/>
    </row>
    <row r="171" customFormat="false" ht="15" hidden="false" customHeight="false" outlineLevel="0" collapsed="false">
      <c r="A171" s="25"/>
      <c r="B171" s="16"/>
      <c r="C171" s="16"/>
      <c r="D171" s="26"/>
      <c r="E171" s="16"/>
      <c r="F171" s="16"/>
      <c r="G171" s="16"/>
      <c r="H171" s="16"/>
      <c r="I171" s="16"/>
      <c r="J171" s="8" t="str">
        <f aca="false">IF(AND(H171="Y",E171="Business checking (debit/ACH/check)"),"Counts toward 1099-NEC",IF(H171="Y","Paid by card/PayPal - 1099-K side",""))</f>
        <v/>
      </c>
      <c r="K171" s="16"/>
    </row>
    <row r="172" customFormat="false" ht="15" hidden="false" customHeight="false" outlineLevel="0" collapsed="false">
      <c r="A172" s="25"/>
      <c r="B172" s="16"/>
      <c r="C172" s="16"/>
      <c r="D172" s="26"/>
      <c r="E172" s="16"/>
      <c r="F172" s="16"/>
      <c r="G172" s="16"/>
      <c r="H172" s="16"/>
      <c r="I172" s="16"/>
      <c r="J172" s="8" t="str">
        <f aca="false">IF(AND(H172="Y",E172="Business checking (debit/ACH/check)"),"Counts toward 1099-NEC",IF(H172="Y","Paid by card/PayPal - 1099-K side",""))</f>
        <v/>
      </c>
      <c r="K172" s="16"/>
    </row>
    <row r="173" customFormat="false" ht="15" hidden="false" customHeight="false" outlineLevel="0" collapsed="false">
      <c r="A173" s="25"/>
      <c r="B173" s="16"/>
      <c r="C173" s="16"/>
      <c r="D173" s="26"/>
      <c r="E173" s="16"/>
      <c r="F173" s="16"/>
      <c r="G173" s="16"/>
      <c r="H173" s="16"/>
      <c r="I173" s="16"/>
      <c r="J173" s="8" t="str">
        <f aca="false">IF(AND(H173="Y",E173="Business checking (debit/ACH/check)"),"Counts toward 1099-NEC",IF(H173="Y","Paid by card/PayPal - 1099-K side",""))</f>
        <v/>
      </c>
      <c r="K173" s="16"/>
    </row>
    <row r="174" customFormat="false" ht="15" hidden="false" customHeight="false" outlineLevel="0" collapsed="false">
      <c r="A174" s="25"/>
      <c r="B174" s="16"/>
      <c r="C174" s="16"/>
      <c r="D174" s="26"/>
      <c r="E174" s="16"/>
      <c r="F174" s="16"/>
      <c r="G174" s="16"/>
      <c r="H174" s="16"/>
      <c r="I174" s="16"/>
      <c r="J174" s="8" t="str">
        <f aca="false">IF(AND(H174="Y",E174="Business checking (debit/ACH/check)"),"Counts toward 1099-NEC",IF(H174="Y","Paid by card/PayPal - 1099-K side",""))</f>
        <v/>
      </c>
      <c r="K174" s="16"/>
    </row>
    <row r="175" customFormat="false" ht="15" hidden="false" customHeight="false" outlineLevel="0" collapsed="false">
      <c r="A175" s="25"/>
      <c r="B175" s="16"/>
      <c r="C175" s="16"/>
      <c r="D175" s="26"/>
      <c r="E175" s="16"/>
      <c r="F175" s="16"/>
      <c r="G175" s="16"/>
      <c r="H175" s="16"/>
      <c r="I175" s="16"/>
      <c r="J175" s="8" t="str">
        <f aca="false">IF(AND(H175="Y",E175="Business checking (debit/ACH/check)"),"Counts toward 1099-NEC",IF(H175="Y","Paid by card/PayPal - 1099-K side",""))</f>
        <v/>
      </c>
      <c r="K175" s="16"/>
    </row>
    <row r="176" customFormat="false" ht="15" hidden="false" customHeight="false" outlineLevel="0" collapsed="false">
      <c r="A176" s="25"/>
      <c r="B176" s="16"/>
      <c r="C176" s="16"/>
      <c r="D176" s="26"/>
      <c r="E176" s="16"/>
      <c r="F176" s="16"/>
      <c r="G176" s="16"/>
      <c r="H176" s="16"/>
      <c r="I176" s="16"/>
      <c r="J176" s="8" t="str">
        <f aca="false">IF(AND(H176="Y",E176="Business checking (debit/ACH/check)"),"Counts toward 1099-NEC",IF(H176="Y","Paid by card/PayPal - 1099-K side",""))</f>
        <v/>
      </c>
      <c r="K176" s="16"/>
    </row>
    <row r="177" customFormat="false" ht="15" hidden="false" customHeight="false" outlineLevel="0" collapsed="false">
      <c r="A177" s="25"/>
      <c r="B177" s="16"/>
      <c r="C177" s="16"/>
      <c r="D177" s="26"/>
      <c r="E177" s="16"/>
      <c r="F177" s="16"/>
      <c r="G177" s="16"/>
      <c r="H177" s="16"/>
      <c r="I177" s="16"/>
      <c r="J177" s="8" t="str">
        <f aca="false">IF(AND(H177="Y",E177="Business checking (debit/ACH/check)"),"Counts toward 1099-NEC",IF(H177="Y","Paid by card/PayPal - 1099-K side",""))</f>
        <v/>
      </c>
      <c r="K177" s="16"/>
    </row>
    <row r="178" customFormat="false" ht="15" hidden="false" customHeight="false" outlineLevel="0" collapsed="false">
      <c r="A178" s="25"/>
      <c r="B178" s="16"/>
      <c r="C178" s="16"/>
      <c r="D178" s="26"/>
      <c r="E178" s="16"/>
      <c r="F178" s="16"/>
      <c r="G178" s="16"/>
      <c r="H178" s="16"/>
      <c r="I178" s="16"/>
      <c r="J178" s="8" t="str">
        <f aca="false">IF(AND(H178="Y",E178="Business checking (debit/ACH/check)"),"Counts toward 1099-NEC",IF(H178="Y","Paid by card/PayPal - 1099-K side",""))</f>
        <v/>
      </c>
      <c r="K178" s="16"/>
    </row>
    <row r="179" customFormat="false" ht="15" hidden="false" customHeight="false" outlineLevel="0" collapsed="false">
      <c r="A179" s="25"/>
      <c r="B179" s="16"/>
      <c r="C179" s="16"/>
      <c r="D179" s="26"/>
      <c r="E179" s="16"/>
      <c r="F179" s="16"/>
      <c r="G179" s="16"/>
      <c r="H179" s="16"/>
      <c r="I179" s="16"/>
      <c r="J179" s="8" t="str">
        <f aca="false">IF(AND(H179="Y",E179="Business checking (debit/ACH/check)"),"Counts toward 1099-NEC",IF(H179="Y","Paid by card/PayPal - 1099-K side",""))</f>
        <v/>
      </c>
      <c r="K179" s="16"/>
    </row>
    <row r="180" customFormat="false" ht="15" hidden="false" customHeight="false" outlineLevel="0" collapsed="false">
      <c r="A180" s="25"/>
      <c r="B180" s="16"/>
      <c r="C180" s="16"/>
      <c r="D180" s="26"/>
      <c r="E180" s="16"/>
      <c r="F180" s="16"/>
      <c r="G180" s="16"/>
      <c r="H180" s="16"/>
      <c r="I180" s="16"/>
      <c r="J180" s="8" t="str">
        <f aca="false">IF(AND(H180="Y",E180="Business checking (debit/ACH/check)"),"Counts toward 1099-NEC",IF(H180="Y","Paid by card/PayPal - 1099-K side",""))</f>
        <v/>
      </c>
      <c r="K180" s="16"/>
    </row>
    <row r="181" customFormat="false" ht="15" hidden="false" customHeight="false" outlineLevel="0" collapsed="false">
      <c r="A181" s="25"/>
      <c r="B181" s="16"/>
      <c r="C181" s="16"/>
      <c r="D181" s="26"/>
      <c r="E181" s="16"/>
      <c r="F181" s="16"/>
      <c r="G181" s="16"/>
      <c r="H181" s="16"/>
      <c r="I181" s="16"/>
      <c r="J181" s="8" t="str">
        <f aca="false">IF(AND(H181="Y",E181="Business checking (debit/ACH/check)"),"Counts toward 1099-NEC",IF(H181="Y","Paid by card/PayPal - 1099-K side",""))</f>
        <v/>
      </c>
      <c r="K181" s="16"/>
    </row>
    <row r="182" customFormat="false" ht="15" hidden="false" customHeight="false" outlineLevel="0" collapsed="false">
      <c r="A182" s="25"/>
      <c r="B182" s="16"/>
      <c r="C182" s="16"/>
      <c r="D182" s="26"/>
      <c r="E182" s="16"/>
      <c r="F182" s="16"/>
      <c r="G182" s="16"/>
      <c r="H182" s="16"/>
      <c r="I182" s="16"/>
      <c r="J182" s="8" t="str">
        <f aca="false">IF(AND(H182="Y",E182="Business checking (debit/ACH/check)"),"Counts toward 1099-NEC",IF(H182="Y","Paid by card/PayPal - 1099-K side",""))</f>
        <v/>
      </c>
      <c r="K182" s="16"/>
    </row>
    <row r="183" customFormat="false" ht="15" hidden="false" customHeight="false" outlineLevel="0" collapsed="false">
      <c r="A183" s="25"/>
      <c r="B183" s="16"/>
      <c r="C183" s="16"/>
      <c r="D183" s="26"/>
      <c r="E183" s="16"/>
      <c r="F183" s="16"/>
      <c r="G183" s="16"/>
      <c r="H183" s="16"/>
      <c r="I183" s="16"/>
      <c r="J183" s="8" t="str">
        <f aca="false">IF(AND(H183="Y",E183="Business checking (debit/ACH/check)"),"Counts toward 1099-NEC",IF(H183="Y","Paid by card/PayPal - 1099-K side",""))</f>
        <v/>
      </c>
      <c r="K183" s="16"/>
    </row>
    <row r="184" customFormat="false" ht="15" hidden="false" customHeight="false" outlineLevel="0" collapsed="false">
      <c r="A184" s="25"/>
      <c r="B184" s="16"/>
      <c r="C184" s="16"/>
      <c r="D184" s="26"/>
      <c r="E184" s="16"/>
      <c r="F184" s="16"/>
      <c r="G184" s="16"/>
      <c r="H184" s="16"/>
      <c r="I184" s="16"/>
      <c r="J184" s="8" t="str">
        <f aca="false">IF(AND(H184="Y",E184="Business checking (debit/ACH/check)"),"Counts toward 1099-NEC",IF(H184="Y","Paid by card/PayPal - 1099-K side",""))</f>
        <v/>
      </c>
      <c r="K184" s="16"/>
    </row>
    <row r="185" customFormat="false" ht="15" hidden="false" customHeight="false" outlineLevel="0" collapsed="false">
      <c r="A185" s="25"/>
      <c r="B185" s="16"/>
      <c r="C185" s="16"/>
      <c r="D185" s="26"/>
      <c r="E185" s="16"/>
      <c r="F185" s="16"/>
      <c r="G185" s="16"/>
      <c r="H185" s="16"/>
      <c r="I185" s="16"/>
      <c r="J185" s="8" t="str">
        <f aca="false">IF(AND(H185="Y",E185="Business checking (debit/ACH/check)"),"Counts toward 1099-NEC",IF(H185="Y","Paid by card/PayPal - 1099-K side",""))</f>
        <v/>
      </c>
      <c r="K185" s="16"/>
    </row>
    <row r="186" customFormat="false" ht="15" hidden="false" customHeight="false" outlineLevel="0" collapsed="false">
      <c r="A186" s="25"/>
      <c r="B186" s="16"/>
      <c r="C186" s="16"/>
      <c r="D186" s="26"/>
      <c r="E186" s="16"/>
      <c r="F186" s="16"/>
      <c r="G186" s="16"/>
      <c r="H186" s="16"/>
      <c r="I186" s="16"/>
      <c r="J186" s="8" t="str">
        <f aca="false">IF(AND(H186="Y",E186="Business checking (debit/ACH/check)"),"Counts toward 1099-NEC",IF(H186="Y","Paid by card/PayPal - 1099-K side",""))</f>
        <v/>
      </c>
      <c r="K186" s="16"/>
    </row>
    <row r="187" customFormat="false" ht="15" hidden="false" customHeight="false" outlineLevel="0" collapsed="false">
      <c r="A187" s="25"/>
      <c r="B187" s="16"/>
      <c r="C187" s="16"/>
      <c r="D187" s="26"/>
      <c r="E187" s="16"/>
      <c r="F187" s="16"/>
      <c r="G187" s="16"/>
      <c r="H187" s="16"/>
      <c r="I187" s="16"/>
      <c r="J187" s="8" t="str">
        <f aca="false">IF(AND(H187="Y",E187="Business checking (debit/ACH/check)"),"Counts toward 1099-NEC",IF(H187="Y","Paid by card/PayPal - 1099-K side",""))</f>
        <v/>
      </c>
      <c r="K187" s="16"/>
    </row>
    <row r="188" customFormat="false" ht="15" hidden="false" customHeight="false" outlineLevel="0" collapsed="false">
      <c r="A188" s="25"/>
      <c r="B188" s="16"/>
      <c r="C188" s="16"/>
      <c r="D188" s="26"/>
      <c r="E188" s="16"/>
      <c r="F188" s="16"/>
      <c r="G188" s="16"/>
      <c r="H188" s="16"/>
      <c r="I188" s="16"/>
      <c r="J188" s="8" t="str">
        <f aca="false">IF(AND(H188="Y",E188="Business checking (debit/ACH/check)"),"Counts toward 1099-NEC",IF(H188="Y","Paid by card/PayPal - 1099-K side",""))</f>
        <v/>
      </c>
      <c r="K188" s="16"/>
    </row>
    <row r="189" customFormat="false" ht="15" hidden="false" customHeight="false" outlineLevel="0" collapsed="false">
      <c r="A189" s="25"/>
      <c r="B189" s="16"/>
      <c r="C189" s="16"/>
      <c r="D189" s="26"/>
      <c r="E189" s="16"/>
      <c r="F189" s="16"/>
      <c r="G189" s="16"/>
      <c r="H189" s="16"/>
      <c r="I189" s="16"/>
      <c r="J189" s="8" t="str">
        <f aca="false">IF(AND(H189="Y",E189="Business checking (debit/ACH/check)"),"Counts toward 1099-NEC",IF(H189="Y","Paid by card/PayPal - 1099-K side",""))</f>
        <v/>
      </c>
      <c r="K189" s="16"/>
    </row>
    <row r="190" customFormat="false" ht="15" hidden="false" customHeight="false" outlineLevel="0" collapsed="false">
      <c r="A190" s="25"/>
      <c r="B190" s="16"/>
      <c r="C190" s="16"/>
      <c r="D190" s="26"/>
      <c r="E190" s="16"/>
      <c r="F190" s="16"/>
      <c r="G190" s="16"/>
      <c r="H190" s="16"/>
      <c r="I190" s="16"/>
      <c r="J190" s="8" t="str">
        <f aca="false">IF(AND(H190="Y",E190="Business checking (debit/ACH/check)"),"Counts toward 1099-NEC",IF(H190="Y","Paid by card/PayPal - 1099-K side",""))</f>
        <v/>
      </c>
      <c r="K190" s="16"/>
    </row>
    <row r="191" customFormat="false" ht="15" hidden="false" customHeight="false" outlineLevel="0" collapsed="false">
      <c r="A191" s="25"/>
      <c r="B191" s="16"/>
      <c r="C191" s="16"/>
      <c r="D191" s="26"/>
      <c r="E191" s="16"/>
      <c r="F191" s="16"/>
      <c r="G191" s="16"/>
      <c r="H191" s="16"/>
      <c r="I191" s="16"/>
      <c r="J191" s="8" t="str">
        <f aca="false">IF(AND(H191="Y",E191="Business checking (debit/ACH/check)"),"Counts toward 1099-NEC",IF(H191="Y","Paid by card/PayPal - 1099-K side",""))</f>
        <v/>
      </c>
      <c r="K191" s="16"/>
    </row>
    <row r="192" customFormat="false" ht="15" hidden="false" customHeight="false" outlineLevel="0" collapsed="false">
      <c r="A192" s="25"/>
      <c r="B192" s="16"/>
      <c r="C192" s="16"/>
      <c r="D192" s="26"/>
      <c r="E192" s="16"/>
      <c r="F192" s="16"/>
      <c r="G192" s="16"/>
      <c r="H192" s="16"/>
      <c r="I192" s="16"/>
      <c r="J192" s="8" t="str">
        <f aca="false">IF(AND(H192="Y",E192="Business checking (debit/ACH/check)"),"Counts toward 1099-NEC",IF(H192="Y","Paid by card/PayPal - 1099-K side",""))</f>
        <v/>
      </c>
      <c r="K192" s="16"/>
    </row>
    <row r="193" customFormat="false" ht="15" hidden="false" customHeight="false" outlineLevel="0" collapsed="false">
      <c r="A193" s="25"/>
      <c r="B193" s="16"/>
      <c r="C193" s="16"/>
      <c r="D193" s="26"/>
      <c r="E193" s="16"/>
      <c r="F193" s="16"/>
      <c r="G193" s="16"/>
      <c r="H193" s="16"/>
      <c r="I193" s="16"/>
      <c r="J193" s="8" t="str">
        <f aca="false">IF(AND(H193="Y",E193="Business checking (debit/ACH/check)"),"Counts toward 1099-NEC",IF(H193="Y","Paid by card/PayPal - 1099-K side",""))</f>
        <v/>
      </c>
      <c r="K193" s="16"/>
    </row>
    <row r="194" customFormat="false" ht="15" hidden="false" customHeight="false" outlineLevel="0" collapsed="false">
      <c r="A194" s="25"/>
      <c r="B194" s="16"/>
      <c r="C194" s="16"/>
      <c r="D194" s="26"/>
      <c r="E194" s="16"/>
      <c r="F194" s="16"/>
      <c r="G194" s="16"/>
      <c r="H194" s="16"/>
      <c r="I194" s="16"/>
      <c r="J194" s="8" t="str">
        <f aca="false">IF(AND(H194="Y",E194="Business checking (debit/ACH/check)"),"Counts toward 1099-NEC",IF(H194="Y","Paid by card/PayPal - 1099-K side",""))</f>
        <v/>
      </c>
      <c r="K194" s="16"/>
    </row>
    <row r="195" customFormat="false" ht="15" hidden="false" customHeight="false" outlineLevel="0" collapsed="false">
      <c r="A195" s="25"/>
      <c r="B195" s="16"/>
      <c r="C195" s="16"/>
      <c r="D195" s="26"/>
      <c r="E195" s="16"/>
      <c r="F195" s="16"/>
      <c r="G195" s="16"/>
      <c r="H195" s="16"/>
      <c r="I195" s="16"/>
      <c r="J195" s="8" t="str">
        <f aca="false">IF(AND(H195="Y",E195="Business checking (debit/ACH/check)"),"Counts toward 1099-NEC",IF(H195="Y","Paid by card/PayPal - 1099-K side",""))</f>
        <v/>
      </c>
      <c r="K195" s="16"/>
    </row>
    <row r="196" customFormat="false" ht="15" hidden="false" customHeight="false" outlineLevel="0" collapsed="false">
      <c r="A196" s="25"/>
      <c r="B196" s="16"/>
      <c r="C196" s="16"/>
      <c r="D196" s="26"/>
      <c r="E196" s="16"/>
      <c r="F196" s="16"/>
      <c r="G196" s="16"/>
      <c r="H196" s="16"/>
      <c r="I196" s="16"/>
      <c r="J196" s="8" t="str">
        <f aca="false">IF(AND(H196="Y",E196="Business checking (debit/ACH/check)"),"Counts toward 1099-NEC",IF(H196="Y","Paid by card/PayPal - 1099-K side",""))</f>
        <v/>
      </c>
      <c r="K196" s="16"/>
    </row>
    <row r="197" customFormat="false" ht="15" hidden="false" customHeight="false" outlineLevel="0" collapsed="false">
      <c r="A197" s="25"/>
      <c r="B197" s="16"/>
      <c r="C197" s="16"/>
      <c r="D197" s="26"/>
      <c r="E197" s="16"/>
      <c r="F197" s="16"/>
      <c r="G197" s="16"/>
      <c r="H197" s="16"/>
      <c r="I197" s="16"/>
      <c r="J197" s="8" t="str">
        <f aca="false">IF(AND(H197="Y",E197="Business checking (debit/ACH/check)"),"Counts toward 1099-NEC",IF(H197="Y","Paid by card/PayPal - 1099-K side",""))</f>
        <v/>
      </c>
      <c r="K197" s="16"/>
    </row>
    <row r="198" customFormat="false" ht="15" hidden="false" customHeight="false" outlineLevel="0" collapsed="false">
      <c r="A198" s="25"/>
      <c r="B198" s="16"/>
      <c r="C198" s="16"/>
      <c r="D198" s="26"/>
      <c r="E198" s="16"/>
      <c r="F198" s="16"/>
      <c r="G198" s="16"/>
      <c r="H198" s="16"/>
      <c r="I198" s="16"/>
      <c r="J198" s="8" t="str">
        <f aca="false">IF(AND(H198="Y",E198="Business checking (debit/ACH/check)"),"Counts toward 1099-NEC",IF(H198="Y","Paid by card/PayPal - 1099-K side",""))</f>
        <v/>
      </c>
      <c r="K198" s="16"/>
    </row>
    <row r="199" customFormat="false" ht="15" hidden="false" customHeight="false" outlineLevel="0" collapsed="false">
      <c r="A199" s="25"/>
      <c r="B199" s="16"/>
      <c r="C199" s="16"/>
      <c r="D199" s="26"/>
      <c r="E199" s="16"/>
      <c r="F199" s="16"/>
      <c r="G199" s="16"/>
      <c r="H199" s="16"/>
      <c r="I199" s="16"/>
      <c r="J199" s="8" t="str">
        <f aca="false">IF(AND(H199="Y",E199="Business checking (debit/ACH/check)"),"Counts toward 1099-NEC",IF(H199="Y","Paid by card/PayPal - 1099-K side",""))</f>
        <v/>
      </c>
      <c r="K199" s="16"/>
    </row>
    <row r="200" customFormat="false" ht="15" hidden="false" customHeight="false" outlineLevel="0" collapsed="false">
      <c r="A200" s="25"/>
      <c r="B200" s="16"/>
      <c r="C200" s="16"/>
      <c r="D200" s="26"/>
      <c r="E200" s="16"/>
      <c r="F200" s="16"/>
      <c r="G200" s="16"/>
      <c r="H200" s="16"/>
      <c r="I200" s="16"/>
      <c r="J200" s="8" t="str">
        <f aca="false">IF(AND(H200="Y",E200="Business checking (debit/ACH/check)"),"Counts toward 1099-NEC",IF(H200="Y","Paid by card/PayPal - 1099-K side",""))</f>
        <v/>
      </c>
      <c r="K200" s="16"/>
    </row>
    <row r="201" customFormat="false" ht="15" hidden="false" customHeight="false" outlineLevel="0" collapsed="false">
      <c r="A201" s="25"/>
      <c r="B201" s="16"/>
      <c r="C201" s="16"/>
      <c r="D201" s="26"/>
      <c r="E201" s="16"/>
      <c r="F201" s="16"/>
      <c r="G201" s="16"/>
      <c r="H201" s="16"/>
      <c r="I201" s="16"/>
      <c r="J201" s="8" t="str">
        <f aca="false">IF(AND(H201="Y",E201="Business checking (debit/ACH/check)"),"Counts toward 1099-NEC",IF(H201="Y","Paid by card/PayPal - 1099-K side",""))</f>
        <v/>
      </c>
      <c r="K201" s="16"/>
    </row>
    <row r="202" customFormat="false" ht="15" hidden="false" customHeight="false" outlineLevel="0" collapsed="false">
      <c r="A202" s="25"/>
      <c r="B202" s="16"/>
      <c r="C202" s="16"/>
      <c r="D202" s="26"/>
      <c r="E202" s="16"/>
      <c r="F202" s="16"/>
      <c r="G202" s="16"/>
      <c r="H202" s="16"/>
      <c r="I202" s="16"/>
      <c r="J202" s="8" t="str">
        <f aca="false">IF(AND(H202="Y",E202="Business checking (debit/ACH/check)"),"Counts toward 1099-NEC",IF(H202="Y","Paid by card/PayPal - 1099-K side",""))</f>
        <v/>
      </c>
      <c r="K202" s="16"/>
    </row>
    <row r="203" customFormat="false" ht="15" hidden="false" customHeight="false" outlineLevel="0" collapsed="false">
      <c r="A203" s="25"/>
      <c r="B203" s="16"/>
      <c r="C203" s="16"/>
      <c r="D203" s="26"/>
      <c r="E203" s="16"/>
      <c r="F203" s="16"/>
      <c r="G203" s="16"/>
      <c r="H203" s="16"/>
      <c r="I203" s="16"/>
      <c r="J203" s="8" t="str">
        <f aca="false">IF(AND(H203="Y",E203="Business checking (debit/ACH/check)"),"Counts toward 1099-NEC",IF(H203="Y","Paid by card/PayPal - 1099-K side",""))</f>
        <v/>
      </c>
      <c r="K203" s="16"/>
    </row>
    <row r="204" customFormat="false" ht="15" hidden="false" customHeight="false" outlineLevel="0" collapsed="false">
      <c r="A204" s="25"/>
      <c r="B204" s="16"/>
      <c r="C204" s="16"/>
      <c r="D204" s="26"/>
      <c r="E204" s="16"/>
      <c r="F204" s="16"/>
      <c r="G204" s="16"/>
      <c r="H204" s="16"/>
      <c r="I204" s="16"/>
      <c r="J204" s="8" t="str">
        <f aca="false">IF(AND(H204="Y",E204="Business checking (debit/ACH/check)"),"Counts toward 1099-NEC",IF(H204="Y","Paid by card/PayPal - 1099-K side",""))</f>
        <v/>
      </c>
      <c r="K204" s="16"/>
    </row>
    <row r="205" customFormat="false" ht="15" hidden="false" customHeight="false" outlineLevel="0" collapsed="false">
      <c r="A205" s="25"/>
      <c r="B205" s="16"/>
      <c r="C205" s="16"/>
      <c r="D205" s="26"/>
      <c r="E205" s="16"/>
      <c r="F205" s="16"/>
      <c r="G205" s="16"/>
      <c r="H205" s="16"/>
      <c r="I205" s="16"/>
      <c r="J205" s="8" t="str">
        <f aca="false">IF(AND(H205="Y",E205="Business checking (debit/ACH/check)"),"Counts toward 1099-NEC",IF(H205="Y","Paid by card/PayPal - 1099-K side",""))</f>
        <v/>
      </c>
      <c r="K205" s="16"/>
    </row>
    <row r="206" customFormat="false" ht="15" hidden="false" customHeight="false" outlineLevel="0" collapsed="false">
      <c r="A206" s="25"/>
      <c r="B206" s="16"/>
      <c r="C206" s="16"/>
      <c r="D206" s="26"/>
      <c r="E206" s="16"/>
      <c r="F206" s="16"/>
      <c r="G206" s="16"/>
      <c r="H206" s="16"/>
      <c r="I206" s="16"/>
      <c r="J206" s="8" t="str">
        <f aca="false">IF(AND(H206="Y",E206="Business checking (debit/ACH/check)"),"Counts toward 1099-NEC",IF(H206="Y","Paid by card/PayPal - 1099-K side",""))</f>
        <v/>
      </c>
      <c r="K206" s="16"/>
    </row>
    <row r="207" customFormat="false" ht="15" hidden="false" customHeight="false" outlineLevel="0" collapsed="false">
      <c r="A207" s="25"/>
      <c r="B207" s="16"/>
      <c r="C207" s="16"/>
      <c r="D207" s="26"/>
      <c r="E207" s="16"/>
      <c r="F207" s="16"/>
      <c r="G207" s="16"/>
      <c r="H207" s="16"/>
      <c r="I207" s="16"/>
      <c r="J207" s="8" t="str">
        <f aca="false">IF(AND(H207="Y",E207="Business checking (debit/ACH/check)"),"Counts toward 1099-NEC",IF(H207="Y","Paid by card/PayPal - 1099-K side",""))</f>
        <v/>
      </c>
      <c r="K207" s="16"/>
    </row>
    <row r="208" customFormat="false" ht="15" hidden="false" customHeight="false" outlineLevel="0" collapsed="false">
      <c r="A208" s="25"/>
      <c r="B208" s="16"/>
      <c r="C208" s="16"/>
      <c r="D208" s="26"/>
      <c r="E208" s="16"/>
      <c r="F208" s="16"/>
      <c r="G208" s="16"/>
      <c r="H208" s="16"/>
      <c r="I208" s="16"/>
      <c r="J208" s="8" t="str">
        <f aca="false">IF(AND(H208="Y",E208="Business checking (debit/ACH/check)"),"Counts toward 1099-NEC",IF(H208="Y","Paid by card/PayPal - 1099-K side",""))</f>
        <v/>
      </c>
      <c r="K208" s="16"/>
    </row>
    <row r="209" customFormat="false" ht="15" hidden="false" customHeight="false" outlineLevel="0" collapsed="false">
      <c r="A209" s="25"/>
      <c r="B209" s="16"/>
      <c r="C209" s="16"/>
      <c r="D209" s="26"/>
      <c r="E209" s="16"/>
      <c r="F209" s="16"/>
      <c r="G209" s="16"/>
      <c r="H209" s="16"/>
      <c r="I209" s="16"/>
      <c r="J209" s="8" t="str">
        <f aca="false">IF(AND(H209="Y",E209="Business checking (debit/ACH/check)"),"Counts toward 1099-NEC",IF(H209="Y","Paid by card/PayPal - 1099-K side",""))</f>
        <v/>
      </c>
      <c r="K209" s="16"/>
    </row>
    <row r="210" customFormat="false" ht="15" hidden="false" customHeight="false" outlineLevel="0" collapsed="false">
      <c r="A210" s="25"/>
      <c r="B210" s="16"/>
      <c r="C210" s="16"/>
      <c r="D210" s="26"/>
      <c r="E210" s="16"/>
      <c r="F210" s="16"/>
      <c r="G210" s="16"/>
      <c r="H210" s="16"/>
      <c r="I210" s="16"/>
      <c r="J210" s="8" t="str">
        <f aca="false">IF(AND(H210="Y",E210="Business checking (debit/ACH/check)"),"Counts toward 1099-NEC",IF(H210="Y","Paid by card/PayPal - 1099-K side",""))</f>
        <v/>
      </c>
      <c r="K210" s="16"/>
    </row>
    <row r="211" customFormat="false" ht="15" hidden="false" customHeight="false" outlineLevel="0" collapsed="false">
      <c r="A211" s="25"/>
      <c r="B211" s="16"/>
      <c r="C211" s="16"/>
      <c r="D211" s="26"/>
      <c r="E211" s="16"/>
      <c r="F211" s="16"/>
      <c r="G211" s="16"/>
      <c r="H211" s="16"/>
      <c r="I211" s="16"/>
      <c r="J211" s="8" t="str">
        <f aca="false">IF(AND(H211="Y",E211="Business checking (debit/ACH/check)"),"Counts toward 1099-NEC",IF(H211="Y","Paid by card/PayPal - 1099-K side",""))</f>
        <v/>
      </c>
      <c r="K211" s="16"/>
    </row>
    <row r="212" customFormat="false" ht="15" hidden="false" customHeight="false" outlineLevel="0" collapsed="false">
      <c r="A212" s="25"/>
      <c r="B212" s="16"/>
      <c r="C212" s="16"/>
      <c r="D212" s="26"/>
      <c r="E212" s="16"/>
      <c r="F212" s="16"/>
      <c r="G212" s="16"/>
      <c r="H212" s="16"/>
      <c r="I212" s="16"/>
      <c r="J212" s="8" t="str">
        <f aca="false">IF(AND(H212="Y",E212="Business checking (debit/ACH/check)"),"Counts toward 1099-NEC",IF(H212="Y","Paid by card/PayPal - 1099-K side",""))</f>
        <v/>
      </c>
      <c r="K212" s="16"/>
    </row>
    <row r="213" customFormat="false" ht="15" hidden="false" customHeight="false" outlineLevel="0" collapsed="false">
      <c r="A213" s="25"/>
      <c r="B213" s="16"/>
      <c r="C213" s="16"/>
      <c r="D213" s="26"/>
      <c r="E213" s="16"/>
      <c r="F213" s="16"/>
      <c r="G213" s="16"/>
      <c r="H213" s="16"/>
      <c r="I213" s="16"/>
      <c r="J213" s="8" t="str">
        <f aca="false">IF(AND(H213="Y",E213="Business checking (debit/ACH/check)"),"Counts toward 1099-NEC",IF(H213="Y","Paid by card/PayPal - 1099-K side",""))</f>
        <v/>
      </c>
      <c r="K213" s="16"/>
    </row>
    <row r="214" customFormat="false" ht="15" hidden="false" customHeight="false" outlineLevel="0" collapsed="false">
      <c r="A214" s="25"/>
      <c r="B214" s="16"/>
      <c r="C214" s="16"/>
      <c r="D214" s="26"/>
      <c r="E214" s="16"/>
      <c r="F214" s="16"/>
      <c r="G214" s="16"/>
      <c r="H214" s="16"/>
      <c r="I214" s="16"/>
      <c r="J214" s="8" t="str">
        <f aca="false">IF(AND(H214="Y",E214="Business checking (debit/ACH/check)"),"Counts toward 1099-NEC",IF(H214="Y","Paid by card/PayPal - 1099-K side",""))</f>
        <v/>
      </c>
      <c r="K214" s="16"/>
    </row>
    <row r="215" customFormat="false" ht="15" hidden="false" customHeight="false" outlineLevel="0" collapsed="false">
      <c r="A215" s="25"/>
      <c r="B215" s="16"/>
      <c r="C215" s="16"/>
      <c r="D215" s="26"/>
      <c r="E215" s="16"/>
      <c r="F215" s="16"/>
      <c r="G215" s="16"/>
      <c r="H215" s="16"/>
      <c r="I215" s="16"/>
      <c r="J215" s="8" t="str">
        <f aca="false">IF(AND(H215="Y",E215="Business checking (debit/ACH/check)"),"Counts toward 1099-NEC",IF(H215="Y","Paid by card/PayPal - 1099-K side",""))</f>
        <v/>
      </c>
      <c r="K215" s="16"/>
    </row>
    <row r="216" customFormat="false" ht="15" hidden="false" customHeight="false" outlineLevel="0" collapsed="false">
      <c r="A216" s="25"/>
      <c r="B216" s="16"/>
      <c r="C216" s="16"/>
      <c r="D216" s="26"/>
      <c r="E216" s="16"/>
      <c r="F216" s="16"/>
      <c r="G216" s="16"/>
      <c r="H216" s="16"/>
      <c r="I216" s="16"/>
      <c r="J216" s="8" t="str">
        <f aca="false">IF(AND(H216="Y",E216="Business checking (debit/ACH/check)"),"Counts toward 1099-NEC",IF(H216="Y","Paid by card/PayPal - 1099-K side",""))</f>
        <v/>
      </c>
      <c r="K216" s="16"/>
    </row>
    <row r="217" customFormat="false" ht="15" hidden="false" customHeight="false" outlineLevel="0" collapsed="false">
      <c r="A217" s="25"/>
      <c r="B217" s="16"/>
      <c r="C217" s="16"/>
      <c r="D217" s="26"/>
      <c r="E217" s="16"/>
      <c r="F217" s="16"/>
      <c r="G217" s="16"/>
      <c r="H217" s="16"/>
      <c r="I217" s="16"/>
      <c r="J217" s="8" t="str">
        <f aca="false">IF(AND(H217="Y",E217="Business checking (debit/ACH/check)"),"Counts toward 1099-NEC",IF(H217="Y","Paid by card/PayPal - 1099-K side",""))</f>
        <v/>
      </c>
      <c r="K217" s="16"/>
    </row>
    <row r="218" customFormat="false" ht="15" hidden="false" customHeight="false" outlineLevel="0" collapsed="false">
      <c r="A218" s="25"/>
      <c r="B218" s="16"/>
      <c r="C218" s="16"/>
      <c r="D218" s="26"/>
      <c r="E218" s="16"/>
      <c r="F218" s="16"/>
      <c r="G218" s="16"/>
      <c r="H218" s="16"/>
      <c r="I218" s="16"/>
      <c r="J218" s="8" t="str">
        <f aca="false">IF(AND(H218="Y",E218="Business checking (debit/ACH/check)"),"Counts toward 1099-NEC",IF(H218="Y","Paid by card/PayPal - 1099-K side",""))</f>
        <v/>
      </c>
      <c r="K218" s="16"/>
    </row>
    <row r="219" customFormat="false" ht="15" hidden="false" customHeight="false" outlineLevel="0" collapsed="false">
      <c r="A219" s="25"/>
      <c r="B219" s="16"/>
      <c r="C219" s="16"/>
      <c r="D219" s="26"/>
      <c r="E219" s="16"/>
      <c r="F219" s="16"/>
      <c r="G219" s="16"/>
      <c r="H219" s="16"/>
      <c r="I219" s="16"/>
      <c r="J219" s="8" t="str">
        <f aca="false">IF(AND(H219="Y",E219="Business checking (debit/ACH/check)"),"Counts toward 1099-NEC",IF(H219="Y","Paid by card/PayPal - 1099-K side",""))</f>
        <v/>
      </c>
      <c r="K219" s="16"/>
    </row>
    <row r="220" customFormat="false" ht="15" hidden="false" customHeight="false" outlineLevel="0" collapsed="false">
      <c r="A220" s="25"/>
      <c r="B220" s="16"/>
      <c r="C220" s="16"/>
      <c r="D220" s="26"/>
      <c r="E220" s="16"/>
      <c r="F220" s="16"/>
      <c r="G220" s="16"/>
      <c r="H220" s="16"/>
      <c r="I220" s="16"/>
      <c r="J220" s="8" t="str">
        <f aca="false">IF(AND(H220="Y",E220="Business checking (debit/ACH/check)"),"Counts toward 1099-NEC",IF(H220="Y","Paid by card/PayPal - 1099-K side",""))</f>
        <v/>
      </c>
      <c r="K220" s="16"/>
    </row>
    <row r="221" customFormat="false" ht="15" hidden="false" customHeight="false" outlineLevel="0" collapsed="false">
      <c r="A221" s="25"/>
      <c r="B221" s="16"/>
      <c r="C221" s="16"/>
      <c r="D221" s="26"/>
      <c r="E221" s="16"/>
      <c r="F221" s="16"/>
      <c r="G221" s="16"/>
      <c r="H221" s="16"/>
      <c r="I221" s="16"/>
      <c r="J221" s="8" t="str">
        <f aca="false">IF(AND(H221="Y",E221="Business checking (debit/ACH/check)"),"Counts toward 1099-NEC",IF(H221="Y","Paid by card/PayPal - 1099-K side",""))</f>
        <v/>
      </c>
      <c r="K221" s="16"/>
    </row>
    <row r="222" customFormat="false" ht="15" hidden="false" customHeight="false" outlineLevel="0" collapsed="false">
      <c r="A222" s="25"/>
      <c r="B222" s="16"/>
      <c r="C222" s="16"/>
      <c r="D222" s="26"/>
      <c r="E222" s="16"/>
      <c r="F222" s="16"/>
      <c r="G222" s="16"/>
      <c r="H222" s="16"/>
      <c r="I222" s="16"/>
      <c r="J222" s="8" t="str">
        <f aca="false">IF(AND(H222="Y",E222="Business checking (debit/ACH/check)"),"Counts toward 1099-NEC",IF(H222="Y","Paid by card/PayPal - 1099-K side",""))</f>
        <v/>
      </c>
      <c r="K222" s="16"/>
    </row>
    <row r="223" customFormat="false" ht="15" hidden="false" customHeight="false" outlineLevel="0" collapsed="false">
      <c r="A223" s="25"/>
      <c r="B223" s="16"/>
      <c r="C223" s="16"/>
      <c r="D223" s="26"/>
      <c r="E223" s="16"/>
      <c r="F223" s="16"/>
      <c r="G223" s="16"/>
      <c r="H223" s="16"/>
      <c r="I223" s="16"/>
      <c r="J223" s="8" t="str">
        <f aca="false">IF(AND(H223="Y",E223="Business checking (debit/ACH/check)"),"Counts toward 1099-NEC",IF(H223="Y","Paid by card/PayPal - 1099-K side",""))</f>
        <v/>
      </c>
      <c r="K223" s="16"/>
    </row>
    <row r="224" customFormat="false" ht="15" hidden="false" customHeight="false" outlineLevel="0" collapsed="false">
      <c r="A224" s="25"/>
      <c r="B224" s="16"/>
      <c r="C224" s="16"/>
      <c r="D224" s="26"/>
      <c r="E224" s="16"/>
      <c r="F224" s="16"/>
      <c r="G224" s="16"/>
      <c r="H224" s="16"/>
      <c r="I224" s="16"/>
      <c r="J224" s="8" t="str">
        <f aca="false">IF(AND(H224="Y",E224="Business checking (debit/ACH/check)"),"Counts toward 1099-NEC",IF(H224="Y","Paid by card/PayPal - 1099-K side",""))</f>
        <v/>
      </c>
      <c r="K224" s="16"/>
    </row>
    <row r="225" customFormat="false" ht="15" hidden="false" customHeight="false" outlineLevel="0" collapsed="false">
      <c r="A225" s="25"/>
      <c r="B225" s="16"/>
      <c r="C225" s="16"/>
      <c r="D225" s="26"/>
      <c r="E225" s="16"/>
      <c r="F225" s="16"/>
      <c r="G225" s="16"/>
      <c r="H225" s="16"/>
      <c r="I225" s="16"/>
      <c r="J225" s="8" t="str">
        <f aca="false">IF(AND(H225="Y",E225="Business checking (debit/ACH/check)"),"Counts toward 1099-NEC",IF(H225="Y","Paid by card/PayPal - 1099-K side",""))</f>
        <v/>
      </c>
      <c r="K225" s="16"/>
    </row>
    <row r="226" customFormat="false" ht="15" hidden="false" customHeight="false" outlineLevel="0" collapsed="false">
      <c r="A226" s="25"/>
      <c r="B226" s="16"/>
      <c r="C226" s="16"/>
      <c r="D226" s="26"/>
      <c r="E226" s="16"/>
      <c r="F226" s="16"/>
      <c r="G226" s="16"/>
      <c r="H226" s="16"/>
      <c r="I226" s="16"/>
      <c r="J226" s="8" t="str">
        <f aca="false">IF(AND(H226="Y",E226="Business checking (debit/ACH/check)"),"Counts toward 1099-NEC",IF(H226="Y","Paid by card/PayPal - 1099-K side",""))</f>
        <v/>
      </c>
      <c r="K226" s="16"/>
    </row>
    <row r="227" customFormat="false" ht="15" hidden="false" customHeight="false" outlineLevel="0" collapsed="false">
      <c r="A227" s="25"/>
      <c r="B227" s="16"/>
      <c r="C227" s="16"/>
      <c r="D227" s="26"/>
      <c r="E227" s="16"/>
      <c r="F227" s="16"/>
      <c r="G227" s="16"/>
      <c r="H227" s="16"/>
      <c r="I227" s="16"/>
      <c r="J227" s="8" t="str">
        <f aca="false">IF(AND(H227="Y",E227="Business checking (debit/ACH/check)"),"Counts toward 1099-NEC",IF(H227="Y","Paid by card/PayPal - 1099-K side",""))</f>
        <v/>
      </c>
      <c r="K227" s="16"/>
    </row>
    <row r="228" customFormat="false" ht="15" hidden="false" customHeight="false" outlineLevel="0" collapsed="false">
      <c r="A228" s="25"/>
      <c r="B228" s="16"/>
      <c r="C228" s="16"/>
      <c r="D228" s="26"/>
      <c r="E228" s="16"/>
      <c r="F228" s="16"/>
      <c r="G228" s="16"/>
      <c r="H228" s="16"/>
      <c r="I228" s="16"/>
      <c r="J228" s="8" t="str">
        <f aca="false">IF(AND(H228="Y",E228="Business checking (debit/ACH/check)"),"Counts toward 1099-NEC",IF(H228="Y","Paid by card/PayPal - 1099-K side",""))</f>
        <v/>
      </c>
      <c r="K228" s="16"/>
    </row>
    <row r="229" customFormat="false" ht="15" hidden="false" customHeight="false" outlineLevel="0" collapsed="false">
      <c r="A229" s="25"/>
      <c r="B229" s="16"/>
      <c r="C229" s="16"/>
      <c r="D229" s="26"/>
      <c r="E229" s="16"/>
      <c r="F229" s="16"/>
      <c r="G229" s="16"/>
      <c r="H229" s="16"/>
      <c r="I229" s="16"/>
      <c r="J229" s="8" t="str">
        <f aca="false">IF(AND(H229="Y",E229="Business checking (debit/ACH/check)"),"Counts toward 1099-NEC",IF(H229="Y","Paid by card/PayPal - 1099-K side",""))</f>
        <v/>
      </c>
      <c r="K229" s="16"/>
    </row>
    <row r="230" customFormat="false" ht="15" hidden="false" customHeight="false" outlineLevel="0" collapsed="false">
      <c r="A230" s="25"/>
      <c r="B230" s="16"/>
      <c r="C230" s="16"/>
      <c r="D230" s="26"/>
      <c r="E230" s="16"/>
      <c r="F230" s="16"/>
      <c r="G230" s="16"/>
      <c r="H230" s="16"/>
      <c r="I230" s="16"/>
      <c r="J230" s="8" t="str">
        <f aca="false">IF(AND(H230="Y",E230="Business checking (debit/ACH/check)"),"Counts toward 1099-NEC",IF(H230="Y","Paid by card/PayPal - 1099-K side",""))</f>
        <v/>
      </c>
      <c r="K230" s="16"/>
    </row>
    <row r="231" customFormat="false" ht="15" hidden="false" customHeight="false" outlineLevel="0" collapsed="false">
      <c r="A231" s="25"/>
      <c r="B231" s="16"/>
      <c r="C231" s="16"/>
      <c r="D231" s="26"/>
      <c r="E231" s="16"/>
      <c r="F231" s="16"/>
      <c r="G231" s="16"/>
      <c r="H231" s="16"/>
      <c r="I231" s="16"/>
      <c r="J231" s="8" t="str">
        <f aca="false">IF(AND(H231="Y",E231="Business checking (debit/ACH/check)"),"Counts toward 1099-NEC",IF(H231="Y","Paid by card/PayPal - 1099-K side",""))</f>
        <v/>
      </c>
      <c r="K231" s="16"/>
    </row>
    <row r="232" customFormat="false" ht="15" hidden="false" customHeight="false" outlineLevel="0" collapsed="false">
      <c r="A232" s="25"/>
      <c r="B232" s="16"/>
      <c r="C232" s="16"/>
      <c r="D232" s="26"/>
      <c r="E232" s="16"/>
      <c r="F232" s="16"/>
      <c r="G232" s="16"/>
      <c r="H232" s="16"/>
      <c r="I232" s="16"/>
      <c r="J232" s="8" t="str">
        <f aca="false">IF(AND(H232="Y",E232="Business checking (debit/ACH/check)"),"Counts toward 1099-NEC",IF(H232="Y","Paid by card/PayPal - 1099-K side",""))</f>
        <v/>
      </c>
      <c r="K232" s="16"/>
    </row>
    <row r="233" customFormat="false" ht="15" hidden="false" customHeight="false" outlineLevel="0" collapsed="false">
      <c r="A233" s="25"/>
      <c r="B233" s="16"/>
      <c r="C233" s="16"/>
      <c r="D233" s="26"/>
      <c r="E233" s="16"/>
      <c r="F233" s="16"/>
      <c r="G233" s="16"/>
      <c r="H233" s="16"/>
      <c r="I233" s="16"/>
      <c r="J233" s="8" t="str">
        <f aca="false">IF(AND(H233="Y",E233="Business checking (debit/ACH/check)"),"Counts toward 1099-NEC",IF(H233="Y","Paid by card/PayPal - 1099-K side",""))</f>
        <v/>
      </c>
      <c r="K233" s="16"/>
    </row>
    <row r="234" customFormat="false" ht="15" hidden="false" customHeight="false" outlineLevel="0" collapsed="false">
      <c r="A234" s="25"/>
      <c r="B234" s="16"/>
      <c r="C234" s="16"/>
      <c r="D234" s="26"/>
      <c r="E234" s="16"/>
      <c r="F234" s="16"/>
      <c r="G234" s="16"/>
      <c r="H234" s="16"/>
      <c r="I234" s="16"/>
      <c r="J234" s="8" t="str">
        <f aca="false">IF(AND(H234="Y",E234="Business checking (debit/ACH/check)"),"Counts toward 1099-NEC",IF(H234="Y","Paid by card/PayPal - 1099-K side",""))</f>
        <v/>
      </c>
      <c r="K234" s="16"/>
    </row>
    <row r="235" customFormat="false" ht="15" hidden="false" customHeight="false" outlineLevel="0" collapsed="false">
      <c r="A235" s="25"/>
      <c r="B235" s="16"/>
      <c r="C235" s="16"/>
      <c r="D235" s="26"/>
      <c r="E235" s="16"/>
      <c r="F235" s="16"/>
      <c r="G235" s="16"/>
      <c r="H235" s="16"/>
      <c r="I235" s="16"/>
      <c r="J235" s="8" t="str">
        <f aca="false">IF(AND(H235="Y",E235="Business checking (debit/ACH/check)"),"Counts toward 1099-NEC",IF(H235="Y","Paid by card/PayPal - 1099-K side",""))</f>
        <v/>
      </c>
      <c r="K235" s="16"/>
    </row>
    <row r="236" customFormat="false" ht="15" hidden="false" customHeight="false" outlineLevel="0" collapsed="false">
      <c r="A236" s="25"/>
      <c r="B236" s="16"/>
      <c r="C236" s="16"/>
      <c r="D236" s="26"/>
      <c r="E236" s="16"/>
      <c r="F236" s="16"/>
      <c r="G236" s="16"/>
      <c r="H236" s="16"/>
      <c r="I236" s="16"/>
      <c r="J236" s="8" t="str">
        <f aca="false">IF(AND(H236="Y",E236="Business checking (debit/ACH/check)"),"Counts toward 1099-NEC",IF(H236="Y","Paid by card/PayPal - 1099-K side",""))</f>
        <v/>
      </c>
      <c r="K236" s="16"/>
    </row>
    <row r="237" customFormat="false" ht="15" hidden="false" customHeight="false" outlineLevel="0" collapsed="false">
      <c r="A237" s="25"/>
      <c r="B237" s="16"/>
      <c r="C237" s="16"/>
      <c r="D237" s="26"/>
      <c r="E237" s="16"/>
      <c r="F237" s="16"/>
      <c r="G237" s="16"/>
      <c r="H237" s="16"/>
      <c r="I237" s="16"/>
      <c r="J237" s="8" t="str">
        <f aca="false">IF(AND(H237="Y",E237="Business checking (debit/ACH/check)"),"Counts toward 1099-NEC",IF(H237="Y","Paid by card/PayPal - 1099-K side",""))</f>
        <v/>
      </c>
      <c r="K237" s="16"/>
    </row>
    <row r="238" customFormat="false" ht="15" hidden="false" customHeight="false" outlineLevel="0" collapsed="false">
      <c r="A238" s="25"/>
      <c r="B238" s="16"/>
      <c r="C238" s="16"/>
      <c r="D238" s="26"/>
      <c r="E238" s="16"/>
      <c r="F238" s="16"/>
      <c r="G238" s="16"/>
      <c r="H238" s="16"/>
      <c r="I238" s="16"/>
      <c r="J238" s="8" t="str">
        <f aca="false">IF(AND(H238="Y",E238="Business checking (debit/ACH/check)"),"Counts toward 1099-NEC",IF(H238="Y","Paid by card/PayPal - 1099-K side",""))</f>
        <v/>
      </c>
      <c r="K238" s="16"/>
    </row>
    <row r="239" customFormat="false" ht="15" hidden="false" customHeight="false" outlineLevel="0" collapsed="false">
      <c r="A239" s="25"/>
      <c r="B239" s="16"/>
      <c r="C239" s="16"/>
      <c r="D239" s="26"/>
      <c r="E239" s="16"/>
      <c r="F239" s="16"/>
      <c r="G239" s="16"/>
      <c r="H239" s="16"/>
      <c r="I239" s="16"/>
      <c r="J239" s="8" t="str">
        <f aca="false">IF(AND(H239="Y",E239="Business checking (debit/ACH/check)"),"Counts toward 1099-NEC",IF(H239="Y","Paid by card/PayPal - 1099-K side",""))</f>
        <v/>
      </c>
      <c r="K239" s="16"/>
    </row>
    <row r="240" customFormat="false" ht="15" hidden="false" customHeight="false" outlineLevel="0" collapsed="false">
      <c r="A240" s="25"/>
      <c r="B240" s="16"/>
      <c r="C240" s="16"/>
      <c r="D240" s="26"/>
      <c r="E240" s="16"/>
      <c r="F240" s="16"/>
      <c r="G240" s="16"/>
      <c r="H240" s="16"/>
      <c r="I240" s="16"/>
      <c r="J240" s="8" t="str">
        <f aca="false">IF(AND(H240="Y",E240="Business checking (debit/ACH/check)"),"Counts toward 1099-NEC",IF(H240="Y","Paid by card/PayPal - 1099-K side",""))</f>
        <v/>
      </c>
      <c r="K240" s="16"/>
    </row>
    <row r="241" customFormat="false" ht="15" hidden="false" customHeight="false" outlineLevel="0" collapsed="false">
      <c r="A241" s="25"/>
      <c r="B241" s="16"/>
      <c r="C241" s="16"/>
      <c r="D241" s="26"/>
      <c r="E241" s="16"/>
      <c r="F241" s="16"/>
      <c r="G241" s="16"/>
      <c r="H241" s="16"/>
      <c r="I241" s="16"/>
      <c r="J241" s="8" t="str">
        <f aca="false">IF(AND(H241="Y",E241="Business checking (debit/ACH/check)"),"Counts toward 1099-NEC",IF(H241="Y","Paid by card/PayPal - 1099-K side",""))</f>
        <v/>
      </c>
      <c r="K241" s="16"/>
    </row>
    <row r="242" customFormat="false" ht="15" hidden="false" customHeight="false" outlineLevel="0" collapsed="false">
      <c r="A242" s="25"/>
      <c r="B242" s="16"/>
      <c r="C242" s="16"/>
      <c r="D242" s="26"/>
      <c r="E242" s="16"/>
      <c r="F242" s="16"/>
      <c r="G242" s="16"/>
      <c r="H242" s="16"/>
      <c r="I242" s="16"/>
      <c r="J242" s="8" t="str">
        <f aca="false">IF(AND(H242="Y",E242="Business checking (debit/ACH/check)"),"Counts toward 1099-NEC",IF(H242="Y","Paid by card/PayPal - 1099-K side",""))</f>
        <v/>
      </c>
      <c r="K242" s="16"/>
    </row>
    <row r="243" customFormat="false" ht="15" hidden="false" customHeight="false" outlineLevel="0" collapsed="false">
      <c r="A243" s="25"/>
      <c r="B243" s="16"/>
      <c r="C243" s="16"/>
      <c r="D243" s="26"/>
      <c r="E243" s="16"/>
      <c r="F243" s="16"/>
      <c r="G243" s="16"/>
      <c r="H243" s="16"/>
      <c r="I243" s="16"/>
      <c r="J243" s="8" t="str">
        <f aca="false">IF(AND(H243="Y",E243="Business checking (debit/ACH/check)"),"Counts toward 1099-NEC",IF(H243="Y","Paid by card/PayPal - 1099-K side",""))</f>
        <v/>
      </c>
      <c r="K243" s="16"/>
    </row>
    <row r="244" customFormat="false" ht="15" hidden="false" customHeight="false" outlineLevel="0" collapsed="false">
      <c r="A244" s="25"/>
      <c r="B244" s="16"/>
      <c r="C244" s="16"/>
      <c r="D244" s="26"/>
      <c r="E244" s="16"/>
      <c r="F244" s="16"/>
      <c r="G244" s="16"/>
      <c r="H244" s="16"/>
      <c r="I244" s="16"/>
      <c r="J244" s="8" t="str">
        <f aca="false">IF(AND(H244="Y",E244="Business checking (debit/ACH/check)"),"Counts toward 1099-NEC",IF(H244="Y","Paid by card/PayPal - 1099-K side",""))</f>
        <v/>
      </c>
      <c r="K244" s="16"/>
    </row>
    <row r="245" customFormat="false" ht="15" hidden="false" customHeight="false" outlineLevel="0" collapsed="false">
      <c r="A245" s="25"/>
      <c r="B245" s="16"/>
      <c r="C245" s="16"/>
      <c r="D245" s="26"/>
      <c r="E245" s="16"/>
      <c r="F245" s="16"/>
      <c r="G245" s="16"/>
      <c r="H245" s="16"/>
      <c r="I245" s="16"/>
      <c r="J245" s="8" t="str">
        <f aca="false">IF(AND(H245="Y",E245="Business checking (debit/ACH/check)"),"Counts toward 1099-NEC",IF(H245="Y","Paid by card/PayPal - 1099-K side",""))</f>
        <v/>
      </c>
      <c r="K245" s="16"/>
    </row>
    <row r="246" customFormat="false" ht="15" hidden="false" customHeight="false" outlineLevel="0" collapsed="false">
      <c r="A246" s="25"/>
      <c r="B246" s="16"/>
      <c r="C246" s="16"/>
      <c r="D246" s="26"/>
      <c r="E246" s="16"/>
      <c r="F246" s="16"/>
      <c r="G246" s="16"/>
      <c r="H246" s="16"/>
      <c r="I246" s="16"/>
      <c r="J246" s="8" t="str">
        <f aca="false">IF(AND(H246="Y",E246="Business checking (debit/ACH/check)"),"Counts toward 1099-NEC",IF(H246="Y","Paid by card/PayPal - 1099-K side",""))</f>
        <v/>
      </c>
      <c r="K246" s="16"/>
    </row>
    <row r="247" customFormat="false" ht="15" hidden="false" customHeight="false" outlineLevel="0" collapsed="false">
      <c r="A247" s="25"/>
      <c r="B247" s="16"/>
      <c r="C247" s="16"/>
      <c r="D247" s="26"/>
      <c r="E247" s="16"/>
      <c r="F247" s="16"/>
      <c r="G247" s="16"/>
      <c r="H247" s="16"/>
      <c r="I247" s="16"/>
      <c r="J247" s="8" t="str">
        <f aca="false">IF(AND(H247="Y",E247="Business checking (debit/ACH/check)"),"Counts toward 1099-NEC",IF(H247="Y","Paid by card/PayPal - 1099-K side",""))</f>
        <v/>
      </c>
      <c r="K247" s="16"/>
    </row>
    <row r="248" customFormat="false" ht="15" hidden="false" customHeight="false" outlineLevel="0" collapsed="false">
      <c r="A248" s="25"/>
      <c r="B248" s="16"/>
      <c r="C248" s="16"/>
      <c r="D248" s="26"/>
      <c r="E248" s="16"/>
      <c r="F248" s="16"/>
      <c r="G248" s="16"/>
      <c r="H248" s="16"/>
      <c r="I248" s="16"/>
      <c r="J248" s="8" t="str">
        <f aca="false">IF(AND(H248="Y",E248="Business checking (debit/ACH/check)"),"Counts toward 1099-NEC",IF(H248="Y","Paid by card/PayPal - 1099-K side",""))</f>
        <v/>
      </c>
      <c r="K248" s="16"/>
    </row>
    <row r="249" customFormat="false" ht="15" hidden="false" customHeight="false" outlineLevel="0" collapsed="false">
      <c r="A249" s="25"/>
      <c r="B249" s="16"/>
      <c r="C249" s="16"/>
      <c r="D249" s="26"/>
      <c r="E249" s="16"/>
      <c r="F249" s="16"/>
      <c r="G249" s="16"/>
      <c r="H249" s="16"/>
      <c r="I249" s="16"/>
      <c r="J249" s="8" t="str">
        <f aca="false">IF(AND(H249="Y",E249="Business checking (debit/ACH/check)"),"Counts toward 1099-NEC",IF(H249="Y","Paid by card/PayPal - 1099-K side",""))</f>
        <v/>
      </c>
      <c r="K249" s="16"/>
    </row>
    <row r="250" customFormat="false" ht="15" hidden="false" customHeight="false" outlineLevel="0" collapsed="false">
      <c r="A250" s="25"/>
      <c r="B250" s="16"/>
      <c r="C250" s="16"/>
      <c r="D250" s="26"/>
      <c r="E250" s="16"/>
      <c r="F250" s="16"/>
      <c r="G250" s="16"/>
      <c r="H250" s="16"/>
      <c r="I250" s="16"/>
      <c r="J250" s="8" t="str">
        <f aca="false">IF(AND(H250="Y",E250="Business checking (debit/ACH/check)"),"Counts toward 1099-NEC",IF(H250="Y","Paid by card/PayPal - 1099-K side",""))</f>
        <v/>
      </c>
      <c r="K250" s="16"/>
    </row>
    <row r="251" customFormat="false" ht="15" hidden="false" customHeight="false" outlineLevel="0" collapsed="false">
      <c r="A251" s="25"/>
      <c r="B251" s="16"/>
      <c r="C251" s="16"/>
      <c r="D251" s="26"/>
      <c r="E251" s="16"/>
      <c r="F251" s="16"/>
      <c r="G251" s="16"/>
      <c r="H251" s="16"/>
      <c r="I251" s="16"/>
      <c r="J251" s="8" t="str">
        <f aca="false">IF(AND(H251="Y",E251="Business checking (debit/ACH/check)"),"Counts toward 1099-NEC",IF(H251="Y","Paid by card/PayPal - 1099-K side",""))</f>
        <v/>
      </c>
      <c r="K251" s="16"/>
    </row>
    <row r="252" customFormat="false" ht="15" hidden="false" customHeight="false" outlineLevel="0" collapsed="false">
      <c r="A252" s="25"/>
      <c r="B252" s="16"/>
      <c r="C252" s="16"/>
      <c r="D252" s="26"/>
      <c r="E252" s="16"/>
      <c r="F252" s="16"/>
      <c r="G252" s="16"/>
      <c r="H252" s="16"/>
      <c r="I252" s="16"/>
      <c r="J252" s="8" t="str">
        <f aca="false">IF(AND(H252="Y",E252="Business checking (debit/ACH/check)"),"Counts toward 1099-NEC",IF(H252="Y","Paid by card/PayPal - 1099-K side",""))</f>
        <v/>
      </c>
      <c r="K252" s="16"/>
    </row>
    <row r="253" customFormat="false" ht="15" hidden="false" customHeight="false" outlineLevel="0" collapsed="false">
      <c r="A253" s="25"/>
      <c r="B253" s="16"/>
      <c r="C253" s="16"/>
      <c r="D253" s="26"/>
      <c r="E253" s="16"/>
      <c r="F253" s="16"/>
      <c r="G253" s="16"/>
      <c r="H253" s="16"/>
      <c r="I253" s="16"/>
      <c r="J253" s="8" t="str">
        <f aca="false">IF(AND(H253="Y",E253="Business checking (debit/ACH/check)"),"Counts toward 1099-NEC",IF(H253="Y","Paid by card/PayPal - 1099-K side",""))</f>
        <v/>
      </c>
      <c r="K253" s="16"/>
    </row>
    <row r="254" customFormat="false" ht="15" hidden="false" customHeight="false" outlineLevel="0" collapsed="false">
      <c r="A254" s="25"/>
      <c r="B254" s="16"/>
      <c r="C254" s="16"/>
      <c r="D254" s="26"/>
      <c r="E254" s="16"/>
      <c r="F254" s="16"/>
      <c r="G254" s="16"/>
      <c r="H254" s="16"/>
      <c r="I254" s="16"/>
      <c r="J254" s="8" t="str">
        <f aca="false">IF(AND(H254="Y",E254="Business checking (debit/ACH/check)"),"Counts toward 1099-NEC",IF(H254="Y","Paid by card/PayPal - 1099-K side",""))</f>
        <v/>
      </c>
      <c r="K254" s="16"/>
    </row>
    <row r="255" customFormat="false" ht="15" hidden="false" customHeight="false" outlineLevel="0" collapsed="false">
      <c r="A255" s="25"/>
      <c r="B255" s="16"/>
      <c r="C255" s="16"/>
      <c r="D255" s="26"/>
      <c r="E255" s="16"/>
      <c r="F255" s="16"/>
      <c r="G255" s="16"/>
      <c r="H255" s="16"/>
      <c r="I255" s="16"/>
      <c r="J255" s="8" t="str">
        <f aca="false">IF(AND(H255="Y",E255="Business checking (debit/ACH/check)"),"Counts toward 1099-NEC",IF(H255="Y","Paid by card/PayPal - 1099-K side",""))</f>
        <v/>
      </c>
      <c r="K255" s="16"/>
    </row>
    <row r="256" customFormat="false" ht="15" hidden="false" customHeight="false" outlineLevel="0" collapsed="false">
      <c r="A256" s="25"/>
      <c r="B256" s="16"/>
      <c r="C256" s="16"/>
      <c r="D256" s="26"/>
      <c r="E256" s="16"/>
      <c r="F256" s="16"/>
      <c r="G256" s="16"/>
      <c r="H256" s="16"/>
      <c r="I256" s="16"/>
      <c r="J256" s="8" t="str">
        <f aca="false">IF(AND(H256="Y",E256="Business checking (debit/ACH/check)"),"Counts toward 1099-NEC",IF(H256="Y","Paid by card/PayPal - 1099-K side",""))</f>
        <v/>
      </c>
      <c r="K256" s="16"/>
    </row>
    <row r="257" customFormat="false" ht="15" hidden="false" customHeight="false" outlineLevel="0" collapsed="false">
      <c r="A257" s="25"/>
      <c r="B257" s="16"/>
      <c r="C257" s="16"/>
      <c r="D257" s="26"/>
      <c r="E257" s="16"/>
      <c r="F257" s="16"/>
      <c r="G257" s="16"/>
      <c r="H257" s="16"/>
      <c r="I257" s="16"/>
      <c r="J257" s="8" t="str">
        <f aca="false">IF(AND(H257="Y",E257="Business checking (debit/ACH/check)"),"Counts toward 1099-NEC",IF(H257="Y","Paid by card/PayPal - 1099-K side",""))</f>
        <v/>
      </c>
      <c r="K257" s="16"/>
    </row>
    <row r="258" customFormat="false" ht="15" hidden="false" customHeight="false" outlineLevel="0" collapsed="false">
      <c r="A258" s="25"/>
      <c r="B258" s="16"/>
      <c r="C258" s="16"/>
      <c r="D258" s="26"/>
      <c r="E258" s="16"/>
      <c r="F258" s="16"/>
      <c r="G258" s="16"/>
      <c r="H258" s="16"/>
      <c r="I258" s="16"/>
      <c r="J258" s="8" t="str">
        <f aca="false">IF(AND(H258="Y",E258="Business checking (debit/ACH/check)"),"Counts toward 1099-NEC",IF(H258="Y","Paid by card/PayPal - 1099-K side",""))</f>
        <v/>
      </c>
      <c r="K258" s="16"/>
    </row>
    <row r="259" customFormat="false" ht="15" hidden="false" customHeight="false" outlineLevel="0" collapsed="false">
      <c r="A259" s="25"/>
      <c r="B259" s="16"/>
      <c r="C259" s="16"/>
      <c r="D259" s="26"/>
      <c r="E259" s="16"/>
      <c r="F259" s="16"/>
      <c r="G259" s="16"/>
      <c r="H259" s="16"/>
      <c r="I259" s="16"/>
      <c r="J259" s="8" t="str">
        <f aca="false">IF(AND(H259="Y",E259="Business checking (debit/ACH/check)"),"Counts toward 1099-NEC",IF(H259="Y","Paid by card/PayPal - 1099-K side",""))</f>
        <v/>
      </c>
      <c r="K259" s="16"/>
    </row>
    <row r="260" customFormat="false" ht="15" hidden="false" customHeight="false" outlineLevel="0" collapsed="false">
      <c r="A260" s="25"/>
      <c r="B260" s="16"/>
      <c r="C260" s="16"/>
      <c r="D260" s="26"/>
      <c r="E260" s="16"/>
      <c r="F260" s="16"/>
      <c r="G260" s="16"/>
      <c r="H260" s="16"/>
      <c r="I260" s="16"/>
      <c r="J260" s="8" t="str">
        <f aca="false">IF(AND(H260="Y",E260="Business checking (debit/ACH/check)"),"Counts toward 1099-NEC",IF(H260="Y","Paid by card/PayPal - 1099-K side",""))</f>
        <v/>
      </c>
      <c r="K260" s="16"/>
    </row>
    <row r="261" customFormat="false" ht="15" hidden="false" customHeight="false" outlineLevel="0" collapsed="false">
      <c r="A261" s="25"/>
      <c r="B261" s="16"/>
      <c r="C261" s="16"/>
      <c r="D261" s="26"/>
      <c r="E261" s="16"/>
      <c r="F261" s="16"/>
      <c r="G261" s="16"/>
      <c r="H261" s="16"/>
      <c r="I261" s="16"/>
      <c r="J261" s="8" t="str">
        <f aca="false">IF(AND(H261="Y",E261="Business checking (debit/ACH/check)"),"Counts toward 1099-NEC",IF(H261="Y","Paid by card/PayPal - 1099-K side",""))</f>
        <v/>
      </c>
      <c r="K261" s="16"/>
    </row>
    <row r="262" customFormat="false" ht="15" hidden="false" customHeight="false" outlineLevel="0" collapsed="false">
      <c r="A262" s="25"/>
      <c r="B262" s="16"/>
      <c r="C262" s="16"/>
      <c r="D262" s="26"/>
      <c r="E262" s="16"/>
      <c r="F262" s="16"/>
      <c r="G262" s="16"/>
      <c r="H262" s="16"/>
      <c r="I262" s="16"/>
      <c r="J262" s="8" t="str">
        <f aca="false">IF(AND(H262="Y",E262="Business checking (debit/ACH/check)"),"Counts toward 1099-NEC",IF(H262="Y","Paid by card/PayPal - 1099-K side",""))</f>
        <v/>
      </c>
      <c r="K262" s="16"/>
    </row>
    <row r="263" customFormat="false" ht="15" hidden="false" customHeight="false" outlineLevel="0" collapsed="false">
      <c r="A263" s="25"/>
      <c r="B263" s="16"/>
      <c r="C263" s="16"/>
      <c r="D263" s="26"/>
      <c r="E263" s="16"/>
      <c r="F263" s="16"/>
      <c r="G263" s="16"/>
      <c r="H263" s="16"/>
      <c r="I263" s="16"/>
      <c r="J263" s="8" t="str">
        <f aca="false">IF(AND(H263="Y",E263="Business checking (debit/ACH/check)"),"Counts toward 1099-NEC",IF(H263="Y","Paid by card/PayPal - 1099-K side",""))</f>
        <v/>
      </c>
      <c r="K263" s="16"/>
    </row>
    <row r="264" customFormat="false" ht="15" hidden="false" customHeight="false" outlineLevel="0" collapsed="false">
      <c r="A264" s="25"/>
      <c r="B264" s="16"/>
      <c r="C264" s="16"/>
      <c r="D264" s="26"/>
      <c r="E264" s="16"/>
      <c r="F264" s="16"/>
      <c r="G264" s="16"/>
      <c r="H264" s="16"/>
      <c r="I264" s="16"/>
      <c r="J264" s="8" t="str">
        <f aca="false">IF(AND(H264="Y",E264="Business checking (debit/ACH/check)"),"Counts toward 1099-NEC",IF(H264="Y","Paid by card/PayPal - 1099-K side",""))</f>
        <v/>
      </c>
      <c r="K264" s="16"/>
    </row>
    <row r="265" customFormat="false" ht="15" hidden="false" customHeight="false" outlineLevel="0" collapsed="false">
      <c r="A265" s="25"/>
      <c r="B265" s="16"/>
      <c r="C265" s="16"/>
      <c r="D265" s="26"/>
      <c r="E265" s="16"/>
      <c r="F265" s="16"/>
      <c r="G265" s="16"/>
      <c r="H265" s="16"/>
      <c r="I265" s="16"/>
      <c r="J265" s="8" t="str">
        <f aca="false">IF(AND(H265="Y",E265="Business checking (debit/ACH/check)"),"Counts toward 1099-NEC",IF(H265="Y","Paid by card/PayPal - 1099-K side",""))</f>
        <v/>
      </c>
      <c r="K265" s="16"/>
    </row>
    <row r="266" customFormat="false" ht="15" hidden="false" customHeight="false" outlineLevel="0" collapsed="false">
      <c r="A266" s="25"/>
      <c r="B266" s="16"/>
      <c r="C266" s="16"/>
      <c r="D266" s="26"/>
      <c r="E266" s="16"/>
      <c r="F266" s="16"/>
      <c r="G266" s="16"/>
      <c r="H266" s="16"/>
      <c r="I266" s="16"/>
      <c r="J266" s="8" t="str">
        <f aca="false">IF(AND(H266="Y",E266="Business checking (debit/ACH/check)"),"Counts toward 1099-NEC",IF(H266="Y","Paid by card/PayPal - 1099-K side",""))</f>
        <v/>
      </c>
      <c r="K266" s="16"/>
    </row>
    <row r="267" customFormat="false" ht="15" hidden="false" customHeight="false" outlineLevel="0" collapsed="false">
      <c r="A267" s="25"/>
      <c r="B267" s="16"/>
      <c r="C267" s="16"/>
      <c r="D267" s="26"/>
      <c r="E267" s="16"/>
      <c r="F267" s="16"/>
      <c r="G267" s="16"/>
      <c r="H267" s="16"/>
      <c r="I267" s="16"/>
      <c r="J267" s="8" t="str">
        <f aca="false">IF(AND(H267="Y",E267="Business checking (debit/ACH/check)"),"Counts toward 1099-NEC",IF(H267="Y","Paid by card/PayPal - 1099-K side",""))</f>
        <v/>
      </c>
      <c r="K267" s="16"/>
    </row>
    <row r="268" customFormat="false" ht="15" hidden="false" customHeight="false" outlineLevel="0" collapsed="false">
      <c r="A268" s="25"/>
      <c r="B268" s="16"/>
      <c r="C268" s="16"/>
      <c r="D268" s="26"/>
      <c r="E268" s="16"/>
      <c r="F268" s="16"/>
      <c r="G268" s="16"/>
      <c r="H268" s="16"/>
      <c r="I268" s="16"/>
      <c r="J268" s="8" t="str">
        <f aca="false">IF(AND(H268="Y",E268="Business checking (debit/ACH/check)"),"Counts toward 1099-NEC",IF(H268="Y","Paid by card/PayPal - 1099-K side",""))</f>
        <v/>
      </c>
      <c r="K268" s="16"/>
    </row>
    <row r="269" customFormat="false" ht="15" hidden="false" customHeight="false" outlineLevel="0" collapsed="false">
      <c r="A269" s="25"/>
      <c r="B269" s="16"/>
      <c r="C269" s="16"/>
      <c r="D269" s="26"/>
      <c r="E269" s="16"/>
      <c r="F269" s="16"/>
      <c r="G269" s="16"/>
      <c r="H269" s="16"/>
      <c r="I269" s="16"/>
      <c r="J269" s="8" t="str">
        <f aca="false">IF(AND(H269="Y",E269="Business checking (debit/ACH/check)"),"Counts toward 1099-NEC",IF(H269="Y","Paid by card/PayPal - 1099-K side",""))</f>
        <v/>
      </c>
      <c r="K269" s="16"/>
    </row>
    <row r="270" customFormat="false" ht="15" hidden="false" customHeight="false" outlineLevel="0" collapsed="false">
      <c r="A270" s="25"/>
      <c r="B270" s="16"/>
      <c r="C270" s="16"/>
      <c r="D270" s="26"/>
      <c r="E270" s="16"/>
      <c r="F270" s="16"/>
      <c r="G270" s="16"/>
      <c r="H270" s="16"/>
      <c r="I270" s="16"/>
      <c r="J270" s="8" t="str">
        <f aca="false">IF(AND(H270="Y",E270="Business checking (debit/ACH/check)"),"Counts toward 1099-NEC",IF(H270="Y","Paid by card/PayPal - 1099-K side",""))</f>
        <v/>
      </c>
      <c r="K270" s="16"/>
    </row>
    <row r="271" customFormat="false" ht="15" hidden="false" customHeight="false" outlineLevel="0" collapsed="false">
      <c r="A271" s="25"/>
      <c r="B271" s="16"/>
      <c r="C271" s="16"/>
      <c r="D271" s="26"/>
      <c r="E271" s="16"/>
      <c r="F271" s="16"/>
      <c r="G271" s="16"/>
      <c r="H271" s="16"/>
      <c r="I271" s="16"/>
      <c r="J271" s="8" t="str">
        <f aca="false">IF(AND(H271="Y",E271="Business checking (debit/ACH/check)"),"Counts toward 1099-NEC",IF(H271="Y","Paid by card/PayPal - 1099-K side",""))</f>
        <v/>
      </c>
      <c r="K271" s="16"/>
    </row>
    <row r="272" customFormat="false" ht="15" hidden="false" customHeight="false" outlineLevel="0" collapsed="false">
      <c r="A272" s="25"/>
      <c r="B272" s="16"/>
      <c r="C272" s="16"/>
      <c r="D272" s="26"/>
      <c r="E272" s="16"/>
      <c r="F272" s="16"/>
      <c r="G272" s="16"/>
      <c r="H272" s="16"/>
      <c r="I272" s="16"/>
      <c r="J272" s="8" t="str">
        <f aca="false">IF(AND(H272="Y",E272="Business checking (debit/ACH/check)"),"Counts toward 1099-NEC",IF(H272="Y","Paid by card/PayPal - 1099-K side",""))</f>
        <v/>
      </c>
      <c r="K272" s="16"/>
    </row>
    <row r="273" customFormat="false" ht="15" hidden="false" customHeight="false" outlineLevel="0" collapsed="false">
      <c r="A273" s="25"/>
      <c r="B273" s="16"/>
      <c r="C273" s="16"/>
      <c r="D273" s="26"/>
      <c r="E273" s="16"/>
      <c r="F273" s="16"/>
      <c r="G273" s="16"/>
      <c r="H273" s="16"/>
      <c r="I273" s="16"/>
      <c r="J273" s="8" t="str">
        <f aca="false">IF(AND(H273="Y",E273="Business checking (debit/ACH/check)"),"Counts toward 1099-NEC",IF(H273="Y","Paid by card/PayPal - 1099-K side",""))</f>
        <v/>
      </c>
      <c r="K273" s="16"/>
    </row>
    <row r="274" customFormat="false" ht="15" hidden="false" customHeight="false" outlineLevel="0" collapsed="false">
      <c r="A274" s="25"/>
      <c r="B274" s="16"/>
      <c r="C274" s="16"/>
      <c r="D274" s="26"/>
      <c r="E274" s="16"/>
      <c r="F274" s="16"/>
      <c r="G274" s="16"/>
      <c r="H274" s="16"/>
      <c r="I274" s="16"/>
      <c r="J274" s="8" t="str">
        <f aca="false">IF(AND(H274="Y",E274="Business checking (debit/ACH/check)"),"Counts toward 1099-NEC",IF(H274="Y","Paid by card/PayPal - 1099-K side",""))</f>
        <v/>
      </c>
      <c r="K274" s="16"/>
    </row>
    <row r="275" customFormat="false" ht="15" hidden="false" customHeight="false" outlineLevel="0" collapsed="false">
      <c r="A275" s="25"/>
      <c r="B275" s="16"/>
      <c r="C275" s="16"/>
      <c r="D275" s="26"/>
      <c r="E275" s="16"/>
      <c r="F275" s="16"/>
      <c r="G275" s="16"/>
      <c r="H275" s="16"/>
      <c r="I275" s="16"/>
      <c r="J275" s="8" t="str">
        <f aca="false">IF(AND(H275="Y",E275="Business checking (debit/ACH/check)"),"Counts toward 1099-NEC",IF(H275="Y","Paid by card/PayPal - 1099-K side",""))</f>
        <v/>
      </c>
      <c r="K275" s="16"/>
    </row>
    <row r="276" customFormat="false" ht="15" hidden="false" customHeight="false" outlineLevel="0" collapsed="false">
      <c r="A276" s="25"/>
      <c r="B276" s="16"/>
      <c r="C276" s="16"/>
      <c r="D276" s="26"/>
      <c r="E276" s="16"/>
      <c r="F276" s="16"/>
      <c r="G276" s="16"/>
      <c r="H276" s="16"/>
      <c r="I276" s="16"/>
      <c r="J276" s="8" t="str">
        <f aca="false">IF(AND(H276="Y",E276="Business checking (debit/ACH/check)"),"Counts toward 1099-NEC",IF(H276="Y","Paid by card/PayPal - 1099-K side",""))</f>
        <v/>
      </c>
      <c r="K276" s="16"/>
    </row>
    <row r="277" customFormat="false" ht="15" hidden="false" customHeight="false" outlineLevel="0" collapsed="false">
      <c r="A277" s="25"/>
      <c r="B277" s="16"/>
      <c r="C277" s="16"/>
      <c r="D277" s="26"/>
      <c r="E277" s="16"/>
      <c r="F277" s="16"/>
      <c r="G277" s="16"/>
      <c r="H277" s="16"/>
      <c r="I277" s="16"/>
      <c r="J277" s="8" t="str">
        <f aca="false">IF(AND(H277="Y",E277="Business checking (debit/ACH/check)"),"Counts toward 1099-NEC",IF(H277="Y","Paid by card/PayPal - 1099-K side",""))</f>
        <v/>
      </c>
      <c r="K277" s="16"/>
    </row>
    <row r="278" customFormat="false" ht="15" hidden="false" customHeight="false" outlineLevel="0" collapsed="false">
      <c r="A278" s="25"/>
      <c r="B278" s="16"/>
      <c r="C278" s="16"/>
      <c r="D278" s="26"/>
      <c r="E278" s="16"/>
      <c r="F278" s="16"/>
      <c r="G278" s="16"/>
      <c r="H278" s="16"/>
      <c r="I278" s="16"/>
      <c r="J278" s="8" t="str">
        <f aca="false">IF(AND(H278="Y",E278="Business checking (debit/ACH/check)"),"Counts toward 1099-NEC",IF(H278="Y","Paid by card/PayPal - 1099-K side",""))</f>
        <v/>
      </c>
      <c r="K278" s="16"/>
    </row>
    <row r="279" customFormat="false" ht="15" hidden="false" customHeight="false" outlineLevel="0" collapsed="false">
      <c r="A279" s="25"/>
      <c r="B279" s="16"/>
      <c r="C279" s="16"/>
      <c r="D279" s="26"/>
      <c r="E279" s="16"/>
      <c r="F279" s="16"/>
      <c r="G279" s="16"/>
      <c r="H279" s="16"/>
      <c r="I279" s="16"/>
      <c r="J279" s="8" t="str">
        <f aca="false">IF(AND(H279="Y",E279="Business checking (debit/ACH/check)"),"Counts toward 1099-NEC",IF(H279="Y","Paid by card/PayPal - 1099-K side",""))</f>
        <v/>
      </c>
      <c r="K279" s="16"/>
    </row>
    <row r="280" customFormat="false" ht="15" hidden="false" customHeight="false" outlineLevel="0" collapsed="false">
      <c r="A280" s="25"/>
      <c r="B280" s="16"/>
      <c r="C280" s="16"/>
      <c r="D280" s="26"/>
      <c r="E280" s="16"/>
      <c r="F280" s="16"/>
      <c r="G280" s="16"/>
      <c r="H280" s="16"/>
      <c r="I280" s="16"/>
      <c r="J280" s="8" t="str">
        <f aca="false">IF(AND(H280="Y",E280="Business checking (debit/ACH/check)"),"Counts toward 1099-NEC",IF(H280="Y","Paid by card/PayPal - 1099-K side",""))</f>
        <v/>
      </c>
      <c r="K280" s="16"/>
    </row>
    <row r="281" customFormat="false" ht="15" hidden="false" customHeight="false" outlineLevel="0" collapsed="false">
      <c r="A281" s="25"/>
      <c r="B281" s="16"/>
      <c r="C281" s="16"/>
      <c r="D281" s="26"/>
      <c r="E281" s="16"/>
      <c r="F281" s="16"/>
      <c r="G281" s="16"/>
      <c r="H281" s="16"/>
      <c r="I281" s="16"/>
      <c r="J281" s="8" t="str">
        <f aca="false">IF(AND(H281="Y",E281="Business checking (debit/ACH/check)"),"Counts toward 1099-NEC",IF(H281="Y","Paid by card/PayPal - 1099-K side",""))</f>
        <v/>
      </c>
      <c r="K281" s="16"/>
    </row>
    <row r="282" customFormat="false" ht="15" hidden="false" customHeight="false" outlineLevel="0" collapsed="false">
      <c r="A282" s="25"/>
      <c r="B282" s="16"/>
      <c r="C282" s="16"/>
      <c r="D282" s="26"/>
      <c r="E282" s="16"/>
      <c r="F282" s="16"/>
      <c r="G282" s="16"/>
      <c r="H282" s="16"/>
      <c r="I282" s="16"/>
      <c r="J282" s="8" t="str">
        <f aca="false">IF(AND(H282="Y",E282="Business checking (debit/ACH/check)"),"Counts toward 1099-NEC",IF(H282="Y","Paid by card/PayPal - 1099-K side",""))</f>
        <v/>
      </c>
      <c r="K282" s="16"/>
    </row>
    <row r="283" customFormat="false" ht="15" hidden="false" customHeight="false" outlineLevel="0" collapsed="false">
      <c r="A283" s="25"/>
      <c r="B283" s="16"/>
      <c r="C283" s="16"/>
      <c r="D283" s="26"/>
      <c r="E283" s="16"/>
      <c r="F283" s="16"/>
      <c r="G283" s="16"/>
      <c r="H283" s="16"/>
      <c r="I283" s="16"/>
      <c r="J283" s="8" t="str">
        <f aca="false">IF(AND(H283="Y",E283="Business checking (debit/ACH/check)"),"Counts toward 1099-NEC",IF(H283="Y","Paid by card/PayPal - 1099-K side",""))</f>
        <v/>
      </c>
      <c r="K283" s="16"/>
    </row>
    <row r="284" customFormat="false" ht="15" hidden="false" customHeight="false" outlineLevel="0" collapsed="false">
      <c r="A284" s="25"/>
      <c r="B284" s="16"/>
      <c r="C284" s="16"/>
      <c r="D284" s="26"/>
      <c r="E284" s="16"/>
      <c r="F284" s="16"/>
      <c r="G284" s="16"/>
      <c r="H284" s="16"/>
      <c r="I284" s="16"/>
      <c r="J284" s="8" t="str">
        <f aca="false">IF(AND(H284="Y",E284="Business checking (debit/ACH/check)"),"Counts toward 1099-NEC",IF(H284="Y","Paid by card/PayPal - 1099-K side",""))</f>
        <v/>
      </c>
      <c r="K284" s="16"/>
    </row>
    <row r="285" customFormat="false" ht="15" hidden="false" customHeight="false" outlineLevel="0" collapsed="false">
      <c r="A285" s="25"/>
      <c r="B285" s="16"/>
      <c r="C285" s="16"/>
      <c r="D285" s="26"/>
      <c r="E285" s="16"/>
      <c r="F285" s="16"/>
      <c r="G285" s="16"/>
      <c r="H285" s="16"/>
      <c r="I285" s="16"/>
      <c r="J285" s="8" t="str">
        <f aca="false">IF(AND(H285="Y",E285="Business checking (debit/ACH/check)"),"Counts toward 1099-NEC",IF(H285="Y","Paid by card/PayPal - 1099-K side",""))</f>
        <v/>
      </c>
      <c r="K285" s="16"/>
    </row>
    <row r="286" customFormat="false" ht="15" hidden="false" customHeight="false" outlineLevel="0" collapsed="false">
      <c r="A286" s="25"/>
      <c r="B286" s="16"/>
      <c r="C286" s="16"/>
      <c r="D286" s="26"/>
      <c r="E286" s="16"/>
      <c r="F286" s="16"/>
      <c r="G286" s="16"/>
      <c r="H286" s="16"/>
      <c r="I286" s="16"/>
      <c r="J286" s="8" t="str">
        <f aca="false">IF(AND(H286="Y",E286="Business checking (debit/ACH/check)"),"Counts toward 1099-NEC",IF(H286="Y","Paid by card/PayPal - 1099-K side",""))</f>
        <v/>
      </c>
      <c r="K286" s="16"/>
    </row>
    <row r="287" customFormat="false" ht="15" hidden="false" customHeight="false" outlineLevel="0" collapsed="false">
      <c r="A287" s="25"/>
      <c r="B287" s="16"/>
      <c r="C287" s="16"/>
      <c r="D287" s="26"/>
      <c r="E287" s="16"/>
      <c r="F287" s="16"/>
      <c r="G287" s="16"/>
      <c r="H287" s="16"/>
      <c r="I287" s="16"/>
      <c r="J287" s="8" t="str">
        <f aca="false">IF(AND(H287="Y",E287="Business checking (debit/ACH/check)"),"Counts toward 1099-NEC",IF(H287="Y","Paid by card/PayPal - 1099-K side",""))</f>
        <v/>
      </c>
      <c r="K287" s="16"/>
    </row>
    <row r="288" customFormat="false" ht="15" hidden="false" customHeight="false" outlineLevel="0" collapsed="false">
      <c r="A288" s="25"/>
      <c r="B288" s="16"/>
      <c r="C288" s="16"/>
      <c r="D288" s="26"/>
      <c r="E288" s="16"/>
      <c r="F288" s="16"/>
      <c r="G288" s="16"/>
      <c r="H288" s="16"/>
      <c r="I288" s="16"/>
      <c r="J288" s="8" t="str">
        <f aca="false">IF(AND(H288="Y",E288="Business checking (debit/ACH/check)"),"Counts toward 1099-NEC",IF(H288="Y","Paid by card/PayPal - 1099-K side",""))</f>
        <v/>
      </c>
      <c r="K288" s="16"/>
    </row>
    <row r="289" customFormat="false" ht="15" hidden="false" customHeight="false" outlineLevel="0" collapsed="false">
      <c r="A289" s="25"/>
      <c r="B289" s="16"/>
      <c r="C289" s="16"/>
      <c r="D289" s="26"/>
      <c r="E289" s="16"/>
      <c r="F289" s="16"/>
      <c r="G289" s="16"/>
      <c r="H289" s="16"/>
      <c r="I289" s="16"/>
      <c r="J289" s="8" t="str">
        <f aca="false">IF(AND(H289="Y",E289="Business checking (debit/ACH/check)"),"Counts toward 1099-NEC",IF(H289="Y","Paid by card/PayPal - 1099-K side",""))</f>
        <v/>
      </c>
      <c r="K289" s="16"/>
    </row>
    <row r="290" customFormat="false" ht="15" hidden="false" customHeight="false" outlineLevel="0" collapsed="false">
      <c r="A290" s="25"/>
      <c r="B290" s="16"/>
      <c r="C290" s="16"/>
      <c r="D290" s="26"/>
      <c r="E290" s="16"/>
      <c r="F290" s="16"/>
      <c r="G290" s="16"/>
      <c r="H290" s="16"/>
      <c r="I290" s="16"/>
      <c r="J290" s="8" t="str">
        <f aca="false">IF(AND(H290="Y",E290="Business checking (debit/ACH/check)"),"Counts toward 1099-NEC",IF(H290="Y","Paid by card/PayPal - 1099-K side",""))</f>
        <v/>
      </c>
      <c r="K290" s="16"/>
    </row>
    <row r="291" customFormat="false" ht="15" hidden="false" customHeight="false" outlineLevel="0" collapsed="false">
      <c r="A291" s="25"/>
      <c r="B291" s="16"/>
      <c r="C291" s="16"/>
      <c r="D291" s="26"/>
      <c r="E291" s="16"/>
      <c r="F291" s="16"/>
      <c r="G291" s="16"/>
      <c r="H291" s="16"/>
      <c r="I291" s="16"/>
      <c r="J291" s="8" t="str">
        <f aca="false">IF(AND(H291="Y",E291="Business checking (debit/ACH/check)"),"Counts toward 1099-NEC",IF(H291="Y","Paid by card/PayPal - 1099-K side",""))</f>
        <v/>
      </c>
      <c r="K291" s="16"/>
    </row>
    <row r="292" customFormat="false" ht="15" hidden="false" customHeight="false" outlineLevel="0" collapsed="false">
      <c r="A292" s="25"/>
      <c r="B292" s="16"/>
      <c r="C292" s="16"/>
      <c r="D292" s="26"/>
      <c r="E292" s="16"/>
      <c r="F292" s="16"/>
      <c r="G292" s="16"/>
      <c r="H292" s="16"/>
      <c r="I292" s="16"/>
      <c r="J292" s="8" t="str">
        <f aca="false">IF(AND(H292="Y",E292="Business checking (debit/ACH/check)"),"Counts toward 1099-NEC",IF(H292="Y","Paid by card/PayPal - 1099-K side",""))</f>
        <v/>
      </c>
      <c r="K292" s="16"/>
    </row>
    <row r="293" customFormat="false" ht="15" hidden="false" customHeight="false" outlineLevel="0" collapsed="false">
      <c r="A293" s="25"/>
      <c r="B293" s="16"/>
      <c r="C293" s="16"/>
      <c r="D293" s="26"/>
      <c r="E293" s="16"/>
      <c r="F293" s="16"/>
      <c r="G293" s="16"/>
      <c r="H293" s="16"/>
      <c r="I293" s="16"/>
      <c r="J293" s="8" t="str">
        <f aca="false">IF(AND(H293="Y",E293="Business checking (debit/ACH/check)"),"Counts toward 1099-NEC",IF(H293="Y","Paid by card/PayPal - 1099-K side",""))</f>
        <v/>
      </c>
      <c r="K293" s="16"/>
    </row>
    <row r="294" customFormat="false" ht="15" hidden="false" customHeight="false" outlineLevel="0" collapsed="false">
      <c r="A294" s="25"/>
      <c r="B294" s="16"/>
      <c r="C294" s="16"/>
      <c r="D294" s="26"/>
      <c r="E294" s="16"/>
      <c r="F294" s="16"/>
      <c r="G294" s="16"/>
      <c r="H294" s="16"/>
      <c r="I294" s="16"/>
      <c r="J294" s="8" t="str">
        <f aca="false">IF(AND(H294="Y",E294="Business checking (debit/ACH/check)"),"Counts toward 1099-NEC",IF(H294="Y","Paid by card/PayPal - 1099-K side",""))</f>
        <v/>
      </c>
      <c r="K294" s="16"/>
    </row>
    <row r="295" customFormat="false" ht="15" hidden="false" customHeight="false" outlineLevel="0" collapsed="false">
      <c r="A295" s="25"/>
      <c r="B295" s="16"/>
      <c r="C295" s="16"/>
      <c r="D295" s="26"/>
      <c r="E295" s="16"/>
      <c r="F295" s="16"/>
      <c r="G295" s="16"/>
      <c r="H295" s="16"/>
      <c r="I295" s="16"/>
      <c r="J295" s="8" t="str">
        <f aca="false">IF(AND(H295="Y",E295="Business checking (debit/ACH/check)"),"Counts toward 1099-NEC",IF(H295="Y","Paid by card/PayPal - 1099-K side",""))</f>
        <v/>
      </c>
      <c r="K295" s="16"/>
    </row>
    <row r="296" customFormat="false" ht="15" hidden="false" customHeight="false" outlineLevel="0" collapsed="false">
      <c r="A296" s="25"/>
      <c r="B296" s="16"/>
      <c r="C296" s="16"/>
      <c r="D296" s="26"/>
      <c r="E296" s="16"/>
      <c r="F296" s="16"/>
      <c r="G296" s="16"/>
      <c r="H296" s="16"/>
      <c r="I296" s="16"/>
      <c r="J296" s="8" t="str">
        <f aca="false">IF(AND(H296="Y",E296="Business checking (debit/ACH/check)"),"Counts toward 1099-NEC",IF(H296="Y","Paid by card/PayPal - 1099-K side",""))</f>
        <v/>
      </c>
      <c r="K296" s="16"/>
    </row>
    <row r="297" customFormat="false" ht="15" hidden="false" customHeight="false" outlineLevel="0" collapsed="false">
      <c r="A297" s="25"/>
      <c r="B297" s="16"/>
      <c r="C297" s="16"/>
      <c r="D297" s="26"/>
      <c r="E297" s="16"/>
      <c r="F297" s="16"/>
      <c r="G297" s="16"/>
      <c r="H297" s="16"/>
      <c r="I297" s="16"/>
      <c r="J297" s="8" t="str">
        <f aca="false">IF(AND(H297="Y",E297="Business checking (debit/ACH/check)"),"Counts toward 1099-NEC",IF(H297="Y","Paid by card/PayPal - 1099-K side",""))</f>
        <v/>
      </c>
      <c r="K297" s="16"/>
    </row>
    <row r="298" customFormat="false" ht="15" hidden="false" customHeight="false" outlineLevel="0" collapsed="false">
      <c r="A298" s="25"/>
      <c r="B298" s="16"/>
      <c r="C298" s="16"/>
      <c r="D298" s="26"/>
      <c r="E298" s="16"/>
      <c r="F298" s="16"/>
      <c r="G298" s="16"/>
      <c r="H298" s="16"/>
      <c r="I298" s="16"/>
      <c r="J298" s="8" t="str">
        <f aca="false">IF(AND(H298="Y",E298="Business checking (debit/ACH/check)"),"Counts toward 1099-NEC",IF(H298="Y","Paid by card/PayPal - 1099-K side",""))</f>
        <v/>
      </c>
      <c r="K298" s="16"/>
    </row>
    <row r="299" customFormat="false" ht="15" hidden="false" customHeight="false" outlineLevel="0" collapsed="false">
      <c r="A299" s="25"/>
      <c r="B299" s="16"/>
      <c r="C299" s="16"/>
      <c r="D299" s="26"/>
      <c r="E299" s="16"/>
      <c r="F299" s="16"/>
      <c r="G299" s="16"/>
      <c r="H299" s="16"/>
      <c r="I299" s="16"/>
      <c r="J299" s="8" t="str">
        <f aca="false">IF(AND(H299="Y",E299="Business checking (debit/ACH/check)"),"Counts toward 1099-NEC",IF(H299="Y","Paid by card/PayPal - 1099-K side",""))</f>
        <v/>
      </c>
      <c r="K299" s="16"/>
    </row>
    <row r="300" customFormat="false" ht="15" hidden="false" customHeight="false" outlineLevel="0" collapsed="false">
      <c r="A300" s="25"/>
      <c r="B300" s="16"/>
      <c r="C300" s="16"/>
      <c r="D300" s="26"/>
      <c r="E300" s="16"/>
      <c r="F300" s="16"/>
      <c r="G300" s="16"/>
      <c r="H300" s="16"/>
      <c r="I300" s="16"/>
      <c r="J300" s="8" t="str">
        <f aca="false">IF(AND(H300="Y",E300="Business checking (debit/ACH/check)"),"Counts toward 1099-NEC",IF(H300="Y","Paid by card/PayPal - 1099-K side",""))</f>
        <v/>
      </c>
      <c r="K300" s="16"/>
    </row>
    <row r="301" customFormat="false" ht="15" hidden="false" customHeight="false" outlineLevel="0" collapsed="false">
      <c r="A301" s="25"/>
      <c r="B301" s="16"/>
      <c r="C301" s="16"/>
      <c r="D301" s="26"/>
      <c r="E301" s="16"/>
      <c r="F301" s="16"/>
      <c r="G301" s="16"/>
      <c r="H301" s="16"/>
      <c r="I301" s="16"/>
      <c r="J301" s="8" t="str">
        <f aca="false">IF(AND(H301="Y",E301="Business checking (debit/ACH/check)"),"Counts toward 1099-NEC",IF(H301="Y","Paid by card/PayPal - 1099-K side",""))</f>
        <v/>
      </c>
      <c r="K301" s="16"/>
    </row>
    <row r="302" customFormat="false" ht="15" hidden="false" customHeight="false" outlineLevel="0" collapsed="false">
      <c r="A302" s="25"/>
      <c r="B302" s="16"/>
      <c r="C302" s="16"/>
      <c r="D302" s="26"/>
      <c r="E302" s="16"/>
      <c r="F302" s="16"/>
      <c r="G302" s="16"/>
      <c r="H302" s="16"/>
      <c r="I302" s="16"/>
      <c r="J302" s="8" t="str">
        <f aca="false">IF(AND(H302="Y",E302="Business checking (debit/ACH/check)"),"Counts toward 1099-NEC",IF(H302="Y","Paid by card/PayPal - 1099-K side",""))</f>
        <v/>
      </c>
      <c r="K302" s="16"/>
    </row>
    <row r="303" customFormat="false" ht="15" hidden="false" customHeight="false" outlineLevel="0" collapsed="false">
      <c r="A303" s="25"/>
      <c r="B303" s="16"/>
      <c r="C303" s="16"/>
      <c r="D303" s="26"/>
      <c r="E303" s="16"/>
      <c r="F303" s="16"/>
      <c r="G303" s="16"/>
      <c r="H303" s="16"/>
      <c r="I303" s="16"/>
      <c r="J303" s="8" t="str">
        <f aca="false">IF(AND(H303="Y",E303="Business checking (debit/ACH/check)"),"Counts toward 1099-NEC",IF(H303="Y","Paid by card/PayPal - 1099-K side",""))</f>
        <v/>
      </c>
      <c r="K303" s="16"/>
    </row>
    <row r="304" customFormat="false" ht="15" hidden="false" customHeight="false" outlineLevel="0" collapsed="false">
      <c r="A304" s="25"/>
      <c r="B304" s="16"/>
      <c r="C304" s="16"/>
      <c r="D304" s="26"/>
      <c r="E304" s="16"/>
      <c r="F304" s="16"/>
      <c r="G304" s="16"/>
      <c r="H304" s="16"/>
      <c r="I304" s="16"/>
      <c r="J304" s="8" t="str">
        <f aca="false">IF(AND(H304="Y",E304="Business checking (debit/ACH/check)"),"Counts toward 1099-NEC",IF(H304="Y","Paid by card/PayPal - 1099-K side",""))</f>
        <v/>
      </c>
      <c r="K304" s="16"/>
    </row>
    <row r="305" customFormat="false" ht="15" hidden="false" customHeight="false" outlineLevel="0" collapsed="false">
      <c r="A305" s="25"/>
      <c r="B305" s="16"/>
      <c r="C305" s="16"/>
      <c r="D305" s="26"/>
      <c r="E305" s="16"/>
      <c r="F305" s="16"/>
      <c r="G305" s="16"/>
      <c r="H305" s="16"/>
      <c r="I305" s="16"/>
      <c r="J305" s="8" t="str">
        <f aca="false">IF(AND(H305="Y",E305="Business checking (debit/ACH/check)"),"Counts toward 1099-NEC",IF(H305="Y","Paid by card/PayPal - 1099-K side",""))</f>
        <v/>
      </c>
      <c r="K305" s="16"/>
    </row>
    <row r="306" customFormat="false" ht="15" hidden="false" customHeight="false" outlineLevel="0" collapsed="false">
      <c r="A306" s="25"/>
      <c r="B306" s="16"/>
      <c r="C306" s="16"/>
      <c r="D306" s="26"/>
      <c r="E306" s="16"/>
      <c r="F306" s="16"/>
      <c r="G306" s="16"/>
      <c r="H306" s="16"/>
      <c r="I306" s="16"/>
      <c r="J306" s="8" t="str">
        <f aca="false">IF(AND(H306="Y",E306="Business checking (debit/ACH/check)"),"Counts toward 1099-NEC",IF(H306="Y","Paid by card/PayPal - 1099-K side",""))</f>
        <v/>
      </c>
      <c r="K306" s="16"/>
    </row>
    <row r="307" customFormat="false" ht="15" hidden="false" customHeight="false" outlineLevel="0" collapsed="false">
      <c r="A307" s="25"/>
      <c r="B307" s="16"/>
      <c r="C307" s="16"/>
      <c r="D307" s="26"/>
      <c r="E307" s="16"/>
      <c r="F307" s="16"/>
      <c r="G307" s="16"/>
      <c r="H307" s="16"/>
      <c r="I307" s="16"/>
      <c r="J307" s="8" t="str">
        <f aca="false">IF(AND(H307="Y",E307="Business checking (debit/ACH/check)"),"Counts toward 1099-NEC",IF(H307="Y","Paid by card/PayPal - 1099-K side",""))</f>
        <v/>
      </c>
      <c r="K307" s="16"/>
    </row>
    <row r="308" customFormat="false" ht="15" hidden="false" customHeight="false" outlineLevel="0" collapsed="false">
      <c r="A308" s="25"/>
      <c r="B308" s="16"/>
      <c r="C308" s="16"/>
      <c r="D308" s="26"/>
      <c r="E308" s="16"/>
      <c r="F308" s="16"/>
      <c r="G308" s="16"/>
      <c r="H308" s="16"/>
      <c r="I308" s="16"/>
      <c r="J308" s="8" t="str">
        <f aca="false">IF(AND(H308="Y",E308="Business checking (debit/ACH/check)"),"Counts toward 1099-NEC",IF(H308="Y","Paid by card/PayPal - 1099-K side",""))</f>
        <v/>
      </c>
      <c r="K308" s="16"/>
    </row>
    <row r="309" customFormat="false" ht="15" hidden="false" customHeight="false" outlineLevel="0" collapsed="false">
      <c r="A309" s="25"/>
      <c r="B309" s="16"/>
      <c r="C309" s="16"/>
      <c r="D309" s="26"/>
      <c r="E309" s="16"/>
      <c r="F309" s="16"/>
      <c r="G309" s="16"/>
      <c r="H309" s="16"/>
      <c r="I309" s="16"/>
      <c r="J309" s="8" t="str">
        <f aca="false">IF(AND(H309="Y",E309="Business checking (debit/ACH/check)"),"Counts toward 1099-NEC",IF(H309="Y","Paid by card/PayPal - 1099-K side",""))</f>
        <v/>
      </c>
      <c r="K309" s="16"/>
    </row>
    <row r="310" customFormat="false" ht="15" hidden="false" customHeight="false" outlineLevel="0" collapsed="false">
      <c r="A310" s="25"/>
      <c r="B310" s="16"/>
      <c r="C310" s="16"/>
      <c r="D310" s="26"/>
      <c r="E310" s="16"/>
      <c r="F310" s="16"/>
      <c r="G310" s="16"/>
      <c r="H310" s="16"/>
      <c r="I310" s="16"/>
      <c r="J310" s="8" t="str">
        <f aca="false">IF(AND(H310="Y",E310="Business checking (debit/ACH/check)"),"Counts toward 1099-NEC",IF(H310="Y","Paid by card/PayPal - 1099-K side",""))</f>
        <v/>
      </c>
      <c r="K310" s="16"/>
    </row>
    <row r="311" customFormat="false" ht="15" hidden="false" customHeight="false" outlineLevel="0" collapsed="false">
      <c r="A311" s="25"/>
      <c r="B311" s="16"/>
      <c r="C311" s="16"/>
      <c r="D311" s="26"/>
      <c r="E311" s="16"/>
      <c r="F311" s="16"/>
      <c r="G311" s="16"/>
      <c r="H311" s="16"/>
      <c r="I311" s="16"/>
      <c r="J311" s="8" t="str">
        <f aca="false">IF(AND(H311="Y",E311="Business checking (debit/ACH/check)"),"Counts toward 1099-NEC",IF(H311="Y","Paid by card/PayPal - 1099-K side",""))</f>
        <v/>
      </c>
      <c r="K311" s="16"/>
    </row>
    <row r="312" customFormat="false" ht="15" hidden="false" customHeight="false" outlineLevel="0" collapsed="false">
      <c r="A312" s="25"/>
      <c r="B312" s="16"/>
      <c r="C312" s="16"/>
      <c r="D312" s="26"/>
      <c r="E312" s="16"/>
      <c r="F312" s="16"/>
      <c r="G312" s="16"/>
      <c r="H312" s="16"/>
      <c r="I312" s="16"/>
      <c r="J312" s="8" t="str">
        <f aca="false">IF(AND(H312="Y",E312="Business checking (debit/ACH/check)"),"Counts toward 1099-NEC",IF(H312="Y","Paid by card/PayPal - 1099-K side",""))</f>
        <v/>
      </c>
      <c r="K312" s="16"/>
    </row>
    <row r="313" customFormat="false" ht="15" hidden="false" customHeight="false" outlineLevel="0" collapsed="false">
      <c r="A313" s="25"/>
      <c r="B313" s="16"/>
      <c r="C313" s="16"/>
      <c r="D313" s="26"/>
      <c r="E313" s="16"/>
      <c r="F313" s="16"/>
      <c r="G313" s="16"/>
      <c r="H313" s="16"/>
      <c r="I313" s="16"/>
      <c r="J313" s="8" t="str">
        <f aca="false">IF(AND(H313="Y",E313="Business checking (debit/ACH/check)"),"Counts toward 1099-NEC",IF(H313="Y","Paid by card/PayPal - 1099-K side",""))</f>
        <v/>
      </c>
      <c r="K313" s="16"/>
    </row>
    <row r="314" customFormat="false" ht="15" hidden="false" customHeight="false" outlineLevel="0" collapsed="false">
      <c r="A314" s="25"/>
      <c r="B314" s="16"/>
      <c r="C314" s="16"/>
      <c r="D314" s="26"/>
      <c r="E314" s="16"/>
      <c r="F314" s="16"/>
      <c r="G314" s="16"/>
      <c r="H314" s="16"/>
      <c r="I314" s="16"/>
      <c r="J314" s="8" t="str">
        <f aca="false">IF(AND(H314="Y",E314="Business checking (debit/ACH/check)"),"Counts toward 1099-NEC",IF(H314="Y","Paid by card/PayPal - 1099-K side",""))</f>
        <v/>
      </c>
      <c r="K314" s="16"/>
    </row>
    <row r="315" customFormat="false" ht="15" hidden="false" customHeight="false" outlineLevel="0" collapsed="false">
      <c r="A315" s="25"/>
      <c r="B315" s="16"/>
      <c r="C315" s="16"/>
      <c r="D315" s="26"/>
      <c r="E315" s="16"/>
      <c r="F315" s="16"/>
      <c r="G315" s="16"/>
      <c r="H315" s="16"/>
      <c r="I315" s="16"/>
      <c r="J315" s="8" t="str">
        <f aca="false">IF(AND(H315="Y",E315="Business checking (debit/ACH/check)"),"Counts toward 1099-NEC",IF(H315="Y","Paid by card/PayPal - 1099-K side",""))</f>
        <v/>
      </c>
      <c r="K315" s="16"/>
    </row>
    <row r="316" customFormat="false" ht="15" hidden="false" customHeight="false" outlineLevel="0" collapsed="false">
      <c r="A316" s="25"/>
      <c r="B316" s="16"/>
      <c r="C316" s="16"/>
      <c r="D316" s="26"/>
      <c r="E316" s="16"/>
      <c r="F316" s="16"/>
      <c r="G316" s="16"/>
      <c r="H316" s="16"/>
      <c r="I316" s="16"/>
      <c r="J316" s="8" t="str">
        <f aca="false">IF(AND(H316="Y",E316="Business checking (debit/ACH/check)"),"Counts toward 1099-NEC",IF(H316="Y","Paid by card/PayPal - 1099-K side",""))</f>
        <v/>
      </c>
      <c r="K316" s="16"/>
    </row>
    <row r="317" customFormat="false" ht="15" hidden="false" customHeight="false" outlineLevel="0" collapsed="false">
      <c r="A317" s="25"/>
      <c r="B317" s="16"/>
      <c r="C317" s="16"/>
      <c r="D317" s="26"/>
      <c r="E317" s="16"/>
      <c r="F317" s="16"/>
      <c r="G317" s="16"/>
      <c r="H317" s="16"/>
      <c r="I317" s="16"/>
      <c r="J317" s="8" t="str">
        <f aca="false">IF(AND(H317="Y",E317="Business checking (debit/ACH/check)"),"Counts toward 1099-NEC",IF(H317="Y","Paid by card/PayPal - 1099-K side",""))</f>
        <v/>
      </c>
      <c r="K317" s="16"/>
    </row>
    <row r="318" customFormat="false" ht="15" hidden="false" customHeight="false" outlineLevel="0" collapsed="false">
      <c r="A318" s="25"/>
      <c r="B318" s="16"/>
      <c r="C318" s="16"/>
      <c r="D318" s="26"/>
      <c r="E318" s="16"/>
      <c r="F318" s="16"/>
      <c r="G318" s="16"/>
      <c r="H318" s="16"/>
      <c r="I318" s="16"/>
      <c r="J318" s="8" t="str">
        <f aca="false">IF(AND(H318="Y",E318="Business checking (debit/ACH/check)"),"Counts toward 1099-NEC",IF(H318="Y","Paid by card/PayPal - 1099-K side",""))</f>
        <v/>
      </c>
      <c r="K318" s="16"/>
    </row>
    <row r="319" customFormat="false" ht="15" hidden="false" customHeight="false" outlineLevel="0" collapsed="false">
      <c r="A319" s="25"/>
      <c r="B319" s="16"/>
      <c r="C319" s="16"/>
      <c r="D319" s="26"/>
      <c r="E319" s="16"/>
      <c r="F319" s="16"/>
      <c r="G319" s="16"/>
      <c r="H319" s="16"/>
      <c r="I319" s="16"/>
      <c r="J319" s="8" t="str">
        <f aca="false">IF(AND(H319="Y",E319="Business checking (debit/ACH/check)"),"Counts toward 1099-NEC",IF(H319="Y","Paid by card/PayPal - 1099-K side",""))</f>
        <v/>
      </c>
      <c r="K319" s="16"/>
    </row>
    <row r="320" customFormat="false" ht="15" hidden="false" customHeight="false" outlineLevel="0" collapsed="false">
      <c r="A320" s="25"/>
      <c r="B320" s="16"/>
      <c r="C320" s="16"/>
      <c r="D320" s="26"/>
      <c r="E320" s="16"/>
      <c r="F320" s="16"/>
      <c r="G320" s="16"/>
      <c r="H320" s="16"/>
      <c r="I320" s="16"/>
      <c r="J320" s="8" t="str">
        <f aca="false">IF(AND(H320="Y",E320="Business checking (debit/ACH/check)"),"Counts toward 1099-NEC",IF(H320="Y","Paid by card/PayPal - 1099-K side",""))</f>
        <v/>
      </c>
      <c r="K320" s="16"/>
    </row>
    <row r="321" customFormat="false" ht="15" hidden="false" customHeight="false" outlineLevel="0" collapsed="false">
      <c r="A321" s="25"/>
      <c r="B321" s="16"/>
      <c r="C321" s="16"/>
      <c r="D321" s="26"/>
      <c r="E321" s="16"/>
      <c r="F321" s="16"/>
      <c r="G321" s="16"/>
      <c r="H321" s="16"/>
      <c r="I321" s="16"/>
      <c r="J321" s="8" t="str">
        <f aca="false">IF(AND(H321="Y",E321="Business checking (debit/ACH/check)"),"Counts toward 1099-NEC",IF(H321="Y","Paid by card/PayPal - 1099-K side",""))</f>
        <v/>
      </c>
      <c r="K321" s="16"/>
    </row>
    <row r="322" customFormat="false" ht="15" hidden="false" customHeight="false" outlineLevel="0" collapsed="false">
      <c r="A322" s="25"/>
      <c r="B322" s="16"/>
      <c r="C322" s="16"/>
      <c r="D322" s="26"/>
      <c r="E322" s="16"/>
      <c r="F322" s="16"/>
      <c r="G322" s="16"/>
      <c r="H322" s="16"/>
      <c r="I322" s="16"/>
      <c r="J322" s="8" t="str">
        <f aca="false">IF(AND(H322="Y",E322="Business checking (debit/ACH/check)"),"Counts toward 1099-NEC",IF(H322="Y","Paid by card/PayPal - 1099-K side",""))</f>
        <v/>
      </c>
      <c r="K322" s="16"/>
    </row>
    <row r="323" customFormat="false" ht="15" hidden="false" customHeight="false" outlineLevel="0" collapsed="false">
      <c r="A323" s="25"/>
      <c r="B323" s="16"/>
      <c r="C323" s="16"/>
      <c r="D323" s="26"/>
      <c r="E323" s="16"/>
      <c r="F323" s="16"/>
      <c r="G323" s="16"/>
      <c r="H323" s="16"/>
      <c r="I323" s="16"/>
      <c r="J323" s="8" t="str">
        <f aca="false">IF(AND(H323="Y",E323="Business checking (debit/ACH/check)"),"Counts toward 1099-NEC",IF(H323="Y","Paid by card/PayPal - 1099-K side",""))</f>
        <v/>
      </c>
      <c r="K323" s="16"/>
    </row>
    <row r="324" customFormat="false" ht="15" hidden="false" customHeight="false" outlineLevel="0" collapsed="false">
      <c r="A324" s="25"/>
      <c r="B324" s="16"/>
      <c r="C324" s="16"/>
      <c r="D324" s="26"/>
      <c r="E324" s="16"/>
      <c r="F324" s="16"/>
      <c r="G324" s="16"/>
      <c r="H324" s="16"/>
      <c r="I324" s="16"/>
      <c r="J324" s="8" t="str">
        <f aca="false">IF(AND(H324="Y",E324="Business checking (debit/ACH/check)"),"Counts toward 1099-NEC",IF(H324="Y","Paid by card/PayPal - 1099-K side",""))</f>
        <v/>
      </c>
      <c r="K324" s="16"/>
    </row>
    <row r="325" customFormat="false" ht="15" hidden="false" customHeight="false" outlineLevel="0" collapsed="false">
      <c r="A325" s="25"/>
      <c r="B325" s="16"/>
      <c r="C325" s="16"/>
      <c r="D325" s="26"/>
      <c r="E325" s="16"/>
      <c r="F325" s="16"/>
      <c r="G325" s="16"/>
      <c r="H325" s="16"/>
      <c r="I325" s="16"/>
      <c r="J325" s="8" t="str">
        <f aca="false">IF(AND(H325="Y",E325="Business checking (debit/ACH/check)"),"Counts toward 1099-NEC",IF(H325="Y","Paid by card/PayPal - 1099-K side",""))</f>
        <v/>
      </c>
      <c r="K325" s="16"/>
    </row>
    <row r="326" customFormat="false" ht="15" hidden="false" customHeight="false" outlineLevel="0" collapsed="false">
      <c r="A326" s="25"/>
      <c r="B326" s="16"/>
      <c r="C326" s="16"/>
      <c r="D326" s="26"/>
      <c r="E326" s="16"/>
      <c r="F326" s="16"/>
      <c r="G326" s="16"/>
      <c r="H326" s="16"/>
      <c r="I326" s="16"/>
      <c r="J326" s="8" t="str">
        <f aca="false">IF(AND(H326="Y",E326="Business checking (debit/ACH/check)"),"Counts toward 1099-NEC",IF(H326="Y","Paid by card/PayPal - 1099-K side",""))</f>
        <v/>
      </c>
      <c r="K326" s="16"/>
    </row>
    <row r="327" customFormat="false" ht="15" hidden="false" customHeight="false" outlineLevel="0" collapsed="false">
      <c r="A327" s="25"/>
      <c r="B327" s="16"/>
      <c r="C327" s="16"/>
      <c r="D327" s="26"/>
      <c r="E327" s="16"/>
      <c r="F327" s="16"/>
      <c r="G327" s="16"/>
      <c r="H327" s="16"/>
      <c r="I327" s="16"/>
      <c r="J327" s="8" t="str">
        <f aca="false">IF(AND(H327="Y",E327="Business checking (debit/ACH/check)"),"Counts toward 1099-NEC",IF(H327="Y","Paid by card/PayPal - 1099-K side",""))</f>
        <v/>
      </c>
      <c r="K327" s="16"/>
    </row>
    <row r="328" customFormat="false" ht="15" hidden="false" customHeight="false" outlineLevel="0" collapsed="false">
      <c r="A328" s="25"/>
      <c r="B328" s="16"/>
      <c r="C328" s="16"/>
      <c r="D328" s="26"/>
      <c r="E328" s="16"/>
      <c r="F328" s="16"/>
      <c r="G328" s="16"/>
      <c r="H328" s="16"/>
      <c r="I328" s="16"/>
      <c r="J328" s="8" t="str">
        <f aca="false">IF(AND(H328="Y",E328="Business checking (debit/ACH/check)"),"Counts toward 1099-NEC",IF(H328="Y","Paid by card/PayPal - 1099-K side",""))</f>
        <v/>
      </c>
      <c r="K328" s="16"/>
    </row>
    <row r="329" customFormat="false" ht="15" hidden="false" customHeight="false" outlineLevel="0" collapsed="false">
      <c r="A329" s="25"/>
      <c r="B329" s="16"/>
      <c r="C329" s="16"/>
      <c r="D329" s="26"/>
      <c r="E329" s="16"/>
      <c r="F329" s="16"/>
      <c r="G329" s="16"/>
      <c r="H329" s="16"/>
      <c r="I329" s="16"/>
      <c r="J329" s="8" t="str">
        <f aca="false">IF(AND(H329="Y",E329="Business checking (debit/ACH/check)"),"Counts toward 1099-NEC",IF(H329="Y","Paid by card/PayPal - 1099-K side",""))</f>
        <v/>
      </c>
      <c r="K329" s="16"/>
    </row>
    <row r="330" customFormat="false" ht="15" hidden="false" customHeight="false" outlineLevel="0" collapsed="false">
      <c r="A330" s="25"/>
      <c r="B330" s="16"/>
      <c r="C330" s="16"/>
      <c r="D330" s="26"/>
      <c r="E330" s="16"/>
      <c r="F330" s="16"/>
      <c r="G330" s="16"/>
      <c r="H330" s="16"/>
      <c r="I330" s="16"/>
      <c r="J330" s="8" t="str">
        <f aca="false">IF(AND(H330="Y",E330="Business checking (debit/ACH/check)"),"Counts toward 1099-NEC",IF(H330="Y","Paid by card/PayPal - 1099-K side",""))</f>
        <v/>
      </c>
      <c r="K330" s="16"/>
    </row>
    <row r="331" customFormat="false" ht="15" hidden="false" customHeight="false" outlineLevel="0" collapsed="false">
      <c r="A331" s="25"/>
      <c r="B331" s="16"/>
      <c r="C331" s="16"/>
      <c r="D331" s="26"/>
      <c r="E331" s="16"/>
      <c r="F331" s="16"/>
      <c r="G331" s="16"/>
      <c r="H331" s="16"/>
      <c r="I331" s="16"/>
      <c r="J331" s="8" t="str">
        <f aca="false">IF(AND(H331="Y",E331="Business checking (debit/ACH/check)"),"Counts toward 1099-NEC",IF(H331="Y","Paid by card/PayPal - 1099-K side",""))</f>
        <v/>
      </c>
      <c r="K331" s="16"/>
    </row>
    <row r="332" customFormat="false" ht="15" hidden="false" customHeight="false" outlineLevel="0" collapsed="false">
      <c r="A332" s="25"/>
      <c r="B332" s="16"/>
      <c r="C332" s="16"/>
      <c r="D332" s="26"/>
      <c r="E332" s="16"/>
      <c r="F332" s="16"/>
      <c r="G332" s="16"/>
      <c r="H332" s="16"/>
      <c r="I332" s="16"/>
      <c r="J332" s="8" t="str">
        <f aca="false">IF(AND(H332="Y",E332="Business checking (debit/ACH/check)"),"Counts toward 1099-NEC",IF(H332="Y","Paid by card/PayPal - 1099-K side",""))</f>
        <v/>
      </c>
      <c r="K332" s="16"/>
    </row>
    <row r="333" customFormat="false" ht="15" hidden="false" customHeight="false" outlineLevel="0" collapsed="false">
      <c r="A333" s="25"/>
      <c r="B333" s="16"/>
      <c r="C333" s="16"/>
      <c r="D333" s="26"/>
      <c r="E333" s="16"/>
      <c r="F333" s="16"/>
      <c r="G333" s="16"/>
      <c r="H333" s="16"/>
      <c r="I333" s="16"/>
      <c r="J333" s="8" t="str">
        <f aca="false">IF(AND(H333="Y",E333="Business checking (debit/ACH/check)"),"Counts toward 1099-NEC",IF(H333="Y","Paid by card/PayPal - 1099-K side",""))</f>
        <v/>
      </c>
      <c r="K333" s="16"/>
    </row>
    <row r="334" customFormat="false" ht="15" hidden="false" customHeight="false" outlineLevel="0" collapsed="false">
      <c r="A334" s="25"/>
      <c r="B334" s="16"/>
      <c r="C334" s="16"/>
      <c r="D334" s="26"/>
      <c r="E334" s="16"/>
      <c r="F334" s="16"/>
      <c r="G334" s="16"/>
      <c r="H334" s="16"/>
      <c r="I334" s="16"/>
      <c r="J334" s="8" t="str">
        <f aca="false">IF(AND(H334="Y",E334="Business checking (debit/ACH/check)"),"Counts toward 1099-NEC",IF(H334="Y","Paid by card/PayPal - 1099-K side",""))</f>
        <v/>
      </c>
      <c r="K334" s="16"/>
    </row>
    <row r="335" customFormat="false" ht="15" hidden="false" customHeight="false" outlineLevel="0" collapsed="false">
      <c r="A335" s="25"/>
      <c r="B335" s="16"/>
      <c r="C335" s="16"/>
      <c r="D335" s="26"/>
      <c r="E335" s="16"/>
      <c r="F335" s="16"/>
      <c r="G335" s="16"/>
      <c r="H335" s="16"/>
      <c r="I335" s="16"/>
      <c r="J335" s="8" t="str">
        <f aca="false">IF(AND(H335="Y",E335="Business checking (debit/ACH/check)"),"Counts toward 1099-NEC",IF(H335="Y","Paid by card/PayPal - 1099-K side",""))</f>
        <v/>
      </c>
      <c r="K335" s="16"/>
    </row>
    <row r="336" customFormat="false" ht="15" hidden="false" customHeight="false" outlineLevel="0" collapsed="false">
      <c r="A336" s="25"/>
      <c r="B336" s="16"/>
      <c r="C336" s="16"/>
      <c r="D336" s="26"/>
      <c r="E336" s="16"/>
      <c r="F336" s="16"/>
      <c r="G336" s="16"/>
      <c r="H336" s="16"/>
      <c r="I336" s="16"/>
      <c r="J336" s="8" t="str">
        <f aca="false">IF(AND(H336="Y",E336="Business checking (debit/ACH/check)"),"Counts toward 1099-NEC",IF(H336="Y","Paid by card/PayPal - 1099-K side",""))</f>
        <v/>
      </c>
      <c r="K336" s="16"/>
    </row>
    <row r="337" customFormat="false" ht="15" hidden="false" customHeight="false" outlineLevel="0" collapsed="false">
      <c r="A337" s="25"/>
      <c r="B337" s="16"/>
      <c r="C337" s="16"/>
      <c r="D337" s="26"/>
      <c r="E337" s="16"/>
      <c r="F337" s="16"/>
      <c r="G337" s="16"/>
      <c r="H337" s="16"/>
      <c r="I337" s="16"/>
      <c r="J337" s="8" t="str">
        <f aca="false">IF(AND(H337="Y",E337="Business checking (debit/ACH/check)"),"Counts toward 1099-NEC",IF(H337="Y","Paid by card/PayPal - 1099-K side",""))</f>
        <v/>
      </c>
      <c r="K337" s="16"/>
    </row>
    <row r="338" customFormat="false" ht="15" hidden="false" customHeight="false" outlineLevel="0" collapsed="false">
      <c r="A338" s="25"/>
      <c r="B338" s="16"/>
      <c r="C338" s="16"/>
      <c r="D338" s="26"/>
      <c r="E338" s="16"/>
      <c r="F338" s="16"/>
      <c r="G338" s="16"/>
      <c r="H338" s="16"/>
      <c r="I338" s="16"/>
      <c r="J338" s="8" t="str">
        <f aca="false">IF(AND(H338="Y",E338="Business checking (debit/ACH/check)"),"Counts toward 1099-NEC",IF(H338="Y","Paid by card/PayPal - 1099-K side",""))</f>
        <v/>
      </c>
      <c r="K338" s="16"/>
    </row>
    <row r="339" customFormat="false" ht="15" hidden="false" customHeight="false" outlineLevel="0" collapsed="false">
      <c r="A339" s="25"/>
      <c r="B339" s="16"/>
      <c r="C339" s="16"/>
      <c r="D339" s="26"/>
      <c r="E339" s="16"/>
      <c r="F339" s="16"/>
      <c r="G339" s="16"/>
      <c r="H339" s="16"/>
      <c r="I339" s="16"/>
      <c r="J339" s="8" t="str">
        <f aca="false">IF(AND(H339="Y",E339="Business checking (debit/ACH/check)"),"Counts toward 1099-NEC",IF(H339="Y","Paid by card/PayPal - 1099-K side",""))</f>
        <v/>
      </c>
      <c r="K339" s="16"/>
    </row>
    <row r="340" customFormat="false" ht="15" hidden="false" customHeight="false" outlineLevel="0" collapsed="false">
      <c r="A340" s="25"/>
      <c r="B340" s="16"/>
      <c r="C340" s="16"/>
      <c r="D340" s="26"/>
      <c r="E340" s="16"/>
      <c r="F340" s="16"/>
      <c r="G340" s="16"/>
      <c r="H340" s="16"/>
      <c r="I340" s="16"/>
      <c r="J340" s="8" t="str">
        <f aca="false">IF(AND(H340="Y",E340="Business checking (debit/ACH/check)"),"Counts toward 1099-NEC",IF(H340="Y","Paid by card/PayPal - 1099-K side",""))</f>
        <v/>
      </c>
      <c r="K340" s="16"/>
    </row>
    <row r="341" customFormat="false" ht="15" hidden="false" customHeight="false" outlineLevel="0" collapsed="false">
      <c r="A341" s="25"/>
      <c r="B341" s="16"/>
      <c r="C341" s="16"/>
      <c r="D341" s="26"/>
      <c r="E341" s="16"/>
      <c r="F341" s="16"/>
      <c r="G341" s="16"/>
      <c r="H341" s="16"/>
      <c r="I341" s="16"/>
      <c r="J341" s="8" t="str">
        <f aca="false">IF(AND(H341="Y",E341="Business checking (debit/ACH/check)"),"Counts toward 1099-NEC",IF(H341="Y","Paid by card/PayPal - 1099-K side",""))</f>
        <v/>
      </c>
      <c r="K341" s="16"/>
    </row>
    <row r="342" customFormat="false" ht="15" hidden="false" customHeight="false" outlineLevel="0" collapsed="false">
      <c r="A342" s="25"/>
      <c r="B342" s="16"/>
      <c r="C342" s="16"/>
      <c r="D342" s="26"/>
      <c r="E342" s="16"/>
      <c r="F342" s="16"/>
      <c r="G342" s="16"/>
      <c r="H342" s="16"/>
      <c r="I342" s="16"/>
      <c r="J342" s="8" t="str">
        <f aca="false">IF(AND(H342="Y",E342="Business checking (debit/ACH/check)"),"Counts toward 1099-NEC",IF(H342="Y","Paid by card/PayPal - 1099-K side",""))</f>
        <v/>
      </c>
      <c r="K342" s="16"/>
    </row>
    <row r="343" customFormat="false" ht="15" hidden="false" customHeight="false" outlineLevel="0" collapsed="false">
      <c r="A343" s="25"/>
      <c r="B343" s="16"/>
      <c r="C343" s="16"/>
      <c r="D343" s="26"/>
      <c r="E343" s="16"/>
      <c r="F343" s="16"/>
      <c r="G343" s="16"/>
      <c r="H343" s="16"/>
      <c r="I343" s="16"/>
      <c r="J343" s="8" t="str">
        <f aca="false">IF(AND(H343="Y",E343="Business checking (debit/ACH/check)"),"Counts toward 1099-NEC",IF(H343="Y","Paid by card/PayPal - 1099-K side",""))</f>
        <v/>
      </c>
      <c r="K343" s="16"/>
    </row>
    <row r="344" customFormat="false" ht="15" hidden="false" customHeight="false" outlineLevel="0" collapsed="false">
      <c r="A344" s="25"/>
      <c r="B344" s="16"/>
      <c r="C344" s="16"/>
      <c r="D344" s="26"/>
      <c r="E344" s="16"/>
      <c r="F344" s="16"/>
      <c r="G344" s="16"/>
      <c r="H344" s="16"/>
      <c r="I344" s="16"/>
      <c r="J344" s="8" t="str">
        <f aca="false">IF(AND(H344="Y",E344="Business checking (debit/ACH/check)"),"Counts toward 1099-NEC",IF(H344="Y","Paid by card/PayPal - 1099-K side",""))</f>
        <v/>
      </c>
      <c r="K344" s="16"/>
    </row>
    <row r="345" customFormat="false" ht="15" hidden="false" customHeight="false" outlineLevel="0" collapsed="false">
      <c r="A345" s="25"/>
      <c r="B345" s="16"/>
      <c r="C345" s="16"/>
      <c r="D345" s="26"/>
      <c r="E345" s="16"/>
      <c r="F345" s="16"/>
      <c r="G345" s="16"/>
      <c r="H345" s="16"/>
      <c r="I345" s="16"/>
      <c r="J345" s="8" t="str">
        <f aca="false">IF(AND(H345="Y",E345="Business checking (debit/ACH/check)"),"Counts toward 1099-NEC",IF(H345="Y","Paid by card/PayPal - 1099-K side",""))</f>
        <v/>
      </c>
      <c r="K345" s="16"/>
    </row>
    <row r="346" customFormat="false" ht="15" hidden="false" customHeight="false" outlineLevel="0" collapsed="false">
      <c r="A346" s="25"/>
      <c r="B346" s="16"/>
      <c r="C346" s="16"/>
      <c r="D346" s="26"/>
      <c r="E346" s="16"/>
      <c r="F346" s="16"/>
      <c r="G346" s="16"/>
      <c r="H346" s="16"/>
      <c r="I346" s="16"/>
      <c r="J346" s="8" t="str">
        <f aca="false">IF(AND(H346="Y",E346="Business checking (debit/ACH/check)"),"Counts toward 1099-NEC",IF(H346="Y","Paid by card/PayPal - 1099-K side",""))</f>
        <v/>
      </c>
      <c r="K346" s="16"/>
    </row>
    <row r="347" customFormat="false" ht="15" hidden="false" customHeight="false" outlineLevel="0" collapsed="false">
      <c r="A347" s="25"/>
      <c r="B347" s="16"/>
      <c r="C347" s="16"/>
      <c r="D347" s="26"/>
      <c r="E347" s="16"/>
      <c r="F347" s="16"/>
      <c r="G347" s="16"/>
      <c r="H347" s="16"/>
      <c r="I347" s="16"/>
      <c r="J347" s="8" t="str">
        <f aca="false">IF(AND(H347="Y",E347="Business checking (debit/ACH/check)"),"Counts toward 1099-NEC",IF(H347="Y","Paid by card/PayPal - 1099-K side",""))</f>
        <v/>
      </c>
      <c r="K347" s="16"/>
    </row>
    <row r="348" customFormat="false" ht="15" hidden="false" customHeight="false" outlineLevel="0" collapsed="false">
      <c r="A348" s="25"/>
      <c r="B348" s="16"/>
      <c r="C348" s="16"/>
      <c r="D348" s="26"/>
      <c r="E348" s="16"/>
      <c r="F348" s="16"/>
      <c r="G348" s="16"/>
      <c r="H348" s="16"/>
      <c r="I348" s="16"/>
      <c r="J348" s="8" t="str">
        <f aca="false">IF(AND(H348="Y",E348="Business checking (debit/ACH/check)"),"Counts toward 1099-NEC",IF(H348="Y","Paid by card/PayPal - 1099-K side",""))</f>
        <v/>
      </c>
      <c r="K348" s="16"/>
    </row>
    <row r="349" customFormat="false" ht="15" hidden="false" customHeight="false" outlineLevel="0" collapsed="false">
      <c r="A349" s="25"/>
      <c r="B349" s="16"/>
      <c r="C349" s="16"/>
      <c r="D349" s="26"/>
      <c r="E349" s="16"/>
      <c r="F349" s="16"/>
      <c r="G349" s="16"/>
      <c r="H349" s="16"/>
      <c r="I349" s="16"/>
      <c r="J349" s="8" t="str">
        <f aca="false">IF(AND(H349="Y",E349="Business checking (debit/ACH/check)"),"Counts toward 1099-NEC",IF(H349="Y","Paid by card/PayPal - 1099-K side",""))</f>
        <v/>
      </c>
      <c r="K349" s="16"/>
    </row>
    <row r="350" customFormat="false" ht="15" hidden="false" customHeight="false" outlineLevel="0" collapsed="false">
      <c r="A350" s="25"/>
      <c r="B350" s="16"/>
      <c r="C350" s="16"/>
      <c r="D350" s="26"/>
      <c r="E350" s="16"/>
      <c r="F350" s="16"/>
      <c r="G350" s="16"/>
      <c r="H350" s="16"/>
      <c r="I350" s="16"/>
      <c r="J350" s="8" t="str">
        <f aca="false">IF(AND(H350="Y",E350="Business checking (debit/ACH/check)"),"Counts toward 1099-NEC",IF(H350="Y","Paid by card/PayPal - 1099-K side",""))</f>
        <v/>
      </c>
      <c r="K350" s="16"/>
    </row>
    <row r="351" customFormat="false" ht="15" hidden="false" customHeight="false" outlineLevel="0" collapsed="false">
      <c r="A351" s="25"/>
      <c r="B351" s="16"/>
      <c r="C351" s="16"/>
      <c r="D351" s="26"/>
      <c r="E351" s="16"/>
      <c r="F351" s="16"/>
      <c r="G351" s="16"/>
      <c r="H351" s="16"/>
      <c r="I351" s="16"/>
      <c r="J351" s="8" t="str">
        <f aca="false">IF(AND(H351="Y",E351="Business checking (debit/ACH/check)"),"Counts toward 1099-NEC",IF(H351="Y","Paid by card/PayPal - 1099-K side",""))</f>
        <v/>
      </c>
      <c r="K351" s="16"/>
    </row>
    <row r="352" customFormat="false" ht="15" hidden="false" customHeight="false" outlineLevel="0" collapsed="false">
      <c r="A352" s="25"/>
      <c r="B352" s="16"/>
      <c r="C352" s="16"/>
      <c r="D352" s="26"/>
      <c r="E352" s="16"/>
      <c r="F352" s="16"/>
      <c r="G352" s="16"/>
      <c r="H352" s="16"/>
      <c r="I352" s="16"/>
      <c r="J352" s="8" t="str">
        <f aca="false">IF(AND(H352="Y",E352="Business checking (debit/ACH/check)"),"Counts toward 1099-NEC",IF(H352="Y","Paid by card/PayPal - 1099-K side",""))</f>
        <v/>
      </c>
      <c r="K352" s="16"/>
    </row>
    <row r="353" customFormat="false" ht="15" hidden="false" customHeight="false" outlineLevel="0" collapsed="false">
      <c r="A353" s="25"/>
      <c r="B353" s="16"/>
      <c r="C353" s="16"/>
      <c r="D353" s="26"/>
      <c r="E353" s="16"/>
      <c r="F353" s="16"/>
      <c r="G353" s="16"/>
      <c r="H353" s="16"/>
      <c r="I353" s="16"/>
      <c r="J353" s="8" t="str">
        <f aca="false">IF(AND(H353="Y",E353="Business checking (debit/ACH/check)"),"Counts toward 1099-NEC",IF(H353="Y","Paid by card/PayPal - 1099-K side",""))</f>
        <v/>
      </c>
      <c r="K353" s="16"/>
    </row>
    <row r="354" customFormat="false" ht="15" hidden="false" customHeight="false" outlineLevel="0" collapsed="false">
      <c r="A354" s="25"/>
      <c r="B354" s="16"/>
      <c r="C354" s="16"/>
      <c r="D354" s="26"/>
      <c r="E354" s="16"/>
      <c r="F354" s="16"/>
      <c r="G354" s="16"/>
      <c r="H354" s="16"/>
      <c r="I354" s="16"/>
      <c r="J354" s="8" t="str">
        <f aca="false">IF(AND(H354="Y",E354="Business checking (debit/ACH/check)"),"Counts toward 1099-NEC",IF(H354="Y","Paid by card/PayPal - 1099-K side",""))</f>
        <v/>
      </c>
      <c r="K354" s="16"/>
    </row>
    <row r="355" customFormat="false" ht="15" hidden="false" customHeight="false" outlineLevel="0" collapsed="false">
      <c r="A355" s="25"/>
      <c r="B355" s="16"/>
      <c r="C355" s="16"/>
      <c r="D355" s="26"/>
      <c r="E355" s="16"/>
      <c r="F355" s="16"/>
      <c r="G355" s="16"/>
      <c r="H355" s="16"/>
      <c r="I355" s="16"/>
      <c r="J355" s="8" t="str">
        <f aca="false">IF(AND(H355="Y",E355="Business checking (debit/ACH/check)"),"Counts toward 1099-NEC",IF(H355="Y","Paid by card/PayPal - 1099-K side",""))</f>
        <v/>
      </c>
      <c r="K355" s="16"/>
    </row>
    <row r="356" customFormat="false" ht="15" hidden="false" customHeight="false" outlineLevel="0" collapsed="false">
      <c r="A356" s="25"/>
      <c r="B356" s="16"/>
      <c r="C356" s="16"/>
      <c r="D356" s="26"/>
      <c r="E356" s="16"/>
      <c r="F356" s="16"/>
      <c r="G356" s="16"/>
      <c r="H356" s="16"/>
      <c r="I356" s="16"/>
      <c r="J356" s="8" t="str">
        <f aca="false">IF(AND(H356="Y",E356="Business checking (debit/ACH/check)"),"Counts toward 1099-NEC",IF(H356="Y","Paid by card/PayPal - 1099-K side",""))</f>
        <v/>
      </c>
      <c r="K356" s="16"/>
    </row>
    <row r="357" customFormat="false" ht="15" hidden="false" customHeight="false" outlineLevel="0" collapsed="false">
      <c r="A357" s="25"/>
      <c r="B357" s="16"/>
      <c r="C357" s="16"/>
      <c r="D357" s="26"/>
      <c r="E357" s="16"/>
      <c r="F357" s="16"/>
      <c r="G357" s="16"/>
      <c r="H357" s="16"/>
      <c r="I357" s="16"/>
      <c r="J357" s="8" t="str">
        <f aca="false">IF(AND(H357="Y",E357="Business checking (debit/ACH/check)"),"Counts toward 1099-NEC",IF(H357="Y","Paid by card/PayPal - 1099-K side",""))</f>
        <v/>
      </c>
      <c r="K357" s="16"/>
    </row>
    <row r="358" customFormat="false" ht="15" hidden="false" customHeight="false" outlineLevel="0" collapsed="false">
      <c r="A358" s="25"/>
      <c r="B358" s="16"/>
      <c r="C358" s="16"/>
      <c r="D358" s="26"/>
      <c r="E358" s="16"/>
      <c r="F358" s="16"/>
      <c r="G358" s="16"/>
      <c r="H358" s="16"/>
      <c r="I358" s="16"/>
      <c r="J358" s="8" t="str">
        <f aca="false">IF(AND(H358="Y",E358="Business checking (debit/ACH/check)"),"Counts toward 1099-NEC",IF(H358="Y","Paid by card/PayPal - 1099-K side",""))</f>
        <v/>
      </c>
      <c r="K358" s="16"/>
    </row>
    <row r="359" customFormat="false" ht="15" hidden="false" customHeight="false" outlineLevel="0" collapsed="false">
      <c r="A359" s="25"/>
      <c r="B359" s="16"/>
      <c r="C359" s="16"/>
      <c r="D359" s="26"/>
      <c r="E359" s="16"/>
      <c r="F359" s="16"/>
      <c r="G359" s="16"/>
      <c r="H359" s="16"/>
      <c r="I359" s="16"/>
      <c r="J359" s="8" t="str">
        <f aca="false">IF(AND(H359="Y",E359="Business checking (debit/ACH/check)"),"Counts toward 1099-NEC",IF(H359="Y","Paid by card/PayPal - 1099-K side",""))</f>
        <v/>
      </c>
      <c r="K359" s="16"/>
    </row>
    <row r="360" customFormat="false" ht="15" hidden="false" customHeight="false" outlineLevel="0" collapsed="false">
      <c r="A360" s="25"/>
      <c r="B360" s="16"/>
      <c r="C360" s="16"/>
      <c r="D360" s="26"/>
      <c r="E360" s="16"/>
      <c r="F360" s="16"/>
      <c r="G360" s="16"/>
      <c r="H360" s="16"/>
      <c r="I360" s="16"/>
      <c r="J360" s="8" t="str">
        <f aca="false">IF(AND(H360="Y",E360="Business checking (debit/ACH/check)"),"Counts toward 1099-NEC",IF(H360="Y","Paid by card/PayPal - 1099-K side",""))</f>
        <v/>
      </c>
      <c r="K360" s="16"/>
    </row>
    <row r="361" customFormat="false" ht="15" hidden="false" customHeight="false" outlineLevel="0" collapsed="false">
      <c r="A361" s="25"/>
      <c r="B361" s="16"/>
      <c r="C361" s="16"/>
      <c r="D361" s="26"/>
      <c r="E361" s="16"/>
      <c r="F361" s="16"/>
      <c r="G361" s="16"/>
      <c r="H361" s="16"/>
      <c r="I361" s="16"/>
      <c r="J361" s="8" t="str">
        <f aca="false">IF(AND(H361="Y",E361="Business checking (debit/ACH/check)"),"Counts toward 1099-NEC",IF(H361="Y","Paid by card/PayPal - 1099-K side",""))</f>
        <v/>
      </c>
      <c r="K361" s="16"/>
    </row>
    <row r="362" customFormat="false" ht="15" hidden="false" customHeight="false" outlineLevel="0" collapsed="false">
      <c r="A362" s="25"/>
      <c r="B362" s="16"/>
      <c r="C362" s="16"/>
      <c r="D362" s="26"/>
      <c r="E362" s="16"/>
      <c r="F362" s="16"/>
      <c r="G362" s="16"/>
      <c r="H362" s="16"/>
      <c r="I362" s="16"/>
      <c r="J362" s="8" t="str">
        <f aca="false">IF(AND(H362="Y",E362="Business checking (debit/ACH/check)"),"Counts toward 1099-NEC",IF(H362="Y","Paid by card/PayPal - 1099-K side",""))</f>
        <v/>
      </c>
      <c r="K362" s="16"/>
    </row>
    <row r="363" customFormat="false" ht="15" hidden="false" customHeight="false" outlineLevel="0" collapsed="false">
      <c r="A363" s="25"/>
      <c r="B363" s="16"/>
      <c r="C363" s="16"/>
      <c r="D363" s="26"/>
      <c r="E363" s="16"/>
      <c r="F363" s="16"/>
      <c r="G363" s="16"/>
      <c r="H363" s="16"/>
      <c r="I363" s="16"/>
      <c r="J363" s="8" t="str">
        <f aca="false">IF(AND(H363="Y",E363="Business checking (debit/ACH/check)"),"Counts toward 1099-NEC",IF(H363="Y","Paid by card/PayPal - 1099-K side",""))</f>
        <v/>
      </c>
      <c r="K363" s="16"/>
    </row>
    <row r="364" customFormat="false" ht="15" hidden="false" customHeight="false" outlineLevel="0" collapsed="false">
      <c r="A364" s="25"/>
      <c r="B364" s="16"/>
      <c r="C364" s="16"/>
      <c r="D364" s="26"/>
      <c r="E364" s="16"/>
      <c r="F364" s="16"/>
      <c r="G364" s="16"/>
      <c r="H364" s="16"/>
      <c r="I364" s="16"/>
      <c r="J364" s="8" t="str">
        <f aca="false">IF(AND(H364="Y",E364="Business checking (debit/ACH/check)"),"Counts toward 1099-NEC",IF(H364="Y","Paid by card/PayPal - 1099-K side",""))</f>
        <v/>
      </c>
      <c r="K364" s="16"/>
    </row>
    <row r="365" customFormat="false" ht="15" hidden="false" customHeight="false" outlineLevel="0" collapsed="false">
      <c r="A365" s="25"/>
      <c r="B365" s="16"/>
      <c r="C365" s="16"/>
      <c r="D365" s="26"/>
      <c r="E365" s="16"/>
      <c r="F365" s="16"/>
      <c r="G365" s="16"/>
      <c r="H365" s="16"/>
      <c r="I365" s="16"/>
      <c r="J365" s="8" t="str">
        <f aca="false">IF(AND(H365="Y",E365="Business checking (debit/ACH/check)"),"Counts toward 1099-NEC",IF(H365="Y","Paid by card/PayPal - 1099-K side",""))</f>
        <v/>
      </c>
      <c r="K365" s="16"/>
    </row>
    <row r="366" customFormat="false" ht="15" hidden="false" customHeight="false" outlineLevel="0" collapsed="false">
      <c r="A366" s="25"/>
      <c r="B366" s="16"/>
      <c r="C366" s="16"/>
      <c r="D366" s="26"/>
      <c r="E366" s="16"/>
      <c r="F366" s="16"/>
      <c r="G366" s="16"/>
      <c r="H366" s="16"/>
      <c r="I366" s="16"/>
      <c r="J366" s="8" t="str">
        <f aca="false">IF(AND(H366="Y",E366="Business checking (debit/ACH/check)"),"Counts toward 1099-NEC",IF(H366="Y","Paid by card/PayPal - 1099-K side",""))</f>
        <v/>
      </c>
      <c r="K366" s="16"/>
    </row>
    <row r="367" customFormat="false" ht="15" hidden="false" customHeight="false" outlineLevel="0" collapsed="false">
      <c r="A367" s="25"/>
      <c r="B367" s="16"/>
      <c r="C367" s="16"/>
      <c r="D367" s="26"/>
      <c r="E367" s="16"/>
      <c r="F367" s="16"/>
      <c r="G367" s="16"/>
      <c r="H367" s="16"/>
      <c r="I367" s="16"/>
      <c r="J367" s="8" t="str">
        <f aca="false">IF(AND(H367="Y",E367="Business checking (debit/ACH/check)"),"Counts toward 1099-NEC",IF(H367="Y","Paid by card/PayPal - 1099-K side",""))</f>
        <v/>
      </c>
      <c r="K367" s="16"/>
    </row>
    <row r="368" customFormat="false" ht="15" hidden="false" customHeight="false" outlineLevel="0" collapsed="false">
      <c r="A368" s="25"/>
      <c r="B368" s="16"/>
      <c r="C368" s="16"/>
      <c r="D368" s="26"/>
      <c r="E368" s="16"/>
      <c r="F368" s="16"/>
      <c r="G368" s="16"/>
      <c r="H368" s="16"/>
      <c r="I368" s="16"/>
      <c r="J368" s="8" t="str">
        <f aca="false">IF(AND(H368="Y",E368="Business checking (debit/ACH/check)"),"Counts toward 1099-NEC",IF(H368="Y","Paid by card/PayPal - 1099-K side",""))</f>
        <v/>
      </c>
      <c r="K368" s="16"/>
    </row>
    <row r="369" customFormat="false" ht="15" hidden="false" customHeight="false" outlineLevel="0" collapsed="false">
      <c r="A369" s="25"/>
      <c r="B369" s="16"/>
      <c r="C369" s="16"/>
      <c r="D369" s="26"/>
      <c r="E369" s="16"/>
      <c r="F369" s="16"/>
      <c r="G369" s="16"/>
      <c r="H369" s="16"/>
      <c r="I369" s="16"/>
      <c r="J369" s="8" t="str">
        <f aca="false">IF(AND(H369="Y",E369="Business checking (debit/ACH/check)"),"Counts toward 1099-NEC",IF(H369="Y","Paid by card/PayPal - 1099-K side",""))</f>
        <v/>
      </c>
      <c r="K369" s="16"/>
    </row>
    <row r="370" customFormat="false" ht="15" hidden="false" customHeight="false" outlineLevel="0" collapsed="false">
      <c r="A370" s="25"/>
      <c r="B370" s="16"/>
      <c r="C370" s="16"/>
      <c r="D370" s="26"/>
      <c r="E370" s="16"/>
      <c r="F370" s="16"/>
      <c r="G370" s="16"/>
      <c r="H370" s="16"/>
      <c r="I370" s="16"/>
      <c r="J370" s="8" t="str">
        <f aca="false">IF(AND(H370="Y",E370="Business checking (debit/ACH/check)"),"Counts toward 1099-NEC",IF(H370="Y","Paid by card/PayPal - 1099-K side",""))</f>
        <v/>
      </c>
      <c r="K370" s="16"/>
    </row>
    <row r="371" customFormat="false" ht="15" hidden="false" customHeight="false" outlineLevel="0" collapsed="false">
      <c r="A371" s="25"/>
      <c r="B371" s="16"/>
      <c r="C371" s="16"/>
      <c r="D371" s="26"/>
      <c r="E371" s="16"/>
      <c r="F371" s="16"/>
      <c r="G371" s="16"/>
      <c r="H371" s="16"/>
      <c r="I371" s="16"/>
      <c r="J371" s="8" t="str">
        <f aca="false">IF(AND(H371="Y",E371="Business checking (debit/ACH/check)"),"Counts toward 1099-NEC",IF(H371="Y","Paid by card/PayPal - 1099-K side",""))</f>
        <v/>
      </c>
      <c r="K371" s="16"/>
    </row>
    <row r="372" customFormat="false" ht="15" hidden="false" customHeight="false" outlineLevel="0" collapsed="false">
      <c r="A372" s="25"/>
      <c r="B372" s="16"/>
      <c r="C372" s="16"/>
      <c r="D372" s="26"/>
      <c r="E372" s="16"/>
      <c r="F372" s="16"/>
      <c r="G372" s="16"/>
      <c r="H372" s="16"/>
      <c r="I372" s="16"/>
      <c r="J372" s="8" t="str">
        <f aca="false">IF(AND(H372="Y",E372="Business checking (debit/ACH/check)"),"Counts toward 1099-NEC",IF(H372="Y","Paid by card/PayPal - 1099-K side",""))</f>
        <v/>
      </c>
      <c r="K372" s="16"/>
    </row>
    <row r="373" customFormat="false" ht="15" hidden="false" customHeight="false" outlineLevel="0" collapsed="false">
      <c r="A373" s="25"/>
      <c r="B373" s="16"/>
      <c r="C373" s="16"/>
      <c r="D373" s="26"/>
      <c r="E373" s="16"/>
      <c r="F373" s="16"/>
      <c r="G373" s="16"/>
      <c r="H373" s="16"/>
      <c r="I373" s="16"/>
      <c r="J373" s="8" t="str">
        <f aca="false">IF(AND(H373="Y",E373="Business checking (debit/ACH/check)"),"Counts toward 1099-NEC",IF(H373="Y","Paid by card/PayPal - 1099-K side",""))</f>
        <v/>
      </c>
      <c r="K373" s="16"/>
    </row>
    <row r="374" customFormat="false" ht="15" hidden="false" customHeight="false" outlineLevel="0" collapsed="false">
      <c r="A374" s="25"/>
      <c r="B374" s="16"/>
      <c r="C374" s="16"/>
      <c r="D374" s="26"/>
      <c r="E374" s="16"/>
      <c r="F374" s="16"/>
      <c r="G374" s="16"/>
      <c r="H374" s="16"/>
      <c r="I374" s="16"/>
      <c r="J374" s="8" t="str">
        <f aca="false">IF(AND(H374="Y",E374="Business checking (debit/ACH/check)"),"Counts toward 1099-NEC",IF(H374="Y","Paid by card/PayPal - 1099-K side",""))</f>
        <v/>
      </c>
      <c r="K374" s="16"/>
    </row>
    <row r="375" customFormat="false" ht="15" hidden="false" customHeight="false" outlineLevel="0" collapsed="false">
      <c r="A375" s="25"/>
      <c r="B375" s="16"/>
      <c r="C375" s="16"/>
      <c r="D375" s="26"/>
      <c r="E375" s="16"/>
      <c r="F375" s="16"/>
      <c r="G375" s="16"/>
      <c r="H375" s="16"/>
      <c r="I375" s="16"/>
      <c r="J375" s="8" t="str">
        <f aca="false">IF(AND(H375="Y",E375="Business checking (debit/ACH/check)"),"Counts toward 1099-NEC",IF(H375="Y","Paid by card/PayPal - 1099-K side",""))</f>
        <v/>
      </c>
      <c r="K375" s="16"/>
    </row>
    <row r="376" customFormat="false" ht="15" hidden="false" customHeight="false" outlineLevel="0" collapsed="false">
      <c r="A376" s="25"/>
      <c r="B376" s="16"/>
      <c r="C376" s="16"/>
      <c r="D376" s="26"/>
      <c r="E376" s="16"/>
      <c r="F376" s="16"/>
      <c r="G376" s="16"/>
      <c r="H376" s="16"/>
      <c r="I376" s="16"/>
      <c r="J376" s="8" t="str">
        <f aca="false">IF(AND(H376="Y",E376="Business checking (debit/ACH/check)"),"Counts toward 1099-NEC",IF(H376="Y","Paid by card/PayPal - 1099-K side",""))</f>
        <v/>
      </c>
      <c r="K376" s="16"/>
    </row>
    <row r="377" customFormat="false" ht="15" hidden="false" customHeight="false" outlineLevel="0" collapsed="false">
      <c r="A377" s="25"/>
      <c r="B377" s="16"/>
      <c r="C377" s="16"/>
      <c r="D377" s="26"/>
      <c r="E377" s="16"/>
      <c r="F377" s="16"/>
      <c r="G377" s="16"/>
      <c r="H377" s="16"/>
      <c r="I377" s="16"/>
      <c r="J377" s="8" t="str">
        <f aca="false">IF(AND(H377="Y",E377="Business checking (debit/ACH/check)"),"Counts toward 1099-NEC",IF(H377="Y","Paid by card/PayPal - 1099-K side",""))</f>
        <v/>
      </c>
      <c r="K377" s="16"/>
    </row>
    <row r="378" customFormat="false" ht="15" hidden="false" customHeight="false" outlineLevel="0" collapsed="false">
      <c r="A378" s="25"/>
      <c r="B378" s="16"/>
      <c r="C378" s="16"/>
      <c r="D378" s="26"/>
      <c r="E378" s="16"/>
      <c r="F378" s="16"/>
      <c r="G378" s="16"/>
      <c r="H378" s="16"/>
      <c r="I378" s="16"/>
      <c r="J378" s="8" t="str">
        <f aca="false">IF(AND(H378="Y",E378="Business checking (debit/ACH/check)"),"Counts toward 1099-NEC",IF(H378="Y","Paid by card/PayPal - 1099-K side",""))</f>
        <v/>
      </c>
      <c r="K378" s="16"/>
    </row>
    <row r="379" customFormat="false" ht="15" hidden="false" customHeight="false" outlineLevel="0" collapsed="false">
      <c r="A379" s="25"/>
      <c r="B379" s="16"/>
      <c r="C379" s="16"/>
      <c r="D379" s="26"/>
      <c r="E379" s="16"/>
      <c r="F379" s="16"/>
      <c r="G379" s="16"/>
      <c r="H379" s="16"/>
      <c r="I379" s="16"/>
      <c r="J379" s="8" t="str">
        <f aca="false">IF(AND(H379="Y",E379="Business checking (debit/ACH/check)"),"Counts toward 1099-NEC",IF(H379="Y","Paid by card/PayPal - 1099-K side",""))</f>
        <v/>
      </c>
      <c r="K379" s="16"/>
    </row>
    <row r="380" customFormat="false" ht="15" hidden="false" customHeight="false" outlineLevel="0" collapsed="false">
      <c r="A380" s="25"/>
      <c r="B380" s="16"/>
      <c r="C380" s="16"/>
      <c r="D380" s="26"/>
      <c r="E380" s="16"/>
      <c r="F380" s="16"/>
      <c r="G380" s="16"/>
      <c r="H380" s="16"/>
      <c r="I380" s="16"/>
      <c r="J380" s="8" t="str">
        <f aca="false">IF(AND(H380="Y",E380="Business checking (debit/ACH/check)"),"Counts toward 1099-NEC",IF(H380="Y","Paid by card/PayPal - 1099-K side",""))</f>
        <v/>
      </c>
      <c r="K380" s="16"/>
    </row>
    <row r="381" customFormat="false" ht="15" hidden="false" customHeight="false" outlineLevel="0" collapsed="false">
      <c r="A381" s="25"/>
      <c r="B381" s="16"/>
      <c r="C381" s="16"/>
      <c r="D381" s="26"/>
      <c r="E381" s="16"/>
      <c r="F381" s="16"/>
      <c r="G381" s="16"/>
      <c r="H381" s="16"/>
      <c r="I381" s="16"/>
      <c r="J381" s="8" t="str">
        <f aca="false">IF(AND(H381="Y",E381="Business checking (debit/ACH/check)"),"Counts toward 1099-NEC",IF(H381="Y","Paid by card/PayPal - 1099-K side",""))</f>
        <v/>
      </c>
      <c r="K381" s="16"/>
    </row>
    <row r="382" customFormat="false" ht="15" hidden="false" customHeight="false" outlineLevel="0" collapsed="false">
      <c r="A382" s="25"/>
      <c r="B382" s="16"/>
      <c r="C382" s="16"/>
      <c r="D382" s="26"/>
      <c r="E382" s="16"/>
      <c r="F382" s="16"/>
      <c r="G382" s="16"/>
      <c r="H382" s="16"/>
      <c r="I382" s="16"/>
      <c r="J382" s="8" t="str">
        <f aca="false">IF(AND(H382="Y",E382="Business checking (debit/ACH/check)"),"Counts toward 1099-NEC",IF(H382="Y","Paid by card/PayPal - 1099-K side",""))</f>
        <v/>
      </c>
      <c r="K382" s="16"/>
    </row>
    <row r="383" customFormat="false" ht="15" hidden="false" customHeight="false" outlineLevel="0" collapsed="false">
      <c r="A383" s="25"/>
      <c r="B383" s="16"/>
      <c r="C383" s="16"/>
      <c r="D383" s="26"/>
      <c r="E383" s="16"/>
      <c r="F383" s="16"/>
      <c r="G383" s="16"/>
      <c r="H383" s="16"/>
      <c r="I383" s="16"/>
      <c r="J383" s="8" t="str">
        <f aca="false">IF(AND(H383="Y",E383="Business checking (debit/ACH/check)"),"Counts toward 1099-NEC",IF(H383="Y","Paid by card/PayPal - 1099-K side",""))</f>
        <v/>
      </c>
      <c r="K383" s="16"/>
    </row>
    <row r="384" customFormat="false" ht="15" hidden="false" customHeight="false" outlineLevel="0" collapsed="false">
      <c r="A384" s="25"/>
      <c r="B384" s="16"/>
      <c r="C384" s="16"/>
      <c r="D384" s="26"/>
      <c r="E384" s="16"/>
      <c r="F384" s="16"/>
      <c r="G384" s="16"/>
      <c r="H384" s="16"/>
      <c r="I384" s="16"/>
      <c r="J384" s="8" t="str">
        <f aca="false">IF(AND(H384="Y",E384="Business checking (debit/ACH/check)"),"Counts toward 1099-NEC",IF(H384="Y","Paid by card/PayPal - 1099-K side",""))</f>
        <v/>
      </c>
      <c r="K384" s="16"/>
    </row>
    <row r="385" customFormat="false" ht="15" hidden="false" customHeight="false" outlineLevel="0" collapsed="false">
      <c r="A385" s="25"/>
      <c r="B385" s="16"/>
      <c r="C385" s="16"/>
      <c r="D385" s="26"/>
      <c r="E385" s="16"/>
      <c r="F385" s="16"/>
      <c r="G385" s="16"/>
      <c r="H385" s="16"/>
      <c r="I385" s="16"/>
      <c r="J385" s="8" t="str">
        <f aca="false">IF(AND(H385="Y",E385="Business checking (debit/ACH/check)"),"Counts toward 1099-NEC",IF(H385="Y","Paid by card/PayPal - 1099-K side",""))</f>
        <v/>
      </c>
      <c r="K385" s="16"/>
    </row>
    <row r="386" customFormat="false" ht="15" hidden="false" customHeight="false" outlineLevel="0" collapsed="false">
      <c r="A386" s="25"/>
      <c r="B386" s="16"/>
      <c r="C386" s="16"/>
      <c r="D386" s="26"/>
      <c r="E386" s="16"/>
      <c r="F386" s="16"/>
      <c r="G386" s="16"/>
      <c r="H386" s="16"/>
      <c r="I386" s="16"/>
      <c r="J386" s="8" t="str">
        <f aca="false">IF(AND(H386="Y",E386="Business checking (debit/ACH/check)"),"Counts toward 1099-NEC",IF(H386="Y","Paid by card/PayPal - 1099-K side",""))</f>
        <v/>
      </c>
      <c r="K386" s="16"/>
    </row>
    <row r="387" customFormat="false" ht="15" hidden="false" customHeight="false" outlineLevel="0" collapsed="false">
      <c r="A387" s="25"/>
      <c r="B387" s="16"/>
      <c r="C387" s="16"/>
      <c r="D387" s="26"/>
      <c r="E387" s="16"/>
      <c r="F387" s="16"/>
      <c r="G387" s="16"/>
      <c r="H387" s="16"/>
      <c r="I387" s="16"/>
      <c r="J387" s="8" t="str">
        <f aca="false">IF(AND(H387="Y",E387="Business checking (debit/ACH/check)"),"Counts toward 1099-NEC",IF(H387="Y","Paid by card/PayPal - 1099-K side",""))</f>
        <v/>
      </c>
      <c r="K387" s="16"/>
    </row>
    <row r="388" customFormat="false" ht="15" hidden="false" customHeight="false" outlineLevel="0" collapsed="false">
      <c r="A388" s="25"/>
      <c r="B388" s="16"/>
      <c r="C388" s="16"/>
      <c r="D388" s="26"/>
      <c r="E388" s="16"/>
      <c r="F388" s="16"/>
      <c r="G388" s="16"/>
      <c r="H388" s="16"/>
      <c r="I388" s="16"/>
      <c r="J388" s="8" t="str">
        <f aca="false">IF(AND(H388="Y",E388="Business checking (debit/ACH/check)"),"Counts toward 1099-NEC",IF(H388="Y","Paid by card/PayPal - 1099-K side",""))</f>
        <v/>
      </c>
      <c r="K388" s="16"/>
    </row>
    <row r="389" customFormat="false" ht="15" hidden="false" customHeight="false" outlineLevel="0" collapsed="false">
      <c r="A389" s="25"/>
      <c r="B389" s="16"/>
      <c r="C389" s="16"/>
      <c r="D389" s="26"/>
      <c r="E389" s="16"/>
      <c r="F389" s="16"/>
      <c r="G389" s="16"/>
      <c r="H389" s="16"/>
      <c r="I389" s="16"/>
      <c r="J389" s="8" t="str">
        <f aca="false">IF(AND(H389="Y",E389="Business checking (debit/ACH/check)"),"Counts toward 1099-NEC",IF(H389="Y","Paid by card/PayPal - 1099-K side",""))</f>
        <v/>
      </c>
      <c r="K389" s="16"/>
    </row>
    <row r="390" customFormat="false" ht="15" hidden="false" customHeight="false" outlineLevel="0" collapsed="false">
      <c r="A390" s="25"/>
      <c r="B390" s="16"/>
      <c r="C390" s="16"/>
      <c r="D390" s="26"/>
      <c r="E390" s="16"/>
      <c r="F390" s="16"/>
      <c r="G390" s="16"/>
      <c r="H390" s="16"/>
      <c r="I390" s="16"/>
      <c r="J390" s="8" t="str">
        <f aca="false">IF(AND(H390="Y",E390="Business checking (debit/ACH/check)"),"Counts toward 1099-NEC",IF(H390="Y","Paid by card/PayPal - 1099-K side",""))</f>
        <v/>
      </c>
      <c r="K390" s="16"/>
    </row>
    <row r="391" customFormat="false" ht="15" hidden="false" customHeight="false" outlineLevel="0" collapsed="false">
      <c r="A391" s="25"/>
      <c r="B391" s="16"/>
      <c r="C391" s="16"/>
      <c r="D391" s="26"/>
      <c r="E391" s="16"/>
      <c r="F391" s="16"/>
      <c r="G391" s="16"/>
      <c r="H391" s="16"/>
      <c r="I391" s="16"/>
      <c r="J391" s="8" t="str">
        <f aca="false">IF(AND(H391="Y",E391="Business checking (debit/ACH/check)"),"Counts toward 1099-NEC",IF(H391="Y","Paid by card/PayPal - 1099-K side",""))</f>
        <v/>
      </c>
      <c r="K391" s="16"/>
    </row>
    <row r="392" customFormat="false" ht="15" hidden="false" customHeight="false" outlineLevel="0" collapsed="false">
      <c r="A392" s="25"/>
      <c r="B392" s="16"/>
      <c r="C392" s="16"/>
      <c r="D392" s="26"/>
      <c r="E392" s="16"/>
      <c r="F392" s="16"/>
      <c r="G392" s="16"/>
      <c r="H392" s="16"/>
      <c r="I392" s="16"/>
      <c r="J392" s="8" t="str">
        <f aca="false">IF(AND(H392="Y",E392="Business checking (debit/ACH/check)"),"Counts toward 1099-NEC",IF(H392="Y","Paid by card/PayPal - 1099-K side",""))</f>
        <v/>
      </c>
      <c r="K392" s="16"/>
    </row>
    <row r="393" customFormat="false" ht="15" hidden="false" customHeight="false" outlineLevel="0" collapsed="false">
      <c r="A393" s="25"/>
      <c r="B393" s="16"/>
      <c r="C393" s="16"/>
      <c r="D393" s="26"/>
      <c r="E393" s="16"/>
      <c r="F393" s="16"/>
      <c r="G393" s="16"/>
      <c r="H393" s="16"/>
      <c r="I393" s="16"/>
      <c r="J393" s="8" t="str">
        <f aca="false">IF(AND(H393="Y",E393="Business checking (debit/ACH/check)"),"Counts toward 1099-NEC",IF(H393="Y","Paid by card/PayPal - 1099-K side",""))</f>
        <v/>
      </c>
      <c r="K393" s="16"/>
    </row>
    <row r="394" customFormat="false" ht="15" hidden="false" customHeight="false" outlineLevel="0" collapsed="false">
      <c r="A394" s="25"/>
      <c r="B394" s="16"/>
      <c r="C394" s="16"/>
      <c r="D394" s="26"/>
      <c r="E394" s="16"/>
      <c r="F394" s="16"/>
      <c r="G394" s="16"/>
      <c r="H394" s="16"/>
      <c r="I394" s="16"/>
      <c r="J394" s="8" t="str">
        <f aca="false">IF(AND(H394="Y",E394="Business checking (debit/ACH/check)"),"Counts toward 1099-NEC",IF(H394="Y","Paid by card/PayPal - 1099-K side",""))</f>
        <v/>
      </c>
      <c r="K394" s="16"/>
    </row>
    <row r="395" customFormat="false" ht="15" hidden="false" customHeight="false" outlineLevel="0" collapsed="false">
      <c r="A395" s="25"/>
      <c r="B395" s="16"/>
      <c r="C395" s="16"/>
      <c r="D395" s="26"/>
      <c r="E395" s="16"/>
      <c r="F395" s="16"/>
      <c r="G395" s="16"/>
      <c r="H395" s="16"/>
      <c r="I395" s="16"/>
      <c r="J395" s="8" t="str">
        <f aca="false">IF(AND(H395="Y",E395="Business checking (debit/ACH/check)"),"Counts toward 1099-NEC",IF(H395="Y","Paid by card/PayPal - 1099-K side",""))</f>
        <v/>
      </c>
      <c r="K395" s="16"/>
    </row>
    <row r="396" customFormat="false" ht="15" hidden="false" customHeight="false" outlineLevel="0" collapsed="false">
      <c r="A396" s="25"/>
      <c r="B396" s="16"/>
      <c r="C396" s="16"/>
      <c r="D396" s="26"/>
      <c r="E396" s="16"/>
      <c r="F396" s="16"/>
      <c r="G396" s="16"/>
      <c r="H396" s="16"/>
      <c r="I396" s="16"/>
      <c r="J396" s="8" t="str">
        <f aca="false">IF(AND(H396="Y",E396="Business checking (debit/ACH/check)"),"Counts toward 1099-NEC",IF(H396="Y","Paid by card/PayPal - 1099-K side",""))</f>
        <v/>
      </c>
      <c r="K396" s="16"/>
    </row>
    <row r="397" customFormat="false" ht="15" hidden="false" customHeight="false" outlineLevel="0" collapsed="false">
      <c r="A397" s="25"/>
      <c r="B397" s="16"/>
      <c r="C397" s="16"/>
      <c r="D397" s="26"/>
      <c r="E397" s="16"/>
      <c r="F397" s="16"/>
      <c r="G397" s="16"/>
      <c r="H397" s="16"/>
      <c r="I397" s="16"/>
      <c r="J397" s="8" t="str">
        <f aca="false">IF(AND(H397="Y",E397="Business checking (debit/ACH/check)"),"Counts toward 1099-NEC",IF(H397="Y","Paid by card/PayPal - 1099-K side",""))</f>
        <v/>
      </c>
      <c r="K397" s="16"/>
    </row>
    <row r="398" customFormat="false" ht="15" hidden="false" customHeight="false" outlineLevel="0" collapsed="false">
      <c r="A398" s="25"/>
      <c r="B398" s="16"/>
      <c r="C398" s="16"/>
      <c r="D398" s="26"/>
      <c r="E398" s="16"/>
      <c r="F398" s="16"/>
      <c r="G398" s="16"/>
      <c r="H398" s="16"/>
      <c r="I398" s="16"/>
      <c r="J398" s="8" t="str">
        <f aca="false">IF(AND(H398="Y",E398="Business checking (debit/ACH/check)"),"Counts toward 1099-NEC",IF(H398="Y","Paid by card/PayPal - 1099-K side",""))</f>
        <v/>
      </c>
      <c r="K398" s="16"/>
    </row>
    <row r="399" customFormat="false" ht="15" hidden="false" customHeight="false" outlineLevel="0" collapsed="false">
      <c r="A399" s="25"/>
      <c r="B399" s="16"/>
      <c r="C399" s="16"/>
      <c r="D399" s="26"/>
      <c r="E399" s="16"/>
      <c r="F399" s="16"/>
      <c r="G399" s="16"/>
      <c r="H399" s="16"/>
      <c r="I399" s="16"/>
      <c r="J399" s="8" t="str">
        <f aca="false">IF(AND(H399="Y",E399="Business checking (debit/ACH/check)"),"Counts toward 1099-NEC",IF(H399="Y","Paid by card/PayPal - 1099-K side",""))</f>
        <v/>
      </c>
      <c r="K399" s="16"/>
    </row>
    <row r="400" customFormat="false" ht="15" hidden="false" customHeight="false" outlineLevel="0" collapsed="false">
      <c r="A400" s="25"/>
      <c r="B400" s="16"/>
      <c r="C400" s="16"/>
      <c r="D400" s="26"/>
      <c r="E400" s="16"/>
      <c r="F400" s="16"/>
      <c r="G400" s="16"/>
      <c r="H400" s="16"/>
      <c r="I400" s="16"/>
      <c r="J400" s="8" t="str">
        <f aca="false">IF(AND(H400="Y",E400="Business checking (debit/ACH/check)"),"Counts toward 1099-NEC",IF(H400="Y","Paid by card/PayPal - 1099-K side",""))</f>
        <v/>
      </c>
      <c r="K400" s="16"/>
    </row>
    <row r="401" customFormat="false" ht="15" hidden="false" customHeight="false" outlineLevel="0" collapsed="false">
      <c r="A401" s="25"/>
      <c r="B401" s="16"/>
      <c r="C401" s="16"/>
      <c r="D401" s="26"/>
      <c r="E401" s="16"/>
      <c r="F401" s="16"/>
      <c r="G401" s="16"/>
      <c r="H401" s="16"/>
      <c r="I401" s="16"/>
      <c r="J401" s="8" t="str">
        <f aca="false">IF(AND(H401="Y",E401="Business checking (debit/ACH/check)"),"Counts toward 1099-NEC",IF(H401="Y","Paid by card/PayPal - 1099-K side",""))</f>
        <v/>
      </c>
      <c r="K401" s="16"/>
    </row>
    <row r="402" customFormat="false" ht="15" hidden="false" customHeight="false" outlineLevel="0" collapsed="false">
      <c r="A402" s="25"/>
      <c r="B402" s="16"/>
      <c r="C402" s="16"/>
      <c r="D402" s="26"/>
      <c r="E402" s="16"/>
      <c r="F402" s="16"/>
      <c r="G402" s="16"/>
      <c r="H402" s="16"/>
      <c r="I402" s="16"/>
      <c r="J402" s="8" t="str">
        <f aca="false">IF(AND(H402="Y",E402="Business checking (debit/ACH/check)"),"Counts toward 1099-NEC",IF(H402="Y","Paid by card/PayPal - 1099-K side",""))</f>
        <v/>
      </c>
      <c r="K402" s="16"/>
    </row>
    <row r="403" customFormat="false" ht="15" hidden="false" customHeight="false" outlineLevel="0" collapsed="false">
      <c r="A403" s="25"/>
      <c r="B403" s="16"/>
      <c r="C403" s="16"/>
      <c r="D403" s="26"/>
      <c r="E403" s="16"/>
      <c r="F403" s="16"/>
      <c r="G403" s="16"/>
      <c r="H403" s="16"/>
      <c r="I403" s="16"/>
      <c r="J403" s="8" t="str">
        <f aca="false">IF(AND(H403="Y",E403="Business checking (debit/ACH/check)"),"Counts toward 1099-NEC",IF(H403="Y","Paid by card/PayPal - 1099-K side",""))</f>
        <v/>
      </c>
      <c r="K403" s="16"/>
    </row>
    <row r="404" customFormat="false" ht="15" hidden="false" customHeight="false" outlineLevel="0" collapsed="false">
      <c r="A404" s="25"/>
      <c r="B404" s="16"/>
      <c r="C404" s="16"/>
      <c r="D404" s="26"/>
      <c r="E404" s="16"/>
      <c r="F404" s="16"/>
      <c r="G404" s="16"/>
      <c r="H404" s="16"/>
      <c r="I404" s="16"/>
      <c r="J404" s="8" t="str">
        <f aca="false">IF(AND(H404="Y",E404="Business checking (debit/ACH/check)"),"Counts toward 1099-NEC",IF(H404="Y","Paid by card/PayPal - 1099-K side",""))</f>
        <v/>
      </c>
      <c r="K404" s="16"/>
    </row>
    <row r="405" customFormat="false" ht="15" hidden="false" customHeight="false" outlineLevel="0" collapsed="false">
      <c r="A405" s="25"/>
      <c r="B405" s="16"/>
      <c r="C405" s="16"/>
      <c r="D405" s="26"/>
      <c r="E405" s="16"/>
      <c r="F405" s="16"/>
      <c r="G405" s="16"/>
      <c r="H405" s="16"/>
      <c r="I405" s="16"/>
      <c r="J405" s="8" t="str">
        <f aca="false">IF(AND(H405="Y",E405="Business checking (debit/ACH/check)"),"Counts toward 1099-NEC",IF(H405="Y","Paid by card/PayPal - 1099-K side",""))</f>
        <v/>
      </c>
      <c r="K405" s="16"/>
    </row>
    <row r="406" customFormat="false" ht="15" hidden="false" customHeight="false" outlineLevel="0" collapsed="false">
      <c r="A406" s="25"/>
      <c r="B406" s="16"/>
      <c r="C406" s="16"/>
      <c r="D406" s="26"/>
      <c r="E406" s="16"/>
      <c r="F406" s="16"/>
      <c r="G406" s="16"/>
      <c r="H406" s="16"/>
      <c r="I406" s="16"/>
      <c r="J406" s="8" t="str">
        <f aca="false">IF(AND(H406="Y",E406="Business checking (debit/ACH/check)"),"Counts toward 1099-NEC",IF(H406="Y","Paid by card/PayPal - 1099-K side",""))</f>
        <v/>
      </c>
      <c r="K406" s="16"/>
    </row>
    <row r="407" customFormat="false" ht="15" hidden="false" customHeight="false" outlineLevel="0" collapsed="false">
      <c r="A407" s="25"/>
      <c r="B407" s="16"/>
      <c r="C407" s="16"/>
      <c r="D407" s="26"/>
      <c r="E407" s="16"/>
      <c r="F407" s="16"/>
      <c r="G407" s="16"/>
      <c r="H407" s="16"/>
      <c r="I407" s="16"/>
      <c r="J407" s="8" t="str">
        <f aca="false">IF(AND(H407="Y",E407="Business checking (debit/ACH/check)"),"Counts toward 1099-NEC",IF(H407="Y","Paid by card/PayPal - 1099-K side",""))</f>
        <v/>
      </c>
      <c r="K407" s="16"/>
    </row>
    <row r="408" customFormat="false" ht="15" hidden="false" customHeight="false" outlineLevel="0" collapsed="false">
      <c r="A408" s="25"/>
      <c r="B408" s="16"/>
      <c r="C408" s="16"/>
      <c r="D408" s="26"/>
      <c r="E408" s="16"/>
      <c r="F408" s="16"/>
      <c r="G408" s="16"/>
      <c r="H408" s="16"/>
      <c r="I408" s="16"/>
      <c r="J408" s="8" t="str">
        <f aca="false">IF(AND(H408="Y",E408="Business checking (debit/ACH/check)"),"Counts toward 1099-NEC",IF(H408="Y","Paid by card/PayPal - 1099-K side",""))</f>
        <v/>
      </c>
      <c r="K408" s="16"/>
    </row>
    <row r="409" customFormat="false" ht="15" hidden="false" customHeight="false" outlineLevel="0" collapsed="false">
      <c r="A409" s="25"/>
      <c r="B409" s="16"/>
      <c r="C409" s="16"/>
      <c r="D409" s="26"/>
      <c r="E409" s="16"/>
      <c r="F409" s="16"/>
      <c r="G409" s="16"/>
      <c r="H409" s="16"/>
      <c r="I409" s="16"/>
      <c r="J409" s="8" t="str">
        <f aca="false">IF(AND(H409="Y",E409="Business checking (debit/ACH/check)"),"Counts toward 1099-NEC",IF(H409="Y","Paid by card/PayPal - 1099-K side",""))</f>
        <v/>
      </c>
      <c r="K409" s="16"/>
    </row>
    <row r="410" customFormat="false" ht="15" hidden="false" customHeight="false" outlineLevel="0" collapsed="false">
      <c r="A410" s="25"/>
      <c r="B410" s="16"/>
      <c r="C410" s="16"/>
      <c r="D410" s="26"/>
      <c r="E410" s="16"/>
      <c r="F410" s="16"/>
      <c r="G410" s="16"/>
      <c r="H410" s="16"/>
      <c r="I410" s="16"/>
      <c r="J410" s="8" t="str">
        <f aca="false">IF(AND(H410="Y",E410="Business checking (debit/ACH/check)"),"Counts toward 1099-NEC",IF(H410="Y","Paid by card/PayPal - 1099-K side",""))</f>
        <v/>
      </c>
      <c r="K410" s="16"/>
    </row>
    <row r="411" customFormat="false" ht="15" hidden="false" customHeight="false" outlineLevel="0" collapsed="false">
      <c r="A411" s="25"/>
      <c r="B411" s="16"/>
      <c r="C411" s="16"/>
      <c r="D411" s="26"/>
      <c r="E411" s="16"/>
      <c r="F411" s="16"/>
      <c r="G411" s="16"/>
      <c r="H411" s="16"/>
      <c r="I411" s="16"/>
      <c r="J411" s="8" t="str">
        <f aca="false">IF(AND(H411="Y",E411="Business checking (debit/ACH/check)"),"Counts toward 1099-NEC",IF(H411="Y","Paid by card/PayPal - 1099-K side",""))</f>
        <v/>
      </c>
      <c r="K411" s="16"/>
    </row>
    <row r="412" customFormat="false" ht="15" hidden="false" customHeight="false" outlineLevel="0" collapsed="false">
      <c r="A412" s="25"/>
      <c r="B412" s="16"/>
      <c r="C412" s="16"/>
      <c r="D412" s="26"/>
      <c r="E412" s="16"/>
      <c r="F412" s="16"/>
      <c r="G412" s="16"/>
      <c r="H412" s="16"/>
      <c r="I412" s="16"/>
      <c r="J412" s="8" t="str">
        <f aca="false">IF(AND(H412="Y",E412="Business checking (debit/ACH/check)"),"Counts toward 1099-NEC",IF(H412="Y","Paid by card/PayPal - 1099-K side",""))</f>
        <v/>
      </c>
      <c r="K412" s="16"/>
    </row>
    <row r="413" customFormat="false" ht="15" hidden="false" customHeight="false" outlineLevel="0" collapsed="false">
      <c r="A413" s="25"/>
      <c r="B413" s="16"/>
      <c r="C413" s="16"/>
      <c r="D413" s="26"/>
      <c r="E413" s="16"/>
      <c r="F413" s="16"/>
      <c r="G413" s="16"/>
      <c r="H413" s="16"/>
      <c r="I413" s="16"/>
      <c r="J413" s="8" t="str">
        <f aca="false">IF(AND(H413="Y",E413="Business checking (debit/ACH/check)"),"Counts toward 1099-NEC",IF(H413="Y","Paid by card/PayPal - 1099-K side",""))</f>
        <v/>
      </c>
      <c r="K413" s="16"/>
    </row>
    <row r="414" customFormat="false" ht="15" hidden="false" customHeight="false" outlineLevel="0" collapsed="false">
      <c r="A414" s="25"/>
      <c r="B414" s="16"/>
      <c r="C414" s="16"/>
      <c r="D414" s="26"/>
      <c r="E414" s="16"/>
      <c r="F414" s="16"/>
      <c r="G414" s="16"/>
      <c r="H414" s="16"/>
      <c r="I414" s="16"/>
      <c r="J414" s="8" t="str">
        <f aca="false">IF(AND(H414="Y",E414="Business checking (debit/ACH/check)"),"Counts toward 1099-NEC",IF(H414="Y","Paid by card/PayPal - 1099-K side",""))</f>
        <v/>
      </c>
      <c r="K414" s="16"/>
    </row>
    <row r="415" customFormat="false" ht="15" hidden="false" customHeight="false" outlineLevel="0" collapsed="false">
      <c r="A415" s="25"/>
      <c r="B415" s="16"/>
      <c r="C415" s="16"/>
      <c r="D415" s="26"/>
      <c r="E415" s="16"/>
      <c r="F415" s="16"/>
      <c r="G415" s="16"/>
      <c r="H415" s="16"/>
      <c r="I415" s="16"/>
      <c r="J415" s="8" t="str">
        <f aca="false">IF(AND(H415="Y",E415="Business checking (debit/ACH/check)"),"Counts toward 1099-NEC",IF(H415="Y","Paid by card/PayPal - 1099-K side",""))</f>
        <v/>
      </c>
      <c r="K415" s="16"/>
    </row>
    <row r="416" customFormat="false" ht="15" hidden="false" customHeight="false" outlineLevel="0" collapsed="false">
      <c r="A416" s="25"/>
      <c r="B416" s="16"/>
      <c r="C416" s="16"/>
      <c r="D416" s="26"/>
      <c r="E416" s="16"/>
      <c r="F416" s="16"/>
      <c r="G416" s="16"/>
      <c r="H416" s="16"/>
      <c r="I416" s="16"/>
      <c r="J416" s="8" t="str">
        <f aca="false">IF(AND(H416="Y",E416="Business checking (debit/ACH/check)"),"Counts toward 1099-NEC",IF(H416="Y","Paid by card/PayPal - 1099-K side",""))</f>
        <v/>
      </c>
      <c r="K416" s="16"/>
    </row>
    <row r="417" customFormat="false" ht="15" hidden="false" customHeight="false" outlineLevel="0" collapsed="false">
      <c r="A417" s="25"/>
      <c r="B417" s="16"/>
      <c r="C417" s="16"/>
      <c r="D417" s="26"/>
      <c r="E417" s="16"/>
      <c r="F417" s="16"/>
      <c r="G417" s="16"/>
      <c r="H417" s="16"/>
      <c r="I417" s="16"/>
      <c r="J417" s="8" t="str">
        <f aca="false">IF(AND(H417="Y",E417="Business checking (debit/ACH/check)"),"Counts toward 1099-NEC",IF(H417="Y","Paid by card/PayPal - 1099-K side",""))</f>
        <v/>
      </c>
      <c r="K417" s="16"/>
    </row>
    <row r="418" customFormat="false" ht="15" hidden="false" customHeight="false" outlineLevel="0" collapsed="false">
      <c r="A418" s="25"/>
      <c r="B418" s="16"/>
      <c r="C418" s="16"/>
      <c r="D418" s="26"/>
      <c r="E418" s="16"/>
      <c r="F418" s="16"/>
      <c r="G418" s="16"/>
      <c r="H418" s="16"/>
      <c r="I418" s="16"/>
      <c r="J418" s="8" t="str">
        <f aca="false">IF(AND(H418="Y",E418="Business checking (debit/ACH/check)"),"Counts toward 1099-NEC",IF(H418="Y","Paid by card/PayPal - 1099-K side",""))</f>
        <v/>
      </c>
      <c r="K418" s="16"/>
    </row>
    <row r="419" customFormat="false" ht="15" hidden="false" customHeight="false" outlineLevel="0" collapsed="false">
      <c r="A419" s="25"/>
      <c r="B419" s="16"/>
      <c r="C419" s="16"/>
      <c r="D419" s="26"/>
      <c r="E419" s="16"/>
      <c r="F419" s="16"/>
      <c r="G419" s="16"/>
      <c r="H419" s="16"/>
      <c r="I419" s="16"/>
      <c r="J419" s="8" t="str">
        <f aca="false">IF(AND(H419="Y",E419="Business checking (debit/ACH/check)"),"Counts toward 1099-NEC",IF(H419="Y","Paid by card/PayPal - 1099-K side",""))</f>
        <v/>
      </c>
      <c r="K419" s="16"/>
    </row>
    <row r="420" customFormat="false" ht="15" hidden="false" customHeight="false" outlineLevel="0" collapsed="false">
      <c r="A420" s="25"/>
      <c r="B420" s="16"/>
      <c r="C420" s="16"/>
      <c r="D420" s="26"/>
      <c r="E420" s="16"/>
      <c r="F420" s="16"/>
      <c r="G420" s="16"/>
      <c r="H420" s="16"/>
      <c r="I420" s="16"/>
      <c r="J420" s="8" t="str">
        <f aca="false">IF(AND(H420="Y",E420="Business checking (debit/ACH/check)"),"Counts toward 1099-NEC",IF(H420="Y","Paid by card/PayPal - 1099-K side",""))</f>
        <v/>
      </c>
      <c r="K420" s="16"/>
    </row>
    <row r="421" customFormat="false" ht="15" hidden="false" customHeight="false" outlineLevel="0" collapsed="false">
      <c r="A421" s="25"/>
      <c r="B421" s="16"/>
      <c r="C421" s="16"/>
      <c r="D421" s="26"/>
      <c r="E421" s="16"/>
      <c r="F421" s="16"/>
      <c r="G421" s="16"/>
      <c r="H421" s="16"/>
      <c r="I421" s="16"/>
      <c r="J421" s="8" t="str">
        <f aca="false">IF(AND(H421="Y",E421="Business checking (debit/ACH/check)"),"Counts toward 1099-NEC",IF(H421="Y","Paid by card/PayPal - 1099-K side",""))</f>
        <v/>
      </c>
      <c r="K421" s="16"/>
    </row>
    <row r="422" customFormat="false" ht="15" hidden="false" customHeight="false" outlineLevel="0" collapsed="false">
      <c r="A422" s="25"/>
      <c r="B422" s="16"/>
      <c r="C422" s="16"/>
      <c r="D422" s="26"/>
      <c r="E422" s="16"/>
      <c r="F422" s="16"/>
      <c r="G422" s="16"/>
      <c r="H422" s="16"/>
      <c r="I422" s="16"/>
      <c r="J422" s="8" t="str">
        <f aca="false">IF(AND(H422="Y",E422="Business checking (debit/ACH/check)"),"Counts toward 1099-NEC",IF(H422="Y","Paid by card/PayPal - 1099-K side",""))</f>
        <v/>
      </c>
      <c r="K422" s="16"/>
    </row>
    <row r="423" customFormat="false" ht="15" hidden="false" customHeight="false" outlineLevel="0" collapsed="false">
      <c r="A423" s="25"/>
      <c r="B423" s="16"/>
      <c r="C423" s="16"/>
      <c r="D423" s="26"/>
      <c r="E423" s="16"/>
      <c r="F423" s="16"/>
      <c r="G423" s="16"/>
      <c r="H423" s="16"/>
      <c r="I423" s="16"/>
      <c r="J423" s="8" t="str">
        <f aca="false">IF(AND(H423="Y",E423="Business checking (debit/ACH/check)"),"Counts toward 1099-NEC",IF(H423="Y","Paid by card/PayPal - 1099-K side",""))</f>
        <v/>
      </c>
      <c r="K423" s="16"/>
    </row>
    <row r="424" customFormat="false" ht="15" hidden="false" customHeight="false" outlineLevel="0" collapsed="false">
      <c r="A424" s="25"/>
      <c r="B424" s="16"/>
      <c r="C424" s="16"/>
      <c r="D424" s="26"/>
      <c r="E424" s="16"/>
      <c r="F424" s="16"/>
      <c r="G424" s="16"/>
      <c r="H424" s="16"/>
      <c r="I424" s="16"/>
      <c r="J424" s="8" t="str">
        <f aca="false">IF(AND(H424="Y",E424="Business checking (debit/ACH/check)"),"Counts toward 1099-NEC",IF(H424="Y","Paid by card/PayPal - 1099-K side",""))</f>
        <v/>
      </c>
      <c r="K424" s="16"/>
    </row>
    <row r="425" customFormat="false" ht="15" hidden="false" customHeight="false" outlineLevel="0" collapsed="false">
      <c r="A425" s="25"/>
      <c r="B425" s="16"/>
      <c r="C425" s="16"/>
      <c r="D425" s="26"/>
      <c r="E425" s="16"/>
      <c r="F425" s="16"/>
      <c r="G425" s="16"/>
      <c r="H425" s="16"/>
      <c r="I425" s="16"/>
      <c r="J425" s="8" t="str">
        <f aca="false">IF(AND(H425="Y",E425="Business checking (debit/ACH/check)"),"Counts toward 1099-NEC",IF(H425="Y","Paid by card/PayPal - 1099-K side",""))</f>
        <v/>
      </c>
      <c r="K425" s="16"/>
    </row>
    <row r="426" customFormat="false" ht="15" hidden="false" customHeight="false" outlineLevel="0" collapsed="false">
      <c r="A426" s="25"/>
      <c r="B426" s="16"/>
      <c r="C426" s="16"/>
      <c r="D426" s="26"/>
      <c r="E426" s="16"/>
      <c r="F426" s="16"/>
      <c r="G426" s="16"/>
      <c r="H426" s="16"/>
      <c r="I426" s="16"/>
      <c r="J426" s="8" t="str">
        <f aca="false">IF(AND(H426="Y",E426="Business checking (debit/ACH/check)"),"Counts toward 1099-NEC",IF(H426="Y","Paid by card/PayPal - 1099-K side",""))</f>
        <v/>
      </c>
      <c r="K426" s="16"/>
    </row>
    <row r="427" customFormat="false" ht="15" hidden="false" customHeight="false" outlineLevel="0" collapsed="false">
      <c r="A427" s="25"/>
      <c r="B427" s="16"/>
      <c r="C427" s="16"/>
      <c r="D427" s="26"/>
      <c r="E427" s="16"/>
      <c r="F427" s="16"/>
      <c r="G427" s="16"/>
      <c r="H427" s="16"/>
      <c r="I427" s="16"/>
      <c r="J427" s="8" t="str">
        <f aca="false">IF(AND(H427="Y",E427="Business checking (debit/ACH/check)"),"Counts toward 1099-NEC",IF(H427="Y","Paid by card/PayPal - 1099-K side",""))</f>
        <v/>
      </c>
      <c r="K427" s="16"/>
    </row>
    <row r="428" customFormat="false" ht="15" hidden="false" customHeight="false" outlineLevel="0" collapsed="false">
      <c r="A428" s="25"/>
      <c r="B428" s="16"/>
      <c r="C428" s="16"/>
      <c r="D428" s="26"/>
      <c r="E428" s="16"/>
      <c r="F428" s="16"/>
      <c r="G428" s="16"/>
      <c r="H428" s="16"/>
      <c r="I428" s="16"/>
      <c r="J428" s="8" t="str">
        <f aca="false">IF(AND(H428="Y",E428="Business checking (debit/ACH/check)"),"Counts toward 1099-NEC",IF(H428="Y","Paid by card/PayPal - 1099-K side",""))</f>
        <v/>
      </c>
      <c r="K428" s="16"/>
    </row>
    <row r="429" customFormat="false" ht="15" hidden="false" customHeight="false" outlineLevel="0" collapsed="false">
      <c r="A429" s="25"/>
      <c r="B429" s="16"/>
      <c r="C429" s="16"/>
      <c r="D429" s="26"/>
      <c r="E429" s="16"/>
      <c r="F429" s="16"/>
      <c r="G429" s="16"/>
      <c r="H429" s="16"/>
      <c r="I429" s="16"/>
      <c r="J429" s="8" t="str">
        <f aca="false">IF(AND(H429="Y",E429="Business checking (debit/ACH/check)"),"Counts toward 1099-NEC",IF(H429="Y","Paid by card/PayPal - 1099-K side",""))</f>
        <v/>
      </c>
      <c r="K429" s="16"/>
    </row>
    <row r="430" customFormat="false" ht="15" hidden="false" customHeight="false" outlineLevel="0" collapsed="false">
      <c r="A430" s="25"/>
      <c r="B430" s="16"/>
      <c r="C430" s="16"/>
      <c r="D430" s="26"/>
      <c r="E430" s="16"/>
      <c r="F430" s="16"/>
      <c r="G430" s="16"/>
      <c r="H430" s="16"/>
      <c r="I430" s="16"/>
      <c r="J430" s="8" t="str">
        <f aca="false">IF(AND(H430="Y",E430="Business checking (debit/ACH/check)"),"Counts toward 1099-NEC",IF(H430="Y","Paid by card/PayPal - 1099-K side",""))</f>
        <v/>
      </c>
      <c r="K430" s="16"/>
    </row>
    <row r="431" customFormat="false" ht="15" hidden="false" customHeight="false" outlineLevel="0" collapsed="false">
      <c r="A431" s="25"/>
      <c r="B431" s="16"/>
      <c r="C431" s="16"/>
      <c r="D431" s="26"/>
      <c r="E431" s="16"/>
      <c r="F431" s="16"/>
      <c r="G431" s="16"/>
      <c r="H431" s="16"/>
      <c r="I431" s="16"/>
      <c r="J431" s="8" t="str">
        <f aca="false">IF(AND(H431="Y",E431="Business checking (debit/ACH/check)"),"Counts toward 1099-NEC",IF(H431="Y","Paid by card/PayPal - 1099-K side",""))</f>
        <v/>
      </c>
      <c r="K431" s="16"/>
    </row>
    <row r="432" customFormat="false" ht="15" hidden="false" customHeight="false" outlineLevel="0" collapsed="false">
      <c r="A432" s="25"/>
      <c r="B432" s="16"/>
      <c r="C432" s="16"/>
      <c r="D432" s="26"/>
      <c r="E432" s="16"/>
      <c r="F432" s="16"/>
      <c r="G432" s="16"/>
      <c r="H432" s="16"/>
      <c r="I432" s="16"/>
      <c r="J432" s="8" t="str">
        <f aca="false">IF(AND(H432="Y",E432="Business checking (debit/ACH/check)"),"Counts toward 1099-NEC",IF(H432="Y","Paid by card/PayPal - 1099-K side",""))</f>
        <v/>
      </c>
      <c r="K432" s="16"/>
    </row>
    <row r="433" customFormat="false" ht="15" hidden="false" customHeight="false" outlineLevel="0" collapsed="false">
      <c r="A433" s="25"/>
      <c r="B433" s="16"/>
      <c r="C433" s="16"/>
      <c r="D433" s="26"/>
      <c r="E433" s="16"/>
      <c r="F433" s="16"/>
      <c r="G433" s="16"/>
      <c r="H433" s="16"/>
      <c r="I433" s="16"/>
      <c r="J433" s="8" t="str">
        <f aca="false">IF(AND(H433="Y",E433="Business checking (debit/ACH/check)"),"Counts toward 1099-NEC",IF(H433="Y","Paid by card/PayPal - 1099-K side",""))</f>
        <v/>
      </c>
      <c r="K433" s="16"/>
    </row>
    <row r="434" customFormat="false" ht="15" hidden="false" customHeight="false" outlineLevel="0" collapsed="false">
      <c r="A434" s="25"/>
      <c r="B434" s="16"/>
      <c r="C434" s="16"/>
      <c r="D434" s="26"/>
      <c r="E434" s="16"/>
      <c r="F434" s="16"/>
      <c r="G434" s="16"/>
      <c r="H434" s="16"/>
      <c r="I434" s="16"/>
      <c r="J434" s="8" t="str">
        <f aca="false">IF(AND(H434="Y",E434="Business checking (debit/ACH/check)"),"Counts toward 1099-NEC",IF(H434="Y","Paid by card/PayPal - 1099-K side",""))</f>
        <v/>
      </c>
      <c r="K434" s="16"/>
    </row>
    <row r="435" customFormat="false" ht="15" hidden="false" customHeight="false" outlineLevel="0" collapsed="false">
      <c r="A435" s="25"/>
      <c r="B435" s="16"/>
      <c r="C435" s="16"/>
      <c r="D435" s="26"/>
      <c r="E435" s="16"/>
      <c r="F435" s="16"/>
      <c r="G435" s="16"/>
      <c r="H435" s="16"/>
      <c r="I435" s="16"/>
      <c r="J435" s="8" t="str">
        <f aca="false">IF(AND(H435="Y",E435="Business checking (debit/ACH/check)"),"Counts toward 1099-NEC",IF(H435="Y","Paid by card/PayPal - 1099-K side",""))</f>
        <v/>
      </c>
      <c r="K435" s="16"/>
    </row>
    <row r="436" customFormat="false" ht="15" hidden="false" customHeight="false" outlineLevel="0" collapsed="false">
      <c r="A436" s="25"/>
      <c r="B436" s="16"/>
      <c r="C436" s="16"/>
      <c r="D436" s="26"/>
      <c r="E436" s="16"/>
      <c r="F436" s="16"/>
      <c r="G436" s="16"/>
      <c r="H436" s="16"/>
      <c r="I436" s="16"/>
      <c r="J436" s="8" t="str">
        <f aca="false">IF(AND(H436="Y",E436="Business checking (debit/ACH/check)"),"Counts toward 1099-NEC",IF(H436="Y","Paid by card/PayPal - 1099-K side",""))</f>
        <v/>
      </c>
      <c r="K436" s="16"/>
    </row>
    <row r="437" customFormat="false" ht="15" hidden="false" customHeight="false" outlineLevel="0" collapsed="false">
      <c r="A437" s="25"/>
      <c r="B437" s="16"/>
      <c r="C437" s="16"/>
      <c r="D437" s="26"/>
      <c r="E437" s="16"/>
      <c r="F437" s="16"/>
      <c r="G437" s="16"/>
      <c r="H437" s="16"/>
      <c r="I437" s="16"/>
      <c r="J437" s="8" t="str">
        <f aca="false">IF(AND(H437="Y",E437="Business checking (debit/ACH/check)"),"Counts toward 1099-NEC",IF(H437="Y","Paid by card/PayPal - 1099-K side",""))</f>
        <v/>
      </c>
      <c r="K437" s="16"/>
    </row>
    <row r="438" customFormat="false" ht="15" hidden="false" customHeight="false" outlineLevel="0" collapsed="false">
      <c r="A438" s="25"/>
      <c r="B438" s="16"/>
      <c r="C438" s="16"/>
      <c r="D438" s="26"/>
      <c r="E438" s="16"/>
      <c r="F438" s="16"/>
      <c r="G438" s="16"/>
      <c r="H438" s="16"/>
      <c r="I438" s="16"/>
      <c r="J438" s="8" t="str">
        <f aca="false">IF(AND(H438="Y",E438="Business checking (debit/ACH/check)"),"Counts toward 1099-NEC",IF(H438="Y","Paid by card/PayPal - 1099-K side",""))</f>
        <v/>
      </c>
      <c r="K438" s="16"/>
    </row>
    <row r="439" customFormat="false" ht="15" hidden="false" customHeight="false" outlineLevel="0" collapsed="false">
      <c r="A439" s="25"/>
      <c r="B439" s="16"/>
      <c r="C439" s="16"/>
      <c r="D439" s="26"/>
      <c r="E439" s="16"/>
      <c r="F439" s="16"/>
      <c r="G439" s="16"/>
      <c r="H439" s="16"/>
      <c r="I439" s="16"/>
      <c r="J439" s="8" t="str">
        <f aca="false">IF(AND(H439="Y",E439="Business checking (debit/ACH/check)"),"Counts toward 1099-NEC",IF(H439="Y","Paid by card/PayPal - 1099-K side",""))</f>
        <v/>
      </c>
      <c r="K439" s="16"/>
    </row>
    <row r="440" customFormat="false" ht="15" hidden="false" customHeight="false" outlineLevel="0" collapsed="false">
      <c r="A440" s="25"/>
      <c r="B440" s="16"/>
      <c r="C440" s="16"/>
      <c r="D440" s="26"/>
      <c r="E440" s="16"/>
      <c r="F440" s="16"/>
      <c r="G440" s="16"/>
      <c r="H440" s="16"/>
      <c r="I440" s="16"/>
      <c r="J440" s="8" t="str">
        <f aca="false">IF(AND(H440="Y",E440="Business checking (debit/ACH/check)"),"Counts toward 1099-NEC",IF(H440="Y","Paid by card/PayPal - 1099-K side",""))</f>
        <v/>
      </c>
      <c r="K440" s="16"/>
    </row>
    <row r="441" customFormat="false" ht="15" hidden="false" customHeight="false" outlineLevel="0" collapsed="false">
      <c r="A441" s="25"/>
      <c r="B441" s="16"/>
      <c r="C441" s="16"/>
      <c r="D441" s="26"/>
      <c r="E441" s="16"/>
      <c r="F441" s="16"/>
      <c r="G441" s="16"/>
      <c r="H441" s="16"/>
      <c r="I441" s="16"/>
      <c r="J441" s="8" t="str">
        <f aca="false">IF(AND(H441="Y",E441="Business checking (debit/ACH/check)"),"Counts toward 1099-NEC",IF(H441="Y","Paid by card/PayPal - 1099-K side",""))</f>
        <v/>
      </c>
      <c r="K441" s="16"/>
    </row>
    <row r="442" customFormat="false" ht="15" hidden="false" customHeight="false" outlineLevel="0" collapsed="false">
      <c r="A442" s="25"/>
      <c r="B442" s="16"/>
      <c r="C442" s="16"/>
      <c r="D442" s="26"/>
      <c r="E442" s="16"/>
      <c r="F442" s="16"/>
      <c r="G442" s="16"/>
      <c r="H442" s="16"/>
      <c r="I442" s="16"/>
      <c r="J442" s="8" t="str">
        <f aca="false">IF(AND(H442="Y",E442="Business checking (debit/ACH/check)"),"Counts toward 1099-NEC",IF(H442="Y","Paid by card/PayPal - 1099-K side",""))</f>
        <v/>
      </c>
      <c r="K442" s="16"/>
    </row>
    <row r="443" customFormat="false" ht="15" hidden="false" customHeight="false" outlineLevel="0" collapsed="false">
      <c r="A443" s="25"/>
      <c r="B443" s="16"/>
      <c r="C443" s="16"/>
      <c r="D443" s="26"/>
      <c r="E443" s="16"/>
      <c r="F443" s="16"/>
      <c r="G443" s="16"/>
      <c r="H443" s="16"/>
      <c r="I443" s="16"/>
      <c r="J443" s="8" t="str">
        <f aca="false">IF(AND(H443="Y",E443="Business checking (debit/ACH/check)"),"Counts toward 1099-NEC",IF(H443="Y","Paid by card/PayPal - 1099-K side",""))</f>
        <v/>
      </c>
      <c r="K443" s="16"/>
    </row>
    <row r="444" customFormat="false" ht="15" hidden="false" customHeight="false" outlineLevel="0" collapsed="false">
      <c r="A444" s="25"/>
      <c r="B444" s="16"/>
      <c r="C444" s="16"/>
      <c r="D444" s="26"/>
      <c r="E444" s="16"/>
      <c r="F444" s="16"/>
      <c r="G444" s="16"/>
      <c r="H444" s="16"/>
      <c r="I444" s="16"/>
      <c r="J444" s="8" t="str">
        <f aca="false">IF(AND(H444="Y",E444="Business checking (debit/ACH/check)"),"Counts toward 1099-NEC",IF(H444="Y","Paid by card/PayPal - 1099-K side",""))</f>
        <v/>
      </c>
      <c r="K444" s="16"/>
    </row>
    <row r="445" customFormat="false" ht="15" hidden="false" customHeight="false" outlineLevel="0" collapsed="false">
      <c r="A445" s="25"/>
      <c r="B445" s="16"/>
      <c r="C445" s="16"/>
      <c r="D445" s="26"/>
      <c r="E445" s="16"/>
      <c r="F445" s="16"/>
      <c r="G445" s="16"/>
      <c r="H445" s="16"/>
      <c r="I445" s="16"/>
      <c r="J445" s="8" t="str">
        <f aca="false">IF(AND(H445="Y",E445="Business checking (debit/ACH/check)"),"Counts toward 1099-NEC",IF(H445="Y","Paid by card/PayPal - 1099-K side",""))</f>
        <v/>
      </c>
      <c r="K445" s="16"/>
    </row>
    <row r="446" customFormat="false" ht="15" hidden="false" customHeight="false" outlineLevel="0" collapsed="false">
      <c r="A446" s="25"/>
      <c r="B446" s="16"/>
      <c r="C446" s="16"/>
      <c r="D446" s="26"/>
      <c r="E446" s="16"/>
      <c r="F446" s="16"/>
      <c r="G446" s="16"/>
      <c r="H446" s="16"/>
      <c r="I446" s="16"/>
      <c r="J446" s="8" t="str">
        <f aca="false">IF(AND(H446="Y",E446="Business checking (debit/ACH/check)"),"Counts toward 1099-NEC",IF(H446="Y","Paid by card/PayPal - 1099-K side",""))</f>
        <v/>
      </c>
      <c r="K446" s="16"/>
    </row>
    <row r="447" customFormat="false" ht="15" hidden="false" customHeight="false" outlineLevel="0" collapsed="false">
      <c r="A447" s="25"/>
      <c r="B447" s="16"/>
      <c r="C447" s="16"/>
      <c r="D447" s="26"/>
      <c r="E447" s="16"/>
      <c r="F447" s="16"/>
      <c r="G447" s="16"/>
      <c r="H447" s="16"/>
      <c r="I447" s="16"/>
      <c r="J447" s="8" t="str">
        <f aca="false">IF(AND(H447="Y",E447="Business checking (debit/ACH/check)"),"Counts toward 1099-NEC",IF(H447="Y","Paid by card/PayPal - 1099-K side",""))</f>
        <v/>
      </c>
      <c r="K447" s="16"/>
    </row>
    <row r="448" customFormat="false" ht="15" hidden="false" customHeight="false" outlineLevel="0" collapsed="false">
      <c r="A448" s="25"/>
      <c r="B448" s="16"/>
      <c r="C448" s="16"/>
      <c r="D448" s="26"/>
      <c r="E448" s="16"/>
      <c r="F448" s="16"/>
      <c r="G448" s="16"/>
      <c r="H448" s="16"/>
      <c r="I448" s="16"/>
      <c r="J448" s="8" t="str">
        <f aca="false">IF(AND(H448="Y",E448="Business checking (debit/ACH/check)"),"Counts toward 1099-NEC",IF(H448="Y","Paid by card/PayPal - 1099-K side",""))</f>
        <v/>
      </c>
      <c r="K448" s="16"/>
    </row>
    <row r="449" customFormat="false" ht="15" hidden="false" customHeight="false" outlineLevel="0" collapsed="false">
      <c r="A449" s="25"/>
      <c r="B449" s="16"/>
      <c r="C449" s="16"/>
      <c r="D449" s="26"/>
      <c r="E449" s="16"/>
      <c r="F449" s="16"/>
      <c r="G449" s="16"/>
      <c r="H449" s="16"/>
      <c r="I449" s="16"/>
      <c r="J449" s="8" t="str">
        <f aca="false">IF(AND(H449="Y",E449="Business checking (debit/ACH/check)"),"Counts toward 1099-NEC",IF(H449="Y","Paid by card/PayPal - 1099-K side",""))</f>
        <v/>
      </c>
      <c r="K449" s="16"/>
    </row>
    <row r="450" customFormat="false" ht="15" hidden="false" customHeight="false" outlineLevel="0" collapsed="false">
      <c r="A450" s="25"/>
      <c r="B450" s="16"/>
      <c r="C450" s="16"/>
      <c r="D450" s="26"/>
      <c r="E450" s="16"/>
      <c r="F450" s="16"/>
      <c r="G450" s="16"/>
      <c r="H450" s="16"/>
      <c r="I450" s="16"/>
      <c r="J450" s="8" t="str">
        <f aca="false">IF(AND(H450="Y",E450="Business checking (debit/ACH/check)"),"Counts toward 1099-NEC",IF(H450="Y","Paid by card/PayPal - 1099-K side",""))</f>
        <v/>
      </c>
      <c r="K450" s="16"/>
    </row>
    <row r="451" customFormat="false" ht="15" hidden="false" customHeight="false" outlineLevel="0" collapsed="false">
      <c r="A451" s="25"/>
      <c r="B451" s="16"/>
      <c r="C451" s="16"/>
      <c r="D451" s="26"/>
      <c r="E451" s="16"/>
      <c r="F451" s="16"/>
      <c r="G451" s="16"/>
      <c r="H451" s="16"/>
      <c r="I451" s="16"/>
      <c r="J451" s="8" t="str">
        <f aca="false">IF(AND(H451="Y",E451="Business checking (debit/ACH/check)"),"Counts toward 1099-NEC",IF(H451="Y","Paid by card/PayPal - 1099-K side",""))</f>
        <v/>
      </c>
      <c r="K451" s="16"/>
    </row>
    <row r="452" customFormat="false" ht="15" hidden="false" customHeight="false" outlineLevel="0" collapsed="false">
      <c r="A452" s="25"/>
      <c r="B452" s="16"/>
      <c r="C452" s="16"/>
      <c r="D452" s="26"/>
      <c r="E452" s="16"/>
      <c r="F452" s="16"/>
      <c r="G452" s="16"/>
      <c r="H452" s="16"/>
      <c r="I452" s="16"/>
      <c r="J452" s="8" t="str">
        <f aca="false">IF(AND(H452="Y",E452="Business checking (debit/ACH/check)"),"Counts toward 1099-NEC",IF(H452="Y","Paid by card/PayPal - 1099-K side",""))</f>
        <v/>
      </c>
      <c r="K452" s="16"/>
    </row>
    <row r="453" customFormat="false" ht="15" hidden="false" customHeight="false" outlineLevel="0" collapsed="false">
      <c r="A453" s="25"/>
      <c r="B453" s="16"/>
      <c r="C453" s="16"/>
      <c r="D453" s="26"/>
      <c r="E453" s="16"/>
      <c r="F453" s="16"/>
      <c r="G453" s="16"/>
      <c r="H453" s="16"/>
      <c r="I453" s="16"/>
      <c r="J453" s="8" t="str">
        <f aca="false">IF(AND(H453="Y",E453="Business checking (debit/ACH/check)"),"Counts toward 1099-NEC",IF(H453="Y","Paid by card/PayPal - 1099-K side",""))</f>
        <v/>
      </c>
      <c r="K453" s="16"/>
    </row>
    <row r="454" customFormat="false" ht="15" hidden="false" customHeight="false" outlineLevel="0" collapsed="false">
      <c r="A454" s="25"/>
      <c r="B454" s="16"/>
      <c r="C454" s="16"/>
      <c r="D454" s="26"/>
      <c r="E454" s="16"/>
      <c r="F454" s="16"/>
      <c r="G454" s="16"/>
      <c r="H454" s="16"/>
      <c r="I454" s="16"/>
      <c r="J454" s="8" t="str">
        <f aca="false">IF(AND(H454="Y",E454="Business checking (debit/ACH/check)"),"Counts toward 1099-NEC",IF(H454="Y","Paid by card/PayPal - 1099-K side",""))</f>
        <v/>
      </c>
      <c r="K454" s="16"/>
    </row>
    <row r="455" customFormat="false" ht="15" hidden="false" customHeight="false" outlineLevel="0" collapsed="false">
      <c r="A455" s="25"/>
      <c r="B455" s="16"/>
      <c r="C455" s="16"/>
      <c r="D455" s="26"/>
      <c r="E455" s="16"/>
      <c r="F455" s="16"/>
      <c r="G455" s="16"/>
      <c r="H455" s="16"/>
      <c r="I455" s="16"/>
      <c r="J455" s="8" t="str">
        <f aca="false">IF(AND(H455="Y",E455="Business checking (debit/ACH/check)"),"Counts toward 1099-NEC",IF(H455="Y","Paid by card/PayPal - 1099-K side",""))</f>
        <v/>
      </c>
      <c r="K455" s="16"/>
    </row>
    <row r="456" customFormat="false" ht="15" hidden="false" customHeight="false" outlineLevel="0" collapsed="false">
      <c r="A456" s="25"/>
      <c r="B456" s="16"/>
      <c r="C456" s="16"/>
      <c r="D456" s="26"/>
      <c r="E456" s="16"/>
      <c r="F456" s="16"/>
      <c r="G456" s="16"/>
      <c r="H456" s="16"/>
      <c r="I456" s="16"/>
      <c r="J456" s="8" t="str">
        <f aca="false">IF(AND(H456="Y",E456="Business checking (debit/ACH/check)"),"Counts toward 1099-NEC",IF(H456="Y","Paid by card/PayPal - 1099-K side",""))</f>
        <v/>
      </c>
      <c r="K456" s="16"/>
    </row>
    <row r="457" customFormat="false" ht="15" hidden="false" customHeight="false" outlineLevel="0" collapsed="false">
      <c r="A457" s="25"/>
      <c r="B457" s="16"/>
      <c r="C457" s="16"/>
      <c r="D457" s="26"/>
      <c r="E457" s="16"/>
      <c r="F457" s="16"/>
      <c r="G457" s="16"/>
      <c r="H457" s="16"/>
      <c r="I457" s="16"/>
      <c r="J457" s="8" t="str">
        <f aca="false">IF(AND(H457="Y",E457="Business checking (debit/ACH/check)"),"Counts toward 1099-NEC",IF(H457="Y","Paid by card/PayPal - 1099-K side",""))</f>
        <v/>
      </c>
      <c r="K457" s="16"/>
    </row>
    <row r="458" customFormat="false" ht="15" hidden="false" customHeight="false" outlineLevel="0" collapsed="false">
      <c r="A458" s="25"/>
      <c r="B458" s="16"/>
      <c r="C458" s="16"/>
      <c r="D458" s="26"/>
      <c r="E458" s="16"/>
      <c r="F458" s="16"/>
      <c r="G458" s="16"/>
      <c r="H458" s="16"/>
      <c r="I458" s="16"/>
      <c r="J458" s="8" t="str">
        <f aca="false">IF(AND(H458="Y",E458="Business checking (debit/ACH/check)"),"Counts toward 1099-NEC",IF(H458="Y","Paid by card/PayPal - 1099-K side",""))</f>
        <v/>
      </c>
      <c r="K458" s="16"/>
    </row>
    <row r="459" customFormat="false" ht="15" hidden="false" customHeight="false" outlineLevel="0" collapsed="false">
      <c r="A459" s="25"/>
      <c r="B459" s="16"/>
      <c r="C459" s="16"/>
      <c r="D459" s="26"/>
      <c r="E459" s="16"/>
      <c r="F459" s="16"/>
      <c r="G459" s="16"/>
      <c r="H459" s="16"/>
      <c r="I459" s="16"/>
      <c r="J459" s="8" t="str">
        <f aca="false">IF(AND(H459="Y",E459="Business checking (debit/ACH/check)"),"Counts toward 1099-NEC",IF(H459="Y","Paid by card/PayPal - 1099-K side",""))</f>
        <v/>
      </c>
      <c r="K459" s="16"/>
    </row>
    <row r="460" customFormat="false" ht="15" hidden="false" customHeight="false" outlineLevel="0" collapsed="false">
      <c r="A460" s="25"/>
      <c r="B460" s="16"/>
      <c r="C460" s="16"/>
      <c r="D460" s="26"/>
      <c r="E460" s="16"/>
      <c r="F460" s="16"/>
      <c r="G460" s="16"/>
      <c r="H460" s="16"/>
      <c r="I460" s="16"/>
      <c r="J460" s="8" t="str">
        <f aca="false">IF(AND(H460="Y",E460="Business checking (debit/ACH/check)"),"Counts toward 1099-NEC",IF(H460="Y","Paid by card/PayPal - 1099-K side",""))</f>
        <v/>
      </c>
      <c r="K460" s="16"/>
    </row>
    <row r="461" customFormat="false" ht="15" hidden="false" customHeight="false" outlineLevel="0" collapsed="false">
      <c r="A461" s="25"/>
      <c r="B461" s="16"/>
      <c r="C461" s="16"/>
      <c r="D461" s="26"/>
      <c r="E461" s="16"/>
      <c r="F461" s="16"/>
      <c r="G461" s="16"/>
      <c r="H461" s="16"/>
      <c r="I461" s="16"/>
      <c r="J461" s="8" t="str">
        <f aca="false">IF(AND(H461="Y",E461="Business checking (debit/ACH/check)"),"Counts toward 1099-NEC",IF(H461="Y","Paid by card/PayPal - 1099-K side",""))</f>
        <v/>
      </c>
      <c r="K461" s="16"/>
    </row>
    <row r="462" customFormat="false" ht="15" hidden="false" customHeight="false" outlineLevel="0" collapsed="false">
      <c r="A462" s="25"/>
      <c r="B462" s="16"/>
      <c r="C462" s="16"/>
      <c r="D462" s="26"/>
      <c r="E462" s="16"/>
      <c r="F462" s="16"/>
      <c r="G462" s="16"/>
      <c r="H462" s="16"/>
      <c r="I462" s="16"/>
      <c r="J462" s="8" t="str">
        <f aca="false">IF(AND(H462="Y",E462="Business checking (debit/ACH/check)"),"Counts toward 1099-NEC",IF(H462="Y","Paid by card/PayPal - 1099-K side",""))</f>
        <v/>
      </c>
      <c r="K462" s="16"/>
    </row>
    <row r="463" customFormat="false" ht="15" hidden="false" customHeight="false" outlineLevel="0" collapsed="false">
      <c r="A463" s="25"/>
      <c r="B463" s="16"/>
      <c r="C463" s="16"/>
      <c r="D463" s="26"/>
      <c r="E463" s="16"/>
      <c r="F463" s="16"/>
      <c r="G463" s="16"/>
      <c r="H463" s="16"/>
      <c r="I463" s="16"/>
      <c r="J463" s="8" t="str">
        <f aca="false">IF(AND(H463="Y",E463="Business checking (debit/ACH/check)"),"Counts toward 1099-NEC",IF(H463="Y","Paid by card/PayPal - 1099-K side",""))</f>
        <v/>
      </c>
      <c r="K463" s="16"/>
    </row>
    <row r="464" customFormat="false" ht="15" hidden="false" customHeight="false" outlineLevel="0" collapsed="false">
      <c r="A464" s="25"/>
      <c r="B464" s="16"/>
      <c r="C464" s="16"/>
      <c r="D464" s="26"/>
      <c r="E464" s="16"/>
      <c r="F464" s="16"/>
      <c r="G464" s="16"/>
      <c r="H464" s="16"/>
      <c r="I464" s="16"/>
      <c r="J464" s="8" t="str">
        <f aca="false">IF(AND(H464="Y",E464="Business checking (debit/ACH/check)"),"Counts toward 1099-NEC",IF(H464="Y","Paid by card/PayPal - 1099-K side",""))</f>
        <v/>
      </c>
      <c r="K464" s="16"/>
    </row>
    <row r="465" customFormat="false" ht="15" hidden="false" customHeight="false" outlineLevel="0" collapsed="false">
      <c r="A465" s="25"/>
      <c r="B465" s="16"/>
      <c r="C465" s="16"/>
      <c r="D465" s="26"/>
      <c r="E465" s="16"/>
      <c r="F465" s="16"/>
      <c r="G465" s="16"/>
      <c r="H465" s="16"/>
      <c r="I465" s="16"/>
      <c r="J465" s="8" t="str">
        <f aca="false">IF(AND(H465="Y",E465="Business checking (debit/ACH/check)"),"Counts toward 1099-NEC",IF(H465="Y","Paid by card/PayPal - 1099-K side",""))</f>
        <v/>
      </c>
      <c r="K465" s="16"/>
    </row>
    <row r="466" customFormat="false" ht="15" hidden="false" customHeight="false" outlineLevel="0" collapsed="false">
      <c r="A466" s="25"/>
      <c r="B466" s="16"/>
      <c r="C466" s="16"/>
      <c r="D466" s="26"/>
      <c r="E466" s="16"/>
      <c r="F466" s="16"/>
      <c r="G466" s="16"/>
      <c r="H466" s="16"/>
      <c r="I466" s="16"/>
      <c r="J466" s="8" t="str">
        <f aca="false">IF(AND(H466="Y",E466="Business checking (debit/ACH/check)"),"Counts toward 1099-NEC",IF(H466="Y","Paid by card/PayPal - 1099-K side",""))</f>
        <v/>
      </c>
      <c r="K466" s="16"/>
    </row>
    <row r="467" customFormat="false" ht="15" hidden="false" customHeight="false" outlineLevel="0" collapsed="false">
      <c r="A467" s="25"/>
      <c r="B467" s="16"/>
      <c r="C467" s="16"/>
      <c r="D467" s="26"/>
      <c r="E467" s="16"/>
      <c r="F467" s="16"/>
      <c r="G467" s="16"/>
      <c r="H467" s="16"/>
      <c r="I467" s="16"/>
      <c r="J467" s="8" t="str">
        <f aca="false">IF(AND(H467="Y",E467="Business checking (debit/ACH/check)"),"Counts toward 1099-NEC",IF(H467="Y","Paid by card/PayPal - 1099-K side",""))</f>
        <v/>
      </c>
      <c r="K467" s="16"/>
    </row>
    <row r="468" customFormat="false" ht="15" hidden="false" customHeight="false" outlineLevel="0" collapsed="false">
      <c r="A468" s="25"/>
      <c r="B468" s="16"/>
      <c r="C468" s="16"/>
      <c r="D468" s="26"/>
      <c r="E468" s="16"/>
      <c r="F468" s="16"/>
      <c r="G468" s="16"/>
      <c r="H468" s="16"/>
      <c r="I468" s="16"/>
      <c r="J468" s="8" t="str">
        <f aca="false">IF(AND(H468="Y",E468="Business checking (debit/ACH/check)"),"Counts toward 1099-NEC",IF(H468="Y","Paid by card/PayPal - 1099-K side",""))</f>
        <v/>
      </c>
      <c r="K468" s="16"/>
    </row>
    <row r="469" customFormat="false" ht="15" hidden="false" customHeight="false" outlineLevel="0" collapsed="false">
      <c r="A469" s="25"/>
      <c r="B469" s="16"/>
      <c r="C469" s="16"/>
      <c r="D469" s="26"/>
      <c r="E469" s="16"/>
      <c r="F469" s="16"/>
      <c r="G469" s="16"/>
      <c r="H469" s="16"/>
      <c r="I469" s="16"/>
      <c r="J469" s="8" t="str">
        <f aca="false">IF(AND(H469="Y",E469="Business checking (debit/ACH/check)"),"Counts toward 1099-NEC",IF(H469="Y","Paid by card/PayPal - 1099-K side",""))</f>
        <v/>
      </c>
      <c r="K469" s="16"/>
    </row>
    <row r="470" customFormat="false" ht="15" hidden="false" customHeight="false" outlineLevel="0" collapsed="false">
      <c r="A470" s="25"/>
      <c r="B470" s="16"/>
      <c r="C470" s="16"/>
      <c r="D470" s="26"/>
      <c r="E470" s="16"/>
      <c r="F470" s="16"/>
      <c r="G470" s="16"/>
      <c r="H470" s="16"/>
      <c r="I470" s="16"/>
      <c r="J470" s="8" t="str">
        <f aca="false">IF(AND(H470="Y",E470="Business checking (debit/ACH/check)"),"Counts toward 1099-NEC",IF(H470="Y","Paid by card/PayPal - 1099-K side",""))</f>
        <v/>
      </c>
      <c r="K470" s="16"/>
    </row>
    <row r="471" customFormat="false" ht="15" hidden="false" customHeight="false" outlineLevel="0" collapsed="false">
      <c r="A471" s="25"/>
      <c r="B471" s="16"/>
      <c r="C471" s="16"/>
      <c r="D471" s="26"/>
      <c r="E471" s="16"/>
      <c r="F471" s="16"/>
      <c r="G471" s="16"/>
      <c r="H471" s="16"/>
      <c r="I471" s="16"/>
      <c r="J471" s="8" t="str">
        <f aca="false">IF(AND(H471="Y",E471="Business checking (debit/ACH/check)"),"Counts toward 1099-NEC",IF(H471="Y","Paid by card/PayPal - 1099-K side",""))</f>
        <v/>
      </c>
      <c r="K471" s="16"/>
    </row>
    <row r="472" customFormat="false" ht="15" hidden="false" customHeight="false" outlineLevel="0" collapsed="false">
      <c r="A472" s="25"/>
      <c r="B472" s="16"/>
      <c r="C472" s="16"/>
      <c r="D472" s="26"/>
      <c r="E472" s="16"/>
      <c r="F472" s="16"/>
      <c r="G472" s="16"/>
      <c r="H472" s="16"/>
      <c r="I472" s="16"/>
      <c r="J472" s="8" t="str">
        <f aca="false">IF(AND(H472="Y",E472="Business checking (debit/ACH/check)"),"Counts toward 1099-NEC",IF(H472="Y","Paid by card/PayPal - 1099-K side",""))</f>
        <v/>
      </c>
      <c r="K472" s="16"/>
    </row>
    <row r="473" customFormat="false" ht="15" hidden="false" customHeight="false" outlineLevel="0" collapsed="false">
      <c r="A473" s="25"/>
      <c r="B473" s="16"/>
      <c r="C473" s="16"/>
      <c r="D473" s="26"/>
      <c r="E473" s="16"/>
      <c r="F473" s="16"/>
      <c r="G473" s="16"/>
      <c r="H473" s="16"/>
      <c r="I473" s="16"/>
      <c r="J473" s="8" t="str">
        <f aca="false">IF(AND(H473="Y",E473="Business checking (debit/ACH/check)"),"Counts toward 1099-NEC",IF(H473="Y","Paid by card/PayPal - 1099-K side",""))</f>
        <v/>
      </c>
      <c r="K473" s="16"/>
    </row>
    <row r="474" customFormat="false" ht="15" hidden="false" customHeight="false" outlineLevel="0" collapsed="false">
      <c r="A474" s="25"/>
      <c r="B474" s="16"/>
      <c r="C474" s="16"/>
      <c r="D474" s="26"/>
      <c r="E474" s="16"/>
      <c r="F474" s="16"/>
      <c r="G474" s="16"/>
      <c r="H474" s="16"/>
      <c r="I474" s="16"/>
      <c r="J474" s="8" t="str">
        <f aca="false">IF(AND(H474="Y",E474="Business checking (debit/ACH/check)"),"Counts toward 1099-NEC",IF(H474="Y","Paid by card/PayPal - 1099-K side",""))</f>
        <v/>
      </c>
      <c r="K474" s="16"/>
    </row>
    <row r="475" customFormat="false" ht="15" hidden="false" customHeight="false" outlineLevel="0" collapsed="false">
      <c r="A475" s="25"/>
      <c r="B475" s="16"/>
      <c r="C475" s="16"/>
      <c r="D475" s="26"/>
      <c r="E475" s="16"/>
      <c r="F475" s="16"/>
      <c r="G475" s="16"/>
      <c r="H475" s="16"/>
      <c r="I475" s="16"/>
      <c r="J475" s="8" t="str">
        <f aca="false">IF(AND(H475="Y",E475="Business checking (debit/ACH/check)"),"Counts toward 1099-NEC",IF(H475="Y","Paid by card/PayPal - 1099-K side",""))</f>
        <v/>
      </c>
      <c r="K475" s="16"/>
    </row>
    <row r="476" customFormat="false" ht="15" hidden="false" customHeight="false" outlineLevel="0" collapsed="false">
      <c r="A476" s="25"/>
      <c r="B476" s="16"/>
      <c r="C476" s="16"/>
      <c r="D476" s="26"/>
      <c r="E476" s="16"/>
      <c r="F476" s="16"/>
      <c r="G476" s="16"/>
      <c r="H476" s="16"/>
      <c r="I476" s="16"/>
      <c r="J476" s="8" t="str">
        <f aca="false">IF(AND(H476="Y",E476="Business checking (debit/ACH/check)"),"Counts toward 1099-NEC",IF(H476="Y","Paid by card/PayPal - 1099-K side",""))</f>
        <v/>
      </c>
      <c r="K476" s="16"/>
    </row>
    <row r="477" customFormat="false" ht="15" hidden="false" customHeight="false" outlineLevel="0" collapsed="false">
      <c r="A477" s="25"/>
      <c r="B477" s="16"/>
      <c r="C477" s="16"/>
      <c r="D477" s="26"/>
      <c r="E477" s="16"/>
      <c r="F477" s="16"/>
      <c r="G477" s="16"/>
      <c r="H477" s="16"/>
      <c r="I477" s="16"/>
      <c r="J477" s="8" t="str">
        <f aca="false">IF(AND(H477="Y",E477="Business checking (debit/ACH/check)"),"Counts toward 1099-NEC",IF(H477="Y","Paid by card/PayPal - 1099-K side",""))</f>
        <v/>
      </c>
      <c r="K477" s="16"/>
    </row>
    <row r="478" customFormat="false" ht="15" hidden="false" customHeight="false" outlineLevel="0" collapsed="false">
      <c r="A478" s="25"/>
      <c r="B478" s="16"/>
      <c r="C478" s="16"/>
      <c r="D478" s="26"/>
      <c r="E478" s="16"/>
      <c r="F478" s="16"/>
      <c r="G478" s="16"/>
      <c r="H478" s="16"/>
      <c r="I478" s="16"/>
      <c r="J478" s="8" t="str">
        <f aca="false">IF(AND(H478="Y",E478="Business checking (debit/ACH/check)"),"Counts toward 1099-NEC",IF(H478="Y","Paid by card/PayPal - 1099-K side",""))</f>
        <v/>
      </c>
      <c r="K478" s="16"/>
    </row>
    <row r="479" customFormat="false" ht="15" hidden="false" customHeight="false" outlineLevel="0" collapsed="false">
      <c r="A479" s="25"/>
      <c r="B479" s="16"/>
      <c r="C479" s="16"/>
      <c r="D479" s="26"/>
      <c r="E479" s="16"/>
      <c r="F479" s="16"/>
      <c r="G479" s="16"/>
      <c r="H479" s="16"/>
      <c r="I479" s="16"/>
      <c r="J479" s="8" t="str">
        <f aca="false">IF(AND(H479="Y",E479="Business checking (debit/ACH/check)"),"Counts toward 1099-NEC",IF(H479="Y","Paid by card/PayPal - 1099-K side",""))</f>
        <v/>
      </c>
      <c r="K479" s="16"/>
    </row>
    <row r="480" customFormat="false" ht="15" hidden="false" customHeight="false" outlineLevel="0" collapsed="false">
      <c r="A480" s="25"/>
      <c r="B480" s="16"/>
      <c r="C480" s="16"/>
      <c r="D480" s="26"/>
      <c r="E480" s="16"/>
      <c r="F480" s="16"/>
      <c r="G480" s="16"/>
      <c r="H480" s="16"/>
      <c r="I480" s="16"/>
      <c r="J480" s="8" t="str">
        <f aca="false">IF(AND(H480="Y",E480="Business checking (debit/ACH/check)"),"Counts toward 1099-NEC",IF(H480="Y","Paid by card/PayPal - 1099-K side",""))</f>
        <v/>
      </c>
      <c r="K480" s="16"/>
    </row>
    <row r="481" customFormat="false" ht="15" hidden="false" customHeight="false" outlineLevel="0" collapsed="false">
      <c r="A481" s="25"/>
      <c r="B481" s="16"/>
      <c r="C481" s="16"/>
      <c r="D481" s="26"/>
      <c r="E481" s="16"/>
      <c r="F481" s="16"/>
      <c r="G481" s="16"/>
      <c r="H481" s="16"/>
      <c r="I481" s="16"/>
      <c r="J481" s="8" t="str">
        <f aca="false">IF(AND(H481="Y",E481="Business checking (debit/ACH/check)"),"Counts toward 1099-NEC",IF(H481="Y","Paid by card/PayPal - 1099-K side",""))</f>
        <v/>
      </c>
      <c r="K481" s="16"/>
    </row>
    <row r="482" customFormat="false" ht="15" hidden="false" customHeight="false" outlineLevel="0" collapsed="false">
      <c r="A482" s="25"/>
      <c r="B482" s="16"/>
      <c r="C482" s="16"/>
      <c r="D482" s="26"/>
      <c r="E482" s="16"/>
      <c r="F482" s="16"/>
      <c r="G482" s="16"/>
      <c r="H482" s="16"/>
      <c r="I482" s="16"/>
      <c r="J482" s="8" t="str">
        <f aca="false">IF(AND(H482="Y",E482="Business checking (debit/ACH/check)"),"Counts toward 1099-NEC",IF(H482="Y","Paid by card/PayPal - 1099-K side",""))</f>
        <v/>
      </c>
      <c r="K482" s="16"/>
    </row>
    <row r="483" customFormat="false" ht="15" hidden="false" customHeight="false" outlineLevel="0" collapsed="false">
      <c r="A483" s="25"/>
      <c r="B483" s="16"/>
      <c r="C483" s="16"/>
      <c r="D483" s="26"/>
      <c r="E483" s="16"/>
      <c r="F483" s="16"/>
      <c r="G483" s="16"/>
      <c r="H483" s="16"/>
      <c r="I483" s="16"/>
      <c r="J483" s="8" t="str">
        <f aca="false">IF(AND(H483="Y",E483="Business checking (debit/ACH/check)"),"Counts toward 1099-NEC",IF(H483="Y","Paid by card/PayPal - 1099-K side",""))</f>
        <v/>
      </c>
      <c r="K483" s="16"/>
    </row>
    <row r="484" customFormat="false" ht="15" hidden="false" customHeight="false" outlineLevel="0" collapsed="false">
      <c r="A484" s="25"/>
      <c r="B484" s="16"/>
      <c r="C484" s="16"/>
      <c r="D484" s="26"/>
      <c r="E484" s="16"/>
      <c r="F484" s="16"/>
      <c r="G484" s="16"/>
      <c r="H484" s="16"/>
      <c r="I484" s="16"/>
      <c r="J484" s="8" t="str">
        <f aca="false">IF(AND(H484="Y",E484="Business checking (debit/ACH/check)"),"Counts toward 1099-NEC",IF(H484="Y","Paid by card/PayPal - 1099-K side",""))</f>
        <v/>
      </c>
      <c r="K484" s="16"/>
    </row>
    <row r="485" customFormat="false" ht="15" hidden="false" customHeight="false" outlineLevel="0" collapsed="false">
      <c r="A485" s="25"/>
      <c r="B485" s="16"/>
      <c r="C485" s="16"/>
      <c r="D485" s="26"/>
      <c r="E485" s="16"/>
      <c r="F485" s="16"/>
      <c r="G485" s="16"/>
      <c r="H485" s="16"/>
      <c r="I485" s="16"/>
      <c r="J485" s="8" t="str">
        <f aca="false">IF(AND(H485="Y",E485="Business checking (debit/ACH/check)"),"Counts toward 1099-NEC",IF(H485="Y","Paid by card/PayPal - 1099-K side",""))</f>
        <v/>
      </c>
      <c r="K485" s="16"/>
    </row>
    <row r="486" customFormat="false" ht="15" hidden="false" customHeight="false" outlineLevel="0" collapsed="false">
      <c r="A486" s="25"/>
      <c r="B486" s="16"/>
      <c r="C486" s="16"/>
      <c r="D486" s="26"/>
      <c r="E486" s="16"/>
      <c r="F486" s="16"/>
      <c r="G486" s="16"/>
      <c r="H486" s="16"/>
      <c r="I486" s="16"/>
      <c r="J486" s="8" t="str">
        <f aca="false">IF(AND(H486="Y",E486="Business checking (debit/ACH/check)"),"Counts toward 1099-NEC",IF(H486="Y","Paid by card/PayPal - 1099-K side",""))</f>
        <v/>
      </c>
      <c r="K486" s="16"/>
    </row>
    <row r="487" customFormat="false" ht="15" hidden="false" customHeight="false" outlineLevel="0" collapsed="false">
      <c r="A487" s="25"/>
      <c r="B487" s="16"/>
      <c r="C487" s="16"/>
      <c r="D487" s="26"/>
      <c r="E487" s="16"/>
      <c r="F487" s="16"/>
      <c r="G487" s="16"/>
      <c r="H487" s="16"/>
      <c r="I487" s="16"/>
      <c r="J487" s="8" t="str">
        <f aca="false">IF(AND(H487="Y",E487="Business checking (debit/ACH/check)"),"Counts toward 1099-NEC",IF(H487="Y","Paid by card/PayPal - 1099-K side",""))</f>
        <v/>
      </c>
      <c r="K487" s="16"/>
    </row>
    <row r="488" customFormat="false" ht="15" hidden="false" customHeight="false" outlineLevel="0" collapsed="false">
      <c r="A488" s="25"/>
      <c r="B488" s="16"/>
      <c r="C488" s="16"/>
      <c r="D488" s="26"/>
      <c r="E488" s="16"/>
      <c r="F488" s="16"/>
      <c r="G488" s="16"/>
      <c r="H488" s="16"/>
      <c r="I488" s="16"/>
      <c r="J488" s="8" t="str">
        <f aca="false">IF(AND(H488="Y",E488="Business checking (debit/ACH/check)"),"Counts toward 1099-NEC",IF(H488="Y","Paid by card/PayPal - 1099-K side",""))</f>
        <v/>
      </c>
      <c r="K488" s="16"/>
    </row>
    <row r="489" customFormat="false" ht="15" hidden="false" customHeight="false" outlineLevel="0" collapsed="false">
      <c r="A489" s="25"/>
      <c r="B489" s="16"/>
      <c r="C489" s="16"/>
      <c r="D489" s="26"/>
      <c r="E489" s="16"/>
      <c r="F489" s="16"/>
      <c r="G489" s="16"/>
      <c r="H489" s="16"/>
      <c r="I489" s="16"/>
      <c r="J489" s="8" t="str">
        <f aca="false">IF(AND(H489="Y",E489="Business checking (debit/ACH/check)"),"Counts toward 1099-NEC",IF(H489="Y","Paid by card/PayPal - 1099-K side",""))</f>
        <v/>
      </c>
      <c r="K489" s="16"/>
    </row>
    <row r="490" customFormat="false" ht="15" hidden="false" customHeight="false" outlineLevel="0" collapsed="false">
      <c r="A490" s="25"/>
      <c r="B490" s="16"/>
      <c r="C490" s="16"/>
      <c r="D490" s="26"/>
      <c r="E490" s="16"/>
      <c r="F490" s="16"/>
      <c r="G490" s="16"/>
      <c r="H490" s="16"/>
      <c r="I490" s="16"/>
      <c r="J490" s="8" t="str">
        <f aca="false">IF(AND(H490="Y",E490="Business checking (debit/ACH/check)"),"Counts toward 1099-NEC",IF(H490="Y","Paid by card/PayPal - 1099-K side",""))</f>
        <v/>
      </c>
      <c r="K490" s="16"/>
    </row>
    <row r="491" customFormat="false" ht="15" hidden="false" customHeight="false" outlineLevel="0" collapsed="false">
      <c r="A491" s="25"/>
      <c r="B491" s="16"/>
      <c r="C491" s="16"/>
      <c r="D491" s="26"/>
      <c r="E491" s="16"/>
      <c r="F491" s="16"/>
      <c r="G491" s="16"/>
      <c r="H491" s="16"/>
      <c r="I491" s="16"/>
      <c r="J491" s="8" t="str">
        <f aca="false">IF(AND(H491="Y",E491="Business checking (debit/ACH/check)"),"Counts toward 1099-NEC",IF(H491="Y","Paid by card/PayPal - 1099-K side",""))</f>
        <v/>
      </c>
      <c r="K491" s="16"/>
    </row>
    <row r="492" customFormat="false" ht="15" hidden="false" customHeight="false" outlineLevel="0" collapsed="false">
      <c r="A492" s="25"/>
      <c r="B492" s="16"/>
      <c r="C492" s="16"/>
      <c r="D492" s="26"/>
      <c r="E492" s="16"/>
      <c r="F492" s="16"/>
      <c r="G492" s="16"/>
      <c r="H492" s="16"/>
      <c r="I492" s="16"/>
      <c r="J492" s="8" t="str">
        <f aca="false">IF(AND(H492="Y",E492="Business checking (debit/ACH/check)"),"Counts toward 1099-NEC",IF(H492="Y","Paid by card/PayPal - 1099-K side",""))</f>
        <v/>
      </c>
      <c r="K492" s="16"/>
    </row>
    <row r="493" customFormat="false" ht="15" hidden="false" customHeight="false" outlineLevel="0" collapsed="false">
      <c r="A493" s="25"/>
      <c r="B493" s="16"/>
      <c r="C493" s="16"/>
      <c r="D493" s="26"/>
      <c r="E493" s="16"/>
      <c r="F493" s="16"/>
      <c r="G493" s="16"/>
      <c r="H493" s="16"/>
      <c r="I493" s="16"/>
      <c r="J493" s="8" t="str">
        <f aca="false">IF(AND(H493="Y",E493="Business checking (debit/ACH/check)"),"Counts toward 1099-NEC",IF(H493="Y","Paid by card/PayPal - 1099-K side",""))</f>
        <v/>
      </c>
      <c r="K493" s="16"/>
    </row>
    <row r="494" customFormat="false" ht="15" hidden="false" customHeight="false" outlineLevel="0" collapsed="false">
      <c r="A494" s="25"/>
      <c r="B494" s="16"/>
      <c r="C494" s="16"/>
      <c r="D494" s="26"/>
      <c r="E494" s="16"/>
      <c r="F494" s="16"/>
      <c r="G494" s="16"/>
      <c r="H494" s="16"/>
      <c r="I494" s="16"/>
      <c r="J494" s="8" t="str">
        <f aca="false">IF(AND(H494="Y",E494="Business checking (debit/ACH/check)"),"Counts toward 1099-NEC",IF(H494="Y","Paid by card/PayPal - 1099-K side",""))</f>
        <v/>
      </c>
      <c r="K494" s="16"/>
    </row>
    <row r="495" customFormat="false" ht="15" hidden="false" customHeight="false" outlineLevel="0" collapsed="false">
      <c r="A495" s="25"/>
      <c r="B495" s="16"/>
      <c r="C495" s="16"/>
      <c r="D495" s="26"/>
      <c r="E495" s="16"/>
      <c r="F495" s="16"/>
      <c r="G495" s="16"/>
      <c r="H495" s="16"/>
      <c r="I495" s="16"/>
      <c r="J495" s="8" t="str">
        <f aca="false">IF(AND(H495="Y",E495="Business checking (debit/ACH/check)"),"Counts toward 1099-NEC",IF(H495="Y","Paid by card/PayPal - 1099-K side",""))</f>
        <v/>
      </c>
      <c r="K495" s="16"/>
    </row>
    <row r="496" customFormat="false" ht="15" hidden="false" customHeight="false" outlineLevel="0" collapsed="false">
      <c r="A496" s="25"/>
      <c r="B496" s="16"/>
      <c r="C496" s="16"/>
      <c r="D496" s="26"/>
      <c r="E496" s="16"/>
      <c r="F496" s="16"/>
      <c r="G496" s="16"/>
      <c r="H496" s="16"/>
      <c r="I496" s="16"/>
      <c r="J496" s="8" t="str">
        <f aca="false">IF(AND(H496="Y",E496="Business checking (debit/ACH/check)"),"Counts toward 1099-NEC",IF(H496="Y","Paid by card/PayPal - 1099-K side",""))</f>
        <v/>
      </c>
      <c r="K496" s="16"/>
    </row>
    <row r="497" customFormat="false" ht="15" hidden="false" customHeight="false" outlineLevel="0" collapsed="false">
      <c r="A497" s="25"/>
      <c r="B497" s="16"/>
      <c r="C497" s="16"/>
      <c r="D497" s="26"/>
      <c r="E497" s="16"/>
      <c r="F497" s="16"/>
      <c r="G497" s="16"/>
      <c r="H497" s="16"/>
      <c r="I497" s="16"/>
      <c r="J497" s="8" t="str">
        <f aca="false">IF(AND(H497="Y",E497="Business checking (debit/ACH/check)"),"Counts toward 1099-NEC",IF(H497="Y","Paid by card/PayPal - 1099-K side",""))</f>
        <v/>
      </c>
      <c r="K497" s="16"/>
    </row>
    <row r="498" customFormat="false" ht="15" hidden="false" customHeight="false" outlineLevel="0" collapsed="false">
      <c r="A498" s="25"/>
      <c r="B498" s="16"/>
      <c r="C498" s="16"/>
      <c r="D498" s="26"/>
      <c r="E498" s="16"/>
      <c r="F498" s="16"/>
      <c r="G498" s="16"/>
      <c r="H498" s="16"/>
      <c r="I498" s="16"/>
      <c r="J498" s="8" t="str">
        <f aca="false">IF(AND(H498="Y",E498="Business checking (debit/ACH/check)"),"Counts toward 1099-NEC",IF(H498="Y","Paid by card/PayPal - 1099-K side",""))</f>
        <v/>
      </c>
      <c r="K498" s="16"/>
    </row>
    <row r="499" customFormat="false" ht="15" hidden="false" customHeight="false" outlineLevel="0" collapsed="false">
      <c r="A499" s="25"/>
      <c r="B499" s="16"/>
      <c r="C499" s="16"/>
      <c r="D499" s="26"/>
      <c r="E499" s="16"/>
      <c r="F499" s="16"/>
      <c r="G499" s="16"/>
      <c r="H499" s="16"/>
      <c r="I499" s="16"/>
      <c r="J499" s="8" t="str">
        <f aca="false">IF(AND(H499="Y",E499="Business checking (debit/ACH/check)"),"Counts toward 1099-NEC",IF(H499="Y","Paid by card/PayPal - 1099-K side",""))</f>
        <v/>
      </c>
      <c r="K499" s="16"/>
    </row>
    <row r="500" customFormat="false" ht="15" hidden="false" customHeight="false" outlineLevel="0" collapsed="false">
      <c r="A500" s="25"/>
      <c r="B500" s="16"/>
      <c r="C500" s="16"/>
      <c r="D500" s="26"/>
      <c r="E500" s="16"/>
      <c r="F500" s="16"/>
      <c r="G500" s="16"/>
      <c r="H500" s="16"/>
      <c r="I500" s="16"/>
      <c r="J500" s="8" t="str">
        <f aca="false">IF(AND(H500="Y",E500="Business checking (debit/ACH/check)"),"Counts toward 1099-NEC",IF(H500="Y","Paid by card/PayPal - 1099-K side",""))</f>
        <v/>
      </c>
      <c r="K500" s="16"/>
    </row>
    <row r="501" customFormat="false" ht="15" hidden="false" customHeight="false" outlineLevel="0" collapsed="false">
      <c r="A501" s="25"/>
      <c r="B501" s="16"/>
      <c r="C501" s="16"/>
      <c r="D501" s="26"/>
      <c r="E501" s="16"/>
      <c r="F501" s="16"/>
      <c r="G501" s="16"/>
      <c r="H501" s="16"/>
      <c r="I501" s="16"/>
      <c r="J501" s="8" t="str">
        <f aca="false">IF(AND(H501="Y",E501="Business checking (debit/ACH/check)"),"Counts toward 1099-NEC",IF(H501="Y","Paid by card/PayPal - 1099-K side",""))</f>
        <v/>
      </c>
      <c r="K501" s="16"/>
    </row>
    <row r="502" customFormat="false" ht="15" hidden="false" customHeight="false" outlineLevel="0" collapsed="false">
      <c r="A502" s="25"/>
      <c r="B502" s="16"/>
      <c r="C502" s="16"/>
      <c r="D502" s="26"/>
      <c r="E502" s="16"/>
      <c r="F502" s="16"/>
      <c r="G502" s="16"/>
      <c r="H502" s="16"/>
      <c r="I502" s="16"/>
      <c r="J502" s="8" t="str">
        <f aca="false">IF(AND(H502="Y",E502="Business checking (debit/ACH/check)"),"Counts toward 1099-NEC",IF(H502="Y","Paid by card/PayPal - 1099-K side",""))</f>
        <v/>
      </c>
      <c r="K502" s="16"/>
    </row>
    <row r="503" customFormat="false" ht="15" hidden="false" customHeight="false" outlineLevel="0" collapsed="false">
      <c r="A503" s="25"/>
      <c r="B503" s="16"/>
      <c r="C503" s="16"/>
      <c r="D503" s="26"/>
      <c r="E503" s="16"/>
      <c r="F503" s="16"/>
      <c r="G503" s="16"/>
      <c r="H503" s="16"/>
      <c r="I503" s="16"/>
      <c r="J503" s="8" t="str">
        <f aca="false">IF(AND(H503="Y",E503="Business checking (debit/ACH/check)"),"Counts toward 1099-NEC",IF(H503="Y","Paid by card/PayPal - 1099-K side",""))</f>
        <v/>
      </c>
      <c r="K503" s="16"/>
    </row>
    <row r="504" customFormat="false" ht="15" hidden="false" customHeight="false" outlineLevel="0" collapsed="false">
      <c r="A504" s="25"/>
      <c r="B504" s="16"/>
      <c r="C504" s="16"/>
      <c r="D504" s="26"/>
      <c r="E504" s="16"/>
      <c r="F504" s="16"/>
      <c r="G504" s="16"/>
      <c r="H504" s="16"/>
      <c r="I504" s="16"/>
      <c r="J504" s="8" t="str">
        <f aca="false">IF(AND(H504="Y",E504="Business checking (debit/ACH/check)"),"Counts toward 1099-NEC",IF(H504="Y","Paid by card/PayPal - 1099-K side",""))</f>
        <v/>
      </c>
      <c r="K504" s="16"/>
    </row>
    <row r="505" customFormat="false" ht="15" hidden="false" customHeight="false" outlineLevel="0" collapsed="false">
      <c r="A505" s="25"/>
      <c r="B505" s="16"/>
      <c r="C505" s="16"/>
      <c r="D505" s="26"/>
      <c r="E505" s="16"/>
      <c r="F505" s="16"/>
      <c r="G505" s="16"/>
      <c r="H505" s="16"/>
      <c r="I505" s="16"/>
      <c r="J505" s="8" t="str">
        <f aca="false">IF(AND(H505="Y",E505="Business checking (debit/ACH/check)"),"Counts toward 1099-NEC",IF(H505="Y","Paid by card/PayPal - 1099-K side",""))</f>
        <v/>
      </c>
      <c r="K505" s="16"/>
    </row>
    <row r="506" customFormat="false" ht="15" hidden="false" customHeight="false" outlineLevel="0" collapsed="false">
      <c r="A506" s="25"/>
      <c r="B506" s="16"/>
      <c r="C506" s="16"/>
      <c r="D506" s="26"/>
      <c r="E506" s="16"/>
      <c r="F506" s="16"/>
      <c r="G506" s="16"/>
      <c r="H506" s="16"/>
      <c r="I506" s="16"/>
      <c r="J506" s="8" t="str">
        <f aca="false">IF(AND(H506="Y",E506="Business checking (debit/ACH/check)"),"Counts toward 1099-NEC",IF(H506="Y","Paid by card/PayPal - 1099-K side",""))</f>
        <v/>
      </c>
      <c r="K506" s="16"/>
    </row>
    <row r="507" customFormat="false" ht="15" hidden="false" customHeight="false" outlineLevel="0" collapsed="false">
      <c r="A507" s="25"/>
      <c r="B507" s="16"/>
      <c r="C507" s="16"/>
      <c r="D507" s="26"/>
      <c r="E507" s="16"/>
      <c r="F507" s="16"/>
      <c r="G507" s="16"/>
      <c r="H507" s="16"/>
      <c r="I507" s="16"/>
      <c r="J507" s="8" t="str">
        <f aca="false">IF(AND(H507="Y",E507="Business checking (debit/ACH/check)"),"Counts toward 1099-NEC",IF(H507="Y","Paid by card/PayPal - 1099-K side",""))</f>
        <v/>
      </c>
      <c r="K507" s="16"/>
    </row>
    <row r="508" customFormat="false" ht="15" hidden="false" customHeight="false" outlineLevel="0" collapsed="false">
      <c r="A508" s="25"/>
      <c r="B508" s="16"/>
      <c r="C508" s="16"/>
      <c r="D508" s="26"/>
      <c r="E508" s="16"/>
      <c r="F508" s="16"/>
      <c r="G508" s="16"/>
      <c r="H508" s="16"/>
      <c r="I508" s="16"/>
      <c r="J508" s="8" t="str">
        <f aca="false">IF(AND(H508="Y",E508="Business checking (debit/ACH/check)"),"Counts toward 1099-NEC",IF(H508="Y","Paid by card/PayPal - 1099-K side",""))</f>
        <v/>
      </c>
      <c r="K508" s="16"/>
    </row>
    <row r="509" customFormat="false" ht="15" hidden="false" customHeight="false" outlineLevel="0" collapsed="false">
      <c r="A509" s="25"/>
      <c r="B509" s="16"/>
      <c r="C509" s="16"/>
      <c r="D509" s="26"/>
      <c r="E509" s="16"/>
      <c r="F509" s="16"/>
      <c r="G509" s="16"/>
      <c r="H509" s="16"/>
      <c r="I509" s="16"/>
      <c r="J509" s="8" t="str">
        <f aca="false">IF(AND(H509="Y",E509="Business checking (debit/ACH/check)"),"Counts toward 1099-NEC",IF(H509="Y","Paid by card/PayPal - 1099-K side",""))</f>
        <v/>
      </c>
      <c r="K509" s="16"/>
    </row>
    <row r="510" customFormat="false" ht="15" hidden="false" customHeight="false" outlineLevel="0" collapsed="false">
      <c r="A510" s="25"/>
      <c r="B510" s="16"/>
      <c r="C510" s="16"/>
      <c r="D510" s="26"/>
      <c r="E510" s="16"/>
      <c r="F510" s="16"/>
      <c r="G510" s="16"/>
      <c r="H510" s="16"/>
      <c r="I510" s="16"/>
      <c r="J510" s="8" t="str">
        <f aca="false">IF(AND(H510="Y",E510="Business checking (debit/ACH/check)"),"Counts toward 1099-NEC",IF(H510="Y","Paid by card/PayPal - 1099-K side",""))</f>
        <v/>
      </c>
      <c r="K510" s="16"/>
    </row>
    <row r="511" customFormat="false" ht="15" hidden="false" customHeight="false" outlineLevel="0" collapsed="false">
      <c r="A511" s="25"/>
      <c r="B511" s="16"/>
      <c r="C511" s="16"/>
      <c r="D511" s="26"/>
      <c r="E511" s="16"/>
      <c r="F511" s="16"/>
      <c r="G511" s="16"/>
      <c r="H511" s="16"/>
      <c r="I511" s="16"/>
      <c r="J511" s="8" t="str">
        <f aca="false">IF(AND(H511="Y",E511="Business checking (debit/ACH/check)"),"Counts toward 1099-NEC",IF(H511="Y","Paid by card/PayPal - 1099-K side",""))</f>
        <v/>
      </c>
      <c r="K511" s="16"/>
    </row>
    <row r="512" customFormat="false" ht="15" hidden="false" customHeight="false" outlineLevel="0" collapsed="false">
      <c r="A512" s="25"/>
      <c r="B512" s="16"/>
      <c r="C512" s="16"/>
      <c r="D512" s="26"/>
      <c r="E512" s="16"/>
      <c r="F512" s="16"/>
      <c r="G512" s="16"/>
      <c r="H512" s="16"/>
      <c r="I512" s="16"/>
      <c r="J512" s="8" t="str">
        <f aca="false">IF(AND(H512="Y",E512="Business checking (debit/ACH/check)"),"Counts toward 1099-NEC",IF(H512="Y","Paid by card/PayPal - 1099-K side",""))</f>
        <v/>
      </c>
      <c r="K512" s="16"/>
    </row>
    <row r="513" customFormat="false" ht="15" hidden="false" customHeight="false" outlineLevel="0" collapsed="false">
      <c r="A513" s="25"/>
      <c r="B513" s="16"/>
      <c r="C513" s="16"/>
      <c r="D513" s="26"/>
      <c r="E513" s="16"/>
      <c r="F513" s="16"/>
      <c r="G513" s="16"/>
      <c r="H513" s="16"/>
      <c r="I513" s="16"/>
      <c r="J513" s="8" t="str">
        <f aca="false">IF(AND(H513="Y",E513="Business checking (debit/ACH/check)"),"Counts toward 1099-NEC",IF(H513="Y","Paid by card/PayPal - 1099-K side",""))</f>
        <v/>
      </c>
      <c r="K513" s="16"/>
    </row>
    <row r="514" customFormat="false" ht="15" hidden="false" customHeight="false" outlineLevel="0" collapsed="false">
      <c r="A514" s="25"/>
      <c r="B514" s="16"/>
      <c r="C514" s="16"/>
      <c r="D514" s="26"/>
      <c r="E514" s="16"/>
      <c r="F514" s="16"/>
      <c r="G514" s="16"/>
      <c r="H514" s="16"/>
      <c r="I514" s="16"/>
      <c r="J514" s="8" t="str">
        <f aca="false">IF(AND(H514="Y",E514="Business checking (debit/ACH/check)"),"Counts toward 1099-NEC",IF(H514="Y","Paid by card/PayPal - 1099-K side",""))</f>
        <v/>
      </c>
      <c r="K514" s="16"/>
    </row>
    <row r="515" customFormat="false" ht="15" hidden="false" customHeight="false" outlineLevel="0" collapsed="false">
      <c r="A515" s="25"/>
      <c r="B515" s="16"/>
      <c r="C515" s="16"/>
      <c r="D515" s="26"/>
      <c r="E515" s="16"/>
      <c r="F515" s="16"/>
      <c r="G515" s="16"/>
      <c r="H515" s="16"/>
      <c r="I515" s="16"/>
      <c r="J515" s="8" t="str">
        <f aca="false">IF(AND(H515="Y",E515="Business checking (debit/ACH/check)"),"Counts toward 1099-NEC",IF(H515="Y","Paid by card/PayPal - 1099-K side",""))</f>
        <v/>
      </c>
      <c r="K515" s="16"/>
    </row>
    <row r="516" customFormat="false" ht="15" hidden="false" customHeight="false" outlineLevel="0" collapsed="false">
      <c r="A516" s="25"/>
      <c r="B516" s="16"/>
      <c r="C516" s="16"/>
      <c r="D516" s="26"/>
      <c r="E516" s="16"/>
      <c r="F516" s="16"/>
      <c r="G516" s="16"/>
      <c r="H516" s="16"/>
      <c r="I516" s="16"/>
      <c r="J516" s="8" t="str">
        <f aca="false">IF(AND(H516="Y",E516="Business checking (debit/ACH/check)"),"Counts toward 1099-NEC",IF(H516="Y","Paid by card/PayPal - 1099-K side",""))</f>
        <v/>
      </c>
      <c r="K516" s="16"/>
    </row>
    <row r="517" customFormat="false" ht="15" hidden="false" customHeight="false" outlineLevel="0" collapsed="false">
      <c r="A517" s="25"/>
      <c r="B517" s="16"/>
      <c r="C517" s="16"/>
      <c r="D517" s="26"/>
      <c r="E517" s="16"/>
      <c r="F517" s="16"/>
      <c r="G517" s="16"/>
      <c r="H517" s="16"/>
      <c r="I517" s="16"/>
      <c r="J517" s="8" t="str">
        <f aca="false">IF(AND(H517="Y",E517="Business checking (debit/ACH/check)"),"Counts toward 1099-NEC",IF(H517="Y","Paid by card/PayPal - 1099-K side",""))</f>
        <v/>
      </c>
      <c r="K517" s="16"/>
    </row>
    <row r="518" customFormat="false" ht="15" hidden="false" customHeight="false" outlineLevel="0" collapsed="false">
      <c r="A518" s="25"/>
      <c r="B518" s="16"/>
      <c r="C518" s="16"/>
      <c r="D518" s="26"/>
      <c r="E518" s="16"/>
      <c r="F518" s="16"/>
      <c r="G518" s="16"/>
      <c r="H518" s="16"/>
      <c r="I518" s="16"/>
      <c r="J518" s="8" t="str">
        <f aca="false">IF(AND(H518="Y",E518="Business checking (debit/ACH/check)"),"Counts toward 1099-NEC",IF(H518="Y","Paid by card/PayPal - 1099-K side",""))</f>
        <v/>
      </c>
      <c r="K518" s="16"/>
    </row>
    <row r="519" customFormat="false" ht="15" hidden="false" customHeight="false" outlineLevel="0" collapsed="false">
      <c r="A519" s="25"/>
      <c r="B519" s="16"/>
      <c r="C519" s="16"/>
      <c r="D519" s="26"/>
      <c r="E519" s="16"/>
      <c r="F519" s="16"/>
      <c r="G519" s="16"/>
      <c r="H519" s="16"/>
      <c r="I519" s="16"/>
      <c r="J519" s="8" t="str">
        <f aca="false">IF(AND(H519="Y",E519="Business checking (debit/ACH/check)"),"Counts toward 1099-NEC",IF(H519="Y","Paid by card/PayPal - 1099-K side",""))</f>
        <v/>
      </c>
      <c r="K519" s="16"/>
    </row>
    <row r="520" customFormat="false" ht="15" hidden="false" customHeight="false" outlineLevel="0" collapsed="false">
      <c r="A520" s="25"/>
      <c r="B520" s="16"/>
      <c r="C520" s="16"/>
      <c r="D520" s="26"/>
      <c r="E520" s="16"/>
      <c r="F520" s="16"/>
      <c r="G520" s="16"/>
      <c r="H520" s="16"/>
      <c r="I520" s="16"/>
      <c r="J520" s="8" t="str">
        <f aca="false">IF(AND(H520="Y",E520="Business checking (debit/ACH/check)"),"Counts toward 1099-NEC",IF(H520="Y","Paid by card/PayPal - 1099-K side",""))</f>
        <v/>
      </c>
      <c r="K520" s="16"/>
    </row>
    <row r="521" customFormat="false" ht="15" hidden="false" customHeight="false" outlineLevel="0" collapsed="false">
      <c r="A521" s="25"/>
      <c r="B521" s="16"/>
      <c r="C521" s="16"/>
      <c r="D521" s="26"/>
      <c r="E521" s="16"/>
      <c r="F521" s="16"/>
      <c r="G521" s="16"/>
      <c r="H521" s="16"/>
      <c r="I521" s="16"/>
      <c r="J521" s="8" t="str">
        <f aca="false">IF(AND(H521="Y",E521="Business checking (debit/ACH/check)"),"Counts toward 1099-NEC",IF(H521="Y","Paid by card/PayPal - 1099-K side",""))</f>
        <v/>
      </c>
      <c r="K521" s="16"/>
    </row>
    <row r="522" customFormat="false" ht="15" hidden="false" customHeight="false" outlineLevel="0" collapsed="false">
      <c r="A522" s="25"/>
      <c r="B522" s="16"/>
      <c r="C522" s="16"/>
      <c r="D522" s="26"/>
      <c r="E522" s="16"/>
      <c r="F522" s="16"/>
      <c r="G522" s="16"/>
      <c r="H522" s="16"/>
      <c r="I522" s="16"/>
      <c r="J522" s="8" t="str">
        <f aca="false">IF(AND(H522="Y",E522="Business checking (debit/ACH/check)"),"Counts toward 1099-NEC",IF(H522="Y","Paid by card/PayPal - 1099-K side",""))</f>
        <v/>
      </c>
      <c r="K522" s="16"/>
    </row>
    <row r="523" customFormat="false" ht="15" hidden="false" customHeight="false" outlineLevel="0" collapsed="false">
      <c r="A523" s="25"/>
      <c r="B523" s="16"/>
      <c r="C523" s="16"/>
      <c r="D523" s="26"/>
      <c r="E523" s="16"/>
      <c r="F523" s="16"/>
      <c r="G523" s="16"/>
      <c r="H523" s="16"/>
      <c r="I523" s="16"/>
      <c r="J523" s="8" t="str">
        <f aca="false">IF(AND(H523="Y",E523="Business checking (debit/ACH/check)"),"Counts toward 1099-NEC",IF(H523="Y","Paid by card/PayPal - 1099-K side",""))</f>
        <v/>
      </c>
      <c r="K523" s="16"/>
    </row>
    <row r="524" customFormat="false" ht="15" hidden="false" customHeight="false" outlineLevel="0" collapsed="false">
      <c r="A524" s="25"/>
      <c r="B524" s="16"/>
      <c r="C524" s="16"/>
      <c r="D524" s="26"/>
      <c r="E524" s="16"/>
      <c r="F524" s="16"/>
      <c r="G524" s="16"/>
      <c r="H524" s="16"/>
      <c r="I524" s="16"/>
      <c r="J524" s="8" t="str">
        <f aca="false">IF(AND(H524="Y",E524="Business checking (debit/ACH/check)"),"Counts toward 1099-NEC",IF(H524="Y","Paid by card/PayPal - 1099-K side",""))</f>
        <v/>
      </c>
      <c r="K524" s="16"/>
    </row>
    <row r="525" customFormat="false" ht="15" hidden="false" customHeight="false" outlineLevel="0" collapsed="false">
      <c r="A525" s="25"/>
      <c r="B525" s="16"/>
      <c r="C525" s="16"/>
      <c r="D525" s="26"/>
      <c r="E525" s="16"/>
      <c r="F525" s="16"/>
      <c r="G525" s="16"/>
      <c r="H525" s="16"/>
      <c r="I525" s="16"/>
      <c r="J525" s="8" t="str">
        <f aca="false">IF(AND(H525="Y",E525="Business checking (debit/ACH/check)"),"Counts toward 1099-NEC",IF(H525="Y","Paid by card/PayPal - 1099-K side",""))</f>
        <v/>
      </c>
      <c r="K525" s="16"/>
    </row>
    <row r="526" customFormat="false" ht="15" hidden="false" customHeight="false" outlineLevel="0" collapsed="false">
      <c r="A526" s="25"/>
      <c r="B526" s="16"/>
      <c r="C526" s="16"/>
      <c r="D526" s="26"/>
      <c r="E526" s="16"/>
      <c r="F526" s="16"/>
      <c r="G526" s="16"/>
      <c r="H526" s="16"/>
      <c r="I526" s="16"/>
      <c r="J526" s="8" t="str">
        <f aca="false">IF(AND(H526="Y",E526="Business checking (debit/ACH/check)"),"Counts toward 1099-NEC",IF(H526="Y","Paid by card/PayPal - 1099-K side",""))</f>
        <v/>
      </c>
      <c r="K526" s="16"/>
    </row>
    <row r="527" customFormat="false" ht="15" hidden="false" customHeight="false" outlineLevel="0" collapsed="false">
      <c r="A527" s="25"/>
      <c r="B527" s="16"/>
      <c r="C527" s="16"/>
      <c r="D527" s="26"/>
      <c r="E527" s="16"/>
      <c r="F527" s="16"/>
      <c r="G527" s="16"/>
      <c r="H527" s="16"/>
      <c r="I527" s="16"/>
      <c r="J527" s="8" t="str">
        <f aca="false">IF(AND(H527="Y",E527="Business checking (debit/ACH/check)"),"Counts toward 1099-NEC",IF(H527="Y","Paid by card/PayPal - 1099-K side",""))</f>
        <v/>
      </c>
      <c r="K527" s="16"/>
    </row>
    <row r="528" customFormat="false" ht="15" hidden="false" customHeight="false" outlineLevel="0" collapsed="false">
      <c r="A528" s="25"/>
      <c r="B528" s="16"/>
      <c r="C528" s="16"/>
      <c r="D528" s="26"/>
      <c r="E528" s="16"/>
      <c r="F528" s="16"/>
      <c r="G528" s="16"/>
      <c r="H528" s="16"/>
      <c r="I528" s="16"/>
      <c r="J528" s="8" t="str">
        <f aca="false">IF(AND(H528="Y",E528="Business checking (debit/ACH/check)"),"Counts toward 1099-NEC",IF(H528="Y","Paid by card/PayPal - 1099-K side",""))</f>
        <v/>
      </c>
      <c r="K528" s="16"/>
    </row>
    <row r="529" customFormat="false" ht="15" hidden="false" customHeight="false" outlineLevel="0" collapsed="false">
      <c r="A529" s="25"/>
      <c r="B529" s="16"/>
      <c r="C529" s="16"/>
      <c r="D529" s="26"/>
      <c r="E529" s="16"/>
      <c r="F529" s="16"/>
      <c r="G529" s="16"/>
      <c r="H529" s="16"/>
      <c r="I529" s="16"/>
      <c r="J529" s="8" t="str">
        <f aca="false">IF(AND(H529="Y",E529="Business checking (debit/ACH/check)"),"Counts toward 1099-NEC",IF(H529="Y","Paid by card/PayPal - 1099-K side",""))</f>
        <v/>
      </c>
      <c r="K529" s="16"/>
    </row>
    <row r="530" customFormat="false" ht="15" hidden="false" customHeight="false" outlineLevel="0" collapsed="false">
      <c r="A530" s="25"/>
      <c r="B530" s="16"/>
      <c r="C530" s="16"/>
      <c r="D530" s="26"/>
      <c r="E530" s="16"/>
      <c r="F530" s="16"/>
      <c r="G530" s="16"/>
      <c r="H530" s="16"/>
      <c r="I530" s="16"/>
      <c r="J530" s="8" t="str">
        <f aca="false">IF(AND(H530="Y",E530="Business checking (debit/ACH/check)"),"Counts toward 1099-NEC",IF(H530="Y","Paid by card/PayPal - 1099-K side",""))</f>
        <v/>
      </c>
      <c r="K530" s="16"/>
    </row>
    <row r="531" customFormat="false" ht="15" hidden="false" customHeight="false" outlineLevel="0" collapsed="false">
      <c r="A531" s="25"/>
      <c r="B531" s="16"/>
      <c r="C531" s="16"/>
      <c r="D531" s="26"/>
      <c r="E531" s="16"/>
      <c r="F531" s="16"/>
      <c r="G531" s="16"/>
      <c r="H531" s="16"/>
      <c r="I531" s="16"/>
      <c r="J531" s="8" t="str">
        <f aca="false">IF(AND(H531="Y",E531="Business checking (debit/ACH/check)"),"Counts toward 1099-NEC",IF(H531="Y","Paid by card/PayPal - 1099-K side",""))</f>
        <v/>
      </c>
      <c r="K531" s="16"/>
    </row>
    <row r="532" customFormat="false" ht="15" hidden="false" customHeight="false" outlineLevel="0" collapsed="false">
      <c r="A532" s="25"/>
      <c r="B532" s="16"/>
      <c r="C532" s="16"/>
      <c r="D532" s="26"/>
      <c r="E532" s="16"/>
      <c r="F532" s="16"/>
      <c r="G532" s="16"/>
      <c r="H532" s="16"/>
      <c r="I532" s="16"/>
      <c r="J532" s="8" t="str">
        <f aca="false">IF(AND(H532="Y",E532="Business checking (debit/ACH/check)"),"Counts toward 1099-NEC",IF(H532="Y","Paid by card/PayPal - 1099-K side",""))</f>
        <v/>
      </c>
      <c r="K532" s="16"/>
    </row>
    <row r="533" customFormat="false" ht="15" hidden="false" customHeight="false" outlineLevel="0" collapsed="false">
      <c r="A533" s="25"/>
      <c r="B533" s="16"/>
      <c r="C533" s="16"/>
      <c r="D533" s="26"/>
      <c r="E533" s="16"/>
      <c r="F533" s="16"/>
      <c r="G533" s="16"/>
      <c r="H533" s="16"/>
      <c r="I533" s="16"/>
      <c r="J533" s="8" t="str">
        <f aca="false">IF(AND(H533="Y",E533="Business checking (debit/ACH/check)"),"Counts toward 1099-NEC",IF(H533="Y","Paid by card/PayPal - 1099-K side",""))</f>
        <v/>
      </c>
      <c r="K533" s="16"/>
    </row>
    <row r="534" customFormat="false" ht="15" hidden="false" customHeight="false" outlineLevel="0" collapsed="false">
      <c r="A534" s="25"/>
      <c r="B534" s="16"/>
      <c r="C534" s="16"/>
      <c r="D534" s="26"/>
      <c r="E534" s="16"/>
      <c r="F534" s="16"/>
      <c r="G534" s="16"/>
      <c r="H534" s="16"/>
      <c r="I534" s="16"/>
      <c r="J534" s="8" t="str">
        <f aca="false">IF(AND(H534="Y",E534="Business checking (debit/ACH/check)"),"Counts toward 1099-NEC",IF(H534="Y","Paid by card/PayPal - 1099-K side",""))</f>
        <v/>
      </c>
      <c r="K534" s="16"/>
    </row>
    <row r="535" customFormat="false" ht="15" hidden="false" customHeight="false" outlineLevel="0" collapsed="false">
      <c r="A535" s="25"/>
      <c r="B535" s="16"/>
      <c r="C535" s="16"/>
      <c r="D535" s="26"/>
      <c r="E535" s="16"/>
      <c r="F535" s="16"/>
      <c r="G535" s="16"/>
      <c r="H535" s="16"/>
      <c r="I535" s="16"/>
      <c r="J535" s="8" t="str">
        <f aca="false">IF(AND(H535="Y",E535="Business checking (debit/ACH/check)"),"Counts toward 1099-NEC",IF(H535="Y","Paid by card/PayPal - 1099-K side",""))</f>
        <v/>
      </c>
      <c r="K535" s="16"/>
    </row>
    <row r="536" customFormat="false" ht="15" hidden="false" customHeight="false" outlineLevel="0" collapsed="false">
      <c r="A536" s="25"/>
      <c r="B536" s="16"/>
      <c r="C536" s="16"/>
      <c r="D536" s="26"/>
      <c r="E536" s="16"/>
      <c r="F536" s="16"/>
      <c r="G536" s="16"/>
      <c r="H536" s="16"/>
      <c r="I536" s="16"/>
      <c r="J536" s="8" t="str">
        <f aca="false">IF(AND(H536="Y",E536="Business checking (debit/ACH/check)"),"Counts toward 1099-NEC",IF(H536="Y","Paid by card/PayPal - 1099-K side",""))</f>
        <v/>
      </c>
      <c r="K536" s="16"/>
    </row>
    <row r="537" customFormat="false" ht="15" hidden="false" customHeight="false" outlineLevel="0" collapsed="false">
      <c r="A537" s="25"/>
      <c r="B537" s="16"/>
      <c r="C537" s="16"/>
      <c r="D537" s="26"/>
      <c r="E537" s="16"/>
      <c r="F537" s="16"/>
      <c r="G537" s="16"/>
      <c r="H537" s="16"/>
      <c r="I537" s="16"/>
      <c r="J537" s="8" t="str">
        <f aca="false">IF(AND(H537="Y",E537="Business checking (debit/ACH/check)"),"Counts toward 1099-NEC",IF(H537="Y","Paid by card/PayPal - 1099-K side",""))</f>
        <v/>
      </c>
      <c r="K537" s="16"/>
    </row>
    <row r="538" customFormat="false" ht="15" hidden="false" customHeight="false" outlineLevel="0" collapsed="false">
      <c r="A538" s="25"/>
      <c r="B538" s="16"/>
      <c r="C538" s="16"/>
      <c r="D538" s="26"/>
      <c r="E538" s="16"/>
      <c r="F538" s="16"/>
      <c r="G538" s="16"/>
      <c r="H538" s="16"/>
      <c r="I538" s="16"/>
      <c r="J538" s="8" t="str">
        <f aca="false">IF(AND(H538="Y",E538="Business checking (debit/ACH/check)"),"Counts toward 1099-NEC",IF(H538="Y","Paid by card/PayPal - 1099-K side",""))</f>
        <v/>
      </c>
      <c r="K538" s="16"/>
    </row>
    <row r="539" customFormat="false" ht="15" hidden="false" customHeight="false" outlineLevel="0" collapsed="false">
      <c r="A539" s="25"/>
      <c r="B539" s="16"/>
      <c r="C539" s="16"/>
      <c r="D539" s="26"/>
      <c r="E539" s="16"/>
      <c r="F539" s="16"/>
      <c r="G539" s="16"/>
      <c r="H539" s="16"/>
      <c r="I539" s="16"/>
      <c r="J539" s="8" t="str">
        <f aca="false">IF(AND(H539="Y",E539="Business checking (debit/ACH/check)"),"Counts toward 1099-NEC",IF(H539="Y","Paid by card/PayPal - 1099-K side",""))</f>
        <v/>
      </c>
      <c r="K539" s="16"/>
    </row>
    <row r="540" customFormat="false" ht="15" hidden="false" customHeight="false" outlineLevel="0" collapsed="false">
      <c r="A540" s="25"/>
      <c r="B540" s="16"/>
      <c r="C540" s="16"/>
      <c r="D540" s="26"/>
      <c r="E540" s="16"/>
      <c r="F540" s="16"/>
      <c r="G540" s="16"/>
      <c r="H540" s="16"/>
      <c r="I540" s="16"/>
      <c r="J540" s="8" t="str">
        <f aca="false">IF(AND(H540="Y",E540="Business checking (debit/ACH/check)"),"Counts toward 1099-NEC",IF(H540="Y","Paid by card/PayPal - 1099-K side",""))</f>
        <v/>
      </c>
      <c r="K540" s="16"/>
    </row>
    <row r="541" customFormat="false" ht="15" hidden="false" customHeight="false" outlineLevel="0" collapsed="false">
      <c r="A541" s="25"/>
      <c r="B541" s="16"/>
      <c r="C541" s="16"/>
      <c r="D541" s="26"/>
      <c r="E541" s="16"/>
      <c r="F541" s="16"/>
      <c r="G541" s="16"/>
      <c r="H541" s="16"/>
      <c r="I541" s="16"/>
      <c r="J541" s="8" t="str">
        <f aca="false">IF(AND(H541="Y",E541="Business checking (debit/ACH/check)"),"Counts toward 1099-NEC",IF(H541="Y","Paid by card/PayPal - 1099-K side",""))</f>
        <v/>
      </c>
      <c r="K541" s="16"/>
    </row>
    <row r="542" customFormat="false" ht="15" hidden="false" customHeight="false" outlineLevel="0" collapsed="false">
      <c r="A542" s="25"/>
      <c r="B542" s="16"/>
      <c r="C542" s="16"/>
      <c r="D542" s="26"/>
      <c r="E542" s="16"/>
      <c r="F542" s="16"/>
      <c r="G542" s="16"/>
      <c r="H542" s="16"/>
      <c r="I542" s="16"/>
      <c r="J542" s="8" t="str">
        <f aca="false">IF(AND(H542="Y",E542="Business checking (debit/ACH/check)"),"Counts toward 1099-NEC",IF(H542="Y","Paid by card/PayPal - 1099-K side",""))</f>
        <v/>
      </c>
      <c r="K542" s="16"/>
    </row>
    <row r="543" customFormat="false" ht="15" hidden="false" customHeight="false" outlineLevel="0" collapsed="false">
      <c r="A543" s="25"/>
      <c r="B543" s="16"/>
      <c r="C543" s="16"/>
      <c r="D543" s="26"/>
      <c r="E543" s="16"/>
      <c r="F543" s="16"/>
      <c r="G543" s="16"/>
      <c r="H543" s="16"/>
      <c r="I543" s="16"/>
      <c r="J543" s="8" t="str">
        <f aca="false">IF(AND(H543="Y",E543="Business checking (debit/ACH/check)"),"Counts toward 1099-NEC",IF(H543="Y","Paid by card/PayPal - 1099-K side",""))</f>
        <v/>
      </c>
      <c r="K543" s="16"/>
    </row>
    <row r="544" customFormat="false" ht="15" hidden="false" customHeight="false" outlineLevel="0" collapsed="false">
      <c r="A544" s="25"/>
      <c r="B544" s="16"/>
      <c r="C544" s="16"/>
      <c r="D544" s="26"/>
      <c r="E544" s="16"/>
      <c r="F544" s="16"/>
      <c r="G544" s="16"/>
      <c r="H544" s="16"/>
      <c r="I544" s="16"/>
      <c r="J544" s="8" t="str">
        <f aca="false">IF(AND(H544="Y",E544="Business checking (debit/ACH/check)"),"Counts toward 1099-NEC",IF(H544="Y","Paid by card/PayPal - 1099-K side",""))</f>
        <v/>
      </c>
      <c r="K544" s="16"/>
    </row>
    <row r="545" customFormat="false" ht="15" hidden="false" customHeight="false" outlineLevel="0" collapsed="false">
      <c r="A545" s="25"/>
      <c r="B545" s="16"/>
      <c r="C545" s="16"/>
      <c r="D545" s="26"/>
      <c r="E545" s="16"/>
      <c r="F545" s="16"/>
      <c r="G545" s="16"/>
      <c r="H545" s="16"/>
      <c r="I545" s="16"/>
      <c r="J545" s="8" t="str">
        <f aca="false">IF(AND(H545="Y",E545="Business checking (debit/ACH/check)"),"Counts toward 1099-NEC",IF(H545="Y","Paid by card/PayPal - 1099-K side",""))</f>
        <v/>
      </c>
      <c r="K545" s="16"/>
    </row>
    <row r="546" customFormat="false" ht="15" hidden="false" customHeight="false" outlineLevel="0" collapsed="false">
      <c r="A546" s="25"/>
      <c r="B546" s="16"/>
      <c r="C546" s="16"/>
      <c r="D546" s="26"/>
      <c r="E546" s="16"/>
      <c r="F546" s="16"/>
      <c r="G546" s="16"/>
      <c r="H546" s="16"/>
      <c r="I546" s="16"/>
      <c r="J546" s="8" t="str">
        <f aca="false">IF(AND(H546="Y",E546="Business checking (debit/ACH/check)"),"Counts toward 1099-NEC",IF(H546="Y","Paid by card/PayPal - 1099-K side",""))</f>
        <v/>
      </c>
      <c r="K546" s="16"/>
    </row>
    <row r="547" customFormat="false" ht="15" hidden="false" customHeight="false" outlineLevel="0" collapsed="false">
      <c r="A547" s="25"/>
      <c r="B547" s="16"/>
      <c r="C547" s="16"/>
      <c r="D547" s="26"/>
      <c r="E547" s="16"/>
      <c r="F547" s="16"/>
      <c r="G547" s="16"/>
      <c r="H547" s="16"/>
      <c r="I547" s="16"/>
      <c r="J547" s="8" t="str">
        <f aca="false">IF(AND(H547="Y",E547="Business checking (debit/ACH/check)"),"Counts toward 1099-NEC",IF(H547="Y","Paid by card/PayPal - 1099-K side",""))</f>
        <v/>
      </c>
      <c r="K547" s="16"/>
    </row>
    <row r="548" customFormat="false" ht="15" hidden="false" customHeight="false" outlineLevel="0" collapsed="false">
      <c r="A548" s="25"/>
      <c r="B548" s="16"/>
      <c r="C548" s="16"/>
      <c r="D548" s="26"/>
      <c r="E548" s="16"/>
      <c r="F548" s="16"/>
      <c r="G548" s="16"/>
      <c r="H548" s="16"/>
      <c r="I548" s="16"/>
      <c r="J548" s="8" t="str">
        <f aca="false">IF(AND(H548="Y",E548="Business checking (debit/ACH/check)"),"Counts toward 1099-NEC",IF(H548="Y","Paid by card/PayPal - 1099-K side",""))</f>
        <v/>
      </c>
      <c r="K548" s="16"/>
    </row>
    <row r="549" customFormat="false" ht="15" hidden="false" customHeight="false" outlineLevel="0" collapsed="false">
      <c r="A549" s="25"/>
      <c r="B549" s="16"/>
      <c r="C549" s="16"/>
      <c r="D549" s="26"/>
      <c r="E549" s="16"/>
      <c r="F549" s="16"/>
      <c r="G549" s="16"/>
      <c r="H549" s="16"/>
      <c r="I549" s="16"/>
      <c r="J549" s="8" t="str">
        <f aca="false">IF(AND(H549="Y",E549="Business checking (debit/ACH/check)"),"Counts toward 1099-NEC",IF(H549="Y","Paid by card/PayPal - 1099-K side",""))</f>
        <v/>
      </c>
      <c r="K549" s="16"/>
    </row>
    <row r="550" customFormat="false" ht="15" hidden="false" customHeight="false" outlineLevel="0" collapsed="false">
      <c r="A550" s="25"/>
      <c r="B550" s="16"/>
      <c r="C550" s="16"/>
      <c r="D550" s="26"/>
      <c r="E550" s="16"/>
      <c r="F550" s="16"/>
      <c r="G550" s="16"/>
      <c r="H550" s="16"/>
      <c r="I550" s="16"/>
      <c r="J550" s="8" t="str">
        <f aca="false">IF(AND(H550="Y",E550="Business checking (debit/ACH/check)"),"Counts toward 1099-NEC",IF(H550="Y","Paid by card/PayPal - 1099-K side",""))</f>
        <v/>
      </c>
      <c r="K550" s="16"/>
    </row>
    <row r="551" customFormat="false" ht="15" hidden="false" customHeight="false" outlineLevel="0" collapsed="false">
      <c r="A551" s="25"/>
      <c r="B551" s="16"/>
      <c r="C551" s="16"/>
      <c r="D551" s="26"/>
      <c r="E551" s="16"/>
      <c r="F551" s="16"/>
      <c r="G551" s="16"/>
      <c r="H551" s="16"/>
      <c r="I551" s="16"/>
      <c r="J551" s="8" t="str">
        <f aca="false">IF(AND(H551="Y",E551="Business checking (debit/ACH/check)"),"Counts toward 1099-NEC",IF(H551="Y","Paid by card/PayPal - 1099-K side",""))</f>
        <v/>
      </c>
      <c r="K551" s="16"/>
    </row>
    <row r="552" customFormat="false" ht="15" hidden="false" customHeight="false" outlineLevel="0" collapsed="false">
      <c r="A552" s="25"/>
      <c r="B552" s="16"/>
      <c r="C552" s="16"/>
      <c r="D552" s="26"/>
      <c r="E552" s="16"/>
      <c r="F552" s="16"/>
      <c r="G552" s="16"/>
      <c r="H552" s="16"/>
      <c r="I552" s="16"/>
      <c r="J552" s="8" t="str">
        <f aca="false">IF(AND(H552="Y",E552="Business checking (debit/ACH/check)"),"Counts toward 1099-NEC",IF(H552="Y","Paid by card/PayPal - 1099-K side",""))</f>
        <v/>
      </c>
      <c r="K552" s="16"/>
    </row>
    <row r="553" customFormat="false" ht="15" hidden="false" customHeight="false" outlineLevel="0" collapsed="false">
      <c r="A553" s="25"/>
      <c r="B553" s="16"/>
      <c r="C553" s="16"/>
      <c r="D553" s="26"/>
      <c r="E553" s="16"/>
      <c r="F553" s="16"/>
      <c r="G553" s="16"/>
      <c r="H553" s="16"/>
      <c r="I553" s="16"/>
      <c r="J553" s="8" t="str">
        <f aca="false">IF(AND(H553="Y",E553="Business checking (debit/ACH/check)"),"Counts toward 1099-NEC",IF(H553="Y","Paid by card/PayPal - 1099-K side",""))</f>
        <v/>
      </c>
      <c r="K553" s="16"/>
    </row>
    <row r="554" customFormat="false" ht="15" hidden="false" customHeight="false" outlineLevel="0" collapsed="false">
      <c r="A554" s="25"/>
      <c r="B554" s="16"/>
      <c r="C554" s="16"/>
      <c r="D554" s="26"/>
      <c r="E554" s="16"/>
      <c r="F554" s="16"/>
      <c r="G554" s="16"/>
      <c r="H554" s="16"/>
      <c r="I554" s="16"/>
      <c r="J554" s="8" t="str">
        <f aca="false">IF(AND(H554="Y",E554="Business checking (debit/ACH/check)"),"Counts toward 1099-NEC",IF(H554="Y","Paid by card/PayPal - 1099-K side",""))</f>
        <v/>
      </c>
      <c r="K554" s="16"/>
    </row>
    <row r="555" customFormat="false" ht="15" hidden="false" customHeight="false" outlineLevel="0" collapsed="false">
      <c r="A555" s="25"/>
      <c r="B555" s="16"/>
      <c r="C555" s="16"/>
      <c r="D555" s="26"/>
      <c r="E555" s="16"/>
      <c r="F555" s="16"/>
      <c r="G555" s="16"/>
      <c r="H555" s="16"/>
      <c r="I555" s="16"/>
      <c r="J555" s="8" t="str">
        <f aca="false">IF(AND(H555="Y",E555="Business checking (debit/ACH/check)"),"Counts toward 1099-NEC",IF(H555="Y","Paid by card/PayPal - 1099-K side",""))</f>
        <v/>
      </c>
      <c r="K555" s="16"/>
    </row>
    <row r="556" customFormat="false" ht="15" hidden="false" customHeight="false" outlineLevel="0" collapsed="false">
      <c r="A556" s="25"/>
      <c r="B556" s="16"/>
      <c r="C556" s="16"/>
      <c r="D556" s="26"/>
      <c r="E556" s="16"/>
      <c r="F556" s="16"/>
      <c r="G556" s="16"/>
      <c r="H556" s="16"/>
      <c r="I556" s="16"/>
      <c r="J556" s="8" t="str">
        <f aca="false">IF(AND(H556="Y",E556="Business checking (debit/ACH/check)"),"Counts toward 1099-NEC",IF(H556="Y","Paid by card/PayPal - 1099-K side",""))</f>
        <v/>
      </c>
      <c r="K556" s="16"/>
    </row>
    <row r="557" customFormat="false" ht="15" hidden="false" customHeight="false" outlineLevel="0" collapsed="false">
      <c r="A557" s="25"/>
      <c r="B557" s="16"/>
      <c r="C557" s="16"/>
      <c r="D557" s="26"/>
      <c r="E557" s="16"/>
      <c r="F557" s="16"/>
      <c r="G557" s="16"/>
      <c r="H557" s="16"/>
      <c r="I557" s="16"/>
      <c r="J557" s="8" t="str">
        <f aca="false">IF(AND(H557="Y",E557="Business checking (debit/ACH/check)"),"Counts toward 1099-NEC",IF(H557="Y","Paid by card/PayPal - 1099-K side",""))</f>
        <v/>
      </c>
      <c r="K557" s="16"/>
    </row>
    <row r="558" customFormat="false" ht="15" hidden="false" customHeight="false" outlineLevel="0" collapsed="false">
      <c r="A558" s="25"/>
      <c r="B558" s="16"/>
      <c r="C558" s="16"/>
      <c r="D558" s="26"/>
      <c r="E558" s="16"/>
      <c r="F558" s="16"/>
      <c r="G558" s="16"/>
      <c r="H558" s="16"/>
      <c r="I558" s="16"/>
      <c r="J558" s="8" t="str">
        <f aca="false">IF(AND(H558="Y",E558="Business checking (debit/ACH/check)"),"Counts toward 1099-NEC",IF(H558="Y","Paid by card/PayPal - 1099-K side",""))</f>
        <v/>
      </c>
      <c r="K558" s="16"/>
    </row>
    <row r="559" customFormat="false" ht="15" hidden="false" customHeight="false" outlineLevel="0" collapsed="false">
      <c r="A559" s="25"/>
      <c r="B559" s="16"/>
      <c r="C559" s="16"/>
      <c r="D559" s="26"/>
      <c r="E559" s="16"/>
      <c r="F559" s="16"/>
      <c r="G559" s="16"/>
      <c r="H559" s="16"/>
      <c r="I559" s="16"/>
      <c r="J559" s="8" t="str">
        <f aca="false">IF(AND(H559="Y",E559="Business checking (debit/ACH/check)"),"Counts toward 1099-NEC",IF(H559="Y","Paid by card/PayPal - 1099-K side",""))</f>
        <v/>
      </c>
      <c r="K559" s="16"/>
    </row>
    <row r="560" customFormat="false" ht="15" hidden="false" customHeight="false" outlineLevel="0" collapsed="false">
      <c r="A560" s="25"/>
      <c r="B560" s="16"/>
      <c r="C560" s="16"/>
      <c r="D560" s="26"/>
      <c r="E560" s="16"/>
      <c r="F560" s="16"/>
      <c r="G560" s="16"/>
      <c r="H560" s="16"/>
      <c r="I560" s="16"/>
      <c r="J560" s="8" t="str">
        <f aca="false">IF(AND(H560="Y",E560="Business checking (debit/ACH/check)"),"Counts toward 1099-NEC",IF(H560="Y","Paid by card/PayPal - 1099-K side",""))</f>
        <v/>
      </c>
      <c r="K560" s="16"/>
    </row>
    <row r="561" customFormat="false" ht="15" hidden="false" customHeight="false" outlineLevel="0" collapsed="false">
      <c r="A561" s="25"/>
      <c r="B561" s="16"/>
      <c r="C561" s="16"/>
      <c r="D561" s="26"/>
      <c r="E561" s="16"/>
      <c r="F561" s="16"/>
      <c r="G561" s="16"/>
      <c r="H561" s="16"/>
      <c r="I561" s="16"/>
      <c r="J561" s="8" t="str">
        <f aca="false">IF(AND(H561="Y",E561="Business checking (debit/ACH/check)"),"Counts toward 1099-NEC",IF(H561="Y","Paid by card/PayPal - 1099-K side",""))</f>
        <v/>
      </c>
      <c r="K561" s="16"/>
    </row>
    <row r="562" customFormat="false" ht="15" hidden="false" customHeight="false" outlineLevel="0" collapsed="false">
      <c r="A562" s="25"/>
      <c r="B562" s="16"/>
      <c r="C562" s="16"/>
      <c r="D562" s="26"/>
      <c r="E562" s="16"/>
      <c r="F562" s="16"/>
      <c r="G562" s="16"/>
      <c r="H562" s="16"/>
      <c r="I562" s="16"/>
      <c r="J562" s="8" t="str">
        <f aca="false">IF(AND(H562="Y",E562="Business checking (debit/ACH/check)"),"Counts toward 1099-NEC",IF(H562="Y","Paid by card/PayPal - 1099-K side",""))</f>
        <v/>
      </c>
      <c r="K562" s="16"/>
    </row>
    <row r="563" customFormat="false" ht="15" hidden="false" customHeight="false" outlineLevel="0" collapsed="false">
      <c r="A563" s="25"/>
      <c r="B563" s="16"/>
      <c r="C563" s="16"/>
      <c r="D563" s="26"/>
      <c r="E563" s="16"/>
      <c r="F563" s="16"/>
      <c r="G563" s="16"/>
      <c r="H563" s="16"/>
      <c r="I563" s="16"/>
      <c r="J563" s="8" t="str">
        <f aca="false">IF(AND(H563="Y",E563="Business checking (debit/ACH/check)"),"Counts toward 1099-NEC",IF(H563="Y","Paid by card/PayPal - 1099-K side",""))</f>
        <v/>
      </c>
      <c r="K563" s="16"/>
    </row>
    <row r="564" customFormat="false" ht="15" hidden="false" customHeight="false" outlineLevel="0" collapsed="false">
      <c r="A564" s="25"/>
      <c r="B564" s="16"/>
      <c r="C564" s="16"/>
      <c r="D564" s="26"/>
      <c r="E564" s="16"/>
      <c r="F564" s="16"/>
      <c r="G564" s="16"/>
      <c r="H564" s="16"/>
      <c r="I564" s="16"/>
      <c r="J564" s="8" t="str">
        <f aca="false">IF(AND(H564="Y",E564="Business checking (debit/ACH/check)"),"Counts toward 1099-NEC",IF(H564="Y","Paid by card/PayPal - 1099-K side",""))</f>
        <v/>
      </c>
      <c r="K564" s="16"/>
    </row>
    <row r="565" customFormat="false" ht="15" hidden="false" customHeight="false" outlineLevel="0" collapsed="false">
      <c r="A565" s="25"/>
      <c r="B565" s="16"/>
      <c r="C565" s="16"/>
      <c r="D565" s="26"/>
      <c r="E565" s="16"/>
      <c r="F565" s="16"/>
      <c r="G565" s="16"/>
      <c r="H565" s="16"/>
      <c r="I565" s="16"/>
      <c r="J565" s="8" t="str">
        <f aca="false">IF(AND(H565="Y",E565="Business checking (debit/ACH/check)"),"Counts toward 1099-NEC",IF(H565="Y","Paid by card/PayPal - 1099-K side",""))</f>
        <v/>
      </c>
      <c r="K565" s="16"/>
    </row>
    <row r="566" customFormat="false" ht="15" hidden="false" customHeight="false" outlineLevel="0" collapsed="false">
      <c r="A566" s="25"/>
      <c r="B566" s="16"/>
      <c r="C566" s="16"/>
      <c r="D566" s="26"/>
      <c r="E566" s="16"/>
      <c r="F566" s="16"/>
      <c r="G566" s="16"/>
      <c r="H566" s="16"/>
      <c r="I566" s="16"/>
      <c r="J566" s="8" t="str">
        <f aca="false">IF(AND(H566="Y",E566="Business checking (debit/ACH/check)"),"Counts toward 1099-NEC",IF(H566="Y","Paid by card/PayPal - 1099-K side",""))</f>
        <v/>
      </c>
      <c r="K566" s="16"/>
    </row>
    <row r="567" customFormat="false" ht="15" hidden="false" customHeight="false" outlineLevel="0" collapsed="false">
      <c r="A567" s="25"/>
      <c r="B567" s="16"/>
      <c r="C567" s="16"/>
      <c r="D567" s="26"/>
      <c r="E567" s="16"/>
      <c r="F567" s="16"/>
      <c r="G567" s="16"/>
      <c r="H567" s="16"/>
      <c r="I567" s="16"/>
      <c r="J567" s="8" t="str">
        <f aca="false">IF(AND(H567="Y",E567="Business checking (debit/ACH/check)"),"Counts toward 1099-NEC",IF(H567="Y","Paid by card/PayPal - 1099-K side",""))</f>
        <v/>
      </c>
      <c r="K567" s="16"/>
    </row>
    <row r="568" customFormat="false" ht="15" hidden="false" customHeight="false" outlineLevel="0" collapsed="false">
      <c r="A568" s="25"/>
      <c r="B568" s="16"/>
      <c r="C568" s="16"/>
      <c r="D568" s="26"/>
      <c r="E568" s="16"/>
      <c r="F568" s="16"/>
      <c r="G568" s="16"/>
      <c r="H568" s="16"/>
      <c r="I568" s="16"/>
      <c r="J568" s="8" t="str">
        <f aca="false">IF(AND(H568="Y",E568="Business checking (debit/ACH/check)"),"Counts toward 1099-NEC",IF(H568="Y","Paid by card/PayPal - 1099-K side",""))</f>
        <v/>
      </c>
      <c r="K568" s="16"/>
    </row>
    <row r="569" customFormat="false" ht="15" hidden="false" customHeight="false" outlineLevel="0" collapsed="false">
      <c r="A569" s="25"/>
      <c r="B569" s="16"/>
      <c r="C569" s="16"/>
      <c r="D569" s="26"/>
      <c r="E569" s="16"/>
      <c r="F569" s="16"/>
      <c r="G569" s="16"/>
      <c r="H569" s="16"/>
      <c r="I569" s="16"/>
      <c r="J569" s="8" t="str">
        <f aca="false">IF(AND(H569="Y",E569="Business checking (debit/ACH/check)"),"Counts toward 1099-NEC",IF(H569="Y","Paid by card/PayPal - 1099-K side",""))</f>
        <v/>
      </c>
      <c r="K569" s="16"/>
    </row>
    <row r="570" customFormat="false" ht="15" hidden="false" customHeight="false" outlineLevel="0" collapsed="false">
      <c r="A570" s="25"/>
      <c r="B570" s="16"/>
      <c r="C570" s="16"/>
      <c r="D570" s="26"/>
      <c r="E570" s="16"/>
      <c r="F570" s="16"/>
      <c r="G570" s="16"/>
      <c r="H570" s="16"/>
      <c r="I570" s="16"/>
      <c r="J570" s="8" t="str">
        <f aca="false">IF(AND(H570="Y",E570="Business checking (debit/ACH/check)"),"Counts toward 1099-NEC",IF(H570="Y","Paid by card/PayPal - 1099-K side",""))</f>
        <v/>
      </c>
      <c r="K570" s="16"/>
    </row>
    <row r="571" customFormat="false" ht="15" hidden="false" customHeight="false" outlineLevel="0" collapsed="false">
      <c r="A571" s="25"/>
      <c r="B571" s="16"/>
      <c r="C571" s="16"/>
      <c r="D571" s="26"/>
      <c r="E571" s="16"/>
      <c r="F571" s="16"/>
      <c r="G571" s="16"/>
      <c r="H571" s="16"/>
      <c r="I571" s="16"/>
      <c r="J571" s="8" t="str">
        <f aca="false">IF(AND(H571="Y",E571="Business checking (debit/ACH/check)"),"Counts toward 1099-NEC",IF(H571="Y","Paid by card/PayPal - 1099-K side",""))</f>
        <v/>
      </c>
      <c r="K571" s="16"/>
    </row>
    <row r="572" customFormat="false" ht="15" hidden="false" customHeight="false" outlineLevel="0" collapsed="false">
      <c r="A572" s="25"/>
      <c r="B572" s="16"/>
      <c r="C572" s="16"/>
      <c r="D572" s="26"/>
      <c r="E572" s="16"/>
      <c r="F572" s="16"/>
      <c r="G572" s="16"/>
      <c r="H572" s="16"/>
      <c r="I572" s="16"/>
      <c r="J572" s="8" t="str">
        <f aca="false">IF(AND(H572="Y",E572="Business checking (debit/ACH/check)"),"Counts toward 1099-NEC",IF(H572="Y","Paid by card/PayPal - 1099-K side",""))</f>
        <v/>
      </c>
      <c r="K572" s="16"/>
    </row>
    <row r="573" customFormat="false" ht="15" hidden="false" customHeight="false" outlineLevel="0" collapsed="false">
      <c r="A573" s="25"/>
      <c r="B573" s="16"/>
      <c r="C573" s="16"/>
      <c r="D573" s="26"/>
      <c r="E573" s="16"/>
      <c r="F573" s="16"/>
      <c r="G573" s="16"/>
      <c r="H573" s="16"/>
      <c r="I573" s="16"/>
      <c r="J573" s="8" t="str">
        <f aca="false">IF(AND(H573="Y",E573="Business checking (debit/ACH/check)"),"Counts toward 1099-NEC",IF(H573="Y","Paid by card/PayPal - 1099-K side",""))</f>
        <v/>
      </c>
      <c r="K573" s="16"/>
    </row>
    <row r="574" customFormat="false" ht="15" hidden="false" customHeight="false" outlineLevel="0" collapsed="false">
      <c r="A574" s="25"/>
      <c r="B574" s="16"/>
      <c r="C574" s="16"/>
      <c r="D574" s="26"/>
      <c r="E574" s="16"/>
      <c r="F574" s="16"/>
      <c r="G574" s="16"/>
      <c r="H574" s="16"/>
      <c r="I574" s="16"/>
      <c r="J574" s="8" t="str">
        <f aca="false">IF(AND(H574="Y",E574="Business checking (debit/ACH/check)"),"Counts toward 1099-NEC",IF(H574="Y","Paid by card/PayPal - 1099-K side",""))</f>
        <v/>
      </c>
      <c r="K574" s="16"/>
    </row>
    <row r="575" customFormat="false" ht="15" hidden="false" customHeight="false" outlineLevel="0" collapsed="false">
      <c r="A575" s="25"/>
      <c r="B575" s="16"/>
      <c r="C575" s="16"/>
      <c r="D575" s="26"/>
      <c r="E575" s="16"/>
      <c r="F575" s="16"/>
      <c r="G575" s="16"/>
      <c r="H575" s="16"/>
      <c r="I575" s="16"/>
      <c r="J575" s="8" t="str">
        <f aca="false">IF(AND(H575="Y",E575="Business checking (debit/ACH/check)"),"Counts toward 1099-NEC",IF(H575="Y","Paid by card/PayPal - 1099-K side",""))</f>
        <v/>
      </c>
      <c r="K575" s="16"/>
    </row>
    <row r="576" customFormat="false" ht="15" hidden="false" customHeight="false" outlineLevel="0" collapsed="false">
      <c r="A576" s="25"/>
      <c r="B576" s="16"/>
      <c r="C576" s="16"/>
      <c r="D576" s="26"/>
      <c r="E576" s="16"/>
      <c r="F576" s="16"/>
      <c r="G576" s="16"/>
      <c r="H576" s="16"/>
      <c r="I576" s="16"/>
      <c r="J576" s="8" t="str">
        <f aca="false">IF(AND(H576="Y",E576="Business checking (debit/ACH/check)"),"Counts toward 1099-NEC",IF(H576="Y","Paid by card/PayPal - 1099-K side",""))</f>
        <v/>
      </c>
      <c r="K576" s="16"/>
    </row>
    <row r="577" customFormat="false" ht="15" hidden="false" customHeight="false" outlineLevel="0" collapsed="false">
      <c r="A577" s="25"/>
      <c r="B577" s="16"/>
      <c r="C577" s="16"/>
      <c r="D577" s="26"/>
      <c r="E577" s="16"/>
      <c r="F577" s="16"/>
      <c r="G577" s="16"/>
      <c r="H577" s="16"/>
      <c r="I577" s="16"/>
      <c r="J577" s="8" t="str">
        <f aca="false">IF(AND(H577="Y",E577="Business checking (debit/ACH/check)"),"Counts toward 1099-NEC",IF(H577="Y","Paid by card/PayPal - 1099-K side",""))</f>
        <v/>
      </c>
      <c r="K577" s="16"/>
    </row>
    <row r="578" customFormat="false" ht="15" hidden="false" customHeight="false" outlineLevel="0" collapsed="false">
      <c r="A578" s="25"/>
      <c r="B578" s="16"/>
      <c r="C578" s="16"/>
      <c r="D578" s="26"/>
      <c r="E578" s="16"/>
      <c r="F578" s="16"/>
      <c r="G578" s="16"/>
      <c r="H578" s="16"/>
      <c r="I578" s="16"/>
      <c r="J578" s="8" t="str">
        <f aca="false">IF(AND(H578="Y",E578="Business checking (debit/ACH/check)"),"Counts toward 1099-NEC",IF(H578="Y","Paid by card/PayPal - 1099-K side",""))</f>
        <v/>
      </c>
      <c r="K578" s="16"/>
    </row>
    <row r="579" customFormat="false" ht="15" hidden="false" customHeight="false" outlineLevel="0" collapsed="false">
      <c r="A579" s="25"/>
      <c r="B579" s="16"/>
      <c r="C579" s="16"/>
      <c r="D579" s="26"/>
      <c r="E579" s="16"/>
      <c r="F579" s="16"/>
      <c r="G579" s="16"/>
      <c r="H579" s="16"/>
      <c r="I579" s="16"/>
      <c r="J579" s="8" t="str">
        <f aca="false">IF(AND(H579="Y",E579="Business checking (debit/ACH/check)"),"Counts toward 1099-NEC",IF(H579="Y","Paid by card/PayPal - 1099-K side",""))</f>
        <v/>
      </c>
      <c r="K579" s="16"/>
    </row>
    <row r="580" customFormat="false" ht="15" hidden="false" customHeight="false" outlineLevel="0" collapsed="false">
      <c r="A580" s="25"/>
      <c r="B580" s="16"/>
      <c r="C580" s="16"/>
      <c r="D580" s="26"/>
      <c r="E580" s="16"/>
      <c r="F580" s="16"/>
      <c r="G580" s="16"/>
      <c r="H580" s="16"/>
      <c r="I580" s="16"/>
      <c r="J580" s="8" t="str">
        <f aca="false">IF(AND(H580="Y",E580="Business checking (debit/ACH/check)"),"Counts toward 1099-NEC",IF(H580="Y","Paid by card/PayPal - 1099-K side",""))</f>
        <v/>
      </c>
      <c r="K580" s="16"/>
    </row>
    <row r="581" customFormat="false" ht="15" hidden="false" customHeight="false" outlineLevel="0" collapsed="false">
      <c r="A581" s="25"/>
      <c r="B581" s="16"/>
      <c r="C581" s="16"/>
      <c r="D581" s="26"/>
      <c r="E581" s="16"/>
      <c r="F581" s="16"/>
      <c r="G581" s="16"/>
      <c r="H581" s="16"/>
      <c r="I581" s="16"/>
      <c r="J581" s="8" t="str">
        <f aca="false">IF(AND(H581="Y",E581="Business checking (debit/ACH/check)"),"Counts toward 1099-NEC",IF(H581="Y","Paid by card/PayPal - 1099-K side",""))</f>
        <v/>
      </c>
      <c r="K581" s="16"/>
    </row>
    <row r="582" customFormat="false" ht="15" hidden="false" customHeight="false" outlineLevel="0" collapsed="false">
      <c r="A582" s="25"/>
      <c r="B582" s="16"/>
      <c r="C582" s="16"/>
      <c r="D582" s="26"/>
      <c r="E582" s="16"/>
      <c r="F582" s="16"/>
      <c r="G582" s="16"/>
      <c r="H582" s="16"/>
      <c r="I582" s="16"/>
      <c r="J582" s="8" t="str">
        <f aca="false">IF(AND(H582="Y",E582="Business checking (debit/ACH/check)"),"Counts toward 1099-NEC",IF(H582="Y","Paid by card/PayPal - 1099-K side",""))</f>
        <v/>
      </c>
      <c r="K582" s="16"/>
    </row>
    <row r="583" customFormat="false" ht="15" hidden="false" customHeight="false" outlineLevel="0" collapsed="false">
      <c r="A583" s="25"/>
      <c r="B583" s="16"/>
      <c r="C583" s="16"/>
      <c r="D583" s="26"/>
      <c r="E583" s="16"/>
      <c r="F583" s="16"/>
      <c r="G583" s="16"/>
      <c r="H583" s="16"/>
      <c r="I583" s="16"/>
      <c r="J583" s="8" t="str">
        <f aca="false">IF(AND(H583="Y",E583="Business checking (debit/ACH/check)"),"Counts toward 1099-NEC",IF(H583="Y","Paid by card/PayPal - 1099-K side",""))</f>
        <v/>
      </c>
      <c r="K583" s="16"/>
    </row>
    <row r="584" customFormat="false" ht="15" hidden="false" customHeight="false" outlineLevel="0" collapsed="false">
      <c r="A584" s="25"/>
      <c r="B584" s="16"/>
      <c r="C584" s="16"/>
      <c r="D584" s="26"/>
      <c r="E584" s="16"/>
      <c r="F584" s="16"/>
      <c r="G584" s="16"/>
      <c r="H584" s="16"/>
      <c r="I584" s="16"/>
      <c r="J584" s="8" t="str">
        <f aca="false">IF(AND(H584="Y",E584="Business checking (debit/ACH/check)"),"Counts toward 1099-NEC",IF(H584="Y","Paid by card/PayPal - 1099-K side",""))</f>
        <v/>
      </c>
      <c r="K584" s="16"/>
    </row>
    <row r="585" customFormat="false" ht="15" hidden="false" customHeight="false" outlineLevel="0" collapsed="false">
      <c r="A585" s="25"/>
      <c r="B585" s="16"/>
      <c r="C585" s="16"/>
      <c r="D585" s="26"/>
      <c r="E585" s="16"/>
      <c r="F585" s="16"/>
      <c r="G585" s="16"/>
      <c r="H585" s="16"/>
      <c r="I585" s="16"/>
      <c r="J585" s="8" t="str">
        <f aca="false">IF(AND(H585="Y",E585="Business checking (debit/ACH/check)"),"Counts toward 1099-NEC",IF(H585="Y","Paid by card/PayPal - 1099-K side",""))</f>
        <v/>
      </c>
      <c r="K585" s="16"/>
    </row>
    <row r="586" customFormat="false" ht="15" hidden="false" customHeight="false" outlineLevel="0" collapsed="false">
      <c r="A586" s="25"/>
      <c r="B586" s="16"/>
      <c r="C586" s="16"/>
      <c r="D586" s="26"/>
      <c r="E586" s="16"/>
      <c r="F586" s="16"/>
      <c r="G586" s="16"/>
      <c r="H586" s="16"/>
      <c r="I586" s="16"/>
      <c r="J586" s="8" t="str">
        <f aca="false">IF(AND(H586="Y",E586="Business checking (debit/ACH/check)"),"Counts toward 1099-NEC",IF(H586="Y","Paid by card/PayPal - 1099-K side",""))</f>
        <v/>
      </c>
      <c r="K586" s="16"/>
    </row>
    <row r="587" customFormat="false" ht="15" hidden="false" customHeight="false" outlineLevel="0" collapsed="false">
      <c r="A587" s="25"/>
      <c r="B587" s="16"/>
      <c r="C587" s="16"/>
      <c r="D587" s="26"/>
      <c r="E587" s="16"/>
      <c r="F587" s="16"/>
      <c r="G587" s="16"/>
      <c r="H587" s="16"/>
      <c r="I587" s="16"/>
      <c r="J587" s="8" t="str">
        <f aca="false">IF(AND(H587="Y",E587="Business checking (debit/ACH/check)"),"Counts toward 1099-NEC",IF(H587="Y","Paid by card/PayPal - 1099-K side",""))</f>
        <v/>
      </c>
      <c r="K587" s="16"/>
    </row>
    <row r="588" customFormat="false" ht="15" hidden="false" customHeight="false" outlineLevel="0" collapsed="false">
      <c r="A588" s="25"/>
      <c r="B588" s="16"/>
      <c r="C588" s="16"/>
      <c r="D588" s="26"/>
      <c r="E588" s="16"/>
      <c r="F588" s="16"/>
      <c r="G588" s="16"/>
      <c r="H588" s="16"/>
      <c r="I588" s="16"/>
      <c r="J588" s="8" t="str">
        <f aca="false">IF(AND(H588="Y",E588="Business checking (debit/ACH/check)"),"Counts toward 1099-NEC",IF(H588="Y","Paid by card/PayPal - 1099-K side",""))</f>
        <v/>
      </c>
      <c r="K588" s="16"/>
    </row>
    <row r="589" customFormat="false" ht="15" hidden="false" customHeight="false" outlineLevel="0" collapsed="false">
      <c r="A589" s="25"/>
      <c r="B589" s="16"/>
      <c r="C589" s="16"/>
      <c r="D589" s="26"/>
      <c r="E589" s="16"/>
      <c r="F589" s="16"/>
      <c r="G589" s="16"/>
      <c r="H589" s="16"/>
      <c r="I589" s="16"/>
      <c r="J589" s="8" t="str">
        <f aca="false">IF(AND(H589="Y",E589="Business checking (debit/ACH/check)"),"Counts toward 1099-NEC",IF(H589="Y","Paid by card/PayPal - 1099-K side",""))</f>
        <v/>
      </c>
      <c r="K589" s="16"/>
    </row>
    <row r="590" customFormat="false" ht="15" hidden="false" customHeight="false" outlineLevel="0" collapsed="false">
      <c r="A590" s="25"/>
      <c r="B590" s="16"/>
      <c r="C590" s="16"/>
      <c r="D590" s="26"/>
      <c r="E590" s="16"/>
      <c r="F590" s="16"/>
      <c r="G590" s="16"/>
      <c r="H590" s="16"/>
      <c r="I590" s="16"/>
      <c r="J590" s="8" t="str">
        <f aca="false">IF(AND(H590="Y",E590="Business checking (debit/ACH/check)"),"Counts toward 1099-NEC",IF(H590="Y","Paid by card/PayPal - 1099-K side",""))</f>
        <v/>
      </c>
      <c r="K590" s="16"/>
    </row>
    <row r="591" customFormat="false" ht="15" hidden="false" customHeight="false" outlineLevel="0" collapsed="false">
      <c r="A591" s="25"/>
      <c r="B591" s="16"/>
      <c r="C591" s="16"/>
      <c r="D591" s="26"/>
      <c r="E591" s="16"/>
      <c r="F591" s="16"/>
      <c r="G591" s="16"/>
      <c r="H591" s="16"/>
      <c r="I591" s="16"/>
      <c r="J591" s="8" t="str">
        <f aca="false">IF(AND(H591="Y",E591="Business checking (debit/ACH/check)"),"Counts toward 1099-NEC",IF(H591="Y","Paid by card/PayPal - 1099-K side",""))</f>
        <v/>
      </c>
      <c r="K591" s="16"/>
    </row>
    <row r="592" customFormat="false" ht="15" hidden="false" customHeight="false" outlineLevel="0" collapsed="false">
      <c r="A592" s="25"/>
      <c r="B592" s="16"/>
      <c r="C592" s="16"/>
      <c r="D592" s="26"/>
      <c r="E592" s="16"/>
      <c r="F592" s="16"/>
      <c r="G592" s="16"/>
      <c r="H592" s="16"/>
      <c r="I592" s="16"/>
      <c r="J592" s="8" t="str">
        <f aca="false">IF(AND(H592="Y",E592="Business checking (debit/ACH/check)"),"Counts toward 1099-NEC",IF(H592="Y","Paid by card/PayPal - 1099-K side",""))</f>
        <v/>
      </c>
      <c r="K592" s="16"/>
    </row>
    <row r="593" customFormat="false" ht="15" hidden="false" customHeight="false" outlineLevel="0" collapsed="false">
      <c r="A593" s="25"/>
      <c r="B593" s="16"/>
      <c r="C593" s="16"/>
      <c r="D593" s="26"/>
      <c r="E593" s="16"/>
      <c r="F593" s="16"/>
      <c r="G593" s="16"/>
      <c r="H593" s="16"/>
      <c r="I593" s="16"/>
      <c r="J593" s="8" t="str">
        <f aca="false">IF(AND(H593="Y",E593="Business checking (debit/ACH/check)"),"Counts toward 1099-NEC",IF(H593="Y","Paid by card/PayPal - 1099-K side",""))</f>
        <v/>
      </c>
      <c r="K593" s="16"/>
    </row>
    <row r="594" customFormat="false" ht="15" hidden="false" customHeight="false" outlineLevel="0" collapsed="false">
      <c r="A594" s="25"/>
      <c r="B594" s="16"/>
      <c r="C594" s="16"/>
      <c r="D594" s="26"/>
      <c r="E594" s="16"/>
      <c r="F594" s="16"/>
      <c r="G594" s="16"/>
      <c r="H594" s="16"/>
      <c r="I594" s="16"/>
      <c r="J594" s="8" t="str">
        <f aca="false">IF(AND(H594="Y",E594="Business checking (debit/ACH/check)"),"Counts toward 1099-NEC",IF(H594="Y","Paid by card/PayPal - 1099-K side",""))</f>
        <v/>
      </c>
      <c r="K594" s="16"/>
    </row>
    <row r="595" customFormat="false" ht="15" hidden="false" customHeight="false" outlineLevel="0" collapsed="false">
      <c r="A595" s="25"/>
      <c r="B595" s="16"/>
      <c r="C595" s="16"/>
      <c r="D595" s="26"/>
      <c r="E595" s="16"/>
      <c r="F595" s="16"/>
      <c r="G595" s="16"/>
      <c r="H595" s="16"/>
      <c r="I595" s="16"/>
      <c r="J595" s="8" t="str">
        <f aca="false">IF(AND(H595="Y",E595="Business checking (debit/ACH/check)"),"Counts toward 1099-NEC",IF(H595="Y","Paid by card/PayPal - 1099-K side",""))</f>
        <v/>
      </c>
      <c r="K595" s="16"/>
    </row>
    <row r="596" customFormat="false" ht="15" hidden="false" customHeight="false" outlineLevel="0" collapsed="false">
      <c r="A596" s="25"/>
      <c r="B596" s="16"/>
      <c r="C596" s="16"/>
      <c r="D596" s="26"/>
      <c r="E596" s="16"/>
      <c r="F596" s="16"/>
      <c r="G596" s="16"/>
      <c r="H596" s="16"/>
      <c r="I596" s="16"/>
      <c r="J596" s="8" t="str">
        <f aca="false">IF(AND(H596="Y",E596="Business checking (debit/ACH/check)"),"Counts toward 1099-NEC",IF(H596="Y","Paid by card/PayPal - 1099-K side",""))</f>
        <v/>
      </c>
      <c r="K596" s="16"/>
    </row>
    <row r="597" customFormat="false" ht="15" hidden="false" customHeight="false" outlineLevel="0" collapsed="false">
      <c r="A597" s="25"/>
      <c r="B597" s="16"/>
      <c r="C597" s="16"/>
      <c r="D597" s="26"/>
      <c r="E597" s="16"/>
      <c r="F597" s="16"/>
      <c r="G597" s="16"/>
      <c r="H597" s="16"/>
      <c r="I597" s="16"/>
      <c r="J597" s="8" t="str">
        <f aca="false">IF(AND(H597="Y",E597="Business checking (debit/ACH/check)"),"Counts toward 1099-NEC",IF(H597="Y","Paid by card/PayPal - 1099-K side",""))</f>
        <v/>
      </c>
      <c r="K597" s="16"/>
    </row>
    <row r="598" customFormat="false" ht="15" hidden="false" customHeight="false" outlineLevel="0" collapsed="false">
      <c r="A598" s="25"/>
      <c r="B598" s="16"/>
      <c r="C598" s="16"/>
      <c r="D598" s="26"/>
      <c r="E598" s="16"/>
      <c r="F598" s="16"/>
      <c r="G598" s="16"/>
      <c r="H598" s="16"/>
      <c r="I598" s="16"/>
      <c r="J598" s="8" t="str">
        <f aca="false">IF(AND(H598="Y",E598="Business checking (debit/ACH/check)"),"Counts toward 1099-NEC",IF(H598="Y","Paid by card/PayPal - 1099-K side",""))</f>
        <v/>
      </c>
      <c r="K598" s="16"/>
    </row>
    <row r="599" customFormat="false" ht="15" hidden="false" customHeight="false" outlineLevel="0" collapsed="false">
      <c r="A599" s="25"/>
      <c r="B599" s="16"/>
      <c r="C599" s="16"/>
      <c r="D599" s="26"/>
      <c r="E599" s="16"/>
      <c r="F599" s="16"/>
      <c r="G599" s="16"/>
      <c r="H599" s="16"/>
      <c r="I599" s="16"/>
      <c r="J599" s="8" t="str">
        <f aca="false">IF(AND(H599="Y",E599="Business checking (debit/ACH/check)"),"Counts toward 1099-NEC",IF(H599="Y","Paid by card/PayPal - 1099-K side",""))</f>
        <v/>
      </c>
      <c r="K599" s="16"/>
    </row>
    <row r="600" customFormat="false" ht="15" hidden="false" customHeight="false" outlineLevel="0" collapsed="false">
      <c r="A600" s="25"/>
      <c r="B600" s="16"/>
      <c r="C600" s="16"/>
      <c r="D600" s="26"/>
      <c r="E600" s="16"/>
      <c r="F600" s="16"/>
      <c r="G600" s="16"/>
      <c r="H600" s="16"/>
      <c r="I600" s="16"/>
      <c r="J600" s="8" t="str">
        <f aca="false">IF(AND(H600="Y",E600="Business checking (debit/ACH/check)"),"Counts toward 1099-NEC",IF(H600="Y","Paid by card/PayPal - 1099-K side",""))</f>
        <v/>
      </c>
      <c r="K600" s="16"/>
    </row>
    <row r="601" customFormat="false" ht="15" hidden="false" customHeight="false" outlineLevel="0" collapsed="false">
      <c r="A601" s="25"/>
      <c r="B601" s="16"/>
      <c r="C601" s="16"/>
      <c r="D601" s="26"/>
      <c r="E601" s="16"/>
      <c r="F601" s="16"/>
      <c r="G601" s="16"/>
      <c r="H601" s="16"/>
      <c r="I601" s="16"/>
      <c r="J601" s="8" t="str">
        <f aca="false">IF(AND(H601="Y",E601="Business checking (debit/ACH/check)"),"Counts toward 1099-NEC",IF(H601="Y","Paid by card/PayPal - 1099-K side",""))</f>
        <v/>
      </c>
      <c r="K601" s="16"/>
    </row>
    <row r="602" customFormat="false" ht="15" hidden="false" customHeight="false" outlineLevel="0" collapsed="false">
      <c r="A602" s="25"/>
      <c r="B602" s="16"/>
      <c r="C602" s="16"/>
      <c r="D602" s="26"/>
      <c r="E602" s="16"/>
      <c r="F602" s="16"/>
      <c r="G602" s="16"/>
      <c r="H602" s="16"/>
      <c r="I602" s="16"/>
      <c r="J602" s="8" t="str">
        <f aca="false">IF(AND(H602="Y",E602="Business checking (debit/ACH/check)"),"Counts toward 1099-NEC",IF(H602="Y","Paid by card/PayPal - 1099-K side",""))</f>
        <v/>
      </c>
      <c r="K602" s="16"/>
    </row>
    <row r="603" customFormat="false" ht="15" hidden="false" customHeight="false" outlineLevel="0" collapsed="false">
      <c r="A603" s="25"/>
      <c r="B603" s="16"/>
      <c r="C603" s="16"/>
      <c r="D603" s="26"/>
      <c r="E603" s="16"/>
      <c r="F603" s="16"/>
      <c r="G603" s="16"/>
      <c r="H603" s="16"/>
      <c r="I603" s="16"/>
      <c r="J603" s="8" t="str">
        <f aca="false">IF(AND(H603="Y",E603="Business checking (debit/ACH/check)"),"Counts toward 1099-NEC",IF(H603="Y","Paid by card/PayPal - 1099-K side",""))</f>
        <v/>
      </c>
      <c r="K603" s="16"/>
    </row>
    <row r="604" customFormat="false" ht="15" hidden="false" customHeight="false" outlineLevel="0" collapsed="false">
      <c r="A604" s="25"/>
      <c r="B604" s="16"/>
      <c r="C604" s="16"/>
      <c r="D604" s="26"/>
      <c r="E604" s="16"/>
      <c r="F604" s="16"/>
      <c r="G604" s="16"/>
      <c r="H604" s="16"/>
      <c r="I604" s="16"/>
      <c r="J604" s="8" t="str">
        <f aca="false">IF(AND(H604="Y",E604="Business checking (debit/ACH/check)"),"Counts toward 1099-NEC",IF(H604="Y","Paid by card/PayPal - 1099-K side",""))</f>
        <v/>
      </c>
      <c r="K604" s="16"/>
    </row>
    <row r="605" customFormat="false" ht="15" hidden="false" customHeight="false" outlineLevel="0" collapsed="false">
      <c r="A605" s="25"/>
      <c r="B605" s="16"/>
      <c r="C605" s="16"/>
      <c r="D605" s="26"/>
      <c r="E605" s="16"/>
      <c r="F605" s="16"/>
      <c r="G605" s="16"/>
      <c r="H605" s="16"/>
      <c r="I605" s="16"/>
      <c r="J605" s="8" t="str">
        <f aca="false">IF(AND(H605="Y",E605="Business checking (debit/ACH/check)"),"Counts toward 1099-NEC",IF(H605="Y","Paid by card/PayPal - 1099-K side",""))</f>
        <v/>
      </c>
      <c r="K605" s="16"/>
    </row>
    <row r="606" customFormat="false" ht="15" hidden="false" customHeight="false" outlineLevel="0" collapsed="false">
      <c r="A606" s="25"/>
      <c r="B606" s="16"/>
      <c r="C606" s="16"/>
      <c r="D606" s="26"/>
      <c r="E606" s="16"/>
      <c r="F606" s="16"/>
      <c r="G606" s="16"/>
      <c r="H606" s="16"/>
      <c r="I606" s="16"/>
      <c r="J606" s="8" t="str">
        <f aca="false">IF(AND(H606="Y",E606="Business checking (debit/ACH/check)"),"Counts toward 1099-NEC",IF(H606="Y","Paid by card/PayPal - 1099-K side",""))</f>
        <v/>
      </c>
      <c r="K606" s="16"/>
    </row>
    <row r="607" customFormat="false" ht="15" hidden="false" customHeight="false" outlineLevel="0" collapsed="false">
      <c r="A607" s="25"/>
      <c r="B607" s="16"/>
      <c r="C607" s="16"/>
      <c r="D607" s="26"/>
      <c r="E607" s="16"/>
      <c r="F607" s="16"/>
      <c r="G607" s="16"/>
      <c r="H607" s="16"/>
      <c r="I607" s="16"/>
      <c r="J607" s="8" t="str">
        <f aca="false">IF(AND(H607="Y",E607="Business checking (debit/ACH/check)"),"Counts toward 1099-NEC",IF(H607="Y","Paid by card/PayPal - 1099-K side",""))</f>
        <v/>
      </c>
      <c r="K607" s="16"/>
    </row>
    <row r="608" customFormat="false" ht="15" hidden="false" customHeight="false" outlineLevel="0" collapsed="false">
      <c r="A608" s="25"/>
      <c r="B608" s="16"/>
      <c r="C608" s="16"/>
      <c r="D608" s="26"/>
      <c r="E608" s="16"/>
      <c r="F608" s="16"/>
      <c r="G608" s="16"/>
      <c r="H608" s="16"/>
      <c r="I608" s="16"/>
      <c r="J608" s="8" t="str">
        <f aca="false">IF(AND(H608="Y",E608="Business checking (debit/ACH/check)"),"Counts toward 1099-NEC",IF(H608="Y","Paid by card/PayPal - 1099-K side",""))</f>
        <v/>
      </c>
      <c r="K608" s="16"/>
    </row>
    <row r="609" customFormat="false" ht="15" hidden="false" customHeight="false" outlineLevel="0" collapsed="false">
      <c r="A609" s="25"/>
      <c r="B609" s="16"/>
      <c r="C609" s="16"/>
      <c r="D609" s="26"/>
      <c r="E609" s="16"/>
      <c r="F609" s="16"/>
      <c r="G609" s="16"/>
      <c r="H609" s="16"/>
      <c r="I609" s="16"/>
      <c r="J609" s="8" t="str">
        <f aca="false">IF(AND(H609="Y",E609="Business checking (debit/ACH/check)"),"Counts toward 1099-NEC",IF(H609="Y","Paid by card/PayPal - 1099-K side",""))</f>
        <v/>
      </c>
      <c r="K609" s="16"/>
    </row>
    <row r="610" customFormat="false" ht="15" hidden="false" customHeight="false" outlineLevel="0" collapsed="false">
      <c r="A610" s="25"/>
      <c r="B610" s="16"/>
      <c r="C610" s="16"/>
      <c r="D610" s="26"/>
      <c r="E610" s="16"/>
      <c r="F610" s="16"/>
      <c r="G610" s="16"/>
      <c r="H610" s="16"/>
      <c r="I610" s="16"/>
      <c r="J610" s="8" t="str">
        <f aca="false">IF(AND(H610="Y",E610="Business checking (debit/ACH/check)"),"Counts toward 1099-NEC",IF(H610="Y","Paid by card/PayPal - 1099-K side",""))</f>
        <v/>
      </c>
      <c r="K610" s="16"/>
    </row>
    <row r="611" customFormat="false" ht="15" hidden="false" customHeight="false" outlineLevel="0" collapsed="false">
      <c r="A611" s="25"/>
      <c r="B611" s="16"/>
      <c r="C611" s="16"/>
      <c r="D611" s="26"/>
      <c r="E611" s="16"/>
      <c r="F611" s="16"/>
      <c r="G611" s="16"/>
      <c r="H611" s="16"/>
      <c r="I611" s="16"/>
      <c r="J611" s="8" t="str">
        <f aca="false">IF(AND(H611="Y",E611="Business checking (debit/ACH/check)"),"Counts toward 1099-NEC",IF(H611="Y","Paid by card/PayPal - 1099-K side",""))</f>
        <v/>
      </c>
      <c r="K611" s="16"/>
    </row>
    <row r="612" customFormat="false" ht="15" hidden="false" customHeight="false" outlineLevel="0" collapsed="false">
      <c r="A612" s="25"/>
      <c r="B612" s="16"/>
      <c r="C612" s="16"/>
      <c r="D612" s="26"/>
      <c r="E612" s="16"/>
      <c r="F612" s="16"/>
      <c r="G612" s="16"/>
      <c r="H612" s="16"/>
      <c r="I612" s="16"/>
      <c r="J612" s="8" t="str">
        <f aca="false">IF(AND(H612="Y",E612="Business checking (debit/ACH/check)"),"Counts toward 1099-NEC",IF(H612="Y","Paid by card/PayPal - 1099-K side",""))</f>
        <v/>
      </c>
      <c r="K612" s="16"/>
    </row>
    <row r="613" customFormat="false" ht="15" hidden="false" customHeight="false" outlineLevel="0" collapsed="false">
      <c r="A613" s="25"/>
      <c r="B613" s="16"/>
      <c r="C613" s="16"/>
      <c r="D613" s="26"/>
      <c r="E613" s="16"/>
      <c r="F613" s="16"/>
      <c r="G613" s="16"/>
      <c r="H613" s="16"/>
      <c r="I613" s="16"/>
      <c r="J613" s="8" t="str">
        <f aca="false">IF(AND(H613="Y",E613="Business checking (debit/ACH/check)"),"Counts toward 1099-NEC",IF(H613="Y","Paid by card/PayPal - 1099-K side",""))</f>
        <v/>
      </c>
      <c r="K613" s="16"/>
    </row>
    <row r="614" customFormat="false" ht="15" hidden="false" customHeight="false" outlineLevel="0" collapsed="false">
      <c r="A614" s="25"/>
      <c r="B614" s="16"/>
      <c r="C614" s="16"/>
      <c r="D614" s="26"/>
      <c r="E614" s="16"/>
      <c r="F614" s="16"/>
      <c r="G614" s="16"/>
      <c r="H614" s="16"/>
      <c r="I614" s="16"/>
      <c r="J614" s="8" t="str">
        <f aca="false">IF(AND(H614="Y",E614="Business checking (debit/ACH/check)"),"Counts toward 1099-NEC",IF(H614="Y","Paid by card/PayPal - 1099-K side",""))</f>
        <v/>
      </c>
      <c r="K614" s="16"/>
    </row>
    <row r="615" customFormat="false" ht="15" hidden="false" customHeight="false" outlineLevel="0" collapsed="false">
      <c r="A615" s="25"/>
      <c r="B615" s="16"/>
      <c r="C615" s="16"/>
      <c r="D615" s="26"/>
      <c r="E615" s="16"/>
      <c r="F615" s="16"/>
      <c r="G615" s="16"/>
      <c r="H615" s="16"/>
      <c r="I615" s="16"/>
      <c r="J615" s="8" t="str">
        <f aca="false">IF(AND(H615="Y",E615="Business checking (debit/ACH/check)"),"Counts toward 1099-NEC",IF(H615="Y","Paid by card/PayPal - 1099-K side",""))</f>
        <v/>
      </c>
      <c r="K615" s="16"/>
    </row>
    <row r="616" customFormat="false" ht="15" hidden="false" customHeight="false" outlineLevel="0" collapsed="false">
      <c r="A616" s="25"/>
      <c r="B616" s="16"/>
      <c r="C616" s="16"/>
      <c r="D616" s="26"/>
      <c r="E616" s="16"/>
      <c r="F616" s="16"/>
      <c r="G616" s="16"/>
      <c r="H616" s="16"/>
      <c r="I616" s="16"/>
      <c r="J616" s="8" t="str">
        <f aca="false">IF(AND(H616="Y",E616="Business checking (debit/ACH/check)"),"Counts toward 1099-NEC",IF(H616="Y","Paid by card/PayPal - 1099-K side",""))</f>
        <v/>
      </c>
      <c r="K616" s="16"/>
    </row>
    <row r="617" customFormat="false" ht="15" hidden="false" customHeight="false" outlineLevel="0" collapsed="false">
      <c r="A617" s="25"/>
      <c r="B617" s="16"/>
      <c r="C617" s="16"/>
      <c r="D617" s="26"/>
      <c r="E617" s="16"/>
      <c r="F617" s="16"/>
      <c r="G617" s="16"/>
      <c r="H617" s="16"/>
      <c r="I617" s="16"/>
      <c r="J617" s="8" t="str">
        <f aca="false">IF(AND(H617="Y",E617="Business checking (debit/ACH/check)"),"Counts toward 1099-NEC",IF(H617="Y","Paid by card/PayPal - 1099-K side",""))</f>
        <v/>
      </c>
      <c r="K617" s="16"/>
    </row>
    <row r="618" customFormat="false" ht="15" hidden="false" customHeight="false" outlineLevel="0" collapsed="false">
      <c r="A618" s="25"/>
      <c r="B618" s="16"/>
      <c r="C618" s="16"/>
      <c r="D618" s="26"/>
      <c r="E618" s="16"/>
      <c r="F618" s="16"/>
      <c r="G618" s="16"/>
      <c r="H618" s="16"/>
      <c r="I618" s="16"/>
      <c r="J618" s="8" t="str">
        <f aca="false">IF(AND(H618="Y",E618="Business checking (debit/ACH/check)"),"Counts toward 1099-NEC",IF(H618="Y","Paid by card/PayPal - 1099-K side",""))</f>
        <v/>
      </c>
      <c r="K618" s="16"/>
    </row>
    <row r="619" customFormat="false" ht="15" hidden="false" customHeight="false" outlineLevel="0" collapsed="false">
      <c r="A619" s="25"/>
      <c r="B619" s="16"/>
      <c r="C619" s="16"/>
      <c r="D619" s="26"/>
      <c r="E619" s="16"/>
      <c r="F619" s="16"/>
      <c r="G619" s="16"/>
      <c r="H619" s="16"/>
      <c r="I619" s="16"/>
      <c r="J619" s="8" t="str">
        <f aca="false">IF(AND(H619="Y",E619="Business checking (debit/ACH/check)"),"Counts toward 1099-NEC",IF(H619="Y","Paid by card/PayPal - 1099-K side",""))</f>
        <v/>
      </c>
      <c r="K619" s="16"/>
    </row>
    <row r="620" customFormat="false" ht="15" hidden="false" customHeight="false" outlineLevel="0" collapsed="false">
      <c r="A620" s="25"/>
      <c r="B620" s="16"/>
      <c r="C620" s="16"/>
      <c r="D620" s="26"/>
      <c r="E620" s="16"/>
      <c r="F620" s="16"/>
      <c r="G620" s="16"/>
      <c r="H620" s="16"/>
      <c r="I620" s="16"/>
      <c r="J620" s="8" t="str">
        <f aca="false">IF(AND(H620="Y",E620="Business checking (debit/ACH/check)"),"Counts toward 1099-NEC",IF(H620="Y","Paid by card/PayPal - 1099-K side",""))</f>
        <v/>
      </c>
      <c r="K620" s="16"/>
    </row>
    <row r="621" customFormat="false" ht="15" hidden="false" customHeight="false" outlineLevel="0" collapsed="false">
      <c r="A621" s="25"/>
      <c r="B621" s="16"/>
      <c r="C621" s="16"/>
      <c r="D621" s="26"/>
      <c r="E621" s="16"/>
      <c r="F621" s="16"/>
      <c r="G621" s="16"/>
      <c r="H621" s="16"/>
      <c r="I621" s="16"/>
      <c r="J621" s="8" t="str">
        <f aca="false">IF(AND(H621="Y",E621="Business checking (debit/ACH/check)"),"Counts toward 1099-NEC",IF(H621="Y","Paid by card/PayPal - 1099-K side",""))</f>
        <v/>
      </c>
      <c r="K621" s="16"/>
    </row>
    <row r="622" customFormat="false" ht="15" hidden="false" customHeight="false" outlineLevel="0" collapsed="false">
      <c r="A622" s="25"/>
      <c r="B622" s="16"/>
      <c r="C622" s="16"/>
      <c r="D622" s="26"/>
      <c r="E622" s="16"/>
      <c r="F622" s="16"/>
      <c r="G622" s="16"/>
      <c r="H622" s="16"/>
      <c r="I622" s="16"/>
      <c r="J622" s="8" t="str">
        <f aca="false">IF(AND(H622="Y",E622="Business checking (debit/ACH/check)"),"Counts toward 1099-NEC",IF(H622="Y","Paid by card/PayPal - 1099-K side",""))</f>
        <v/>
      </c>
      <c r="K622" s="16"/>
    </row>
    <row r="623" customFormat="false" ht="15" hidden="false" customHeight="false" outlineLevel="0" collapsed="false">
      <c r="A623" s="25"/>
      <c r="B623" s="16"/>
      <c r="C623" s="16"/>
      <c r="D623" s="26"/>
      <c r="E623" s="16"/>
      <c r="F623" s="16"/>
      <c r="G623" s="16"/>
      <c r="H623" s="16"/>
      <c r="I623" s="16"/>
      <c r="J623" s="8" t="str">
        <f aca="false">IF(AND(H623="Y",E623="Business checking (debit/ACH/check)"),"Counts toward 1099-NEC",IF(H623="Y","Paid by card/PayPal - 1099-K side",""))</f>
        <v/>
      </c>
      <c r="K623" s="16"/>
    </row>
    <row r="624" customFormat="false" ht="15" hidden="false" customHeight="false" outlineLevel="0" collapsed="false">
      <c r="A624" s="25"/>
      <c r="B624" s="16"/>
      <c r="C624" s="16"/>
      <c r="D624" s="26"/>
      <c r="E624" s="16"/>
      <c r="F624" s="16"/>
      <c r="G624" s="16"/>
      <c r="H624" s="16"/>
      <c r="I624" s="16"/>
      <c r="J624" s="8" t="str">
        <f aca="false">IF(AND(H624="Y",E624="Business checking (debit/ACH/check)"),"Counts toward 1099-NEC",IF(H624="Y","Paid by card/PayPal - 1099-K side",""))</f>
        <v/>
      </c>
      <c r="K624" s="16"/>
    </row>
    <row r="625" customFormat="false" ht="15" hidden="false" customHeight="false" outlineLevel="0" collapsed="false">
      <c r="A625" s="25"/>
      <c r="B625" s="16"/>
      <c r="C625" s="16"/>
      <c r="D625" s="26"/>
      <c r="E625" s="16"/>
      <c r="F625" s="16"/>
      <c r="G625" s="16"/>
      <c r="H625" s="16"/>
      <c r="I625" s="16"/>
      <c r="J625" s="8" t="str">
        <f aca="false">IF(AND(H625="Y",E625="Business checking (debit/ACH/check)"),"Counts toward 1099-NEC",IF(H625="Y","Paid by card/PayPal - 1099-K side",""))</f>
        <v/>
      </c>
      <c r="K625" s="16"/>
    </row>
    <row r="626" customFormat="false" ht="15" hidden="false" customHeight="false" outlineLevel="0" collapsed="false">
      <c r="A626" s="25"/>
      <c r="B626" s="16"/>
      <c r="C626" s="16"/>
      <c r="D626" s="26"/>
      <c r="E626" s="16"/>
      <c r="F626" s="16"/>
      <c r="G626" s="16"/>
      <c r="H626" s="16"/>
      <c r="I626" s="16"/>
      <c r="J626" s="8" t="str">
        <f aca="false">IF(AND(H626="Y",E626="Business checking (debit/ACH/check)"),"Counts toward 1099-NEC",IF(H626="Y","Paid by card/PayPal - 1099-K side",""))</f>
        <v/>
      </c>
      <c r="K626" s="16"/>
    </row>
    <row r="627" customFormat="false" ht="15" hidden="false" customHeight="false" outlineLevel="0" collapsed="false">
      <c r="A627" s="25"/>
      <c r="B627" s="16"/>
      <c r="C627" s="16"/>
      <c r="D627" s="26"/>
      <c r="E627" s="16"/>
      <c r="F627" s="16"/>
      <c r="G627" s="16"/>
      <c r="H627" s="16"/>
      <c r="I627" s="16"/>
      <c r="J627" s="8" t="str">
        <f aca="false">IF(AND(H627="Y",E627="Business checking (debit/ACH/check)"),"Counts toward 1099-NEC",IF(H627="Y","Paid by card/PayPal - 1099-K side",""))</f>
        <v/>
      </c>
      <c r="K627" s="16"/>
    </row>
    <row r="628" customFormat="false" ht="15" hidden="false" customHeight="false" outlineLevel="0" collapsed="false">
      <c r="A628" s="25"/>
      <c r="B628" s="16"/>
      <c r="C628" s="16"/>
      <c r="D628" s="26"/>
      <c r="E628" s="16"/>
      <c r="F628" s="16"/>
      <c r="G628" s="16"/>
      <c r="H628" s="16"/>
      <c r="I628" s="16"/>
      <c r="J628" s="8" t="str">
        <f aca="false">IF(AND(H628="Y",E628="Business checking (debit/ACH/check)"),"Counts toward 1099-NEC",IF(H628="Y","Paid by card/PayPal - 1099-K side",""))</f>
        <v/>
      </c>
      <c r="K628" s="16"/>
    </row>
    <row r="629" customFormat="false" ht="15" hidden="false" customHeight="false" outlineLevel="0" collapsed="false">
      <c r="A629" s="25"/>
      <c r="B629" s="16"/>
      <c r="C629" s="16"/>
      <c r="D629" s="26"/>
      <c r="E629" s="16"/>
      <c r="F629" s="16"/>
      <c r="G629" s="16"/>
      <c r="H629" s="16"/>
      <c r="I629" s="16"/>
      <c r="J629" s="8" t="str">
        <f aca="false">IF(AND(H629="Y",E629="Business checking (debit/ACH/check)"),"Counts toward 1099-NEC",IF(H629="Y","Paid by card/PayPal - 1099-K side",""))</f>
        <v/>
      </c>
      <c r="K629" s="16"/>
    </row>
    <row r="630" customFormat="false" ht="15" hidden="false" customHeight="false" outlineLevel="0" collapsed="false">
      <c r="A630" s="25"/>
      <c r="B630" s="16"/>
      <c r="C630" s="16"/>
      <c r="D630" s="26"/>
      <c r="E630" s="16"/>
      <c r="F630" s="16"/>
      <c r="G630" s="16"/>
      <c r="H630" s="16"/>
      <c r="I630" s="16"/>
      <c r="J630" s="8" t="str">
        <f aca="false">IF(AND(H630="Y",E630="Business checking (debit/ACH/check)"),"Counts toward 1099-NEC",IF(H630="Y","Paid by card/PayPal - 1099-K side",""))</f>
        <v/>
      </c>
      <c r="K630" s="16"/>
    </row>
    <row r="631" customFormat="false" ht="15" hidden="false" customHeight="false" outlineLevel="0" collapsed="false">
      <c r="A631" s="25"/>
      <c r="B631" s="16"/>
      <c r="C631" s="16"/>
      <c r="D631" s="26"/>
      <c r="E631" s="16"/>
      <c r="F631" s="16"/>
      <c r="G631" s="16"/>
      <c r="H631" s="16"/>
      <c r="I631" s="16"/>
      <c r="J631" s="8" t="str">
        <f aca="false">IF(AND(H631="Y",E631="Business checking (debit/ACH/check)"),"Counts toward 1099-NEC",IF(H631="Y","Paid by card/PayPal - 1099-K side",""))</f>
        <v/>
      </c>
      <c r="K631" s="16"/>
    </row>
    <row r="632" customFormat="false" ht="15" hidden="false" customHeight="false" outlineLevel="0" collapsed="false">
      <c r="A632" s="25"/>
      <c r="B632" s="16"/>
      <c r="C632" s="16"/>
      <c r="D632" s="26"/>
      <c r="E632" s="16"/>
      <c r="F632" s="16"/>
      <c r="G632" s="16"/>
      <c r="H632" s="16"/>
      <c r="I632" s="16"/>
      <c r="J632" s="8" t="str">
        <f aca="false">IF(AND(H632="Y",E632="Business checking (debit/ACH/check)"),"Counts toward 1099-NEC",IF(H632="Y","Paid by card/PayPal - 1099-K side",""))</f>
        <v/>
      </c>
      <c r="K632" s="16"/>
    </row>
    <row r="633" customFormat="false" ht="15" hidden="false" customHeight="false" outlineLevel="0" collapsed="false">
      <c r="A633" s="25"/>
      <c r="B633" s="16"/>
      <c r="C633" s="16"/>
      <c r="D633" s="26"/>
      <c r="E633" s="16"/>
      <c r="F633" s="16"/>
      <c r="G633" s="16"/>
      <c r="H633" s="16"/>
      <c r="I633" s="16"/>
      <c r="J633" s="8" t="str">
        <f aca="false">IF(AND(H633="Y",E633="Business checking (debit/ACH/check)"),"Counts toward 1099-NEC",IF(H633="Y","Paid by card/PayPal - 1099-K side",""))</f>
        <v/>
      </c>
      <c r="K633" s="16"/>
    </row>
    <row r="634" customFormat="false" ht="15" hidden="false" customHeight="false" outlineLevel="0" collapsed="false">
      <c r="A634" s="25"/>
      <c r="B634" s="16"/>
      <c r="C634" s="16"/>
      <c r="D634" s="26"/>
      <c r="E634" s="16"/>
      <c r="F634" s="16"/>
      <c r="G634" s="16"/>
      <c r="H634" s="16"/>
      <c r="I634" s="16"/>
      <c r="J634" s="8" t="str">
        <f aca="false">IF(AND(H634="Y",E634="Business checking (debit/ACH/check)"),"Counts toward 1099-NEC",IF(H634="Y","Paid by card/PayPal - 1099-K side",""))</f>
        <v/>
      </c>
      <c r="K634" s="16"/>
    </row>
    <row r="635" customFormat="false" ht="15" hidden="false" customHeight="false" outlineLevel="0" collapsed="false">
      <c r="A635" s="25"/>
      <c r="B635" s="16"/>
      <c r="C635" s="16"/>
      <c r="D635" s="26"/>
      <c r="E635" s="16"/>
      <c r="F635" s="16"/>
      <c r="G635" s="16"/>
      <c r="H635" s="16"/>
      <c r="I635" s="16"/>
      <c r="J635" s="8" t="str">
        <f aca="false">IF(AND(H635="Y",E635="Business checking (debit/ACH/check)"),"Counts toward 1099-NEC",IF(H635="Y","Paid by card/PayPal - 1099-K side",""))</f>
        <v/>
      </c>
      <c r="K635" s="16"/>
    </row>
    <row r="636" customFormat="false" ht="15" hidden="false" customHeight="false" outlineLevel="0" collapsed="false">
      <c r="A636" s="25"/>
      <c r="B636" s="16"/>
      <c r="C636" s="16"/>
      <c r="D636" s="26"/>
      <c r="E636" s="16"/>
      <c r="F636" s="16"/>
      <c r="G636" s="16"/>
      <c r="H636" s="16"/>
      <c r="I636" s="16"/>
      <c r="J636" s="8" t="str">
        <f aca="false">IF(AND(H636="Y",E636="Business checking (debit/ACH/check)"),"Counts toward 1099-NEC",IF(H636="Y","Paid by card/PayPal - 1099-K side",""))</f>
        <v/>
      </c>
      <c r="K636" s="16"/>
    </row>
    <row r="637" customFormat="false" ht="15" hidden="false" customHeight="false" outlineLevel="0" collapsed="false">
      <c r="A637" s="25"/>
      <c r="B637" s="16"/>
      <c r="C637" s="16"/>
      <c r="D637" s="26"/>
      <c r="E637" s="16"/>
      <c r="F637" s="16"/>
      <c r="G637" s="16"/>
      <c r="H637" s="16"/>
      <c r="I637" s="16"/>
      <c r="J637" s="8" t="str">
        <f aca="false">IF(AND(H637="Y",E637="Business checking (debit/ACH/check)"),"Counts toward 1099-NEC",IF(H637="Y","Paid by card/PayPal - 1099-K side",""))</f>
        <v/>
      </c>
      <c r="K637" s="16"/>
    </row>
    <row r="638" customFormat="false" ht="15" hidden="false" customHeight="false" outlineLevel="0" collapsed="false">
      <c r="A638" s="25"/>
      <c r="B638" s="16"/>
      <c r="C638" s="16"/>
      <c r="D638" s="26"/>
      <c r="E638" s="16"/>
      <c r="F638" s="16"/>
      <c r="G638" s="16"/>
      <c r="H638" s="16"/>
      <c r="I638" s="16"/>
      <c r="J638" s="8" t="str">
        <f aca="false">IF(AND(H638="Y",E638="Business checking (debit/ACH/check)"),"Counts toward 1099-NEC",IF(H638="Y","Paid by card/PayPal - 1099-K side",""))</f>
        <v/>
      </c>
      <c r="K638" s="16"/>
    </row>
    <row r="639" customFormat="false" ht="15" hidden="false" customHeight="false" outlineLevel="0" collapsed="false">
      <c r="A639" s="25"/>
      <c r="B639" s="16"/>
      <c r="C639" s="16"/>
      <c r="D639" s="26"/>
      <c r="E639" s="16"/>
      <c r="F639" s="16"/>
      <c r="G639" s="16"/>
      <c r="H639" s="16"/>
      <c r="I639" s="16"/>
      <c r="J639" s="8" t="str">
        <f aca="false">IF(AND(H639="Y",E639="Business checking (debit/ACH/check)"),"Counts toward 1099-NEC",IF(H639="Y","Paid by card/PayPal - 1099-K side",""))</f>
        <v/>
      </c>
      <c r="K639" s="16"/>
    </row>
    <row r="640" customFormat="false" ht="15" hidden="false" customHeight="false" outlineLevel="0" collapsed="false">
      <c r="A640" s="25"/>
      <c r="B640" s="16"/>
      <c r="C640" s="16"/>
      <c r="D640" s="26"/>
      <c r="E640" s="16"/>
      <c r="F640" s="16"/>
      <c r="G640" s="16"/>
      <c r="H640" s="16"/>
      <c r="I640" s="16"/>
      <c r="J640" s="8" t="str">
        <f aca="false">IF(AND(H640="Y",E640="Business checking (debit/ACH/check)"),"Counts toward 1099-NEC",IF(H640="Y","Paid by card/PayPal - 1099-K side",""))</f>
        <v/>
      </c>
      <c r="K640" s="16"/>
    </row>
    <row r="641" customFormat="false" ht="15" hidden="false" customHeight="false" outlineLevel="0" collapsed="false">
      <c r="A641" s="25"/>
      <c r="B641" s="16"/>
      <c r="C641" s="16"/>
      <c r="D641" s="26"/>
      <c r="E641" s="16"/>
      <c r="F641" s="16"/>
      <c r="G641" s="16"/>
      <c r="H641" s="16"/>
      <c r="I641" s="16"/>
      <c r="J641" s="8" t="str">
        <f aca="false">IF(AND(H641="Y",E641="Business checking (debit/ACH/check)"),"Counts toward 1099-NEC",IF(H641="Y","Paid by card/PayPal - 1099-K side",""))</f>
        <v/>
      </c>
      <c r="K641" s="16"/>
    </row>
    <row r="642" customFormat="false" ht="15" hidden="false" customHeight="false" outlineLevel="0" collapsed="false">
      <c r="A642" s="25"/>
      <c r="B642" s="16"/>
      <c r="C642" s="16"/>
      <c r="D642" s="26"/>
      <c r="E642" s="16"/>
      <c r="F642" s="16"/>
      <c r="G642" s="16"/>
      <c r="H642" s="16"/>
      <c r="I642" s="16"/>
      <c r="J642" s="8" t="str">
        <f aca="false">IF(AND(H642="Y",E642="Business checking (debit/ACH/check)"),"Counts toward 1099-NEC",IF(H642="Y","Paid by card/PayPal - 1099-K side",""))</f>
        <v/>
      </c>
      <c r="K642" s="16"/>
    </row>
    <row r="643" customFormat="false" ht="15" hidden="false" customHeight="false" outlineLevel="0" collapsed="false">
      <c r="A643" s="25"/>
      <c r="B643" s="16"/>
      <c r="C643" s="16"/>
      <c r="D643" s="26"/>
      <c r="E643" s="16"/>
      <c r="F643" s="16"/>
      <c r="G643" s="16"/>
      <c r="H643" s="16"/>
      <c r="I643" s="16"/>
      <c r="J643" s="8" t="str">
        <f aca="false">IF(AND(H643="Y",E643="Business checking (debit/ACH/check)"),"Counts toward 1099-NEC",IF(H643="Y","Paid by card/PayPal - 1099-K side",""))</f>
        <v/>
      </c>
      <c r="K643" s="16"/>
    </row>
    <row r="644" customFormat="false" ht="15" hidden="false" customHeight="false" outlineLevel="0" collapsed="false">
      <c r="A644" s="25"/>
      <c r="B644" s="16"/>
      <c r="C644" s="16"/>
      <c r="D644" s="26"/>
      <c r="E644" s="16"/>
      <c r="F644" s="16"/>
      <c r="G644" s="16"/>
      <c r="H644" s="16"/>
      <c r="I644" s="16"/>
      <c r="J644" s="8" t="str">
        <f aca="false">IF(AND(H644="Y",E644="Business checking (debit/ACH/check)"),"Counts toward 1099-NEC",IF(H644="Y","Paid by card/PayPal - 1099-K side",""))</f>
        <v/>
      </c>
      <c r="K644" s="16"/>
    </row>
    <row r="645" customFormat="false" ht="15" hidden="false" customHeight="false" outlineLevel="0" collapsed="false">
      <c r="A645" s="25"/>
      <c r="B645" s="16"/>
      <c r="C645" s="16"/>
      <c r="D645" s="26"/>
      <c r="E645" s="16"/>
      <c r="F645" s="16"/>
      <c r="G645" s="16"/>
      <c r="H645" s="16"/>
      <c r="I645" s="16"/>
      <c r="J645" s="8" t="str">
        <f aca="false">IF(AND(H645="Y",E645="Business checking (debit/ACH/check)"),"Counts toward 1099-NEC",IF(H645="Y","Paid by card/PayPal - 1099-K side",""))</f>
        <v/>
      </c>
      <c r="K645" s="16"/>
    </row>
    <row r="646" customFormat="false" ht="15" hidden="false" customHeight="false" outlineLevel="0" collapsed="false">
      <c r="A646" s="25"/>
      <c r="B646" s="16"/>
      <c r="C646" s="16"/>
      <c r="D646" s="26"/>
      <c r="E646" s="16"/>
      <c r="F646" s="16"/>
      <c r="G646" s="16"/>
      <c r="H646" s="16"/>
      <c r="I646" s="16"/>
      <c r="J646" s="8" t="str">
        <f aca="false">IF(AND(H646="Y",E646="Business checking (debit/ACH/check)"),"Counts toward 1099-NEC",IF(H646="Y","Paid by card/PayPal - 1099-K side",""))</f>
        <v/>
      </c>
      <c r="K646" s="16"/>
    </row>
    <row r="647" customFormat="false" ht="15" hidden="false" customHeight="false" outlineLevel="0" collapsed="false">
      <c r="A647" s="25"/>
      <c r="B647" s="16"/>
      <c r="C647" s="16"/>
      <c r="D647" s="26"/>
      <c r="E647" s="16"/>
      <c r="F647" s="16"/>
      <c r="G647" s="16"/>
      <c r="H647" s="16"/>
      <c r="I647" s="16"/>
      <c r="J647" s="8" t="str">
        <f aca="false">IF(AND(H647="Y",E647="Business checking (debit/ACH/check)"),"Counts toward 1099-NEC",IF(H647="Y","Paid by card/PayPal - 1099-K side",""))</f>
        <v/>
      </c>
      <c r="K647" s="16"/>
    </row>
    <row r="648" customFormat="false" ht="15" hidden="false" customHeight="false" outlineLevel="0" collapsed="false">
      <c r="A648" s="25"/>
      <c r="B648" s="16"/>
      <c r="C648" s="16"/>
      <c r="D648" s="26"/>
      <c r="E648" s="16"/>
      <c r="F648" s="16"/>
      <c r="G648" s="16"/>
      <c r="H648" s="16"/>
      <c r="I648" s="16"/>
      <c r="J648" s="8" t="str">
        <f aca="false">IF(AND(H648="Y",E648="Business checking (debit/ACH/check)"),"Counts toward 1099-NEC",IF(H648="Y","Paid by card/PayPal - 1099-K side",""))</f>
        <v/>
      </c>
      <c r="K648" s="16"/>
    </row>
    <row r="649" customFormat="false" ht="15" hidden="false" customHeight="false" outlineLevel="0" collapsed="false">
      <c r="A649" s="25"/>
      <c r="B649" s="16"/>
      <c r="C649" s="16"/>
      <c r="D649" s="26"/>
      <c r="E649" s="16"/>
      <c r="F649" s="16"/>
      <c r="G649" s="16"/>
      <c r="H649" s="16"/>
      <c r="I649" s="16"/>
      <c r="J649" s="8" t="str">
        <f aca="false">IF(AND(H649="Y",E649="Business checking (debit/ACH/check)"),"Counts toward 1099-NEC",IF(H649="Y","Paid by card/PayPal - 1099-K side",""))</f>
        <v/>
      </c>
      <c r="K649" s="16"/>
    </row>
    <row r="650" customFormat="false" ht="15" hidden="false" customHeight="false" outlineLevel="0" collapsed="false">
      <c r="A650" s="25"/>
      <c r="B650" s="16"/>
      <c r="C650" s="16"/>
      <c r="D650" s="26"/>
      <c r="E650" s="16"/>
      <c r="F650" s="16"/>
      <c r="G650" s="16"/>
      <c r="H650" s="16"/>
      <c r="I650" s="16"/>
      <c r="J650" s="8" t="str">
        <f aca="false">IF(AND(H650="Y",E650="Business checking (debit/ACH/check)"),"Counts toward 1099-NEC",IF(H650="Y","Paid by card/PayPal - 1099-K side",""))</f>
        <v/>
      </c>
      <c r="K650" s="16"/>
    </row>
    <row r="651" customFormat="false" ht="15" hidden="false" customHeight="false" outlineLevel="0" collapsed="false">
      <c r="A651" s="25"/>
      <c r="B651" s="16"/>
      <c r="C651" s="16"/>
      <c r="D651" s="26"/>
      <c r="E651" s="16"/>
      <c r="F651" s="16"/>
      <c r="G651" s="16"/>
      <c r="H651" s="16"/>
      <c r="I651" s="16"/>
      <c r="J651" s="8" t="str">
        <f aca="false">IF(AND(H651="Y",E651="Business checking (debit/ACH/check)"),"Counts toward 1099-NEC",IF(H651="Y","Paid by card/PayPal - 1099-K side",""))</f>
        <v/>
      </c>
      <c r="K651" s="16"/>
    </row>
    <row r="652" customFormat="false" ht="15" hidden="false" customHeight="false" outlineLevel="0" collapsed="false">
      <c r="A652" s="25"/>
      <c r="B652" s="16"/>
      <c r="C652" s="16"/>
      <c r="D652" s="26"/>
      <c r="E652" s="16"/>
      <c r="F652" s="16"/>
      <c r="G652" s="16"/>
      <c r="H652" s="16"/>
      <c r="I652" s="16"/>
      <c r="J652" s="8" t="str">
        <f aca="false">IF(AND(H652="Y",E652="Business checking (debit/ACH/check)"),"Counts toward 1099-NEC",IF(H652="Y","Paid by card/PayPal - 1099-K side",""))</f>
        <v/>
      </c>
      <c r="K652" s="16"/>
    </row>
    <row r="653" customFormat="false" ht="15" hidden="false" customHeight="false" outlineLevel="0" collapsed="false">
      <c r="A653" s="25"/>
      <c r="B653" s="16"/>
      <c r="C653" s="16"/>
      <c r="D653" s="26"/>
      <c r="E653" s="16"/>
      <c r="F653" s="16"/>
      <c r="G653" s="16"/>
      <c r="H653" s="16"/>
      <c r="I653" s="16"/>
      <c r="J653" s="8" t="str">
        <f aca="false">IF(AND(H653="Y",E653="Business checking (debit/ACH/check)"),"Counts toward 1099-NEC",IF(H653="Y","Paid by card/PayPal - 1099-K side",""))</f>
        <v/>
      </c>
      <c r="K653" s="16"/>
    </row>
    <row r="654" customFormat="false" ht="15" hidden="false" customHeight="false" outlineLevel="0" collapsed="false">
      <c r="A654" s="25"/>
      <c r="B654" s="16"/>
      <c r="C654" s="16"/>
      <c r="D654" s="26"/>
      <c r="E654" s="16"/>
      <c r="F654" s="16"/>
      <c r="G654" s="16"/>
      <c r="H654" s="16"/>
      <c r="I654" s="16"/>
      <c r="J654" s="8" t="str">
        <f aca="false">IF(AND(H654="Y",E654="Business checking (debit/ACH/check)"),"Counts toward 1099-NEC",IF(H654="Y","Paid by card/PayPal - 1099-K side",""))</f>
        <v/>
      </c>
      <c r="K654" s="16"/>
    </row>
    <row r="655" customFormat="false" ht="15" hidden="false" customHeight="false" outlineLevel="0" collapsed="false">
      <c r="A655" s="25"/>
      <c r="B655" s="16"/>
      <c r="C655" s="16"/>
      <c r="D655" s="26"/>
      <c r="E655" s="16"/>
      <c r="F655" s="16"/>
      <c r="G655" s="16"/>
      <c r="H655" s="16"/>
      <c r="I655" s="16"/>
      <c r="J655" s="8" t="str">
        <f aca="false">IF(AND(H655="Y",E655="Business checking (debit/ACH/check)"),"Counts toward 1099-NEC",IF(H655="Y","Paid by card/PayPal - 1099-K side",""))</f>
        <v/>
      </c>
      <c r="K655" s="16"/>
    </row>
    <row r="656" customFormat="false" ht="15" hidden="false" customHeight="false" outlineLevel="0" collapsed="false">
      <c r="A656" s="25"/>
      <c r="B656" s="16"/>
      <c r="C656" s="16"/>
      <c r="D656" s="26"/>
      <c r="E656" s="16"/>
      <c r="F656" s="16"/>
      <c r="G656" s="16"/>
      <c r="H656" s="16"/>
      <c r="I656" s="16"/>
      <c r="J656" s="8" t="str">
        <f aca="false">IF(AND(H656="Y",E656="Business checking (debit/ACH/check)"),"Counts toward 1099-NEC",IF(H656="Y","Paid by card/PayPal - 1099-K side",""))</f>
        <v/>
      </c>
      <c r="K656" s="16"/>
    </row>
    <row r="657" customFormat="false" ht="15" hidden="false" customHeight="false" outlineLevel="0" collapsed="false">
      <c r="A657" s="25"/>
      <c r="B657" s="16"/>
      <c r="C657" s="16"/>
      <c r="D657" s="26"/>
      <c r="E657" s="16"/>
      <c r="F657" s="16"/>
      <c r="G657" s="16"/>
      <c r="H657" s="16"/>
      <c r="I657" s="16"/>
      <c r="J657" s="8" t="str">
        <f aca="false">IF(AND(H657="Y",E657="Business checking (debit/ACH/check)"),"Counts toward 1099-NEC",IF(H657="Y","Paid by card/PayPal - 1099-K side",""))</f>
        <v/>
      </c>
      <c r="K657" s="16"/>
    </row>
    <row r="658" customFormat="false" ht="15" hidden="false" customHeight="false" outlineLevel="0" collapsed="false">
      <c r="A658" s="25"/>
      <c r="B658" s="16"/>
      <c r="C658" s="16"/>
      <c r="D658" s="26"/>
      <c r="E658" s="16"/>
      <c r="F658" s="16"/>
      <c r="G658" s="16"/>
      <c r="H658" s="16"/>
      <c r="I658" s="16"/>
      <c r="J658" s="8" t="str">
        <f aca="false">IF(AND(H658="Y",E658="Business checking (debit/ACH/check)"),"Counts toward 1099-NEC",IF(H658="Y","Paid by card/PayPal - 1099-K side",""))</f>
        <v/>
      </c>
      <c r="K658" s="16"/>
    </row>
    <row r="659" customFormat="false" ht="15" hidden="false" customHeight="false" outlineLevel="0" collapsed="false">
      <c r="A659" s="25"/>
      <c r="B659" s="16"/>
      <c r="C659" s="16"/>
      <c r="D659" s="26"/>
      <c r="E659" s="16"/>
      <c r="F659" s="16"/>
      <c r="G659" s="16"/>
      <c r="H659" s="16"/>
      <c r="I659" s="16"/>
      <c r="J659" s="8" t="str">
        <f aca="false">IF(AND(H659="Y",E659="Business checking (debit/ACH/check)"),"Counts toward 1099-NEC",IF(H659="Y","Paid by card/PayPal - 1099-K side",""))</f>
        <v/>
      </c>
      <c r="K659" s="16"/>
    </row>
    <row r="660" customFormat="false" ht="15" hidden="false" customHeight="false" outlineLevel="0" collapsed="false">
      <c r="A660" s="25"/>
      <c r="B660" s="16"/>
      <c r="C660" s="16"/>
      <c r="D660" s="26"/>
      <c r="E660" s="16"/>
      <c r="F660" s="16"/>
      <c r="G660" s="16"/>
      <c r="H660" s="16"/>
      <c r="I660" s="16"/>
      <c r="J660" s="8" t="str">
        <f aca="false">IF(AND(H660="Y",E660="Business checking (debit/ACH/check)"),"Counts toward 1099-NEC",IF(H660="Y","Paid by card/PayPal - 1099-K side",""))</f>
        <v/>
      </c>
      <c r="K660" s="16"/>
    </row>
    <row r="661" customFormat="false" ht="15" hidden="false" customHeight="false" outlineLevel="0" collapsed="false">
      <c r="A661" s="25"/>
      <c r="B661" s="16"/>
      <c r="C661" s="16"/>
      <c r="D661" s="26"/>
      <c r="E661" s="16"/>
      <c r="F661" s="16"/>
      <c r="G661" s="16"/>
      <c r="H661" s="16"/>
      <c r="I661" s="16"/>
      <c r="J661" s="8" t="str">
        <f aca="false">IF(AND(H661="Y",E661="Business checking (debit/ACH/check)"),"Counts toward 1099-NEC",IF(H661="Y","Paid by card/PayPal - 1099-K side",""))</f>
        <v/>
      </c>
      <c r="K661" s="16"/>
    </row>
    <row r="662" customFormat="false" ht="15" hidden="false" customHeight="false" outlineLevel="0" collapsed="false">
      <c r="A662" s="25"/>
      <c r="B662" s="16"/>
      <c r="C662" s="16"/>
      <c r="D662" s="26"/>
      <c r="E662" s="16"/>
      <c r="F662" s="16"/>
      <c r="G662" s="16"/>
      <c r="H662" s="16"/>
      <c r="I662" s="16"/>
      <c r="J662" s="8" t="str">
        <f aca="false">IF(AND(H662="Y",E662="Business checking (debit/ACH/check)"),"Counts toward 1099-NEC",IF(H662="Y","Paid by card/PayPal - 1099-K side",""))</f>
        <v/>
      </c>
      <c r="K662" s="16"/>
    </row>
    <row r="663" customFormat="false" ht="15" hidden="false" customHeight="false" outlineLevel="0" collapsed="false">
      <c r="A663" s="25"/>
      <c r="B663" s="16"/>
      <c r="C663" s="16"/>
      <c r="D663" s="26"/>
      <c r="E663" s="16"/>
      <c r="F663" s="16"/>
      <c r="G663" s="16"/>
      <c r="H663" s="16"/>
      <c r="I663" s="16"/>
      <c r="J663" s="8" t="str">
        <f aca="false">IF(AND(H663="Y",E663="Business checking (debit/ACH/check)"),"Counts toward 1099-NEC",IF(H663="Y","Paid by card/PayPal - 1099-K side",""))</f>
        <v/>
      </c>
      <c r="K663" s="16"/>
    </row>
    <row r="664" customFormat="false" ht="15" hidden="false" customHeight="false" outlineLevel="0" collapsed="false">
      <c r="A664" s="25"/>
      <c r="B664" s="16"/>
      <c r="C664" s="16"/>
      <c r="D664" s="26"/>
      <c r="E664" s="16"/>
      <c r="F664" s="16"/>
      <c r="G664" s="16"/>
      <c r="H664" s="16"/>
      <c r="I664" s="16"/>
      <c r="J664" s="8" t="str">
        <f aca="false">IF(AND(H664="Y",E664="Business checking (debit/ACH/check)"),"Counts toward 1099-NEC",IF(H664="Y","Paid by card/PayPal - 1099-K side",""))</f>
        <v/>
      </c>
      <c r="K664" s="16"/>
    </row>
    <row r="665" customFormat="false" ht="15" hidden="false" customHeight="false" outlineLevel="0" collapsed="false">
      <c r="A665" s="25"/>
      <c r="B665" s="16"/>
      <c r="C665" s="16"/>
      <c r="D665" s="26"/>
      <c r="E665" s="16"/>
      <c r="F665" s="16"/>
      <c r="G665" s="16"/>
      <c r="H665" s="16"/>
      <c r="I665" s="16"/>
      <c r="J665" s="8" t="str">
        <f aca="false">IF(AND(H665="Y",E665="Business checking (debit/ACH/check)"),"Counts toward 1099-NEC",IF(H665="Y","Paid by card/PayPal - 1099-K side",""))</f>
        <v/>
      </c>
      <c r="K665" s="16"/>
    </row>
    <row r="666" customFormat="false" ht="15" hidden="false" customHeight="false" outlineLevel="0" collapsed="false">
      <c r="A666" s="25"/>
      <c r="B666" s="16"/>
      <c r="C666" s="16"/>
      <c r="D666" s="26"/>
      <c r="E666" s="16"/>
      <c r="F666" s="16"/>
      <c r="G666" s="16"/>
      <c r="H666" s="16"/>
      <c r="I666" s="16"/>
      <c r="J666" s="8" t="str">
        <f aca="false">IF(AND(H666="Y",E666="Business checking (debit/ACH/check)"),"Counts toward 1099-NEC",IF(H666="Y","Paid by card/PayPal - 1099-K side",""))</f>
        <v/>
      </c>
      <c r="K666" s="16"/>
    </row>
    <row r="667" customFormat="false" ht="15" hidden="false" customHeight="false" outlineLevel="0" collapsed="false">
      <c r="A667" s="25"/>
      <c r="B667" s="16"/>
      <c r="C667" s="16"/>
      <c r="D667" s="26"/>
      <c r="E667" s="16"/>
      <c r="F667" s="16"/>
      <c r="G667" s="16"/>
      <c r="H667" s="16"/>
      <c r="I667" s="16"/>
      <c r="J667" s="8" t="str">
        <f aca="false">IF(AND(H667="Y",E667="Business checking (debit/ACH/check)"),"Counts toward 1099-NEC",IF(H667="Y","Paid by card/PayPal - 1099-K side",""))</f>
        <v/>
      </c>
      <c r="K667" s="16"/>
    </row>
    <row r="668" customFormat="false" ht="15" hidden="false" customHeight="false" outlineLevel="0" collapsed="false">
      <c r="A668" s="25"/>
      <c r="B668" s="16"/>
      <c r="C668" s="16"/>
      <c r="D668" s="26"/>
      <c r="E668" s="16"/>
      <c r="F668" s="16"/>
      <c r="G668" s="16"/>
      <c r="H668" s="16"/>
      <c r="I668" s="16"/>
      <c r="J668" s="8" t="str">
        <f aca="false">IF(AND(H668="Y",E668="Business checking (debit/ACH/check)"),"Counts toward 1099-NEC",IF(H668="Y","Paid by card/PayPal - 1099-K side",""))</f>
        <v/>
      </c>
      <c r="K668" s="16"/>
    </row>
    <row r="669" customFormat="false" ht="15" hidden="false" customHeight="false" outlineLevel="0" collapsed="false">
      <c r="A669" s="25"/>
      <c r="B669" s="16"/>
      <c r="C669" s="16"/>
      <c r="D669" s="26"/>
      <c r="E669" s="16"/>
      <c r="F669" s="16"/>
      <c r="G669" s="16"/>
      <c r="H669" s="16"/>
      <c r="I669" s="16"/>
      <c r="J669" s="8" t="str">
        <f aca="false">IF(AND(H669="Y",E669="Business checking (debit/ACH/check)"),"Counts toward 1099-NEC",IF(H669="Y","Paid by card/PayPal - 1099-K side",""))</f>
        <v/>
      </c>
      <c r="K669" s="16"/>
    </row>
    <row r="670" customFormat="false" ht="15" hidden="false" customHeight="false" outlineLevel="0" collapsed="false">
      <c r="A670" s="25"/>
      <c r="B670" s="16"/>
      <c r="C670" s="16"/>
      <c r="D670" s="26"/>
      <c r="E670" s="16"/>
      <c r="F670" s="16"/>
      <c r="G670" s="16"/>
      <c r="H670" s="16"/>
      <c r="I670" s="16"/>
      <c r="J670" s="8" t="str">
        <f aca="false">IF(AND(H670="Y",E670="Business checking (debit/ACH/check)"),"Counts toward 1099-NEC",IF(H670="Y","Paid by card/PayPal - 1099-K side",""))</f>
        <v/>
      </c>
      <c r="K670" s="16"/>
    </row>
    <row r="671" customFormat="false" ht="15" hidden="false" customHeight="false" outlineLevel="0" collapsed="false">
      <c r="A671" s="25"/>
      <c r="B671" s="16"/>
      <c r="C671" s="16"/>
      <c r="D671" s="26"/>
      <c r="E671" s="16"/>
      <c r="F671" s="16"/>
      <c r="G671" s="16"/>
      <c r="H671" s="16"/>
      <c r="I671" s="16"/>
      <c r="J671" s="8" t="str">
        <f aca="false">IF(AND(H671="Y",E671="Business checking (debit/ACH/check)"),"Counts toward 1099-NEC",IF(H671="Y","Paid by card/PayPal - 1099-K side",""))</f>
        <v/>
      </c>
      <c r="K671" s="16"/>
    </row>
    <row r="672" customFormat="false" ht="15" hidden="false" customHeight="false" outlineLevel="0" collapsed="false">
      <c r="A672" s="25"/>
      <c r="B672" s="16"/>
      <c r="C672" s="16"/>
      <c r="D672" s="26"/>
      <c r="E672" s="16"/>
      <c r="F672" s="16"/>
      <c r="G672" s="16"/>
      <c r="H672" s="16"/>
      <c r="I672" s="16"/>
      <c r="J672" s="8" t="str">
        <f aca="false">IF(AND(H672="Y",E672="Business checking (debit/ACH/check)"),"Counts toward 1099-NEC",IF(H672="Y","Paid by card/PayPal - 1099-K side",""))</f>
        <v/>
      </c>
      <c r="K672" s="16"/>
    </row>
    <row r="673" customFormat="false" ht="15" hidden="false" customHeight="false" outlineLevel="0" collapsed="false">
      <c r="A673" s="25"/>
      <c r="B673" s="16"/>
      <c r="C673" s="16"/>
      <c r="D673" s="26"/>
      <c r="E673" s="16"/>
      <c r="F673" s="16"/>
      <c r="G673" s="16"/>
      <c r="H673" s="16"/>
      <c r="I673" s="16"/>
      <c r="J673" s="8" t="str">
        <f aca="false">IF(AND(H673="Y",E673="Business checking (debit/ACH/check)"),"Counts toward 1099-NEC",IF(H673="Y","Paid by card/PayPal - 1099-K side",""))</f>
        <v/>
      </c>
      <c r="K673" s="16"/>
    </row>
    <row r="674" customFormat="false" ht="15" hidden="false" customHeight="false" outlineLevel="0" collapsed="false">
      <c r="A674" s="25"/>
      <c r="B674" s="16"/>
      <c r="C674" s="16"/>
      <c r="D674" s="26"/>
      <c r="E674" s="16"/>
      <c r="F674" s="16"/>
      <c r="G674" s="16"/>
      <c r="H674" s="16"/>
      <c r="I674" s="16"/>
      <c r="J674" s="8" t="str">
        <f aca="false">IF(AND(H674="Y",E674="Business checking (debit/ACH/check)"),"Counts toward 1099-NEC",IF(H674="Y","Paid by card/PayPal - 1099-K side",""))</f>
        <v/>
      </c>
      <c r="K674" s="16"/>
    </row>
    <row r="675" customFormat="false" ht="15" hidden="false" customHeight="false" outlineLevel="0" collapsed="false">
      <c r="A675" s="25"/>
      <c r="B675" s="16"/>
      <c r="C675" s="16"/>
      <c r="D675" s="26"/>
      <c r="E675" s="16"/>
      <c r="F675" s="16"/>
      <c r="G675" s="16"/>
      <c r="H675" s="16"/>
      <c r="I675" s="16"/>
      <c r="J675" s="8" t="str">
        <f aca="false">IF(AND(H675="Y",E675="Business checking (debit/ACH/check)"),"Counts toward 1099-NEC",IF(H675="Y","Paid by card/PayPal - 1099-K side",""))</f>
        <v/>
      </c>
      <c r="K675" s="16"/>
    </row>
    <row r="676" customFormat="false" ht="15" hidden="false" customHeight="false" outlineLevel="0" collapsed="false">
      <c r="A676" s="25"/>
      <c r="B676" s="16"/>
      <c r="C676" s="16"/>
      <c r="D676" s="26"/>
      <c r="E676" s="16"/>
      <c r="F676" s="16"/>
      <c r="G676" s="16"/>
      <c r="H676" s="16"/>
      <c r="I676" s="16"/>
      <c r="J676" s="8" t="str">
        <f aca="false">IF(AND(H676="Y",E676="Business checking (debit/ACH/check)"),"Counts toward 1099-NEC",IF(H676="Y","Paid by card/PayPal - 1099-K side",""))</f>
        <v/>
      </c>
      <c r="K676" s="16"/>
    </row>
    <row r="677" customFormat="false" ht="15" hidden="false" customHeight="false" outlineLevel="0" collapsed="false">
      <c r="A677" s="25"/>
      <c r="B677" s="16"/>
      <c r="C677" s="16"/>
      <c r="D677" s="26"/>
      <c r="E677" s="16"/>
      <c r="F677" s="16"/>
      <c r="G677" s="16"/>
      <c r="H677" s="16"/>
      <c r="I677" s="16"/>
      <c r="J677" s="8" t="str">
        <f aca="false">IF(AND(H677="Y",E677="Business checking (debit/ACH/check)"),"Counts toward 1099-NEC",IF(H677="Y","Paid by card/PayPal - 1099-K side",""))</f>
        <v/>
      </c>
      <c r="K677" s="16"/>
    </row>
    <row r="678" customFormat="false" ht="15" hidden="false" customHeight="false" outlineLevel="0" collapsed="false">
      <c r="A678" s="25"/>
      <c r="B678" s="16"/>
      <c r="C678" s="16"/>
      <c r="D678" s="26"/>
      <c r="E678" s="16"/>
      <c r="F678" s="16"/>
      <c r="G678" s="16"/>
      <c r="H678" s="16"/>
      <c r="I678" s="16"/>
      <c r="J678" s="8" t="str">
        <f aca="false">IF(AND(H678="Y",E678="Business checking (debit/ACH/check)"),"Counts toward 1099-NEC",IF(H678="Y","Paid by card/PayPal - 1099-K side",""))</f>
        <v/>
      </c>
      <c r="K678" s="16"/>
    </row>
    <row r="679" customFormat="false" ht="15" hidden="false" customHeight="false" outlineLevel="0" collapsed="false">
      <c r="A679" s="25"/>
      <c r="B679" s="16"/>
      <c r="C679" s="16"/>
      <c r="D679" s="26"/>
      <c r="E679" s="16"/>
      <c r="F679" s="16"/>
      <c r="G679" s="16"/>
      <c r="H679" s="16"/>
      <c r="I679" s="16"/>
      <c r="J679" s="8" t="str">
        <f aca="false">IF(AND(H679="Y",E679="Business checking (debit/ACH/check)"),"Counts toward 1099-NEC",IF(H679="Y","Paid by card/PayPal - 1099-K side",""))</f>
        <v/>
      </c>
      <c r="K679" s="16"/>
    </row>
    <row r="680" customFormat="false" ht="15" hidden="false" customHeight="false" outlineLevel="0" collapsed="false">
      <c r="A680" s="25"/>
      <c r="B680" s="16"/>
      <c r="C680" s="16"/>
      <c r="D680" s="26"/>
      <c r="E680" s="16"/>
      <c r="F680" s="16"/>
      <c r="G680" s="16"/>
      <c r="H680" s="16"/>
      <c r="I680" s="16"/>
      <c r="J680" s="8" t="str">
        <f aca="false">IF(AND(H680="Y",E680="Business checking (debit/ACH/check)"),"Counts toward 1099-NEC",IF(H680="Y","Paid by card/PayPal - 1099-K side",""))</f>
        <v/>
      </c>
      <c r="K680" s="16"/>
    </row>
    <row r="681" customFormat="false" ht="15" hidden="false" customHeight="false" outlineLevel="0" collapsed="false">
      <c r="A681" s="25"/>
      <c r="B681" s="16"/>
      <c r="C681" s="16"/>
      <c r="D681" s="26"/>
      <c r="E681" s="16"/>
      <c r="F681" s="16"/>
      <c r="G681" s="16"/>
      <c r="H681" s="16"/>
      <c r="I681" s="16"/>
      <c r="J681" s="8" t="str">
        <f aca="false">IF(AND(H681="Y",E681="Business checking (debit/ACH/check)"),"Counts toward 1099-NEC",IF(H681="Y","Paid by card/PayPal - 1099-K side",""))</f>
        <v/>
      </c>
      <c r="K681" s="16"/>
    </row>
    <row r="682" customFormat="false" ht="15" hidden="false" customHeight="false" outlineLevel="0" collapsed="false">
      <c r="A682" s="25"/>
      <c r="B682" s="16"/>
      <c r="C682" s="16"/>
      <c r="D682" s="26"/>
      <c r="E682" s="16"/>
      <c r="F682" s="16"/>
      <c r="G682" s="16"/>
      <c r="H682" s="16"/>
      <c r="I682" s="16"/>
      <c r="J682" s="8" t="str">
        <f aca="false">IF(AND(H682="Y",E682="Business checking (debit/ACH/check)"),"Counts toward 1099-NEC",IF(H682="Y","Paid by card/PayPal - 1099-K side",""))</f>
        <v/>
      </c>
      <c r="K682" s="16"/>
    </row>
    <row r="683" customFormat="false" ht="15" hidden="false" customHeight="false" outlineLevel="0" collapsed="false">
      <c r="A683" s="25"/>
      <c r="B683" s="16"/>
      <c r="C683" s="16"/>
      <c r="D683" s="26"/>
      <c r="E683" s="16"/>
      <c r="F683" s="16"/>
      <c r="G683" s="16"/>
      <c r="H683" s="16"/>
      <c r="I683" s="16"/>
      <c r="J683" s="8" t="str">
        <f aca="false">IF(AND(H683="Y",E683="Business checking (debit/ACH/check)"),"Counts toward 1099-NEC",IF(H683="Y","Paid by card/PayPal - 1099-K side",""))</f>
        <v/>
      </c>
      <c r="K683" s="16"/>
    </row>
    <row r="684" customFormat="false" ht="15" hidden="false" customHeight="false" outlineLevel="0" collapsed="false">
      <c r="A684" s="25"/>
      <c r="B684" s="16"/>
      <c r="C684" s="16"/>
      <c r="D684" s="26"/>
      <c r="E684" s="16"/>
      <c r="F684" s="16"/>
      <c r="G684" s="16"/>
      <c r="H684" s="16"/>
      <c r="I684" s="16"/>
      <c r="J684" s="8" t="str">
        <f aca="false">IF(AND(H684="Y",E684="Business checking (debit/ACH/check)"),"Counts toward 1099-NEC",IF(H684="Y","Paid by card/PayPal - 1099-K side",""))</f>
        <v/>
      </c>
      <c r="K684" s="16"/>
    </row>
    <row r="685" customFormat="false" ht="15" hidden="false" customHeight="false" outlineLevel="0" collapsed="false">
      <c r="A685" s="25"/>
      <c r="B685" s="16"/>
      <c r="C685" s="16"/>
      <c r="D685" s="26"/>
      <c r="E685" s="16"/>
      <c r="F685" s="16"/>
      <c r="G685" s="16"/>
      <c r="H685" s="16"/>
      <c r="I685" s="16"/>
      <c r="J685" s="8" t="str">
        <f aca="false">IF(AND(H685="Y",E685="Business checking (debit/ACH/check)"),"Counts toward 1099-NEC",IF(H685="Y","Paid by card/PayPal - 1099-K side",""))</f>
        <v/>
      </c>
      <c r="K685" s="16"/>
    </row>
    <row r="686" customFormat="false" ht="15" hidden="false" customHeight="false" outlineLevel="0" collapsed="false">
      <c r="A686" s="25"/>
      <c r="B686" s="16"/>
      <c r="C686" s="16"/>
      <c r="D686" s="26"/>
      <c r="E686" s="16"/>
      <c r="F686" s="16"/>
      <c r="G686" s="16"/>
      <c r="H686" s="16"/>
      <c r="I686" s="16"/>
      <c r="J686" s="8" t="str">
        <f aca="false">IF(AND(H686="Y",E686="Business checking (debit/ACH/check)"),"Counts toward 1099-NEC",IF(H686="Y","Paid by card/PayPal - 1099-K side",""))</f>
        <v/>
      </c>
      <c r="K686" s="16"/>
    </row>
    <row r="687" customFormat="false" ht="15" hidden="false" customHeight="false" outlineLevel="0" collapsed="false">
      <c r="A687" s="25"/>
      <c r="B687" s="16"/>
      <c r="C687" s="16"/>
      <c r="D687" s="26"/>
      <c r="E687" s="16"/>
      <c r="F687" s="16"/>
      <c r="G687" s="16"/>
      <c r="H687" s="16"/>
      <c r="I687" s="16"/>
      <c r="J687" s="8" t="str">
        <f aca="false">IF(AND(H687="Y",E687="Business checking (debit/ACH/check)"),"Counts toward 1099-NEC",IF(H687="Y","Paid by card/PayPal - 1099-K side",""))</f>
        <v/>
      </c>
      <c r="K687" s="16"/>
    </row>
    <row r="688" customFormat="false" ht="15" hidden="false" customHeight="false" outlineLevel="0" collapsed="false">
      <c r="A688" s="25"/>
      <c r="B688" s="16"/>
      <c r="C688" s="16"/>
      <c r="D688" s="26"/>
      <c r="E688" s="16"/>
      <c r="F688" s="16"/>
      <c r="G688" s="16"/>
      <c r="H688" s="16"/>
      <c r="I688" s="16"/>
      <c r="J688" s="8" t="str">
        <f aca="false">IF(AND(H688="Y",E688="Business checking (debit/ACH/check)"),"Counts toward 1099-NEC",IF(H688="Y","Paid by card/PayPal - 1099-K side",""))</f>
        <v/>
      </c>
      <c r="K688" s="16"/>
    </row>
    <row r="689" customFormat="false" ht="15" hidden="false" customHeight="false" outlineLevel="0" collapsed="false">
      <c r="A689" s="25"/>
      <c r="B689" s="16"/>
      <c r="C689" s="16"/>
      <c r="D689" s="26"/>
      <c r="E689" s="16"/>
      <c r="F689" s="16"/>
      <c r="G689" s="16"/>
      <c r="H689" s="16"/>
      <c r="I689" s="16"/>
      <c r="J689" s="8" t="str">
        <f aca="false">IF(AND(H689="Y",E689="Business checking (debit/ACH/check)"),"Counts toward 1099-NEC",IF(H689="Y","Paid by card/PayPal - 1099-K side",""))</f>
        <v/>
      </c>
      <c r="K689" s="16"/>
    </row>
    <row r="690" customFormat="false" ht="15" hidden="false" customHeight="false" outlineLevel="0" collapsed="false">
      <c r="A690" s="25"/>
      <c r="B690" s="16"/>
      <c r="C690" s="16"/>
      <c r="D690" s="26"/>
      <c r="E690" s="16"/>
      <c r="F690" s="16"/>
      <c r="G690" s="16"/>
      <c r="H690" s="16"/>
      <c r="I690" s="16"/>
      <c r="J690" s="8" t="str">
        <f aca="false">IF(AND(H690="Y",E690="Business checking (debit/ACH/check)"),"Counts toward 1099-NEC",IF(H690="Y","Paid by card/PayPal - 1099-K side",""))</f>
        <v/>
      </c>
      <c r="K690" s="16"/>
    </row>
    <row r="691" customFormat="false" ht="15" hidden="false" customHeight="false" outlineLevel="0" collapsed="false">
      <c r="A691" s="25"/>
      <c r="B691" s="16"/>
      <c r="C691" s="16"/>
      <c r="D691" s="26"/>
      <c r="E691" s="16"/>
      <c r="F691" s="16"/>
      <c r="G691" s="16"/>
      <c r="H691" s="16"/>
      <c r="I691" s="16"/>
      <c r="J691" s="8" t="str">
        <f aca="false">IF(AND(H691="Y",E691="Business checking (debit/ACH/check)"),"Counts toward 1099-NEC",IF(H691="Y","Paid by card/PayPal - 1099-K side",""))</f>
        <v/>
      </c>
      <c r="K691" s="16"/>
    </row>
    <row r="692" customFormat="false" ht="15" hidden="false" customHeight="false" outlineLevel="0" collapsed="false">
      <c r="A692" s="25"/>
      <c r="B692" s="16"/>
      <c r="C692" s="16"/>
      <c r="D692" s="26"/>
      <c r="E692" s="16"/>
      <c r="F692" s="16"/>
      <c r="G692" s="16"/>
      <c r="H692" s="16"/>
      <c r="I692" s="16"/>
      <c r="J692" s="8" t="str">
        <f aca="false">IF(AND(H692="Y",E692="Business checking (debit/ACH/check)"),"Counts toward 1099-NEC",IF(H692="Y","Paid by card/PayPal - 1099-K side",""))</f>
        <v/>
      </c>
      <c r="K692" s="16"/>
    </row>
    <row r="693" customFormat="false" ht="15" hidden="false" customHeight="false" outlineLevel="0" collapsed="false">
      <c r="A693" s="25"/>
      <c r="B693" s="16"/>
      <c r="C693" s="16"/>
      <c r="D693" s="26"/>
      <c r="E693" s="16"/>
      <c r="F693" s="16"/>
      <c r="G693" s="16"/>
      <c r="H693" s="16"/>
      <c r="I693" s="16"/>
      <c r="J693" s="8" t="str">
        <f aca="false">IF(AND(H693="Y",E693="Business checking (debit/ACH/check)"),"Counts toward 1099-NEC",IF(H693="Y","Paid by card/PayPal - 1099-K side",""))</f>
        <v/>
      </c>
      <c r="K693" s="16"/>
    </row>
    <row r="694" customFormat="false" ht="15" hidden="false" customHeight="false" outlineLevel="0" collapsed="false">
      <c r="A694" s="25"/>
      <c r="B694" s="16"/>
      <c r="C694" s="16"/>
      <c r="D694" s="26"/>
      <c r="E694" s="16"/>
      <c r="F694" s="16"/>
      <c r="G694" s="16"/>
      <c r="H694" s="16"/>
      <c r="I694" s="16"/>
      <c r="J694" s="8" t="str">
        <f aca="false">IF(AND(H694="Y",E694="Business checking (debit/ACH/check)"),"Counts toward 1099-NEC",IF(H694="Y","Paid by card/PayPal - 1099-K side",""))</f>
        <v/>
      </c>
      <c r="K694" s="16"/>
    </row>
    <row r="695" customFormat="false" ht="15" hidden="false" customHeight="false" outlineLevel="0" collapsed="false">
      <c r="A695" s="25"/>
      <c r="B695" s="16"/>
      <c r="C695" s="16"/>
      <c r="D695" s="26"/>
      <c r="E695" s="16"/>
      <c r="F695" s="16"/>
      <c r="G695" s="16"/>
      <c r="H695" s="16"/>
      <c r="I695" s="16"/>
      <c r="J695" s="8" t="str">
        <f aca="false">IF(AND(H695="Y",E695="Business checking (debit/ACH/check)"),"Counts toward 1099-NEC",IF(H695="Y","Paid by card/PayPal - 1099-K side",""))</f>
        <v/>
      </c>
      <c r="K695" s="16"/>
    </row>
    <row r="696" customFormat="false" ht="15" hidden="false" customHeight="false" outlineLevel="0" collapsed="false">
      <c r="A696" s="25"/>
      <c r="B696" s="16"/>
      <c r="C696" s="16"/>
      <c r="D696" s="26"/>
      <c r="E696" s="16"/>
      <c r="F696" s="16"/>
      <c r="G696" s="16"/>
      <c r="H696" s="16"/>
      <c r="I696" s="16"/>
      <c r="J696" s="8" t="str">
        <f aca="false">IF(AND(H696="Y",E696="Business checking (debit/ACH/check)"),"Counts toward 1099-NEC",IF(H696="Y","Paid by card/PayPal - 1099-K side",""))</f>
        <v/>
      </c>
      <c r="K696" s="16"/>
    </row>
    <row r="697" customFormat="false" ht="15" hidden="false" customHeight="false" outlineLevel="0" collapsed="false">
      <c r="A697" s="25"/>
      <c r="B697" s="16"/>
      <c r="C697" s="16"/>
      <c r="D697" s="26"/>
      <c r="E697" s="16"/>
      <c r="F697" s="16"/>
      <c r="G697" s="16"/>
      <c r="H697" s="16"/>
      <c r="I697" s="16"/>
      <c r="J697" s="8" t="str">
        <f aca="false">IF(AND(H697="Y",E697="Business checking (debit/ACH/check)"),"Counts toward 1099-NEC",IF(H697="Y","Paid by card/PayPal - 1099-K side",""))</f>
        <v/>
      </c>
      <c r="K697" s="16"/>
    </row>
    <row r="698" customFormat="false" ht="15" hidden="false" customHeight="false" outlineLevel="0" collapsed="false">
      <c r="A698" s="25"/>
      <c r="B698" s="16"/>
      <c r="C698" s="16"/>
      <c r="D698" s="26"/>
      <c r="E698" s="16"/>
      <c r="F698" s="16"/>
      <c r="G698" s="16"/>
      <c r="H698" s="16"/>
      <c r="I698" s="16"/>
      <c r="J698" s="8" t="str">
        <f aca="false">IF(AND(H698="Y",E698="Business checking (debit/ACH/check)"),"Counts toward 1099-NEC",IF(H698="Y","Paid by card/PayPal - 1099-K side",""))</f>
        <v/>
      </c>
      <c r="K698" s="16"/>
    </row>
    <row r="699" customFormat="false" ht="15" hidden="false" customHeight="false" outlineLevel="0" collapsed="false">
      <c r="A699" s="25"/>
      <c r="B699" s="16"/>
      <c r="C699" s="16"/>
      <c r="D699" s="26"/>
      <c r="E699" s="16"/>
      <c r="F699" s="16"/>
      <c r="G699" s="16"/>
      <c r="H699" s="16"/>
      <c r="I699" s="16"/>
      <c r="J699" s="8" t="str">
        <f aca="false">IF(AND(H699="Y",E699="Business checking (debit/ACH/check)"),"Counts toward 1099-NEC",IF(H699="Y","Paid by card/PayPal - 1099-K side",""))</f>
        <v/>
      </c>
      <c r="K699" s="16"/>
    </row>
    <row r="700" customFormat="false" ht="15" hidden="false" customHeight="false" outlineLevel="0" collapsed="false">
      <c r="A700" s="25"/>
      <c r="B700" s="16"/>
      <c r="C700" s="16"/>
      <c r="D700" s="26"/>
      <c r="E700" s="16"/>
      <c r="F700" s="16"/>
      <c r="G700" s="16"/>
      <c r="H700" s="16"/>
      <c r="I700" s="16"/>
      <c r="J700" s="8" t="str">
        <f aca="false">IF(AND(H700="Y",E700="Business checking (debit/ACH/check)"),"Counts toward 1099-NEC",IF(H700="Y","Paid by card/PayPal - 1099-K side",""))</f>
        <v/>
      </c>
      <c r="K700" s="16"/>
    </row>
    <row r="701" customFormat="false" ht="15" hidden="false" customHeight="false" outlineLevel="0" collapsed="false">
      <c r="A701" s="25"/>
      <c r="B701" s="16"/>
      <c r="C701" s="16"/>
      <c r="D701" s="26"/>
      <c r="E701" s="16"/>
      <c r="F701" s="16"/>
      <c r="G701" s="16"/>
      <c r="H701" s="16"/>
      <c r="I701" s="16"/>
      <c r="J701" s="8" t="str">
        <f aca="false">IF(AND(H701="Y",E701="Business checking (debit/ACH/check)"),"Counts toward 1099-NEC",IF(H701="Y","Paid by card/PayPal - 1099-K side",""))</f>
        <v/>
      </c>
      <c r="K701" s="16"/>
    </row>
    <row r="702" customFormat="false" ht="15" hidden="false" customHeight="false" outlineLevel="0" collapsed="false">
      <c r="A702" s="25"/>
      <c r="B702" s="16"/>
      <c r="C702" s="16"/>
      <c r="D702" s="26"/>
      <c r="E702" s="16"/>
      <c r="F702" s="16"/>
      <c r="G702" s="16"/>
      <c r="H702" s="16"/>
      <c r="I702" s="16"/>
      <c r="J702" s="8" t="str">
        <f aca="false">IF(AND(H702="Y",E702="Business checking (debit/ACH/check)"),"Counts toward 1099-NEC",IF(H702="Y","Paid by card/PayPal - 1099-K side",""))</f>
        <v/>
      </c>
      <c r="K702" s="16"/>
    </row>
    <row r="703" customFormat="false" ht="15" hidden="false" customHeight="false" outlineLevel="0" collapsed="false">
      <c r="A703" s="25"/>
      <c r="B703" s="16"/>
      <c r="C703" s="16"/>
      <c r="D703" s="26"/>
      <c r="E703" s="16"/>
      <c r="F703" s="16"/>
      <c r="G703" s="16"/>
      <c r="H703" s="16"/>
      <c r="I703" s="16"/>
      <c r="J703" s="8" t="str">
        <f aca="false">IF(AND(H703="Y",E703="Business checking (debit/ACH/check)"),"Counts toward 1099-NEC",IF(H703="Y","Paid by card/PayPal - 1099-K side",""))</f>
        <v/>
      </c>
      <c r="K703" s="16"/>
    </row>
    <row r="704" customFormat="false" ht="15" hidden="false" customHeight="false" outlineLevel="0" collapsed="false">
      <c r="A704" s="25"/>
      <c r="B704" s="16"/>
      <c r="C704" s="16"/>
      <c r="D704" s="26"/>
      <c r="E704" s="16"/>
      <c r="F704" s="16"/>
      <c r="G704" s="16"/>
      <c r="H704" s="16"/>
      <c r="I704" s="16"/>
      <c r="J704" s="8" t="str">
        <f aca="false">IF(AND(H704="Y",E704="Business checking (debit/ACH/check)"),"Counts toward 1099-NEC",IF(H704="Y","Paid by card/PayPal - 1099-K side",""))</f>
        <v/>
      </c>
      <c r="K704" s="16"/>
    </row>
    <row r="705" customFormat="false" ht="15" hidden="false" customHeight="false" outlineLevel="0" collapsed="false">
      <c r="A705" s="25"/>
      <c r="B705" s="16"/>
      <c r="C705" s="16"/>
      <c r="D705" s="26"/>
      <c r="E705" s="16"/>
      <c r="F705" s="16"/>
      <c r="G705" s="16"/>
      <c r="H705" s="16"/>
      <c r="I705" s="16"/>
      <c r="J705" s="8" t="str">
        <f aca="false">IF(AND(H705="Y",E705="Business checking (debit/ACH/check)"),"Counts toward 1099-NEC",IF(H705="Y","Paid by card/PayPal - 1099-K side",""))</f>
        <v/>
      </c>
      <c r="K705" s="16"/>
    </row>
    <row r="706" customFormat="false" ht="15" hidden="false" customHeight="false" outlineLevel="0" collapsed="false">
      <c r="A706" s="25"/>
      <c r="B706" s="16"/>
      <c r="C706" s="16"/>
      <c r="D706" s="26"/>
      <c r="E706" s="16"/>
      <c r="F706" s="16"/>
      <c r="G706" s="16"/>
      <c r="H706" s="16"/>
      <c r="I706" s="16"/>
      <c r="J706" s="8" t="str">
        <f aca="false">IF(AND(H706="Y",E706="Business checking (debit/ACH/check)"),"Counts toward 1099-NEC",IF(H706="Y","Paid by card/PayPal - 1099-K side",""))</f>
        <v/>
      </c>
      <c r="K706" s="16"/>
    </row>
    <row r="707" customFormat="false" ht="15" hidden="false" customHeight="false" outlineLevel="0" collapsed="false">
      <c r="A707" s="25"/>
      <c r="B707" s="16"/>
      <c r="C707" s="16"/>
      <c r="D707" s="26"/>
      <c r="E707" s="16"/>
      <c r="F707" s="16"/>
      <c r="G707" s="16"/>
      <c r="H707" s="16"/>
      <c r="I707" s="16"/>
      <c r="J707" s="8" t="str">
        <f aca="false">IF(AND(H707="Y",E707="Business checking (debit/ACH/check)"),"Counts toward 1099-NEC",IF(H707="Y","Paid by card/PayPal - 1099-K side",""))</f>
        <v/>
      </c>
      <c r="K707" s="16"/>
    </row>
    <row r="708" customFormat="false" ht="15" hidden="false" customHeight="false" outlineLevel="0" collapsed="false">
      <c r="A708" s="25"/>
      <c r="B708" s="16"/>
      <c r="C708" s="16"/>
      <c r="D708" s="26"/>
      <c r="E708" s="16"/>
      <c r="F708" s="16"/>
      <c r="G708" s="16"/>
      <c r="H708" s="16"/>
      <c r="I708" s="16"/>
      <c r="J708" s="8" t="str">
        <f aca="false">IF(AND(H708="Y",E708="Business checking (debit/ACH/check)"),"Counts toward 1099-NEC",IF(H708="Y","Paid by card/PayPal - 1099-K side",""))</f>
        <v/>
      </c>
      <c r="K708" s="16"/>
    </row>
    <row r="709" customFormat="false" ht="15" hidden="false" customHeight="false" outlineLevel="0" collapsed="false">
      <c r="A709" s="25"/>
      <c r="B709" s="16"/>
      <c r="C709" s="16"/>
      <c r="D709" s="26"/>
      <c r="E709" s="16"/>
      <c r="F709" s="16"/>
      <c r="G709" s="16"/>
      <c r="H709" s="16"/>
      <c r="I709" s="16"/>
      <c r="J709" s="8" t="str">
        <f aca="false">IF(AND(H709="Y",E709="Business checking (debit/ACH/check)"),"Counts toward 1099-NEC",IF(H709="Y","Paid by card/PayPal - 1099-K side",""))</f>
        <v/>
      </c>
      <c r="K709" s="16"/>
    </row>
    <row r="710" customFormat="false" ht="15" hidden="false" customHeight="false" outlineLevel="0" collapsed="false">
      <c r="A710" s="25"/>
      <c r="B710" s="16"/>
      <c r="C710" s="16"/>
      <c r="D710" s="26"/>
      <c r="E710" s="16"/>
      <c r="F710" s="16"/>
      <c r="G710" s="16"/>
      <c r="H710" s="16"/>
      <c r="I710" s="16"/>
      <c r="J710" s="8" t="str">
        <f aca="false">IF(AND(H710="Y",E710="Business checking (debit/ACH/check)"),"Counts toward 1099-NEC",IF(H710="Y","Paid by card/PayPal - 1099-K side",""))</f>
        <v/>
      </c>
      <c r="K710" s="16"/>
    </row>
    <row r="711" customFormat="false" ht="15" hidden="false" customHeight="false" outlineLevel="0" collapsed="false">
      <c r="A711" s="25"/>
      <c r="B711" s="16"/>
      <c r="C711" s="16"/>
      <c r="D711" s="26"/>
      <c r="E711" s="16"/>
      <c r="F711" s="16"/>
      <c r="G711" s="16"/>
      <c r="H711" s="16"/>
      <c r="I711" s="16"/>
      <c r="J711" s="8" t="str">
        <f aca="false">IF(AND(H711="Y",E711="Business checking (debit/ACH/check)"),"Counts toward 1099-NEC",IF(H711="Y","Paid by card/PayPal - 1099-K side",""))</f>
        <v/>
      </c>
      <c r="K711" s="16"/>
    </row>
    <row r="712" customFormat="false" ht="15" hidden="false" customHeight="false" outlineLevel="0" collapsed="false">
      <c r="A712" s="25"/>
      <c r="B712" s="16"/>
      <c r="C712" s="16"/>
      <c r="D712" s="26"/>
      <c r="E712" s="16"/>
      <c r="F712" s="16"/>
      <c r="G712" s="16"/>
      <c r="H712" s="16"/>
      <c r="I712" s="16"/>
      <c r="J712" s="8" t="str">
        <f aca="false">IF(AND(H712="Y",E712="Business checking (debit/ACH/check)"),"Counts toward 1099-NEC",IF(H712="Y","Paid by card/PayPal - 1099-K side",""))</f>
        <v/>
      </c>
      <c r="K712" s="16"/>
    </row>
    <row r="713" customFormat="false" ht="15" hidden="false" customHeight="false" outlineLevel="0" collapsed="false">
      <c r="A713" s="25"/>
      <c r="B713" s="16"/>
      <c r="C713" s="16"/>
      <c r="D713" s="26"/>
      <c r="E713" s="16"/>
      <c r="F713" s="16"/>
      <c r="G713" s="16"/>
      <c r="H713" s="16"/>
      <c r="I713" s="16"/>
      <c r="J713" s="8" t="str">
        <f aca="false">IF(AND(H713="Y",E713="Business checking (debit/ACH/check)"),"Counts toward 1099-NEC",IF(H713="Y","Paid by card/PayPal - 1099-K side",""))</f>
        <v/>
      </c>
      <c r="K713" s="16"/>
    </row>
    <row r="714" customFormat="false" ht="15" hidden="false" customHeight="false" outlineLevel="0" collapsed="false">
      <c r="A714" s="25"/>
      <c r="B714" s="16"/>
      <c r="C714" s="16"/>
      <c r="D714" s="26"/>
      <c r="E714" s="16"/>
      <c r="F714" s="16"/>
      <c r="G714" s="16"/>
      <c r="H714" s="16"/>
      <c r="I714" s="16"/>
      <c r="J714" s="8" t="str">
        <f aca="false">IF(AND(H714="Y",E714="Business checking (debit/ACH/check)"),"Counts toward 1099-NEC",IF(H714="Y","Paid by card/PayPal - 1099-K side",""))</f>
        <v/>
      </c>
      <c r="K714" s="16"/>
    </row>
    <row r="715" customFormat="false" ht="15" hidden="false" customHeight="false" outlineLevel="0" collapsed="false">
      <c r="A715" s="25"/>
      <c r="B715" s="16"/>
      <c r="C715" s="16"/>
      <c r="D715" s="26"/>
      <c r="E715" s="16"/>
      <c r="F715" s="16"/>
      <c r="G715" s="16"/>
      <c r="H715" s="16"/>
      <c r="I715" s="16"/>
      <c r="J715" s="8" t="str">
        <f aca="false">IF(AND(H715="Y",E715="Business checking (debit/ACH/check)"),"Counts toward 1099-NEC",IF(H715="Y","Paid by card/PayPal - 1099-K side",""))</f>
        <v/>
      </c>
      <c r="K715" s="16"/>
    </row>
    <row r="716" customFormat="false" ht="15" hidden="false" customHeight="false" outlineLevel="0" collapsed="false">
      <c r="A716" s="25"/>
      <c r="B716" s="16"/>
      <c r="C716" s="16"/>
      <c r="D716" s="26"/>
      <c r="E716" s="16"/>
      <c r="F716" s="16"/>
      <c r="G716" s="16"/>
      <c r="H716" s="16"/>
      <c r="I716" s="16"/>
      <c r="J716" s="8" t="str">
        <f aca="false">IF(AND(H716="Y",E716="Business checking (debit/ACH/check)"),"Counts toward 1099-NEC",IF(H716="Y","Paid by card/PayPal - 1099-K side",""))</f>
        <v/>
      </c>
      <c r="K716" s="16"/>
    </row>
    <row r="717" customFormat="false" ht="15" hidden="false" customHeight="false" outlineLevel="0" collapsed="false">
      <c r="A717" s="25"/>
      <c r="B717" s="16"/>
      <c r="C717" s="16"/>
      <c r="D717" s="26"/>
      <c r="E717" s="16"/>
      <c r="F717" s="16"/>
      <c r="G717" s="16"/>
      <c r="H717" s="16"/>
      <c r="I717" s="16"/>
      <c r="J717" s="8" t="str">
        <f aca="false">IF(AND(H717="Y",E717="Business checking (debit/ACH/check)"),"Counts toward 1099-NEC",IF(H717="Y","Paid by card/PayPal - 1099-K side",""))</f>
        <v/>
      </c>
      <c r="K717" s="16"/>
    </row>
    <row r="718" customFormat="false" ht="15" hidden="false" customHeight="false" outlineLevel="0" collapsed="false">
      <c r="A718" s="25"/>
      <c r="B718" s="16"/>
      <c r="C718" s="16"/>
      <c r="D718" s="26"/>
      <c r="E718" s="16"/>
      <c r="F718" s="16"/>
      <c r="G718" s="16"/>
      <c r="H718" s="16"/>
      <c r="I718" s="16"/>
      <c r="J718" s="8" t="str">
        <f aca="false">IF(AND(H718="Y",E718="Business checking (debit/ACH/check)"),"Counts toward 1099-NEC",IF(H718="Y","Paid by card/PayPal - 1099-K side",""))</f>
        <v/>
      </c>
      <c r="K718" s="16"/>
    </row>
    <row r="719" customFormat="false" ht="15" hidden="false" customHeight="false" outlineLevel="0" collapsed="false">
      <c r="A719" s="25"/>
      <c r="B719" s="16"/>
      <c r="C719" s="16"/>
      <c r="D719" s="26"/>
      <c r="E719" s="16"/>
      <c r="F719" s="16"/>
      <c r="G719" s="16"/>
      <c r="H719" s="16"/>
      <c r="I719" s="16"/>
      <c r="J719" s="8" t="str">
        <f aca="false">IF(AND(H719="Y",E719="Business checking (debit/ACH/check)"),"Counts toward 1099-NEC",IF(H719="Y","Paid by card/PayPal - 1099-K side",""))</f>
        <v/>
      </c>
      <c r="K719" s="16"/>
    </row>
    <row r="720" customFormat="false" ht="15" hidden="false" customHeight="false" outlineLevel="0" collapsed="false">
      <c r="A720" s="25"/>
      <c r="B720" s="16"/>
      <c r="C720" s="16"/>
      <c r="D720" s="26"/>
      <c r="E720" s="16"/>
      <c r="F720" s="16"/>
      <c r="G720" s="16"/>
      <c r="H720" s="16"/>
      <c r="I720" s="16"/>
      <c r="J720" s="8" t="str">
        <f aca="false">IF(AND(H720="Y",E720="Business checking (debit/ACH/check)"),"Counts toward 1099-NEC",IF(H720="Y","Paid by card/PayPal - 1099-K side",""))</f>
        <v/>
      </c>
      <c r="K720" s="16"/>
    </row>
    <row r="721" customFormat="false" ht="15" hidden="false" customHeight="false" outlineLevel="0" collapsed="false">
      <c r="A721" s="25"/>
      <c r="B721" s="16"/>
      <c r="C721" s="16"/>
      <c r="D721" s="26"/>
      <c r="E721" s="16"/>
      <c r="F721" s="16"/>
      <c r="G721" s="16"/>
      <c r="H721" s="16"/>
      <c r="I721" s="16"/>
      <c r="J721" s="8" t="str">
        <f aca="false">IF(AND(H721="Y",E721="Business checking (debit/ACH/check)"),"Counts toward 1099-NEC",IF(H721="Y","Paid by card/PayPal - 1099-K side",""))</f>
        <v/>
      </c>
      <c r="K721" s="16"/>
    </row>
    <row r="722" customFormat="false" ht="15" hidden="false" customHeight="false" outlineLevel="0" collapsed="false">
      <c r="A722" s="25"/>
      <c r="B722" s="16"/>
      <c r="C722" s="16"/>
      <c r="D722" s="26"/>
      <c r="E722" s="16"/>
      <c r="F722" s="16"/>
      <c r="G722" s="16"/>
      <c r="H722" s="16"/>
      <c r="I722" s="16"/>
      <c r="J722" s="8" t="str">
        <f aca="false">IF(AND(H722="Y",E722="Business checking (debit/ACH/check)"),"Counts toward 1099-NEC",IF(H722="Y","Paid by card/PayPal - 1099-K side",""))</f>
        <v/>
      </c>
      <c r="K722" s="16"/>
    </row>
    <row r="723" customFormat="false" ht="15" hidden="false" customHeight="false" outlineLevel="0" collapsed="false">
      <c r="A723" s="25"/>
      <c r="B723" s="16"/>
      <c r="C723" s="16"/>
      <c r="D723" s="26"/>
      <c r="E723" s="16"/>
      <c r="F723" s="16"/>
      <c r="G723" s="16"/>
      <c r="H723" s="16"/>
      <c r="I723" s="16"/>
      <c r="J723" s="8" t="str">
        <f aca="false">IF(AND(H723="Y",E723="Business checking (debit/ACH/check)"),"Counts toward 1099-NEC",IF(H723="Y","Paid by card/PayPal - 1099-K side",""))</f>
        <v/>
      </c>
      <c r="K723" s="16"/>
    </row>
    <row r="724" customFormat="false" ht="15" hidden="false" customHeight="false" outlineLevel="0" collapsed="false">
      <c r="A724" s="25"/>
      <c r="B724" s="16"/>
      <c r="C724" s="16"/>
      <c r="D724" s="26"/>
      <c r="E724" s="16"/>
      <c r="F724" s="16"/>
      <c r="G724" s="16"/>
      <c r="H724" s="16"/>
      <c r="I724" s="16"/>
      <c r="J724" s="8" t="str">
        <f aca="false">IF(AND(H724="Y",E724="Business checking (debit/ACH/check)"),"Counts toward 1099-NEC",IF(H724="Y","Paid by card/PayPal - 1099-K side",""))</f>
        <v/>
      </c>
      <c r="K724" s="16"/>
    </row>
    <row r="725" customFormat="false" ht="15" hidden="false" customHeight="false" outlineLevel="0" collapsed="false">
      <c r="A725" s="25"/>
      <c r="B725" s="16"/>
      <c r="C725" s="16"/>
      <c r="D725" s="26"/>
      <c r="E725" s="16"/>
      <c r="F725" s="16"/>
      <c r="G725" s="16"/>
      <c r="H725" s="16"/>
      <c r="I725" s="16"/>
      <c r="J725" s="8" t="str">
        <f aca="false">IF(AND(H725="Y",E725="Business checking (debit/ACH/check)"),"Counts toward 1099-NEC",IF(H725="Y","Paid by card/PayPal - 1099-K side",""))</f>
        <v/>
      </c>
      <c r="K725" s="16"/>
    </row>
    <row r="726" customFormat="false" ht="15" hidden="false" customHeight="false" outlineLevel="0" collapsed="false">
      <c r="A726" s="25"/>
      <c r="B726" s="16"/>
      <c r="C726" s="16"/>
      <c r="D726" s="26"/>
      <c r="E726" s="16"/>
      <c r="F726" s="16"/>
      <c r="G726" s="16"/>
      <c r="H726" s="16"/>
      <c r="I726" s="16"/>
      <c r="J726" s="8" t="str">
        <f aca="false">IF(AND(H726="Y",E726="Business checking (debit/ACH/check)"),"Counts toward 1099-NEC",IF(H726="Y","Paid by card/PayPal - 1099-K side",""))</f>
        <v/>
      </c>
      <c r="K726" s="16"/>
    </row>
    <row r="727" customFormat="false" ht="15" hidden="false" customHeight="false" outlineLevel="0" collapsed="false">
      <c r="A727" s="25"/>
      <c r="B727" s="16"/>
      <c r="C727" s="16"/>
      <c r="D727" s="26"/>
      <c r="E727" s="16"/>
      <c r="F727" s="16"/>
      <c r="G727" s="16"/>
      <c r="H727" s="16"/>
      <c r="I727" s="16"/>
      <c r="J727" s="8" t="str">
        <f aca="false">IF(AND(H727="Y",E727="Business checking (debit/ACH/check)"),"Counts toward 1099-NEC",IF(H727="Y","Paid by card/PayPal - 1099-K side",""))</f>
        <v/>
      </c>
      <c r="K727" s="16"/>
    </row>
    <row r="728" customFormat="false" ht="15" hidden="false" customHeight="false" outlineLevel="0" collapsed="false">
      <c r="A728" s="25"/>
      <c r="B728" s="16"/>
      <c r="C728" s="16"/>
      <c r="D728" s="26"/>
      <c r="E728" s="16"/>
      <c r="F728" s="16"/>
      <c r="G728" s="16"/>
      <c r="H728" s="16"/>
      <c r="I728" s="16"/>
      <c r="J728" s="8" t="str">
        <f aca="false">IF(AND(H728="Y",E728="Business checking (debit/ACH/check)"),"Counts toward 1099-NEC",IF(H728="Y","Paid by card/PayPal - 1099-K side",""))</f>
        <v/>
      </c>
      <c r="K728" s="16"/>
    </row>
    <row r="729" customFormat="false" ht="15" hidden="false" customHeight="false" outlineLevel="0" collapsed="false">
      <c r="A729" s="25"/>
      <c r="B729" s="16"/>
      <c r="C729" s="16"/>
      <c r="D729" s="26"/>
      <c r="E729" s="16"/>
      <c r="F729" s="16"/>
      <c r="G729" s="16"/>
      <c r="H729" s="16"/>
      <c r="I729" s="16"/>
      <c r="J729" s="8" t="str">
        <f aca="false">IF(AND(H729="Y",E729="Business checking (debit/ACH/check)"),"Counts toward 1099-NEC",IF(H729="Y","Paid by card/PayPal - 1099-K side",""))</f>
        <v/>
      </c>
      <c r="K729" s="16"/>
    </row>
    <row r="730" customFormat="false" ht="15" hidden="false" customHeight="false" outlineLevel="0" collapsed="false">
      <c r="A730" s="25"/>
      <c r="B730" s="16"/>
      <c r="C730" s="16"/>
      <c r="D730" s="26"/>
      <c r="E730" s="16"/>
      <c r="F730" s="16"/>
      <c r="G730" s="16"/>
      <c r="H730" s="16"/>
      <c r="I730" s="16"/>
      <c r="J730" s="8" t="str">
        <f aca="false">IF(AND(H730="Y",E730="Business checking (debit/ACH/check)"),"Counts toward 1099-NEC",IF(H730="Y","Paid by card/PayPal - 1099-K side",""))</f>
        <v/>
      </c>
      <c r="K730" s="16"/>
    </row>
    <row r="731" customFormat="false" ht="15" hidden="false" customHeight="false" outlineLevel="0" collapsed="false">
      <c r="A731" s="25"/>
      <c r="B731" s="16"/>
      <c r="C731" s="16"/>
      <c r="D731" s="26"/>
      <c r="E731" s="16"/>
      <c r="F731" s="16"/>
      <c r="G731" s="16"/>
      <c r="H731" s="16"/>
      <c r="I731" s="16"/>
      <c r="J731" s="8" t="str">
        <f aca="false">IF(AND(H731="Y",E731="Business checking (debit/ACH/check)"),"Counts toward 1099-NEC",IF(H731="Y","Paid by card/PayPal - 1099-K side",""))</f>
        <v/>
      </c>
      <c r="K731" s="16"/>
    </row>
    <row r="732" customFormat="false" ht="15" hidden="false" customHeight="false" outlineLevel="0" collapsed="false">
      <c r="A732" s="25"/>
      <c r="B732" s="16"/>
      <c r="C732" s="16"/>
      <c r="D732" s="26"/>
      <c r="E732" s="16"/>
      <c r="F732" s="16"/>
      <c r="G732" s="16"/>
      <c r="H732" s="16"/>
      <c r="I732" s="16"/>
      <c r="J732" s="8" t="str">
        <f aca="false">IF(AND(H732="Y",E732="Business checking (debit/ACH/check)"),"Counts toward 1099-NEC",IF(H732="Y","Paid by card/PayPal - 1099-K side",""))</f>
        <v/>
      </c>
      <c r="K732" s="16"/>
    </row>
    <row r="733" customFormat="false" ht="15" hidden="false" customHeight="false" outlineLevel="0" collapsed="false">
      <c r="A733" s="25"/>
      <c r="B733" s="16"/>
      <c r="C733" s="16"/>
      <c r="D733" s="26"/>
      <c r="E733" s="16"/>
      <c r="F733" s="16"/>
      <c r="G733" s="16"/>
      <c r="H733" s="16"/>
      <c r="I733" s="16"/>
      <c r="J733" s="8" t="str">
        <f aca="false">IF(AND(H733="Y",E733="Business checking (debit/ACH/check)"),"Counts toward 1099-NEC",IF(H733="Y","Paid by card/PayPal - 1099-K side",""))</f>
        <v/>
      </c>
      <c r="K733" s="16"/>
    </row>
    <row r="734" customFormat="false" ht="15" hidden="false" customHeight="false" outlineLevel="0" collapsed="false">
      <c r="A734" s="25"/>
      <c r="B734" s="16"/>
      <c r="C734" s="16"/>
      <c r="D734" s="26"/>
      <c r="E734" s="16"/>
      <c r="F734" s="16"/>
      <c r="G734" s="16"/>
      <c r="H734" s="16"/>
      <c r="I734" s="16"/>
      <c r="J734" s="8" t="str">
        <f aca="false">IF(AND(H734="Y",E734="Business checking (debit/ACH/check)"),"Counts toward 1099-NEC",IF(H734="Y","Paid by card/PayPal - 1099-K side",""))</f>
        <v/>
      </c>
      <c r="K734" s="16"/>
    </row>
    <row r="735" customFormat="false" ht="15" hidden="false" customHeight="false" outlineLevel="0" collapsed="false">
      <c r="A735" s="25"/>
      <c r="B735" s="16"/>
      <c r="C735" s="16"/>
      <c r="D735" s="26"/>
      <c r="E735" s="16"/>
      <c r="F735" s="16"/>
      <c r="G735" s="16"/>
      <c r="H735" s="16"/>
      <c r="I735" s="16"/>
      <c r="J735" s="8" t="str">
        <f aca="false">IF(AND(H735="Y",E735="Business checking (debit/ACH/check)"),"Counts toward 1099-NEC",IF(H735="Y","Paid by card/PayPal - 1099-K side",""))</f>
        <v/>
      </c>
      <c r="K735" s="16"/>
    </row>
    <row r="736" customFormat="false" ht="15" hidden="false" customHeight="false" outlineLevel="0" collapsed="false">
      <c r="A736" s="25"/>
      <c r="B736" s="16"/>
      <c r="C736" s="16"/>
      <c r="D736" s="26"/>
      <c r="E736" s="16"/>
      <c r="F736" s="16"/>
      <c r="G736" s="16"/>
      <c r="H736" s="16"/>
      <c r="I736" s="16"/>
      <c r="J736" s="8" t="str">
        <f aca="false">IF(AND(H736="Y",E736="Business checking (debit/ACH/check)"),"Counts toward 1099-NEC",IF(H736="Y","Paid by card/PayPal - 1099-K side",""))</f>
        <v/>
      </c>
      <c r="K736" s="16"/>
    </row>
    <row r="737" customFormat="false" ht="15" hidden="false" customHeight="false" outlineLevel="0" collapsed="false">
      <c r="A737" s="25"/>
      <c r="B737" s="16"/>
      <c r="C737" s="16"/>
      <c r="D737" s="26"/>
      <c r="E737" s="16"/>
      <c r="F737" s="16"/>
      <c r="G737" s="16"/>
      <c r="H737" s="16"/>
      <c r="I737" s="16"/>
      <c r="J737" s="8" t="str">
        <f aca="false">IF(AND(H737="Y",E737="Business checking (debit/ACH/check)"),"Counts toward 1099-NEC",IF(H737="Y","Paid by card/PayPal - 1099-K side",""))</f>
        <v/>
      </c>
      <c r="K737" s="16"/>
    </row>
    <row r="738" customFormat="false" ht="15" hidden="false" customHeight="false" outlineLevel="0" collapsed="false">
      <c r="A738" s="25"/>
      <c r="B738" s="16"/>
      <c r="C738" s="16"/>
      <c r="D738" s="26"/>
      <c r="E738" s="16"/>
      <c r="F738" s="16"/>
      <c r="G738" s="16"/>
      <c r="H738" s="16"/>
      <c r="I738" s="16"/>
      <c r="J738" s="8" t="str">
        <f aca="false">IF(AND(H738="Y",E738="Business checking (debit/ACH/check)"),"Counts toward 1099-NEC",IF(H738="Y","Paid by card/PayPal - 1099-K side",""))</f>
        <v/>
      </c>
      <c r="K738" s="16"/>
    </row>
    <row r="739" customFormat="false" ht="15" hidden="false" customHeight="false" outlineLevel="0" collapsed="false">
      <c r="A739" s="25"/>
      <c r="B739" s="16"/>
      <c r="C739" s="16"/>
      <c r="D739" s="26"/>
      <c r="E739" s="16"/>
      <c r="F739" s="16"/>
      <c r="G739" s="16"/>
      <c r="H739" s="16"/>
      <c r="I739" s="16"/>
      <c r="J739" s="8" t="str">
        <f aca="false">IF(AND(H739="Y",E739="Business checking (debit/ACH/check)"),"Counts toward 1099-NEC",IF(H739="Y","Paid by card/PayPal - 1099-K side",""))</f>
        <v/>
      </c>
      <c r="K739" s="16"/>
    </row>
    <row r="740" customFormat="false" ht="15" hidden="false" customHeight="false" outlineLevel="0" collapsed="false">
      <c r="A740" s="25"/>
      <c r="B740" s="16"/>
      <c r="C740" s="16"/>
      <c r="D740" s="26"/>
      <c r="E740" s="16"/>
      <c r="F740" s="16"/>
      <c r="G740" s="16"/>
      <c r="H740" s="16"/>
      <c r="I740" s="16"/>
      <c r="J740" s="8" t="str">
        <f aca="false">IF(AND(H740="Y",E740="Business checking (debit/ACH/check)"),"Counts toward 1099-NEC",IF(H740="Y","Paid by card/PayPal - 1099-K side",""))</f>
        <v/>
      </c>
      <c r="K740" s="16"/>
    </row>
    <row r="741" customFormat="false" ht="15" hidden="false" customHeight="false" outlineLevel="0" collapsed="false">
      <c r="A741" s="25"/>
      <c r="B741" s="16"/>
      <c r="C741" s="16"/>
      <c r="D741" s="26"/>
      <c r="E741" s="16"/>
      <c r="F741" s="16"/>
      <c r="G741" s="16"/>
      <c r="H741" s="16"/>
      <c r="I741" s="16"/>
      <c r="J741" s="8" t="str">
        <f aca="false">IF(AND(H741="Y",E741="Business checking (debit/ACH/check)"),"Counts toward 1099-NEC",IF(H741="Y","Paid by card/PayPal - 1099-K side",""))</f>
        <v/>
      </c>
      <c r="K741" s="16"/>
    </row>
    <row r="742" customFormat="false" ht="15" hidden="false" customHeight="false" outlineLevel="0" collapsed="false">
      <c r="A742" s="25"/>
      <c r="B742" s="16"/>
      <c r="C742" s="16"/>
      <c r="D742" s="26"/>
      <c r="E742" s="16"/>
      <c r="F742" s="16"/>
      <c r="G742" s="16"/>
      <c r="H742" s="16"/>
      <c r="I742" s="16"/>
      <c r="J742" s="8" t="str">
        <f aca="false">IF(AND(H742="Y",E742="Business checking (debit/ACH/check)"),"Counts toward 1099-NEC",IF(H742="Y","Paid by card/PayPal - 1099-K side",""))</f>
        <v/>
      </c>
      <c r="K742" s="16"/>
    </row>
    <row r="743" customFormat="false" ht="15" hidden="false" customHeight="false" outlineLevel="0" collapsed="false">
      <c r="A743" s="25"/>
      <c r="B743" s="16"/>
      <c r="C743" s="16"/>
      <c r="D743" s="26"/>
      <c r="E743" s="16"/>
      <c r="F743" s="16"/>
      <c r="G743" s="16"/>
      <c r="H743" s="16"/>
      <c r="I743" s="16"/>
      <c r="J743" s="8" t="str">
        <f aca="false">IF(AND(H743="Y",E743="Business checking (debit/ACH/check)"),"Counts toward 1099-NEC",IF(H743="Y","Paid by card/PayPal - 1099-K side",""))</f>
        <v/>
      </c>
      <c r="K743" s="16"/>
    </row>
    <row r="744" customFormat="false" ht="15" hidden="false" customHeight="false" outlineLevel="0" collapsed="false">
      <c r="A744" s="25"/>
      <c r="B744" s="16"/>
      <c r="C744" s="16"/>
      <c r="D744" s="26"/>
      <c r="E744" s="16"/>
      <c r="F744" s="16"/>
      <c r="G744" s="16"/>
      <c r="H744" s="16"/>
      <c r="I744" s="16"/>
      <c r="J744" s="8" t="str">
        <f aca="false">IF(AND(H744="Y",E744="Business checking (debit/ACH/check)"),"Counts toward 1099-NEC",IF(H744="Y","Paid by card/PayPal - 1099-K side",""))</f>
        <v/>
      </c>
      <c r="K744" s="16"/>
    </row>
    <row r="745" customFormat="false" ht="15" hidden="false" customHeight="false" outlineLevel="0" collapsed="false">
      <c r="A745" s="25"/>
      <c r="B745" s="16"/>
      <c r="C745" s="16"/>
      <c r="D745" s="26"/>
      <c r="E745" s="16"/>
      <c r="F745" s="16"/>
      <c r="G745" s="16"/>
      <c r="H745" s="16"/>
      <c r="I745" s="16"/>
      <c r="J745" s="8" t="str">
        <f aca="false">IF(AND(H745="Y",E745="Business checking (debit/ACH/check)"),"Counts toward 1099-NEC",IF(H745="Y","Paid by card/PayPal - 1099-K side",""))</f>
        <v/>
      </c>
      <c r="K745" s="16"/>
    </row>
    <row r="746" customFormat="false" ht="15" hidden="false" customHeight="false" outlineLevel="0" collapsed="false">
      <c r="A746" s="25"/>
      <c r="B746" s="16"/>
      <c r="C746" s="16"/>
      <c r="D746" s="26"/>
      <c r="E746" s="16"/>
      <c r="F746" s="16"/>
      <c r="G746" s="16"/>
      <c r="H746" s="16"/>
      <c r="I746" s="16"/>
      <c r="J746" s="8" t="str">
        <f aca="false">IF(AND(H746="Y",E746="Business checking (debit/ACH/check)"),"Counts toward 1099-NEC",IF(H746="Y","Paid by card/PayPal - 1099-K side",""))</f>
        <v/>
      </c>
      <c r="K746" s="16"/>
    </row>
    <row r="747" customFormat="false" ht="15" hidden="false" customHeight="false" outlineLevel="0" collapsed="false">
      <c r="A747" s="25"/>
      <c r="B747" s="16"/>
      <c r="C747" s="16"/>
      <c r="D747" s="26"/>
      <c r="E747" s="16"/>
      <c r="F747" s="16"/>
      <c r="G747" s="16"/>
      <c r="H747" s="16"/>
      <c r="I747" s="16"/>
      <c r="J747" s="8" t="str">
        <f aca="false">IF(AND(H747="Y",E747="Business checking (debit/ACH/check)"),"Counts toward 1099-NEC",IF(H747="Y","Paid by card/PayPal - 1099-K side",""))</f>
        <v/>
      </c>
      <c r="K747" s="16"/>
    </row>
    <row r="748" customFormat="false" ht="15" hidden="false" customHeight="false" outlineLevel="0" collapsed="false">
      <c r="A748" s="25"/>
      <c r="B748" s="16"/>
      <c r="C748" s="16"/>
      <c r="D748" s="26"/>
      <c r="E748" s="16"/>
      <c r="F748" s="16"/>
      <c r="G748" s="16"/>
      <c r="H748" s="16"/>
      <c r="I748" s="16"/>
      <c r="J748" s="8" t="str">
        <f aca="false">IF(AND(H748="Y",E748="Business checking (debit/ACH/check)"),"Counts toward 1099-NEC",IF(H748="Y","Paid by card/PayPal - 1099-K side",""))</f>
        <v/>
      </c>
      <c r="K748" s="16"/>
    </row>
    <row r="749" customFormat="false" ht="15" hidden="false" customHeight="false" outlineLevel="0" collapsed="false">
      <c r="A749" s="25"/>
      <c r="B749" s="16"/>
      <c r="C749" s="16"/>
      <c r="D749" s="26"/>
      <c r="E749" s="16"/>
      <c r="F749" s="16"/>
      <c r="G749" s="16"/>
      <c r="H749" s="16"/>
      <c r="I749" s="16"/>
      <c r="J749" s="8" t="str">
        <f aca="false">IF(AND(H749="Y",E749="Business checking (debit/ACH/check)"),"Counts toward 1099-NEC",IF(H749="Y","Paid by card/PayPal - 1099-K side",""))</f>
        <v/>
      </c>
      <c r="K749" s="16"/>
    </row>
    <row r="750" customFormat="false" ht="15" hidden="false" customHeight="false" outlineLevel="0" collapsed="false">
      <c r="A750" s="25"/>
      <c r="B750" s="16"/>
      <c r="C750" s="16"/>
      <c r="D750" s="26"/>
      <c r="E750" s="16"/>
      <c r="F750" s="16"/>
      <c r="G750" s="16"/>
      <c r="H750" s="16"/>
      <c r="I750" s="16"/>
      <c r="J750" s="8" t="str">
        <f aca="false">IF(AND(H750="Y",E750="Business checking (debit/ACH/check)"),"Counts toward 1099-NEC",IF(H750="Y","Paid by card/PayPal - 1099-K side",""))</f>
        <v/>
      </c>
      <c r="K750" s="16"/>
    </row>
    <row r="751" customFormat="false" ht="15" hidden="false" customHeight="false" outlineLevel="0" collapsed="false">
      <c r="A751" s="25"/>
      <c r="B751" s="16"/>
      <c r="C751" s="16"/>
      <c r="D751" s="26"/>
      <c r="E751" s="16"/>
      <c r="F751" s="16"/>
      <c r="G751" s="16"/>
      <c r="H751" s="16"/>
      <c r="I751" s="16"/>
      <c r="J751" s="8" t="str">
        <f aca="false">IF(AND(H751="Y",E751="Business checking (debit/ACH/check)"),"Counts toward 1099-NEC",IF(H751="Y","Paid by card/PayPal - 1099-K side",""))</f>
        <v/>
      </c>
      <c r="K751" s="16"/>
    </row>
    <row r="752" customFormat="false" ht="15" hidden="false" customHeight="false" outlineLevel="0" collapsed="false">
      <c r="A752" s="25"/>
      <c r="B752" s="16"/>
      <c r="C752" s="16"/>
      <c r="D752" s="26"/>
      <c r="E752" s="16"/>
      <c r="F752" s="16"/>
      <c r="G752" s="16"/>
      <c r="H752" s="16"/>
      <c r="I752" s="16"/>
      <c r="J752" s="8" t="str">
        <f aca="false">IF(AND(H752="Y",E752="Business checking (debit/ACH/check)"),"Counts toward 1099-NEC",IF(H752="Y","Paid by card/PayPal - 1099-K side",""))</f>
        <v/>
      </c>
      <c r="K752" s="16"/>
    </row>
    <row r="753" customFormat="false" ht="15" hidden="false" customHeight="false" outlineLevel="0" collapsed="false">
      <c r="A753" s="25"/>
      <c r="B753" s="16"/>
      <c r="C753" s="16"/>
      <c r="D753" s="26"/>
      <c r="E753" s="16"/>
      <c r="F753" s="16"/>
      <c r="G753" s="16"/>
      <c r="H753" s="16"/>
      <c r="I753" s="16"/>
      <c r="J753" s="8" t="str">
        <f aca="false">IF(AND(H753="Y",E753="Business checking (debit/ACH/check)"),"Counts toward 1099-NEC",IF(H753="Y","Paid by card/PayPal - 1099-K side",""))</f>
        <v/>
      </c>
      <c r="K753" s="16"/>
    </row>
    <row r="754" customFormat="false" ht="15" hidden="false" customHeight="false" outlineLevel="0" collapsed="false">
      <c r="A754" s="25"/>
      <c r="B754" s="16"/>
      <c r="C754" s="16"/>
      <c r="D754" s="26"/>
      <c r="E754" s="16"/>
      <c r="F754" s="16"/>
      <c r="G754" s="16"/>
      <c r="H754" s="16"/>
      <c r="I754" s="16"/>
      <c r="J754" s="8" t="str">
        <f aca="false">IF(AND(H754="Y",E754="Business checking (debit/ACH/check)"),"Counts toward 1099-NEC",IF(H754="Y","Paid by card/PayPal - 1099-K side",""))</f>
        <v/>
      </c>
      <c r="K754" s="16"/>
    </row>
    <row r="755" customFormat="false" ht="15" hidden="false" customHeight="false" outlineLevel="0" collapsed="false">
      <c r="A755" s="25"/>
      <c r="B755" s="16"/>
      <c r="C755" s="16"/>
      <c r="D755" s="26"/>
      <c r="E755" s="16"/>
      <c r="F755" s="16"/>
      <c r="G755" s="16"/>
      <c r="H755" s="16"/>
      <c r="I755" s="16"/>
      <c r="J755" s="8" t="str">
        <f aca="false">IF(AND(H755="Y",E755="Business checking (debit/ACH/check)"),"Counts toward 1099-NEC",IF(H755="Y","Paid by card/PayPal - 1099-K side",""))</f>
        <v/>
      </c>
      <c r="K755" s="16"/>
    </row>
    <row r="756" customFormat="false" ht="15" hidden="false" customHeight="false" outlineLevel="0" collapsed="false">
      <c r="A756" s="25"/>
      <c r="B756" s="16"/>
      <c r="C756" s="16"/>
      <c r="D756" s="26"/>
      <c r="E756" s="16"/>
      <c r="F756" s="16"/>
      <c r="G756" s="16"/>
      <c r="H756" s="16"/>
      <c r="I756" s="16"/>
      <c r="J756" s="8" t="str">
        <f aca="false">IF(AND(H756="Y",E756="Business checking (debit/ACH/check)"),"Counts toward 1099-NEC",IF(H756="Y","Paid by card/PayPal - 1099-K side",""))</f>
        <v/>
      </c>
      <c r="K756" s="16"/>
    </row>
    <row r="757" customFormat="false" ht="15" hidden="false" customHeight="false" outlineLevel="0" collapsed="false">
      <c r="A757" s="25"/>
      <c r="B757" s="16"/>
      <c r="C757" s="16"/>
      <c r="D757" s="26"/>
      <c r="E757" s="16"/>
      <c r="F757" s="16"/>
      <c r="G757" s="16"/>
      <c r="H757" s="16"/>
      <c r="I757" s="16"/>
      <c r="J757" s="8" t="str">
        <f aca="false">IF(AND(H757="Y",E757="Business checking (debit/ACH/check)"),"Counts toward 1099-NEC",IF(H757="Y","Paid by card/PayPal - 1099-K side",""))</f>
        <v/>
      </c>
      <c r="K757" s="16"/>
    </row>
    <row r="758" customFormat="false" ht="15" hidden="false" customHeight="false" outlineLevel="0" collapsed="false">
      <c r="A758" s="25"/>
      <c r="B758" s="16"/>
      <c r="C758" s="16"/>
      <c r="D758" s="26"/>
      <c r="E758" s="16"/>
      <c r="F758" s="16"/>
      <c r="G758" s="16"/>
      <c r="H758" s="16"/>
      <c r="I758" s="16"/>
      <c r="J758" s="8" t="str">
        <f aca="false">IF(AND(H758="Y",E758="Business checking (debit/ACH/check)"),"Counts toward 1099-NEC",IF(H758="Y","Paid by card/PayPal - 1099-K side",""))</f>
        <v/>
      </c>
      <c r="K758" s="16"/>
    </row>
    <row r="759" customFormat="false" ht="15" hidden="false" customHeight="false" outlineLevel="0" collapsed="false">
      <c r="A759" s="25"/>
      <c r="B759" s="16"/>
      <c r="C759" s="16"/>
      <c r="D759" s="26"/>
      <c r="E759" s="16"/>
      <c r="F759" s="16"/>
      <c r="G759" s="16"/>
      <c r="H759" s="16"/>
      <c r="I759" s="16"/>
      <c r="J759" s="8" t="str">
        <f aca="false">IF(AND(H759="Y",E759="Business checking (debit/ACH/check)"),"Counts toward 1099-NEC",IF(H759="Y","Paid by card/PayPal - 1099-K side",""))</f>
        <v/>
      </c>
      <c r="K759" s="16"/>
    </row>
    <row r="760" customFormat="false" ht="15" hidden="false" customHeight="false" outlineLevel="0" collapsed="false">
      <c r="A760" s="25"/>
      <c r="B760" s="16"/>
      <c r="C760" s="16"/>
      <c r="D760" s="26"/>
      <c r="E760" s="16"/>
      <c r="F760" s="16"/>
      <c r="G760" s="16"/>
      <c r="H760" s="16"/>
      <c r="I760" s="16"/>
      <c r="J760" s="8" t="str">
        <f aca="false">IF(AND(H760="Y",E760="Business checking (debit/ACH/check)"),"Counts toward 1099-NEC",IF(H760="Y","Paid by card/PayPal - 1099-K side",""))</f>
        <v/>
      </c>
      <c r="K760" s="16"/>
    </row>
    <row r="761" customFormat="false" ht="15" hidden="false" customHeight="false" outlineLevel="0" collapsed="false">
      <c r="A761" s="25"/>
      <c r="B761" s="16"/>
      <c r="C761" s="16"/>
      <c r="D761" s="26"/>
      <c r="E761" s="16"/>
      <c r="F761" s="16"/>
      <c r="G761" s="16"/>
      <c r="H761" s="16"/>
      <c r="I761" s="16"/>
      <c r="J761" s="8" t="str">
        <f aca="false">IF(AND(H761="Y",E761="Business checking (debit/ACH/check)"),"Counts toward 1099-NEC",IF(H761="Y","Paid by card/PayPal - 1099-K side",""))</f>
        <v/>
      </c>
      <c r="K761" s="16"/>
    </row>
    <row r="762" customFormat="false" ht="15" hidden="false" customHeight="false" outlineLevel="0" collapsed="false">
      <c r="A762" s="25"/>
      <c r="B762" s="16"/>
      <c r="C762" s="16"/>
      <c r="D762" s="26"/>
      <c r="E762" s="16"/>
      <c r="F762" s="16"/>
      <c r="G762" s="16"/>
      <c r="H762" s="16"/>
      <c r="I762" s="16"/>
      <c r="J762" s="8" t="str">
        <f aca="false">IF(AND(H762="Y",E762="Business checking (debit/ACH/check)"),"Counts toward 1099-NEC",IF(H762="Y","Paid by card/PayPal - 1099-K side",""))</f>
        <v/>
      </c>
      <c r="K762" s="16"/>
    </row>
    <row r="763" customFormat="false" ht="15" hidden="false" customHeight="false" outlineLevel="0" collapsed="false">
      <c r="A763" s="25"/>
      <c r="B763" s="16"/>
      <c r="C763" s="16"/>
      <c r="D763" s="26"/>
      <c r="E763" s="16"/>
      <c r="F763" s="16"/>
      <c r="G763" s="16"/>
      <c r="H763" s="16"/>
      <c r="I763" s="16"/>
      <c r="J763" s="8" t="str">
        <f aca="false">IF(AND(H763="Y",E763="Business checking (debit/ACH/check)"),"Counts toward 1099-NEC",IF(H763="Y","Paid by card/PayPal - 1099-K side",""))</f>
        <v/>
      </c>
      <c r="K763" s="16"/>
    </row>
    <row r="764" customFormat="false" ht="15" hidden="false" customHeight="false" outlineLevel="0" collapsed="false">
      <c r="A764" s="25"/>
      <c r="B764" s="16"/>
      <c r="C764" s="16"/>
      <c r="D764" s="26"/>
      <c r="E764" s="16"/>
      <c r="F764" s="16"/>
      <c r="G764" s="16"/>
      <c r="H764" s="16"/>
      <c r="I764" s="16"/>
      <c r="J764" s="8" t="str">
        <f aca="false">IF(AND(H764="Y",E764="Business checking (debit/ACH/check)"),"Counts toward 1099-NEC",IF(H764="Y","Paid by card/PayPal - 1099-K side",""))</f>
        <v/>
      </c>
      <c r="K764" s="16"/>
    </row>
    <row r="765" customFormat="false" ht="15" hidden="false" customHeight="false" outlineLevel="0" collapsed="false">
      <c r="A765" s="25"/>
      <c r="B765" s="16"/>
      <c r="C765" s="16"/>
      <c r="D765" s="26"/>
      <c r="E765" s="16"/>
      <c r="F765" s="16"/>
      <c r="G765" s="16"/>
      <c r="H765" s="16"/>
      <c r="I765" s="16"/>
      <c r="J765" s="8" t="str">
        <f aca="false">IF(AND(H765="Y",E765="Business checking (debit/ACH/check)"),"Counts toward 1099-NEC",IF(H765="Y","Paid by card/PayPal - 1099-K side",""))</f>
        <v/>
      </c>
      <c r="K765" s="16"/>
    </row>
    <row r="766" customFormat="false" ht="15" hidden="false" customHeight="false" outlineLevel="0" collapsed="false">
      <c r="A766" s="25"/>
      <c r="B766" s="16"/>
      <c r="C766" s="16"/>
      <c r="D766" s="26"/>
      <c r="E766" s="16"/>
      <c r="F766" s="16"/>
      <c r="G766" s="16"/>
      <c r="H766" s="16"/>
      <c r="I766" s="16"/>
      <c r="J766" s="8" t="str">
        <f aca="false">IF(AND(H766="Y",E766="Business checking (debit/ACH/check)"),"Counts toward 1099-NEC",IF(H766="Y","Paid by card/PayPal - 1099-K side",""))</f>
        <v/>
      </c>
      <c r="K766" s="16"/>
    </row>
    <row r="767" customFormat="false" ht="15" hidden="false" customHeight="false" outlineLevel="0" collapsed="false">
      <c r="A767" s="25"/>
      <c r="B767" s="16"/>
      <c r="C767" s="16"/>
      <c r="D767" s="26"/>
      <c r="E767" s="16"/>
      <c r="F767" s="16"/>
      <c r="G767" s="16"/>
      <c r="H767" s="16"/>
      <c r="I767" s="16"/>
      <c r="J767" s="8" t="str">
        <f aca="false">IF(AND(H767="Y",E767="Business checking (debit/ACH/check)"),"Counts toward 1099-NEC",IF(H767="Y","Paid by card/PayPal - 1099-K side",""))</f>
        <v/>
      </c>
      <c r="K767" s="16"/>
    </row>
    <row r="768" customFormat="false" ht="15" hidden="false" customHeight="false" outlineLevel="0" collapsed="false">
      <c r="A768" s="25"/>
      <c r="B768" s="16"/>
      <c r="C768" s="16"/>
      <c r="D768" s="26"/>
      <c r="E768" s="16"/>
      <c r="F768" s="16"/>
      <c r="G768" s="16"/>
      <c r="H768" s="16"/>
      <c r="I768" s="16"/>
      <c r="J768" s="8" t="str">
        <f aca="false">IF(AND(H768="Y",E768="Business checking (debit/ACH/check)"),"Counts toward 1099-NEC",IF(H768="Y","Paid by card/PayPal - 1099-K side",""))</f>
        <v/>
      </c>
      <c r="K768" s="16"/>
    </row>
    <row r="769" customFormat="false" ht="15" hidden="false" customHeight="false" outlineLevel="0" collapsed="false">
      <c r="A769" s="25"/>
      <c r="B769" s="16"/>
      <c r="C769" s="16"/>
      <c r="D769" s="26"/>
      <c r="E769" s="16"/>
      <c r="F769" s="16"/>
      <c r="G769" s="16"/>
      <c r="H769" s="16"/>
      <c r="I769" s="16"/>
      <c r="J769" s="8" t="str">
        <f aca="false">IF(AND(H769="Y",E769="Business checking (debit/ACH/check)"),"Counts toward 1099-NEC",IF(H769="Y","Paid by card/PayPal - 1099-K side",""))</f>
        <v/>
      </c>
      <c r="K769" s="16"/>
    </row>
    <row r="770" customFormat="false" ht="15" hidden="false" customHeight="false" outlineLevel="0" collapsed="false">
      <c r="A770" s="25"/>
      <c r="B770" s="16"/>
      <c r="C770" s="16"/>
      <c r="D770" s="26"/>
      <c r="E770" s="16"/>
      <c r="F770" s="16"/>
      <c r="G770" s="16"/>
      <c r="H770" s="16"/>
      <c r="I770" s="16"/>
      <c r="J770" s="8" t="str">
        <f aca="false">IF(AND(H770="Y",E770="Business checking (debit/ACH/check)"),"Counts toward 1099-NEC",IF(H770="Y","Paid by card/PayPal - 1099-K side",""))</f>
        <v/>
      </c>
      <c r="K770" s="16"/>
    </row>
    <row r="771" customFormat="false" ht="15" hidden="false" customHeight="false" outlineLevel="0" collapsed="false">
      <c r="A771" s="25"/>
      <c r="B771" s="16"/>
      <c r="C771" s="16"/>
      <c r="D771" s="26"/>
      <c r="E771" s="16"/>
      <c r="F771" s="16"/>
      <c r="G771" s="16"/>
      <c r="H771" s="16"/>
      <c r="I771" s="16"/>
      <c r="J771" s="8" t="str">
        <f aca="false">IF(AND(H771="Y",E771="Business checking (debit/ACH/check)"),"Counts toward 1099-NEC",IF(H771="Y","Paid by card/PayPal - 1099-K side",""))</f>
        <v/>
      </c>
      <c r="K771" s="16"/>
    </row>
    <row r="772" customFormat="false" ht="15" hidden="false" customHeight="false" outlineLevel="0" collapsed="false">
      <c r="A772" s="25"/>
      <c r="B772" s="16"/>
      <c r="C772" s="16"/>
      <c r="D772" s="26"/>
      <c r="E772" s="16"/>
      <c r="F772" s="16"/>
      <c r="G772" s="16"/>
      <c r="H772" s="16"/>
      <c r="I772" s="16"/>
      <c r="J772" s="8" t="str">
        <f aca="false">IF(AND(H772="Y",E772="Business checking (debit/ACH/check)"),"Counts toward 1099-NEC",IF(H772="Y","Paid by card/PayPal - 1099-K side",""))</f>
        <v/>
      </c>
      <c r="K772" s="16"/>
    </row>
    <row r="773" customFormat="false" ht="15" hidden="false" customHeight="false" outlineLevel="0" collapsed="false">
      <c r="A773" s="25"/>
      <c r="B773" s="16"/>
      <c r="C773" s="16"/>
      <c r="D773" s="26"/>
      <c r="E773" s="16"/>
      <c r="F773" s="16"/>
      <c r="G773" s="16"/>
      <c r="H773" s="16"/>
      <c r="I773" s="16"/>
      <c r="J773" s="8" t="str">
        <f aca="false">IF(AND(H773="Y",E773="Business checking (debit/ACH/check)"),"Counts toward 1099-NEC",IF(H773="Y","Paid by card/PayPal - 1099-K side",""))</f>
        <v/>
      </c>
      <c r="K773" s="16"/>
    </row>
    <row r="774" customFormat="false" ht="15" hidden="false" customHeight="false" outlineLevel="0" collapsed="false">
      <c r="A774" s="25"/>
      <c r="B774" s="16"/>
      <c r="C774" s="16"/>
      <c r="D774" s="26"/>
      <c r="E774" s="16"/>
      <c r="F774" s="16"/>
      <c r="G774" s="16"/>
      <c r="H774" s="16"/>
      <c r="I774" s="16"/>
      <c r="J774" s="8" t="str">
        <f aca="false">IF(AND(H774="Y",E774="Business checking (debit/ACH/check)"),"Counts toward 1099-NEC",IF(H774="Y","Paid by card/PayPal - 1099-K side",""))</f>
        <v/>
      </c>
      <c r="K774" s="16"/>
    </row>
    <row r="775" customFormat="false" ht="15" hidden="false" customHeight="false" outlineLevel="0" collapsed="false">
      <c r="A775" s="25"/>
      <c r="B775" s="16"/>
      <c r="C775" s="16"/>
      <c r="D775" s="26"/>
      <c r="E775" s="16"/>
      <c r="F775" s="16"/>
      <c r="G775" s="16"/>
      <c r="H775" s="16"/>
      <c r="I775" s="16"/>
      <c r="J775" s="8" t="str">
        <f aca="false">IF(AND(H775="Y",E775="Business checking (debit/ACH/check)"),"Counts toward 1099-NEC",IF(H775="Y","Paid by card/PayPal - 1099-K side",""))</f>
        <v/>
      </c>
      <c r="K775" s="16"/>
    </row>
    <row r="776" customFormat="false" ht="15" hidden="false" customHeight="false" outlineLevel="0" collapsed="false">
      <c r="A776" s="25"/>
      <c r="B776" s="16"/>
      <c r="C776" s="16"/>
      <c r="D776" s="26"/>
      <c r="E776" s="16"/>
      <c r="F776" s="16"/>
      <c r="G776" s="16"/>
      <c r="H776" s="16"/>
      <c r="I776" s="16"/>
      <c r="J776" s="8" t="str">
        <f aca="false">IF(AND(H776="Y",E776="Business checking (debit/ACH/check)"),"Counts toward 1099-NEC",IF(H776="Y","Paid by card/PayPal - 1099-K side",""))</f>
        <v/>
      </c>
      <c r="K776" s="16"/>
    </row>
    <row r="777" customFormat="false" ht="15" hidden="false" customHeight="false" outlineLevel="0" collapsed="false">
      <c r="A777" s="25"/>
      <c r="B777" s="16"/>
      <c r="C777" s="16"/>
      <c r="D777" s="26"/>
      <c r="E777" s="16"/>
      <c r="F777" s="16"/>
      <c r="G777" s="16"/>
      <c r="H777" s="16"/>
      <c r="I777" s="16"/>
      <c r="J777" s="8" t="str">
        <f aca="false">IF(AND(H777="Y",E777="Business checking (debit/ACH/check)"),"Counts toward 1099-NEC",IF(H777="Y","Paid by card/PayPal - 1099-K side",""))</f>
        <v/>
      </c>
      <c r="K777" s="16"/>
    </row>
    <row r="778" customFormat="false" ht="15" hidden="false" customHeight="false" outlineLevel="0" collapsed="false">
      <c r="A778" s="25"/>
      <c r="B778" s="16"/>
      <c r="C778" s="16"/>
      <c r="D778" s="26"/>
      <c r="E778" s="16"/>
      <c r="F778" s="16"/>
      <c r="G778" s="16"/>
      <c r="H778" s="16"/>
      <c r="I778" s="16"/>
      <c r="J778" s="8" t="str">
        <f aca="false">IF(AND(H778="Y",E778="Business checking (debit/ACH/check)"),"Counts toward 1099-NEC",IF(H778="Y","Paid by card/PayPal - 1099-K side",""))</f>
        <v/>
      </c>
      <c r="K778" s="16"/>
    </row>
    <row r="779" customFormat="false" ht="15" hidden="false" customHeight="false" outlineLevel="0" collapsed="false">
      <c r="A779" s="25"/>
      <c r="B779" s="16"/>
      <c r="C779" s="16"/>
      <c r="D779" s="26"/>
      <c r="E779" s="16"/>
      <c r="F779" s="16"/>
      <c r="G779" s="16"/>
      <c r="H779" s="16"/>
      <c r="I779" s="16"/>
      <c r="J779" s="8" t="str">
        <f aca="false">IF(AND(H779="Y",E779="Business checking (debit/ACH/check)"),"Counts toward 1099-NEC",IF(H779="Y","Paid by card/PayPal - 1099-K side",""))</f>
        <v/>
      </c>
      <c r="K779" s="16"/>
    </row>
    <row r="780" customFormat="false" ht="15" hidden="false" customHeight="false" outlineLevel="0" collapsed="false">
      <c r="A780" s="25"/>
      <c r="B780" s="16"/>
      <c r="C780" s="16"/>
      <c r="D780" s="26"/>
      <c r="E780" s="16"/>
      <c r="F780" s="16"/>
      <c r="G780" s="16"/>
      <c r="H780" s="16"/>
      <c r="I780" s="16"/>
      <c r="J780" s="8" t="str">
        <f aca="false">IF(AND(H780="Y",E780="Business checking (debit/ACH/check)"),"Counts toward 1099-NEC",IF(H780="Y","Paid by card/PayPal - 1099-K side",""))</f>
        <v/>
      </c>
      <c r="K780" s="16"/>
    </row>
    <row r="781" customFormat="false" ht="15" hidden="false" customHeight="false" outlineLevel="0" collapsed="false">
      <c r="A781" s="25"/>
      <c r="B781" s="16"/>
      <c r="C781" s="16"/>
      <c r="D781" s="26"/>
      <c r="E781" s="16"/>
      <c r="F781" s="16"/>
      <c r="G781" s="16"/>
      <c r="H781" s="16"/>
      <c r="I781" s="16"/>
      <c r="J781" s="8" t="str">
        <f aca="false">IF(AND(H781="Y",E781="Business checking (debit/ACH/check)"),"Counts toward 1099-NEC",IF(H781="Y","Paid by card/PayPal - 1099-K side",""))</f>
        <v/>
      </c>
      <c r="K781" s="16"/>
    </row>
    <row r="782" customFormat="false" ht="15" hidden="false" customHeight="false" outlineLevel="0" collapsed="false">
      <c r="A782" s="25"/>
      <c r="B782" s="16"/>
      <c r="C782" s="16"/>
      <c r="D782" s="26"/>
      <c r="E782" s="16"/>
      <c r="F782" s="16"/>
      <c r="G782" s="16"/>
      <c r="H782" s="16"/>
      <c r="I782" s="16"/>
      <c r="J782" s="8" t="str">
        <f aca="false">IF(AND(H782="Y",E782="Business checking (debit/ACH/check)"),"Counts toward 1099-NEC",IF(H782="Y","Paid by card/PayPal - 1099-K side",""))</f>
        <v/>
      </c>
      <c r="K782" s="16"/>
    </row>
    <row r="783" customFormat="false" ht="15" hidden="false" customHeight="false" outlineLevel="0" collapsed="false">
      <c r="A783" s="25"/>
      <c r="B783" s="16"/>
      <c r="C783" s="16"/>
      <c r="D783" s="26"/>
      <c r="E783" s="16"/>
      <c r="F783" s="16"/>
      <c r="G783" s="16"/>
      <c r="H783" s="16"/>
      <c r="I783" s="16"/>
      <c r="J783" s="8" t="str">
        <f aca="false">IF(AND(H783="Y",E783="Business checking (debit/ACH/check)"),"Counts toward 1099-NEC",IF(H783="Y","Paid by card/PayPal - 1099-K side",""))</f>
        <v/>
      </c>
      <c r="K783" s="16"/>
    </row>
    <row r="784" customFormat="false" ht="15" hidden="false" customHeight="false" outlineLevel="0" collapsed="false">
      <c r="A784" s="25"/>
      <c r="B784" s="16"/>
      <c r="C784" s="16"/>
      <c r="D784" s="26"/>
      <c r="E784" s="16"/>
      <c r="F784" s="16"/>
      <c r="G784" s="16"/>
      <c r="H784" s="16"/>
      <c r="I784" s="16"/>
      <c r="J784" s="8" t="str">
        <f aca="false">IF(AND(H784="Y",E784="Business checking (debit/ACH/check)"),"Counts toward 1099-NEC",IF(H784="Y","Paid by card/PayPal - 1099-K side",""))</f>
        <v/>
      </c>
      <c r="K784" s="16"/>
    </row>
    <row r="785" customFormat="false" ht="15" hidden="false" customHeight="false" outlineLevel="0" collapsed="false">
      <c r="A785" s="25"/>
      <c r="B785" s="16"/>
      <c r="C785" s="16"/>
      <c r="D785" s="26"/>
      <c r="E785" s="16"/>
      <c r="F785" s="16"/>
      <c r="G785" s="16"/>
      <c r="H785" s="16"/>
      <c r="I785" s="16"/>
      <c r="J785" s="8" t="str">
        <f aca="false">IF(AND(H785="Y",E785="Business checking (debit/ACH/check)"),"Counts toward 1099-NEC",IF(H785="Y","Paid by card/PayPal - 1099-K side",""))</f>
        <v/>
      </c>
      <c r="K785" s="16"/>
    </row>
    <row r="786" customFormat="false" ht="15" hidden="false" customHeight="false" outlineLevel="0" collapsed="false">
      <c r="A786" s="25"/>
      <c r="B786" s="16"/>
      <c r="C786" s="16"/>
      <c r="D786" s="26"/>
      <c r="E786" s="16"/>
      <c r="F786" s="16"/>
      <c r="G786" s="16"/>
      <c r="H786" s="16"/>
      <c r="I786" s="16"/>
      <c r="J786" s="8" t="str">
        <f aca="false">IF(AND(H786="Y",E786="Business checking (debit/ACH/check)"),"Counts toward 1099-NEC",IF(H786="Y","Paid by card/PayPal - 1099-K side",""))</f>
        <v/>
      </c>
      <c r="K786" s="16"/>
    </row>
    <row r="787" customFormat="false" ht="15" hidden="false" customHeight="false" outlineLevel="0" collapsed="false">
      <c r="A787" s="25"/>
      <c r="B787" s="16"/>
      <c r="C787" s="16"/>
      <c r="D787" s="26"/>
      <c r="E787" s="16"/>
      <c r="F787" s="16"/>
      <c r="G787" s="16"/>
      <c r="H787" s="16"/>
      <c r="I787" s="16"/>
      <c r="J787" s="8" t="str">
        <f aca="false">IF(AND(H787="Y",E787="Business checking (debit/ACH/check)"),"Counts toward 1099-NEC",IF(H787="Y","Paid by card/PayPal - 1099-K side",""))</f>
        <v/>
      </c>
      <c r="K787" s="16"/>
    </row>
    <row r="788" customFormat="false" ht="15" hidden="false" customHeight="false" outlineLevel="0" collapsed="false">
      <c r="A788" s="25"/>
      <c r="B788" s="16"/>
      <c r="C788" s="16"/>
      <c r="D788" s="26"/>
      <c r="E788" s="16"/>
      <c r="F788" s="16"/>
      <c r="G788" s="16"/>
      <c r="H788" s="16"/>
      <c r="I788" s="16"/>
      <c r="J788" s="8" t="str">
        <f aca="false">IF(AND(H788="Y",E788="Business checking (debit/ACH/check)"),"Counts toward 1099-NEC",IF(H788="Y","Paid by card/PayPal - 1099-K side",""))</f>
        <v/>
      </c>
      <c r="K788" s="16"/>
    </row>
    <row r="789" customFormat="false" ht="15" hidden="false" customHeight="false" outlineLevel="0" collapsed="false">
      <c r="A789" s="25"/>
      <c r="B789" s="16"/>
      <c r="C789" s="16"/>
      <c r="D789" s="26"/>
      <c r="E789" s="16"/>
      <c r="F789" s="16"/>
      <c r="G789" s="16"/>
      <c r="H789" s="16"/>
      <c r="I789" s="16"/>
      <c r="J789" s="8" t="str">
        <f aca="false">IF(AND(H789="Y",E789="Business checking (debit/ACH/check)"),"Counts toward 1099-NEC",IF(H789="Y","Paid by card/PayPal - 1099-K side",""))</f>
        <v/>
      </c>
      <c r="K789" s="16"/>
    </row>
    <row r="790" customFormat="false" ht="15" hidden="false" customHeight="false" outlineLevel="0" collapsed="false">
      <c r="A790" s="25"/>
      <c r="B790" s="16"/>
      <c r="C790" s="16"/>
      <c r="D790" s="26"/>
      <c r="E790" s="16"/>
      <c r="F790" s="16"/>
      <c r="G790" s="16"/>
      <c r="H790" s="16"/>
      <c r="I790" s="16"/>
      <c r="J790" s="8" t="str">
        <f aca="false">IF(AND(H790="Y",E790="Business checking (debit/ACH/check)"),"Counts toward 1099-NEC",IF(H790="Y","Paid by card/PayPal - 1099-K side",""))</f>
        <v/>
      </c>
      <c r="K790" s="16"/>
    </row>
    <row r="791" customFormat="false" ht="15" hidden="false" customHeight="false" outlineLevel="0" collapsed="false">
      <c r="A791" s="25"/>
      <c r="B791" s="16"/>
      <c r="C791" s="16"/>
      <c r="D791" s="26"/>
      <c r="E791" s="16"/>
      <c r="F791" s="16"/>
      <c r="G791" s="16"/>
      <c r="H791" s="16"/>
      <c r="I791" s="16"/>
      <c r="J791" s="8" t="str">
        <f aca="false">IF(AND(H791="Y",E791="Business checking (debit/ACH/check)"),"Counts toward 1099-NEC",IF(H791="Y","Paid by card/PayPal - 1099-K side",""))</f>
        <v/>
      </c>
      <c r="K791" s="16"/>
    </row>
    <row r="792" customFormat="false" ht="15" hidden="false" customHeight="false" outlineLevel="0" collapsed="false">
      <c r="A792" s="25"/>
      <c r="B792" s="16"/>
      <c r="C792" s="16"/>
      <c r="D792" s="26"/>
      <c r="E792" s="16"/>
      <c r="F792" s="16"/>
      <c r="G792" s="16"/>
      <c r="H792" s="16"/>
      <c r="I792" s="16"/>
      <c r="J792" s="8" t="str">
        <f aca="false">IF(AND(H792="Y",E792="Business checking (debit/ACH/check)"),"Counts toward 1099-NEC",IF(H792="Y","Paid by card/PayPal - 1099-K side",""))</f>
        <v/>
      </c>
      <c r="K792" s="16"/>
    </row>
    <row r="793" customFormat="false" ht="15" hidden="false" customHeight="false" outlineLevel="0" collapsed="false">
      <c r="A793" s="25"/>
      <c r="B793" s="16"/>
      <c r="C793" s="16"/>
      <c r="D793" s="26"/>
      <c r="E793" s="16"/>
      <c r="F793" s="16"/>
      <c r="G793" s="16"/>
      <c r="H793" s="16"/>
      <c r="I793" s="16"/>
      <c r="J793" s="8" t="str">
        <f aca="false">IF(AND(H793="Y",E793="Business checking (debit/ACH/check)"),"Counts toward 1099-NEC",IF(H793="Y","Paid by card/PayPal - 1099-K side",""))</f>
        <v/>
      </c>
      <c r="K793" s="16"/>
    </row>
    <row r="794" customFormat="false" ht="15" hidden="false" customHeight="false" outlineLevel="0" collapsed="false">
      <c r="A794" s="25"/>
      <c r="B794" s="16"/>
      <c r="C794" s="16"/>
      <c r="D794" s="26"/>
      <c r="E794" s="16"/>
      <c r="F794" s="16"/>
      <c r="G794" s="16"/>
      <c r="H794" s="16"/>
      <c r="I794" s="16"/>
      <c r="J794" s="8" t="str">
        <f aca="false">IF(AND(H794="Y",E794="Business checking (debit/ACH/check)"),"Counts toward 1099-NEC",IF(H794="Y","Paid by card/PayPal - 1099-K side",""))</f>
        <v/>
      </c>
      <c r="K794" s="16"/>
    </row>
    <row r="795" customFormat="false" ht="15" hidden="false" customHeight="false" outlineLevel="0" collapsed="false">
      <c r="A795" s="25"/>
      <c r="B795" s="16"/>
      <c r="C795" s="16"/>
      <c r="D795" s="26"/>
      <c r="E795" s="16"/>
      <c r="F795" s="16"/>
      <c r="G795" s="16"/>
      <c r="H795" s="16"/>
      <c r="I795" s="16"/>
      <c r="J795" s="8" t="str">
        <f aca="false">IF(AND(H795="Y",E795="Business checking (debit/ACH/check)"),"Counts toward 1099-NEC",IF(H795="Y","Paid by card/PayPal - 1099-K side",""))</f>
        <v/>
      </c>
      <c r="K795" s="16"/>
    </row>
    <row r="796" customFormat="false" ht="15" hidden="false" customHeight="false" outlineLevel="0" collapsed="false">
      <c r="A796" s="25"/>
      <c r="B796" s="16"/>
      <c r="C796" s="16"/>
      <c r="D796" s="26"/>
      <c r="E796" s="16"/>
      <c r="F796" s="16"/>
      <c r="G796" s="16"/>
      <c r="H796" s="16"/>
      <c r="I796" s="16"/>
      <c r="J796" s="8" t="str">
        <f aca="false">IF(AND(H796="Y",E796="Business checking (debit/ACH/check)"),"Counts toward 1099-NEC",IF(H796="Y","Paid by card/PayPal - 1099-K side",""))</f>
        <v/>
      </c>
      <c r="K796" s="16"/>
    </row>
    <row r="797" customFormat="false" ht="15" hidden="false" customHeight="false" outlineLevel="0" collapsed="false">
      <c r="A797" s="25"/>
      <c r="B797" s="16"/>
      <c r="C797" s="16"/>
      <c r="D797" s="26"/>
      <c r="E797" s="16"/>
      <c r="F797" s="16"/>
      <c r="G797" s="16"/>
      <c r="H797" s="16"/>
      <c r="I797" s="16"/>
      <c r="J797" s="8" t="str">
        <f aca="false">IF(AND(H797="Y",E797="Business checking (debit/ACH/check)"),"Counts toward 1099-NEC",IF(H797="Y","Paid by card/PayPal - 1099-K side",""))</f>
        <v/>
      </c>
      <c r="K797" s="16"/>
    </row>
    <row r="798" customFormat="false" ht="15" hidden="false" customHeight="false" outlineLevel="0" collapsed="false">
      <c r="A798" s="25"/>
      <c r="B798" s="16"/>
      <c r="C798" s="16"/>
      <c r="D798" s="26"/>
      <c r="E798" s="16"/>
      <c r="F798" s="16"/>
      <c r="G798" s="16"/>
      <c r="H798" s="16"/>
      <c r="I798" s="16"/>
      <c r="J798" s="8" t="str">
        <f aca="false">IF(AND(H798="Y",E798="Business checking (debit/ACH/check)"),"Counts toward 1099-NEC",IF(H798="Y","Paid by card/PayPal - 1099-K side",""))</f>
        <v/>
      </c>
      <c r="K798" s="16"/>
    </row>
    <row r="799" customFormat="false" ht="15" hidden="false" customHeight="false" outlineLevel="0" collapsed="false">
      <c r="A799" s="25"/>
      <c r="B799" s="16"/>
      <c r="C799" s="16"/>
      <c r="D799" s="26"/>
      <c r="E799" s="16"/>
      <c r="F799" s="16"/>
      <c r="G799" s="16"/>
      <c r="H799" s="16"/>
      <c r="I799" s="16"/>
      <c r="J799" s="8" t="str">
        <f aca="false">IF(AND(H799="Y",E799="Business checking (debit/ACH/check)"),"Counts toward 1099-NEC",IF(H799="Y","Paid by card/PayPal - 1099-K side",""))</f>
        <v/>
      </c>
      <c r="K799" s="16"/>
    </row>
    <row r="800" customFormat="false" ht="15" hidden="false" customHeight="false" outlineLevel="0" collapsed="false">
      <c r="A800" s="25"/>
      <c r="B800" s="16"/>
      <c r="C800" s="16"/>
      <c r="D800" s="26"/>
      <c r="E800" s="16"/>
      <c r="F800" s="16"/>
      <c r="G800" s="16"/>
      <c r="H800" s="16"/>
      <c r="I800" s="16"/>
      <c r="J800" s="8" t="str">
        <f aca="false">IF(AND(H800="Y",E800="Business checking (debit/ACH/check)"),"Counts toward 1099-NEC",IF(H800="Y","Paid by card/PayPal - 1099-K side",""))</f>
        <v/>
      </c>
      <c r="K800" s="16"/>
    </row>
    <row r="801" customFormat="false" ht="15" hidden="false" customHeight="false" outlineLevel="0" collapsed="false">
      <c r="A801" s="25"/>
      <c r="B801" s="16"/>
      <c r="C801" s="16"/>
      <c r="D801" s="26"/>
      <c r="E801" s="16"/>
      <c r="F801" s="16"/>
      <c r="G801" s="16"/>
      <c r="H801" s="16"/>
      <c r="I801" s="16"/>
      <c r="J801" s="8" t="str">
        <f aca="false">IF(AND(H801="Y",E801="Business checking (debit/ACH/check)"),"Counts toward 1099-NEC",IF(H801="Y","Paid by card/PayPal - 1099-K side",""))</f>
        <v/>
      </c>
      <c r="K801" s="16"/>
    </row>
    <row r="802" customFormat="false" ht="15" hidden="false" customHeight="false" outlineLevel="0" collapsed="false">
      <c r="A802" s="25"/>
      <c r="B802" s="16"/>
      <c r="C802" s="16"/>
      <c r="D802" s="26"/>
      <c r="E802" s="16"/>
      <c r="F802" s="16"/>
      <c r="G802" s="16"/>
      <c r="H802" s="16"/>
      <c r="I802" s="16"/>
      <c r="J802" s="8" t="str">
        <f aca="false">IF(AND(H802="Y",E802="Business checking (debit/ACH/check)"),"Counts toward 1099-NEC",IF(H802="Y","Paid by card/PayPal - 1099-K side",""))</f>
        <v/>
      </c>
      <c r="K802" s="16"/>
    </row>
    <row r="803" customFormat="false" ht="15" hidden="false" customHeight="false" outlineLevel="0" collapsed="false">
      <c r="A803" s="25"/>
      <c r="B803" s="16"/>
      <c r="C803" s="16"/>
      <c r="D803" s="26"/>
      <c r="E803" s="16"/>
      <c r="F803" s="16"/>
      <c r="G803" s="16"/>
      <c r="H803" s="16"/>
      <c r="I803" s="16"/>
      <c r="J803" s="8" t="str">
        <f aca="false">IF(AND(H803="Y",E803="Business checking (debit/ACH/check)"),"Counts toward 1099-NEC",IF(H803="Y","Paid by card/PayPal - 1099-K side",""))</f>
        <v/>
      </c>
      <c r="K803" s="16"/>
    </row>
    <row r="804" customFormat="false" ht="15" hidden="false" customHeight="false" outlineLevel="0" collapsed="false">
      <c r="A804" s="25"/>
      <c r="B804" s="16"/>
      <c r="C804" s="16"/>
      <c r="D804" s="26"/>
      <c r="E804" s="16"/>
      <c r="F804" s="16"/>
      <c r="G804" s="16"/>
      <c r="H804" s="16"/>
      <c r="I804" s="16"/>
      <c r="J804" s="8" t="str">
        <f aca="false">IF(AND(H804="Y",E804="Business checking (debit/ACH/check)"),"Counts toward 1099-NEC",IF(H804="Y","Paid by card/PayPal - 1099-K side",""))</f>
        <v/>
      </c>
      <c r="K804" s="16"/>
    </row>
    <row r="805" customFormat="false" ht="15" hidden="false" customHeight="false" outlineLevel="0" collapsed="false">
      <c r="A805" s="25"/>
      <c r="B805" s="16"/>
      <c r="C805" s="16"/>
      <c r="D805" s="26"/>
      <c r="E805" s="16"/>
      <c r="F805" s="16"/>
      <c r="G805" s="16"/>
      <c r="H805" s="16"/>
      <c r="I805" s="16"/>
      <c r="J805" s="8" t="str">
        <f aca="false">IF(AND(H805="Y",E805="Business checking (debit/ACH/check)"),"Counts toward 1099-NEC",IF(H805="Y","Paid by card/PayPal - 1099-K side",""))</f>
        <v/>
      </c>
      <c r="K805" s="16"/>
    </row>
    <row r="806" customFormat="false" ht="15" hidden="false" customHeight="false" outlineLevel="0" collapsed="false">
      <c r="A806" s="25"/>
      <c r="B806" s="16"/>
      <c r="C806" s="16"/>
      <c r="D806" s="26"/>
      <c r="E806" s="16"/>
      <c r="F806" s="16"/>
      <c r="G806" s="16"/>
      <c r="H806" s="16"/>
      <c r="I806" s="16"/>
      <c r="J806" s="8" t="str">
        <f aca="false">IF(AND(H806="Y",E806="Business checking (debit/ACH/check)"),"Counts toward 1099-NEC",IF(H806="Y","Paid by card/PayPal - 1099-K side",""))</f>
        <v/>
      </c>
      <c r="K806" s="16"/>
    </row>
    <row r="807" customFormat="false" ht="15" hidden="false" customHeight="false" outlineLevel="0" collapsed="false">
      <c r="A807" s="25"/>
      <c r="B807" s="16"/>
      <c r="C807" s="16"/>
      <c r="D807" s="26"/>
      <c r="E807" s="16"/>
      <c r="F807" s="16"/>
      <c r="G807" s="16"/>
      <c r="H807" s="16"/>
      <c r="I807" s="16"/>
      <c r="J807" s="8" t="str">
        <f aca="false">IF(AND(H807="Y",E807="Business checking (debit/ACH/check)"),"Counts toward 1099-NEC",IF(H807="Y","Paid by card/PayPal - 1099-K side",""))</f>
        <v/>
      </c>
      <c r="K807" s="16"/>
    </row>
    <row r="808" customFormat="false" ht="15" hidden="false" customHeight="false" outlineLevel="0" collapsed="false">
      <c r="A808" s="25"/>
      <c r="B808" s="16"/>
      <c r="C808" s="16"/>
      <c r="D808" s="26"/>
      <c r="E808" s="16"/>
      <c r="F808" s="16"/>
      <c r="G808" s="16"/>
      <c r="H808" s="16"/>
      <c r="I808" s="16"/>
      <c r="J808" s="8" t="str">
        <f aca="false">IF(AND(H808="Y",E808="Business checking (debit/ACH/check)"),"Counts toward 1099-NEC",IF(H808="Y","Paid by card/PayPal - 1099-K side",""))</f>
        <v/>
      </c>
      <c r="K808" s="16"/>
    </row>
    <row r="809" customFormat="false" ht="15" hidden="false" customHeight="false" outlineLevel="0" collapsed="false">
      <c r="A809" s="25"/>
      <c r="B809" s="16"/>
      <c r="C809" s="16"/>
      <c r="D809" s="26"/>
      <c r="E809" s="16"/>
      <c r="F809" s="16"/>
      <c r="G809" s="16"/>
      <c r="H809" s="16"/>
      <c r="I809" s="16"/>
      <c r="J809" s="8" t="str">
        <f aca="false">IF(AND(H809="Y",E809="Business checking (debit/ACH/check)"),"Counts toward 1099-NEC",IF(H809="Y","Paid by card/PayPal - 1099-K side",""))</f>
        <v/>
      </c>
      <c r="K809" s="16"/>
    </row>
    <row r="810" customFormat="false" ht="15" hidden="false" customHeight="false" outlineLevel="0" collapsed="false">
      <c r="A810" s="25"/>
      <c r="B810" s="16"/>
      <c r="C810" s="16"/>
      <c r="D810" s="26"/>
      <c r="E810" s="16"/>
      <c r="F810" s="16"/>
      <c r="G810" s="16"/>
      <c r="H810" s="16"/>
      <c r="I810" s="16"/>
      <c r="J810" s="8" t="str">
        <f aca="false">IF(AND(H810="Y",E810="Business checking (debit/ACH/check)"),"Counts toward 1099-NEC",IF(H810="Y","Paid by card/PayPal - 1099-K side",""))</f>
        <v/>
      </c>
      <c r="K810" s="16"/>
    </row>
    <row r="811" customFormat="false" ht="15" hidden="false" customHeight="false" outlineLevel="0" collapsed="false">
      <c r="A811" s="25"/>
      <c r="B811" s="16"/>
      <c r="C811" s="16"/>
      <c r="D811" s="26"/>
      <c r="E811" s="16"/>
      <c r="F811" s="16"/>
      <c r="G811" s="16"/>
      <c r="H811" s="16"/>
      <c r="I811" s="16"/>
      <c r="J811" s="8" t="str">
        <f aca="false">IF(AND(H811="Y",E811="Business checking (debit/ACH/check)"),"Counts toward 1099-NEC",IF(H811="Y","Paid by card/PayPal - 1099-K side",""))</f>
        <v/>
      </c>
      <c r="K811" s="16"/>
    </row>
    <row r="812" customFormat="false" ht="15" hidden="false" customHeight="false" outlineLevel="0" collapsed="false">
      <c r="A812" s="25"/>
      <c r="B812" s="16"/>
      <c r="C812" s="16"/>
      <c r="D812" s="26"/>
      <c r="E812" s="16"/>
      <c r="F812" s="16"/>
      <c r="G812" s="16"/>
      <c r="H812" s="16"/>
      <c r="I812" s="16"/>
      <c r="J812" s="8" t="str">
        <f aca="false">IF(AND(H812="Y",E812="Business checking (debit/ACH/check)"),"Counts toward 1099-NEC",IF(H812="Y","Paid by card/PayPal - 1099-K side",""))</f>
        <v/>
      </c>
      <c r="K812" s="16"/>
    </row>
    <row r="813" customFormat="false" ht="15" hidden="false" customHeight="false" outlineLevel="0" collapsed="false">
      <c r="A813" s="25"/>
      <c r="B813" s="16"/>
      <c r="C813" s="16"/>
      <c r="D813" s="26"/>
      <c r="E813" s="16"/>
      <c r="F813" s="16"/>
      <c r="G813" s="16"/>
      <c r="H813" s="16"/>
      <c r="I813" s="16"/>
      <c r="J813" s="8" t="str">
        <f aca="false">IF(AND(H813="Y",E813="Business checking (debit/ACH/check)"),"Counts toward 1099-NEC",IF(H813="Y","Paid by card/PayPal - 1099-K side",""))</f>
        <v/>
      </c>
      <c r="K813" s="16"/>
    </row>
    <row r="814" customFormat="false" ht="15" hidden="false" customHeight="false" outlineLevel="0" collapsed="false">
      <c r="A814" s="25"/>
      <c r="B814" s="16"/>
      <c r="C814" s="16"/>
      <c r="D814" s="26"/>
      <c r="E814" s="16"/>
      <c r="F814" s="16"/>
      <c r="G814" s="16"/>
      <c r="H814" s="16"/>
      <c r="I814" s="16"/>
      <c r="J814" s="8" t="str">
        <f aca="false">IF(AND(H814="Y",E814="Business checking (debit/ACH/check)"),"Counts toward 1099-NEC",IF(H814="Y","Paid by card/PayPal - 1099-K side",""))</f>
        <v/>
      </c>
      <c r="K814" s="16"/>
    </row>
    <row r="815" customFormat="false" ht="15" hidden="false" customHeight="false" outlineLevel="0" collapsed="false">
      <c r="A815" s="25"/>
      <c r="B815" s="16"/>
      <c r="C815" s="16"/>
      <c r="D815" s="26"/>
      <c r="E815" s="16"/>
      <c r="F815" s="16"/>
      <c r="G815" s="16"/>
      <c r="H815" s="16"/>
      <c r="I815" s="16"/>
      <c r="J815" s="8" t="str">
        <f aca="false">IF(AND(H815="Y",E815="Business checking (debit/ACH/check)"),"Counts toward 1099-NEC",IF(H815="Y","Paid by card/PayPal - 1099-K side",""))</f>
        <v/>
      </c>
      <c r="K815" s="16"/>
    </row>
    <row r="816" customFormat="false" ht="15" hidden="false" customHeight="false" outlineLevel="0" collapsed="false">
      <c r="A816" s="25"/>
      <c r="B816" s="16"/>
      <c r="C816" s="16"/>
      <c r="D816" s="26"/>
      <c r="E816" s="16"/>
      <c r="F816" s="16"/>
      <c r="G816" s="16"/>
      <c r="H816" s="16"/>
      <c r="I816" s="16"/>
      <c r="J816" s="8" t="str">
        <f aca="false">IF(AND(H816="Y",E816="Business checking (debit/ACH/check)"),"Counts toward 1099-NEC",IF(H816="Y","Paid by card/PayPal - 1099-K side",""))</f>
        <v/>
      </c>
      <c r="K816" s="16"/>
    </row>
    <row r="817" customFormat="false" ht="15" hidden="false" customHeight="false" outlineLevel="0" collapsed="false">
      <c r="A817" s="25"/>
      <c r="B817" s="16"/>
      <c r="C817" s="16"/>
      <c r="D817" s="26"/>
      <c r="E817" s="16"/>
      <c r="F817" s="16"/>
      <c r="G817" s="16"/>
      <c r="H817" s="16"/>
      <c r="I817" s="16"/>
      <c r="J817" s="8" t="str">
        <f aca="false">IF(AND(H817="Y",E817="Business checking (debit/ACH/check)"),"Counts toward 1099-NEC",IF(H817="Y","Paid by card/PayPal - 1099-K side",""))</f>
        <v/>
      </c>
      <c r="K817" s="16"/>
    </row>
    <row r="818" customFormat="false" ht="15" hidden="false" customHeight="false" outlineLevel="0" collapsed="false">
      <c r="A818" s="25"/>
      <c r="B818" s="16"/>
      <c r="C818" s="16"/>
      <c r="D818" s="26"/>
      <c r="E818" s="16"/>
      <c r="F818" s="16"/>
      <c r="G818" s="16"/>
      <c r="H818" s="16"/>
      <c r="I818" s="16"/>
      <c r="J818" s="8" t="str">
        <f aca="false">IF(AND(H818="Y",E818="Business checking (debit/ACH/check)"),"Counts toward 1099-NEC",IF(H818="Y","Paid by card/PayPal - 1099-K side",""))</f>
        <v/>
      </c>
      <c r="K818" s="16"/>
    </row>
    <row r="819" customFormat="false" ht="15" hidden="false" customHeight="false" outlineLevel="0" collapsed="false">
      <c r="A819" s="25"/>
      <c r="B819" s="16"/>
      <c r="C819" s="16"/>
      <c r="D819" s="26"/>
      <c r="E819" s="16"/>
      <c r="F819" s="16"/>
      <c r="G819" s="16"/>
      <c r="H819" s="16"/>
      <c r="I819" s="16"/>
      <c r="J819" s="8" t="str">
        <f aca="false">IF(AND(H819="Y",E819="Business checking (debit/ACH/check)"),"Counts toward 1099-NEC",IF(H819="Y","Paid by card/PayPal - 1099-K side",""))</f>
        <v/>
      </c>
      <c r="K819" s="16"/>
    </row>
    <row r="820" customFormat="false" ht="15" hidden="false" customHeight="false" outlineLevel="0" collapsed="false">
      <c r="A820" s="25"/>
      <c r="B820" s="16"/>
      <c r="C820" s="16"/>
      <c r="D820" s="26"/>
      <c r="E820" s="16"/>
      <c r="F820" s="16"/>
      <c r="G820" s="16"/>
      <c r="H820" s="16"/>
      <c r="I820" s="16"/>
      <c r="J820" s="8" t="str">
        <f aca="false">IF(AND(H820="Y",E820="Business checking (debit/ACH/check)"),"Counts toward 1099-NEC",IF(H820="Y","Paid by card/PayPal - 1099-K side",""))</f>
        <v/>
      </c>
      <c r="K820" s="16"/>
    </row>
    <row r="821" customFormat="false" ht="15" hidden="false" customHeight="false" outlineLevel="0" collapsed="false">
      <c r="A821" s="25"/>
      <c r="B821" s="16"/>
      <c r="C821" s="16"/>
      <c r="D821" s="26"/>
      <c r="E821" s="16"/>
      <c r="F821" s="16"/>
      <c r="G821" s="16"/>
      <c r="H821" s="16"/>
      <c r="I821" s="16"/>
      <c r="J821" s="8" t="str">
        <f aca="false">IF(AND(H821="Y",E821="Business checking (debit/ACH/check)"),"Counts toward 1099-NEC",IF(H821="Y","Paid by card/PayPal - 1099-K side",""))</f>
        <v/>
      </c>
      <c r="K821" s="16"/>
    </row>
    <row r="822" customFormat="false" ht="15" hidden="false" customHeight="false" outlineLevel="0" collapsed="false">
      <c r="A822" s="25"/>
      <c r="B822" s="16"/>
      <c r="C822" s="16"/>
      <c r="D822" s="26"/>
      <c r="E822" s="16"/>
      <c r="F822" s="16"/>
      <c r="G822" s="16"/>
      <c r="H822" s="16"/>
      <c r="I822" s="16"/>
      <c r="J822" s="8" t="str">
        <f aca="false">IF(AND(H822="Y",E822="Business checking (debit/ACH/check)"),"Counts toward 1099-NEC",IF(H822="Y","Paid by card/PayPal - 1099-K side",""))</f>
        <v/>
      </c>
      <c r="K822" s="16"/>
    </row>
    <row r="823" customFormat="false" ht="15" hidden="false" customHeight="false" outlineLevel="0" collapsed="false">
      <c r="A823" s="25"/>
      <c r="B823" s="16"/>
      <c r="C823" s="16"/>
      <c r="D823" s="26"/>
      <c r="E823" s="16"/>
      <c r="F823" s="16"/>
      <c r="G823" s="16"/>
      <c r="H823" s="16"/>
      <c r="I823" s="16"/>
      <c r="J823" s="8" t="str">
        <f aca="false">IF(AND(H823="Y",E823="Business checking (debit/ACH/check)"),"Counts toward 1099-NEC",IF(H823="Y","Paid by card/PayPal - 1099-K side",""))</f>
        <v/>
      </c>
      <c r="K823" s="16"/>
    </row>
    <row r="824" customFormat="false" ht="15" hidden="false" customHeight="false" outlineLevel="0" collapsed="false">
      <c r="A824" s="25"/>
      <c r="B824" s="16"/>
      <c r="C824" s="16"/>
      <c r="D824" s="26"/>
      <c r="E824" s="16"/>
      <c r="F824" s="16"/>
      <c r="G824" s="16"/>
      <c r="H824" s="16"/>
      <c r="I824" s="16"/>
      <c r="J824" s="8" t="str">
        <f aca="false">IF(AND(H824="Y",E824="Business checking (debit/ACH/check)"),"Counts toward 1099-NEC",IF(H824="Y","Paid by card/PayPal - 1099-K side",""))</f>
        <v/>
      </c>
      <c r="K824" s="16"/>
    </row>
    <row r="825" customFormat="false" ht="15" hidden="false" customHeight="false" outlineLevel="0" collapsed="false">
      <c r="A825" s="25"/>
      <c r="B825" s="16"/>
      <c r="C825" s="16"/>
      <c r="D825" s="26"/>
      <c r="E825" s="16"/>
      <c r="F825" s="16"/>
      <c r="G825" s="16"/>
      <c r="H825" s="16"/>
      <c r="I825" s="16"/>
      <c r="J825" s="8" t="str">
        <f aca="false">IF(AND(H825="Y",E825="Business checking (debit/ACH/check)"),"Counts toward 1099-NEC",IF(H825="Y","Paid by card/PayPal - 1099-K side",""))</f>
        <v/>
      </c>
      <c r="K825" s="16"/>
    </row>
    <row r="826" customFormat="false" ht="15" hidden="false" customHeight="false" outlineLevel="0" collapsed="false">
      <c r="A826" s="25"/>
      <c r="B826" s="16"/>
      <c r="C826" s="16"/>
      <c r="D826" s="26"/>
      <c r="E826" s="16"/>
      <c r="F826" s="16"/>
      <c r="G826" s="16"/>
      <c r="H826" s="16"/>
      <c r="I826" s="16"/>
      <c r="J826" s="8" t="str">
        <f aca="false">IF(AND(H826="Y",E826="Business checking (debit/ACH/check)"),"Counts toward 1099-NEC",IF(H826="Y","Paid by card/PayPal - 1099-K side",""))</f>
        <v/>
      </c>
      <c r="K826" s="16"/>
    </row>
    <row r="827" customFormat="false" ht="15" hidden="false" customHeight="false" outlineLevel="0" collapsed="false">
      <c r="A827" s="25"/>
      <c r="B827" s="16"/>
      <c r="C827" s="16"/>
      <c r="D827" s="26"/>
      <c r="E827" s="16"/>
      <c r="F827" s="16"/>
      <c r="G827" s="16"/>
      <c r="H827" s="16"/>
      <c r="I827" s="16"/>
      <c r="J827" s="8" t="str">
        <f aca="false">IF(AND(H827="Y",E827="Business checking (debit/ACH/check)"),"Counts toward 1099-NEC",IF(H827="Y","Paid by card/PayPal - 1099-K side",""))</f>
        <v/>
      </c>
      <c r="K827" s="16"/>
    </row>
    <row r="828" customFormat="false" ht="15" hidden="false" customHeight="false" outlineLevel="0" collapsed="false">
      <c r="A828" s="25"/>
      <c r="B828" s="16"/>
      <c r="C828" s="16"/>
      <c r="D828" s="26"/>
      <c r="E828" s="16"/>
      <c r="F828" s="16"/>
      <c r="G828" s="16"/>
      <c r="H828" s="16"/>
      <c r="I828" s="16"/>
      <c r="J828" s="8" t="str">
        <f aca="false">IF(AND(H828="Y",E828="Business checking (debit/ACH/check)"),"Counts toward 1099-NEC",IF(H828="Y","Paid by card/PayPal - 1099-K side",""))</f>
        <v/>
      </c>
      <c r="K828" s="16"/>
    </row>
    <row r="829" customFormat="false" ht="15" hidden="false" customHeight="false" outlineLevel="0" collapsed="false">
      <c r="A829" s="25"/>
      <c r="B829" s="16"/>
      <c r="C829" s="16"/>
      <c r="D829" s="26"/>
      <c r="E829" s="16"/>
      <c r="F829" s="16"/>
      <c r="G829" s="16"/>
      <c r="H829" s="16"/>
      <c r="I829" s="16"/>
      <c r="J829" s="8" t="str">
        <f aca="false">IF(AND(H829="Y",E829="Business checking (debit/ACH/check)"),"Counts toward 1099-NEC",IF(H829="Y","Paid by card/PayPal - 1099-K side",""))</f>
        <v/>
      </c>
      <c r="K829" s="16"/>
    </row>
    <row r="830" customFormat="false" ht="15" hidden="false" customHeight="false" outlineLevel="0" collapsed="false">
      <c r="A830" s="25"/>
      <c r="B830" s="16"/>
      <c r="C830" s="16"/>
      <c r="D830" s="26"/>
      <c r="E830" s="16"/>
      <c r="F830" s="16"/>
      <c r="G830" s="16"/>
      <c r="H830" s="16"/>
      <c r="I830" s="16"/>
      <c r="J830" s="8" t="str">
        <f aca="false">IF(AND(H830="Y",E830="Business checking (debit/ACH/check)"),"Counts toward 1099-NEC",IF(H830="Y","Paid by card/PayPal - 1099-K side",""))</f>
        <v/>
      </c>
      <c r="K830" s="16"/>
    </row>
    <row r="831" customFormat="false" ht="15" hidden="false" customHeight="false" outlineLevel="0" collapsed="false">
      <c r="A831" s="25"/>
      <c r="B831" s="16"/>
      <c r="C831" s="16"/>
      <c r="D831" s="26"/>
      <c r="E831" s="16"/>
      <c r="F831" s="16"/>
      <c r="G831" s="16"/>
      <c r="H831" s="16"/>
      <c r="I831" s="16"/>
      <c r="J831" s="8" t="str">
        <f aca="false">IF(AND(H831="Y",E831="Business checking (debit/ACH/check)"),"Counts toward 1099-NEC",IF(H831="Y","Paid by card/PayPal - 1099-K side",""))</f>
        <v/>
      </c>
      <c r="K831" s="16"/>
    </row>
    <row r="832" customFormat="false" ht="15" hidden="false" customHeight="false" outlineLevel="0" collapsed="false">
      <c r="A832" s="25"/>
      <c r="B832" s="16"/>
      <c r="C832" s="16"/>
      <c r="D832" s="26"/>
      <c r="E832" s="16"/>
      <c r="F832" s="16"/>
      <c r="G832" s="16"/>
      <c r="H832" s="16"/>
      <c r="I832" s="16"/>
      <c r="J832" s="8" t="str">
        <f aca="false">IF(AND(H832="Y",E832="Business checking (debit/ACH/check)"),"Counts toward 1099-NEC",IF(H832="Y","Paid by card/PayPal - 1099-K side",""))</f>
        <v/>
      </c>
      <c r="K832" s="16"/>
    </row>
    <row r="833" customFormat="false" ht="15" hidden="false" customHeight="false" outlineLevel="0" collapsed="false">
      <c r="A833" s="25"/>
      <c r="B833" s="16"/>
      <c r="C833" s="16"/>
      <c r="D833" s="26"/>
      <c r="E833" s="16"/>
      <c r="F833" s="16"/>
      <c r="G833" s="16"/>
      <c r="H833" s="16"/>
      <c r="I833" s="16"/>
      <c r="J833" s="8" t="str">
        <f aca="false">IF(AND(H833="Y",E833="Business checking (debit/ACH/check)"),"Counts toward 1099-NEC",IF(H833="Y","Paid by card/PayPal - 1099-K side",""))</f>
        <v/>
      </c>
      <c r="K833" s="16"/>
    </row>
    <row r="834" customFormat="false" ht="15" hidden="false" customHeight="false" outlineLevel="0" collapsed="false">
      <c r="A834" s="25"/>
      <c r="B834" s="16"/>
      <c r="C834" s="16"/>
      <c r="D834" s="26"/>
      <c r="E834" s="16"/>
      <c r="F834" s="16"/>
      <c r="G834" s="16"/>
      <c r="H834" s="16"/>
      <c r="I834" s="16"/>
      <c r="J834" s="8" t="str">
        <f aca="false">IF(AND(H834="Y",E834="Business checking (debit/ACH/check)"),"Counts toward 1099-NEC",IF(H834="Y","Paid by card/PayPal - 1099-K side",""))</f>
        <v/>
      </c>
      <c r="K834" s="16"/>
    </row>
    <row r="835" customFormat="false" ht="15" hidden="false" customHeight="false" outlineLevel="0" collapsed="false">
      <c r="A835" s="25"/>
      <c r="B835" s="16"/>
      <c r="C835" s="16"/>
      <c r="D835" s="26"/>
      <c r="E835" s="16"/>
      <c r="F835" s="16"/>
      <c r="G835" s="16"/>
      <c r="H835" s="16"/>
      <c r="I835" s="16"/>
      <c r="J835" s="8" t="str">
        <f aca="false">IF(AND(H835="Y",E835="Business checking (debit/ACH/check)"),"Counts toward 1099-NEC",IF(H835="Y","Paid by card/PayPal - 1099-K side",""))</f>
        <v/>
      </c>
      <c r="K835" s="16"/>
    </row>
    <row r="836" customFormat="false" ht="15" hidden="false" customHeight="false" outlineLevel="0" collapsed="false">
      <c r="A836" s="25"/>
      <c r="B836" s="16"/>
      <c r="C836" s="16"/>
      <c r="D836" s="26"/>
      <c r="E836" s="16"/>
      <c r="F836" s="16"/>
      <c r="G836" s="16"/>
      <c r="H836" s="16"/>
      <c r="I836" s="16"/>
      <c r="J836" s="8" t="str">
        <f aca="false">IF(AND(H836="Y",E836="Business checking (debit/ACH/check)"),"Counts toward 1099-NEC",IF(H836="Y","Paid by card/PayPal - 1099-K side",""))</f>
        <v/>
      </c>
      <c r="K836" s="16"/>
    </row>
    <row r="837" customFormat="false" ht="15" hidden="false" customHeight="false" outlineLevel="0" collapsed="false">
      <c r="A837" s="25"/>
      <c r="B837" s="16"/>
      <c r="C837" s="16"/>
      <c r="D837" s="26"/>
      <c r="E837" s="16"/>
      <c r="F837" s="16"/>
      <c r="G837" s="16"/>
      <c r="H837" s="16"/>
      <c r="I837" s="16"/>
      <c r="J837" s="8" t="str">
        <f aca="false">IF(AND(H837="Y",E837="Business checking (debit/ACH/check)"),"Counts toward 1099-NEC",IF(H837="Y","Paid by card/PayPal - 1099-K side",""))</f>
        <v/>
      </c>
      <c r="K837" s="16"/>
    </row>
    <row r="838" customFormat="false" ht="15" hidden="false" customHeight="false" outlineLevel="0" collapsed="false">
      <c r="A838" s="25"/>
      <c r="B838" s="16"/>
      <c r="C838" s="16"/>
      <c r="D838" s="26"/>
      <c r="E838" s="16"/>
      <c r="F838" s="16"/>
      <c r="G838" s="16"/>
      <c r="H838" s="16"/>
      <c r="I838" s="16"/>
      <c r="J838" s="8" t="str">
        <f aca="false">IF(AND(H838="Y",E838="Business checking (debit/ACH/check)"),"Counts toward 1099-NEC",IF(H838="Y","Paid by card/PayPal - 1099-K side",""))</f>
        <v/>
      </c>
      <c r="K838" s="16"/>
    </row>
    <row r="839" customFormat="false" ht="15" hidden="false" customHeight="false" outlineLevel="0" collapsed="false">
      <c r="A839" s="25"/>
      <c r="B839" s="16"/>
      <c r="C839" s="16"/>
      <c r="D839" s="26"/>
      <c r="E839" s="16"/>
      <c r="F839" s="16"/>
      <c r="G839" s="16"/>
      <c r="H839" s="16"/>
      <c r="I839" s="16"/>
      <c r="J839" s="8" t="str">
        <f aca="false">IF(AND(H839="Y",E839="Business checking (debit/ACH/check)"),"Counts toward 1099-NEC",IF(H839="Y","Paid by card/PayPal - 1099-K side",""))</f>
        <v/>
      </c>
      <c r="K839" s="16"/>
    </row>
    <row r="840" customFormat="false" ht="15" hidden="false" customHeight="false" outlineLevel="0" collapsed="false">
      <c r="A840" s="25"/>
      <c r="B840" s="16"/>
      <c r="C840" s="16"/>
      <c r="D840" s="26"/>
      <c r="E840" s="16"/>
      <c r="F840" s="16"/>
      <c r="G840" s="16"/>
      <c r="H840" s="16"/>
      <c r="I840" s="16"/>
      <c r="J840" s="8" t="str">
        <f aca="false">IF(AND(H840="Y",E840="Business checking (debit/ACH/check)"),"Counts toward 1099-NEC",IF(H840="Y","Paid by card/PayPal - 1099-K side",""))</f>
        <v/>
      </c>
      <c r="K840" s="16"/>
    </row>
    <row r="841" customFormat="false" ht="15" hidden="false" customHeight="false" outlineLevel="0" collapsed="false">
      <c r="A841" s="25"/>
      <c r="B841" s="16"/>
      <c r="C841" s="16"/>
      <c r="D841" s="26"/>
      <c r="E841" s="16"/>
      <c r="F841" s="16"/>
      <c r="G841" s="16"/>
      <c r="H841" s="16"/>
      <c r="I841" s="16"/>
      <c r="J841" s="8" t="str">
        <f aca="false">IF(AND(H841="Y",E841="Business checking (debit/ACH/check)"),"Counts toward 1099-NEC",IF(H841="Y","Paid by card/PayPal - 1099-K side",""))</f>
        <v/>
      </c>
      <c r="K841" s="16"/>
    </row>
    <row r="842" customFormat="false" ht="15" hidden="false" customHeight="false" outlineLevel="0" collapsed="false">
      <c r="A842" s="25"/>
      <c r="B842" s="16"/>
      <c r="C842" s="16"/>
      <c r="D842" s="26"/>
      <c r="E842" s="16"/>
      <c r="F842" s="16"/>
      <c r="G842" s="16"/>
      <c r="H842" s="16"/>
      <c r="I842" s="16"/>
      <c r="J842" s="8" t="str">
        <f aca="false">IF(AND(H842="Y",E842="Business checking (debit/ACH/check)"),"Counts toward 1099-NEC",IF(H842="Y","Paid by card/PayPal - 1099-K side",""))</f>
        <v/>
      </c>
      <c r="K842" s="16"/>
    </row>
    <row r="843" customFormat="false" ht="15" hidden="false" customHeight="false" outlineLevel="0" collapsed="false">
      <c r="A843" s="25"/>
      <c r="B843" s="16"/>
      <c r="C843" s="16"/>
      <c r="D843" s="26"/>
      <c r="E843" s="16"/>
      <c r="F843" s="16"/>
      <c r="G843" s="16"/>
      <c r="H843" s="16"/>
      <c r="I843" s="16"/>
      <c r="J843" s="8" t="str">
        <f aca="false">IF(AND(H843="Y",E843="Business checking (debit/ACH/check)"),"Counts toward 1099-NEC",IF(H843="Y","Paid by card/PayPal - 1099-K side",""))</f>
        <v/>
      </c>
      <c r="K843" s="16"/>
    </row>
    <row r="844" customFormat="false" ht="15" hidden="false" customHeight="false" outlineLevel="0" collapsed="false">
      <c r="A844" s="25"/>
      <c r="B844" s="16"/>
      <c r="C844" s="16"/>
      <c r="D844" s="26"/>
      <c r="E844" s="16"/>
      <c r="F844" s="16"/>
      <c r="G844" s="16"/>
      <c r="H844" s="16"/>
      <c r="I844" s="16"/>
      <c r="J844" s="8" t="str">
        <f aca="false">IF(AND(H844="Y",E844="Business checking (debit/ACH/check)"),"Counts toward 1099-NEC",IF(H844="Y","Paid by card/PayPal - 1099-K side",""))</f>
        <v/>
      </c>
      <c r="K844" s="16"/>
    </row>
    <row r="845" customFormat="false" ht="15" hidden="false" customHeight="false" outlineLevel="0" collapsed="false">
      <c r="A845" s="25"/>
      <c r="B845" s="16"/>
      <c r="C845" s="16"/>
      <c r="D845" s="26"/>
      <c r="E845" s="16"/>
      <c r="F845" s="16"/>
      <c r="G845" s="16"/>
      <c r="H845" s="16"/>
      <c r="I845" s="16"/>
      <c r="J845" s="8" t="str">
        <f aca="false">IF(AND(H845="Y",E845="Business checking (debit/ACH/check)"),"Counts toward 1099-NEC",IF(H845="Y","Paid by card/PayPal - 1099-K side",""))</f>
        <v/>
      </c>
      <c r="K845" s="16"/>
    </row>
    <row r="846" customFormat="false" ht="15" hidden="false" customHeight="false" outlineLevel="0" collapsed="false">
      <c r="A846" s="25"/>
      <c r="B846" s="16"/>
      <c r="C846" s="16"/>
      <c r="D846" s="26"/>
      <c r="E846" s="16"/>
      <c r="F846" s="16"/>
      <c r="G846" s="16"/>
      <c r="H846" s="16"/>
      <c r="I846" s="16"/>
      <c r="J846" s="8" t="str">
        <f aca="false">IF(AND(H846="Y",E846="Business checking (debit/ACH/check)"),"Counts toward 1099-NEC",IF(H846="Y","Paid by card/PayPal - 1099-K side",""))</f>
        <v/>
      </c>
      <c r="K846" s="16"/>
    </row>
    <row r="847" customFormat="false" ht="15" hidden="false" customHeight="false" outlineLevel="0" collapsed="false">
      <c r="A847" s="25"/>
      <c r="B847" s="16"/>
      <c r="C847" s="16"/>
      <c r="D847" s="26"/>
      <c r="E847" s="16"/>
      <c r="F847" s="16"/>
      <c r="G847" s="16"/>
      <c r="H847" s="16"/>
      <c r="I847" s="16"/>
      <c r="J847" s="8" t="str">
        <f aca="false">IF(AND(H847="Y",E847="Business checking (debit/ACH/check)"),"Counts toward 1099-NEC",IF(H847="Y","Paid by card/PayPal - 1099-K side",""))</f>
        <v/>
      </c>
      <c r="K847" s="16"/>
    </row>
    <row r="848" customFormat="false" ht="15" hidden="false" customHeight="false" outlineLevel="0" collapsed="false">
      <c r="A848" s="25"/>
      <c r="B848" s="16"/>
      <c r="C848" s="16"/>
      <c r="D848" s="26"/>
      <c r="E848" s="16"/>
      <c r="F848" s="16"/>
      <c r="G848" s="16"/>
      <c r="H848" s="16"/>
      <c r="I848" s="16"/>
      <c r="J848" s="8" t="str">
        <f aca="false">IF(AND(H848="Y",E848="Business checking (debit/ACH/check)"),"Counts toward 1099-NEC",IF(H848="Y","Paid by card/PayPal - 1099-K side",""))</f>
        <v/>
      </c>
      <c r="K848" s="16"/>
    </row>
    <row r="849" customFormat="false" ht="15" hidden="false" customHeight="false" outlineLevel="0" collapsed="false">
      <c r="A849" s="25"/>
      <c r="B849" s="16"/>
      <c r="C849" s="16"/>
      <c r="D849" s="26"/>
      <c r="E849" s="16"/>
      <c r="F849" s="16"/>
      <c r="G849" s="16"/>
      <c r="H849" s="16"/>
      <c r="I849" s="16"/>
      <c r="J849" s="8" t="str">
        <f aca="false">IF(AND(H849="Y",E849="Business checking (debit/ACH/check)"),"Counts toward 1099-NEC",IF(H849="Y","Paid by card/PayPal - 1099-K side",""))</f>
        <v/>
      </c>
      <c r="K849" s="16"/>
    </row>
    <row r="850" customFormat="false" ht="15" hidden="false" customHeight="false" outlineLevel="0" collapsed="false">
      <c r="A850" s="25"/>
      <c r="B850" s="16"/>
      <c r="C850" s="16"/>
      <c r="D850" s="26"/>
      <c r="E850" s="16"/>
      <c r="F850" s="16"/>
      <c r="G850" s="16"/>
      <c r="H850" s="16"/>
      <c r="I850" s="16"/>
      <c r="J850" s="8" t="str">
        <f aca="false">IF(AND(H850="Y",E850="Business checking (debit/ACH/check)"),"Counts toward 1099-NEC",IF(H850="Y","Paid by card/PayPal - 1099-K side",""))</f>
        <v/>
      </c>
      <c r="K850" s="16"/>
    </row>
    <row r="851" customFormat="false" ht="15" hidden="false" customHeight="false" outlineLevel="0" collapsed="false">
      <c r="A851" s="25"/>
      <c r="B851" s="16"/>
      <c r="C851" s="16"/>
      <c r="D851" s="26"/>
      <c r="E851" s="16"/>
      <c r="F851" s="16"/>
      <c r="G851" s="16"/>
      <c r="H851" s="16"/>
      <c r="I851" s="16"/>
      <c r="J851" s="8" t="str">
        <f aca="false">IF(AND(H851="Y",E851="Business checking (debit/ACH/check)"),"Counts toward 1099-NEC",IF(H851="Y","Paid by card/PayPal - 1099-K side",""))</f>
        <v/>
      </c>
      <c r="K851" s="16"/>
    </row>
    <row r="852" customFormat="false" ht="15" hidden="false" customHeight="false" outlineLevel="0" collapsed="false">
      <c r="A852" s="25"/>
      <c r="B852" s="16"/>
      <c r="C852" s="16"/>
      <c r="D852" s="26"/>
      <c r="E852" s="16"/>
      <c r="F852" s="16"/>
      <c r="G852" s="16"/>
      <c r="H852" s="16"/>
      <c r="I852" s="16"/>
      <c r="J852" s="8" t="str">
        <f aca="false">IF(AND(H852="Y",E852="Business checking (debit/ACH/check)"),"Counts toward 1099-NEC",IF(H852="Y","Paid by card/PayPal - 1099-K side",""))</f>
        <v/>
      </c>
      <c r="K852" s="16"/>
    </row>
    <row r="853" customFormat="false" ht="15" hidden="false" customHeight="false" outlineLevel="0" collapsed="false">
      <c r="A853" s="25"/>
      <c r="B853" s="16"/>
      <c r="C853" s="16"/>
      <c r="D853" s="26"/>
      <c r="E853" s="16"/>
      <c r="F853" s="16"/>
      <c r="G853" s="16"/>
      <c r="H853" s="16"/>
      <c r="I853" s="16"/>
      <c r="J853" s="8" t="str">
        <f aca="false">IF(AND(H853="Y",E853="Business checking (debit/ACH/check)"),"Counts toward 1099-NEC",IF(H853="Y","Paid by card/PayPal - 1099-K side",""))</f>
        <v/>
      </c>
      <c r="K853" s="16"/>
    </row>
    <row r="854" customFormat="false" ht="15" hidden="false" customHeight="false" outlineLevel="0" collapsed="false">
      <c r="A854" s="25"/>
      <c r="B854" s="16"/>
      <c r="C854" s="16"/>
      <c r="D854" s="26"/>
      <c r="E854" s="16"/>
      <c r="F854" s="16"/>
      <c r="G854" s="16"/>
      <c r="H854" s="16"/>
      <c r="I854" s="16"/>
      <c r="J854" s="8" t="str">
        <f aca="false">IF(AND(H854="Y",E854="Business checking (debit/ACH/check)"),"Counts toward 1099-NEC",IF(H854="Y","Paid by card/PayPal - 1099-K side",""))</f>
        <v/>
      </c>
      <c r="K854" s="16"/>
    </row>
    <row r="855" customFormat="false" ht="15" hidden="false" customHeight="false" outlineLevel="0" collapsed="false">
      <c r="A855" s="25"/>
      <c r="B855" s="16"/>
      <c r="C855" s="16"/>
      <c r="D855" s="26"/>
      <c r="E855" s="16"/>
      <c r="F855" s="16"/>
      <c r="G855" s="16"/>
      <c r="H855" s="16"/>
      <c r="I855" s="16"/>
      <c r="J855" s="8" t="str">
        <f aca="false">IF(AND(H855="Y",E855="Business checking (debit/ACH/check)"),"Counts toward 1099-NEC",IF(H855="Y","Paid by card/PayPal - 1099-K side",""))</f>
        <v/>
      </c>
      <c r="K855" s="16"/>
    </row>
    <row r="856" customFormat="false" ht="15" hidden="false" customHeight="false" outlineLevel="0" collapsed="false">
      <c r="A856" s="25"/>
      <c r="B856" s="16"/>
      <c r="C856" s="16"/>
      <c r="D856" s="26"/>
      <c r="E856" s="16"/>
      <c r="F856" s="16"/>
      <c r="G856" s="16"/>
      <c r="H856" s="16"/>
      <c r="I856" s="16"/>
      <c r="J856" s="8" t="str">
        <f aca="false">IF(AND(H856="Y",E856="Business checking (debit/ACH/check)"),"Counts toward 1099-NEC",IF(H856="Y","Paid by card/PayPal - 1099-K side",""))</f>
        <v/>
      </c>
      <c r="K856" s="16"/>
    </row>
    <row r="857" customFormat="false" ht="15" hidden="false" customHeight="false" outlineLevel="0" collapsed="false">
      <c r="A857" s="25"/>
      <c r="B857" s="16"/>
      <c r="C857" s="16"/>
      <c r="D857" s="26"/>
      <c r="E857" s="16"/>
      <c r="F857" s="16"/>
      <c r="G857" s="16"/>
      <c r="H857" s="16"/>
      <c r="I857" s="16"/>
      <c r="J857" s="8" t="str">
        <f aca="false">IF(AND(H857="Y",E857="Business checking (debit/ACH/check)"),"Counts toward 1099-NEC",IF(H857="Y","Paid by card/PayPal - 1099-K side",""))</f>
        <v/>
      </c>
      <c r="K857" s="16"/>
    </row>
    <row r="858" customFormat="false" ht="15" hidden="false" customHeight="false" outlineLevel="0" collapsed="false">
      <c r="A858" s="25"/>
      <c r="B858" s="16"/>
      <c r="C858" s="16"/>
      <c r="D858" s="26"/>
      <c r="E858" s="16"/>
      <c r="F858" s="16"/>
      <c r="G858" s="16"/>
      <c r="H858" s="16"/>
      <c r="I858" s="16"/>
      <c r="J858" s="8" t="str">
        <f aca="false">IF(AND(H858="Y",E858="Business checking (debit/ACH/check)"),"Counts toward 1099-NEC",IF(H858="Y","Paid by card/PayPal - 1099-K side",""))</f>
        <v/>
      </c>
      <c r="K858" s="16"/>
    </row>
    <row r="859" customFormat="false" ht="15" hidden="false" customHeight="false" outlineLevel="0" collapsed="false">
      <c r="A859" s="25"/>
      <c r="B859" s="16"/>
      <c r="C859" s="16"/>
      <c r="D859" s="26"/>
      <c r="E859" s="16"/>
      <c r="F859" s="16"/>
      <c r="G859" s="16"/>
      <c r="H859" s="16"/>
      <c r="I859" s="16"/>
      <c r="J859" s="8" t="str">
        <f aca="false">IF(AND(H859="Y",E859="Business checking (debit/ACH/check)"),"Counts toward 1099-NEC",IF(H859="Y","Paid by card/PayPal - 1099-K side",""))</f>
        <v/>
      </c>
      <c r="K859" s="16"/>
    </row>
    <row r="860" customFormat="false" ht="15" hidden="false" customHeight="false" outlineLevel="0" collapsed="false">
      <c r="A860" s="25"/>
      <c r="B860" s="16"/>
      <c r="C860" s="16"/>
      <c r="D860" s="26"/>
      <c r="E860" s="16"/>
      <c r="F860" s="16"/>
      <c r="G860" s="16"/>
      <c r="H860" s="16"/>
      <c r="I860" s="16"/>
      <c r="J860" s="8" t="str">
        <f aca="false">IF(AND(H860="Y",E860="Business checking (debit/ACH/check)"),"Counts toward 1099-NEC",IF(H860="Y","Paid by card/PayPal - 1099-K side",""))</f>
        <v/>
      </c>
      <c r="K860" s="16"/>
    </row>
    <row r="861" customFormat="false" ht="15" hidden="false" customHeight="false" outlineLevel="0" collapsed="false">
      <c r="A861" s="25"/>
      <c r="B861" s="16"/>
      <c r="C861" s="16"/>
      <c r="D861" s="26"/>
      <c r="E861" s="16"/>
      <c r="F861" s="16"/>
      <c r="G861" s="16"/>
      <c r="H861" s="16"/>
      <c r="I861" s="16"/>
      <c r="J861" s="8" t="str">
        <f aca="false">IF(AND(H861="Y",E861="Business checking (debit/ACH/check)"),"Counts toward 1099-NEC",IF(H861="Y","Paid by card/PayPal - 1099-K side",""))</f>
        <v/>
      </c>
      <c r="K861" s="16"/>
    </row>
    <row r="862" customFormat="false" ht="15" hidden="false" customHeight="false" outlineLevel="0" collapsed="false">
      <c r="A862" s="25"/>
      <c r="B862" s="16"/>
      <c r="C862" s="16"/>
      <c r="D862" s="26"/>
      <c r="E862" s="16"/>
      <c r="F862" s="16"/>
      <c r="G862" s="16"/>
      <c r="H862" s="16"/>
      <c r="I862" s="16"/>
      <c r="J862" s="8" t="str">
        <f aca="false">IF(AND(H862="Y",E862="Business checking (debit/ACH/check)"),"Counts toward 1099-NEC",IF(H862="Y","Paid by card/PayPal - 1099-K side",""))</f>
        <v/>
      </c>
      <c r="K862" s="16"/>
    </row>
    <row r="863" customFormat="false" ht="15" hidden="false" customHeight="false" outlineLevel="0" collapsed="false">
      <c r="A863" s="25"/>
      <c r="B863" s="16"/>
      <c r="C863" s="16"/>
      <c r="D863" s="26"/>
      <c r="E863" s="16"/>
      <c r="F863" s="16"/>
      <c r="G863" s="16"/>
      <c r="H863" s="16"/>
      <c r="I863" s="16"/>
      <c r="J863" s="8" t="str">
        <f aca="false">IF(AND(H863="Y",E863="Business checking (debit/ACH/check)"),"Counts toward 1099-NEC",IF(H863="Y","Paid by card/PayPal - 1099-K side",""))</f>
        <v/>
      </c>
      <c r="K863" s="16"/>
    </row>
    <row r="864" customFormat="false" ht="15" hidden="false" customHeight="false" outlineLevel="0" collapsed="false">
      <c r="A864" s="25"/>
      <c r="B864" s="16"/>
      <c r="C864" s="16"/>
      <c r="D864" s="26"/>
      <c r="E864" s="16"/>
      <c r="F864" s="16"/>
      <c r="G864" s="16"/>
      <c r="H864" s="16"/>
      <c r="I864" s="16"/>
      <c r="J864" s="8" t="str">
        <f aca="false">IF(AND(H864="Y",E864="Business checking (debit/ACH/check)"),"Counts toward 1099-NEC",IF(H864="Y","Paid by card/PayPal - 1099-K side",""))</f>
        <v/>
      </c>
      <c r="K864" s="16"/>
    </row>
    <row r="865" customFormat="false" ht="15" hidden="false" customHeight="false" outlineLevel="0" collapsed="false">
      <c r="A865" s="25"/>
      <c r="B865" s="16"/>
      <c r="C865" s="16"/>
      <c r="D865" s="26"/>
      <c r="E865" s="16"/>
      <c r="F865" s="16"/>
      <c r="G865" s="16"/>
      <c r="H865" s="16"/>
      <c r="I865" s="16"/>
      <c r="J865" s="8" t="str">
        <f aca="false">IF(AND(H865="Y",E865="Business checking (debit/ACH/check)"),"Counts toward 1099-NEC",IF(H865="Y","Paid by card/PayPal - 1099-K side",""))</f>
        <v/>
      </c>
      <c r="K865" s="16"/>
    </row>
    <row r="866" customFormat="false" ht="15" hidden="false" customHeight="false" outlineLevel="0" collapsed="false">
      <c r="A866" s="25"/>
      <c r="B866" s="16"/>
      <c r="C866" s="16"/>
      <c r="D866" s="26"/>
      <c r="E866" s="16"/>
      <c r="F866" s="16"/>
      <c r="G866" s="16"/>
      <c r="H866" s="16"/>
      <c r="I866" s="16"/>
      <c r="J866" s="8" t="str">
        <f aca="false">IF(AND(H866="Y",E866="Business checking (debit/ACH/check)"),"Counts toward 1099-NEC",IF(H866="Y","Paid by card/PayPal - 1099-K side",""))</f>
        <v/>
      </c>
      <c r="K866" s="16"/>
    </row>
    <row r="867" customFormat="false" ht="15" hidden="false" customHeight="false" outlineLevel="0" collapsed="false">
      <c r="A867" s="25"/>
      <c r="B867" s="16"/>
      <c r="C867" s="16"/>
      <c r="D867" s="26"/>
      <c r="E867" s="16"/>
      <c r="F867" s="16"/>
      <c r="G867" s="16"/>
      <c r="H867" s="16"/>
      <c r="I867" s="16"/>
      <c r="J867" s="8" t="str">
        <f aca="false">IF(AND(H867="Y",E867="Business checking (debit/ACH/check)"),"Counts toward 1099-NEC",IF(H867="Y","Paid by card/PayPal - 1099-K side",""))</f>
        <v/>
      </c>
      <c r="K867" s="16"/>
    </row>
    <row r="868" customFormat="false" ht="15" hidden="false" customHeight="false" outlineLevel="0" collapsed="false">
      <c r="A868" s="25"/>
      <c r="B868" s="16"/>
      <c r="C868" s="16"/>
      <c r="D868" s="26"/>
      <c r="E868" s="16"/>
      <c r="F868" s="16"/>
      <c r="G868" s="16"/>
      <c r="H868" s="16"/>
      <c r="I868" s="16"/>
      <c r="J868" s="8" t="str">
        <f aca="false">IF(AND(H868="Y",E868="Business checking (debit/ACH/check)"),"Counts toward 1099-NEC",IF(H868="Y","Paid by card/PayPal - 1099-K side",""))</f>
        <v/>
      </c>
      <c r="K868" s="16"/>
    </row>
    <row r="869" customFormat="false" ht="15" hidden="false" customHeight="false" outlineLevel="0" collapsed="false">
      <c r="A869" s="25"/>
      <c r="B869" s="16"/>
      <c r="C869" s="16"/>
      <c r="D869" s="26"/>
      <c r="E869" s="16"/>
      <c r="F869" s="16"/>
      <c r="G869" s="16"/>
      <c r="H869" s="16"/>
      <c r="I869" s="16"/>
      <c r="J869" s="8" t="str">
        <f aca="false">IF(AND(H869="Y",E869="Business checking (debit/ACH/check)"),"Counts toward 1099-NEC",IF(H869="Y","Paid by card/PayPal - 1099-K side",""))</f>
        <v/>
      </c>
      <c r="K869" s="16"/>
    </row>
    <row r="870" customFormat="false" ht="15" hidden="false" customHeight="false" outlineLevel="0" collapsed="false">
      <c r="A870" s="25"/>
      <c r="B870" s="16"/>
      <c r="C870" s="16"/>
      <c r="D870" s="26"/>
      <c r="E870" s="16"/>
      <c r="F870" s="16"/>
      <c r="G870" s="16"/>
      <c r="H870" s="16"/>
      <c r="I870" s="16"/>
      <c r="J870" s="8" t="str">
        <f aca="false">IF(AND(H870="Y",E870="Business checking (debit/ACH/check)"),"Counts toward 1099-NEC",IF(H870="Y","Paid by card/PayPal - 1099-K side",""))</f>
        <v/>
      </c>
      <c r="K870" s="16"/>
    </row>
    <row r="871" customFormat="false" ht="15" hidden="false" customHeight="false" outlineLevel="0" collapsed="false">
      <c r="A871" s="25"/>
      <c r="B871" s="16"/>
      <c r="C871" s="16"/>
      <c r="D871" s="26"/>
      <c r="E871" s="16"/>
      <c r="F871" s="16"/>
      <c r="G871" s="16"/>
      <c r="H871" s="16"/>
      <c r="I871" s="16"/>
      <c r="J871" s="8" t="str">
        <f aca="false">IF(AND(H871="Y",E871="Business checking (debit/ACH/check)"),"Counts toward 1099-NEC",IF(H871="Y","Paid by card/PayPal - 1099-K side",""))</f>
        <v/>
      </c>
      <c r="K871" s="16"/>
    </row>
    <row r="872" customFormat="false" ht="15" hidden="false" customHeight="false" outlineLevel="0" collapsed="false">
      <c r="A872" s="25"/>
      <c r="B872" s="16"/>
      <c r="C872" s="16"/>
      <c r="D872" s="26"/>
      <c r="E872" s="16"/>
      <c r="F872" s="16"/>
      <c r="G872" s="16"/>
      <c r="H872" s="16"/>
      <c r="I872" s="16"/>
      <c r="J872" s="8" t="str">
        <f aca="false">IF(AND(H872="Y",E872="Business checking (debit/ACH/check)"),"Counts toward 1099-NEC",IF(H872="Y","Paid by card/PayPal - 1099-K side",""))</f>
        <v/>
      </c>
      <c r="K872" s="16"/>
    </row>
    <row r="873" customFormat="false" ht="15" hidden="false" customHeight="false" outlineLevel="0" collapsed="false">
      <c r="A873" s="25"/>
      <c r="B873" s="16"/>
      <c r="C873" s="16"/>
      <c r="D873" s="26"/>
      <c r="E873" s="16"/>
      <c r="F873" s="16"/>
      <c r="G873" s="16"/>
      <c r="H873" s="16"/>
      <c r="I873" s="16"/>
      <c r="J873" s="8" t="str">
        <f aca="false">IF(AND(H873="Y",E873="Business checking (debit/ACH/check)"),"Counts toward 1099-NEC",IF(H873="Y","Paid by card/PayPal - 1099-K side",""))</f>
        <v/>
      </c>
      <c r="K873" s="16"/>
    </row>
    <row r="874" customFormat="false" ht="15" hidden="false" customHeight="false" outlineLevel="0" collapsed="false">
      <c r="A874" s="25"/>
      <c r="B874" s="16"/>
      <c r="C874" s="16"/>
      <c r="D874" s="26"/>
      <c r="E874" s="16"/>
      <c r="F874" s="16"/>
      <c r="G874" s="16"/>
      <c r="H874" s="16"/>
      <c r="I874" s="16"/>
      <c r="J874" s="8" t="str">
        <f aca="false">IF(AND(H874="Y",E874="Business checking (debit/ACH/check)"),"Counts toward 1099-NEC",IF(H874="Y","Paid by card/PayPal - 1099-K side",""))</f>
        <v/>
      </c>
      <c r="K874" s="16"/>
    </row>
    <row r="875" customFormat="false" ht="15" hidden="false" customHeight="false" outlineLevel="0" collapsed="false">
      <c r="A875" s="25"/>
      <c r="B875" s="16"/>
      <c r="C875" s="16"/>
      <c r="D875" s="26"/>
      <c r="E875" s="16"/>
      <c r="F875" s="16"/>
      <c r="G875" s="16"/>
      <c r="H875" s="16"/>
      <c r="I875" s="16"/>
      <c r="J875" s="8" t="str">
        <f aca="false">IF(AND(H875="Y",E875="Business checking (debit/ACH/check)"),"Counts toward 1099-NEC",IF(H875="Y","Paid by card/PayPal - 1099-K side",""))</f>
        <v/>
      </c>
      <c r="K875" s="16"/>
    </row>
    <row r="876" customFormat="false" ht="15" hidden="false" customHeight="false" outlineLevel="0" collapsed="false">
      <c r="A876" s="25"/>
      <c r="B876" s="16"/>
      <c r="C876" s="16"/>
      <c r="D876" s="26"/>
      <c r="E876" s="16"/>
      <c r="F876" s="16"/>
      <c r="G876" s="16"/>
      <c r="H876" s="16"/>
      <c r="I876" s="16"/>
      <c r="J876" s="8" t="str">
        <f aca="false">IF(AND(H876="Y",E876="Business checking (debit/ACH/check)"),"Counts toward 1099-NEC",IF(H876="Y","Paid by card/PayPal - 1099-K side",""))</f>
        <v/>
      </c>
      <c r="K876" s="16"/>
    </row>
    <row r="877" customFormat="false" ht="15" hidden="false" customHeight="false" outlineLevel="0" collapsed="false">
      <c r="A877" s="25"/>
      <c r="B877" s="16"/>
      <c r="C877" s="16"/>
      <c r="D877" s="26"/>
      <c r="E877" s="16"/>
      <c r="F877" s="16"/>
      <c r="G877" s="16"/>
      <c r="H877" s="16"/>
      <c r="I877" s="16"/>
      <c r="J877" s="8" t="str">
        <f aca="false">IF(AND(H877="Y",E877="Business checking (debit/ACH/check)"),"Counts toward 1099-NEC",IF(H877="Y","Paid by card/PayPal - 1099-K side",""))</f>
        <v/>
      </c>
      <c r="K877" s="16"/>
    </row>
    <row r="878" customFormat="false" ht="15" hidden="false" customHeight="false" outlineLevel="0" collapsed="false">
      <c r="A878" s="25"/>
      <c r="B878" s="16"/>
      <c r="C878" s="16"/>
      <c r="D878" s="26"/>
      <c r="E878" s="16"/>
      <c r="F878" s="16"/>
      <c r="G878" s="16"/>
      <c r="H878" s="16"/>
      <c r="I878" s="16"/>
      <c r="J878" s="8" t="str">
        <f aca="false">IF(AND(H878="Y",E878="Business checking (debit/ACH/check)"),"Counts toward 1099-NEC",IF(H878="Y","Paid by card/PayPal - 1099-K side",""))</f>
        <v/>
      </c>
      <c r="K878" s="16"/>
    </row>
    <row r="879" customFormat="false" ht="15" hidden="false" customHeight="false" outlineLevel="0" collapsed="false">
      <c r="A879" s="25"/>
      <c r="B879" s="16"/>
      <c r="C879" s="16"/>
      <c r="D879" s="26"/>
      <c r="E879" s="16"/>
      <c r="F879" s="16"/>
      <c r="G879" s="16"/>
      <c r="H879" s="16"/>
      <c r="I879" s="16"/>
      <c r="J879" s="8" t="str">
        <f aca="false">IF(AND(H879="Y",E879="Business checking (debit/ACH/check)"),"Counts toward 1099-NEC",IF(H879="Y","Paid by card/PayPal - 1099-K side",""))</f>
        <v/>
      </c>
      <c r="K879" s="16"/>
    </row>
    <row r="880" customFormat="false" ht="15" hidden="false" customHeight="false" outlineLevel="0" collapsed="false">
      <c r="A880" s="25"/>
      <c r="B880" s="16"/>
      <c r="C880" s="16"/>
      <c r="D880" s="26"/>
      <c r="E880" s="16"/>
      <c r="F880" s="16"/>
      <c r="G880" s="16"/>
      <c r="H880" s="16"/>
      <c r="I880" s="16"/>
      <c r="J880" s="8" t="str">
        <f aca="false">IF(AND(H880="Y",E880="Business checking (debit/ACH/check)"),"Counts toward 1099-NEC",IF(H880="Y","Paid by card/PayPal - 1099-K side",""))</f>
        <v/>
      </c>
      <c r="K880" s="16"/>
    </row>
    <row r="881" customFormat="false" ht="15" hidden="false" customHeight="false" outlineLevel="0" collapsed="false">
      <c r="A881" s="25"/>
      <c r="B881" s="16"/>
      <c r="C881" s="16"/>
      <c r="D881" s="26"/>
      <c r="E881" s="16"/>
      <c r="F881" s="16"/>
      <c r="G881" s="16"/>
      <c r="H881" s="16"/>
      <c r="I881" s="16"/>
      <c r="J881" s="8" t="str">
        <f aca="false">IF(AND(H881="Y",E881="Business checking (debit/ACH/check)"),"Counts toward 1099-NEC",IF(H881="Y","Paid by card/PayPal - 1099-K side",""))</f>
        <v/>
      </c>
      <c r="K881" s="16"/>
    </row>
    <row r="882" customFormat="false" ht="15" hidden="false" customHeight="false" outlineLevel="0" collapsed="false">
      <c r="A882" s="25"/>
      <c r="B882" s="16"/>
      <c r="C882" s="16"/>
      <c r="D882" s="26"/>
      <c r="E882" s="16"/>
      <c r="F882" s="16"/>
      <c r="G882" s="16"/>
      <c r="H882" s="16"/>
      <c r="I882" s="16"/>
      <c r="J882" s="8" t="str">
        <f aca="false">IF(AND(H882="Y",E882="Business checking (debit/ACH/check)"),"Counts toward 1099-NEC",IF(H882="Y","Paid by card/PayPal - 1099-K side",""))</f>
        <v/>
      </c>
      <c r="K882" s="16"/>
    </row>
    <row r="883" customFormat="false" ht="15" hidden="false" customHeight="false" outlineLevel="0" collapsed="false">
      <c r="A883" s="25"/>
      <c r="B883" s="16"/>
      <c r="C883" s="16"/>
      <c r="D883" s="26"/>
      <c r="E883" s="16"/>
      <c r="F883" s="16"/>
      <c r="G883" s="16"/>
      <c r="H883" s="16"/>
      <c r="I883" s="16"/>
      <c r="J883" s="8" t="str">
        <f aca="false">IF(AND(H883="Y",E883="Business checking (debit/ACH/check)"),"Counts toward 1099-NEC",IF(H883="Y","Paid by card/PayPal - 1099-K side",""))</f>
        <v/>
      </c>
      <c r="K883" s="16"/>
    </row>
    <row r="884" customFormat="false" ht="15" hidden="false" customHeight="false" outlineLevel="0" collapsed="false">
      <c r="A884" s="25"/>
      <c r="B884" s="16"/>
      <c r="C884" s="16"/>
      <c r="D884" s="26"/>
      <c r="E884" s="16"/>
      <c r="F884" s="16"/>
      <c r="G884" s="16"/>
      <c r="H884" s="16"/>
      <c r="I884" s="16"/>
      <c r="J884" s="8" t="str">
        <f aca="false">IF(AND(H884="Y",E884="Business checking (debit/ACH/check)"),"Counts toward 1099-NEC",IF(H884="Y","Paid by card/PayPal - 1099-K side",""))</f>
        <v/>
      </c>
      <c r="K884" s="16"/>
    </row>
    <row r="885" customFormat="false" ht="15" hidden="false" customHeight="false" outlineLevel="0" collapsed="false">
      <c r="A885" s="25"/>
      <c r="B885" s="16"/>
      <c r="C885" s="16"/>
      <c r="D885" s="26"/>
      <c r="E885" s="16"/>
      <c r="F885" s="16"/>
      <c r="G885" s="16"/>
      <c r="H885" s="16"/>
      <c r="I885" s="16"/>
      <c r="J885" s="8" t="str">
        <f aca="false">IF(AND(H885="Y",E885="Business checking (debit/ACH/check)"),"Counts toward 1099-NEC",IF(H885="Y","Paid by card/PayPal - 1099-K side",""))</f>
        <v/>
      </c>
      <c r="K885" s="16"/>
    </row>
    <row r="886" customFormat="false" ht="15" hidden="false" customHeight="false" outlineLevel="0" collapsed="false">
      <c r="A886" s="25"/>
      <c r="B886" s="16"/>
      <c r="C886" s="16"/>
      <c r="D886" s="26"/>
      <c r="E886" s="16"/>
      <c r="F886" s="16"/>
      <c r="G886" s="16"/>
      <c r="H886" s="16"/>
      <c r="I886" s="16"/>
      <c r="J886" s="8" t="str">
        <f aca="false">IF(AND(H886="Y",E886="Business checking (debit/ACH/check)"),"Counts toward 1099-NEC",IF(H886="Y","Paid by card/PayPal - 1099-K side",""))</f>
        <v/>
      </c>
      <c r="K886" s="16"/>
    </row>
    <row r="887" customFormat="false" ht="15" hidden="false" customHeight="false" outlineLevel="0" collapsed="false">
      <c r="A887" s="25"/>
      <c r="B887" s="16"/>
      <c r="C887" s="16"/>
      <c r="D887" s="26"/>
      <c r="E887" s="16"/>
      <c r="F887" s="16"/>
      <c r="G887" s="16"/>
      <c r="H887" s="16"/>
      <c r="I887" s="16"/>
      <c r="J887" s="8" t="str">
        <f aca="false">IF(AND(H887="Y",E887="Business checking (debit/ACH/check)"),"Counts toward 1099-NEC",IF(H887="Y","Paid by card/PayPal - 1099-K side",""))</f>
        <v/>
      </c>
      <c r="K887" s="16"/>
    </row>
    <row r="888" customFormat="false" ht="15" hidden="false" customHeight="false" outlineLevel="0" collapsed="false">
      <c r="A888" s="25"/>
      <c r="B888" s="16"/>
      <c r="C888" s="16"/>
      <c r="D888" s="26"/>
      <c r="E888" s="16"/>
      <c r="F888" s="16"/>
      <c r="G888" s="16"/>
      <c r="H888" s="16"/>
      <c r="I888" s="16"/>
      <c r="J888" s="8" t="str">
        <f aca="false">IF(AND(H888="Y",E888="Business checking (debit/ACH/check)"),"Counts toward 1099-NEC",IF(H888="Y","Paid by card/PayPal - 1099-K side",""))</f>
        <v/>
      </c>
      <c r="K888" s="16"/>
    </row>
    <row r="889" customFormat="false" ht="15" hidden="false" customHeight="false" outlineLevel="0" collapsed="false">
      <c r="A889" s="25"/>
      <c r="B889" s="16"/>
      <c r="C889" s="16"/>
      <c r="D889" s="26"/>
      <c r="E889" s="16"/>
      <c r="F889" s="16"/>
      <c r="G889" s="16"/>
      <c r="H889" s="16"/>
      <c r="I889" s="16"/>
      <c r="J889" s="8" t="str">
        <f aca="false">IF(AND(H889="Y",E889="Business checking (debit/ACH/check)"),"Counts toward 1099-NEC",IF(H889="Y","Paid by card/PayPal - 1099-K side",""))</f>
        <v/>
      </c>
      <c r="K889" s="16"/>
    </row>
    <row r="890" customFormat="false" ht="15" hidden="false" customHeight="false" outlineLevel="0" collapsed="false">
      <c r="A890" s="25"/>
      <c r="B890" s="16"/>
      <c r="C890" s="16"/>
      <c r="D890" s="26"/>
      <c r="E890" s="16"/>
      <c r="F890" s="16"/>
      <c r="G890" s="16"/>
      <c r="H890" s="16"/>
      <c r="I890" s="16"/>
      <c r="J890" s="8" t="str">
        <f aca="false">IF(AND(H890="Y",E890="Business checking (debit/ACH/check)"),"Counts toward 1099-NEC",IF(H890="Y","Paid by card/PayPal - 1099-K side",""))</f>
        <v/>
      </c>
      <c r="K890" s="16"/>
    </row>
    <row r="891" customFormat="false" ht="15" hidden="false" customHeight="false" outlineLevel="0" collapsed="false">
      <c r="A891" s="25"/>
      <c r="B891" s="16"/>
      <c r="C891" s="16"/>
      <c r="D891" s="26"/>
      <c r="E891" s="16"/>
      <c r="F891" s="16"/>
      <c r="G891" s="16"/>
      <c r="H891" s="16"/>
      <c r="I891" s="16"/>
      <c r="J891" s="8" t="str">
        <f aca="false">IF(AND(H891="Y",E891="Business checking (debit/ACH/check)"),"Counts toward 1099-NEC",IF(H891="Y","Paid by card/PayPal - 1099-K side",""))</f>
        <v/>
      </c>
      <c r="K891" s="16"/>
    </row>
    <row r="892" customFormat="false" ht="15" hidden="false" customHeight="false" outlineLevel="0" collapsed="false">
      <c r="A892" s="25"/>
      <c r="B892" s="16"/>
      <c r="C892" s="16"/>
      <c r="D892" s="26"/>
      <c r="E892" s="16"/>
      <c r="F892" s="16"/>
      <c r="G892" s="16"/>
      <c r="H892" s="16"/>
      <c r="I892" s="16"/>
      <c r="J892" s="8" t="str">
        <f aca="false">IF(AND(H892="Y",E892="Business checking (debit/ACH/check)"),"Counts toward 1099-NEC",IF(H892="Y","Paid by card/PayPal - 1099-K side",""))</f>
        <v/>
      </c>
      <c r="K892" s="16"/>
    </row>
    <row r="893" customFormat="false" ht="15" hidden="false" customHeight="false" outlineLevel="0" collapsed="false">
      <c r="A893" s="25"/>
      <c r="B893" s="16"/>
      <c r="C893" s="16"/>
      <c r="D893" s="26"/>
      <c r="E893" s="16"/>
      <c r="F893" s="16"/>
      <c r="G893" s="16"/>
      <c r="H893" s="16"/>
      <c r="I893" s="16"/>
      <c r="J893" s="8" t="str">
        <f aca="false">IF(AND(H893="Y",E893="Business checking (debit/ACH/check)"),"Counts toward 1099-NEC",IF(H893="Y","Paid by card/PayPal - 1099-K side",""))</f>
        <v/>
      </c>
      <c r="K893" s="16"/>
    </row>
    <row r="894" customFormat="false" ht="15" hidden="false" customHeight="false" outlineLevel="0" collapsed="false">
      <c r="A894" s="25"/>
      <c r="B894" s="16"/>
      <c r="C894" s="16"/>
      <c r="D894" s="26"/>
      <c r="E894" s="16"/>
      <c r="F894" s="16"/>
      <c r="G894" s="16"/>
      <c r="H894" s="16"/>
      <c r="I894" s="16"/>
      <c r="J894" s="8" t="str">
        <f aca="false">IF(AND(H894="Y",E894="Business checking (debit/ACH/check)"),"Counts toward 1099-NEC",IF(H894="Y","Paid by card/PayPal - 1099-K side",""))</f>
        <v/>
      </c>
      <c r="K894" s="16"/>
    </row>
    <row r="895" customFormat="false" ht="15" hidden="false" customHeight="false" outlineLevel="0" collapsed="false">
      <c r="A895" s="25"/>
      <c r="B895" s="16"/>
      <c r="C895" s="16"/>
      <c r="D895" s="26"/>
      <c r="E895" s="16"/>
      <c r="F895" s="16"/>
      <c r="G895" s="16"/>
      <c r="H895" s="16"/>
      <c r="I895" s="16"/>
      <c r="J895" s="8" t="str">
        <f aca="false">IF(AND(H895="Y",E895="Business checking (debit/ACH/check)"),"Counts toward 1099-NEC",IF(H895="Y","Paid by card/PayPal - 1099-K side",""))</f>
        <v/>
      </c>
      <c r="K895" s="16"/>
    </row>
    <row r="896" customFormat="false" ht="15" hidden="false" customHeight="false" outlineLevel="0" collapsed="false">
      <c r="A896" s="25"/>
      <c r="B896" s="16"/>
      <c r="C896" s="16"/>
      <c r="D896" s="26"/>
      <c r="E896" s="16"/>
      <c r="F896" s="16"/>
      <c r="G896" s="16"/>
      <c r="H896" s="16"/>
      <c r="I896" s="16"/>
      <c r="J896" s="8" t="str">
        <f aca="false">IF(AND(H896="Y",E896="Business checking (debit/ACH/check)"),"Counts toward 1099-NEC",IF(H896="Y","Paid by card/PayPal - 1099-K side",""))</f>
        <v/>
      </c>
      <c r="K896" s="16"/>
    </row>
    <row r="897" customFormat="false" ht="15" hidden="false" customHeight="false" outlineLevel="0" collapsed="false">
      <c r="A897" s="25"/>
      <c r="B897" s="16"/>
      <c r="C897" s="16"/>
      <c r="D897" s="26"/>
      <c r="E897" s="16"/>
      <c r="F897" s="16"/>
      <c r="G897" s="16"/>
      <c r="H897" s="16"/>
      <c r="I897" s="16"/>
      <c r="J897" s="8" t="str">
        <f aca="false">IF(AND(H897="Y",E897="Business checking (debit/ACH/check)"),"Counts toward 1099-NEC",IF(H897="Y","Paid by card/PayPal - 1099-K side",""))</f>
        <v/>
      </c>
      <c r="K897" s="16"/>
    </row>
    <row r="898" customFormat="false" ht="15" hidden="false" customHeight="false" outlineLevel="0" collapsed="false">
      <c r="A898" s="25"/>
      <c r="B898" s="16"/>
      <c r="C898" s="16"/>
      <c r="D898" s="26"/>
      <c r="E898" s="16"/>
      <c r="F898" s="16"/>
      <c r="G898" s="16"/>
      <c r="H898" s="16"/>
      <c r="I898" s="16"/>
      <c r="J898" s="8" t="str">
        <f aca="false">IF(AND(H898="Y",E898="Business checking (debit/ACH/check)"),"Counts toward 1099-NEC",IF(H898="Y","Paid by card/PayPal - 1099-K side",""))</f>
        <v/>
      </c>
      <c r="K898" s="16"/>
    </row>
    <row r="899" customFormat="false" ht="15" hidden="false" customHeight="false" outlineLevel="0" collapsed="false">
      <c r="A899" s="25"/>
      <c r="B899" s="16"/>
      <c r="C899" s="16"/>
      <c r="D899" s="26"/>
      <c r="E899" s="16"/>
      <c r="F899" s="16"/>
      <c r="G899" s="16"/>
      <c r="H899" s="16"/>
      <c r="I899" s="16"/>
      <c r="J899" s="8" t="str">
        <f aca="false">IF(AND(H899="Y",E899="Business checking (debit/ACH/check)"),"Counts toward 1099-NEC",IF(H899="Y","Paid by card/PayPal - 1099-K side",""))</f>
        <v/>
      </c>
      <c r="K899" s="16"/>
    </row>
    <row r="900" customFormat="false" ht="15" hidden="false" customHeight="false" outlineLevel="0" collapsed="false">
      <c r="A900" s="25"/>
      <c r="B900" s="16"/>
      <c r="C900" s="16"/>
      <c r="D900" s="26"/>
      <c r="E900" s="16"/>
      <c r="F900" s="16"/>
      <c r="G900" s="16"/>
      <c r="H900" s="16"/>
      <c r="I900" s="16"/>
      <c r="J900" s="8" t="str">
        <f aca="false">IF(AND(H900="Y",E900="Business checking (debit/ACH/check)"),"Counts toward 1099-NEC",IF(H900="Y","Paid by card/PayPal - 1099-K side",""))</f>
        <v/>
      </c>
      <c r="K900" s="16"/>
    </row>
    <row r="901" customFormat="false" ht="15" hidden="false" customHeight="false" outlineLevel="0" collapsed="false">
      <c r="A901" s="25"/>
      <c r="B901" s="16"/>
      <c r="C901" s="16"/>
      <c r="D901" s="26"/>
      <c r="E901" s="16"/>
      <c r="F901" s="16"/>
      <c r="G901" s="16"/>
      <c r="H901" s="16"/>
      <c r="I901" s="16"/>
      <c r="J901" s="8" t="str">
        <f aca="false">IF(AND(H901="Y",E901="Business checking (debit/ACH/check)"),"Counts toward 1099-NEC",IF(H901="Y","Paid by card/PayPal - 1099-K side",""))</f>
        <v/>
      </c>
      <c r="K901" s="16"/>
    </row>
    <row r="902" customFormat="false" ht="15" hidden="false" customHeight="false" outlineLevel="0" collapsed="false">
      <c r="A902" s="25"/>
      <c r="B902" s="16"/>
      <c r="C902" s="16"/>
      <c r="D902" s="26"/>
      <c r="E902" s="16"/>
      <c r="F902" s="16"/>
      <c r="G902" s="16"/>
      <c r="H902" s="16"/>
      <c r="I902" s="16"/>
      <c r="J902" s="8" t="str">
        <f aca="false">IF(AND(H902="Y",E902="Business checking (debit/ACH/check)"),"Counts toward 1099-NEC",IF(H902="Y","Paid by card/PayPal - 1099-K side",""))</f>
        <v/>
      </c>
      <c r="K902" s="16"/>
    </row>
    <row r="903" customFormat="false" ht="15" hidden="false" customHeight="false" outlineLevel="0" collapsed="false">
      <c r="A903" s="25"/>
      <c r="B903" s="16"/>
      <c r="C903" s="16"/>
      <c r="D903" s="26"/>
      <c r="E903" s="16"/>
      <c r="F903" s="16"/>
      <c r="G903" s="16"/>
      <c r="H903" s="16"/>
      <c r="I903" s="16"/>
      <c r="J903" s="8" t="str">
        <f aca="false">IF(AND(H903="Y",E903="Business checking (debit/ACH/check)"),"Counts toward 1099-NEC",IF(H903="Y","Paid by card/PayPal - 1099-K side",""))</f>
        <v/>
      </c>
      <c r="K903" s="16"/>
    </row>
    <row r="904" customFormat="false" ht="15" hidden="false" customHeight="false" outlineLevel="0" collapsed="false">
      <c r="A904" s="25"/>
      <c r="B904" s="16"/>
      <c r="C904" s="16"/>
      <c r="D904" s="26"/>
      <c r="E904" s="16"/>
      <c r="F904" s="16"/>
      <c r="G904" s="16"/>
      <c r="H904" s="16"/>
      <c r="I904" s="16"/>
      <c r="J904" s="8" t="str">
        <f aca="false">IF(AND(H904="Y",E904="Business checking (debit/ACH/check)"),"Counts toward 1099-NEC",IF(H904="Y","Paid by card/PayPal - 1099-K side",""))</f>
        <v/>
      </c>
      <c r="K904" s="16"/>
    </row>
    <row r="905" customFormat="false" ht="15" hidden="false" customHeight="false" outlineLevel="0" collapsed="false">
      <c r="A905" s="25"/>
      <c r="B905" s="16"/>
      <c r="C905" s="16"/>
      <c r="D905" s="26"/>
      <c r="E905" s="16"/>
      <c r="F905" s="16"/>
      <c r="G905" s="16"/>
      <c r="H905" s="16"/>
      <c r="I905" s="16"/>
      <c r="J905" s="8" t="str">
        <f aca="false">IF(AND(H905="Y",E905="Business checking (debit/ACH/check)"),"Counts toward 1099-NEC",IF(H905="Y","Paid by card/PayPal - 1099-K side",""))</f>
        <v/>
      </c>
      <c r="K905" s="16"/>
    </row>
    <row r="906" customFormat="false" ht="15" hidden="false" customHeight="false" outlineLevel="0" collapsed="false">
      <c r="A906" s="25"/>
      <c r="B906" s="16"/>
      <c r="C906" s="16"/>
      <c r="D906" s="26"/>
      <c r="E906" s="16"/>
      <c r="F906" s="16"/>
      <c r="G906" s="16"/>
      <c r="H906" s="16"/>
      <c r="I906" s="16"/>
      <c r="J906" s="8" t="str">
        <f aca="false">IF(AND(H906="Y",E906="Business checking (debit/ACH/check)"),"Counts toward 1099-NEC",IF(H906="Y","Paid by card/PayPal - 1099-K side",""))</f>
        <v/>
      </c>
      <c r="K906" s="16"/>
    </row>
    <row r="907" customFormat="false" ht="15" hidden="false" customHeight="false" outlineLevel="0" collapsed="false">
      <c r="A907" s="25"/>
      <c r="B907" s="16"/>
      <c r="C907" s="16"/>
      <c r="D907" s="26"/>
      <c r="E907" s="16"/>
      <c r="F907" s="16"/>
      <c r="G907" s="16"/>
      <c r="H907" s="16"/>
      <c r="I907" s="16"/>
      <c r="J907" s="8" t="str">
        <f aca="false">IF(AND(H907="Y",E907="Business checking (debit/ACH/check)"),"Counts toward 1099-NEC",IF(H907="Y","Paid by card/PayPal - 1099-K side",""))</f>
        <v/>
      </c>
      <c r="K907" s="16"/>
    </row>
    <row r="908" customFormat="false" ht="15" hidden="false" customHeight="false" outlineLevel="0" collapsed="false">
      <c r="A908" s="25"/>
      <c r="B908" s="16"/>
      <c r="C908" s="16"/>
      <c r="D908" s="26"/>
      <c r="E908" s="16"/>
      <c r="F908" s="16"/>
      <c r="G908" s="16"/>
      <c r="H908" s="16"/>
      <c r="I908" s="16"/>
      <c r="J908" s="8" t="str">
        <f aca="false">IF(AND(H908="Y",E908="Business checking (debit/ACH/check)"),"Counts toward 1099-NEC",IF(H908="Y","Paid by card/PayPal - 1099-K side",""))</f>
        <v/>
      </c>
      <c r="K908" s="16"/>
    </row>
    <row r="909" customFormat="false" ht="15" hidden="false" customHeight="false" outlineLevel="0" collapsed="false">
      <c r="A909" s="25"/>
      <c r="B909" s="16"/>
      <c r="C909" s="16"/>
      <c r="D909" s="26"/>
      <c r="E909" s="16"/>
      <c r="F909" s="16"/>
      <c r="G909" s="16"/>
      <c r="H909" s="16"/>
      <c r="I909" s="16"/>
      <c r="J909" s="8" t="str">
        <f aca="false">IF(AND(H909="Y",E909="Business checking (debit/ACH/check)"),"Counts toward 1099-NEC",IF(H909="Y","Paid by card/PayPal - 1099-K side",""))</f>
        <v/>
      </c>
      <c r="K909" s="16"/>
    </row>
    <row r="910" customFormat="false" ht="15" hidden="false" customHeight="false" outlineLevel="0" collapsed="false">
      <c r="A910" s="25"/>
      <c r="B910" s="16"/>
      <c r="C910" s="16"/>
      <c r="D910" s="26"/>
      <c r="E910" s="16"/>
      <c r="F910" s="16"/>
      <c r="G910" s="16"/>
      <c r="H910" s="16"/>
      <c r="I910" s="16"/>
      <c r="J910" s="8" t="str">
        <f aca="false">IF(AND(H910="Y",E910="Business checking (debit/ACH/check)"),"Counts toward 1099-NEC",IF(H910="Y","Paid by card/PayPal - 1099-K side",""))</f>
        <v/>
      </c>
      <c r="K910" s="16"/>
    </row>
    <row r="911" customFormat="false" ht="15" hidden="false" customHeight="false" outlineLevel="0" collapsed="false">
      <c r="A911" s="25"/>
      <c r="B911" s="16"/>
      <c r="C911" s="16"/>
      <c r="D911" s="26"/>
      <c r="E911" s="16"/>
      <c r="F911" s="16"/>
      <c r="G911" s="16"/>
      <c r="H911" s="16"/>
      <c r="I911" s="16"/>
      <c r="J911" s="8" t="str">
        <f aca="false">IF(AND(H911="Y",E911="Business checking (debit/ACH/check)"),"Counts toward 1099-NEC",IF(H911="Y","Paid by card/PayPal - 1099-K side",""))</f>
        <v/>
      </c>
      <c r="K911" s="16"/>
    </row>
    <row r="912" customFormat="false" ht="15" hidden="false" customHeight="false" outlineLevel="0" collapsed="false">
      <c r="A912" s="25"/>
      <c r="B912" s="16"/>
      <c r="C912" s="16"/>
      <c r="D912" s="26"/>
      <c r="E912" s="16"/>
      <c r="F912" s="16"/>
      <c r="G912" s="16"/>
      <c r="H912" s="16"/>
      <c r="I912" s="16"/>
      <c r="J912" s="8" t="str">
        <f aca="false">IF(AND(H912="Y",E912="Business checking (debit/ACH/check)"),"Counts toward 1099-NEC",IF(H912="Y","Paid by card/PayPal - 1099-K side",""))</f>
        <v/>
      </c>
      <c r="K912" s="16"/>
    </row>
    <row r="913" customFormat="false" ht="15" hidden="false" customHeight="false" outlineLevel="0" collapsed="false">
      <c r="A913" s="25"/>
      <c r="B913" s="16"/>
      <c r="C913" s="16"/>
      <c r="D913" s="26"/>
      <c r="E913" s="16"/>
      <c r="F913" s="16"/>
      <c r="G913" s="16"/>
      <c r="H913" s="16"/>
      <c r="I913" s="16"/>
      <c r="J913" s="8" t="str">
        <f aca="false">IF(AND(H913="Y",E913="Business checking (debit/ACH/check)"),"Counts toward 1099-NEC",IF(H913="Y","Paid by card/PayPal - 1099-K side",""))</f>
        <v/>
      </c>
      <c r="K913" s="16"/>
    </row>
    <row r="914" customFormat="false" ht="15" hidden="false" customHeight="false" outlineLevel="0" collapsed="false">
      <c r="A914" s="25"/>
      <c r="B914" s="16"/>
      <c r="C914" s="16"/>
      <c r="D914" s="26"/>
      <c r="E914" s="16"/>
      <c r="F914" s="16"/>
      <c r="G914" s="16"/>
      <c r="H914" s="16"/>
      <c r="I914" s="16"/>
      <c r="J914" s="8" t="str">
        <f aca="false">IF(AND(H914="Y",E914="Business checking (debit/ACH/check)"),"Counts toward 1099-NEC",IF(H914="Y","Paid by card/PayPal - 1099-K side",""))</f>
        <v/>
      </c>
      <c r="K914" s="16"/>
    </row>
    <row r="915" customFormat="false" ht="15" hidden="false" customHeight="false" outlineLevel="0" collapsed="false">
      <c r="A915" s="25"/>
      <c r="B915" s="16"/>
      <c r="C915" s="16"/>
      <c r="D915" s="26"/>
      <c r="E915" s="16"/>
      <c r="F915" s="16"/>
      <c r="G915" s="16"/>
      <c r="H915" s="16"/>
      <c r="I915" s="16"/>
      <c r="J915" s="8" t="str">
        <f aca="false">IF(AND(H915="Y",E915="Business checking (debit/ACH/check)"),"Counts toward 1099-NEC",IF(H915="Y","Paid by card/PayPal - 1099-K side",""))</f>
        <v/>
      </c>
      <c r="K915" s="16"/>
    </row>
    <row r="916" customFormat="false" ht="15" hidden="false" customHeight="false" outlineLevel="0" collapsed="false">
      <c r="A916" s="25"/>
      <c r="B916" s="16"/>
      <c r="C916" s="16"/>
      <c r="D916" s="26"/>
      <c r="E916" s="16"/>
      <c r="F916" s="16"/>
      <c r="G916" s="16"/>
      <c r="H916" s="16"/>
      <c r="I916" s="16"/>
      <c r="J916" s="8" t="str">
        <f aca="false">IF(AND(H916="Y",E916="Business checking (debit/ACH/check)"),"Counts toward 1099-NEC",IF(H916="Y","Paid by card/PayPal - 1099-K side",""))</f>
        <v/>
      </c>
      <c r="K916" s="16"/>
    </row>
    <row r="917" customFormat="false" ht="15" hidden="false" customHeight="false" outlineLevel="0" collapsed="false">
      <c r="A917" s="25"/>
      <c r="B917" s="16"/>
      <c r="C917" s="16"/>
      <c r="D917" s="26"/>
      <c r="E917" s="16"/>
      <c r="F917" s="16"/>
      <c r="G917" s="16"/>
      <c r="H917" s="16"/>
      <c r="I917" s="16"/>
      <c r="J917" s="8" t="str">
        <f aca="false">IF(AND(H917="Y",E917="Business checking (debit/ACH/check)"),"Counts toward 1099-NEC",IF(H917="Y","Paid by card/PayPal - 1099-K side",""))</f>
        <v/>
      </c>
      <c r="K917" s="16"/>
    </row>
    <row r="918" customFormat="false" ht="15" hidden="false" customHeight="false" outlineLevel="0" collapsed="false">
      <c r="A918" s="25"/>
      <c r="B918" s="16"/>
      <c r="C918" s="16"/>
      <c r="D918" s="26"/>
      <c r="E918" s="16"/>
      <c r="F918" s="16"/>
      <c r="G918" s="16"/>
      <c r="H918" s="16"/>
      <c r="I918" s="16"/>
      <c r="J918" s="8" t="str">
        <f aca="false">IF(AND(H918="Y",E918="Business checking (debit/ACH/check)"),"Counts toward 1099-NEC",IF(H918="Y","Paid by card/PayPal - 1099-K side",""))</f>
        <v/>
      </c>
      <c r="K918" s="16"/>
    </row>
    <row r="919" customFormat="false" ht="15" hidden="false" customHeight="false" outlineLevel="0" collapsed="false">
      <c r="A919" s="25"/>
      <c r="B919" s="16"/>
      <c r="C919" s="16"/>
      <c r="D919" s="26"/>
      <c r="E919" s="16"/>
      <c r="F919" s="16"/>
      <c r="G919" s="16"/>
      <c r="H919" s="16"/>
      <c r="I919" s="16"/>
      <c r="J919" s="8" t="str">
        <f aca="false">IF(AND(H919="Y",E919="Business checking (debit/ACH/check)"),"Counts toward 1099-NEC",IF(H919="Y","Paid by card/PayPal - 1099-K side",""))</f>
        <v/>
      </c>
      <c r="K919" s="16"/>
    </row>
    <row r="920" customFormat="false" ht="15" hidden="false" customHeight="false" outlineLevel="0" collapsed="false">
      <c r="A920" s="25"/>
      <c r="B920" s="16"/>
      <c r="C920" s="16"/>
      <c r="D920" s="26"/>
      <c r="E920" s="16"/>
      <c r="F920" s="16"/>
      <c r="G920" s="16"/>
      <c r="H920" s="16"/>
      <c r="I920" s="16"/>
      <c r="J920" s="8" t="str">
        <f aca="false">IF(AND(H920="Y",E920="Business checking (debit/ACH/check)"),"Counts toward 1099-NEC",IF(H920="Y","Paid by card/PayPal - 1099-K side",""))</f>
        <v/>
      </c>
      <c r="K920" s="16"/>
    </row>
    <row r="921" customFormat="false" ht="15" hidden="false" customHeight="false" outlineLevel="0" collapsed="false">
      <c r="A921" s="25"/>
      <c r="B921" s="16"/>
      <c r="C921" s="16"/>
      <c r="D921" s="26"/>
      <c r="E921" s="16"/>
      <c r="F921" s="16"/>
      <c r="G921" s="16"/>
      <c r="H921" s="16"/>
      <c r="I921" s="16"/>
      <c r="J921" s="8" t="str">
        <f aca="false">IF(AND(H921="Y",E921="Business checking (debit/ACH/check)"),"Counts toward 1099-NEC",IF(H921="Y","Paid by card/PayPal - 1099-K side",""))</f>
        <v/>
      </c>
      <c r="K921" s="16"/>
    </row>
    <row r="922" customFormat="false" ht="15" hidden="false" customHeight="false" outlineLevel="0" collapsed="false">
      <c r="A922" s="25"/>
      <c r="B922" s="16"/>
      <c r="C922" s="16"/>
      <c r="D922" s="26"/>
      <c r="E922" s="16"/>
      <c r="F922" s="16"/>
      <c r="G922" s="16"/>
      <c r="H922" s="16"/>
      <c r="I922" s="16"/>
      <c r="J922" s="8" t="str">
        <f aca="false">IF(AND(H922="Y",E922="Business checking (debit/ACH/check)"),"Counts toward 1099-NEC",IF(H922="Y","Paid by card/PayPal - 1099-K side",""))</f>
        <v/>
      </c>
      <c r="K922" s="16"/>
    </row>
    <row r="923" customFormat="false" ht="15" hidden="false" customHeight="false" outlineLevel="0" collapsed="false">
      <c r="A923" s="25"/>
      <c r="B923" s="16"/>
      <c r="C923" s="16"/>
      <c r="D923" s="26"/>
      <c r="E923" s="16"/>
      <c r="F923" s="16"/>
      <c r="G923" s="16"/>
      <c r="H923" s="16"/>
      <c r="I923" s="16"/>
      <c r="J923" s="8" t="str">
        <f aca="false">IF(AND(H923="Y",E923="Business checking (debit/ACH/check)"),"Counts toward 1099-NEC",IF(H923="Y","Paid by card/PayPal - 1099-K side",""))</f>
        <v/>
      </c>
      <c r="K923" s="16"/>
    </row>
    <row r="924" customFormat="false" ht="15" hidden="false" customHeight="false" outlineLevel="0" collapsed="false">
      <c r="A924" s="25"/>
      <c r="B924" s="16"/>
      <c r="C924" s="16"/>
      <c r="D924" s="26"/>
      <c r="E924" s="16"/>
      <c r="F924" s="16"/>
      <c r="G924" s="16"/>
      <c r="H924" s="16"/>
      <c r="I924" s="16"/>
      <c r="J924" s="8" t="str">
        <f aca="false">IF(AND(H924="Y",E924="Business checking (debit/ACH/check)"),"Counts toward 1099-NEC",IF(H924="Y","Paid by card/PayPal - 1099-K side",""))</f>
        <v/>
      </c>
      <c r="K924" s="16"/>
    </row>
    <row r="925" customFormat="false" ht="15" hidden="false" customHeight="false" outlineLevel="0" collapsed="false">
      <c r="A925" s="25"/>
      <c r="B925" s="16"/>
      <c r="C925" s="16"/>
      <c r="D925" s="26"/>
      <c r="E925" s="16"/>
      <c r="F925" s="16"/>
      <c r="G925" s="16"/>
      <c r="H925" s="16"/>
      <c r="I925" s="16"/>
      <c r="J925" s="8" t="str">
        <f aca="false">IF(AND(H925="Y",E925="Business checking (debit/ACH/check)"),"Counts toward 1099-NEC",IF(H925="Y","Paid by card/PayPal - 1099-K side",""))</f>
        <v/>
      </c>
      <c r="K925" s="16"/>
    </row>
    <row r="926" customFormat="false" ht="15" hidden="false" customHeight="false" outlineLevel="0" collapsed="false">
      <c r="A926" s="25"/>
      <c r="B926" s="16"/>
      <c r="C926" s="16"/>
      <c r="D926" s="26"/>
      <c r="E926" s="16"/>
      <c r="F926" s="16"/>
      <c r="G926" s="16"/>
      <c r="H926" s="16"/>
      <c r="I926" s="16"/>
      <c r="J926" s="8" t="str">
        <f aca="false">IF(AND(H926="Y",E926="Business checking (debit/ACH/check)"),"Counts toward 1099-NEC",IF(H926="Y","Paid by card/PayPal - 1099-K side",""))</f>
        <v/>
      </c>
      <c r="K926" s="16"/>
    </row>
    <row r="927" customFormat="false" ht="15" hidden="false" customHeight="false" outlineLevel="0" collapsed="false">
      <c r="A927" s="25"/>
      <c r="B927" s="16"/>
      <c r="C927" s="16"/>
      <c r="D927" s="26"/>
      <c r="E927" s="16"/>
      <c r="F927" s="16"/>
      <c r="G927" s="16"/>
      <c r="H927" s="16"/>
      <c r="I927" s="16"/>
      <c r="J927" s="8" t="str">
        <f aca="false">IF(AND(H927="Y",E927="Business checking (debit/ACH/check)"),"Counts toward 1099-NEC",IF(H927="Y","Paid by card/PayPal - 1099-K side",""))</f>
        <v/>
      </c>
      <c r="K927" s="16"/>
    </row>
    <row r="928" customFormat="false" ht="15" hidden="false" customHeight="false" outlineLevel="0" collapsed="false">
      <c r="A928" s="25"/>
      <c r="B928" s="16"/>
      <c r="C928" s="16"/>
      <c r="D928" s="26"/>
      <c r="E928" s="16"/>
      <c r="F928" s="16"/>
      <c r="G928" s="16"/>
      <c r="H928" s="16"/>
      <c r="I928" s="16"/>
      <c r="J928" s="8" t="str">
        <f aca="false">IF(AND(H928="Y",E928="Business checking (debit/ACH/check)"),"Counts toward 1099-NEC",IF(H928="Y","Paid by card/PayPal - 1099-K side",""))</f>
        <v/>
      </c>
      <c r="K928" s="16"/>
    </row>
    <row r="929" customFormat="false" ht="15" hidden="false" customHeight="false" outlineLevel="0" collapsed="false">
      <c r="A929" s="25"/>
      <c r="B929" s="16"/>
      <c r="C929" s="16"/>
      <c r="D929" s="26"/>
      <c r="E929" s="16"/>
      <c r="F929" s="16"/>
      <c r="G929" s="16"/>
      <c r="H929" s="16"/>
      <c r="I929" s="16"/>
      <c r="J929" s="8" t="str">
        <f aca="false">IF(AND(H929="Y",E929="Business checking (debit/ACH/check)"),"Counts toward 1099-NEC",IF(H929="Y","Paid by card/PayPal - 1099-K side",""))</f>
        <v/>
      </c>
      <c r="K929" s="16"/>
    </row>
    <row r="930" customFormat="false" ht="15" hidden="false" customHeight="false" outlineLevel="0" collapsed="false">
      <c r="A930" s="25"/>
      <c r="B930" s="16"/>
      <c r="C930" s="16"/>
      <c r="D930" s="26"/>
      <c r="E930" s="16"/>
      <c r="F930" s="16"/>
      <c r="G930" s="16"/>
      <c r="H930" s="16"/>
      <c r="I930" s="16"/>
      <c r="J930" s="8" t="str">
        <f aca="false">IF(AND(H930="Y",E930="Business checking (debit/ACH/check)"),"Counts toward 1099-NEC",IF(H930="Y","Paid by card/PayPal - 1099-K side",""))</f>
        <v/>
      </c>
      <c r="K930" s="16"/>
    </row>
    <row r="931" customFormat="false" ht="15" hidden="false" customHeight="false" outlineLevel="0" collapsed="false">
      <c r="A931" s="25"/>
      <c r="B931" s="16"/>
      <c r="C931" s="16"/>
      <c r="D931" s="26"/>
      <c r="E931" s="16"/>
      <c r="F931" s="16"/>
      <c r="G931" s="16"/>
      <c r="H931" s="16"/>
      <c r="I931" s="16"/>
      <c r="J931" s="8" t="str">
        <f aca="false">IF(AND(H931="Y",E931="Business checking (debit/ACH/check)"),"Counts toward 1099-NEC",IF(H931="Y","Paid by card/PayPal - 1099-K side",""))</f>
        <v/>
      </c>
      <c r="K931" s="16"/>
    </row>
    <row r="932" customFormat="false" ht="15" hidden="false" customHeight="false" outlineLevel="0" collapsed="false">
      <c r="A932" s="25"/>
      <c r="B932" s="16"/>
      <c r="C932" s="16"/>
      <c r="D932" s="26"/>
      <c r="E932" s="16"/>
      <c r="F932" s="16"/>
      <c r="G932" s="16"/>
      <c r="H932" s="16"/>
      <c r="I932" s="16"/>
      <c r="J932" s="8" t="str">
        <f aca="false">IF(AND(H932="Y",E932="Business checking (debit/ACH/check)"),"Counts toward 1099-NEC",IF(H932="Y","Paid by card/PayPal - 1099-K side",""))</f>
        <v/>
      </c>
      <c r="K932" s="16"/>
    </row>
    <row r="933" customFormat="false" ht="15" hidden="false" customHeight="false" outlineLevel="0" collapsed="false">
      <c r="A933" s="25"/>
      <c r="B933" s="16"/>
      <c r="C933" s="16"/>
      <c r="D933" s="26"/>
      <c r="E933" s="16"/>
      <c r="F933" s="16"/>
      <c r="G933" s="16"/>
      <c r="H933" s="16"/>
      <c r="I933" s="16"/>
      <c r="J933" s="8" t="str">
        <f aca="false">IF(AND(H933="Y",E933="Business checking (debit/ACH/check)"),"Counts toward 1099-NEC",IF(H933="Y","Paid by card/PayPal - 1099-K side",""))</f>
        <v/>
      </c>
      <c r="K933" s="16"/>
    </row>
    <row r="934" customFormat="false" ht="15" hidden="false" customHeight="false" outlineLevel="0" collapsed="false">
      <c r="A934" s="25"/>
      <c r="B934" s="16"/>
      <c r="C934" s="16"/>
      <c r="D934" s="26"/>
      <c r="E934" s="16"/>
      <c r="F934" s="16"/>
      <c r="G934" s="16"/>
      <c r="H934" s="16"/>
      <c r="I934" s="16"/>
      <c r="J934" s="8" t="str">
        <f aca="false">IF(AND(H934="Y",E934="Business checking (debit/ACH/check)"),"Counts toward 1099-NEC",IF(H934="Y","Paid by card/PayPal - 1099-K side",""))</f>
        <v/>
      </c>
      <c r="K934" s="16"/>
    </row>
    <row r="935" customFormat="false" ht="15" hidden="false" customHeight="false" outlineLevel="0" collapsed="false">
      <c r="A935" s="25"/>
      <c r="B935" s="16"/>
      <c r="C935" s="16"/>
      <c r="D935" s="26"/>
      <c r="E935" s="16"/>
      <c r="F935" s="16"/>
      <c r="G935" s="16"/>
      <c r="H935" s="16"/>
      <c r="I935" s="16"/>
      <c r="J935" s="8" t="str">
        <f aca="false">IF(AND(H935="Y",E935="Business checking (debit/ACH/check)"),"Counts toward 1099-NEC",IF(H935="Y","Paid by card/PayPal - 1099-K side",""))</f>
        <v/>
      </c>
      <c r="K935" s="16"/>
    </row>
    <row r="936" customFormat="false" ht="15" hidden="false" customHeight="false" outlineLevel="0" collapsed="false">
      <c r="A936" s="25"/>
      <c r="B936" s="16"/>
      <c r="C936" s="16"/>
      <c r="D936" s="26"/>
      <c r="E936" s="16"/>
      <c r="F936" s="16"/>
      <c r="G936" s="16"/>
      <c r="H936" s="16"/>
      <c r="I936" s="16"/>
      <c r="J936" s="8" t="str">
        <f aca="false">IF(AND(H936="Y",E936="Business checking (debit/ACH/check)"),"Counts toward 1099-NEC",IF(H936="Y","Paid by card/PayPal - 1099-K side",""))</f>
        <v/>
      </c>
      <c r="K936" s="16"/>
    </row>
    <row r="937" customFormat="false" ht="15" hidden="false" customHeight="false" outlineLevel="0" collapsed="false">
      <c r="A937" s="25"/>
      <c r="B937" s="16"/>
      <c r="C937" s="16"/>
      <c r="D937" s="26"/>
      <c r="E937" s="16"/>
      <c r="F937" s="16"/>
      <c r="G937" s="16"/>
      <c r="H937" s="16"/>
      <c r="I937" s="16"/>
      <c r="J937" s="8" t="str">
        <f aca="false">IF(AND(H937="Y",E937="Business checking (debit/ACH/check)"),"Counts toward 1099-NEC",IF(H937="Y","Paid by card/PayPal - 1099-K side",""))</f>
        <v/>
      </c>
      <c r="K937" s="16"/>
    </row>
    <row r="938" customFormat="false" ht="15" hidden="false" customHeight="false" outlineLevel="0" collapsed="false">
      <c r="A938" s="25"/>
      <c r="B938" s="16"/>
      <c r="C938" s="16"/>
      <c r="D938" s="26"/>
      <c r="E938" s="16"/>
      <c r="F938" s="16"/>
      <c r="G938" s="16"/>
      <c r="H938" s="16"/>
      <c r="I938" s="16"/>
      <c r="J938" s="8" t="str">
        <f aca="false">IF(AND(H938="Y",E938="Business checking (debit/ACH/check)"),"Counts toward 1099-NEC",IF(H938="Y","Paid by card/PayPal - 1099-K side",""))</f>
        <v/>
      </c>
      <c r="K938" s="16"/>
    </row>
    <row r="939" customFormat="false" ht="15" hidden="false" customHeight="false" outlineLevel="0" collapsed="false">
      <c r="A939" s="25"/>
      <c r="B939" s="16"/>
      <c r="C939" s="16"/>
      <c r="D939" s="26"/>
      <c r="E939" s="16"/>
      <c r="F939" s="16"/>
      <c r="G939" s="16"/>
      <c r="H939" s="16"/>
      <c r="I939" s="16"/>
      <c r="J939" s="8" t="str">
        <f aca="false">IF(AND(H939="Y",E939="Business checking (debit/ACH/check)"),"Counts toward 1099-NEC",IF(H939="Y","Paid by card/PayPal - 1099-K side",""))</f>
        <v/>
      </c>
      <c r="K939" s="16"/>
    </row>
    <row r="940" customFormat="false" ht="15" hidden="false" customHeight="false" outlineLevel="0" collapsed="false">
      <c r="A940" s="25"/>
      <c r="B940" s="16"/>
      <c r="C940" s="16"/>
      <c r="D940" s="26"/>
      <c r="E940" s="16"/>
      <c r="F940" s="16"/>
      <c r="G940" s="16"/>
      <c r="H940" s="16"/>
      <c r="I940" s="16"/>
      <c r="J940" s="8" t="str">
        <f aca="false">IF(AND(H940="Y",E940="Business checking (debit/ACH/check)"),"Counts toward 1099-NEC",IF(H940="Y","Paid by card/PayPal - 1099-K side",""))</f>
        <v/>
      </c>
      <c r="K940" s="16"/>
    </row>
    <row r="941" customFormat="false" ht="15" hidden="false" customHeight="false" outlineLevel="0" collapsed="false">
      <c r="A941" s="25"/>
      <c r="B941" s="16"/>
      <c r="C941" s="16"/>
      <c r="D941" s="26"/>
      <c r="E941" s="16"/>
      <c r="F941" s="16"/>
      <c r="G941" s="16"/>
      <c r="H941" s="16"/>
      <c r="I941" s="16"/>
      <c r="J941" s="8" t="str">
        <f aca="false">IF(AND(H941="Y",E941="Business checking (debit/ACH/check)"),"Counts toward 1099-NEC",IF(H941="Y","Paid by card/PayPal - 1099-K side",""))</f>
        <v/>
      </c>
      <c r="K941" s="16"/>
    </row>
    <row r="942" customFormat="false" ht="15" hidden="false" customHeight="false" outlineLevel="0" collapsed="false">
      <c r="A942" s="25"/>
      <c r="B942" s="16"/>
      <c r="C942" s="16"/>
      <c r="D942" s="26"/>
      <c r="E942" s="16"/>
      <c r="F942" s="16"/>
      <c r="G942" s="16"/>
      <c r="H942" s="16"/>
      <c r="I942" s="16"/>
      <c r="J942" s="8" t="str">
        <f aca="false">IF(AND(H942="Y",E942="Business checking (debit/ACH/check)"),"Counts toward 1099-NEC",IF(H942="Y","Paid by card/PayPal - 1099-K side",""))</f>
        <v/>
      </c>
      <c r="K942" s="16"/>
    </row>
    <row r="943" customFormat="false" ht="15" hidden="false" customHeight="false" outlineLevel="0" collapsed="false">
      <c r="A943" s="25"/>
      <c r="B943" s="16"/>
      <c r="C943" s="16"/>
      <c r="D943" s="26"/>
      <c r="E943" s="16"/>
      <c r="F943" s="16"/>
      <c r="G943" s="16"/>
      <c r="H943" s="16"/>
      <c r="I943" s="16"/>
      <c r="J943" s="8" t="str">
        <f aca="false">IF(AND(H943="Y",E943="Business checking (debit/ACH/check)"),"Counts toward 1099-NEC",IF(H943="Y","Paid by card/PayPal - 1099-K side",""))</f>
        <v/>
      </c>
      <c r="K943" s="16"/>
    </row>
    <row r="944" customFormat="false" ht="15" hidden="false" customHeight="false" outlineLevel="0" collapsed="false">
      <c r="A944" s="25"/>
      <c r="B944" s="16"/>
      <c r="C944" s="16"/>
      <c r="D944" s="26"/>
      <c r="E944" s="16"/>
      <c r="F944" s="16"/>
      <c r="G944" s="16"/>
      <c r="H944" s="16"/>
      <c r="I944" s="16"/>
      <c r="J944" s="8" t="str">
        <f aca="false">IF(AND(H944="Y",E944="Business checking (debit/ACH/check)"),"Counts toward 1099-NEC",IF(H944="Y","Paid by card/PayPal - 1099-K side",""))</f>
        <v/>
      </c>
      <c r="K944" s="16"/>
    </row>
    <row r="945" customFormat="false" ht="15" hidden="false" customHeight="false" outlineLevel="0" collapsed="false">
      <c r="A945" s="25"/>
      <c r="B945" s="16"/>
      <c r="C945" s="16"/>
      <c r="D945" s="26"/>
      <c r="E945" s="16"/>
      <c r="F945" s="16"/>
      <c r="G945" s="16"/>
      <c r="H945" s="16"/>
      <c r="I945" s="16"/>
      <c r="J945" s="8" t="str">
        <f aca="false">IF(AND(H945="Y",E945="Business checking (debit/ACH/check)"),"Counts toward 1099-NEC",IF(H945="Y","Paid by card/PayPal - 1099-K side",""))</f>
        <v/>
      </c>
      <c r="K945" s="16"/>
    </row>
    <row r="946" customFormat="false" ht="15" hidden="false" customHeight="false" outlineLevel="0" collapsed="false">
      <c r="A946" s="25"/>
      <c r="B946" s="16"/>
      <c r="C946" s="16"/>
      <c r="D946" s="26"/>
      <c r="E946" s="16"/>
      <c r="F946" s="16"/>
      <c r="G946" s="16"/>
      <c r="H946" s="16"/>
      <c r="I946" s="16"/>
      <c r="J946" s="8" t="str">
        <f aca="false">IF(AND(H946="Y",E946="Business checking (debit/ACH/check)"),"Counts toward 1099-NEC",IF(H946="Y","Paid by card/PayPal - 1099-K side",""))</f>
        <v/>
      </c>
      <c r="K946" s="16"/>
    </row>
    <row r="947" customFormat="false" ht="15" hidden="false" customHeight="false" outlineLevel="0" collapsed="false">
      <c r="A947" s="25"/>
      <c r="B947" s="16"/>
      <c r="C947" s="16"/>
      <c r="D947" s="26"/>
      <c r="E947" s="16"/>
      <c r="F947" s="16"/>
      <c r="G947" s="16"/>
      <c r="H947" s="16"/>
      <c r="I947" s="16"/>
      <c r="J947" s="8" t="str">
        <f aca="false">IF(AND(H947="Y",E947="Business checking (debit/ACH/check)"),"Counts toward 1099-NEC",IF(H947="Y","Paid by card/PayPal - 1099-K side",""))</f>
        <v/>
      </c>
      <c r="K947" s="16"/>
    </row>
    <row r="948" customFormat="false" ht="15" hidden="false" customHeight="false" outlineLevel="0" collapsed="false">
      <c r="A948" s="25"/>
      <c r="B948" s="16"/>
      <c r="C948" s="16"/>
      <c r="D948" s="26"/>
      <c r="E948" s="16"/>
      <c r="F948" s="16"/>
      <c r="G948" s="16"/>
      <c r="H948" s="16"/>
      <c r="I948" s="16"/>
      <c r="J948" s="8" t="str">
        <f aca="false">IF(AND(H948="Y",E948="Business checking (debit/ACH/check)"),"Counts toward 1099-NEC",IF(H948="Y","Paid by card/PayPal - 1099-K side",""))</f>
        <v/>
      </c>
      <c r="K948" s="16"/>
    </row>
    <row r="949" customFormat="false" ht="15" hidden="false" customHeight="false" outlineLevel="0" collapsed="false">
      <c r="A949" s="25"/>
      <c r="B949" s="16"/>
      <c r="C949" s="16"/>
      <c r="D949" s="26"/>
      <c r="E949" s="16"/>
      <c r="F949" s="16"/>
      <c r="G949" s="16"/>
      <c r="H949" s="16"/>
      <c r="I949" s="16"/>
      <c r="J949" s="8" t="str">
        <f aca="false">IF(AND(H949="Y",E949="Business checking (debit/ACH/check)"),"Counts toward 1099-NEC",IF(H949="Y","Paid by card/PayPal - 1099-K side",""))</f>
        <v/>
      </c>
      <c r="K949" s="16"/>
    </row>
    <row r="950" customFormat="false" ht="15" hidden="false" customHeight="false" outlineLevel="0" collapsed="false">
      <c r="A950" s="25"/>
      <c r="B950" s="16"/>
      <c r="C950" s="16"/>
      <c r="D950" s="26"/>
      <c r="E950" s="16"/>
      <c r="F950" s="16"/>
      <c r="G950" s="16"/>
      <c r="H950" s="16"/>
      <c r="I950" s="16"/>
      <c r="J950" s="8" t="str">
        <f aca="false">IF(AND(H950="Y",E950="Business checking (debit/ACH/check)"),"Counts toward 1099-NEC",IF(H950="Y","Paid by card/PayPal - 1099-K side",""))</f>
        <v/>
      </c>
      <c r="K950" s="16"/>
    </row>
    <row r="951" customFormat="false" ht="15" hidden="false" customHeight="false" outlineLevel="0" collapsed="false">
      <c r="A951" s="25"/>
      <c r="B951" s="16"/>
      <c r="C951" s="16"/>
      <c r="D951" s="26"/>
      <c r="E951" s="16"/>
      <c r="F951" s="16"/>
      <c r="G951" s="16"/>
      <c r="H951" s="16"/>
      <c r="I951" s="16"/>
      <c r="J951" s="8" t="str">
        <f aca="false">IF(AND(H951="Y",E951="Business checking (debit/ACH/check)"),"Counts toward 1099-NEC",IF(H951="Y","Paid by card/PayPal - 1099-K side",""))</f>
        <v/>
      </c>
      <c r="K951" s="16"/>
    </row>
    <row r="952" customFormat="false" ht="15" hidden="false" customHeight="false" outlineLevel="0" collapsed="false">
      <c r="A952" s="25"/>
      <c r="B952" s="16"/>
      <c r="C952" s="16"/>
      <c r="D952" s="26"/>
      <c r="E952" s="16"/>
      <c r="F952" s="16"/>
      <c r="G952" s="16"/>
      <c r="H952" s="16"/>
      <c r="I952" s="16"/>
      <c r="J952" s="8" t="str">
        <f aca="false">IF(AND(H952="Y",E952="Business checking (debit/ACH/check)"),"Counts toward 1099-NEC",IF(H952="Y","Paid by card/PayPal - 1099-K side",""))</f>
        <v/>
      </c>
      <c r="K952" s="16"/>
    </row>
    <row r="953" customFormat="false" ht="15" hidden="false" customHeight="false" outlineLevel="0" collapsed="false">
      <c r="A953" s="25"/>
      <c r="B953" s="16"/>
      <c r="C953" s="16"/>
      <c r="D953" s="26"/>
      <c r="E953" s="16"/>
      <c r="F953" s="16"/>
      <c r="G953" s="16"/>
      <c r="H953" s="16"/>
      <c r="I953" s="16"/>
      <c r="J953" s="8" t="str">
        <f aca="false">IF(AND(H953="Y",E953="Business checking (debit/ACH/check)"),"Counts toward 1099-NEC",IF(H953="Y","Paid by card/PayPal - 1099-K side",""))</f>
        <v/>
      </c>
      <c r="K953" s="16"/>
    </row>
    <row r="954" customFormat="false" ht="15" hidden="false" customHeight="false" outlineLevel="0" collapsed="false">
      <c r="A954" s="25"/>
      <c r="B954" s="16"/>
      <c r="C954" s="16"/>
      <c r="D954" s="26"/>
      <c r="E954" s="16"/>
      <c r="F954" s="16"/>
      <c r="G954" s="16"/>
      <c r="H954" s="16"/>
      <c r="I954" s="16"/>
      <c r="J954" s="8" t="str">
        <f aca="false">IF(AND(H954="Y",E954="Business checking (debit/ACH/check)"),"Counts toward 1099-NEC",IF(H954="Y","Paid by card/PayPal - 1099-K side",""))</f>
        <v/>
      </c>
      <c r="K954" s="16"/>
    </row>
    <row r="955" customFormat="false" ht="15" hidden="false" customHeight="false" outlineLevel="0" collapsed="false">
      <c r="A955" s="25"/>
      <c r="B955" s="16"/>
      <c r="C955" s="16"/>
      <c r="D955" s="26"/>
      <c r="E955" s="16"/>
      <c r="F955" s="16"/>
      <c r="G955" s="16"/>
      <c r="H955" s="16"/>
      <c r="I955" s="16"/>
      <c r="J955" s="8" t="str">
        <f aca="false">IF(AND(H955="Y",E955="Business checking (debit/ACH/check)"),"Counts toward 1099-NEC",IF(H955="Y","Paid by card/PayPal - 1099-K side",""))</f>
        <v/>
      </c>
      <c r="K955" s="16"/>
    </row>
    <row r="956" customFormat="false" ht="15" hidden="false" customHeight="false" outlineLevel="0" collapsed="false">
      <c r="A956" s="25"/>
      <c r="B956" s="16"/>
      <c r="C956" s="16"/>
      <c r="D956" s="26"/>
      <c r="E956" s="16"/>
      <c r="F956" s="16"/>
      <c r="G956" s="16"/>
      <c r="H956" s="16"/>
      <c r="I956" s="16"/>
      <c r="J956" s="8" t="str">
        <f aca="false">IF(AND(H956="Y",E956="Business checking (debit/ACH/check)"),"Counts toward 1099-NEC",IF(H956="Y","Paid by card/PayPal - 1099-K side",""))</f>
        <v/>
      </c>
      <c r="K956" s="16"/>
    </row>
    <row r="957" customFormat="false" ht="15" hidden="false" customHeight="false" outlineLevel="0" collapsed="false">
      <c r="A957" s="25"/>
      <c r="B957" s="16"/>
      <c r="C957" s="16"/>
      <c r="D957" s="26"/>
      <c r="E957" s="16"/>
      <c r="F957" s="16"/>
      <c r="G957" s="16"/>
      <c r="H957" s="16"/>
      <c r="I957" s="16"/>
      <c r="J957" s="8" t="str">
        <f aca="false">IF(AND(H957="Y",E957="Business checking (debit/ACH/check)"),"Counts toward 1099-NEC",IF(H957="Y","Paid by card/PayPal - 1099-K side",""))</f>
        <v/>
      </c>
      <c r="K957" s="16"/>
    </row>
    <row r="958" customFormat="false" ht="15" hidden="false" customHeight="false" outlineLevel="0" collapsed="false">
      <c r="A958" s="25"/>
      <c r="B958" s="16"/>
      <c r="C958" s="16"/>
      <c r="D958" s="26"/>
      <c r="E958" s="16"/>
      <c r="F958" s="16"/>
      <c r="G958" s="16"/>
      <c r="H958" s="16"/>
      <c r="I958" s="16"/>
      <c r="J958" s="8" t="str">
        <f aca="false">IF(AND(H958="Y",E958="Business checking (debit/ACH/check)"),"Counts toward 1099-NEC",IF(H958="Y","Paid by card/PayPal - 1099-K side",""))</f>
        <v/>
      </c>
      <c r="K958" s="16"/>
    </row>
    <row r="959" customFormat="false" ht="15" hidden="false" customHeight="false" outlineLevel="0" collapsed="false">
      <c r="A959" s="25"/>
      <c r="B959" s="16"/>
      <c r="C959" s="16"/>
      <c r="D959" s="26"/>
      <c r="E959" s="16"/>
      <c r="F959" s="16"/>
      <c r="G959" s="16"/>
      <c r="H959" s="16"/>
      <c r="I959" s="16"/>
      <c r="J959" s="8" t="str">
        <f aca="false">IF(AND(H959="Y",E959="Business checking (debit/ACH/check)"),"Counts toward 1099-NEC",IF(H959="Y","Paid by card/PayPal - 1099-K side",""))</f>
        <v/>
      </c>
      <c r="K959" s="16"/>
    </row>
    <row r="960" customFormat="false" ht="15" hidden="false" customHeight="false" outlineLevel="0" collapsed="false">
      <c r="A960" s="25"/>
      <c r="B960" s="16"/>
      <c r="C960" s="16"/>
      <c r="D960" s="26"/>
      <c r="E960" s="16"/>
      <c r="F960" s="16"/>
      <c r="G960" s="16"/>
      <c r="H960" s="16"/>
      <c r="I960" s="16"/>
      <c r="J960" s="8" t="str">
        <f aca="false">IF(AND(H960="Y",E960="Business checking (debit/ACH/check)"),"Counts toward 1099-NEC",IF(H960="Y","Paid by card/PayPal - 1099-K side",""))</f>
        <v/>
      </c>
      <c r="K960" s="16"/>
    </row>
    <row r="961" customFormat="false" ht="15" hidden="false" customHeight="false" outlineLevel="0" collapsed="false">
      <c r="A961" s="25"/>
      <c r="B961" s="16"/>
      <c r="C961" s="16"/>
      <c r="D961" s="26"/>
      <c r="E961" s="16"/>
      <c r="F961" s="16"/>
      <c r="G961" s="16"/>
      <c r="H961" s="16"/>
      <c r="I961" s="16"/>
      <c r="J961" s="8" t="str">
        <f aca="false">IF(AND(H961="Y",E961="Business checking (debit/ACH/check)"),"Counts toward 1099-NEC",IF(H961="Y","Paid by card/PayPal - 1099-K side",""))</f>
        <v/>
      </c>
      <c r="K961" s="16"/>
    </row>
    <row r="962" customFormat="false" ht="15" hidden="false" customHeight="false" outlineLevel="0" collapsed="false">
      <c r="A962" s="25"/>
      <c r="B962" s="16"/>
      <c r="C962" s="16"/>
      <c r="D962" s="26"/>
      <c r="E962" s="16"/>
      <c r="F962" s="16"/>
      <c r="G962" s="16"/>
      <c r="H962" s="16"/>
      <c r="I962" s="16"/>
      <c r="J962" s="8" t="str">
        <f aca="false">IF(AND(H962="Y",E962="Business checking (debit/ACH/check)"),"Counts toward 1099-NEC",IF(H962="Y","Paid by card/PayPal - 1099-K side",""))</f>
        <v/>
      </c>
      <c r="K962" s="16"/>
    </row>
    <row r="963" customFormat="false" ht="15" hidden="false" customHeight="false" outlineLevel="0" collapsed="false">
      <c r="A963" s="25"/>
      <c r="B963" s="16"/>
      <c r="C963" s="16"/>
      <c r="D963" s="26"/>
      <c r="E963" s="16"/>
      <c r="F963" s="16"/>
      <c r="G963" s="16"/>
      <c r="H963" s="16"/>
      <c r="I963" s="16"/>
      <c r="J963" s="8" t="str">
        <f aca="false">IF(AND(H963="Y",E963="Business checking (debit/ACH/check)"),"Counts toward 1099-NEC",IF(H963="Y","Paid by card/PayPal - 1099-K side",""))</f>
        <v/>
      </c>
      <c r="K963" s="16"/>
    </row>
    <row r="964" customFormat="false" ht="15" hidden="false" customHeight="false" outlineLevel="0" collapsed="false">
      <c r="A964" s="25"/>
      <c r="B964" s="16"/>
      <c r="C964" s="16"/>
      <c r="D964" s="26"/>
      <c r="E964" s="16"/>
      <c r="F964" s="16"/>
      <c r="G964" s="16"/>
      <c r="H964" s="16"/>
      <c r="I964" s="16"/>
      <c r="J964" s="8" t="str">
        <f aca="false">IF(AND(H964="Y",E964="Business checking (debit/ACH/check)"),"Counts toward 1099-NEC",IF(H964="Y","Paid by card/PayPal - 1099-K side",""))</f>
        <v/>
      </c>
      <c r="K964" s="16"/>
    </row>
    <row r="965" customFormat="false" ht="15" hidden="false" customHeight="false" outlineLevel="0" collapsed="false">
      <c r="A965" s="25"/>
      <c r="B965" s="16"/>
      <c r="C965" s="16"/>
      <c r="D965" s="26"/>
      <c r="E965" s="16"/>
      <c r="F965" s="16"/>
      <c r="G965" s="16"/>
      <c r="H965" s="16"/>
      <c r="I965" s="16"/>
      <c r="J965" s="8" t="str">
        <f aca="false">IF(AND(H965="Y",E965="Business checking (debit/ACH/check)"),"Counts toward 1099-NEC",IF(H965="Y","Paid by card/PayPal - 1099-K side",""))</f>
        <v/>
      </c>
      <c r="K965" s="16"/>
    </row>
    <row r="966" customFormat="false" ht="15" hidden="false" customHeight="false" outlineLevel="0" collapsed="false">
      <c r="A966" s="25"/>
      <c r="B966" s="16"/>
      <c r="C966" s="16"/>
      <c r="D966" s="26"/>
      <c r="E966" s="16"/>
      <c r="F966" s="16"/>
      <c r="G966" s="16"/>
      <c r="H966" s="16"/>
      <c r="I966" s="16"/>
      <c r="J966" s="8" t="str">
        <f aca="false">IF(AND(H966="Y",E966="Business checking (debit/ACH/check)"),"Counts toward 1099-NEC",IF(H966="Y","Paid by card/PayPal - 1099-K side",""))</f>
        <v/>
      </c>
      <c r="K966" s="16"/>
    </row>
    <row r="967" customFormat="false" ht="15" hidden="false" customHeight="false" outlineLevel="0" collapsed="false">
      <c r="A967" s="25"/>
      <c r="B967" s="16"/>
      <c r="C967" s="16"/>
      <c r="D967" s="26"/>
      <c r="E967" s="16"/>
      <c r="F967" s="16"/>
      <c r="G967" s="16"/>
      <c r="H967" s="16"/>
      <c r="I967" s="16"/>
      <c r="J967" s="8" t="str">
        <f aca="false">IF(AND(H967="Y",E967="Business checking (debit/ACH/check)"),"Counts toward 1099-NEC",IF(H967="Y","Paid by card/PayPal - 1099-K side",""))</f>
        <v/>
      </c>
      <c r="K967" s="16"/>
    </row>
    <row r="968" customFormat="false" ht="15" hidden="false" customHeight="false" outlineLevel="0" collapsed="false">
      <c r="A968" s="25"/>
      <c r="B968" s="16"/>
      <c r="C968" s="16"/>
      <c r="D968" s="26"/>
      <c r="E968" s="16"/>
      <c r="F968" s="16"/>
      <c r="G968" s="16"/>
      <c r="H968" s="16"/>
      <c r="I968" s="16"/>
      <c r="J968" s="8" t="str">
        <f aca="false">IF(AND(H968="Y",E968="Business checking (debit/ACH/check)"),"Counts toward 1099-NEC",IF(H968="Y","Paid by card/PayPal - 1099-K side",""))</f>
        <v/>
      </c>
      <c r="K968" s="16"/>
    </row>
    <row r="969" customFormat="false" ht="15" hidden="false" customHeight="false" outlineLevel="0" collapsed="false">
      <c r="A969" s="25"/>
      <c r="B969" s="16"/>
      <c r="C969" s="16"/>
      <c r="D969" s="26"/>
      <c r="E969" s="16"/>
      <c r="F969" s="16"/>
      <c r="G969" s="16"/>
      <c r="H969" s="16"/>
      <c r="I969" s="16"/>
      <c r="J969" s="8" t="str">
        <f aca="false">IF(AND(H969="Y",E969="Business checking (debit/ACH/check)"),"Counts toward 1099-NEC",IF(H969="Y","Paid by card/PayPal - 1099-K side",""))</f>
        <v/>
      </c>
      <c r="K969" s="16"/>
    </row>
    <row r="970" customFormat="false" ht="15" hidden="false" customHeight="false" outlineLevel="0" collapsed="false">
      <c r="A970" s="25"/>
      <c r="B970" s="16"/>
      <c r="C970" s="16"/>
      <c r="D970" s="26"/>
      <c r="E970" s="16"/>
      <c r="F970" s="16"/>
      <c r="G970" s="16"/>
      <c r="H970" s="16"/>
      <c r="I970" s="16"/>
      <c r="J970" s="8" t="str">
        <f aca="false">IF(AND(H970="Y",E970="Business checking (debit/ACH/check)"),"Counts toward 1099-NEC",IF(H970="Y","Paid by card/PayPal - 1099-K side",""))</f>
        <v/>
      </c>
      <c r="K970" s="16"/>
    </row>
    <row r="971" customFormat="false" ht="15" hidden="false" customHeight="false" outlineLevel="0" collapsed="false">
      <c r="A971" s="25"/>
      <c r="B971" s="16"/>
      <c r="C971" s="16"/>
      <c r="D971" s="26"/>
      <c r="E971" s="16"/>
      <c r="F971" s="16"/>
      <c r="G971" s="16"/>
      <c r="H971" s="16"/>
      <c r="I971" s="16"/>
      <c r="J971" s="8" t="str">
        <f aca="false">IF(AND(H971="Y",E971="Business checking (debit/ACH/check)"),"Counts toward 1099-NEC",IF(H971="Y","Paid by card/PayPal - 1099-K side",""))</f>
        <v/>
      </c>
      <c r="K971" s="16"/>
    </row>
    <row r="972" customFormat="false" ht="15" hidden="false" customHeight="false" outlineLevel="0" collapsed="false">
      <c r="A972" s="25"/>
      <c r="B972" s="16"/>
      <c r="C972" s="16"/>
      <c r="D972" s="26"/>
      <c r="E972" s="16"/>
      <c r="F972" s="16"/>
      <c r="G972" s="16"/>
      <c r="H972" s="16"/>
      <c r="I972" s="16"/>
      <c r="J972" s="8" t="str">
        <f aca="false">IF(AND(H972="Y",E972="Business checking (debit/ACH/check)"),"Counts toward 1099-NEC",IF(H972="Y","Paid by card/PayPal - 1099-K side",""))</f>
        <v/>
      </c>
      <c r="K972" s="16"/>
    </row>
    <row r="973" customFormat="false" ht="15" hidden="false" customHeight="false" outlineLevel="0" collapsed="false">
      <c r="A973" s="25"/>
      <c r="B973" s="16"/>
      <c r="C973" s="16"/>
      <c r="D973" s="26"/>
      <c r="E973" s="16"/>
      <c r="F973" s="16"/>
      <c r="G973" s="16"/>
      <c r="H973" s="16"/>
      <c r="I973" s="16"/>
      <c r="J973" s="8" t="str">
        <f aca="false">IF(AND(H973="Y",E973="Business checking (debit/ACH/check)"),"Counts toward 1099-NEC",IF(H973="Y","Paid by card/PayPal - 1099-K side",""))</f>
        <v/>
      </c>
      <c r="K973" s="16"/>
    </row>
    <row r="974" customFormat="false" ht="15" hidden="false" customHeight="false" outlineLevel="0" collapsed="false">
      <c r="A974" s="25"/>
      <c r="B974" s="16"/>
      <c r="C974" s="16"/>
      <c r="D974" s="26"/>
      <c r="E974" s="16"/>
      <c r="F974" s="16"/>
      <c r="G974" s="16"/>
      <c r="H974" s="16"/>
      <c r="I974" s="16"/>
      <c r="J974" s="8" t="str">
        <f aca="false">IF(AND(H974="Y",E974="Business checking (debit/ACH/check)"),"Counts toward 1099-NEC",IF(H974="Y","Paid by card/PayPal - 1099-K side",""))</f>
        <v/>
      </c>
      <c r="K974" s="16"/>
    </row>
    <row r="975" customFormat="false" ht="15" hidden="false" customHeight="false" outlineLevel="0" collapsed="false">
      <c r="A975" s="25"/>
      <c r="B975" s="16"/>
      <c r="C975" s="16"/>
      <c r="D975" s="26"/>
      <c r="E975" s="16"/>
      <c r="F975" s="16"/>
      <c r="G975" s="16"/>
      <c r="H975" s="16"/>
      <c r="I975" s="16"/>
      <c r="J975" s="8" t="str">
        <f aca="false">IF(AND(H975="Y",E975="Business checking (debit/ACH/check)"),"Counts toward 1099-NEC",IF(H975="Y","Paid by card/PayPal - 1099-K side",""))</f>
        <v/>
      </c>
      <c r="K975" s="16"/>
    </row>
    <row r="976" customFormat="false" ht="15" hidden="false" customHeight="false" outlineLevel="0" collapsed="false">
      <c r="A976" s="25"/>
      <c r="B976" s="16"/>
      <c r="C976" s="16"/>
      <c r="D976" s="26"/>
      <c r="E976" s="16"/>
      <c r="F976" s="16"/>
      <c r="G976" s="16"/>
      <c r="H976" s="16"/>
      <c r="I976" s="16"/>
      <c r="J976" s="8" t="str">
        <f aca="false">IF(AND(H976="Y",E976="Business checking (debit/ACH/check)"),"Counts toward 1099-NEC",IF(H976="Y","Paid by card/PayPal - 1099-K side",""))</f>
        <v/>
      </c>
      <c r="K976" s="16"/>
    </row>
    <row r="977" customFormat="false" ht="15" hidden="false" customHeight="false" outlineLevel="0" collapsed="false">
      <c r="A977" s="25"/>
      <c r="B977" s="16"/>
      <c r="C977" s="16"/>
      <c r="D977" s="26"/>
      <c r="E977" s="16"/>
      <c r="F977" s="16"/>
      <c r="G977" s="16"/>
      <c r="H977" s="16"/>
      <c r="I977" s="16"/>
      <c r="J977" s="8" t="str">
        <f aca="false">IF(AND(H977="Y",E977="Business checking (debit/ACH/check)"),"Counts toward 1099-NEC",IF(H977="Y","Paid by card/PayPal - 1099-K side",""))</f>
        <v/>
      </c>
      <c r="K977" s="16"/>
    </row>
    <row r="978" customFormat="false" ht="15" hidden="false" customHeight="false" outlineLevel="0" collapsed="false">
      <c r="A978" s="25"/>
      <c r="B978" s="16"/>
      <c r="C978" s="16"/>
      <c r="D978" s="26"/>
      <c r="E978" s="16"/>
      <c r="F978" s="16"/>
      <c r="G978" s="16"/>
      <c r="H978" s="16"/>
      <c r="I978" s="16"/>
      <c r="J978" s="8" t="str">
        <f aca="false">IF(AND(H978="Y",E978="Business checking (debit/ACH/check)"),"Counts toward 1099-NEC",IF(H978="Y","Paid by card/PayPal - 1099-K side",""))</f>
        <v/>
      </c>
      <c r="K978" s="16"/>
    </row>
    <row r="979" customFormat="false" ht="15" hidden="false" customHeight="false" outlineLevel="0" collapsed="false">
      <c r="A979" s="25"/>
      <c r="B979" s="16"/>
      <c r="C979" s="16"/>
      <c r="D979" s="26"/>
      <c r="E979" s="16"/>
      <c r="F979" s="16"/>
      <c r="G979" s="16"/>
      <c r="H979" s="16"/>
      <c r="I979" s="16"/>
      <c r="J979" s="8" t="str">
        <f aca="false">IF(AND(H979="Y",E979="Business checking (debit/ACH/check)"),"Counts toward 1099-NEC",IF(H979="Y","Paid by card/PayPal - 1099-K side",""))</f>
        <v/>
      </c>
      <c r="K979" s="16"/>
    </row>
    <row r="980" customFormat="false" ht="15" hidden="false" customHeight="false" outlineLevel="0" collapsed="false">
      <c r="A980" s="25"/>
      <c r="B980" s="16"/>
      <c r="C980" s="16"/>
      <c r="D980" s="26"/>
      <c r="E980" s="16"/>
      <c r="F980" s="16"/>
      <c r="G980" s="16"/>
      <c r="H980" s="16"/>
      <c r="I980" s="16"/>
      <c r="J980" s="8" t="str">
        <f aca="false">IF(AND(H980="Y",E980="Business checking (debit/ACH/check)"),"Counts toward 1099-NEC",IF(H980="Y","Paid by card/PayPal - 1099-K side",""))</f>
        <v/>
      </c>
      <c r="K980" s="16"/>
    </row>
    <row r="981" customFormat="false" ht="15" hidden="false" customHeight="false" outlineLevel="0" collapsed="false">
      <c r="A981" s="25"/>
      <c r="B981" s="16"/>
      <c r="C981" s="16"/>
      <c r="D981" s="26"/>
      <c r="E981" s="16"/>
      <c r="F981" s="16"/>
      <c r="G981" s="16"/>
      <c r="H981" s="16"/>
      <c r="I981" s="16"/>
      <c r="J981" s="8" t="str">
        <f aca="false">IF(AND(H981="Y",E981="Business checking (debit/ACH/check)"),"Counts toward 1099-NEC",IF(H981="Y","Paid by card/PayPal - 1099-K side",""))</f>
        <v/>
      </c>
      <c r="K981" s="16"/>
    </row>
    <row r="982" customFormat="false" ht="15" hidden="false" customHeight="false" outlineLevel="0" collapsed="false">
      <c r="A982" s="25"/>
      <c r="B982" s="16"/>
      <c r="C982" s="16"/>
      <c r="D982" s="26"/>
      <c r="E982" s="16"/>
      <c r="F982" s="16"/>
      <c r="G982" s="16"/>
      <c r="H982" s="16"/>
      <c r="I982" s="16"/>
      <c r="J982" s="8" t="str">
        <f aca="false">IF(AND(H982="Y",E982="Business checking (debit/ACH/check)"),"Counts toward 1099-NEC",IF(H982="Y","Paid by card/PayPal - 1099-K side",""))</f>
        <v/>
      </c>
      <c r="K982" s="16"/>
    </row>
    <row r="983" customFormat="false" ht="15" hidden="false" customHeight="false" outlineLevel="0" collapsed="false">
      <c r="A983" s="25"/>
      <c r="B983" s="16"/>
      <c r="C983" s="16"/>
      <c r="D983" s="26"/>
      <c r="E983" s="16"/>
      <c r="F983" s="16"/>
      <c r="G983" s="16"/>
      <c r="H983" s="16"/>
      <c r="I983" s="16"/>
      <c r="J983" s="8" t="str">
        <f aca="false">IF(AND(H983="Y",E983="Business checking (debit/ACH/check)"),"Counts toward 1099-NEC",IF(H983="Y","Paid by card/PayPal - 1099-K side",""))</f>
        <v/>
      </c>
      <c r="K983" s="16"/>
    </row>
    <row r="984" customFormat="false" ht="15" hidden="false" customHeight="false" outlineLevel="0" collapsed="false">
      <c r="A984" s="25"/>
      <c r="B984" s="16"/>
      <c r="C984" s="16"/>
      <c r="D984" s="26"/>
      <c r="E984" s="16"/>
      <c r="F984" s="16"/>
      <c r="G984" s="16"/>
      <c r="H984" s="16"/>
      <c r="I984" s="16"/>
      <c r="J984" s="8" t="str">
        <f aca="false">IF(AND(H984="Y",E984="Business checking (debit/ACH/check)"),"Counts toward 1099-NEC",IF(H984="Y","Paid by card/PayPal - 1099-K side",""))</f>
        <v/>
      </c>
      <c r="K984" s="16"/>
    </row>
    <row r="985" customFormat="false" ht="15" hidden="false" customHeight="false" outlineLevel="0" collapsed="false">
      <c r="A985" s="25"/>
      <c r="B985" s="16"/>
      <c r="C985" s="16"/>
      <c r="D985" s="26"/>
      <c r="E985" s="16"/>
      <c r="F985" s="16"/>
      <c r="G985" s="16"/>
      <c r="H985" s="16"/>
      <c r="I985" s="16"/>
      <c r="J985" s="8" t="str">
        <f aca="false">IF(AND(H985="Y",E985="Business checking (debit/ACH/check)"),"Counts toward 1099-NEC",IF(H985="Y","Paid by card/PayPal - 1099-K side",""))</f>
        <v/>
      </c>
      <c r="K985" s="16"/>
    </row>
    <row r="986" customFormat="false" ht="15" hidden="false" customHeight="false" outlineLevel="0" collapsed="false">
      <c r="A986" s="25"/>
      <c r="B986" s="16"/>
      <c r="C986" s="16"/>
      <c r="D986" s="26"/>
      <c r="E986" s="16"/>
      <c r="F986" s="16"/>
      <c r="G986" s="16"/>
      <c r="H986" s="16"/>
      <c r="I986" s="16"/>
      <c r="J986" s="8" t="str">
        <f aca="false">IF(AND(H986="Y",E986="Business checking (debit/ACH/check)"),"Counts toward 1099-NEC",IF(H986="Y","Paid by card/PayPal - 1099-K side",""))</f>
        <v/>
      </c>
      <c r="K986" s="16"/>
    </row>
    <row r="987" customFormat="false" ht="15" hidden="false" customHeight="false" outlineLevel="0" collapsed="false">
      <c r="A987" s="25"/>
      <c r="B987" s="16"/>
      <c r="C987" s="16"/>
      <c r="D987" s="26"/>
      <c r="E987" s="16"/>
      <c r="F987" s="16"/>
      <c r="G987" s="16"/>
      <c r="H987" s="16"/>
      <c r="I987" s="16"/>
      <c r="J987" s="8" t="str">
        <f aca="false">IF(AND(H987="Y",E987="Business checking (debit/ACH/check)"),"Counts toward 1099-NEC",IF(H987="Y","Paid by card/PayPal - 1099-K side",""))</f>
        <v/>
      </c>
      <c r="K987" s="16"/>
    </row>
    <row r="988" customFormat="false" ht="15" hidden="false" customHeight="false" outlineLevel="0" collapsed="false">
      <c r="A988" s="25"/>
      <c r="B988" s="16"/>
      <c r="C988" s="16"/>
      <c r="D988" s="26"/>
      <c r="E988" s="16"/>
      <c r="F988" s="16"/>
      <c r="G988" s="16"/>
      <c r="H988" s="16"/>
      <c r="I988" s="16"/>
      <c r="J988" s="8" t="str">
        <f aca="false">IF(AND(H988="Y",E988="Business checking (debit/ACH/check)"),"Counts toward 1099-NEC",IF(H988="Y","Paid by card/PayPal - 1099-K side",""))</f>
        <v/>
      </c>
      <c r="K988" s="16"/>
    </row>
    <row r="989" customFormat="false" ht="15" hidden="false" customHeight="false" outlineLevel="0" collapsed="false">
      <c r="A989" s="25"/>
      <c r="B989" s="16"/>
      <c r="C989" s="16"/>
      <c r="D989" s="26"/>
      <c r="E989" s="16"/>
      <c r="F989" s="16"/>
      <c r="G989" s="16"/>
      <c r="H989" s="16"/>
      <c r="I989" s="16"/>
      <c r="J989" s="8" t="str">
        <f aca="false">IF(AND(H989="Y",E989="Business checking (debit/ACH/check)"),"Counts toward 1099-NEC",IF(H989="Y","Paid by card/PayPal - 1099-K side",""))</f>
        <v/>
      </c>
      <c r="K989" s="16"/>
    </row>
    <row r="990" customFormat="false" ht="15" hidden="false" customHeight="false" outlineLevel="0" collapsed="false">
      <c r="A990" s="25"/>
      <c r="B990" s="16"/>
      <c r="C990" s="16"/>
      <c r="D990" s="26"/>
      <c r="E990" s="16"/>
      <c r="F990" s="16"/>
      <c r="G990" s="16"/>
      <c r="H990" s="16"/>
      <c r="I990" s="16"/>
      <c r="J990" s="8" t="str">
        <f aca="false">IF(AND(H990="Y",E990="Business checking (debit/ACH/check)"),"Counts toward 1099-NEC",IF(H990="Y","Paid by card/PayPal - 1099-K side",""))</f>
        <v/>
      </c>
      <c r="K990" s="16"/>
    </row>
    <row r="991" customFormat="false" ht="15" hidden="false" customHeight="false" outlineLevel="0" collapsed="false">
      <c r="A991" s="25"/>
      <c r="B991" s="16"/>
      <c r="C991" s="16"/>
      <c r="D991" s="26"/>
      <c r="E991" s="16"/>
      <c r="F991" s="16"/>
      <c r="G991" s="16"/>
      <c r="H991" s="16"/>
      <c r="I991" s="16"/>
      <c r="J991" s="8" t="str">
        <f aca="false">IF(AND(H991="Y",E991="Business checking (debit/ACH/check)"),"Counts toward 1099-NEC",IF(H991="Y","Paid by card/PayPal - 1099-K side",""))</f>
        <v/>
      </c>
      <c r="K991" s="16"/>
    </row>
    <row r="992" customFormat="false" ht="15" hidden="false" customHeight="false" outlineLevel="0" collapsed="false">
      <c r="A992" s="25"/>
      <c r="B992" s="16"/>
      <c r="C992" s="16"/>
      <c r="D992" s="26"/>
      <c r="E992" s="16"/>
      <c r="F992" s="16"/>
      <c r="G992" s="16"/>
      <c r="H992" s="16"/>
      <c r="I992" s="16"/>
      <c r="J992" s="8" t="str">
        <f aca="false">IF(AND(H992="Y",E992="Business checking (debit/ACH/check)"),"Counts toward 1099-NEC",IF(H992="Y","Paid by card/PayPal - 1099-K side",""))</f>
        <v/>
      </c>
      <c r="K992" s="16"/>
    </row>
    <row r="993" customFormat="false" ht="15" hidden="false" customHeight="false" outlineLevel="0" collapsed="false">
      <c r="A993" s="25"/>
      <c r="B993" s="16"/>
      <c r="C993" s="16"/>
      <c r="D993" s="26"/>
      <c r="E993" s="16"/>
      <c r="F993" s="16"/>
      <c r="G993" s="16"/>
      <c r="H993" s="16"/>
      <c r="I993" s="16"/>
      <c r="J993" s="8" t="str">
        <f aca="false">IF(AND(H993="Y",E993="Business checking (debit/ACH/check)"),"Counts toward 1099-NEC",IF(H993="Y","Paid by card/PayPal - 1099-K side",""))</f>
        <v/>
      </c>
      <c r="K993" s="16"/>
    </row>
    <row r="994" customFormat="false" ht="15" hidden="false" customHeight="false" outlineLevel="0" collapsed="false">
      <c r="A994" s="25"/>
      <c r="B994" s="16"/>
      <c r="C994" s="16"/>
      <c r="D994" s="26"/>
      <c r="E994" s="16"/>
      <c r="F994" s="16"/>
      <c r="G994" s="16"/>
      <c r="H994" s="16"/>
      <c r="I994" s="16"/>
      <c r="J994" s="8" t="str">
        <f aca="false">IF(AND(H994="Y",E994="Business checking (debit/ACH/check)"),"Counts toward 1099-NEC",IF(H994="Y","Paid by card/PayPal - 1099-K side",""))</f>
        <v/>
      </c>
      <c r="K994" s="16"/>
    </row>
    <row r="995" customFormat="false" ht="15" hidden="false" customHeight="false" outlineLevel="0" collapsed="false">
      <c r="A995" s="25"/>
      <c r="B995" s="16"/>
      <c r="C995" s="16"/>
      <c r="D995" s="26"/>
      <c r="E995" s="16"/>
      <c r="F995" s="16"/>
      <c r="G995" s="16"/>
      <c r="H995" s="16"/>
      <c r="I995" s="16"/>
      <c r="J995" s="8" t="str">
        <f aca="false">IF(AND(H995="Y",E995="Business checking (debit/ACH/check)"),"Counts toward 1099-NEC",IF(H995="Y","Paid by card/PayPal - 1099-K side",""))</f>
        <v/>
      </c>
      <c r="K995" s="16"/>
    </row>
    <row r="996" customFormat="false" ht="15" hidden="false" customHeight="false" outlineLevel="0" collapsed="false">
      <c r="A996" s="25"/>
      <c r="B996" s="16"/>
      <c r="C996" s="16"/>
      <c r="D996" s="26"/>
      <c r="E996" s="16"/>
      <c r="F996" s="16"/>
      <c r="G996" s="16"/>
      <c r="H996" s="16"/>
      <c r="I996" s="16"/>
      <c r="J996" s="8" t="str">
        <f aca="false">IF(AND(H996="Y",E996="Business checking (debit/ACH/check)"),"Counts toward 1099-NEC",IF(H996="Y","Paid by card/PayPal - 1099-K side",""))</f>
        <v/>
      </c>
      <c r="K996" s="16"/>
    </row>
    <row r="997" customFormat="false" ht="15" hidden="false" customHeight="false" outlineLevel="0" collapsed="false">
      <c r="A997" s="25"/>
      <c r="B997" s="16"/>
      <c r="C997" s="16"/>
      <c r="D997" s="26"/>
      <c r="E997" s="16"/>
      <c r="F997" s="16"/>
      <c r="G997" s="16"/>
      <c r="H997" s="16"/>
      <c r="I997" s="16"/>
      <c r="J997" s="8" t="str">
        <f aca="false">IF(AND(H997="Y",E997="Business checking (debit/ACH/check)"),"Counts toward 1099-NEC",IF(H997="Y","Paid by card/PayPal - 1099-K side",""))</f>
        <v/>
      </c>
      <c r="K997" s="16"/>
    </row>
    <row r="998" customFormat="false" ht="15" hidden="false" customHeight="false" outlineLevel="0" collapsed="false">
      <c r="A998" s="25"/>
      <c r="B998" s="16"/>
      <c r="C998" s="16"/>
      <c r="D998" s="26"/>
      <c r="E998" s="16"/>
      <c r="F998" s="16"/>
      <c r="G998" s="16"/>
      <c r="H998" s="16"/>
      <c r="I998" s="16"/>
      <c r="J998" s="8" t="str">
        <f aca="false">IF(AND(H998="Y",E998="Business checking (debit/ACH/check)"),"Counts toward 1099-NEC",IF(H998="Y","Paid by card/PayPal - 1099-K side",""))</f>
        <v/>
      </c>
      <c r="K998" s="16"/>
    </row>
    <row r="999" customFormat="false" ht="15" hidden="false" customHeight="false" outlineLevel="0" collapsed="false">
      <c r="A999" s="25"/>
      <c r="B999" s="16"/>
      <c r="C999" s="16"/>
      <c r="D999" s="26"/>
      <c r="E999" s="16"/>
      <c r="F999" s="16"/>
      <c r="G999" s="16"/>
      <c r="H999" s="16"/>
      <c r="I999" s="16"/>
      <c r="J999" s="8" t="str">
        <f aca="false">IF(AND(H999="Y",E999="Business checking (debit/ACH/check)"),"Counts toward 1099-NEC",IF(H999="Y","Paid by card/PayPal - 1099-K side",""))</f>
        <v/>
      </c>
      <c r="K999" s="16"/>
    </row>
    <row r="1000" customFormat="false" ht="15" hidden="false" customHeight="false" outlineLevel="0" collapsed="false">
      <c r="A1000" s="25"/>
      <c r="B1000" s="16"/>
      <c r="C1000" s="16"/>
      <c r="D1000" s="26"/>
      <c r="E1000" s="16"/>
      <c r="F1000" s="16"/>
      <c r="G1000" s="16"/>
      <c r="H1000" s="16"/>
      <c r="I1000" s="16"/>
      <c r="J1000" s="8" t="str">
        <f aca="false">IF(AND(H1000="Y",E1000="Business checking (debit/ACH/check)"),"Counts toward 1099-NEC",IF(H1000="Y","Paid by card/PayPal - 1099-K side",""))</f>
        <v/>
      </c>
      <c r="K1000" s="16"/>
    </row>
    <row r="1001" customFormat="false" ht="15" hidden="false" customHeight="false" outlineLevel="0" collapsed="false">
      <c r="A1001" s="25"/>
      <c r="B1001" s="16"/>
      <c r="C1001" s="16"/>
      <c r="D1001" s="26"/>
      <c r="E1001" s="16"/>
      <c r="F1001" s="16"/>
      <c r="G1001" s="16"/>
      <c r="H1001" s="16"/>
      <c r="I1001" s="16"/>
      <c r="J1001" s="8" t="str">
        <f aca="false">IF(AND(H1001="Y",E1001="Business checking (debit/ACH/check)"),"Counts toward 1099-NEC",IF(H1001="Y","Paid by card/PayPal - 1099-K side",""))</f>
        <v/>
      </c>
      <c r="K1001" s="16"/>
    </row>
    <row r="1002" customFormat="false" ht="15" hidden="false" customHeight="false" outlineLevel="0" collapsed="false">
      <c r="A1002" s="25"/>
      <c r="B1002" s="16"/>
      <c r="C1002" s="16"/>
      <c r="D1002" s="26"/>
      <c r="E1002" s="16"/>
      <c r="F1002" s="16"/>
      <c r="G1002" s="16"/>
      <c r="H1002" s="16"/>
      <c r="I1002" s="16"/>
      <c r="J1002" s="8" t="str">
        <f aca="false">IF(AND(H1002="Y",E1002="Business checking (debit/ACH/check)"),"Counts toward 1099-NEC",IF(H1002="Y","Paid by card/PayPal - 1099-K side",""))</f>
        <v/>
      </c>
      <c r="K1002" s="16"/>
    </row>
    <row r="1003" customFormat="false" ht="15" hidden="false" customHeight="false" outlineLevel="0" collapsed="false">
      <c r="A1003" s="25"/>
      <c r="B1003" s="16"/>
      <c r="C1003" s="16"/>
      <c r="D1003" s="26"/>
      <c r="E1003" s="16"/>
      <c r="F1003" s="16"/>
      <c r="G1003" s="16"/>
      <c r="H1003" s="16"/>
      <c r="I1003" s="16"/>
      <c r="J1003" s="8" t="str">
        <f aca="false">IF(AND(H1003="Y",E1003="Business checking (debit/ACH/check)"),"Counts toward 1099-NEC",IF(H1003="Y","Paid by card/PayPal - 1099-K side",""))</f>
        <v/>
      </c>
      <c r="K1003" s="16"/>
    </row>
    <row r="1004" customFormat="false" ht="15" hidden="false" customHeight="false" outlineLevel="0" collapsed="false">
      <c r="A1004" s="25"/>
      <c r="B1004" s="16"/>
      <c r="C1004" s="16"/>
      <c r="D1004" s="26"/>
      <c r="E1004" s="16"/>
      <c r="F1004" s="16"/>
      <c r="G1004" s="16"/>
      <c r="H1004" s="16"/>
      <c r="I1004" s="16"/>
      <c r="J1004" s="8" t="str">
        <f aca="false">IF(AND(H1004="Y",E1004="Business checking (debit/ACH/check)"),"Counts toward 1099-NEC",IF(H1004="Y","Paid by card/PayPal - 1099-K side",""))</f>
        <v/>
      </c>
      <c r="K1004" s="16"/>
    </row>
  </sheetData>
  <autoFilter ref="A4:K1004"/>
  <mergeCells count="1">
    <mergeCell ref="A2:I2"/>
  </mergeCells>
  <dataValidations count="4">
    <dataValidation allowBlank="true" error="Pick a value from the list." errorStyle="stop" errorTitle="Not on the list" operator="between" prompt="Pick a category from the Chart of Accounts." showDropDown="false" showErrorMessage="true" showInputMessage="true" sqref="C5:C1004" type="list">
      <formula1>ExpenseCategories</formula1>
      <formula2>0</formula2>
    </dataValidation>
    <dataValidation allowBlank="true" error="Pick a value from the list." errorStyle="stop" errorTitle="Not on the list" operator="between" showDropDown="false" showErrorMessage="true" showInputMessage="false" sqref="E5:E1004" type="list">
      <formula1>"Business credit card,Business checking (debit/ACH/check),PayPal Business,Personal funds (owner contribution),Cash"</formula1>
      <formula2>0</formula2>
    </dataValidation>
    <dataValidation allowBlank="true" error="Pick a value from the list." errorStyle="stop" errorTitle="Not on the list" operator="between" showDropDown="false" showErrorMessage="true" showInputMessage="false" sqref="H5:H1004" type="list">
      <formula1>"Y,N"</formula1>
      <formula2>0</formula2>
    </dataValidation>
    <dataValidation allowBlank="true" error="Pick a value from the list." errorStyle="stop" errorTitle="Not on the list" operator="between" showDropDown="false" showErrorMessage="true" showInputMessage="false" sqref="I5:I1004"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940"/>
    <pageSetUpPr fitToPage="true"/>
  </sheetPr>
  <dimension ref="A1:O5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3" min="2" style="0" width="11"/>
    <col collapsed="false" customWidth="true" hidden="false" outlineLevel="0" max="4" min="4" style="0" width="22"/>
    <col collapsed="false" customWidth="true" hidden="false" outlineLevel="0" max="7" min="5" style="0" width="11"/>
    <col collapsed="false" customWidth="true" hidden="false" outlineLevel="0" max="8" min="8" style="0" width="12"/>
    <col collapsed="false" customWidth="true" hidden="false" outlineLevel="0" max="9" min="9" style="0" width="11"/>
    <col collapsed="false" customWidth="true" hidden="false" outlineLevel="0" max="10" min="10" style="0" width="12"/>
    <col collapsed="false" customWidth="true" hidden="false" outlineLevel="0" max="11" min="11" style="0" width="13"/>
    <col collapsed="false" customWidth="true" hidden="false" outlineLevel="0" max="12" min="12" style="0" width="11"/>
    <col collapsed="false" customWidth="true" hidden="false" outlineLevel="0" max="13" min="13" style="0" width="36"/>
    <col collapsed="false" customWidth="true" hidden="false" outlineLevel="0" max="14" min="14" style="0" width="34"/>
    <col collapsed="false" customWidth="true" hidden="false" outlineLevel="0" max="15" min="15" style="0" width="10"/>
  </cols>
  <sheetData>
    <row r="1" customFormat="false" ht="24" hidden="false" customHeight="true" outlineLevel="0" collapsed="false">
      <c r="A1" s="1" t="s">
        <v>38</v>
      </c>
    </row>
    <row r="2" customFormat="false" ht="42" hidden="false" customHeight="true" outlineLevel="0" collapsed="false">
      <c r="A2" s="11" t="s">
        <v>544</v>
      </c>
      <c r="B2" s="11"/>
      <c r="C2" s="11"/>
      <c r="D2" s="11"/>
      <c r="E2" s="11"/>
      <c r="F2" s="11"/>
      <c r="G2" s="11"/>
      <c r="H2" s="11"/>
      <c r="I2" s="11"/>
      <c r="J2" s="11"/>
    </row>
    <row r="4" customFormat="false" ht="39.75" hidden="false" customHeight="true" outlineLevel="0" collapsed="false">
      <c r="A4" s="12" t="s">
        <v>349</v>
      </c>
      <c r="B4" s="12" t="s">
        <v>545</v>
      </c>
      <c r="C4" s="12" t="s">
        <v>530</v>
      </c>
      <c r="D4" s="12" t="s">
        <v>546</v>
      </c>
      <c r="E4" s="12" t="s">
        <v>547</v>
      </c>
      <c r="F4" s="12" t="s">
        <v>548</v>
      </c>
      <c r="G4" s="12" t="s">
        <v>549</v>
      </c>
      <c r="H4" s="12" t="s">
        <v>550</v>
      </c>
      <c r="I4" s="12" t="s">
        <v>551</v>
      </c>
      <c r="J4" s="12" t="s">
        <v>552</v>
      </c>
      <c r="K4" s="12" t="s">
        <v>553</v>
      </c>
      <c r="L4" s="12" t="s">
        <v>554</v>
      </c>
      <c r="M4" s="12" t="s">
        <v>555</v>
      </c>
      <c r="N4" s="12" t="s">
        <v>500</v>
      </c>
      <c r="O4" s="12" t="s">
        <v>501</v>
      </c>
    </row>
    <row r="5" customFormat="false" ht="15" hidden="false" customHeight="false" outlineLevel="0" collapsed="false">
      <c r="A5" s="7" t="s">
        <v>377</v>
      </c>
      <c r="B5" s="22" t="n">
        <v>46327</v>
      </c>
      <c r="C5" s="23" t="n">
        <v>132.5</v>
      </c>
      <c r="D5" s="7" t="s">
        <v>556</v>
      </c>
      <c r="E5" s="22" t="n">
        <v>46296</v>
      </c>
      <c r="F5" s="22" t="n">
        <v>46326</v>
      </c>
      <c r="G5" s="22" t="n">
        <v>46329</v>
      </c>
      <c r="H5" s="23" t="n">
        <v>132.5</v>
      </c>
      <c r="I5" s="24" t="n">
        <f aca="false">IF(OR(C5="",H5=""),"",C5-H5)</f>
        <v>0</v>
      </c>
      <c r="J5" s="28" t="str">
        <f aca="false">IF(C5="","",IF(H5="","WAITING",IF(ABS(C5-H5)&lt;0.005,"MATCHED","CHECK")))</f>
        <v>MATCHED</v>
      </c>
      <c r="K5" s="24" t="n">
        <f aca="false">IF(OR(A5="",E5="",F5=""),"",SUMIFS('Sales Log'!$L$5:$L$1004,'Sales Log'!$B$5:$B$1004,A5,'Sales Log'!$A$5:$A$1004,"&gt;="&amp;E5,'Sales Log'!$A$5:$A$1004,"&lt;="&amp;F5,'Sales Log'!$R$5:$R$1004,IF(O5="EXAMPLE","EXAMPLE","&lt;&gt;EXAMPLE")))</f>
        <v>132.5</v>
      </c>
      <c r="L5" s="7" t="s">
        <v>505</v>
      </c>
      <c r="M5" s="7" t="s">
        <v>557</v>
      </c>
      <c r="N5" s="7" t="s">
        <v>509</v>
      </c>
      <c r="O5" s="7" t="s">
        <v>509</v>
      </c>
    </row>
    <row r="6" customFormat="false" ht="15" hidden="false" customHeight="false" outlineLevel="0" collapsed="false">
      <c r="A6" s="7" t="s">
        <v>405</v>
      </c>
      <c r="B6" s="22" t="n">
        <v>46305</v>
      </c>
      <c r="C6" s="23" t="n">
        <v>29.44</v>
      </c>
      <c r="D6" s="7" t="s">
        <v>558</v>
      </c>
      <c r="E6" s="22" t="n">
        <v>46303</v>
      </c>
      <c r="F6" s="22" t="n">
        <v>46303</v>
      </c>
      <c r="G6" s="22" t="n">
        <v>46308</v>
      </c>
      <c r="H6" s="23" t="n">
        <v>29.4</v>
      </c>
      <c r="I6" s="24" t="n">
        <f aca="false">IF(OR(C6="",H6=""),"",C6-H6)</f>
        <v>0.0400000000000027</v>
      </c>
      <c r="J6" s="28" t="str">
        <f aca="false">IF(C6="","",IF(H6="","WAITING",IF(ABS(C6-H6)&lt;0.005,"MATCHED","CHECK")))</f>
        <v>CHECK</v>
      </c>
      <c r="K6" s="24" t="n">
        <f aca="false">IF(OR(A6="",E6="",F6=""),"",SUMIFS('Sales Log'!$L$5:$L$1004,'Sales Log'!$B$5:$B$1004,A6,'Sales Log'!$A$5:$A$1004,"&gt;="&amp;E6,'Sales Log'!$A$5:$A$1004,"&lt;="&amp;F6,'Sales Log'!$R$5:$R$1004,IF(O6="EXAMPLE","EXAMPLE","&lt;&gt;EXAMPLE")))</f>
        <v>29.44</v>
      </c>
      <c r="L6" s="7" t="s">
        <v>513</v>
      </c>
      <c r="M6" s="7"/>
      <c r="N6" s="7" t="s">
        <v>559</v>
      </c>
      <c r="O6" s="7" t="s">
        <v>509</v>
      </c>
    </row>
    <row r="7" customFormat="false" ht="15" hidden="false" customHeight="false" outlineLevel="0" collapsed="false">
      <c r="A7" s="7" t="s">
        <v>359</v>
      </c>
      <c r="B7" s="22" t="n">
        <v>46385</v>
      </c>
      <c r="C7" s="23" t="n">
        <v>38.4</v>
      </c>
      <c r="D7" s="7" t="s">
        <v>560</v>
      </c>
      <c r="E7" s="22" t="n">
        <v>46296</v>
      </c>
      <c r="F7" s="22" t="n">
        <v>46326</v>
      </c>
      <c r="G7" s="22"/>
      <c r="H7" s="23"/>
      <c r="I7" s="24" t="str">
        <f aca="false">IF(OR(C7="",H7=""),"",C7-H7)</f>
        <v/>
      </c>
      <c r="J7" s="28" t="str">
        <f aca="false">IF(C7="","",IF(H7="","WAITING",IF(ABS(C7-H7)&lt;0.005,"MATCHED","CHECK")))</f>
        <v>WAITING</v>
      </c>
      <c r="K7" s="24" t="n">
        <f aca="false">IF(OR(A7="",E7="",F7=""),"",SUMIFS('Sales Log'!$L$5:$L$1004,'Sales Log'!$B$5:$B$1004,A7,'Sales Log'!$A$5:$A$1004,"&gt;="&amp;E7,'Sales Log'!$A$5:$A$1004,"&lt;="&amp;F7,'Sales Log'!$R$5:$R$1004,IF(O7="EXAMPLE","EXAMPLE","&lt;&gt;EXAMPLE")))</f>
        <v>38.4</v>
      </c>
      <c r="L7" s="7" t="s">
        <v>513</v>
      </c>
      <c r="M7" s="7"/>
      <c r="N7" s="7" t="s">
        <v>561</v>
      </c>
      <c r="O7" s="7" t="s">
        <v>509</v>
      </c>
    </row>
    <row r="8" customFormat="false" ht="15" hidden="false" customHeight="false" outlineLevel="0" collapsed="false">
      <c r="A8" s="16"/>
      <c r="B8" s="25"/>
      <c r="C8" s="26"/>
      <c r="D8" s="16"/>
      <c r="E8" s="25"/>
      <c r="F8" s="25"/>
      <c r="G8" s="25"/>
      <c r="H8" s="26"/>
      <c r="I8" s="27" t="str">
        <f aca="false">IF(OR(C8="",H8=""),"",C8-H8)</f>
        <v/>
      </c>
      <c r="J8" s="8" t="str">
        <f aca="false">IF(C8="","",IF(H8="","WAITING",IF(ABS(C8-H8)&lt;0.005,"MATCHED","CHECK")))</f>
        <v/>
      </c>
      <c r="K8" s="27" t="str">
        <f aca="false">IF(OR(A8="",E8="",F8=""),"",SUMIFS('Sales Log'!$L$5:$L$1004,'Sales Log'!$B$5:$B$1004,A8,'Sales Log'!$A$5:$A$1004,"&gt;="&amp;E8,'Sales Log'!$A$5:$A$1004,"&lt;="&amp;F8,'Sales Log'!$R$5:$R$1004,IF(O8="EXAMPLE","EXAMPLE","&lt;&gt;EXAMPLE")))</f>
        <v/>
      </c>
      <c r="L8" s="16"/>
      <c r="M8" s="16"/>
      <c r="N8" s="16"/>
      <c r="O8" s="16"/>
    </row>
    <row r="9" customFormat="false" ht="15" hidden="false" customHeight="false" outlineLevel="0" collapsed="false">
      <c r="A9" s="16"/>
      <c r="B9" s="25"/>
      <c r="C9" s="26"/>
      <c r="D9" s="16"/>
      <c r="E9" s="25"/>
      <c r="F9" s="25"/>
      <c r="G9" s="25"/>
      <c r="H9" s="26"/>
      <c r="I9" s="27" t="str">
        <f aca="false">IF(OR(C9="",H9=""),"",C9-H9)</f>
        <v/>
      </c>
      <c r="J9" s="8" t="str">
        <f aca="false">IF(C9="","",IF(H9="","WAITING",IF(ABS(C9-H9)&lt;0.005,"MATCHED","CHECK")))</f>
        <v/>
      </c>
      <c r="K9" s="27" t="str">
        <f aca="false">IF(OR(A9="",E9="",F9=""),"",SUMIFS('Sales Log'!$L$5:$L$1004,'Sales Log'!$B$5:$B$1004,A9,'Sales Log'!$A$5:$A$1004,"&gt;="&amp;E9,'Sales Log'!$A$5:$A$1004,"&lt;="&amp;F9,'Sales Log'!$R$5:$R$1004,IF(O9="EXAMPLE","EXAMPLE","&lt;&gt;EXAMPLE")))</f>
        <v/>
      </c>
      <c r="L9" s="16"/>
      <c r="M9" s="16"/>
      <c r="N9" s="16"/>
      <c r="O9" s="16"/>
    </row>
    <row r="10" customFormat="false" ht="15" hidden="false" customHeight="false" outlineLevel="0" collapsed="false">
      <c r="A10" s="16"/>
      <c r="B10" s="25"/>
      <c r="C10" s="26"/>
      <c r="D10" s="16"/>
      <c r="E10" s="25"/>
      <c r="F10" s="25"/>
      <c r="G10" s="25"/>
      <c r="H10" s="26"/>
      <c r="I10" s="27" t="str">
        <f aca="false">IF(OR(C10="",H10=""),"",C10-H10)</f>
        <v/>
      </c>
      <c r="J10" s="8" t="str">
        <f aca="false">IF(C10="","",IF(H10="","WAITING",IF(ABS(C10-H10)&lt;0.005,"MATCHED","CHECK")))</f>
        <v/>
      </c>
      <c r="K10" s="27" t="str">
        <f aca="false">IF(OR(A10="",E10="",F10=""),"",SUMIFS('Sales Log'!$L$5:$L$1004,'Sales Log'!$B$5:$B$1004,A10,'Sales Log'!$A$5:$A$1004,"&gt;="&amp;E10,'Sales Log'!$A$5:$A$1004,"&lt;="&amp;F10,'Sales Log'!$R$5:$R$1004,IF(O10="EXAMPLE","EXAMPLE","&lt;&gt;EXAMPLE")))</f>
        <v/>
      </c>
      <c r="L10" s="16"/>
      <c r="M10" s="16"/>
      <c r="N10" s="16"/>
      <c r="O10" s="16"/>
    </row>
    <row r="11" customFormat="false" ht="15" hidden="false" customHeight="false" outlineLevel="0" collapsed="false">
      <c r="A11" s="16"/>
      <c r="B11" s="25"/>
      <c r="C11" s="26"/>
      <c r="D11" s="16"/>
      <c r="E11" s="25"/>
      <c r="F11" s="25"/>
      <c r="G11" s="25"/>
      <c r="H11" s="26"/>
      <c r="I11" s="27" t="str">
        <f aca="false">IF(OR(C11="",H11=""),"",C11-H11)</f>
        <v/>
      </c>
      <c r="J11" s="8" t="str">
        <f aca="false">IF(C11="","",IF(H11="","WAITING",IF(ABS(C11-H11)&lt;0.005,"MATCHED","CHECK")))</f>
        <v/>
      </c>
      <c r="K11" s="27" t="str">
        <f aca="false">IF(OR(A11="",E11="",F11=""),"",SUMIFS('Sales Log'!$L$5:$L$1004,'Sales Log'!$B$5:$B$1004,A11,'Sales Log'!$A$5:$A$1004,"&gt;="&amp;E11,'Sales Log'!$A$5:$A$1004,"&lt;="&amp;F11,'Sales Log'!$R$5:$R$1004,IF(O11="EXAMPLE","EXAMPLE","&lt;&gt;EXAMPLE")))</f>
        <v/>
      </c>
      <c r="L11" s="16"/>
      <c r="M11" s="16"/>
      <c r="N11" s="16"/>
      <c r="O11" s="16"/>
    </row>
    <row r="12" customFormat="false" ht="15" hidden="false" customHeight="false" outlineLevel="0" collapsed="false">
      <c r="A12" s="16"/>
      <c r="B12" s="25"/>
      <c r="C12" s="26"/>
      <c r="D12" s="16"/>
      <c r="E12" s="25"/>
      <c r="F12" s="25"/>
      <c r="G12" s="25"/>
      <c r="H12" s="26"/>
      <c r="I12" s="27" t="str">
        <f aca="false">IF(OR(C12="",H12=""),"",C12-H12)</f>
        <v/>
      </c>
      <c r="J12" s="8" t="str">
        <f aca="false">IF(C12="","",IF(H12="","WAITING",IF(ABS(C12-H12)&lt;0.005,"MATCHED","CHECK")))</f>
        <v/>
      </c>
      <c r="K12" s="27" t="str">
        <f aca="false">IF(OR(A12="",E12="",F12=""),"",SUMIFS('Sales Log'!$L$5:$L$1004,'Sales Log'!$B$5:$B$1004,A12,'Sales Log'!$A$5:$A$1004,"&gt;="&amp;E12,'Sales Log'!$A$5:$A$1004,"&lt;="&amp;F12,'Sales Log'!$R$5:$R$1004,IF(O12="EXAMPLE","EXAMPLE","&lt;&gt;EXAMPLE")))</f>
        <v/>
      </c>
      <c r="L12" s="16"/>
      <c r="M12" s="16"/>
      <c r="N12" s="16"/>
      <c r="O12" s="16"/>
    </row>
    <row r="13" customFormat="false" ht="15" hidden="false" customHeight="false" outlineLevel="0" collapsed="false">
      <c r="A13" s="16"/>
      <c r="B13" s="25"/>
      <c r="C13" s="26"/>
      <c r="D13" s="16"/>
      <c r="E13" s="25"/>
      <c r="F13" s="25"/>
      <c r="G13" s="25"/>
      <c r="H13" s="26"/>
      <c r="I13" s="27" t="str">
        <f aca="false">IF(OR(C13="",H13=""),"",C13-H13)</f>
        <v/>
      </c>
      <c r="J13" s="8" t="str">
        <f aca="false">IF(C13="","",IF(H13="","WAITING",IF(ABS(C13-H13)&lt;0.005,"MATCHED","CHECK")))</f>
        <v/>
      </c>
      <c r="K13" s="27" t="str">
        <f aca="false">IF(OR(A13="",E13="",F13=""),"",SUMIFS('Sales Log'!$L$5:$L$1004,'Sales Log'!$B$5:$B$1004,A13,'Sales Log'!$A$5:$A$1004,"&gt;="&amp;E13,'Sales Log'!$A$5:$A$1004,"&lt;="&amp;F13,'Sales Log'!$R$5:$R$1004,IF(O13="EXAMPLE","EXAMPLE","&lt;&gt;EXAMPLE")))</f>
        <v/>
      </c>
      <c r="L13" s="16"/>
      <c r="M13" s="16"/>
      <c r="N13" s="16"/>
      <c r="O13" s="16"/>
    </row>
    <row r="14" customFormat="false" ht="15" hidden="false" customHeight="false" outlineLevel="0" collapsed="false">
      <c r="A14" s="16"/>
      <c r="B14" s="25"/>
      <c r="C14" s="26"/>
      <c r="D14" s="16"/>
      <c r="E14" s="25"/>
      <c r="F14" s="25"/>
      <c r="G14" s="25"/>
      <c r="H14" s="26"/>
      <c r="I14" s="27" t="str">
        <f aca="false">IF(OR(C14="",H14=""),"",C14-H14)</f>
        <v/>
      </c>
      <c r="J14" s="8" t="str">
        <f aca="false">IF(C14="","",IF(H14="","WAITING",IF(ABS(C14-H14)&lt;0.005,"MATCHED","CHECK")))</f>
        <v/>
      </c>
      <c r="K14" s="27" t="str">
        <f aca="false">IF(OR(A14="",E14="",F14=""),"",SUMIFS('Sales Log'!$L$5:$L$1004,'Sales Log'!$B$5:$B$1004,A14,'Sales Log'!$A$5:$A$1004,"&gt;="&amp;E14,'Sales Log'!$A$5:$A$1004,"&lt;="&amp;F14,'Sales Log'!$R$5:$R$1004,IF(O14="EXAMPLE","EXAMPLE","&lt;&gt;EXAMPLE")))</f>
        <v/>
      </c>
      <c r="L14" s="16"/>
      <c r="M14" s="16"/>
      <c r="N14" s="16"/>
      <c r="O14" s="16"/>
    </row>
    <row r="15" customFormat="false" ht="15" hidden="false" customHeight="false" outlineLevel="0" collapsed="false">
      <c r="A15" s="16"/>
      <c r="B15" s="25"/>
      <c r="C15" s="26"/>
      <c r="D15" s="16"/>
      <c r="E15" s="25"/>
      <c r="F15" s="25"/>
      <c r="G15" s="25"/>
      <c r="H15" s="26"/>
      <c r="I15" s="27" t="str">
        <f aca="false">IF(OR(C15="",H15=""),"",C15-H15)</f>
        <v/>
      </c>
      <c r="J15" s="8" t="str">
        <f aca="false">IF(C15="","",IF(H15="","WAITING",IF(ABS(C15-H15)&lt;0.005,"MATCHED","CHECK")))</f>
        <v/>
      </c>
      <c r="K15" s="27" t="str">
        <f aca="false">IF(OR(A15="",E15="",F15=""),"",SUMIFS('Sales Log'!$L$5:$L$1004,'Sales Log'!$B$5:$B$1004,A15,'Sales Log'!$A$5:$A$1004,"&gt;="&amp;E15,'Sales Log'!$A$5:$A$1004,"&lt;="&amp;F15,'Sales Log'!$R$5:$R$1004,IF(O15="EXAMPLE","EXAMPLE","&lt;&gt;EXAMPLE")))</f>
        <v/>
      </c>
      <c r="L15" s="16"/>
      <c r="M15" s="16"/>
      <c r="N15" s="16"/>
      <c r="O15" s="16"/>
    </row>
    <row r="16" customFormat="false" ht="15" hidden="false" customHeight="false" outlineLevel="0" collapsed="false">
      <c r="A16" s="16"/>
      <c r="B16" s="25"/>
      <c r="C16" s="26"/>
      <c r="D16" s="16"/>
      <c r="E16" s="25"/>
      <c r="F16" s="25"/>
      <c r="G16" s="25"/>
      <c r="H16" s="26"/>
      <c r="I16" s="27" t="str">
        <f aca="false">IF(OR(C16="",H16=""),"",C16-H16)</f>
        <v/>
      </c>
      <c r="J16" s="8" t="str">
        <f aca="false">IF(C16="","",IF(H16="","WAITING",IF(ABS(C16-H16)&lt;0.005,"MATCHED","CHECK")))</f>
        <v/>
      </c>
      <c r="K16" s="27" t="str">
        <f aca="false">IF(OR(A16="",E16="",F16=""),"",SUMIFS('Sales Log'!$L$5:$L$1004,'Sales Log'!$B$5:$B$1004,A16,'Sales Log'!$A$5:$A$1004,"&gt;="&amp;E16,'Sales Log'!$A$5:$A$1004,"&lt;="&amp;F16,'Sales Log'!$R$5:$R$1004,IF(O16="EXAMPLE","EXAMPLE","&lt;&gt;EXAMPLE")))</f>
        <v/>
      </c>
      <c r="L16" s="16"/>
      <c r="M16" s="16"/>
      <c r="N16" s="16"/>
      <c r="O16" s="16"/>
    </row>
    <row r="17" customFormat="false" ht="15" hidden="false" customHeight="false" outlineLevel="0" collapsed="false">
      <c r="A17" s="16"/>
      <c r="B17" s="25"/>
      <c r="C17" s="26"/>
      <c r="D17" s="16"/>
      <c r="E17" s="25"/>
      <c r="F17" s="25"/>
      <c r="G17" s="25"/>
      <c r="H17" s="26"/>
      <c r="I17" s="27" t="str">
        <f aca="false">IF(OR(C17="",H17=""),"",C17-H17)</f>
        <v/>
      </c>
      <c r="J17" s="8" t="str">
        <f aca="false">IF(C17="","",IF(H17="","WAITING",IF(ABS(C17-H17)&lt;0.005,"MATCHED","CHECK")))</f>
        <v/>
      </c>
      <c r="K17" s="27" t="str">
        <f aca="false">IF(OR(A17="",E17="",F17=""),"",SUMIFS('Sales Log'!$L$5:$L$1004,'Sales Log'!$B$5:$B$1004,A17,'Sales Log'!$A$5:$A$1004,"&gt;="&amp;E17,'Sales Log'!$A$5:$A$1004,"&lt;="&amp;F17,'Sales Log'!$R$5:$R$1004,IF(O17="EXAMPLE","EXAMPLE","&lt;&gt;EXAMPLE")))</f>
        <v/>
      </c>
      <c r="L17" s="16"/>
      <c r="M17" s="16"/>
      <c r="N17" s="16"/>
      <c r="O17" s="16"/>
    </row>
    <row r="18" customFormat="false" ht="15" hidden="false" customHeight="false" outlineLevel="0" collapsed="false">
      <c r="A18" s="16"/>
      <c r="B18" s="25"/>
      <c r="C18" s="26"/>
      <c r="D18" s="16"/>
      <c r="E18" s="25"/>
      <c r="F18" s="25"/>
      <c r="G18" s="25"/>
      <c r="H18" s="26"/>
      <c r="I18" s="27" t="str">
        <f aca="false">IF(OR(C18="",H18=""),"",C18-H18)</f>
        <v/>
      </c>
      <c r="J18" s="8" t="str">
        <f aca="false">IF(C18="","",IF(H18="","WAITING",IF(ABS(C18-H18)&lt;0.005,"MATCHED","CHECK")))</f>
        <v/>
      </c>
      <c r="K18" s="27" t="str">
        <f aca="false">IF(OR(A18="",E18="",F18=""),"",SUMIFS('Sales Log'!$L$5:$L$1004,'Sales Log'!$B$5:$B$1004,A18,'Sales Log'!$A$5:$A$1004,"&gt;="&amp;E18,'Sales Log'!$A$5:$A$1004,"&lt;="&amp;F18,'Sales Log'!$R$5:$R$1004,IF(O18="EXAMPLE","EXAMPLE","&lt;&gt;EXAMPLE")))</f>
        <v/>
      </c>
      <c r="L18" s="16"/>
      <c r="M18" s="16"/>
      <c r="N18" s="16"/>
      <c r="O18" s="16"/>
    </row>
    <row r="19" customFormat="false" ht="15" hidden="false" customHeight="false" outlineLevel="0" collapsed="false">
      <c r="A19" s="16"/>
      <c r="B19" s="25"/>
      <c r="C19" s="26"/>
      <c r="D19" s="16"/>
      <c r="E19" s="25"/>
      <c r="F19" s="25"/>
      <c r="G19" s="25"/>
      <c r="H19" s="26"/>
      <c r="I19" s="27" t="str">
        <f aca="false">IF(OR(C19="",H19=""),"",C19-H19)</f>
        <v/>
      </c>
      <c r="J19" s="8" t="str">
        <f aca="false">IF(C19="","",IF(H19="","WAITING",IF(ABS(C19-H19)&lt;0.005,"MATCHED","CHECK")))</f>
        <v/>
      </c>
      <c r="K19" s="27" t="str">
        <f aca="false">IF(OR(A19="",E19="",F19=""),"",SUMIFS('Sales Log'!$L$5:$L$1004,'Sales Log'!$B$5:$B$1004,A19,'Sales Log'!$A$5:$A$1004,"&gt;="&amp;E19,'Sales Log'!$A$5:$A$1004,"&lt;="&amp;F19,'Sales Log'!$R$5:$R$1004,IF(O19="EXAMPLE","EXAMPLE","&lt;&gt;EXAMPLE")))</f>
        <v/>
      </c>
      <c r="L19" s="16"/>
      <c r="M19" s="16"/>
      <c r="N19" s="16"/>
      <c r="O19" s="16"/>
    </row>
    <row r="20" customFormat="false" ht="15" hidden="false" customHeight="false" outlineLevel="0" collapsed="false">
      <c r="A20" s="16"/>
      <c r="B20" s="25"/>
      <c r="C20" s="26"/>
      <c r="D20" s="16"/>
      <c r="E20" s="25"/>
      <c r="F20" s="25"/>
      <c r="G20" s="25"/>
      <c r="H20" s="26"/>
      <c r="I20" s="27" t="str">
        <f aca="false">IF(OR(C20="",H20=""),"",C20-H20)</f>
        <v/>
      </c>
      <c r="J20" s="8" t="str">
        <f aca="false">IF(C20="","",IF(H20="","WAITING",IF(ABS(C20-H20)&lt;0.005,"MATCHED","CHECK")))</f>
        <v/>
      </c>
      <c r="K20" s="27" t="str">
        <f aca="false">IF(OR(A20="",E20="",F20=""),"",SUMIFS('Sales Log'!$L$5:$L$1004,'Sales Log'!$B$5:$B$1004,A20,'Sales Log'!$A$5:$A$1004,"&gt;="&amp;E20,'Sales Log'!$A$5:$A$1004,"&lt;="&amp;F20,'Sales Log'!$R$5:$R$1004,IF(O20="EXAMPLE","EXAMPLE","&lt;&gt;EXAMPLE")))</f>
        <v/>
      </c>
      <c r="L20" s="16"/>
      <c r="M20" s="16"/>
      <c r="N20" s="16"/>
      <c r="O20" s="16"/>
    </row>
    <row r="21" customFormat="false" ht="15" hidden="false" customHeight="false" outlineLevel="0" collapsed="false">
      <c r="A21" s="16"/>
      <c r="B21" s="25"/>
      <c r="C21" s="26"/>
      <c r="D21" s="16"/>
      <c r="E21" s="25"/>
      <c r="F21" s="25"/>
      <c r="G21" s="25"/>
      <c r="H21" s="26"/>
      <c r="I21" s="27" t="str">
        <f aca="false">IF(OR(C21="",H21=""),"",C21-H21)</f>
        <v/>
      </c>
      <c r="J21" s="8" t="str">
        <f aca="false">IF(C21="","",IF(H21="","WAITING",IF(ABS(C21-H21)&lt;0.005,"MATCHED","CHECK")))</f>
        <v/>
      </c>
      <c r="K21" s="27" t="str">
        <f aca="false">IF(OR(A21="",E21="",F21=""),"",SUMIFS('Sales Log'!$L$5:$L$1004,'Sales Log'!$B$5:$B$1004,A21,'Sales Log'!$A$5:$A$1004,"&gt;="&amp;E21,'Sales Log'!$A$5:$A$1004,"&lt;="&amp;F21,'Sales Log'!$R$5:$R$1004,IF(O21="EXAMPLE","EXAMPLE","&lt;&gt;EXAMPLE")))</f>
        <v/>
      </c>
      <c r="L21" s="16"/>
      <c r="M21" s="16"/>
      <c r="N21" s="16"/>
      <c r="O21" s="16"/>
    </row>
    <row r="22" customFormat="false" ht="15" hidden="false" customHeight="false" outlineLevel="0" collapsed="false">
      <c r="A22" s="16"/>
      <c r="B22" s="25"/>
      <c r="C22" s="26"/>
      <c r="D22" s="16"/>
      <c r="E22" s="25"/>
      <c r="F22" s="25"/>
      <c r="G22" s="25"/>
      <c r="H22" s="26"/>
      <c r="I22" s="27" t="str">
        <f aca="false">IF(OR(C22="",H22=""),"",C22-H22)</f>
        <v/>
      </c>
      <c r="J22" s="8" t="str">
        <f aca="false">IF(C22="","",IF(H22="","WAITING",IF(ABS(C22-H22)&lt;0.005,"MATCHED","CHECK")))</f>
        <v/>
      </c>
      <c r="K22" s="27" t="str">
        <f aca="false">IF(OR(A22="",E22="",F22=""),"",SUMIFS('Sales Log'!$L$5:$L$1004,'Sales Log'!$B$5:$B$1004,A22,'Sales Log'!$A$5:$A$1004,"&gt;="&amp;E22,'Sales Log'!$A$5:$A$1004,"&lt;="&amp;F22,'Sales Log'!$R$5:$R$1004,IF(O22="EXAMPLE","EXAMPLE","&lt;&gt;EXAMPLE")))</f>
        <v/>
      </c>
      <c r="L22" s="16"/>
      <c r="M22" s="16"/>
      <c r="N22" s="16"/>
      <c r="O22" s="16"/>
    </row>
    <row r="23" customFormat="false" ht="15" hidden="false" customHeight="false" outlineLevel="0" collapsed="false">
      <c r="A23" s="16"/>
      <c r="B23" s="25"/>
      <c r="C23" s="26"/>
      <c r="D23" s="16"/>
      <c r="E23" s="25"/>
      <c r="F23" s="25"/>
      <c r="G23" s="25"/>
      <c r="H23" s="26"/>
      <c r="I23" s="27" t="str">
        <f aca="false">IF(OR(C23="",H23=""),"",C23-H23)</f>
        <v/>
      </c>
      <c r="J23" s="8" t="str">
        <f aca="false">IF(C23="","",IF(H23="","WAITING",IF(ABS(C23-H23)&lt;0.005,"MATCHED","CHECK")))</f>
        <v/>
      </c>
      <c r="K23" s="27" t="str">
        <f aca="false">IF(OR(A23="",E23="",F23=""),"",SUMIFS('Sales Log'!$L$5:$L$1004,'Sales Log'!$B$5:$B$1004,A23,'Sales Log'!$A$5:$A$1004,"&gt;="&amp;E23,'Sales Log'!$A$5:$A$1004,"&lt;="&amp;F23,'Sales Log'!$R$5:$R$1004,IF(O23="EXAMPLE","EXAMPLE","&lt;&gt;EXAMPLE")))</f>
        <v/>
      </c>
      <c r="L23" s="16"/>
      <c r="M23" s="16"/>
      <c r="N23" s="16"/>
      <c r="O23" s="16"/>
    </row>
    <row r="24" customFormat="false" ht="15" hidden="false" customHeight="false" outlineLevel="0" collapsed="false">
      <c r="A24" s="16"/>
      <c r="B24" s="25"/>
      <c r="C24" s="26"/>
      <c r="D24" s="16"/>
      <c r="E24" s="25"/>
      <c r="F24" s="25"/>
      <c r="G24" s="25"/>
      <c r="H24" s="26"/>
      <c r="I24" s="27" t="str">
        <f aca="false">IF(OR(C24="",H24=""),"",C24-H24)</f>
        <v/>
      </c>
      <c r="J24" s="8" t="str">
        <f aca="false">IF(C24="","",IF(H24="","WAITING",IF(ABS(C24-H24)&lt;0.005,"MATCHED","CHECK")))</f>
        <v/>
      </c>
      <c r="K24" s="27" t="str">
        <f aca="false">IF(OR(A24="",E24="",F24=""),"",SUMIFS('Sales Log'!$L$5:$L$1004,'Sales Log'!$B$5:$B$1004,A24,'Sales Log'!$A$5:$A$1004,"&gt;="&amp;E24,'Sales Log'!$A$5:$A$1004,"&lt;="&amp;F24,'Sales Log'!$R$5:$R$1004,IF(O24="EXAMPLE","EXAMPLE","&lt;&gt;EXAMPLE")))</f>
        <v/>
      </c>
      <c r="L24" s="16"/>
      <c r="M24" s="16"/>
      <c r="N24" s="16"/>
      <c r="O24" s="16"/>
    </row>
    <row r="25" customFormat="false" ht="15" hidden="false" customHeight="false" outlineLevel="0" collapsed="false">
      <c r="A25" s="16"/>
      <c r="B25" s="25"/>
      <c r="C25" s="26"/>
      <c r="D25" s="16"/>
      <c r="E25" s="25"/>
      <c r="F25" s="25"/>
      <c r="G25" s="25"/>
      <c r="H25" s="26"/>
      <c r="I25" s="27" t="str">
        <f aca="false">IF(OR(C25="",H25=""),"",C25-H25)</f>
        <v/>
      </c>
      <c r="J25" s="8" t="str">
        <f aca="false">IF(C25="","",IF(H25="","WAITING",IF(ABS(C25-H25)&lt;0.005,"MATCHED","CHECK")))</f>
        <v/>
      </c>
      <c r="K25" s="27" t="str">
        <f aca="false">IF(OR(A25="",E25="",F25=""),"",SUMIFS('Sales Log'!$L$5:$L$1004,'Sales Log'!$B$5:$B$1004,A25,'Sales Log'!$A$5:$A$1004,"&gt;="&amp;E25,'Sales Log'!$A$5:$A$1004,"&lt;="&amp;F25,'Sales Log'!$R$5:$R$1004,IF(O25="EXAMPLE","EXAMPLE","&lt;&gt;EXAMPLE")))</f>
        <v/>
      </c>
      <c r="L25" s="16"/>
      <c r="M25" s="16"/>
      <c r="N25" s="16"/>
      <c r="O25" s="16"/>
    </row>
    <row r="26" customFormat="false" ht="15" hidden="false" customHeight="false" outlineLevel="0" collapsed="false">
      <c r="A26" s="16"/>
      <c r="B26" s="25"/>
      <c r="C26" s="26"/>
      <c r="D26" s="16"/>
      <c r="E26" s="25"/>
      <c r="F26" s="25"/>
      <c r="G26" s="25"/>
      <c r="H26" s="26"/>
      <c r="I26" s="27" t="str">
        <f aca="false">IF(OR(C26="",H26=""),"",C26-H26)</f>
        <v/>
      </c>
      <c r="J26" s="8" t="str">
        <f aca="false">IF(C26="","",IF(H26="","WAITING",IF(ABS(C26-H26)&lt;0.005,"MATCHED","CHECK")))</f>
        <v/>
      </c>
      <c r="K26" s="27" t="str">
        <f aca="false">IF(OR(A26="",E26="",F26=""),"",SUMIFS('Sales Log'!$L$5:$L$1004,'Sales Log'!$B$5:$B$1004,A26,'Sales Log'!$A$5:$A$1004,"&gt;="&amp;E26,'Sales Log'!$A$5:$A$1004,"&lt;="&amp;F26,'Sales Log'!$R$5:$R$1004,IF(O26="EXAMPLE","EXAMPLE","&lt;&gt;EXAMPLE")))</f>
        <v/>
      </c>
      <c r="L26" s="16"/>
      <c r="M26" s="16"/>
      <c r="N26" s="16"/>
      <c r="O26" s="16"/>
    </row>
    <row r="27" customFormat="false" ht="15" hidden="false" customHeight="false" outlineLevel="0" collapsed="false">
      <c r="A27" s="16"/>
      <c r="B27" s="25"/>
      <c r="C27" s="26"/>
      <c r="D27" s="16"/>
      <c r="E27" s="25"/>
      <c r="F27" s="25"/>
      <c r="G27" s="25"/>
      <c r="H27" s="26"/>
      <c r="I27" s="27" t="str">
        <f aca="false">IF(OR(C27="",H27=""),"",C27-H27)</f>
        <v/>
      </c>
      <c r="J27" s="8" t="str">
        <f aca="false">IF(C27="","",IF(H27="","WAITING",IF(ABS(C27-H27)&lt;0.005,"MATCHED","CHECK")))</f>
        <v/>
      </c>
      <c r="K27" s="27" t="str">
        <f aca="false">IF(OR(A27="",E27="",F27=""),"",SUMIFS('Sales Log'!$L$5:$L$1004,'Sales Log'!$B$5:$B$1004,A27,'Sales Log'!$A$5:$A$1004,"&gt;="&amp;E27,'Sales Log'!$A$5:$A$1004,"&lt;="&amp;F27,'Sales Log'!$R$5:$R$1004,IF(O27="EXAMPLE","EXAMPLE","&lt;&gt;EXAMPLE")))</f>
        <v/>
      </c>
      <c r="L27" s="16"/>
      <c r="M27" s="16"/>
      <c r="N27" s="16"/>
      <c r="O27" s="16"/>
    </row>
    <row r="28" customFormat="false" ht="15" hidden="false" customHeight="false" outlineLevel="0" collapsed="false">
      <c r="A28" s="16"/>
      <c r="B28" s="25"/>
      <c r="C28" s="26"/>
      <c r="D28" s="16"/>
      <c r="E28" s="25"/>
      <c r="F28" s="25"/>
      <c r="G28" s="25"/>
      <c r="H28" s="26"/>
      <c r="I28" s="27" t="str">
        <f aca="false">IF(OR(C28="",H28=""),"",C28-H28)</f>
        <v/>
      </c>
      <c r="J28" s="8" t="str">
        <f aca="false">IF(C28="","",IF(H28="","WAITING",IF(ABS(C28-H28)&lt;0.005,"MATCHED","CHECK")))</f>
        <v/>
      </c>
      <c r="K28" s="27" t="str">
        <f aca="false">IF(OR(A28="",E28="",F28=""),"",SUMIFS('Sales Log'!$L$5:$L$1004,'Sales Log'!$B$5:$B$1004,A28,'Sales Log'!$A$5:$A$1004,"&gt;="&amp;E28,'Sales Log'!$A$5:$A$1004,"&lt;="&amp;F28,'Sales Log'!$R$5:$R$1004,IF(O28="EXAMPLE","EXAMPLE","&lt;&gt;EXAMPLE")))</f>
        <v/>
      </c>
      <c r="L28" s="16"/>
      <c r="M28" s="16"/>
      <c r="N28" s="16"/>
      <c r="O28" s="16"/>
    </row>
    <row r="29" customFormat="false" ht="15" hidden="false" customHeight="false" outlineLevel="0" collapsed="false">
      <c r="A29" s="16"/>
      <c r="B29" s="25"/>
      <c r="C29" s="26"/>
      <c r="D29" s="16"/>
      <c r="E29" s="25"/>
      <c r="F29" s="25"/>
      <c r="G29" s="25"/>
      <c r="H29" s="26"/>
      <c r="I29" s="27" t="str">
        <f aca="false">IF(OR(C29="",H29=""),"",C29-H29)</f>
        <v/>
      </c>
      <c r="J29" s="8" t="str">
        <f aca="false">IF(C29="","",IF(H29="","WAITING",IF(ABS(C29-H29)&lt;0.005,"MATCHED","CHECK")))</f>
        <v/>
      </c>
      <c r="K29" s="27" t="str">
        <f aca="false">IF(OR(A29="",E29="",F29=""),"",SUMIFS('Sales Log'!$L$5:$L$1004,'Sales Log'!$B$5:$B$1004,A29,'Sales Log'!$A$5:$A$1004,"&gt;="&amp;E29,'Sales Log'!$A$5:$A$1004,"&lt;="&amp;F29,'Sales Log'!$R$5:$R$1004,IF(O29="EXAMPLE","EXAMPLE","&lt;&gt;EXAMPLE")))</f>
        <v/>
      </c>
      <c r="L29" s="16"/>
      <c r="M29" s="16"/>
      <c r="N29" s="16"/>
      <c r="O29" s="16"/>
    </row>
    <row r="30" customFormat="false" ht="15" hidden="false" customHeight="false" outlineLevel="0" collapsed="false">
      <c r="A30" s="16"/>
      <c r="B30" s="25"/>
      <c r="C30" s="26"/>
      <c r="D30" s="16"/>
      <c r="E30" s="25"/>
      <c r="F30" s="25"/>
      <c r="G30" s="25"/>
      <c r="H30" s="26"/>
      <c r="I30" s="27" t="str">
        <f aca="false">IF(OR(C30="",H30=""),"",C30-H30)</f>
        <v/>
      </c>
      <c r="J30" s="8" t="str">
        <f aca="false">IF(C30="","",IF(H30="","WAITING",IF(ABS(C30-H30)&lt;0.005,"MATCHED","CHECK")))</f>
        <v/>
      </c>
      <c r="K30" s="27" t="str">
        <f aca="false">IF(OR(A30="",E30="",F30=""),"",SUMIFS('Sales Log'!$L$5:$L$1004,'Sales Log'!$B$5:$B$1004,A30,'Sales Log'!$A$5:$A$1004,"&gt;="&amp;E30,'Sales Log'!$A$5:$A$1004,"&lt;="&amp;F30,'Sales Log'!$R$5:$R$1004,IF(O30="EXAMPLE","EXAMPLE","&lt;&gt;EXAMPLE")))</f>
        <v/>
      </c>
      <c r="L30" s="16"/>
      <c r="M30" s="16"/>
      <c r="N30" s="16"/>
      <c r="O30" s="16"/>
    </row>
    <row r="31" customFormat="false" ht="15" hidden="false" customHeight="false" outlineLevel="0" collapsed="false">
      <c r="A31" s="16"/>
      <c r="B31" s="25"/>
      <c r="C31" s="26"/>
      <c r="D31" s="16"/>
      <c r="E31" s="25"/>
      <c r="F31" s="25"/>
      <c r="G31" s="25"/>
      <c r="H31" s="26"/>
      <c r="I31" s="27" t="str">
        <f aca="false">IF(OR(C31="",H31=""),"",C31-H31)</f>
        <v/>
      </c>
      <c r="J31" s="8" t="str">
        <f aca="false">IF(C31="","",IF(H31="","WAITING",IF(ABS(C31-H31)&lt;0.005,"MATCHED","CHECK")))</f>
        <v/>
      </c>
      <c r="K31" s="27" t="str">
        <f aca="false">IF(OR(A31="",E31="",F31=""),"",SUMIFS('Sales Log'!$L$5:$L$1004,'Sales Log'!$B$5:$B$1004,A31,'Sales Log'!$A$5:$A$1004,"&gt;="&amp;E31,'Sales Log'!$A$5:$A$1004,"&lt;="&amp;F31,'Sales Log'!$R$5:$R$1004,IF(O31="EXAMPLE","EXAMPLE","&lt;&gt;EXAMPLE")))</f>
        <v/>
      </c>
      <c r="L31" s="16"/>
      <c r="M31" s="16"/>
      <c r="N31" s="16"/>
      <c r="O31" s="16"/>
    </row>
    <row r="32" customFormat="false" ht="15" hidden="false" customHeight="false" outlineLevel="0" collapsed="false">
      <c r="A32" s="16"/>
      <c r="B32" s="25"/>
      <c r="C32" s="26"/>
      <c r="D32" s="16"/>
      <c r="E32" s="25"/>
      <c r="F32" s="25"/>
      <c r="G32" s="25"/>
      <c r="H32" s="26"/>
      <c r="I32" s="27" t="str">
        <f aca="false">IF(OR(C32="",H32=""),"",C32-H32)</f>
        <v/>
      </c>
      <c r="J32" s="8" t="str">
        <f aca="false">IF(C32="","",IF(H32="","WAITING",IF(ABS(C32-H32)&lt;0.005,"MATCHED","CHECK")))</f>
        <v/>
      </c>
      <c r="K32" s="27" t="str">
        <f aca="false">IF(OR(A32="",E32="",F32=""),"",SUMIFS('Sales Log'!$L$5:$L$1004,'Sales Log'!$B$5:$B$1004,A32,'Sales Log'!$A$5:$A$1004,"&gt;="&amp;E32,'Sales Log'!$A$5:$A$1004,"&lt;="&amp;F32,'Sales Log'!$R$5:$R$1004,IF(O32="EXAMPLE","EXAMPLE","&lt;&gt;EXAMPLE")))</f>
        <v/>
      </c>
      <c r="L32" s="16"/>
      <c r="M32" s="16"/>
      <c r="N32" s="16"/>
      <c r="O32" s="16"/>
    </row>
    <row r="33" customFormat="false" ht="15" hidden="false" customHeight="false" outlineLevel="0" collapsed="false">
      <c r="A33" s="16"/>
      <c r="B33" s="25"/>
      <c r="C33" s="26"/>
      <c r="D33" s="16"/>
      <c r="E33" s="25"/>
      <c r="F33" s="25"/>
      <c r="G33" s="25"/>
      <c r="H33" s="26"/>
      <c r="I33" s="27" t="str">
        <f aca="false">IF(OR(C33="",H33=""),"",C33-H33)</f>
        <v/>
      </c>
      <c r="J33" s="8" t="str">
        <f aca="false">IF(C33="","",IF(H33="","WAITING",IF(ABS(C33-H33)&lt;0.005,"MATCHED","CHECK")))</f>
        <v/>
      </c>
      <c r="K33" s="27" t="str">
        <f aca="false">IF(OR(A33="",E33="",F33=""),"",SUMIFS('Sales Log'!$L$5:$L$1004,'Sales Log'!$B$5:$B$1004,A33,'Sales Log'!$A$5:$A$1004,"&gt;="&amp;E33,'Sales Log'!$A$5:$A$1004,"&lt;="&amp;F33,'Sales Log'!$R$5:$R$1004,IF(O33="EXAMPLE","EXAMPLE","&lt;&gt;EXAMPLE")))</f>
        <v/>
      </c>
      <c r="L33" s="16"/>
      <c r="M33" s="16"/>
      <c r="N33" s="16"/>
      <c r="O33" s="16"/>
    </row>
    <row r="34" customFormat="false" ht="15" hidden="false" customHeight="false" outlineLevel="0" collapsed="false">
      <c r="A34" s="16"/>
      <c r="B34" s="25"/>
      <c r="C34" s="26"/>
      <c r="D34" s="16"/>
      <c r="E34" s="25"/>
      <c r="F34" s="25"/>
      <c r="G34" s="25"/>
      <c r="H34" s="26"/>
      <c r="I34" s="27" t="str">
        <f aca="false">IF(OR(C34="",H34=""),"",C34-H34)</f>
        <v/>
      </c>
      <c r="J34" s="8" t="str">
        <f aca="false">IF(C34="","",IF(H34="","WAITING",IF(ABS(C34-H34)&lt;0.005,"MATCHED","CHECK")))</f>
        <v/>
      </c>
      <c r="K34" s="27" t="str">
        <f aca="false">IF(OR(A34="",E34="",F34=""),"",SUMIFS('Sales Log'!$L$5:$L$1004,'Sales Log'!$B$5:$B$1004,A34,'Sales Log'!$A$5:$A$1004,"&gt;="&amp;E34,'Sales Log'!$A$5:$A$1004,"&lt;="&amp;F34,'Sales Log'!$R$5:$R$1004,IF(O34="EXAMPLE","EXAMPLE","&lt;&gt;EXAMPLE")))</f>
        <v/>
      </c>
      <c r="L34" s="16"/>
      <c r="M34" s="16"/>
      <c r="N34" s="16"/>
      <c r="O34" s="16"/>
    </row>
    <row r="35" customFormat="false" ht="15" hidden="false" customHeight="false" outlineLevel="0" collapsed="false">
      <c r="A35" s="16"/>
      <c r="B35" s="25"/>
      <c r="C35" s="26"/>
      <c r="D35" s="16"/>
      <c r="E35" s="25"/>
      <c r="F35" s="25"/>
      <c r="G35" s="25"/>
      <c r="H35" s="26"/>
      <c r="I35" s="27" t="str">
        <f aca="false">IF(OR(C35="",H35=""),"",C35-H35)</f>
        <v/>
      </c>
      <c r="J35" s="8" t="str">
        <f aca="false">IF(C35="","",IF(H35="","WAITING",IF(ABS(C35-H35)&lt;0.005,"MATCHED","CHECK")))</f>
        <v/>
      </c>
      <c r="K35" s="27" t="str">
        <f aca="false">IF(OR(A35="",E35="",F35=""),"",SUMIFS('Sales Log'!$L$5:$L$1004,'Sales Log'!$B$5:$B$1004,A35,'Sales Log'!$A$5:$A$1004,"&gt;="&amp;E35,'Sales Log'!$A$5:$A$1004,"&lt;="&amp;F35,'Sales Log'!$R$5:$R$1004,IF(O35="EXAMPLE","EXAMPLE","&lt;&gt;EXAMPLE")))</f>
        <v/>
      </c>
      <c r="L35" s="16"/>
      <c r="M35" s="16"/>
      <c r="N35" s="16"/>
      <c r="O35" s="16"/>
    </row>
    <row r="36" customFormat="false" ht="15" hidden="false" customHeight="false" outlineLevel="0" collapsed="false">
      <c r="A36" s="16"/>
      <c r="B36" s="25"/>
      <c r="C36" s="26"/>
      <c r="D36" s="16"/>
      <c r="E36" s="25"/>
      <c r="F36" s="25"/>
      <c r="G36" s="25"/>
      <c r="H36" s="26"/>
      <c r="I36" s="27" t="str">
        <f aca="false">IF(OR(C36="",H36=""),"",C36-H36)</f>
        <v/>
      </c>
      <c r="J36" s="8" t="str">
        <f aca="false">IF(C36="","",IF(H36="","WAITING",IF(ABS(C36-H36)&lt;0.005,"MATCHED","CHECK")))</f>
        <v/>
      </c>
      <c r="K36" s="27" t="str">
        <f aca="false">IF(OR(A36="",E36="",F36=""),"",SUMIFS('Sales Log'!$L$5:$L$1004,'Sales Log'!$B$5:$B$1004,A36,'Sales Log'!$A$5:$A$1004,"&gt;="&amp;E36,'Sales Log'!$A$5:$A$1004,"&lt;="&amp;F36,'Sales Log'!$R$5:$R$1004,IF(O36="EXAMPLE","EXAMPLE","&lt;&gt;EXAMPLE")))</f>
        <v/>
      </c>
      <c r="L36" s="16"/>
      <c r="M36" s="16"/>
      <c r="N36" s="16"/>
      <c r="O36" s="16"/>
    </row>
    <row r="37" customFormat="false" ht="15" hidden="false" customHeight="false" outlineLevel="0" collapsed="false">
      <c r="A37" s="16"/>
      <c r="B37" s="25"/>
      <c r="C37" s="26"/>
      <c r="D37" s="16"/>
      <c r="E37" s="25"/>
      <c r="F37" s="25"/>
      <c r="G37" s="25"/>
      <c r="H37" s="26"/>
      <c r="I37" s="27" t="str">
        <f aca="false">IF(OR(C37="",H37=""),"",C37-H37)</f>
        <v/>
      </c>
      <c r="J37" s="8" t="str">
        <f aca="false">IF(C37="","",IF(H37="","WAITING",IF(ABS(C37-H37)&lt;0.005,"MATCHED","CHECK")))</f>
        <v/>
      </c>
      <c r="K37" s="27" t="str">
        <f aca="false">IF(OR(A37="",E37="",F37=""),"",SUMIFS('Sales Log'!$L$5:$L$1004,'Sales Log'!$B$5:$B$1004,A37,'Sales Log'!$A$5:$A$1004,"&gt;="&amp;E37,'Sales Log'!$A$5:$A$1004,"&lt;="&amp;F37,'Sales Log'!$R$5:$R$1004,IF(O37="EXAMPLE","EXAMPLE","&lt;&gt;EXAMPLE")))</f>
        <v/>
      </c>
      <c r="L37" s="16"/>
      <c r="M37" s="16"/>
      <c r="N37" s="16"/>
      <c r="O37" s="16"/>
    </row>
    <row r="38" customFormat="false" ht="15" hidden="false" customHeight="false" outlineLevel="0" collapsed="false">
      <c r="A38" s="16"/>
      <c r="B38" s="25"/>
      <c r="C38" s="26"/>
      <c r="D38" s="16"/>
      <c r="E38" s="25"/>
      <c r="F38" s="25"/>
      <c r="G38" s="25"/>
      <c r="H38" s="26"/>
      <c r="I38" s="27" t="str">
        <f aca="false">IF(OR(C38="",H38=""),"",C38-H38)</f>
        <v/>
      </c>
      <c r="J38" s="8" t="str">
        <f aca="false">IF(C38="","",IF(H38="","WAITING",IF(ABS(C38-H38)&lt;0.005,"MATCHED","CHECK")))</f>
        <v/>
      </c>
      <c r="K38" s="27" t="str">
        <f aca="false">IF(OR(A38="",E38="",F38=""),"",SUMIFS('Sales Log'!$L$5:$L$1004,'Sales Log'!$B$5:$B$1004,A38,'Sales Log'!$A$5:$A$1004,"&gt;="&amp;E38,'Sales Log'!$A$5:$A$1004,"&lt;="&amp;F38,'Sales Log'!$R$5:$R$1004,IF(O38="EXAMPLE","EXAMPLE","&lt;&gt;EXAMPLE")))</f>
        <v/>
      </c>
      <c r="L38" s="16"/>
      <c r="M38" s="16"/>
      <c r="N38" s="16"/>
      <c r="O38" s="16"/>
    </row>
    <row r="39" customFormat="false" ht="15" hidden="false" customHeight="false" outlineLevel="0" collapsed="false">
      <c r="A39" s="16"/>
      <c r="B39" s="25"/>
      <c r="C39" s="26"/>
      <c r="D39" s="16"/>
      <c r="E39" s="25"/>
      <c r="F39" s="25"/>
      <c r="G39" s="25"/>
      <c r="H39" s="26"/>
      <c r="I39" s="27" t="str">
        <f aca="false">IF(OR(C39="",H39=""),"",C39-H39)</f>
        <v/>
      </c>
      <c r="J39" s="8" t="str">
        <f aca="false">IF(C39="","",IF(H39="","WAITING",IF(ABS(C39-H39)&lt;0.005,"MATCHED","CHECK")))</f>
        <v/>
      </c>
      <c r="K39" s="27" t="str">
        <f aca="false">IF(OR(A39="",E39="",F39=""),"",SUMIFS('Sales Log'!$L$5:$L$1004,'Sales Log'!$B$5:$B$1004,A39,'Sales Log'!$A$5:$A$1004,"&gt;="&amp;E39,'Sales Log'!$A$5:$A$1004,"&lt;="&amp;F39,'Sales Log'!$R$5:$R$1004,IF(O39="EXAMPLE","EXAMPLE","&lt;&gt;EXAMPLE")))</f>
        <v/>
      </c>
      <c r="L39" s="16"/>
      <c r="M39" s="16"/>
      <c r="N39" s="16"/>
      <c r="O39" s="16"/>
    </row>
    <row r="40" customFormat="false" ht="15" hidden="false" customHeight="false" outlineLevel="0" collapsed="false">
      <c r="A40" s="16"/>
      <c r="B40" s="25"/>
      <c r="C40" s="26"/>
      <c r="D40" s="16"/>
      <c r="E40" s="25"/>
      <c r="F40" s="25"/>
      <c r="G40" s="25"/>
      <c r="H40" s="26"/>
      <c r="I40" s="27" t="str">
        <f aca="false">IF(OR(C40="",H40=""),"",C40-H40)</f>
        <v/>
      </c>
      <c r="J40" s="8" t="str">
        <f aca="false">IF(C40="","",IF(H40="","WAITING",IF(ABS(C40-H40)&lt;0.005,"MATCHED","CHECK")))</f>
        <v/>
      </c>
      <c r="K40" s="27" t="str">
        <f aca="false">IF(OR(A40="",E40="",F40=""),"",SUMIFS('Sales Log'!$L$5:$L$1004,'Sales Log'!$B$5:$B$1004,A40,'Sales Log'!$A$5:$A$1004,"&gt;="&amp;E40,'Sales Log'!$A$5:$A$1004,"&lt;="&amp;F40,'Sales Log'!$R$5:$R$1004,IF(O40="EXAMPLE","EXAMPLE","&lt;&gt;EXAMPLE")))</f>
        <v/>
      </c>
      <c r="L40" s="16"/>
      <c r="M40" s="16"/>
      <c r="N40" s="16"/>
      <c r="O40" s="16"/>
    </row>
    <row r="41" customFormat="false" ht="15" hidden="false" customHeight="false" outlineLevel="0" collapsed="false">
      <c r="A41" s="16"/>
      <c r="B41" s="25"/>
      <c r="C41" s="26"/>
      <c r="D41" s="16"/>
      <c r="E41" s="25"/>
      <c r="F41" s="25"/>
      <c r="G41" s="25"/>
      <c r="H41" s="26"/>
      <c r="I41" s="27" t="str">
        <f aca="false">IF(OR(C41="",H41=""),"",C41-H41)</f>
        <v/>
      </c>
      <c r="J41" s="8" t="str">
        <f aca="false">IF(C41="","",IF(H41="","WAITING",IF(ABS(C41-H41)&lt;0.005,"MATCHED","CHECK")))</f>
        <v/>
      </c>
      <c r="K41" s="27" t="str">
        <f aca="false">IF(OR(A41="",E41="",F41=""),"",SUMIFS('Sales Log'!$L$5:$L$1004,'Sales Log'!$B$5:$B$1004,A41,'Sales Log'!$A$5:$A$1004,"&gt;="&amp;E41,'Sales Log'!$A$5:$A$1004,"&lt;="&amp;F41,'Sales Log'!$R$5:$R$1004,IF(O41="EXAMPLE","EXAMPLE","&lt;&gt;EXAMPLE")))</f>
        <v/>
      </c>
      <c r="L41" s="16"/>
      <c r="M41" s="16"/>
      <c r="N41" s="16"/>
      <c r="O41" s="16"/>
    </row>
    <row r="42" customFormat="false" ht="15" hidden="false" customHeight="false" outlineLevel="0" collapsed="false">
      <c r="A42" s="16"/>
      <c r="B42" s="25"/>
      <c r="C42" s="26"/>
      <c r="D42" s="16"/>
      <c r="E42" s="25"/>
      <c r="F42" s="25"/>
      <c r="G42" s="25"/>
      <c r="H42" s="26"/>
      <c r="I42" s="27" t="str">
        <f aca="false">IF(OR(C42="",H42=""),"",C42-H42)</f>
        <v/>
      </c>
      <c r="J42" s="8" t="str">
        <f aca="false">IF(C42="","",IF(H42="","WAITING",IF(ABS(C42-H42)&lt;0.005,"MATCHED","CHECK")))</f>
        <v/>
      </c>
      <c r="K42" s="27" t="str">
        <f aca="false">IF(OR(A42="",E42="",F42=""),"",SUMIFS('Sales Log'!$L$5:$L$1004,'Sales Log'!$B$5:$B$1004,A42,'Sales Log'!$A$5:$A$1004,"&gt;="&amp;E42,'Sales Log'!$A$5:$A$1004,"&lt;="&amp;F42,'Sales Log'!$R$5:$R$1004,IF(O42="EXAMPLE","EXAMPLE","&lt;&gt;EXAMPLE")))</f>
        <v/>
      </c>
      <c r="L42" s="16"/>
      <c r="M42" s="16"/>
      <c r="N42" s="16"/>
      <c r="O42" s="16"/>
    </row>
    <row r="43" customFormat="false" ht="15" hidden="false" customHeight="false" outlineLevel="0" collapsed="false">
      <c r="A43" s="16"/>
      <c r="B43" s="25"/>
      <c r="C43" s="26"/>
      <c r="D43" s="16"/>
      <c r="E43" s="25"/>
      <c r="F43" s="25"/>
      <c r="G43" s="25"/>
      <c r="H43" s="26"/>
      <c r="I43" s="27" t="str">
        <f aca="false">IF(OR(C43="",H43=""),"",C43-H43)</f>
        <v/>
      </c>
      <c r="J43" s="8" t="str">
        <f aca="false">IF(C43="","",IF(H43="","WAITING",IF(ABS(C43-H43)&lt;0.005,"MATCHED","CHECK")))</f>
        <v/>
      </c>
      <c r="K43" s="27" t="str">
        <f aca="false">IF(OR(A43="",E43="",F43=""),"",SUMIFS('Sales Log'!$L$5:$L$1004,'Sales Log'!$B$5:$B$1004,A43,'Sales Log'!$A$5:$A$1004,"&gt;="&amp;E43,'Sales Log'!$A$5:$A$1004,"&lt;="&amp;F43,'Sales Log'!$R$5:$R$1004,IF(O43="EXAMPLE","EXAMPLE","&lt;&gt;EXAMPLE")))</f>
        <v/>
      </c>
      <c r="L43" s="16"/>
      <c r="M43" s="16"/>
      <c r="N43" s="16"/>
      <c r="O43" s="16"/>
    </row>
    <row r="44" customFormat="false" ht="15" hidden="false" customHeight="false" outlineLevel="0" collapsed="false">
      <c r="A44" s="16"/>
      <c r="B44" s="25"/>
      <c r="C44" s="26"/>
      <c r="D44" s="16"/>
      <c r="E44" s="25"/>
      <c r="F44" s="25"/>
      <c r="G44" s="25"/>
      <c r="H44" s="26"/>
      <c r="I44" s="27" t="str">
        <f aca="false">IF(OR(C44="",H44=""),"",C44-H44)</f>
        <v/>
      </c>
      <c r="J44" s="8" t="str">
        <f aca="false">IF(C44="","",IF(H44="","WAITING",IF(ABS(C44-H44)&lt;0.005,"MATCHED","CHECK")))</f>
        <v/>
      </c>
      <c r="K44" s="27" t="str">
        <f aca="false">IF(OR(A44="",E44="",F44=""),"",SUMIFS('Sales Log'!$L$5:$L$1004,'Sales Log'!$B$5:$B$1004,A44,'Sales Log'!$A$5:$A$1004,"&gt;="&amp;E44,'Sales Log'!$A$5:$A$1004,"&lt;="&amp;F44,'Sales Log'!$R$5:$R$1004,IF(O44="EXAMPLE","EXAMPLE","&lt;&gt;EXAMPLE")))</f>
        <v/>
      </c>
      <c r="L44" s="16"/>
      <c r="M44" s="16"/>
      <c r="N44" s="16"/>
      <c r="O44" s="16"/>
    </row>
    <row r="45" customFormat="false" ht="15" hidden="false" customHeight="false" outlineLevel="0" collapsed="false">
      <c r="A45" s="16"/>
      <c r="B45" s="25"/>
      <c r="C45" s="26"/>
      <c r="D45" s="16"/>
      <c r="E45" s="25"/>
      <c r="F45" s="25"/>
      <c r="G45" s="25"/>
      <c r="H45" s="26"/>
      <c r="I45" s="27" t="str">
        <f aca="false">IF(OR(C45="",H45=""),"",C45-H45)</f>
        <v/>
      </c>
      <c r="J45" s="8" t="str">
        <f aca="false">IF(C45="","",IF(H45="","WAITING",IF(ABS(C45-H45)&lt;0.005,"MATCHED","CHECK")))</f>
        <v/>
      </c>
      <c r="K45" s="27" t="str">
        <f aca="false">IF(OR(A45="",E45="",F45=""),"",SUMIFS('Sales Log'!$L$5:$L$1004,'Sales Log'!$B$5:$B$1004,A45,'Sales Log'!$A$5:$A$1004,"&gt;="&amp;E45,'Sales Log'!$A$5:$A$1004,"&lt;="&amp;F45,'Sales Log'!$R$5:$R$1004,IF(O45="EXAMPLE","EXAMPLE","&lt;&gt;EXAMPLE")))</f>
        <v/>
      </c>
      <c r="L45" s="16"/>
      <c r="M45" s="16"/>
      <c r="N45" s="16"/>
      <c r="O45" s="16"/>
    </row>
    <row r="46" customFormat="false" ht="15" hidden="false" customHeight="false" outlineLevel="0" collapsed="false">
      <c r="A46" s="16"/>
      <c r="B46" s="25"/>
      <c r="C46" s="26"/>
      <c r="D46" s="16"/>
      <c r="E46" s="25"/>
      <c r="F46" s="25"/>
      <c r="G46" s="25"/>
      <c r="H46" s="26"/>
      <c r="I46" s="27" t="str">
        <f aca="false">IF(OR(C46="",H46=""),"",C46-H46)</f>
        <v/>
      </c>
      <c r="J46" s="8" t="str">
        <f aca="false">IF(C46="","",IF(H46="","WAITING",IF(ABS(C46-H46)&lt;0.005,"MATCHED","CHECK")))</f>
        <v/>
      </c>
      <c r="K46" s="27" t="str">
        <f aca="false">IF(OR(A46="",E46="",F46=""),"",SUMIFS('Sales Log'!$L$5:$L$1004,'Sales Log'!$B$5:$B$1004,A46,'Sales Log'!$A$5:$A$1004,"&gt;="&amp;E46,'Sales Log'!$A$5:$A$1004,"&lt;="&amp;F46,'Sales Log'!$R$5:$R$1004,IF(O46="EXAMPLE","EXAMPLE","&lt;&gt;EXAMPLE")))</f>
        <v/>
      </c>
      <c r="L46" s="16"/>
      <c r="M46" s="16"/>
      <c r="N46" s="16"/>
      <c r="O46" s="16"/>
    </row>
    <row r="47" customFormat="false" ht="15" hidden="false" customHeight="false" outlineLevel="0" collapsed="false">
      <c r="A47" s="16"/>
      <c r="B47" s="25"/>
      <c r="C47" s="26"/>
      <c r="D47" s="16"/>
      <c r="E47" s="25"/>
      <c r="F47" s="25"/>
      <c r="G47" s="25"/>
      <c r="H47" s="26"/>
      <c r="I47" s="27" t="str">
        <f aca="false">IF(OR(C47="",H47=""),"",C47-H47)</f>
        <v/>
      </c>
      <c r="J47" s="8" t="str">
        <f aca="false">IF(C47="","",IF(H47="","WAITING",IF(ABS(C47-H47)&lt;0.005,"MATCHED","CHECK")))</f>
        <v/>
      </c>
      <c r="K47" s="27" t="str">
        <f aca="false">IF(OR(A47="",E47="",F47=""),"",SUMIFS('Sales Log'!$L$5:$L$1004,'Sales Log'!$B$5:$B$1004,A47,'Sales Log'!$A$5:$A$1004,"&gt;="&amp;E47,'Sales Log'!$A$5:$A$1004,"&lt;="&amp;F47,'Sales Log'!$R$5:$R$1004,IF(O47="EXAMPLE","EXAMPLE","&lt;&gt;EXAMPLE")))</f>
        <v/>
      </c>
      <c r="L47" s="16"/>
      <c r="M47" s="16"/>
      <c r="N47" s="16"/>
      <c r="O47" s="16"/>
    </row>
    <row r="48" customFormat="false" ht="15" hidden="false" customHeight="false" outlineLevel="0" collapsed="false">
      <c r="A48" s="16"/>
      <c r="B48" s="25"/>
      <c r="C48" s="26"/>
      <c r="D48" s="16"/>
      <c r="E48" s="25"/>
      <c r="F48" s="25"/>
      <c r="G48" s="25"/>
      <c r="H48" s="26"/>
      <c r="I48" s="27" t="str">
        <f aca="false">IF(OR(C48="",H48=""),"",C48-H48)</f>
        <v/>
      </c>
      <c r="J48" s="8" t="str">
        <f aca="false">IF(C48="","",IF(H48="","WAITING",IF(ABS(C48-H48)&lt;0.005,"MATCHED","CHECK")))</f>
        <v/>
      </c>
      <c r="K48" s="27" t="str">
        <f aca="false">IF(OR(A48="",E48="",F48=""),"",SUMIFS('Sales Log'!$L$5:$L$1004,'Sales Log'!$B$5:$B$1004,A48,'Sales Log'!$A$5:$A$1004,"&gt;="&amp;E48,'Sales Log'!$A$5:$A$1004,"&lt;="&amp;F48,'Sales Log'!$R$5:$R$1004,IF(O48="EXAMPLE","EXAMPLE","&lt;&gt;EXAMPLE")))</f>
        <v/>
      </c>
      <c r="L48" s="16"/>
      <c r="M48" s="16"/>
      <c r="N48" s="16"/>
      <c r="O48" s="16"/>
    </row>
    <row r="49" customFormat="false" ht="15" hidden="false" customHeight="false" outlineLevel="0" collapsed="false">
      <c r="A49" s="16"/>
      <c r="B49" s="25"/>
      <c r="C49" s="26"/>
      <c r="D49" s="16"/>
      <c r="E49" s="25"/>
      <c r="F49" s="25"/>
      <c r="G49" s="25"/>
      <c r="H49" s="26"/>
      <c r="I49" s="27" t="str">
        <f aca="false">IF(OR(C49="",H49=""),"",C49-H49)</f>
        <v/>
      </c>
      <c r="J49" s="8" t="str">
        <f aca="false">IF(C49="","",IF(H49="","WAITING",IF(ABS(C49-H49)&lt;0.005,"MATCHED","CHECK")))</f>
        <v/>
      </c>
      <c r="K49" s="27" t="str">
        <f aca="false">IF(OR(A49="",E49="",F49=""),"",SUMIFS('Sales Log'!$L$5:$L$1004,'Sales Log'!$B$5:$B$1004,A49,'Sales Log'!$A$5:$A$1004,"&gt;="&amp;E49,'Sales Log'!$A$5:$A$1004,"&lt;="&amp;F49,'Sales Log'!$R$5:$R$1004,IF(O49="EXAMPLE","EXAMPLE","&lt;&gt;EXAMPLE")))</f>
        <v/>
      </c>
      <c r="L49" s="16"/>
      <c r="M49" s="16"/>
      <c r="N49" s="16"/>
      <c r="O49" s="16"/>
    </row>
    <row r="50" customFormat="false" ht="15" hidden="false" customHeight="false" outlineLevel="0" collapsed="false">
      <c r="A50" s="16"/>
      <c r="B50" s="25"/>
      <c r="C50" s="26"/>
      <c r="D50" s="16"/>
      <c r="E50" s="25"/>
      <c r="F50" s="25"/>
      <c r="G50" s="25"/>
      <c r="H50" s="26"/>
      <c r="I50" s="27" t="str">
        <f aca="false">IF(OR(C50="",H50=""),"",C50-H50)</f>
        <v/>
      </c>
      <c r="J50" s="8" t="str">
        <f aca="false">IF(C50="","",IF(H50="","WAITING",IF(ABS(C50-H50)&lt;0.005,"MATCHED","CHECK")))</f>
        <v/>
      </c>
      <c r="K50" s="27" t="str">
        <f aca="false">IF(OR(A50="",E50="",F50=""),"",SUMIFS('Sales Log'!$L$5:$L$1004,'Sales Log'!$B$5:$B$1004,A50,'Sales Log'!$A$5:$A$1004,"&gt;="&amp;E50,'Sales Log'!$A$5:$A$1004,"&lt;="&amp;F50,'Sales Log'!$R$5:$R$1004,IF(O50="EXAMPLE","EXAMPLE","&lt;&gt;EXAMPLE")))</f>
        <v/>
      </c>
      <c r="L50" s="16"/>
      <c r="M50" s="16"/>
      <c r="N50" s="16"/>
      <c r="O50" s="16"/>
    </row>
    <row r="51" customFormat="false" ht="15" hidden="false" customHeight="false" outlineLevel="0" collapsed="false">
      <c r="A51" s="16"/>
      <c r="B51" s="25"/>
      <c r="C51" s="26"/>
      <c r="D51" s="16"/>
      <c r="E51" s="25"/>
      <c r="F51" s="25"/>
      <c r="G51" s="25"/>
      <c r="H51" s="26"/>
      <c r="I51" s="27" t="str">
        <f aca="false">IF(OR(C51="",H51=""),"",C51-H51)</f>
        <v/>
      </c>
      <c r="J51" s="8" t="str">
        <f aca="false">IF(C51="","",IF(H51="","WAITING",IF(ABS(C51-H51)&lt;0.005,"MATCHED","CHECK")))</f>
        <v/>
      </c>
      <c r="K51" s="27" t="str">
        <f aca="false">IF(OR(A51="",E51="",F51=""),"",SUMIFS('Sales Log'!$L$5:$L$1004,'Sales Log'!$B$5:$B$1004,A51,'Sales Log'!$A$5:$A$1004,"&gt;="&amp;E51,'Sales Log'!$A$5:$A$1004,"&lt;="&amp;F51,'Sales Log'!$R$5:$R$1004,IF(O51="EXAMPLE","EXAMPLE","&lt;&gt;EXAMPLE")))</f>
        <v/>
      </c>
      <c r="L51" s="16"/>
      <c r="M51" s="16"/>
      <c r="N51" s="16"/>
      <c r="O51" s="16"/>
    </row>
    <row r="52" customFormat="false" ht="15" hidden="false" customHeight="false" outlineLevel="0" collapsed="false">
      <c r="A52" s="16"/>
      <c r="B52" s="25"/>
      <c r="C52" s="26"/>
      <c r="D52" s="16"/>
      <c r="E52" s="25"/>
      <c r="F52" s="25"/>
      <c r="G52" s="25"/>
      <c r="H52" s="26"/>
      <c r="I52" s="27" t="str">
        <f aca="false">IF(OR(C52="",H52=""),"",C52-H52)</f>
        <v/>
      </c>
      <c r="J52" s="8" t="str">
        <f aca="false">IF(C52="","",IF(H52="","WAITING",IF(ABS(C52-H52)&lt;0.005,"MATCHED","CHECK")))</f>
        <v/>
      </c>
      <c r="K52" s="27" t="str">
        <f aca="false">IF(OR(A52="",E52="",F52=""),"",SUMIFS('Sales Log'!$L$5:$L$1004,'Sales Log'!$B$5:$B$1004,A52,'Sales Log'!$A$5:$A$1004,"&gt;="&amp;E52,'Sales Log'!$A$5:$A$1004,"&lt;="&amp;F52,'Sales Log'!$R$5:$R$1004,IF(O52="EXAMPLE","EXAMPLE","&lt;&gt;EXAMPLE")))</f>
        <v/>
      </c>
      <c r="L52" s="16"/>
      <c r="M52" s="16"/>
      <c r="N52" s="16"/>
      <c r="O52" s="16"/>
    </row>
    <row r="53" customFormat="false" ht="15" hidden="false" customHeight="false" outlineLevel="0" collapsed="false">
      <c r="A53" s="16"/>
      <c r="B53" s="25"/>
      <c r="C53" s="26"/>
      <c r="D53" s="16"/>
      <c r="E53" s="25"/>
      <c r="F53" s="25"/>
      <c r="G53" s="25"/>
      <c r="H53" s="26"/>
      <c r="I53" s="27" t="str">
        <f aca="false">IF(OR(C53="",H53=""),"",C53-H53)</f>
        <v/>
      </c>
      <c r="J53" s="8" t="str">
        <f aca="false">IF(C53="","",IF(H53="","WAITING",IF(ABS(C53-H53)&lt;0.005,"MATCHED","CHECK")))</f>
        <v/>
      </c>
      <c r="K53" s="27" t="str">
        <f aca="false">IF(OR(A53="",E53="",F53=""),"",SUMIFS('Sales Log'!$L$5:$L$1004,'Sales Log'!$B$5:$B$1004,A53,'Sales Log'!$A$5:$A$1004,"&gt;="&amp;E53,'Sales Log'!$A$5:$A$1004,"&lt;="&amp;F53,'Sales Log'!$R$5:$R$1004,IF(O53="EXAMPLE","EXAMPLE","&lt;&gt;EXAMPLE")))</f>
        <v/>
      </c>
      <c r="L53" s="16"/>
      <c r="M53" s="16"/>
      <c r="N53" s="16"/>
      <c r="O53" s="16"/>
    </row>
    <row r="54" customFormat="false" ht="15" hidden="false" customHeight="false" outlineLevel="0" collapsed="false">
      <c r="A54" s="16"/>
      <c r="B54" s="25"/>
      <c r="C54" s="26"/>
      <c r="D54" s="16"/>
      <c r="E54" s="25"/>
      <c r="F54" s="25"/>
      <c r="G54" s="25"/>
      <c r="H54" s="26"/>
      <c r="I54" s="27" t="str">
        <f aca="false">IF(OR(C54="",H54=""),"",C54-H54)</f>
        <v/>
      </c>
      <c r="J54" s="8" t="str">
        <f aca="false">IF(C54="","",IF(H54="","WAITING",IF(ABS(C54-H54)&lt;0.005,"MATCHED","CHECK")))</f>
        <v/>
      </c>
      <c r="K54" s="27" t="str">
        <f aca="false">IF(OR(A54="",E54="",F54=""),"",SUMIFS('Sales Log'!$L$5:$L$1004,'Sales Log'!$B$5:$B$1004,A54,'Sales Log'!$A$5:$A$1004,"&gt;="&amp;E54,'Sales Log'!$A$5:$A$1004,"&lt;="&amp;F54,'Sales Log'!$R$5:$R$1004,IF(O54="EXAMPLE","EXAMPLE","&lt;&gt;EXAMPLE")))</f>
        <v/>
      </c>
      <c r="L54" s="16"/>
      <c r="M54" s="16"/>
      <c r="N54" s="16"/>
      <c r="O54" s="16"/>
    </row>
    <row r="55" customFormat="false" ht="15" hidden="false" customHeight="false" outlineLevel="0" collapsed="false">
      <c r="A55" s="16"/>
      <c r="B55" s="25"/>
      <c r="C55" s="26"/>
      <c r="D55" s="16"/>
      <c r="E55" s="25"/>
      <c r="F55" s="25"/>
      <c r="G55" s="25"/>
      <c r="H55" s="26"/>
      <c r="I55" s="27" t="str">
        <f aca="false">IF(OR(C55="",H55=""),"",C55-H55)</f>
        <v/>
      </c>
      <c r="J55" s="8" t="str">
        <f aca="false">IF(C55="","",IF(H55="","WAITING",IF(ABS(C55-H55)&lt;0.005,"MATCHED","CHECK")))</f>
        <v/>
      </c>
      <c r="K55" s="27" t="str">
        <f aca="false">IF(OR(A55="",E55="",F55=""),"",SUMIFS('Sales Log'!$L$5:$L$1004,'Sales Log'!$B$5:$B$1004,A55,'Sales Log'!$A$5:$A$1004,"&gt;="&amp;E55,'Sales Log'!$A$5:$A$1004,"&lt;="&amp;F55,'Sales Log'!$R$5:$R$1004,IF(O55="EXAMPLE","EXAMPLE","&lt;&gt;EXAMPLE")))</f>
        <v/>
      </c>
      <c r="L55" s="16"/>
      <c r="M55" s="16"/>
      <c r="N55" s="16"/>
      <c r="O55" s="16"/>
    </row>
    <row r="56" customFormat="false" ht="15" hidden="false" customHeight="false" outlineLevel="0" collapsed="false">
      <c r="A56" s="16"/>
      <c r="B56" s="25"/>
      <c r="C56" s="26"/>
      <c r="D56" s="16"/>
      <c r="E56" s="25"/>
      <c r="F56" s="25"/>
      <c r="G56" s="25"/>
      <c r="H56" s="26"/>
      <c r="I56" s="27" t="str">
        <f aca="false">IF(OR(C56="",H56=""),"",C56-H56)</f>
        <v/>
      </c>
      <c r="J56" s="8" t="str">
        <f aca="false">IF(C56="","",IF(H56="","WAITING",IF(ABS(C56-H56)&lt;0.005,"MATCHED","CHECK")))</f>
        <v/>
      </c>
      <c r="K56" s="27" t="str">
        <f aca="false">IF(OR(A56="",E56="",F56=""),"",SUMIFS('Sales Log'!$L$5:$L$1004,'Sales Log'!$B$5:$B$1004,A56,'Sales Log'!$A$5:$A$1004,"&gt;="&amp;E56,'Sales Log'!$A$5:$A$1004,"&lt;="&amp;F56,'Sales Log'!$R$5:$R$1004,IF(O56="EXAMPLE","EXAMPLE","&lt;&gt;EXAMPLE")))</f>
        <v/>
      </c>
      <c r="L56" s="16"/>
      <c r="M56" s="16"/>
      <c r="N56" s="16"/>
      <c r="O56" s="16"/>
    </row>
    <row r="57" customFormat="false" ht="15" hidden="false" customHeight="false" outlineLevel="0" collapsed="false">
      <c r="A57" s="16"/>
      <c r="B57" s="25"/>
      <c r="C57" s="26"/>
      <c r="D57" s="16"/>
      <c r="E57" s="25"/>
      <c r="F57" s="25"/>
      <c r="G57" s="25"/>
      <c r="H57" s="26"/>
      <c r="I57" s="27" t="str">
        <f aca="false">IF(OR(C57="",H57=""),"",C57-H57)</f>
        <v/>
      </c>
      <c r="J57" s="8" t="str">
        <f aca="false">IF(C57="","",IF(H57="","WAITING",IF(ABS(C57-H57)&lt;0.005,"MATCHED","CHECK")))</f>
        <v/>
      </c>
      <c r="K57" s="27" t="str">
        <f aca="false">IF(OR(A57="",E57="",F57=""),"",SUMIFS('Sales Log'!$L$5:$L$1004,'Sales Log'!$B$5:$B$1004,A57,'Sales Log'!$A$5:$A$1004,"&gt;="&amp;E57,'Sales Log'!$A$5:$A$1004,"&lt;="&amp;F57,'Sales Log'!$R$5:$R$1004,IF(O57="EXAMPLE","EXAMPLE","&lt;&gt;EXAMPLE")))</f>
        <v/>
      </c>
      <c r="L57" s="16"/>
      <c r="M57" s="16"/>
      <c r="N57" s="16"/>
      <c r="O57" s="16"/>
    </row>
    <row r="58" customFormat="false" ht="15" hidden="false" customHeight="false" outlineLevel="0" collapsed="false">
      <c r="A58" s="16"/>
      <c r="B58" s="25"/>
      <c r="C58" s="26"/>
      <c r="D58" s="16"/>
      <c r="E58" s="25"/>
      <c r="F58" s="25"/>
      <c r="G58" s="25"/>
      <c r="H58" s="26"/>
      <c r="I58" s="27" t="str">
        <f aca="false">IF(OR(C58="",H58=""),"",C58-H58)</f>
        <v/>
      </c>
      <c r="J58" s="8" t="str">
        <f aca="false">IF(C58="","",IF(H58="","WAITING",IF(ABS(C58-H58)&lt;0.005,"MATCHED","CHECK")))</f>
        <v/>
      </c>
      <c r="K58" s="27" t="str">
        <f aca="false">IF(OR(A58="",E58="",F58=""),"",SUMIFS('Sales Log'!$L$5:$L$1004,'Sales Log'!$B$5:$B$1004,A58,'Sales Log'!$A$5:$A$1004,"&gt;="&amp;E58,'Sales Log'!$A$5:$A$1004,"&lt;="&amp;F58,'Sales Log'!$R$5:$R$1004,IF(O58="EXAMPLE","EXAMPLE","&lt;&gt;EXAMPLE")))</f>
        <v/>
      </c>
      <c r="L58" s="16"/>
      <c r="M58" s="16"/>
      <c r="N58" s="16"/>
      <c r="O58" s="16"/>
    </row>
    <row r="59" customFormat="false" ht="15" hidden="false" customHeight="false" outlineLevel="0" collapsed="false">
      <c r="A59" s="16"/>
      <c r="B59" s="25"/>
      <c r="C59" s="26"/>
      <c r="D59" s="16"/>
      <c r="E59" s="25"/>
      <c r="F59" s="25"/>
      <c r="G59" s="25"/>
      <c r="H59" s="26"/>
      <c r="I59" s="27" t="str">
        <f aca="false">IF(OR(C59="",H59=""),"",C59-H59)</f>
        <v/>
      </c>
      <c r="J59" s="8" t="str">
        <f aca="false">IF(C59="","",IF(H59="","WAITING",IF(ABS(C59-H59)&lt;0.005,"MATCHED","CHECK")))</f>
        <v/>
      </c>
      <c r="K59" s="27" t="str">
        <f aca="false">IF(OR(A59="",E59="",F59=""),"",SUMIFS('Sales Log'!$L$5:$L$1004,'Sales Log'!$B$5:$B$1004,A59,'Sales Log'!$A$5:$A$1004,"&gt;="&amp;E59,'Sales Log'!$A$5:$A$1004,"&lt;="&amp;F59,'Sales Log'!$R$5:$R$1004,IF(O59="EXAMPLE","EXAMPLE","&lt;&gt;EXAMPLE")))</f>
        <v/>
      </c>
      <c r="L59" s="16"/>
      <c r="M59" s="16"/>
      <c r="N59" s="16"/>
      <c r="O59" s="16"/>
    </row>
    <row r="60" customFormat="false" ht="15" hidden="false" customHeight="false" outlineLevel="0" collapsed="false">
      <c r="A60" s="16"/>
      <c r="B60" s="25"/>
      <c r="C60" s="26"/>
      <c r="D60" s="16"/>
      <c r="E60" s="25"/>
      <c r="F60" s="25"/>
      <c r="G60" s="25"/>
      <c r="H60" s="26"/>
      <c r="I60" s="27" t="str">
        <f aca="false">IF(OR(C60="",H60=""),"",C60-H60)</f>
        <v/>
      </c>
      <c r="J60" s="8" t="str">
        <f aca="false">IF(C60="","",IF(H60="","WAITING",IF(ABS(C60-H60)&lt;0.005,"MATCHED","CHECK")))</f>
        <v/>
      </c>
      <c r="K60" s="27" t="str">
        <f aca="false">IF(OR(A60="",E60="",F60=""),"",SUMIFS('Sales Log'!$L$5:$L$1004,'Sales Log'!$B$5:$B$1004,A60,'Sales Log'!$A$5:$A$1004,"&gt;="&amp;E60,'Sales Log'!$A$5:$A$1004,"&lt;="&amp;F60,'Sales Log'!$R$5:$R$1004,IF(O60="EXAMPLE","EXAMPLE","&lt;&gt;EXAMPLE")))</f>
        <v/>
      </c>
      <c r="L60" s="16"/>
      <c r="M60" s="16"/>
      <c r="N60" s="16"/>
      <c r="O60" s="16"/>
    </row>
    <row r="61" customFormat="false" ht="15" hidden="false" customHeight="false" outlineLevel="0" collapsed="false">
      <c r="A61" s="16"/>
      <c r="B61" s="25"/>
      <c r="C61" s="26"/>
      <c r="D61" s="16"/>
      <c r="E61" s="25"/>
      <c r="F61" s="25"/>
      <c r="G61" s="25"/>
      <c r="H61" s="26"/>
      <c r="I61" s="27" t="str">
        <f aca="false">IF(OR(C61="",H61=""),"",C61-H61)</f>
        <v/>
      </c>
      <c r="J61" s="8" t="str">
        <f aca="false">IF(C61="","",IF(H61="","WAITING",IF(ABS(C61-H61)&lt;0.005,"MATCHED","CHECK")))</f>
        <v/>
      </c>
      <c r="K61" s="27" t="str">
        <f aca="false">IF(OR(A61="",E61="",F61=""),"",SUMIFS('Sales Log'!$L$5:$L$1004,'Sales Log'!$B$5:$B$1004,A61,'Sales Log'!$A$5:$A$1004,"&gt;="&amp;E61,'Sales Log'!$A$5:$A$1004,"&lt;="&amp;F61,'Sales Log'!$R$5:$R$1004,IF(O61="EXAMPLE","EXAMPLE","&lt;&gt;EXAMPLE")))</f>
        <v/>
      </c>
      <c r="L61" s="16"/>
      <c r="M61" s="16"/>
      <c r="N61" s="16"/>
      <c r="O61" s="16"/>
    </row>
    <row r="62" customFormat="false" ht="15" hidden="false" customHeight="false" outlineLevel="0" collapsed="false">
      <c r="A62" s="16"/>
      <c r="B62" s="25"/>
      <c r="C62" s="26"/>
      <c r="D62" s="16"/>
      <c r="E62" s="25"/>
      <c r="F62" s="25"/>
      <c r="G62" s="25"/>
      <c r="H62" s="26"/>
      <c r="I62" s="27" t="str">
        <f aca="false">IF(OR(C62="",H62=""),"",C62-H62)</f>
        <v/>
      </c>
      <c r="J62" s="8" t="str">
        <f aca="false">IF(C62="","",IF(H62="","WAITING",IF(ABS(C62-H62)&lt;0.005,"MATCHED","CHECK")))</f>
        <v/>
      </c>
      <c r="K62" s="27" t="str">
        <f aca="false">IF(OR(A62="",E62="",F62=""),"",SUMIFS('Sales Log'!$L$5:$L$1004,'Sales Log'!$B$5:$B$1004,A62,'Sales Log'!$A$5:$A$1004,"&gt;="&amp;E62,'Sales Log'!$A$5:$A$1004,"&lt;="&amp;F62,'Sales Log'!$R$5:$R$1004,IF(O62="EXAMPLE","EXAMPLE","&lt;&gt;EXAMPLE")))</f>
        <v/>
      </c>
      <c r="L62" s="16"/>
      <c r="M62" s="16"/>
      <c r="N62" s="16"/>
      <c r="O62" s="16"/>
    </row>
    <row r="63" customFormat="false" ht="15" hidden="false" customHeight="false" outlineLevel="0" collapsed="false">
      <c r="A63" s="16"/>
      <c r="B63" s="25"/>
      <c r="C63" s="26"/>
      <c r="D63" s="16"/>
      <c r="E63" s="25"/>
      <c r="F63" s="25"/>
      <c r="G63" s="25"/>
      <c r="H63" s="26"/>
      <c r="I63" s="27" t="str">
        <f aca="false">IF(OR(C63="",H63=""),"",C63-H63)</f>
        <v/>
      </c>
      <c r="J63" s="8" t="str">
        <f aca="false">IF(C63="","",IF(H63="","WAITING",IF(ABS(C63-H63)&lt;0.005,"MATCHED","CHECK")))</f>
        <v/>
      </c>
      <c r="K63" s="27" t="str">
        <f aca="false">IF(OR(A63="",E63="",F63=""),"",SUMIFS('Sales Log'!$L$5:$L$1004,'Sales Log'!$B$5:$B$1004,A63,'Sales Log'!$A$5:$A$1004,"&gt;="&amp;E63,'Sales Log'!$A$5:$A$1004,"&lt;="&amp;F63,'Sales Log'!$R$5:$R$1004,IF(O63="EXAMPLE","EXAMPLE","&lt;&gt;EXAMPLE")))</f>
        <v/>
      </c>
      <c r="L63" s="16"/>
      <c r="M63" s="16"/>
      <c r="N63" s="16"/>
      <c r="O63" s="16"/>
    </row>
    <row r="64" customFormat="false" ht="15" hidden="false" customHeight="false" outlineLevel="0" collapsed="false">
      <c r="A64" s="16"/>
      <c r="B64" s="25"/>
      <c r="C64" s="26"/>
      <c r="D64" s="16"/>
      <c r="E64" s="25"/>
      <c r="F64" s="25"/>
      <c r="G64" s="25"/>
      <c r="H64" s="26"/>
      <c r="I64" s="27" t="str">
        <f aca="false">IF(OR(C64="",H64=""),"",C64-H64)</f>
        <v/>
      </c>
      <c r="J64" s="8" t="str">
        <f aca="false">IF(C64="","",IF(H64="","WAITING",IF(ABS(C64-H64)&lt;0.005,"MATCHED","CHECK")))</f>
        <v/>
      </c>
      <c r="K64" s="27" t="str">
        <f aca="false">IF(OR(A64="",E64="",F64=""),"",SUMIFS('Sales Log'!$L$5:$L$1004,'Sales Log'!$B$5:$B$1004,A64,'Sales Log'!$A$5:$A$1004,"&gt;="&amp;E64,'Sales Log'!$A$5:$A$1004,"&lt;="&amp;F64,'Sales Log'!$R$5:$R$1004,IF(O64="EXAMPLE","EXAMPLE","&lt;&gt;EXAMPLE")))</f>
        <v/>
      </c>
      <c r="L64" s="16"/>
      <c r="M64" s="16"/>
      <c r="N64" s="16"/>
      <c r="O64" s="16"/>
    </row>
    <row r="65" customFormat="false" ht="15" hidden="false" customHeight="false" outlineLevel="0" collapsed="false">
      <c r="A65" s="16"/>
      <c r="B65" s="25"/>
      <c r="C65" s="26"/>
      <c r="D65" s="16"/>
      <c r="E65" s="25"/>
      <c r="F65" s="25"/>
      <c r="G65" s="25"/>
      <c r="H65" s="26"/>
      <c r="I65" s="27" t="str">
        <f aca="false">IF(OR(C65="",H65=""),"",C65-H65)</f>
        <v/>
      </c>
      <c r="J65" s="8" t="str">
        <f aca="false">IF(C65="","",IF(H65="","WAITING",IF(ABS(C65-H65)&lt;0.005,"MATCHED","CHECK")))</f>
        <v/>
      </c>
      <c r="K65" s="27" t="str">
        <f aca="false">IF(OR(A65="",E65="",F65=""),"",SUMIFS('Sales Log'!$L$5:$L$1004,'Sales Log'!$B$5:$B$1004,A65,'Sales Log'!$A$5:$A$1004,"&gt;="&amp;E65,'Sales Log'!$A$5:$A$1004,"&lt;="&amp;F65,'Sales Log'!$R$5:$R$1004,IF(O65="EXAMPLE","EXAMPLE","&lt;&gt;EXAMPLE")))</f>
        <v/>
      </c>
      <c r="L65" s="16"/>
      <c r="M65" s="16"/>
      <c r="N65" s="16"/>
      <c r="O65" s="16"/>
    </row>
    <row r="66" customFormat="false" ht="15" hidden="false" customHeight="false" outlineLevel="0" collapsed="false">
      <c r="A66" s="16"/>
      <c r="B66" s="25"/>
      <c r="C66" s="26"/>
      <c r="D66" s="16"/>
      <c r="E66" s="25"/>
      <c r="F66" s="25"/>
      <c r="G66" s="25"/>
      <c r="H66" s="26"/>
      <c r="I66" s="27" t="str">
        <f aca="false">IF(OR(C66="",H66=""),"",C66-H66)</f>
        <v/>
      </c>
      <c r="J66" s="8" t="str">
        <f aca="false">IF(C66="","",IF(H66="","WAITING",IF(ABS(C66-H66)&lt;0.005,"MATCHED","CHECK")))</f>
        <v/>
      </c>
      <c r="K66" s="27" t="str">
        <f aca="false">IF(OR(A66="",E66="",F66=""),"",SUMIFS('Sales Log'!$L$5:$L$1004,'Sales Log'!$B$5:$B$1004,A66,'Sales Log'!$A$5:$A$1004,"&gt;="&amp;E66,'Sales Log'!$A$5:$A$1004,"&lt;="&amp;F66,'Sales Log'!$R$5:$R$1004,IF(O66="EXAMPLE","EXAMPLE","&lt;&gt;EXAMPLE")))</f>
        <v/>
      </c>
      <c r="L66" s="16"/>
      <c r="M66" s="16"/>
      <c r="N66" s="16"/>
      <c r="O66" s="16"/>
    </row>
    <row r="67" customFormat="false" ht="15" hidden="false" customHeight="false" outlineLevel="0" collapsed="false">
      <c r="A67" s="16"/>
      <c r="B67" s="25"/>
      <c r="C67" s="26"/>
      <c r="D67" s="16"/>
      <c r="E67" s="25"/>
      <c r="F67" s="25"/>
      <c r="G67" s="25"/>
      <c r="H67" s="26"/>
      <c r="I67" s="27" t="str">
        <f aca="false">IF(OR(C67="",H67=""),"",C67-H67)</f>
        <v/>
      </c>
      <c r="J67" s="8" t="str">
        <f aca="false">IF(C67="","",IF(H67="","WAITING",IF(ABS(C67-H67)&lt;0.005,"MATCHED","CHECK")))</f>
        <v/>
      </c>
      <c r="K67" s="27" t="str">
        <f aca="false">IF(OR(A67="",E67="",F67=""),"",SUMIFS('Sales Log'!$L$5:$L$1004,'Sales Log'!$B$5:$B$1004,A67,'Sales Log'!$A$5:$A$1004,"&gt;="&amp;E67,'Sales Log'!$A$5:$A$1004,"&lt;="&amp;F67,'Sales Log'!$R$5:$R$1004,IF(O67="EXAMPLE","EXAMPLE","&lt;&gt;EXAMPLE")))</f>
        <v/>
      </c>
      <c r="L67" s="16"/>
      <c r="M67" s="16"/>
      <c r="N67" s="16"/>
      <c r="O67" s="16"/>
    </row>
    <row r="68" customFormat="false" ht="15" hidden="false" customHeight="false" outlineLevel="0" collapsed="false">
      <c r="A68" s="16"/>
      <c r="B68" s="25"/>
      <c r="C68" s="26"/>
      <c r="D68" s="16"/>
      <c r="E68" s="25"/>
      <c r="F68" s="25"/>
      <c r="G68" s="25"/>
      <c r="H68" s="26"/>
      <c r="I68" s="27" t="str">
        <f aca="false">IF(OR(C68="",H68=""),"",C68-H68)</f>
        <v/>
      </c>
      <c r="J68" s="8" t="str">
        <f aca="false">IF(C68="","",IF(H68="","WAITING",IF(ABS(C68-H68)&lt;0.005,"MATCHED","CHECK")))</f>
        <v/>
      </c>
      <c r="K68" s="27" t="str">
        <f aca="false">IF(OR(A68="",E68="",F68=""),"",SUMIFS('Sales Log'!$L$5:$L$1004,'Sales Log'!$B$5:$B$1004,A68,'Sales Log'!$A$5:$A$1004,"&gt;="&amp;E68,'Sales Log'!$A$5:$A$1004,"&lt;="&amp;F68,'Sales Log'!$R$5:$R$1004,IF(O68="EXAMPLE","EXAMPLE","&lt;&gt;EXAMPLE")))</f>
        <v/>
      </c>
      <c r="L68" s="16"/>
      <c r="M68" s="16"/>
      <c r="N68" s="16"/>
      <c r="O68" s="16"/>
    </row>
    <row r="69" customFormat="false" ht="15" hidden="false" customHeight="false" outlineLevel="0" collapsed="false">
      <c r="A69" s="16"/>
      <c r="B69" s="25"/>
      <c r="C69" s="26"/>
      <c r="D69" s="16"/>
      <c r="E69" s="25"/>
      <c r="F69" s="25"/>
      <c r="G69" s="25"/>
      <c r="H69" s="26"/>
      <c r="I69" s="27" t="str">
        <f aca="false">IF(OR(C69="",H69=""),"",C69-H69)</f>
        <v/>
      </c>
      <c r="J69" s="8" t="str">
        <f aca="false">IF(C69="","",IF(H69="","WAITING",IF(ABS(C69-H69)&lt;0.005,"MATCHED","CHECK")))</f>
        <v/>
      </c>
      <c r="K69" s="27" t="str">
        <f aca="false">IF(OR(A69="",E69="",F69=""),"",SUMIFS('Sales Log'!$L$5:$L$1004,'Sales Log'!$B$5:$B$1004,A69,'Sales Log'!$A$5:$A$1004,"&gt;="&amp;E69,'Sales Log'!$A$5:$A$1004,"&lt;="&amp;F69,'Sales Log'!$R$5:$R$1004,IF(O69="EXAMPLE","EXAMPLE","&lt;&gt;EXAMPLE")))</f>
        <v/>
      </c>
      <c r="L69" s="16"/>
      <c r="M69" s="16"/>
      <c r="N69" s="16"/>
      <c r="O69" s="16"/>
    </row>
    <row r="70" customFormat="false" ht="15" hidden="false" customHeight="false" outlineLevel="0" collapsed="false">
      <c r="A70" s="16"/>
      <c r="B70" s="25"/>
      <c r="C70" s="26"/>
      <c r="D70" s="16"/>
      <c r="E70" s="25"/>
      <c r="F70" s="25"/>
      <c r="G70" s="25"/>
      <c r="H70" s="26"/>
      <c r="I70" s="27" t="str">
        <f aca="false">IF(OR(C70="",H70=""),"",C70-H70)</f>
        <v/>
      </c>
      <c r="J70" s="8" t="str">
        <f aca="false">IF(C70="","",IF(H70="","WAITING",IF(ABS(C70-H70)&lt;0.005,"MATCHED","CHECK")))</f>
        <v/>
      </c>
      <c r="K70" s="27" t="str">
        <f aca="false">IF(OR(A70="",E70="",F70=""),"",SUMIFS('Sales Log'!$L$5:$L$1004,'Sales Log'!$B$5:$B$1004,A70,'Sales Log'!$A$5:$A$1004,"&gt;="&amp;E70,'Sales Log'!$A$5:$A$1004,"&lt;="&amp;F70,'Sales Log'!$R$5:$R$1004,IF(O70="EXAMPLE","EXAMPLE","&lt;&gt;EXAMPLE")))</f>
        <v/>
      </c>
      <c r="L70" s="16"/>
      <c r="M70" s="16"/>
      <c r="N70" s="16"/>
      <c r="O70" s="16"/>
    </row>
    <row r="71" customFormat="false" ht="15" hidden="false" customHeight="false" outlineLevel="0" collapsed="false">
      <c r="A71" s="16"/>
      <c r="B71" s="25"/>
      <c r="C71" s="26"/>
      <c r="D71" s="16"/>
      <c r="E71" s="25"/>
      <c r="F71" s="25"/>
      <c r="G71" s="25"/>
      <c r="H71" s="26"/>
      <c r="I71" s="27" t="str">
        <f aca="false">IF(OR(C71="",H71=""),"",C71-H71)</f>
        <v/>
      </c>
      <c r="J71" s="8" t="str">
        <f aca="false">IF(C71="","",IF(H71="","WAITING",IF(ABS(C71-H71)&lt;0.005,"MATCHED","CHECK")))</f>
        <v/>
      </c>
      <c r="K71" s="27" t="str">
        <f aca="false">IF(OR(A71="",E71="",F71=""),"",SUMIFS('Sales Log'!$L$5:$L$1004,'Sales Log'!$B$5:$B$1004,A71,'Sales Log'!$A$5:$A$1004,"&gt;="&amp;E71,'Sales Log'!$A$5:$A$1004,"&lt;="&amp;F71,'Sales Log'!$R$5:$R$1004,IF(O71="EXAMPLE","EXAMPLE","&lt;&gt;EXAMPLE")))</f>
        <v/>
      </c>
      <c r="L71" s="16"/>
      <c r="M71" s="16"/>
      <c r="N71" s="16"/>
      <c r="O71" s="16"/>
    </row>
    <row r="72" customFormat="false" ht="15" hidden="false" customHeight="false" outlineLevel="0" collapsed="false">
      <c r="A72" s="16"/>
      <c r="B72" s="25"/>
      <c r="C72" s="26"/>
      <c r="D72" s="16"/>
      <c r="E72" s="25"/>
      <c r="F72" s="25"/>
      <c r="G72" s="25"/>
      <c r="H72" s="26"/>
      <c r="I72" s="27" t="str">
        <f aca="false">IF(OR(C72="",H72=""),"",C72-H72)</f>
        <v/>
      </c>
      <c r="J72" s="8" t="str">
        <f aca="false">IF(C72="","",IF(H72="","WAITING",IF(ABS(C72-H72)&lt;0.005,"MATCHED","CHECK")))</f>
        <v/>
      </c>
      <c r="K72" s="27" t="str">
        <f aca="false">IF(OR(A72="",E72="",F72=""),"",SUMIFS('Sales Log'!$L$5:$L$1004,'Sales Log'!$B$5:$B$1004,A72,'Sales Log'!$A$5:$A$1004,"&gt;="&amp;E72,'Sales Log'!$A$5:$A$1004,"&lt;="&amp;F72,'Sales Log'!$R$5:$R$1004,IF(O72="EXAMPLE","EXAMPLE","&lt;&gt;EXAMPLE")))</f>
        <v/>
      </c>
      <c r="L72" s="16"/>
      <c r="M72" s="16"/>
      <c r="N72" s="16"/>
      <c r="O72" s="16"/>
    </row>
    <row r="73" customFormat="false" ht="15" hidden="false" customHeight="false" outlineLevel="0" collapsed="false">
      <c r="A73" s="16"/>
      <c r="B73" s="25"/>
      <c r="C73" s="26"/>
      <c r="D73" s="16"/>
      <c r="E73" s="25"/>
      <c r="F73" s="25"/>
      <c r="G73" s="25"/>
      <c r="H73" s="26"/>
      <c r="I73" s="27" t="str">
        <f aca="false">IF(OR(C73="",H73=""),"",C73-H73)</f>
        <v/>
      </c>
      <c r="J73" s="8" t="str">
        <f aca="false">IF(C73="","",IF(H73="","WAITING",IF(ABS(C73-H73)&lt;0.005,"MATCHED","CHECK")))</f>
        <v/>
      </c>
      <c r="K73" s="27" t="str">
        <f aca="false">IF(OR(A73="",E73="",F73=""),"",SUMIFS('Sales Log'!$L$5:$L$1004,'Sales Log'!$B$5:$B$1004,A73,'Sales Log'!$A$5:$A$1004,"&gt;="&amp;E73,'Sales Log'!$A$5:$A$1004,"&lt;="&amp;F73,'Sales Log'!$R$5:$R$1004,IF(O73="EXAMPLE","EXAMPLE","&lt;&gt;EXAMPLE")))</f>
        <v/>
      </c>
      <c r="L73" s="16"/>
      <c r="M73" s="16"/>
      <c r="N73" s="16"/>
      <c r="O73" s="16"/>
    </row>
    <row r="74" customFormat="false" ht="15" hidden="false" customHeight="false" outlineLevel="0" collapsed="false">
      <c r="A74" s="16"/>
      <c r="B74" s="25"/>
      <c r="C74" s="26"/>
      <c r="D74" s="16"/>
      <c r="E74" s="25"/>
      <c r="F74" s="25"/>
      <c r="G74" s="25"/>
      <c r="H74" s="26"/>
      <c r="I74" s="27" t="str">
        <f aca="false">IF(OR(C74="",H74=""),"",C74-H74)</f>
        <v/>
      </c>
      <c r="J74" s="8" t="str">
        <f aca="false">IF(C74="","",IF(H74="","WAITING",IF(ABS(C74-H74)&lt;0.005,"MATCHED","CHECK")))</f>
        <v/>
      </c>
      <c r="K74" s="27" t="str">
        <f aca="false">IF(OR(A74="",E74="",F74=""),"",SUMIFS('Sales Log'!$L$5:$L$1004,'Sales Log'!$B$5:$B$1004,A74,'Sales Log'!$A$5:$A$1004,"&gt;="&amp;E74,'Sales Log'!$A$5:$A$1004,"&lt;="&amp;F74,'Sales Log'!$R$5:$R$1004,IF(O74="EXAMPLE","EXAMPLE","&lt;&gt;EXAMPLE")))</f>
        <v/>
      </c>
      <c r="L74" s="16"/>
      <c r="M74" s="16"/>
      <c r="N74" s="16"/>
      <c r="O74" s="16"/>
    </row>
    <row r="75" customFormat="false" ht="15" hidden="false" customHeight="false" outlineLevel="0" collapsed="false">
      <c r="A75" s="16"/>
      <c r="B75" s="25"/>
      <c r="C75" s="26"/>
      <c r="D75" s="16"/>
      <c r="E75" s="25"/>
      <c r="F75" s="25"/>
      <c r="G75" s="25"/>
      <c r="H75" s="26"/>
      <c r="I75" s="27" t="str">
        <f aca="false">IF(OR(C75="",H75=""),"",C75-H75)</f>
        <v/>
      </c>
      <c r="J75" s="8" t="str">
        <f aca="false">IF(C75="","",IF(H75="","WAITING",IF(ABS(C75-H75)&lt;0.005,"MATCHED","CHECK")))</f>
        <v/>
      </c>
      <c r="K75" s="27" t="str">
        <f aca="false">IF(OR(A75="",E75="",F75=""),"",SUMIFS('Sales Log'!$L$5:$L$1004,'Sales Log'!$B$5:$B$1004,A75,'Sales Log'!$A$5:$A$1004,"&gt;="&amp;E75,'Sales Log'!$A$5:$A$1004,"&lt;="&amp;F75,'Sales Log'!$R$5:$R$1004,IF(O75="EXAMPLE","EXAMPLE","&lt;&gt;EXAMPLE")))</f>
        <v/>
      </c>
      <c r="L75" s="16"/>
      <c r="M75" s="16"/>
      <c r="N75" s="16"/>
      <c r="O75" s="16"/>
    </row>
    <row r="76" customFormat="false" ht="15" hidden="false" customHeight="false" outlineLevel="0" collapsed="false">
      <c r="A76" s="16"/>
      <c r="B76" s="25"/>
      <c r="C76" s="26"/>
      <c r="D76" s="16"/>
      <c r="E76" s="25"/>
      <c r="F76" s="25"/>
      <c r="G76" s="25"/>
      <c r="H76" s="26"/>
      <c r="I76" s="27" t="str">
        <f aca="false">IF(OR(C76="",H76=""),"",C76-H76)</f>
        <v/>
      </c>
      <c r="J76" s="8" t="str">
        <f aca="false">IF(C76="","",IF(H76="","WAITING",IF(ABS(C76-H76)&lt;0.005,"MATCHED","CHECK")))</f>
        <v/>
      </c>
      <c r="K76" s="27" t="str">
        <f aca="false">IF(OR(A76="",E76="",F76=""),"",SUMIFS('Sales Log'!$L$5:$L$1004,'Sales Log'!$B$5:$B$1004,A76,'Sales Log'!$A$5:$A$1004,"&gt;="&amp;E76,'Sales Log'!$A$5:$A$1004,"&lt;="&amp;F76,'Sales Log'!$R$5:$R$1004,IF(O76="EXAMPLE","EXAMPLE","&lt;&gt;EXAMPLE")))</f>
        <v/>
      </c>
      <c r="L76" s="16"/>
      <c r="M76" s="16"/>
      <c r="N76" s="16"/>
      <c r="O76" s="16"/>
    </row>
    <row r="77" customFormat="false" ht="15" hidden="false" customHeight="false" outlineLevel="0" collapsed="false">
      <c r="A77" s="16"/>
      <c r="B77" s="25"/>
      <c r="C77" s="26"/>
      <c r="D77" s="16"/>
      <c r="E77" s="25"/>
      <c r="F77" s="25"/>
      <c r="G77" s="25"/>
      <c r="H77" s="26"/>
      <c r="I77" s="27" t="str">
        <f aca="false">IF(OR(C77="",H77=""),"",C77-H77)</f>
        <v/>
      </c>
      <c r="J77" s="8" t="str">
        <f aca="false">IF(C77="","",IF(H77="","WAITING",IF(ABS(C77-H77)&lt;0.005,"MATCHED","CHECK")))</f>
        <v/>
      </c>
      <c r="K77" s="27" t="str">
        <f aca="false">IF(OR(A77="",E77="",F77=""),"",SUMIFS('Sales Log'!$L$5:$L$1004,'Sales Log'!$B$5:$B$1004,A77,'Sales Log'!$A$5:$A$1004,"&gt;="&amp;E77,'Sales Log'!$A$5:$A$1004,"&lt;="&amp;F77,'Sales Log'!$R$5:$R$1004,IF(O77="EXAMPLE","EXAMPLE","&lt;&gt;EXAMPLE")))</f>
        <v/>
      </c>
      <c r="L77" s="16"/>
      <c r="M77" s="16"/>
      <c r="N77" s="16"/>
      <c r="O77" s="16"/>
    </row>
    <row r="78" customFormat="false" ht="15" hidden="false" customHeight="false" outlineLevel="0" collapsed="false">
      <c r="A78" s="16"/>
      <c r="B78" s="25"/>
      <c r="C78" s="26"/>
      <c r="D78" s="16"/>
      <c r="E78" s="25"/>
      <c r="F78" s="25"/>
      <c r="G78" s="25"/>
      <c r="H78" s="26"/>
      <c r="I78" s="27" t="str">
        <f aca="false">IF(OR(C78="",H78=""),"",C78-H78)</f>
        <v/>
      </c>
      <c r="J78" s="8" t="str">
        <f aca="false">IF(C78="","",IF(H78="","WAITING",IF(ABS(C78-H78)&lt;0.005,"MATCHED","CHECK")))</f>
        <v/>
      </c>
      <c r="K78" s="27" t="str">
        <f aca="false">IF(OR(A78="",E78="",F78=""),"",SUMIFS('Sales Log'!$L$5:$L$1004,'Sales Log'!$B$5:$B$1004,A78,'Sales Log'!$A$5:$A$1004,"&gt;="&amp;E78,'Sales Log'!$A$5:$A$1004,"&lt;="&amp;F78,'Sales Log'!$R$5:$R$1004,IF(O78="EXAMPLE","EXAMPLE","&lt;&gt;EXAMPLE")))</f>
        <v/>
      </c>
      <c r="L78" s="16"/>
      <c r="M78" s="16"/>
      <c r="N78" s="16"/>
      <c r="O78" s="16"/>
    </row>
    <row r="79" customFormat="false" ht="15" hidden="false" customHeight="false" outlineLevel="0" collapsed="false">
      <c r="A79" s="16"/>
      <c r="B79" s="25"/>
      <c r="C79" s="26"/>
      <c r="D79" s="16"/>
      <c r="E79" s="25"/>
      <c r="F79" s="25"/>
      <c r="G79" s="25"/>
      <c r="H79" s="26"/>
      <c r="I79" s="27" t="str">
        <f aca="false">IF(OR(C79="",H79=""),"",C79-H79)</f>
        <v/>
      </c>
      <c r="J79" s="8" t="str">
        <f aca="false">IF(C79="","",IF(H79="","WAITING",IF(ABS(C79-H79)&lt;0.005,"MATCHED","CHECK")))</f>
        <v/>
      </c>
      <c r="K79" s="27" t="str">
        <f aca="false">IF(OR(A79="",E79="",F79=""),"",SUMIFS('Sales Log'!$L$5:$L$1004,'Sales Log'!$B$5:$B$1004,A79,'Sales Log'!$A$5:$A$1004,"&gt;="&amp;E79,'Sales Log'!$A$5:$A$1004,"&lt;="&amp;F79,'Sales Log'!$R$5:$R$1004,IF(O79="EXAMPLE","EXAMPLE","&lt;&gt;EXAMPLE")))</f>
        <v/>
      </c>
      <c r="L79" s="16"/>
      <c r="M79" s="16"/>
      <c r="N79" s="16"/>
      <c r="O79" s="16"/>
    </row>
    <row r="80" customFormat="false" ht="15" hidden="false" customHeight="false" outlineLevel="0" collapsed="false">
      <c r="A80" s="16"/>
      <c r="B80" s="25"/>
      <c r="C80" s="26"/>
      <c r="D80" s="16"/>
      <c r="E80" s="25"/>
      <c r="F80" s="25"/>
      <c r="G80" s="25"/>
      <c r="H80" s="26"/>
      <c r="I80" s="27" t="str">
        <f aca="false">IF(OR(C80="",H80=""),"",C80-H80)</f>
        <v/>
      </c>
      <c r="J80" s="8" t="str">
        <f aca="false">IF(C80="","",IF(H80="","WAITING",IF(ABS(C80-H80)&lt;0.005,"MATCHED","CHECK")))</f>
        <v/>
      </c>
      <c r="K80" s="27" t="str">
        <f aca="false">IF(OR(A80="",E80="",F80=""),"",SUMIFS('Sales Log'!$L$5:$L$1004,'Sales Log'!$B$5:$B$1004,A80,'Sales Log'!$A$5:$A$1004,"&gt;="&amp;E80,'Sales Log'!$A$5:$A$1004,"&lt;="&amp;F80,'Sales Log'!$R$5:$R$1004,IF(O80="EXAMPLE","EXAMPLE","&lt;&gt;EXAMPLE")))</f>
        <v/>
      </c>
      <c r="L80" s="16"/>
      <c r="M80" s="16"/>
      <c r="N80" s="16"/>
      <c r="O80" s="16"/>
    </row>
    <row r="81" customFormat="false" ht="15" hidden="false" customHeight="false" outlineLevel="0" collapsed="false">
      <c r="A81" s="16"/>
      <c r="B81" s="25"/>
      <c r="C81" s="26"/>
      <c r="D81" s="16"/>
      <c r="E81" s="25"/>
      <c r="F81" s="25"/>
      <c r="G81" s="25"/>
      <c r="H81" s="26"/>
      <c r="I81" s="27" t="str">
        <f aca="false">IF(OR(C81="",H81=""),"",C81-H81)</f>
        <v/>
      </c>
      <c r="J81" s="8" t="str">
        <f aca="false">IF(C81="","",IF(H81="","WAITING",IF(ABS(C81-H81)&lt;0.005,"MATCHED","CHECK")))</f>
        <v/>
      </c>
      <c r="K81" s="27" t="str">
        <f aca="false">IF(OR(A81="",E81="",F81=""),"",SUMIFS('Sales Log'!$L$5:$L$1004,'Sales Log'!$B$5:$B$1004,A81,'Sales Log'!$A$5:$A$1004,"&gt;="&amp;E81,'Sales Log'!$A$5:$A$1004,"&lt;="&amp;F81,'Sales Log'!$R$5:$R$1004,IF(O81="EXAMPLE","EXAMPLE","&lt;&gt;EXAMPLE")))</f>
        <v/>
      </c>
      <c r="L81" s="16"/>
      <c r="M81" s="16"/>
      <c r="N81" s="16"/>
      <c r="O81" s="16"/>
    </row>
    <row r="82" customFormat="false" ht="15" hidden="false" customHeight="false" outlineLevel="0" collapsed="false">
      <c r="A82" s="16"/>
      <c r="B82" s="25"/>
      <c r="C82" s="26"/>
      <c r="D82" s="16"/>
      <c r="E82" s="25"/>
      <c r="F82" s="25"/>
      <c r="G82" s="25"/>
      <c r="H82" s="26"/>
      <c r="I82" s="27" t="str">
        <f aca="false">IF(OR(C82="",H82=""),"",C82-H82)</f>
        <v/>
      </c>
      <c r="J82" s="8" t="str">
        <f aca="false">IF(C82="","",IF(H82="","WAITING",IF(ABS(C82-H82)&lt;0.005,"MATCHED","CHECK")))</f>
        <v/>
      </c>
      <c r="K82" s="27" t="str">
        <f aca="false">IF(OR(A82="",E82="",F82=""),"",SUMIFS('Sales Log'!$L$5:$L$1004,'Sales Log'!$B$5:$B$1004,A82,'Sales Log'!$A$5:$A$1004,"&gt;="&amp;E82,'Sales Log'!$A$5:$A$1004,"&lt;="&amp;F82,'Sales Log'!$R$5:$R$1004,IF(O82="EXAMPLE","EXAMPLE","&lt;&gt;EXAMPLE")))</f>
        <v/>
      </c>
      <c r="L82" s="16"/>
      <c r="M82" s="16"/>
      <c r="N82" s="16"/>
      <c r="O82" s="16"/>
    </row>
    <row r="83" customFormat="false" ht="15" hidden="false" customHeight="false" outlineLevel="0" collapsed="false">
      <c r="A83" s="16"/>
      <c r="B83" s="25"/>
      <c r="C83" s="26"/>
      <c r="D83" s="16"/>
      <c r="E83" s="25"/>
      <c r="F83" s="25"/>
      <c r="G83" s="25"/>
      <c r="H83" s="26"/>
      <c r="I83" s="27" t="str">
        <f aca="false">IF(OR(C83="",H83=""),"",C83-H83)</f>
        <v/>
      </c>
      <c r="J83" s="8" t="str">
        <f aca="false">IF(C83="","",IF(H83="","WAITING",IF(ABS(C83-H83)&lt;0.005,"MATCHED","CHECK")))</f>
        <v/>
      </c>
      <c r="K83" s="27" t="str">
        <f aca="false">IF(OR(A83="",E83="",F83=""),"",SUMIFS('Sales Log'!$L$5:$L$1004,'Sales Log'!$B$5:$B$1004,A83,'Sales Log'!$A$5:$A$1004,"&gt;="&amp;E83,'Sales Log'!$A$5:$A$1004,"&lt;="&amp;F83,'Sales Log'!$R$5:$R$1004,IF(O83="EXAMPLE","EXAMPLE","&lt;&gt;EXAMPLE")))</f>
        <v/>
      </c>
      <c r="L83" s="16"/>
      <c r="M83" s="16"/>
      <c r="N83" s="16"/>
      <c r="O83" s="16"/>
    </row>
    <row r="84" customFormat="false" ht="15" hidden="false" customHeight="false" outlineLevel="0" collapsed="false">
      <c r="A84" s="16"/>
      <c r="B84" s="25"/>
      <c r="C84" s="26"/>
      <c r="D84" s="16"/>
      <c r="E84" s="25"/>
      <c r="F84" s="25"/>
      <c r="G84" s="25"/>
      <c r="H84" s="26"/>
      <c r="I84" s="27" t="str">
        <f aca="false">IF(OR(C84="",H84=""),"",C84-H84)</f>
        <v/>
      </c>
      <c r="J84" s="8" t="str">
        <f aca="false">IF(C84="","",IF(H84="","WAITING",IF(ABS(C84-H84)&lt;0.005,"MATCHED","CHECK")))</f>
        <v/>
      </c>
      <c r="K84" s="27" t="str">
        <f aca="false">IF(OR(A84="",E84="",F84=""),"",SUMIFS('Sales Log'!$L$5:$L$1004,'Sales Log'!$B$5:$B$1004,A84,'Sales Log'!$A$5:$A$1004,"&gt;="&amp;E84,'Sales Log'!$A$5:$A$1004,"&lt;="&amp;F84,'Sales Log'!$R$5:$R$1004,IF(O84="EXAMPLE","EXAMPLE","&lt;&gt;EXAMPLE")))</f>
        <v/>
      </c>
      <c r="L84" s="16"/>
      <c r="M84" s="16"/>
      <c r="N84" s="16"/>
      <c r="O84" s="16"/>
    </row>
    <row r="85" customFormat="false" ht="15" hidden="false" customHeight="false" outlineLevel="0" collapsed="false">
      <c r="A85" s="16"/>
      <c r="B85" s="25"/>
      <c r="C85" s="26"/>
      <c r="D85" s="16"/>
      <c r="E85" s="25"/>
      <c r="F85" s="25"/>
      <c r="G85" s="25"/>
      <c r="H85" s="26"/>
      <c r="I85" s="27" t="str">
        <f aca="false">IF(OR(C85="",H85=""),"",C85-H85)</f>
        <v/>
      </c>
      <c r="J85" s="8" t="str">
        <f aca="false">IF(C85="","",IF(H85="","WAITING",IF(ABS(C85-H85)&lt;0.005,"MATCHED","CHECK")))</f>
        <v/>
      </c>
      <c r="K85" s="27" t="str">
        <f aca="false">IF(OR(A85="",E85="",F85=""),"",SUMIFS('Sales Log'!$L$5:$L$1004,'Sales Log'!$B$5:$B$1004,A85,'Sales Log'!$A$5:$A$1004,"&gt;="&amp;E85,'Sales Log'!$A$5:$A$1004,"&lt;="&amp;F85,'Sales Log'!$R$5:$R$1004,IF(O85="EXAMPLE","EXAMPLE","&lt;&gt;EXAMPLE")))</f>
        <v/>
      </c>
      <c r="L85" s="16"/>
      <c r="M85" s="16"/>
      <c r="N85" s="16"/>
      <c r="O85" s="16"/>
    </row>
    <row r="86" customFormat="false" ht="15" hidden="false" customHeight="false" outlineLevel="0" collapsed="false">
      <c r="A86" s="16"/>
      <c r="B86" s="25"/>
      <c r="C86" s="26"/>
      <c r="D86" s="16"/>
      <c r="E86" s="25"/>
      <c r="F86" s="25"/>
      <c r="G86" s="25"/>
      <c r="H86" s="26"/>
      <c r="I86" s="27" t="str">
        <f aca="false">IF(OR(C86="",H86=""),"",C86-H86)</f>
        <v/>
      </c>
      <c r="J86" s="8" t="str">
        <f aca="false">IF(C86="","",IF(H86="","WAITING",IF(ABS(C86-H86)&lt;0.005,"MATCHED","CHECK")))</f>
        <v/>
      </c>
      <c r="K86" s="27" t="str">
        <f aca="false">IF(OR(A86="",E86="",F86=""),"",SUMIFS('Sales Log'!$L$5:$L$1004,'Sales Log'!$B$5:$B$1004,A86,'Sales Log'!$A$5:$A$1004,"&gt;="&amp;E86,'Sales Log'!$A$5:$A$1004,"&lt;="&amp;F86,'Sales Log'!$R$5:$R$1004,IF(O86="EXAMPLE","EXAMPLE","&lt;&gt;EXAMPLE")))</f>
        <v/>
      </c>
      <c r="L86" s="16"/>
      <c r="M86" s="16"/>
      <c r="N86" s="16"/>
      <c r="O86" s="16"/>
    </row>
    <row r="87" customFormat="false" ht="15" hidden="false" customHeight="false" outlineLevel="0" collapsed="false">
      <c r="A87" s="16"/>
      <c r="B87" s="25"/>
      <c r="C87" s="26"/>
      <c r="D87" s="16"/>
      <c r="E87" s="25"/>
      <c r="F87" s="25"/>
      <c r="G87" s="25"/>
      <c r="H87" s="26"/>
      <c r="I87" s="27" t="str">
        <f aca="false">IF(OR(C87="",H87=""),"",C87-H87)</f>
        <v/>
      </c>
      <c r="J87" s="8" t="str">
        <f aca="false">IF(C87="","",IF(H87="","WAITING",IF(ABS(C87-H87)&lt;0.005,"MATCHED","CHECK")))</f>
        <v/>
      </c>
      <c r="K87" s="27" t="str">
        <f aca="false">IF(OR(A87="",E87="",F87=""),"",SUMIFS('Sales Log'!$L$5:$L$1004,'Sales Log'!$B$5:$B$1004,A87,'Sales Log'!$A$5:$A$1004,"&gt;="&amp;E87,'Sales Log'!$A$5:$A$1004,"&lt;="&amp;F87,'Sales Log'!$R$5:$R$1004,IF(O87="EXAMPLE","EXAMPLE","&lt;&gt;EXAMPLE")))</f>
        <v/>
      </c>
      <c r="L87" s="16"/>
      <c r="M87" s="16"/>
      <c r="N87" s="16"/>
      <c r="O87" s="16"/>
    </row>
    <row r="88" customFormat="false" ht="15" hidden="false" customHeight="false" outlineLevel="0" collapsed="false">
      <c r="A88" s="16"/>
      <c r="B88" s="25"/>
      <c r="C88" s="26"/>
      <c r="D88" s="16"/>
      <c r="E88" s="25"/>
      <c r="F88" s="25"/>
      <c r="G88" s="25"/>
      <c r="H88" s="26"/>
      <c r="I88" s="27" t="str">
        <f aca="false">IF(OR(C88="",H88=""),"",C88-H88)</f>
        <v/>
      </c>
      <c r="J88" s="8" t="str">
        <f aca="false">IF(C88="","",IF(H88="","WAITING",IF(ABS(C88-H88)&lt;0.005,"MATCHED","CHECK")))</f>
        <v/>
      </c>
      <c r="K88" s="27" t="str">
        <f aca="false">IF(OR(A88="",E88="",F88=""),"",SUMIFS('Sales Log'!$L$5:$L$1004,'Sales Log'!$B$5:$B$1004,A88,'Sales Log'!$A$5:$A$1004,"&gt;="&amp;E88,'Sales Log'!$A$5:$A$1004,"&lt;="&amp;F88,'Sales Log'!$R$5:$R$1004,IF(O88="EXAMPLE","EXAMPLE","&lt;&gt;EXAMPLE")))</f>
        <v/>
      </c>
      <c r="L88" s="16"/>
      <c r="M88" s="16"/>
      <c r="N88" s="16"/>
      <c r="O88" s="16"/>
    </row>
    <row r="89" customFormat="false" ht="15" hidden="false" customHeight="false" outlineLevel="0" collapsed="false">
      <c r="A89" s="16"/>
      <c r="B89" s="25"/>
      <c r="C89" s="26"/>
      <c r="D89" s="16"/>
      <c r="E89" s="25"/>
      <c r="F89" s="25"/>
      <c r="G89" s="25"/>
      <c r="H89" s="26"/>
      <c r="I89" s="27" t="str">
        <f aca="false">IF(OR(C89="",H89=""),"",C89-H89)</f>
        <v/>
      </c>
      <c r="J89" s="8" t="str">
        <f aca="false">IF(C89="","",IF(H89="","WAITING",IF(ABS(C89-H89)&lt;0.005,"MATCHED","CHECK")))</f>
        <v/>
      </c>
      <c r="K89" s="27" t="str">
        <f aca="false">IF(OR(A89="",E89="",F89=""),"",SUMIFS('Sales Log'!$L$5:$L$1004,'Sales Log'!$B$5:$B$1004,A89,'Sales Log'!$A$5:$A$1004,"&gt;="&amp;E89,'Sales Log'!$A$5:$A$1004,"&lt;="&amp;F89,'Sales Log'!$R$5:$R$1004,IF(O89="EXAMPLE","EXAMPLE","&lt;&gt;EXAMPLE")))</f>
        <v/>
      </c>
      <c r="L89" s="16"/>
      <c r="M89" s="16"/>
      <c r="N89" s="16"/>
      <c r="O89" s="16"/>
    </row>
    <row r="90" customFormat="false" ht="15" hidden="false" customHeight="false" outlineLevel="0" collapsed="false">
      <c r="A90" s="16"/>
      <c r="B90" s="25"/>
      <c r="C90" s="26"/>
      <c r="D90" s="16"/>
      <c r="E90" s="25"/>
      <c r="F90" s="25"/>
      <c r="G90" s="25"/>
      <c r="H90" s="26"/>
      <c r="I90" s="27" t="str">
        <f aca="false">IF(OR(C90="",H90=""),"",C90-H90)</f>
        <v/>
      </c>
      <c r="J90" s="8" t="str">
        <f aca="false">IF(C90="","",IF(H90="","WAITING",IF(ABS(C90-H90)&lt;0.005,"MATCHED","CHECK")))</f>
        <v/>
      </c>
      <c r="K90" s="27" t="str">
        <f aca="false">IF(OR(A90="",E90="",F90=""),"",SUMIFS('Sales Log'!$L$5:$L$1004,'Sales Log'!$B$5:$B$1004,A90,'Sales Log'!$A$5:$A$1004,"&gt;="&amp;E90,'Sales Log'!$A$5:$A$1004,"&lt;="&amp;F90,'Sales Log'!$R$5:$R$1004,IF(O90="EXAMPLE","EXAMPLE","&lt;&gt;EXAMPLE")))</f>
        <v/>
      </c>
      <c r="L90" s="16"/>
      <c r="M90" s="16"/>
      <c r="N90" s="16"/>
      <c r="O90" s="16"/>
    </row>
    <row r="91" customFormat="false" ht="15" hidden="false" customHeight="false" outlineLevel="0" collapsed="false">
      <c r="A91" s="16"/>
      <c r="B91" s="25"/>
      <c r="C91" s="26"/>
      <c r="D91" s="16"/>
      <c r="E91" s="25"/>
      <c r="F91" s="25"/>
      <c r="G91" s="25"/>
      <c r="H91" s="26"/>
      <c r="I91" s="27" t="str">
        <f aca="false">IF(OR(C91="",H91=""),"",C91-H91)</f>
        <v/>
      </c>
      <c r="J91" s="8" t="str">
        <f aca="false">IF(C91="","",IF(H91="","WAITING",IF(ABS(C91-H91)&lt;0.005,"MATCHED","CHECK")))</f>
        <v/>
      </c>
      <c r="K91" s="27" t="str">
        <f aca="false">IF(OR(A91="",E91="",F91=""),"",SUMIFS('Sales Log'!$L$5:$L$1004,'Sales Log'!$B$5:$B$1004,A91,'Sales Log'!$A$5:$A$1004,"&gt;="&amp;E91,'Sales Log'!$A$5:$A$1004,"&lt;="&amp;F91,'Sales Log'!$R$5:$R$1004,IF(O91="EXAMPLE","EXAMPLE","&lt;&gt;EXAMPLE")))</f>
        <v/>
      </c>
      <c r="L91" s="16"/>
      <c r="M91" s="16"/>
      <c r="N91" s="16"/>
      <c r="O91" s="16"/>
    </row>
    <row r="92" customFormat="false" ht="15" hidden="false" customHeight="false" outlineLevel="0" collapsed="false">
      <c r="A92" s="16"/>
      <c r="B92" s="25"/>
      <c r="C92" s="26"/>
      <c r="D92" s="16"/>
      <c r="E92" s="25"/>
      <c r="F92" s="25"/>
      <c r="G92" s="25"/>
      <c r="H92" s="26"/>
      <c r="I92" s="27" t="str">
        <f aca="false">IF(OR(C92="",H92=""),"",C92-H92)</f>
        <v/>
      </c>
      <c r="J92" s="8" t="str">
        <f aca="false">IF(C92="","",IF(H92="","WAITING",IF(ABS(C92-H92)&lt;0.005,"MATCHED","CHECK")))</f>
        <v/>
      </c>
      <c r="K92" s="27" t="str">
        <f aca="false">IF(OR(A92="",E92="",F92=""),"",SUMIFS('Sales Log'!$L$5:$L$1004,'Sales Log'!$B$5:$B$1004,A92,'Sales Log'!$A$5:$A$1004,"&gt;="&amp;E92,'Sales Log'!$A$5:$A$1004,"&lt;="&amp;F92,'Sales Log'!$R$5:$R$1004,IF(O92="EXAMPLE","EXAMPLE","&lt;&gt;EXAMPLE")))</f>
        <v/>
      </c>
      <c r="L92" s="16"/>
      <c r="M92" s="16"/>
      <c r="N92" s="16"/>
      <c r="O92" s="16"/>
    </row>
    <row r="93" customFormat="false" ht="15" hidden="false" customHeight="false" outlineLevel="0" collapsed="false">
      <c r="A93" s="16"/>
      <c r="B93" s="25"/>
      <c r="C93" s="26"/>
      <c r="D93" s="16"/>
      <c r="E93" s="25"/>
      <c r="F93" s="25"/>
      <c r="G93" s="25"/>
      <c r="H93" s="26"/>
      <c r="I93" s="27" t="str">
        <f aca="false">IF(OR(C93="",H93=""),"",C93-H93)</f>
        <v/>
      </c>
      <c r="J93" s="8" t="str">
        <f aca="false">IF(C93="","",IF(H93="","WAITING",IF(ABS(C93-H93)&lt;0.005,"MATCHED","CHECK")))</f>
        <v/>
      </c>
      <c r="K93" s="27" t="str">
        <f aca="false">IF(OR(A93="",E93="",F93=""),"",SUMIFS('Sales Log'!$L$5:$L$1004,'Sales Log'!$B$5:$B$1004,A93,'Sales Log'!$A$5:$A$1004,"&gt;="&amp;E93,'Sales Log'!$A$5:$A$1004,"&lt;="&amp;F93,'Sales Log'!$R$5:$R$1004,IF(O93="EXAMPLE","EXAMPLE","&lt;&gt;EXAMPLE")))</f>
        <v/>
      </c>
      <c r="L93" s="16"/>
      <c r="M93" s="16"/>
      <c r="N93" s="16"/>
      <c r="O93" s="16"/>
    </row>
    <row r="94" customFormat="false" ht="15" hidden="false" customHeight="false" outlineLevel="0" collapsed="false">
      <c r="A94" s="16"/>
      <c r="B94" s="25"/>
      <c r="C94" s="26"/>
      <c r="D94" s="16"/>
      <c r="E94" s="25"/>
      <c r="F94" s="25"/>
      <c r="G94" s="25"/>
      <c r="H94" s="26"/>
      <c r="I94" s="27" t="str">
        <f aca="false">IF(OR(C94="",H94=""),"",C94-H94)</f>
        <v/>
      </c>
      <c r="J94" s="8" t="str">
        <f aca="false">IF(C94="","",IF(H94="","WAITING",IF(ABS(C94-H94)&lt;0.005,"MATCHED","CHECK")))</f>
        <v/>
      </c>
      <c r="K94" s="27" t="str">
        <f aca="false">IF(OR(A94="",E94="",F94=""),"",SUMIFS('Sales Log'!$L$5:$L$1004,'Sales Log'!$B$5:$B$1004,A94,'Sales Log'!$A$5:$A$1004,"&gt;="&amp;E94,'Sales Log'!$A$5:$A$1004,"&lt;="&amp;F94,'Sales Log'!$R$5:$R$1004,IF(O94="EXAMPLE","EXAMPLE","&lt;&gt;EXAMPLE")))</f>
        <v/>
      </c>
      <c r="L94" s="16"/>
      <c r="M94" s="16"/>
      <c r="N94" s="16"/>
      <c r="O94" s="16"/>
    </row>
    <row r="95" customFormat="false" ht="15" hidden="false" customHeight="false" outlineLevel="0" collapsed="false">
      <c r="A95" s="16"/>
      <c r="B95" s="25"/>
      <c r="C95" s="26"/>
      <c r="D95" s="16"/>
      <c r="E95" s="25"/>
      <c r="F95" s="25"/>
      <c r="G95" s="25"/>
      <c r="H95" s="26"/>
      <c r="I95" s="27" t="str">
        <f aca="false">IF(OR(C95="",H95=""),"",C95-H95)</f>
        <v/>
      </c>
      <c r="J95" s="8" t="str">
        <f aca="false">IF(C95="","",IF(H95="","WAITING",IF(ABS(C95-H95)&lt;0.005,"MATCHED","CHECK")))</f>
        <v/>
      </c>
      <c r="K95" s="27" t="str">
        <f aca="false">IF(OR(A95="",E95="",F95=""),"",SUMIFS('Sales Log'!$L$5:$L$1004,'Sales Log'!$B$5:$B$1004,A95,'Sales Log'!$A$5:$A$1004,"&gt;="&amp;E95,'Sales Log'!$A$5:$A$1004,"&lt;="&amp;F95,'Sales Log'!$R$5:$R$1004,IF(O95="EXAMPLE","EXAMPLE","&lt;&gt;EXAMPLE")))</f>
        <v/>
      </c>
      <c r="L95" s="16"/>
      <c r="M95" s="16"/>
      <c r="N95" s="16"/>
      <c r="O95" s="16"/>
    </row>
    <row r="96" customFormat="false" ht="15" hidden="false" customHeight="false" outlineLevel="0" collapsed="false">
      <c r="A96" s="16"/>
      <c r="B96" s="25"/>
      <c r="C96" s="26"/>
      <c r="D96" s="16"/>
      <c r="E96" s="25"/>
      <c r="F96" s="25"/>
      <c r="G96" s="25"/>
      <c r="H96" s="26"/>
      <c r="I96" s="27" t="str">
        <f aca="false">IF(OR(C96="",H96=""),"",C96-H96)</f>
        <v/>
      </c>
      <c r="J96" s="8" t="str">
        <f aca="false">IF(C96="","",IF(H96="","WAITING",IF(ABS(C96-H96)&lt;0.005,"MATCHED","CHECK")))</f>
        <v/>
      </c>
      <c r="K96" s="27" t="str">
        <f aca="false">IF(OR(A96="",E96="",F96=""),"",SUMIFS('Sales Log'!$L$5:$L$1004,'Sales Log'!$B$5:$B$1004,A96,'Sales Log'!$A$5:$A$1004,"&gt;="&amp;E96,'Sales Log'!$A$5:$A$1004,"&lt;="&amp;F96,'Sales Log'!$R$5:$R$1004,IF(O96="EXAMPLE","EXAMPLE","&lt;&gt;EXAMPLE")))</f>
        <v/>
      </c>
      <c r="L96" s="16"/>
      <c r="M96" s="16"/>
      <c r="N96" s="16"/>
      <c r="O96" s="16"/>
    </row>
    <row r="97" customFormat="false" ht="15" hidden="false" customHeight="false" outlineLevel="0" collapsed="false">
      <c r="A97" s="16"/>
      <c r="B97" s="25"/>
      <c r="C97" s="26"/>
      <c r="D97" s="16"/>
      <c r="E97" s="25"/>
      <c r="F97" s="25"/>
      <c r="G97" s="25"/>
      <c r="H97" s="26"/>
      <c r="I97" s="27" t="str">
        <f aca="false">IF(OR(C97="",H97=""),"",C97-H97)</f>
        <v/>
      </c>
      <c r="J97" s="8" t="str">
        <f aca="false">IF(C97="","",IF(H97="","WAITING",IF(ABS(C97-H97)&lt;0.005,"MATCHED","CHECK")))</f>
        <v/>
      </c>
      <c r="K97" s="27" t="str">
        <f aca="false">IF(OR(A97="",E97="",F97=""),"",SUMIFS('Sales Log'!$L$5:$L$1004,'Sales Log'!$B$5:$B$1004,A97,'Sales Log'!$A$5:$A$1004,"&gt;="&amp;E97,'Sales Log'!$A$5:$A$1004,"&lt;="&amp;F97,'Sales Log'!$R$5:$R$1004,IF(O97="EXAMPLE","EXAMPLE","&lt;&gt;EXAMPLE")))</f>
        <v/>
      </c>
      <c r="L97" s="16"/>
      <c r="M97" s="16"/>
      <c r="N97" s="16"/>
      <c r="O97" s="16"/>
    </row>
    <row r="98" customFormat="false" ht="15" hidden="false" customHeight="false" outlineLevel="0" collapsed="false">
      <c r="A98" s="16"/>
      <c r="B98" s="25"/>
      <c r="C98" s="26"/>
      <c r="D98" s="16"/>
      <c r="E98" s="25"/>
      <c r="F98" s="25"/>
      <c r="G98" s="25"/>
      <c r="H98" s="26"/>
      <c r="I98" s="27" t="str">
        <f aca="false">IF(OR(C98="",H98=""),"",C98-H98)</f>
        <v/>
      </c>
      <c r="J98" s="8" t="str">
        <f aca="false">IF(C98="","",IF(H98="","WAITING",IF(ABS(C98-H98)&lt;0.005,"MATCHED","CHECK")))</f>
        <v/>
      </c>
      <c r="K98" s="27" t="str">
        <f aca="false">IF(OR(A98="",E98="",F98=""),"",SUMIFS('Sales Log'!$L$5:$L$1004,'Sales Log'!$B$5:$B$1004,A98,'Sales Log'!$A$5:$A$1004,"&gt;="&amp;E98,'Sales Log'!$A$5:$A$1004,"&lt;="&amp;F98,'Sales Log'!$R$5:$R$1004,IF(O98="EXAMPLE","EXAMPLE","&lt;&gt;EXAMPLE")))</f>
        <v/>
      </c>
      <c r="L98" s="16"/>
      <c r="M98" s="16"/>
      <c r="N98" s="16"/>
      <c r="O98" s="16"/>
    </row>
    <row r="99" customFormat="false" ht="15" hidden="false" customHeight="false" outlineLevel="0" collapsed="false">
      <c r="A99" s="16"/>
      <c r="B99" s="25"/>
      <c r="C99" s="26"/>
      <c r="D99" s="16"/>
      <c r="E99" s="25"/>
      <c r="F99" s="25"/>
      <c r="G99" s="25"/>
      <c r="H99" s="26"/>
      <c r="I99" s="27" t="str">
        <f aca="false">IF(OR(C99="",H99=""),"",C99-H99)</f>
        <v/>
      </c>
      <c r="J99" s="8" t="str">
        <f aca="false">IF(C99="","",IF(H99="","WAITING",IF(ABS(C99-H99)&lt;0.005,"MATCHED","CHECK")))</f>
        <v/>
      </c>
      <c r="K99" s="27" t="str">
        <f aca="false">IF(OR(A99="",E99="",F99=""),"",SUMIFS('Sales Log'!$L$5:$L$1004,'Sales Log'!$B$5:$B$1004,A99,'Sales Log'!$A$5:$A$1004,"&gt;="&amp;E99,'Sales Log'!$A$5:$A$1004,"&lt;="&amp;F99,'Sales Log'!$R$5:$R$1004,IF(O99="EXAMPLE","EXAMPLE","&lt;&gt;EXAMPLE")))</f>
        <v/>
      </c>
      <c r="L99" s="16"/>
      <c r="M99" s="16"/>
      <c r="N99" s="16"/>
      <c r="O99" s="16"/>
    </row>
    <row r="100" customFormat="false" ht="15" hidden="false" customHeight="false" outlineLevel="0" collapsed="false">
      <c r="A100" s="16"/>
      <c r="B100" s="25"/>
      <c r="C100" s="26"/>
      <c r="D100" s="16"/>
      <c r="E100" s="25"/>
      <c r="F100" s="25"/>
      <c r="G100" s="25"/>
      <c r="H100" s="26"/>
      <c r="I100" s="27" t="str">
        <f aca="false">IF(OR(C100="",H100=""),"",C100-H100)</f>
        <v/>
      </c>
      <c r="J100" s="8" t="str">
        <f aca="false">IF(C100="","",IF(H100="","WAITING",IF(ABS(C100-H100)&lt;0.005,"MATCHED","CHECK")))</f>
        <v/>
      </c>
      <c r="K100" s="27" t="str">
        <f aca="false">IF(OR(A100="",E100="",F100=""),"",SUMIFS('Sales Log'!$L$5:$L$1004,'Sales Log'!$B$5:$B$1004,A100,'Sales Log'!$A$5:$A$1004,"&gt;="&amp;E100,'Sales Log'!$A$5:$A$1004,"&lt;="&amp;F100,'Sales Log'!$R$5:$R$1004,IF(O100="EXAMPLE","EXAMPLE","&lt;&gt;EXAMPLE")))</f>
        <v/>
      </c>
      <c r="L100" s="16"/>
      <c r="M100" s="16"/>
      <c r="N100" s="16"/>
      <c r="O100" s="16"/>
    </row>
    <row r="101" customFormat="false" ht="15" hidden="false" customHeight="false" outlineLevel="0" collapsed="false">
      <c r="A101" s="16"/>
      <c r="B101" s="25"/>
      <c r="C101" s="26"/>
      <c r="D101" s="16"/>
      <c r="E101" s="25"/>
      <c r="F101" s="25"/>
      <c r="G101" s="25"/>
      <c r="H101" s="26"/>
      <c r="I101" s="27" t="str">
        <f aca="false">IF(OR(C101="",H101=""),"",C101-H101)</f>
        <v/>
      </c>
      <c r="J101" s="8" t="str">
        <f aca="false">IF(C101="","",IF(H101="","WAITING",IF(ABS(C101-H101)&lt;0.005,"MATCHED","CHECK")))</f>
        <v/>
      </c>
      <c r="K101" s="27" t="str">
        <f aca="false">IF(OR(A101="",E101="",F101=""),"",SUMIFS('Sales Log'!$L$5:$L$1004,'Sales Log'!$B$5:$B$1004,A101,'Sales Log'!$A$5:$A$1004,"&gt;="&amp;E101,'Sales Log'!$A$5:$A$1004,"&lt;="&amp;F101,'Sales Log'!$R$5:$R$1004,IF(O101="EXAMPLE","EXAMPLE","&lt;&gt;EXAMPLE")))</f>
        <v/>
      </c>
      <c r="L101" s="16"/>
      <c r="M101" s="16"/>
      <c r="N101" s="16"/>
      <c r="O101" s="16"/>
    </row>
    <row r="102" customFormat="false" ht="15" hidden="false" customHeight="false" outlineLevel="0" collapsed="false">
      <c r="A102" s="16"/>
      <c r="B102" s="25"/>
      <c r="C102" s="26"/>
      <c r="D102" s="16"/>
      <c r="E102" s="25"/>
      <c r="F102" s="25"/>
      <c r="G102" s="25"/>
      <c r="H102" s="26"/>
      <c r="I102" s="27" t="str">
        <f aca="false">IF(OR(C102="",H102=""),"",C102-H102)</f>
        <v/>
      </c>
      <c r="J102" s="8" t="str">
        <f aca="false">IF(C102="","",IF(H102="","WAITING",IF(ABS(C102-H102)&lt;0.005,"MATCHED","CHECK")))</f>
        <v/>
      </c>
      <c r="K102" s="27" t="str">
        <f aca="false">IF(OR(A102="",E102="",F102=""),"",SUMIFS('Sales Log'!$L$5:$L$1004,'Sales Log'!$B$5:$B$1004,A102,'Sales Log'!$A$5:$A$1004,"&gt;="&amp;E102,'Sales Log'!$A$5:$A$1004,"&lt;="&amp;F102,'Sales Log'!$R$5:$R$1004,IF(O102="EXAMPLE","EXAMPLE","&lt;&gt;EXAMPLE")))</f>
        <v/>
      </c>
      <c r="L102" s="16"/>
      <c r="M102" s="16"/>
      <c r="N102" s="16"/>
      <c r="O102" s="16"/>
    </row>
    <row r="103" customFormat="false" ht="15" hidden="false" customHeight="false" outlineLevel="0" collapsed="false">
      <c r="A103" s="16"/>
      <c r="B103" s="25"/>
      <c r="C103" s="26"/>
      <c r="D103" s="16"/>
      <c r="E103" s="25"/>
      <c r="F103" s="25"/>
      <c r="G103" s="25"/>
      <c r="H103" s="26"/>
      <c r="I103" s="27" t="str">
        <f aca="false">IF(OR(C103="",H103=""),"",C103-H103)</f>
        <v/>
      </c>
      <c r="J103" s="8" t="str">
        <f aca="false">IF(C103="","",IF(H103="","WAITING",IF(ABS(C103-H103)&lt;0.005,"MATCHED","CHECK")))</f>
        <v/>
      </c>
      <c r="K103" s="27" t="str">
        <f aca="false">IF(OR(A103="",E103="",F103=""),"",SUMIFS('Sales Log'!$L$5:$L$1004,'Sales Log'!$B$5:$B$1004,A103,'Sales Log'!$A$5:$A$1004,"&gt;="&amp;E103,'Sales Log'!$A$5:$A$1004,"&lt;="&amp;F103,'Sales Log'!$R$5:$R$1004,IF(O103="EXAMPLE","EXAMPLE","&lt;&gt;EXAMPLE")))</f>
        <v/>
      </c>
      <c r="L103" s="16"/>
      <c r="M103" s="16"/>
      <c r="N103" s="16"/>
      <c r="O103" s="16"/>
    </row>
    <row r="104" customFormat="false" ht="15" hidden="false" customHeight="false" outlineLevel="0" collapsed="false">
      <c r="A104" s="16"/>
      <c r="B104" s="25"/>
      <c r="C104" s="26"/>
      <c r="D104" s="16"/>
      <c r="E104" s="25"/>
      <c r="F104" s="25"/>
      <c r="G104" s="25"/>
      <c r="H104" s="26"/>
      <c r="I104" s="27" t="str">
        <f aca="false">IF(OR(C104="",H104=""),"",C104-H104)</f>
        <v/>
      </c>
      <c r="J104" s="8" t="str">
        <f aca="false">IF(C104="","",IF(H104="","WAITING",IF(ABS(C104-H104)&lt;0.005,"MATCHED","CHECK")))</f>
        <v/>
      </c>
      <c r="K104" s="27" t="str">
        <f aca="false">IF(OR(A104="",E104="",F104=""),"",SUMIFS('Sales Log'!$L$5:$L$1004,'Sales Log'!$B$5:$B$1004,A104,'Sales Log'!$A$5:$A$1004,"&gt;="&amp;E104,'Sales Log'!$A$5:$A$1004,"&lt;="&amp;F104,'Sales Log'!$R$5:$R$1004,IF(O104="EXAMPLE","EXAMPLE","&lt;&gt;EXAMPLE")))</f>
        <v/>
      </c>
      <c r="L104" s="16"/>
      <c r="M104" s="16"/>
      <c r="N104" s="16"/>
      <c r="O104" s="16"/>
    </row>
    <row r="105" customFormat="false" ht="15" hidden="false" customHeight="false" outlineLevel="0" collapsed="false">
      <c r="A105" s="16"/>
      <c r="B105" s="25"/>
      <c r="C105" s="26"/>
      <c r="D105" s="16"/>
      <c r="E105" s="25"/>
      <c r="F105" s="25"/>
      <c r="G105" s="25"/>
      <c r="H105" s="26"/>
      <c r="I105" s="27" t="str">
        <f aca="false">IF(OR(C105="",H105=""),"",C105-H105)</f>
        <v/>
      </c>
      <c r="J105" s="8" t="str">
        <f aca="false">IF(C105="","",IF(H105="","WAITING",IF(ABS(C105-H105)&lt;0.005,"MATCHED","CHECK")))</f>
        <v/>
      </c>
      <c r="K105" s="27" t="str">
        <f aca="false">IF(OR(A105="",E105="",F105=""),"",SUMIFS('Sales Log'!$L$5:$L$1004,'Sales Log'!$B$5:$B$1004,A105,'Sales Log'!$A$5:$A$1004,"&gt;="&amp;E105,'Sales Log'!$A$5:$A$1004,"&lt;="&amp;F105,'Sales Log'!$R$5:$R$1004,IF(O105="EXAMPLE","EXAMPLE","&lt;&gt;EXAMPLE")))</f>
        <v/>
      </c>
      <c r="L105" s="16"/>
      <c r="M105" s="16"/>
      <c r="N105" s="16"/>
      <c r="O105" s="16"/>
    </row>
    <row r="106" customFormat="false" ht="15" hidden="false" customHeight="false" outlineLevel="0" collapsed="false">
      <c r="A106" s="16"/>
      <c r="B106" s="25"/>
      <c r="C106" s="26"/>
      <c r="D106" s="16"/>
      <c r="E106" s="25"/>
      <c r="F106" s="25"/>
      <c r="G106" s="25"/>
      <c r="H106" s="26"/>
      <c r="I106" s="27" t="str">
        <f aca="false">IF(OR(C106="",H106=""),"",C106-H106)</f>
        <v/>
      </c>
      <c r="J106" s="8" t="str">
        <f aca="false">IF(C106="","",IF(H106="","WAITING",IF(ABS(C106-H106)&lt;0.005,"MATCHED","CHECK")))</f>
        <v/>
      </c>
      <c r="K106" s="27" t="str">
        <f aca="false">IF(OR(A106="",E106="",F106=""),"",SUMIFS('Sales Log'!$L$5:$L$1004,'Sales Log'!$B$5:$B$1004,A106,'Sales Log'!$A$5:$A$1004,"&gt;="&amp;E106,'Sales Log'!$A$5:$A$1004,"&lt;="&amp;F106,'Sales Log'!$R$5:$R$1004,IF(O106="EXAMPLE","EXAMPLE","&lt;&gt;EXAMPLE")))</f>
        <v/>
      </c>
      <c r="L106" s="16"/>
      <c r="M106" s="16"/>
      <c r="N106" s="16"/>
      <c r="O106" s="16"/>
    </row>
    <row r="107" customFormat="false" ht="15" hidden="false" customHeight="false" outlineLevel="0" collapsed="false">
      <c r="A107" s="16"/>
      <c r="B107" s="25"/>
      <c r="C107" s="26"/>
      <c r="D107" s="16"/>
      <c r="E107" s="25"/>
      <c r="F107" s="25"/>
      <c r="G107" s="25"/>
      <c r="H107" s="26"/>
      <c r="I107" s="27" t="str">
        <f aca="false">IF(OR(C107="",H107=""),"",C107-H107)</f>
        <v/>
      </c>
      <c r="J107" s="8" t="str">
        <f aca="false">IF(C107="","",IF(H107="","WAITING",IF(ABS(C107-H107)&lt;0.005,"MATCHED","CHECK")))</f>
        <v/>
      </c>
      <c r="K107" s="27" t="str">
        <f aca="false">IF(OR(A107="",E107="",F107=""),"",SUMIFS('Sales Log'!$L$5:$L$1004,'Sales Log'!$B$5:$B$1004,A107,'Sales Log'!$A$5:$A$1004,"&gt;="&amp;E107,'Sales Log'!$A$5:$A$1004,"&lt;="&amp;F107,'Sales Log'!$R$5:$R$1004,IF(O107="EXAMPLE","EXAMPLE","&lt;&gt;EXAMPLE")))</f>
        <v/>
      </c>
      <c r="L107" s="16"/>
      <c r="M107" s="16"/>
      <c r="N107" s="16"/>
      <c r="O107" s="16"/>
    </row>
    <row r="108" customFormat="false" ht="15" hidden="false" customHeight="false" outlineLevel="0" collapsed="false">
      <c r="A108" s="16"/>
      <c r="B108" s="25"/>
      <c r="C108" s="26"/>
      <c r="D108" s="16"/>
      <c r="E108" s="25"/>
      <c r="F108" s="25"/>
      <c r="G108" s="25"/>
      <c r="H108" s="26"/>
      <c r="I108" s="27" t="str">
        <f aca="false">IF(OR(C108="",H108=""),"",C108-H108)</f>
        <v/>
      </c>
      <c r="J108" s="8" t="str">
        <f aca="false">IF(C108="","",IF(H108="","WAITING",IF(ABS(C108-H108)&lt;0.005,"MATCHED","CHECK")))</f>
        <v/>
      </c>
      <c r="K108" s="27" t="str">
        <f aca="false">IF(OR(A108="",E108="",F108=""),"",SUMIFS('Sales Log'!$L$5:$L$1004,'Sales Log'!$B$5:$B$1004,A108,'Sales Log'!$A$5:$A$1004,"&gt;="&amp;E108,'Sales Log'!$A$5:$A$1004,"&lt;="&amp;F108,'Sales Log'!$R$5:$R$1004,IF(O108="EXAMPLE","EXAMPLE","&lt;&gt;EXAMPLE")))</f>
        <v/>
      </c>
      <c r="L108" s="16"/>
      <c r="M108" s="16"/>
      <c r="N108" s="16"/>
      <c r="O108" s="16"/>
    </row>
    <row r="109" customFormat="false" ht="15" hidden="false" customHeight="false" outlineLevel="0" collapsed="false">
      <c r="A109" s="16"/>
      <c r="B109" s="25"/>
      <c r="C109" s="26"/>
      <c r="D109" s="16"/>
      <c r="E109" s="25"/>
      <c r="F109" s="25"/>
      <c r="G109" s="25"/>
      <c r="H109" s="26"/>
      <c r="I109" s="27" t="str">
        <f aca="false">IF(OR(C109="",H109=""),"",C109-H109)</f>
        <v/>
      </c>
      <c r="J109" s="8" t="str">
        <f aca="false">IF(C109="","",IF(H109="","WAITING",IF(ABS(C109-H109)&lt;0.005,"MATCHED","CHECK")))</f>
        <v/>
      </c>
      <c r="K109" s="27" t="str">
        <f aca="false">IF(OR(A109="",E109="",F109=""),"",SUMIFS('Sales Log'!$L$5:$L$1004,'Sales Log'!$B$5:$B$1004,A109,'Sales Log'!$A$5:$A$1004,"&gt;="&amp;E109,'Sales Log'!$A$5:$A$1004,"&lt;="&amp;F109,'Sales Log'!$R$5:$R$1004,IF(O109="EXAMPLE","EXAMPLE","&lt;&gt;EXAMPLE")))</f>
        <v/>
      </c>
      <c r="L109" s="16"/>
      <c r="M109" s="16"/>
      <c r="N109" s="16"/>
      <c r="O109" s="16"/>
    </row>
    <row r="110" customFormat="false" ht="15" hidden="false" customHeight="false" outlineLevel="0" collapsed="false">
      <c r="A110" s="16"/>
      <c r="B110" s="25"/>
      <c r="C110" s="26"/>
      <c r="D110" s="16"/>
      <c r="E110" s="25"/>
      <c r="F110" s="25"/>
      <c r="G110" s="25"/>
      <c r="H110" s="26"/>
      <c r="I110" s="27" t="str">
        <f aca="false">IF(OR(C110="",H110=""),"",C110-H110)</f>
        <v/>
      </c>
      <c r="J110" s="8" t="str">
        <f aca="false">IF(C110="","",IF(H110="","WAITING",IF(ABS(C110-H110)&lt;0.005,"MATCHED","CHECK")))</f>
        <v/>
      </c>
      <c r="K110" s="27" t="str">
        <f aca="false">IF(OR(A110="",E110="",F110=""),"",SUMIFS('Sales Log'!$L$5:$L$1004,'Sales Log'!$B$5:$B$1004,A110,'Sales Log'!$A$5:$A$1004,"&gt;="&amp;E110,'Sales Log'!$A$5:$A$1004,"&lt;="&amp;F110,'Sales Log'!$R$5:$R$1004,IF(O110="EXAMPLE","EXAMPLE","&lt;&gt;EXAMPLE")))</f>
        <v/>
      </c>
      <c r="L110" s="16"/>
      <c r="M110" s="16"/>
      <c r="N110" s="16"/>
      <c r="O110" s="16"/>
    </row>
    <row r="111" customFormat="false" ht="15" hidden="false" customHeight="false" outlineLevel="0" collapsed="false">
      <c r="A111" s="16"/>
      <c r="B111" s="25"/>
      <c r="C111" s="26"/>
      <c r="D111" s="16"/>
      <c r="E111" s="25"/>
      <c r="F111" s="25"/>
      <c r="G111" s="25"/>
      <c r="H111" s="26"/>
      <c r="I111" s="27" t="str">
        <f aca="false">IF(OR(C111="",H111=""),"",C111-H111)</f>
        <v/>
      </c>
      <c r="J111" s="8" t="str">
        <f aca="false">IF(C111="","",IF(H111="","WAITING",IF(ABS(C111-H111)&lt;0.005,"MATCHED","CHECK")))</f>
        <v/>
      </c>
      <c r="K111" s="27" t="str">
        <f aca="false">IF(OR(A111="",E111="",F111=""),"",SUMIFS('Sales Log'!$L$5:$L$1004,'Sales Log'!$B$5:$B$1004,A111,'Sales Log'!$A$5:$A$1004,"&gt;="&amp;E111,'Sales Log'!$A$5:$A$1004,"&lt;="&amp;F111,'Sales Log'!$R$5:$R$1004,IF(O111="EXAMPLE","EXAMPLE","&lt;&gt;EXAMPLE")))</f>
        <v/>
      </c>
      <c r="L111" s="16"/>
      <c r="M111" s="16"/>
      <c r="N111" s="16"/>
      <c r="O111" s="16"/>
    </row>
    <row r="112" customFormat="false" ht="15" hidden="false" customHeight="false" outlineLevel="0" collapsed="false">
      <c r="A112" s="16"/>
      <c r="B112" s="25"/>
      <c r="C112" s="26"/>
      <c r="D112" s="16"/>
      <c r="E112" s="25"/>
      <c r="F112" s="25"/>
      <c r="G112" s="25"/>
      <c r="H112" s="26"/>
      <c r="I112" s="27" t="str">
        <f aca="false">IF(OR(C112="",H112=""),"",C112-H112)</f>
        <v/>
      </c>
      <c r="J112" s="8" t="str">
        <f aca="false">IF(C112="","",IF(H112="","WAITING",IF(ABS(C112-H112)&lt;0.005,"MATCHED","CHECK")))</f>
        <v/>
      </c>
      <c r="K112" s="27" t="str">
        <f aca="false">IF(OR(A112="",E112="",F112=""),"",SUMIFS('Sales Log'!$L$5:$L$1004,'Sales Log'!$B$5:$B$1004,A112,'Sales Log'!$A$5:$A$1004,"&gt;="&amp;E112,'Sales Log'!$A$5:$A$1004,"&lt;="&amp;F112,'Sales Log'!$R$5:$R$1004,IF(O112="EXAMPLE","EXAMPLE","&lt;&gt;EXAMPLE")))</f>
        <v/>
      </c>
      <c r="L112" s="16"/>
      <c r="M112" s="16"/>
      <c r="N112" s="16"/>
      <c r="O112" s="16"/>
    </row>
    <row r="113" customFormat="false" ht="15" hidden="false" customHeight="false" outlineLevel="0" collapsed="false">
      <c r="A113" s="16"/>
      <c r="B113" s="25"/>
      <c r="C113" s="26"/>
      <c r="D113" s="16"/>
      <c r="E113" s="25"/>
      <c r="F113" s="25"/>
      <c r="G113" s="25"/>
      <c r="H113" s="26"/>
      <c r="I113" s="27" t="str">
        <f aca="false">IF(OR(C113="",H113=""),"",C113-H113)</f>
        <v/>
      </c>
      <c r="J113" s="8" t="str">
        <f aca="false">IF(C113="","",IF(H113="","WAITING",IF(ABS(C113-H113)&lt;0.005,"MATCHED","CHECK")))</f>
        <v/>
      </c>
      <c r="K113" s="27" t="str">
        <f aca="false">IF(OR(A113="",E113="",F113=""),"",SUMIFS('Sales Log'!$L$5:$L$1004,'Sales Log'!$B$5:$B$1004,A113,'Sales Log'!$A$5:$A$1004,"&gt;="&amp;E113,'Sales Log'!$A$5:$A$1004,"&lt;="&amp;F113,'Sales Log'!$R$5:$R$1004,IF(O113="EXAMPLE","EXAMPLE","&lt;&gt;EXAMPLE")))</f>
        <v/>
      </c>
      <c r="L113" s="16"/>
      <c r="M113" s="16"/>
      <c r="N113" s="16"/>
      <c r="O113" s="16"/>
    </row>
    <row r="114" customFormat="false" ht="15" hidden="false" customHeight="false" outlineLevel="0" collapsed="false">
      <c r="A114" s="16"/>
      <c r="B114" s="25"/>
      <c r="C114" s="26"/>
      <c r="D114" s="16"/>
      <c r="E114" s="25"/>
      <c r="F114" s="25"/>
      <c r="G114" s="25"/>
      <c r="H114" s="26"/>
      <c r="I114" s="27" t="str">
        <f aca="false">IF(OR(C114="",H114=""),"",C114-H114)</f>
        <v/>
      </c>
      <c r="J114" s="8" t="str">
        <f aca="false">IF(C114="","",IF(H114="","WAITING",IF(ABS(C114-H114)&lt;0.005,"MATCHED","CHECK")))</f>
        <v/>
      </c>
      <c r="K114" s="27" t="str">
        <f aca="false">IF(OR(A114="",E114="",F114=""),"",SUMIFS('Sales Log'!$L$5:$L$1004,'Sales Log'!$B$5:$B$1004,A114,'Sales Log'!$A$5:$A$1004,"&gt;="&amp;E114,'Sales Log'!$A$5:$A$1004,"&lt;="&amp;F114,'Sales Log'!$R$5:$R$1004,IF(O114="EXAMPLE","EXAMPLE","&lt;&gt;EXAMPLE")))</f>
        <v/>
      </c>
      <c r="L114" s="16"/>
      <c r="M114" s="16"/>
      <c r="N114" s="16"/>
      <c r="O114" s="16"/>
    </row>
    <row r="115" customFormat="false" ht="15" hidden="false" customHeight="false" outlineLevel="0" collapsed="false">
      <c r="A115" s="16"/>
      <c r="B115" s="25"/>
      <c r="C115" s="26"/>
      <c r="D115" s="16"/>
      <c r="E115" s="25"/>
      <c r="F115" s="25"/>
      <c r="G115" s="25"/>
      <c r="H115" s="26"/>
      <c r="I115" s="27" t="str">
        <f aca="false">IF(OR(C115="",H115=""),"",C115-H115)</f>
        <v/>
      </c>
      <c r="J115" s="8" t="str">
        <f aca="false">IF(C115="","",IF(H115="","WAITING",IF(ABS(C115-H115)&lt;0.005,"MATCHED","CHECK")))</f>
        <v/>
      </c>
      <c r="K115" s="27" t="str">
        <f aca="false">IF(OR(A115="",E115="",F115=""),"",SUMIFS('Sales Log'!$L$5:$L$1004,'Sales Log'!$B$5:$B$1004,A115,'Sales Log'!$A$5:$A$1004,"&gt;="&amp;E115,'Sales Log'!$A$5:$A$1004,"&lt;="&amp;F115,'Sales Log'!$R$5:$R$1004,IF(O115="EXAMPLE","EXAMPLE","&lt;&gt;EXAMPLE")))</f>
        <v/>
      </c>
      <c r="L115" s="16"/>
      <c r="M115" s="16"/>
      <c r="N115" s="16"/>
      <c r="O115" s="16"/>
    </row>
    <row r="116" customFormat="false" ht="15" hidden="false" customHeight="false" outlineLevel="0" collapsed="false">
      <c r="A116" s="16"/>
      <c r="B116" s="25"/>
      <c r="C116" s="26"/>
      <c r="D116" s="16"/>
      <c r="E116" s="25"/>
      <c r="F116" s="25"/>
      <c r="G116" s="25"/>
      <c r="H116" s="26"/>
      <c r="I116" s="27" t="str">
        <f aca="false">IF(OR(C116="",H116=""),"",C116-H116)</f>
        <v/>
      </c>
      <c r="J116" s="8" t="str">
        <f aca="false">IF(C116="","",IF(H116="","WAITING",IF(ABS(C116-H116)&lt;0.005,"MATCHED","CHECK")))</f>
        <v/>
      </c>
      <c r="K116" s="27" t="str">
        <f aca="false">IF(OR(A116="",E116="",F116=""),"",SUMIFS('Sales Log'!$L$5:$L$1004,'Sales Log'!$B$5:$B$1004,A116,'Sales Log'!$A$5:$A$1004,"&gt;="&amp;E116,'Sales Log'!$A$5:$A$1004,"&lt;="&amp;F116,'Sales Log'!$R$5:$R$1004,IF(O116="EXAMPLE","EXAMPLE","&lt;&gt;EXAMPLE")))</f>
        <v/>
      </c>
      <c r="L116" s="16"/>
      <c r="M116" s="16"/>
      <c r="N116" s="16"/>
      <c r="O116" s="16"/>
    </row>
    <row r="117" customFormat="false" ht="15" hidden="false" customHeight="false" outlineLevel="0" collapsed="false">
      <c r="A117" s="16"/>
      <c r="B117" s="25"/>
      <c r="C117" s="26"/>
      <c r="D117" s="16"/>
      <c r="E117" s="25"/>
      <c r="F117" s="25"/>
      <c r="G117" s="25"/>
      <c r="H117" s="26"/>
      <c r="I117" s="27" t="str">
        <f aca="false">IF(OR(C117="",H117=""),"",C117-H117)</f>
        <v/>
      </c>
      <c r="J117" s="8" t="str">
        <f aca="false">IF(C117="","",IF(H117="","WAITING",IF(ABS(C117-H117)&lt;0.005,"MATCHED","CHECK")))</f>
        <v/>
      </c>
      <c r="K117" s="27" t="str">
        <f aca="false">IF(OR(A117="",E117="",F117=""),"",SUMIFS('Sales Log'!$L$5:$L$1004,'Sales Log'!$B$5:$B$1004,A117,'Sales Log'!$A$5:$A$1004,"&gt;="&amp;E117,'Sales Log'!$A$5:$A$1004,"&lt;="&amp;F117,'Sales Log'!$R$5:$R$1004,IF(O117="EXAMPLE","EXAMPLE","&lt;&gt;EXAMPLE")))</f>
        <v/>
      </c>
      <c r="L117" s="16"/>
      <c r="M117" s="16"/>
      <c r="N117" s="16"/>
      <c r="O117" s="16"/>
    </row>
    <row r="118" customFormat="false" ht="15" hidden="false" customHeight="false" outlineLevel="0" collapsed="false">
      <c r="A118" s="16"/>
      <c r="B118" s="25"/>
      <c r="C118" s="26"/>
      <c r="D118" s="16"/>
      <c r="E118" s="25"/>
      <c r="F118" s="25"/>
      <c r="G118" s="25"/>
      <c r="H118" s="26"/>
      <c r="I118" s="27" t="str">
        <f aca="false">IF(OR(C118="",H118=""),"",C118-H118)</f>
        <v/>
      </c>
      <c r="J118" s="8" t="str">
        <f aca="false">IF(C118="","",IF(H118="","WAITING",IF(ABS(C118-H118)&lt;0.005,"MATCHED","CHECK")))</f>
        <v/>
      </c>
      <c r="K118" s="27" t="str">
        <f aca="false">IF(OR(A118="",E118="",F118=""),"",SUMIFS('Sales Log'!$L$5:$L$1004,'Sales Log'!$B$5:$B$1004,A118,'Sales Log'!$A$5:$A$1004,"&gt;="&amp;E118,'Sales Log'!$A$5:$A$1004,"&lt;="&amp;F118,'Sales Log'!$R$5:$R$1004,IF(O118="EXAMPLE","EXAMPLE","&lt;&gt;EXAMPLE")))</f>
        <v/>
      </c>
      <c r="L118" s="16"/>
      <c r="M118" s="16"/>
      <c r="N118" s="16"/>
      <c r="O118" s="16"/>
    </row>
    <row r="119" customFormat="false" ht="15" hidden="false" customHeight="false" outlineLevel="0" collapsed="false">
      <c r="A119" s="16"/>
      <c r="B119" s="25"/>
      <c r="C119" s="26"/>
      <c r="D119" s="16"/>
      <c r="E119" s="25"/>
      <c r="F119" s="25"/>
      <c r="G119" s="25"/>
      <c r="H119" s="26"/>
      <c r="I119" s="27" t="str">
        <f aca="false">IF(OR(C119="",H119=""),"",C119-H119)</f>
        <v/>
      </c>
      <c r="J119" s="8" t="str">
        <f aca="false">IF(C119="","",IF(H119="","WAITING",IF(ABS(C119-H119)&lt;0.005,"MATCHED","CHECK")))</f>
        <v/>
      </c>
      <c r="K119" s="27" t="str">
        <f aca="false">IF(OR(A119="",E119="",F119=""),"",SUMIFS('Sales Log'!$L$5:$L$1004,'Sales Log'!$B$5:$B$1004,A119,'Sales Log'!$A$5:$A$1004,"&gt;="&amp;E119,'Sales Log'!$A$5:$A$1004,"&lt;="&amp;F119,'Sales Log'!$R$5:$R$1004,IF(O119="EXAMPLE","EXAMPLE","&lt;&gt;EXAMPLE")))</f>
        <v/>
      </c>
      <c r="L119" s="16"/>
      <c r="M119" s="16"/>
      <c r="N119" s="16"/>
      <c r="O119" s="16"/>
    </row>
    <row r="120" customFormat="false" ht="15" hidden="false" customHeight="false" outlineLevel="0" collapsed="false">
      <c r="A120" s="16"/>
      <c r="B120" s="25"/>
      <c r="C120" s="26"/>
      <c r="D120" s="16"/>
      <c r="E120" s="25"/>
      <c r="F120" s="25"/>
      <c r="G120" s="25"/>
      <c r="H120" s="26"/>
      <c r="I120" s="27" t="str">
        <f aca="false">IF(OR(C120="",H120=""),"",C120-H120)</f>
        <v/>
      </c>
      <c r="J120" s="8" t="str">
        <f aca="false">IF(C120="","",IF(H120="","WAITING",IF(ABS(C120-H120)&lt;0.005,"MATCHED","CHECK")))</f>
        <v/>
      </c>
      <c r="K120" s="27" t="str">
        <f aca="false">IF(OR(A120="",E120="",F120=""),"",SUMIFS('Sales Log'!$L$5:$L$1004,'Sales Log'!$B$5:$B$1004,A120,'Sales Log'!$A$5:$A$1004,"&gt;="&amp;E120,'Sales Log'!$A$5:$A$1004,"&lt;="&amp;F120,'Sales Log'!$R$5:$R$1004,IF(O120="EXAMPLE","EXAMPLE","&lt;&gt;EXAMPLE")))</f>
        <v/>
      </c>
      <c r="L120" s="16"/>
      <c r="M120" s="16"/>
      <c r="N120" s="16"/>
      <c r="O120" s="16"/>
    </row>
    <row r="121" customFormat="false" ht="15" hidden="false" customHeight="false" outlineLevel="0" collapsed="false">
      <c r="A121" s="16"/>
      <c r="B121" s="25"/>
      <c r="C121" s="26"/>
      <c r="D121" s="16"/>
      <c r="E121" s="25"/>
      <c r="F121" s="25"/>
      <c r="G121" s="25"/>
      <c r="H121" s="26"/>
      <c r="I121" s="27" t="str">
        <f aca="false">IF(OR(C121="",H121=""),"",C121-H121)</f>
        <v/>
      </c>
      <c r="J121" s="8" t="str">
        <f aca="false">IF(C121="","",IF(H121="","WAITING",IF(ABS(C121-H121)&lt;0.005,"MATCHED","CHECK")))</f>
        <v/>
      </c>
      <c r="K121" s="27" t="str">
        <f aca="false">IF(OR(A121="",E121="",F121=""),"",SUMIFS('Sales Log'!$L$5:$L$1004,'Sales Log'!$B$5:$B$1004,A121,'Sales Log'!$A$5:$A$1004,"&gt;="&amp;E121,'Sales Log'!$A$5:$A$1004,"&lt;="&amp;F121,'Sales Log'!$R$5:$R$1004,IF(O121="EXAMPLE","EXAMPLE","&lt;&gt;EXAMPLE")))</f>
        <v/>
      </c>
      <c r="L121" s="16"/>
      <c r="M121" s="16"/>
      <c r="N121" s="16"/>
      <c r="O121" s="16"/>
    </row>
    <row r="122" customFormat="false" ht="15" hidden="false" customHeight="false" outlineLevel="0" collapsed="false">
      <c r="A122" s="16"/>
      <c r="B122" s="25"/>
      <c r="C122" s="26"/>
      <c r="D122" s="16"/>
      <c r="E122" s="25"/>
      <c r="F122" s="25"/>
      <c r="G122" s="25"/>
      <c r="H122" s="26"/>
      <c r="I122" s="27" t="str">
        <f aca="false">IF(OR(C122="",H122=""),"",C122-H122)</f>
        <v/>
      </c>
      <c r="J122" s="8" t="str">
        <f aca="false">IF(C122="","",IF(H122="","WAITING",IF(ABS(C122-H122)&lt;0.005,"MATCHED","CHECK")))</f>
        <v/>
      </c>
      <c r="K122" s="27" t="str">
        <f aca="false">IF(OR(A122="",E122="",F122=""),"",SUMIFS('Sales Log'!$L$5:$L$1004,'Sales Log'!$B$5:$B$1004,A122,'Sales Log'!$A$5:$A$1004,"&gt;="&amp;E122,'Sales Log'!$A$5:$A$1004,"&lt;="&amp;F122,'Sales Log'!$R$5:$R$1004,IF(O122="EXAMPLE","EXAMPLE","&lt;&gt;EXAMPLE")))</f>
        <v/>
      </c>
      <c r="L122" s="16"/>
      <c r="M122" s="16"/>
      <c r="N122" s="16"/>
      <c r="O122" s="16"/>
    </row>
    <row r="123" customFormat="false" ht="15" hidden="false" customHeight="false" outlineLevel="0" collapsed="false">
      <c r="A123" s="16"/>
      <c r="B123" s="25"/>
      <c r="C123" s="26"/>
      <c r="D123" s="16"/>
      <c r="E123" s="25"/>
      <c r="F123" s="25"/>
      <c r="G123" s="25"/>
      <c r="H123" s="26"/>
      <c r="I123" s="27" t="str">
        <f aca="false">IF(OR(C123="",H123=""),"",C123-H123)</f>
        <v/>
      </c>
      <c r="J123" s="8" t="str">
        <f aca="false">IF(C123="","",IF(H123="","WAITING",IF(ABS(C123-H123)&lt;0.005,"MATCHED","CHECK")))</f>
        <v/>
      </c>
      <c r="K123" s="27" t="str">
        <f aca="false">IF(OR(A123="",E123="",F123=""),"",SUMIFS('Sales Log'!$L$5:$L$1004,'Sales Log'!$B$5:$B$1004,A123,'Sales Log'!$A$5:$A$1004,"&gt;="&amp;E123,'Sales Log'!$A$5:$A$1004,"&lt;="&amp;F123,'Sales Log'!$R$5:$R$1004,IF(O123="EXAMPLE","EXAMPLE","&lt;&gt;EXAMPLE")))</f>
        <v/>
      </c>
      <c r="L123" s="16"/>
      <c r="M123" s="16"/>
      <c r="N123" s="16"/>
      <c r="O123" s="16"/>
    </row>
    <row r="124" customFormat="false" ht="15" hidden="false" customHeight="false" outlineLevel="0" collapsed="false">
      <c r="A124" s="16"/>
      <c r="B124" s="25"/>
      <c r="C124" s="26"/>
      <c r="D124" s="16"/>
      <c r="E124" s="25"/>
      <c r="F124" s="25"/>
      <c r="G124" s="25"/>
      <c r="H124" s="26"/>
      <c r="I124" s="27" t="str">
        <f aca="false">IF(OR(C124="",H124=""),"",C124-H124)</f>
        <v/>
      </c>
      <c r="J124" s="8" t="str">
        <f aca="false">IF(C124="","",IF(H124="","WAITING",IF(ABS(C124-H124)&lt;0.005,"MATCHED","CHECK")))</f>
        <v/>
      </c>
      <c r="K124" s="27" t="str">
        <f aca="false">IF(OR(A124="",E124="",F124=""),"",SUMIFS('Sales Log'!$L$5:$L$1004,'Sales Log'!$B$5:$B$1004,A124,'Sales Log'!$A$5:$A$1004,"&gt;="&amp;E124,'Sales Log'!$A$5:$A$1004,"&lt;="&amp;F124,'Sales Log'!$R$5:$R$1004,IF(O124="EXAMPLE","EXAMPLE","&lt;&gt;EXAMPLE")))</f>
        <v/>
      </c>
      <c r="L124" s="16"/>
      <c r="M124" s="16"/>
      <c r="N124" s="16"/>
      <c r="O124" s="16"/>
    </row>
    <row r="125" customFormat="false" ht="15" hidden="false" customHeight="false" outlineLevel="0" collapsed="false">
      <c r="A125" s="16"/>
      <c r="B125" s="25"/>
      <c r="C125" s="26"/>
      <c r="D125" s="16"/>
      <c r="E125" s="25"/>
      <c r="F125" s="25"/>
      <c r="G125" s="25"/>
      <c r="H125" s="26"/>
      <c r="I125" s="27" t="str">
        <f aca="false">IF(OR(C125="",H125=""),"",C125-H125)</f>
        <v/>
      </c>
      <c r="J125" s="8" t="str">
        <f aca="false">IF(C125="","",IF(H125="","WAITING",IF(ABS(C125-H125)&lt;0.005,"MATCHED","CHECK")))</f>
        <v/>
      </c>
      <c r="K125" s="27" t="str">
        <f aca="false">IF(OR(A125="",E125="",F125=""),"",SUMIFS('Sales Log'!$L$5:$L$1004,'Sales Log'!$B$5:$B$1004,A125,'Sales Log'!$A$5:$A$1004,"&gt;="&amp;E125,'Sales Log'!$A$5:$A$1004,"&lt;="&amp;F125,'Sales Log'!$R$5:$R$1004,IF(O125="EXAMPLE","EXAMPLE","&lt;&gt;EXAMPLE")))</f>
        <v/>
      </c>
      <c r="L125" s="16"/>
      <c r="M125" s="16"/>
      <c r="N125" s="16"/>
      <c r="O125" s="16"/>
    </row>
    <row r="126" customFormat="false" ht="15" hidden="false" customHeight="false" outlineLevel="0" collapsed="false">
      <c r="A126" s="16"/>
      <c r="B126" s="25"/>
      <c r="C126" s="26"/>
      <c r="D126" s="16"/>
      <c r="E126" s="25"/>
      <c r="F126" s="25"/>
      <c r="G126" s="25"/>
      <c r="H126" s="26"/>
      <c r="I126" s="27" t="str">
        <f aca="false">IF(OR(C126="",H126=""),"",C126-H126)</f>
        <v/>
      </c>
      <c r="J126" s="8" t="str">
        <f aca="false">IF(C126="","",IF(H126="","WAITING",IF(ABS(C126-H126)&lt;0.005,"MATCHED","CHECK")))</f>
        <v/>
      </c>
      <c r="K126" s="27" t="str">
        <f aca="false">IF(OR(A126="",E126="",F126=""),"",SUMIFS('Sales Log'!$L$5:$L$1004,'Sales Log'!$B$5:$B$1004,A126,'Sales Log'!$A$5:$A$1004,"&gt;="&amp;E126,'Sales Log'!$A$5:$A$1004,"&lt;="&amp;F126,'Sales Log'!$R$5:$R$1004,IF(O126="EXAMPLE","EXAMPLE","&lt;&gt;EXAMPLE")))</f>
        <v/>
      </c>
      <c r="L126" s="16"/>
      <c r="M126" s="16"/>
      <c r="N126" s="16"/>
      <c r="O126" s="16"/>
    </row>
    <row r="127" customFormat="false" ht="15" hidden="false" customHeight="false" outlineLevel="0" collapsed="false">
      <c r="A127" s="16"/>
      <c r="B127" s="25"/>
      <c r="C127" s="26"/>
      <c r="D127" s="16"/>
      <c r="E127" s="25"/>
      <c r="F127" s="25"/>
      <c r="G127" s="25"/>
      <c r="H127" s="26"/>
      <c r="I127" s="27" t="str">
        <f aca="false">IF(OR(C127="",H127=""),"",C127-H127)</f>
        <v/>
      </c>
      <c r="J127" s="8" t="str">
        <f aca="false">IF(C127="","",IF(H127="","WAITING",IF(ABS(C127-H127)&lt;0.005,"MATCHED","CHECK")))</f>
        <v/>
      </c>
      <c r="K127" s="27" t="str">
        <f aca="false">IF(OR(A127="",E127="",F127=""),"",SUMIFS('Sales Log'!$L$5:$L$1004,'Sales Log'!$B$5:$B$1004,A127,'Sales Log'!$A$5:$A$1004,"&gt;="&amp;E127,'Sales Log'!$A$5:$A$1004,"&lt;="&amp;F127,'Sales Log'!$R$5:$R$1004,IF(O127="EXAMPLE","EXAMPLE","&lt;&gt;EXAMPLE")))</f>
        <v/>
      </c>
      <c r="L127" s="16"/>
      <c r="M127" s="16"/>
      <c r="N127" s="16"/>
      <c r="O127" s="16"/>
    </row>
    <row r="128" customFormat="false" ht="15" hidden="false" customHeight="false" outlineLevel="0" collapsed="false">
      <c r="A128" s="16"/>
      <c r="B128" s="25"/>
      <c r="C128" s="26"/>
      <c r="D128" s="16"/>
      <c r="E128" s="25"/>
      <c r="F128" s="25"/>
      <c r="G128" s="25"/>
      <c r="H128" s="26"/>
      <c r="I128" s="27" t="str">
        <f aca="false">IF(OR(C128="",H128=""),"",C128-H128)</f>
        <v/>
      </c>
      <c r="J128" s="8" t="str">
        <f aca="false">IF(C128="","",IF(H128="","WAITING",IF(ABS(C128-H128)&lt;0.005,"MATCHED","CHECK")))</f>
        <v/>
      </c>
      <c r="K128" s="27" t="str">
        <f aca="false">IF(OR(A128="",E128="",F128=""),"",SUMIFS('Sales Log'!$L$5:$L$1004,'Sales Log'!$B$5:$B$1004,A128,'Sales Log'!$A$5:$A$1004,"&gt;="&amp;E128,'Sales Log'!$A$5:$A$1004,"&lt;="&amp;F128,'Sales Log'!$R$5:$R$1004,IF(O128="EXAMPLE","EXAMPLE","&lt;&gt;EXAMPLE")))</f>
        <v/>
      </c>
      <c r="L128" s="16"/>
      <c r="M128" s="16"/>
      <c r="N128" s="16"/>
      <c r="O128" s="16"/>
    </row>
    <row r="129" customFormat="false" ht="15" hidden="false" customHeight="false" outlineLevel="0" collapsed="false">
      <c r="A129" s="16"/>
      <c r="B129" s="25"/>
      <c r="C129" s="26"/>
      <c r="D129" s="16"/>
      <c r="E129" s="25"/>
      <c r="F129" s="25"/>
      <c r="G129" s="25"/>
      <c r="H129" s="26"/>
      <c r="I129" s="27" t="str">
        <f aca="false">IF(OR(C129="",H129=""),"",C129-H129)</f>
        <v/>
      </c>
      <c r="J129" s="8" t="str">
        <f aca="false">IF(C129="","",IF(H129="","WAITING",IF(ABS(C129-H129)&lt;0.005,"MATCHED","CHECK")))</f>
        <v/>
      </c>
      <c r="K129" s="27" t="str">
        <f aca="false">IF(OR(A129="",E129="",F129=""),"",SUMIFS('Sales Log'!$L$5:$L$1004,'Sales Log'!$B$5:$B$1004,A129,'Sales Log'!$A$5:$A$1004,"&gt;="&amp;E129,'Sales Log'!$A$5:$A$1004,"&lt;="&amp;F129,'Sales Log'!$R$5:$R$1004,IF(O129="EXAMPLE","EXAMPLE","&lt;&gt;EXAMPLE")))</f>
        <v/>
      </c>
      <c r="L129" s="16"/>
      <c r="M129" s="16"/>
      <c r="N129" s="16"/>
      <c r="O129" s="16"/>
    </row>
    <row r="130" customFormat="false" ht="15" hidden="false" customHeight="false" outlineLevel="0" collapsed="false">
      <c r="A130" s="16"/>
      <c r="B130" s="25"/>
      <c r="C130" s="26"/>
      <c r="D130" s="16"/>
      <c r="E130" s="25"/>
      <c r="F130" s="25"/>
      <c r="G130" s="25"/>
      <c r="H130" s="26"/>
      <c r="I130" s="27" t="str">
        <f aca="false">IF(OR(C130="",H130=""),"",C130-H130)</f>
        <v/>
      </c>
      <c r="J130" s="8" t="str">
        <f aca="false">IF(C130="","",IF(H130="","WAITING",IF(ABS(C130-H130)&lt;0.005,"MATCHED","CHECK")))</f>
        <v/>
      </c>
      <c r="K130" s="27" t="str">
        <f aca="false">IF(OR(A130="",E130="",F130=""),"",SUMIFS('Sales Log'!$L$5:$L$1004,'Sales Log'!$B$5:$B$1004,A130,'Sales Log'!$A$5:$A$1004,"&gt;="&amp;E130,'Sales Log'!$A$5:$A$1004,"&lt;="&amp;F130,'Sales Log'!$R$5:$R$1004,IF(O130="EXAMPLE","EXAMPLE","&lt;&gt;EXAMPLE")))</f>
        <v/>
      </c>
      <c r="L130" s="16"/>
      <c r="M130" s="16"/>
      <c r="N130" s="16"/>
      <c r="O130" s="16"/>
    </row>
    <row r="131" customFormat="false" ht="15" hidden="false" customHeight="false" outlineLevel="0" collapsed="false">
      <c r="A131" s="16"/>
      <c r="B131" s="25"/>
      <c r="C131" s="26"/>
      <c r="D131" s="16"/>
      <c r="E131" s="25"/>
      <c r="F131" s="25"/>
      <c r="G131" s="25"/>
      <c r="H131" s="26"/>
      <c r="I131" s="27" t="str">
        <f aca="false">IF(OR(C131="",H131=""),"",C131-H131)</f>
        <v/>
      </c>
      <c r="J131" s="8" t="str">
        <f aca="false">IF(C131="","",IF(H131="","WAITING",IF(ABS(C131-H131)&lt;0.005,"MATCHED","CHECK")))</f>
        <v/>
      </c>
      <c r="K131" s="27" t="str">
        <f aca="false">IF(OR(A131="",E131="",F131=""),"",SUMIFS('Sales Log'!$L$5:$L$1004,'Sales Log'!$B$5:$B$1004,A131,'Sales Log'!$A$5:$A$1004,"&gt;="&amp;E131,'Sales Log'!$A$5:$A$1004,"&lt;="&amp;F131,'Sales Log'!$R$5:$R$1004,IF(O131="EXAMPLE","EXAMPLE","&lt;&gt;EXAMPLE")))</f>
        <v/>
      </c>
      <c r="L131" s="16"/>
      <c r="M131" s="16"/>
      <c r="N131" s="16"/>
      <c r="O131" s="16"/>
    </row>
    <row r="132" customFormat="false" ht="15" hidden="false" customHeight="false" outlineLevel="0" collapsed="false">
      <c r="A132" s="16"/>
      <c r="B132" s="25"/>
      <c r="C132" s="26"/>
      <c r="D132" s="16"/>
      <c r="E132" s="25"/>
      <c r="F132" s="25"/>
      <c r="G132" s="25"/>
      <c r="H132" s="26"/>
      <c r="I132" s="27" t="str">
        <f aca="false">IF(OR(C132="",H132=""),"",C132-H132)</f>
        <v/>
      </c>
      <c r="J132" s="8" t="str">
        <f aca="false">IF(C132="","",IF(H132="","WAITING",IF(ABS(C132-H132)&lt;0.005,"MATCHED","CHECK")))</f>
        <v/>
      </c>
      <c r="K132" s="27" t="str">
        <f aca="false">IF(OR(A132="",E132="",F132=""),"",SUMIFS('Sales Log'!$L$5:$L$1004,'Sales Log'!$B$5:$B$1004,A132,'Sales Log'!$A$5:$A$1004,"&gt;="&amp;E132,'Sales Log'!$A$5:$A$1004,"&lt;="&amp;F132,'Sales Log'!$R$5:$R$1004,IF(O132="EXAMPLE","EXAMPLE","&lt;&gt;EXAMPLE")))</f>
        <v/>
      </c>
      <c r="L132" s="16"/>
      <c r="M132" s="16"/>
      <c r="N132" s="16"/>
      <c r="O132" s="16"/>
    </row>
    <row r="133" customFormat="false" ht="15" hidden="false" customHeight="false" outlineLevel="0" collapsed="false">
      <c r="A133" s="16"/>
      <c r="B133" s="25"/>
      <c r="C133" s="26"/>
      <c r="D133" s="16"/>
      <c r="E133" s="25"/>
      <c r="F133" s="25"/>
      <c r="G133" s="25"/>
      <c r="H133" s="26"/>
      <c r="I133" s="27" t="str">
        <f aca="false">IF(OR(C133="",H133=""),"",C133-H133)</f>
        <v/>
      </c>
      <c r="J133" s="8" t="str">
        <f aca="false">IF(C133="","",IF(H133="","WAITING",IF(ABS(C133-H133)&lt;0.005,"MATCHED","CHECK")))</f>
        <v/>
      </c>
      <c r="K133" s="27" t="str">
        <f aca="false">IF(OR(A133="",E133="",F133=""),"",SUMIFS('Sales Log'!$L$5:$L$1004,'Sales Log'!$B$5:$B$1004,A133,'Sales Log'!$A$5:$A$1004,"&gt;="&amp;E133,'Sales Log'!$A$5:$A$1004,"&lt;="&amp;F133,'Sales Log'!$R$5:$R$1004,IF(O133="EXAMPLE","EXAMPLE","&lt;&gt;EXAMPLE")))</f>
        <v/>
      </c>
      <c r="L133" s="16"/>
      <c r="M133" s="16"/>
      <c r="N133" s="16"/>
      <c r="O133" s="16"/>
    </row>
    <row r="134" customFormat="false" ht="15" hidden="false" customHeight="false" outlineLevel="0" collapsed="false">
      <c r="A134" s="16"/>
      <c r="B134" s="25"/>
      <c r="C134" s="26"/>
      <c r="D134" s="16"/>
      <c r="E134" s="25"/>
      <c r="F134" s="25"/>
      <c r="G134" s="25"/>
      <c r="H134" s="26"/>
      <c r="I134" s="27" t="str">
        <f aca="false">IF(OR(C134="",H134=""),"",C134-H134)</f>
        <v/>
      </c>
      <c r="J134" s="8" t="str">
        <f aca="false">IF(C134="","",IF(H134="","WAITING",IF(ABS(C134-H134)&lt;0.005,"MATCHED","CHECK")))</f>
        <v/>
      </c>
      <c r="K134" s="27" t="str">
        <f aca="false">IF(OR(A134="",E134="",F134=""),"",SUMIFS('Sales Log'!$L$5:$L$1004,'Sales Log'!$B$5:$B$1004,A134,'Sales Log'!$A$5:$A$1004,"&gt;="&amp;E134,'Sales Log'!$A$5:$A$1004,"&lt;="&amp;F134,'Sales Log'!$R$5:$R$1004,IF(O134="EXAMPLE","EXAMPLE","&lt;&gt;EXAMPLE")))</f>
        <v/>
      </c>
      <c r="L134" s="16"/>
      <c r="M134" s="16"/>
      <c r="N134" s="16"/>
      <c r="O134" s="16"/>
    </row>
    <row r="135" customFormat="false" ht="15" hidden="false" customHeight="false" outlineLevel="0" collapsed="false">
      <c r="A135" s="16"/>
      <c r="B135" s="25"/>
      <c r="C135" s="26"/>
      <c r="D135" s="16"/>
      <c r="E135" s="25"/>
      <c r="F135" s="25"/>
      <c r="G135" s="25"/>
      <c r="H135" s="26"/>
      <c r="I135" s="27" t="str">
        <f aca="false">IF(OR(C135="",H135=""),"",C135-H135)</f>
        <v/>
      </c>
      <c r="J135" s="8" t="str">
        <f aca="false">IF(C135="","",IF(H135="","WAITING",IF(ABS(C135-H135)&lt;0.005,"MATCHED","CHECK")))</f>
        <v/>
      </c>
      <c r="K135" s="27" t="str">
        <f aca="false">IF(OR(A135="",E135="",F135=""),"",SUMIFS('Sales Log'!$L$5:$L$1004,'Sales Log'!$B$5:$B$1004,A135,'Sales Log'!$A$5:$A$1004,"&gt;="&amp;E135,'Sales Log'!$A$5:$A$1004,"&lt;="&amp;F135,'Sales Log'!$R$5:$R$1004,IF(O135="EXAMPLE","EXAMPLE","&lt;&gt;EXAMPLE")))</f>
        <v/>
      </c>
      <c r="L135" s="16"/>
      <c r="M135" s="16"/>
      <c r="N135" s="16"/>
      <c r="O135" s="16"/>
    </row>
    <row r="136" customFormat="false" ht="15" hidden="false" customHeight="false" outlineLevel="0" collapsed="false">
      <c r="A136" s="16"/>
      <c r="B136" s="25"/>
      <c r="C136" s="26"/>
      <c r="D136" s="16"/>
      <c r="E136" s="25"/>
      <c r="F136" s="25"/>
      <c r="G136" s="25"/>
      <c r="H136" s="26"/>
      <c r="I136" s="27" t="str">
        <f aca="false">IF(OR(C136="",H136=""),"",C136-H136)</f>
        <v/>
      </c>
      <c r="J136" s="8" t="str">
        <f aca="false">IF(C136="","",IF(H136="","WAITING",IF(ABS(C136-H136)&lt;0.005,"MATCHED","CHECK")))</f>
        <v/>
      </c>
      <c r="K136" s="27" t="str">
        <f aca="false">IF(OR(A136="",E136="",F136=""),"",SUMIFS('Sales Log'!$L$5:$L$1004,'Sales Log'!$B$5:$B$1004,A136,'Sales Log'!$A$5:$A$1004,"&gt;="&amp;E136,'Sales Log'!$A$5:$A$1004,"&lt;="&amp;F136,'Sales Log'!$R$5:$R$1004,IF(O136="EXAMPLE","EXAMPLE","&lt;&gt;EXAMPLE")))</f>
        <v/>
      </c>
      <c r="L136" s="16"/>
      <c r="M136" s="16"/>
      <c r="N136" s="16"/>
      <c r="O136" s="16"/>
    </row>
    <row r="137" customFormat="false" ht="15" hidden="false" customHeight="false" outlineLevel="0" collapsed="false">
      <c r="A137" s="16"/>
      <c r="B137" s="25"/>
      <c r="C137" s="26"/>
      <c r="D137" s="16"/>
      <c r="E137" s="25"/>
      <c r="F137" s="25"/>
      <c r="G137" s="25"/>
      <c r="H137" s="26"/>
      <c r="I137" s="27" t="str">
        <f aca="false">IF(OR(C137="",H137=""),"",C137-H137)</f>
        <v/>
      </c>
      <c r="J137" s="8" t="str">
        <f aca="false">IF(C137="","",IF(H137="","WAITING",IF(ABS(C137-H137)&lt;0.005,"MATCHED","CHECK")))</f>
        <v/>
      </c>
      <c r="K137" s="27" t="str">
        <f aca="false">IF(OR(A137="",E137="",F137=""),"",SUMIFS('Sales Log'!$L$5:$L$1004,'Sales Log'!$B$5:$B$1004,A137,'Sales Log'!$A$5:$A$1004,"&gt;="&amp;E137,'Sales Log'!$A$5:$A$1004,"&lt;="&amp;F137,'Sales Log'!$R$5:$R$1004,IF(O137="EXAMPLE","EXAMPLE","&lt;&gt;EXAMPLE")))</f>
        <v/>
      </c>
      <c r="L137" s="16"/>
      <c r="M137" s="16"/>
      <c r="N137" s="16"/>
      <c r="O137" s="16"/>
    </row>
    <row r="138" customFormat="false" ht="15" hidden="false" customHeight="false" outlineLevel="0" collapsed="false">
      <c r="A138" s="16"/>
      <c r="B138" s="25"/>
      <c r="C138" s="26"/>
      <c r="D138" s="16"/>
      <c r="E138" s="25"/>
      <c r="F138" s="25"/>
      <c r="G138" s="25"/>
      <c r="H138" s="26"/>
      <c r="I138" s="27" t="str">
        <f aca="false">IF(OR(C138="",H138=""),"",C138-H138)</f>
        <v/>
      </c>
      <c r="J138" s="8" t="str">
        <f aca="false">IF(C138="","",IF(H138="","WAITING",IF(ABS(C138-H138)&lt;0.005,"MATCHED","CHECK")))</f>
        <v/>
      </c>
      <c r="K138" s="27" t="str">
        <f aca="false">IF(OR(A138="",E138="",F138=""),"",SUMIFS('Sales Log'!$L$5:$L$1004,'Sales Log'!$B$5:$B$1004,A138,'Sales Log'!$A$5:$A$1004,"&gt;="&amp;E138,'Sales Log'!$A$5:$A$1004,"&lt;="&amp;F138,'Sales Log'!$R$5:$R$1004,IF(O138="EXAMPLE","EXAMPLE","&lt;&gt;EXAMPLE")))</f>
        <v/>
      </c>
      <c r="L138" s="16"/>
      <c r="M138" s="16"/>
      <c r="N138" s="16"/>
      <c r="O138" s="16"/>
    </row>
    <row r="139" customFormat="false" ht="15" hidden="false" customHeight="false" outlineLevel="0" collapsed="false">
      <c r="A139" s="16"/>
      <c r="B139" s="25"/>
      <c r="C139" s="26"/>
      <c r="D139" s="16"/>
      <c r="E139" s="25"/>
      <c r="F139" s="25"/>
      <c r="G139" s="25"/>
      <c r="H139" s="26"/>
      <c r="I139" s="27" t="str">
        <f aca="false">IF(OR(C139="",H139=""),"",C139-H139)</f>
        <v/>
      </c>
      <c r="J139" s="8" t="str">
        <f aca="false">IF(C139="","",IF(H139="","WAITING",IF(ABS(C139-H139)&lt;0.005,"MATCHED","CHECK")))</f>
        <v/>
      </c>
      <c r="K139" s="27" t="str">
        <f aca="false">IF(OR(A139="",E139="",F139=""),"",SUMIFS('Sales Log'!$L$5:$L$1004,'Sales Log'!$B$5:$B$1004,A139,'Sales Log'!$A$5:$A$1004,"&gt;="&amp;E139,'Sales Log'!$A$5:$A$1004,"&lt;="&amp;F139,'Sales Log'!$R$5:$R$1004,IF(O139="EXAMPLE","EXAMPLE","&lt;&gt;EXAMPLE")))</f>
        <v/>
      </c>
      <c r="L139" s="16"/>
      <c r="M139" s="16"/>
      <c r="N139" s="16"/>
      <c r="O139" s="16"/>
    </row>
    <row r="140" customFormat="false" ht="15" hidden="false" customHeight="false" outlineLevel="0" collapsed="false">
      <c r="A140" s="16"/>
      <c r="B140" s="25"/>
      <c r="C140" s="26"/>
      <c r="D140" s="16"/>
      <c r="E140" s="25"/>
      <c r="F140" s="25"/>
      <c r="G140" s="25"/>
      <c r="H140" s="26"/>
      <c r="I140" s="27" t="str">
        <f aca="false">IF(OR(C140="",H140=""),"",C140-H140)</f>
        <v/>
      </c>
      <c r="J140" s="8" t="str">
        <f aca="false">IF(C140="","",IF(H140="","WAITING",IF(ABS(C140-H140)&lt;0.005,"MATCHED","CHECK")))</f>
        <v/>
      </c>
      <c r="K140" s="27" t="str">
        <f aca="false">IF(OR(A140="",E140="",F140=""),"",SUMIFS('Sales Log'!$L$5:$L$1004,'Sales Log'!$B$5:$B$1004,A140,'Sales Log'!$A$5:$A$1004,"&gt;="&amp;E140,'Sales Log'!$A$5:$A$1004,"&lt;="&amp;F140,'Sales Log'!$R$5:$R$1004,IF(O140="EXAMPLE","EXAMPLE","&lt;&gt;EXAMPLE")))</f>
        <v/>
      </c>
      <c r="L140" s="16"/>
      <c r="M140" s="16"/>
      <c r="N140" s="16"/>
      <c r="O140" s="16"/>
    </row>
    <row r="141" customFormat="false" ht="15" hidden="false" customHeight="false" outlineLevel="0" collapsed="false">
      <c r="A141" s="16"/>
      <c r="B141" s="25"/>
      <c r="C141" s="26"/>
      <c r="D141" s="16"/>
      <c r="E141" s="25"/>
      <c r="F141" s="25"/>
      <c r="G141" s="25"/>
      <c r="H141" s="26"/>
      <c r="I141" s="27" t="str">
        <f aca="false">IF(OR(C141="",H141=""),"",C141-H141)</f>
        <v/>
      </c>
      <c r="J141" s="8" t="str">
        <f aca="false">IF(C141="","",IF(H141="","WAITING",IF(ABS(C141-H141)&lt;0.005,"MATCHED","CHECK")))</f>
        <v/>
      </c>
      <c r="K141" s="27" t="str">
        <f aca="false">IF(OR(A141="",E141="",F141=""),"",SUMIFS('Sales Log'!$L$5:$L$1004,'Sales Log'!$B$5:$B$1004,A141,'Sales Log'!$A$5:$A$1004,"&gt;="&amp;E141,'Sales Log'!$A$5:$A$1004,"&lt;="&amp;F141,'Sales Log'!$R$5:$R$1004,IF(O141="EXAMPLE","EXAMPLE","&lt;&gt;EXAMPLE")))</f>
        <v/>
      </c>
      <c r="L141" s="16"/>
      <c r="M141" s="16"/>
      <c r="N141" s="16"/>
      <c r="O141" s="16"/>
    </row>
    <row r="142" customFormat="false" ht="15" hidden="false" customHeight="false" outlineLevel="0" collapsed="false">
      <c r="A142" s="16"/>
      <c r="B142" s="25"/>
      <c r="C142" s="26"/>
      <c r="D142" s="16"/>
      <c r="E142" s="25"/>
      <c r="F142" s="25"/>
      <c r="G142" s="25"/>
      <c r="H142" s="26"/>
      <c r="I142" s="27" t="str">
        <f aca="false">IF(OR(C142="",H142=""),"",C142-H142)</f>
        <v/>
      </c>
      <c r="J142" s="8" t="str">
        <f aca="false">IF(C142="","",IF(H142="","WAITING",IF(ABS(C142-H142)&lt;0.005,"MATCHED","CHECK")))</f>
        <v/>
      </c>
      <c r="K142" s="27" t="str">
        <f aca="false">IF(OR(A142="",E142="",F142=""),"",SUMIFS('Sales Log'!$L$5:$L$1004,'Sales Log'!$B$5:$B$1004,A142,'Sales Log'!$A$5:$A$1004,"&gt;="&amp;E142,'Sales Log'!$A$5:$A$1004,"&lt;="&amp;F142,'Sales Log'!$R$5:$R$1004,IF(O142="EXAMPLE","EXAMPLE","&lt;&gt;EXAMPLE")))</f>
        <v/>
      </c>
      <c r="L142" s="16"/>
      <c r="M142" s="16"/>
      <c r="N142" s="16"/>
      <c r="O142" s="16"/>
    </row>
    <row r="143" customFormat="false" ht="15" hidden="false" customHeight="false" outlineLevel="0" collapsed="false">
      <c r="A143" s="16"/>
      <c r="B143" s="25"/>
      <c r="C143" s="26"/>
      <c r="D143" s="16"/>
      <c r="E143" s="25"/>
      <c r="F143" s="25"/>
      <c r="G143" s="25"/>
      <c r="H143" s="26"/>
      <c r="I143" s="27" t="str">
        <f aca="false">IF(OR(C143="",H143=""),"",C143-H143)</f>
        <v/>
      </c>
      <c r="J143" s="8" t="str">
        <f aca="false">IF(C143="","",IF(H143="","WAITING",IF(ABS(C143-H143)&lt;0.005,"MATCHED","CHECK")))</f>
        <v/>
      </c>
      <c r="K143" s="27" t="str">
        <f aca="false">IF(OR(A143="",E143="",F143=""),"",SUMIFS('Sales Log'!$L$5:$L$1004,'Sales Log'!$B$5:$B$1004,A143,'Sales Log'!$A$5:$A$1004,"&gt;="&amp;E143,'Sales Log'!$A$5:$A$1004,"&lt;="&amp;F143,'Sales Log'!$R$5:$R$1004,IF(O143="EXAMPLE","EXAMPLE","&lt;&gt;EXAMPLE")))</f>
        <v/>
      </c>
      <c r="L143" s="16"/>
      <c r="M143" s="16"/>
      <c r="N143" s="16"/>
      <c r="O143" s="16"/>
    </row>
    <row r="144" customFormat="false" ht="15" hidden="false" customHeight="false" outlineLevel="0" collapsed="false">
      <c r="A144" s="16"/>
      <c r="B144" s="25"/>
      <c r="C144" s="26"/>
      <c r="D144" s="16"/>
      <c r="E144" s="25"/>
      <c r="F144" s="25"/>
      <c r="G144" s="25"/>
      <c r="H144" s="26"/>
      <c r="I144" s="27" t="str">
        <f aca="false">IF(OR(C144="",H144=""),"",C144-H144)</f>
        <v/>
      </c>
      <c r="J144" s="8" t="str">
        <f aca="false">IF(C144="","",IF(H144="","WAITING",IF(ABS(C144-H144)&lt;0.005,"MATCHED","CHECK")))</f>
        <v/>
      </c>
      <c r="K144" s="27" t="str">
        <f aca="false">IF(OR(A144="",E144="",F144=""),"",SUMIFS('Sales Log'!$L$5:$L$1004,'Sales Log'!$B$5:$B$1004,A144,'Sales Log'!$A$5:$A$1004,"&gt;="&amp;E144,'Sales Log'!$A$5:$A$1004,"&lt;="&amp;F144,'Sales Log'!$R$5:$R$1004,IF(O144="EXAMPLE","EXAMPLE","&lt;&gt;EXAMPLE")))</f>
        <v/>
      </c>
      <c r="L144" s="16"/>
      <c r="M144" s="16"/>
      <c r="N144" s="16"/>
      <c r="O144" s="16"/>
    </row>
    <row r="145" customFormat="false" ht="15" hidden="false" customHeight="false" outlineLevel="0" collapsed="false">
      <c r="A145" s="16"/>
      <c r="B145" s="25"/>
      <c r="C145" s="26"/>
      <c r="D145" s="16"/>
      <c r="E145" s="25"/>
      <c r="F145" s="25"/>
      <c r="G145" s="25"/>
      <c r="H145" s="26"/>
      <c r="I145" s="27" t="str">
        <f aca="false">IF(OR(C145="",H145=""),"",C145-H145)</f>
        <v/>
      </c>
      <c r="J145" s="8" t="str">
        <f aca="false">IF(C145="","",IF(H145="","WAITING",IF(ABS(C145-H145)&lt;0.005,"MATCHED","CHECK")))</f>
        <v/>
      </c>
      <c r="K145" s="27" t="str">
        <f aca="false">IF(OR(A145="",E145="",F145=""),"",SUMIFS('Sales Log'!$L$5:$L$1004,'Sales Log'!$B$5:$B$1004,A145,'Sales Log'!$A$5:$A$1004,"&gt;="&amp;E145,'Sales Log'!$A$5:$A$1004,"&lt;="&amp;F145,'Sales Log'!$R$5:$R$1004,IF(O145="EXAMPLE","EXAMPLE","&lt;&gt;EXAMPLE")))</f>
        <v/>
      </c>
      <c r="L145" s="16"/>
      <c r="M145" s="16"/>
      <c r="N145" s="16"/>
      <c r="O145" s="16"/>
    </row>
    <row r="146" customFormat="false" ht="15" hidden="false" customHeight="false" outlineLevel="0" collapsed="false">
      <c r="A146" s="16"/>
      <c r="B146" s="25"/>
      <c r="C146" s="26"/>
      <c r="D146" s="16"/>
      <c r="E146" s="25"/>
      <c r="F146" s="25"/>
      <c r="G146" s="25"/>
      <c r="H146" s="26"/>
      <c r="I146" s="27" t="str">
        <f aca="false">IF(OR(C146="",H146=""),"",C146-H146)</f>
        <v/>
      </c>
      <c r="J146" s="8" t="str">
        <f aca="false">IF(C146="","",IF(H146="","WAITING",IF(ABS(C146-H146)&lt;0.005,"MATCHED","CHECK")))</f>
        <v/>
      </c>
      <c r="K146" s="27" t="str">
        <f aca="false">IF(OR(A146="",E146="",F146=""),"",SUMIFS('Sales Log'!$L$5:$L$1004,'Sales Log'!$B$5:$B$1004,A146,'Sales Log'!$A$5:$A$1004,"&gt;="&amp;E146,'Sales Log'!$A$5:$A$1004,"&lt;="&amp;F146,'Sales Log'!$R$5:$R$1004,IF(O146="EXAMPLE","EXAMPLE","&lt;&gt;EXAMPLE")))</f>
        <v/>
      </c>
      <c r="L146" s="16"/>
      <c r="M146" s="16"/>
      <c r="N146" s="16"/>
      <c r="O146" s="16"/>
    </row>
    <row r="147" customFormat="false" ht="15" hidden="false" customHeight="false" outlineLevel="0" collapsed="false">
      <c r="A147" s="16"/>
      <c r="B147" s="25"/>
      <c r="C147" s="26"/>
      <c r="D147" s="16"/>
      <c r="E147" s="25"/>
      <c r="F147" s="25"/>
      <c r="G147" s="25"/>
      <c r="H147" s="26"/>
      <c r="I147" s="27" t="str">
        <f aca="false">IF(OR(C147="",H147=""),"",C147-H147)</f>
        <v/>
      </c>
      <c r="J147" s="8" t="str">
        <f aca="false">IF(C147="","",IF(H147="","WAITING",IF(ABS(C147-H147)&lt;0.005,"MATCHED","CHECK")))</f>
        <v/>
      </c>
      <c r="K147" s="27" t="str">
        <f aca="false">IF(OR(A147="",E147="",F147=""),"",SUMIFS('Sales Log'!$L$5:$L$1004,'Sales Log'!$B$5:$B$1004,A147,'Sales Log'!$A$5:$A$1004,"&gt;="&amp;E147,'Sales Log'!$A$5:$A$1004,"&lt;="&amp;F147,'Sales Log'!$R$5:$R$1004,IF(O147="EXAMPLE","EXAMPLE","&lt;&gt;EXAMPLE")))</f>
        <v/>
      </c>
      <c r="L147" s="16"/>
      <c r="M147" s="16"/>
      <c r="N147" s="16"/>
      <c r="O147" s="16"/>
    </row>
    <row r="148" customFormat="false" ht="15" hidden="false" customHeight="false" outlineLevel="0" collapsed="false">
      <c r="A148" s="16"/>
      <c r="B148" s="25"/>
      <c r="C148" s="26"/>
      <c r="D148" s="16"/>
      <c r="E148" s="25"/>
      <c r="F148" s="25"/>
      <c r="G148" s="25"/>
      <c r="H148" s="26"/>
      <c r="I148" s="27" t="str">
        <f aca="false">IF(OR(C148="",H148=""),"",C148-H148)</f>
        <v/>
      </c>
      <c r="J148" s="8" t="str">
        <f aca="false">IF(C148="","",IF(H148="","WAITING",IF(ABS(C148-H148)&lt;0.005,"MATCHED","CHECK")))</f>
        <v/>
      </c>
      <c r="K148" s="27" t="str">
        <f aca="false">IF(OR(A148="",E148="",F148=""),"",SUMIFS('Sales Log'!$L$5:$L$1004,'Sales Log'!$B$5:$B$1004,A148,'Sales Log'!$A$5:$A$1004,"&gt;="&amp;E148,'Sales Log'!$A$5:$A$1004,"&lt;="&amp;F148,'Sales Log'!$R$5:$R$1004,IF(O148="EXAMPLE","EXAMPLE","&lt;&gt;EXAMPLE")))</f>
        <v/>
      </c>
      <c r="L148" s="16"/>
      <c r="M148" s="16"/>
      <c r="N148" s="16"/>
      <c r="O148" s="16"/>
    </row>
    <row r="149" customFormat="false" ht="15" hidden="false" customHeight="false" outlineLevel="0" collapsed="false">
      <c r="A149" s="16"/>
      <c r="B149" s="25"/>
      <c r="C149" s="26"/>
      <c r="D149" s="16"/>
      <c r="E149" s="25"/>
      <c r="F149" s="25"/>
      <c r="G149" s="25"/>
      <c r="H149" s="26"/>
      <c r="I149" s="27" t="str">
        <f aca="false">IF(OR(C149="",H149=""),"",C149-H149)</f>
        <v/>
      </c>
      <c r="J149" s="8" t="str">
        <f aca="false">IF(C149="","",IF(H149="","WAITING",IF(ABS(C149-H149)&lt;0.005,"MATCHED","CHECK")))</f>
        <v/>
      </c>
      <c r="K149" s="27" t="str">
        <f aca="false">IF(OR(A149="",E149="",F149=""),"",SUMIFS('Sales Log'!$L$5:$L$1004,'Sales Log'!$B$5:$B$1004,A149,'Sales Log'!$A$5:$A$1004,"&gt;="&amp;E149,'Sales Log'!$A$5:$A$1004,"&lt;="&amp;F149,'Sales Log'!$R$5:$R$1004,IF(O149="EXAMPLE","EXAMPLE","&lt;&gt;EXAMPLE")))</f>
        <v/>
      </c>
      <c r="L149" s="16"/>
      <c r="M149" s="16"/>
      <c r="N149" s="16"/>
      <c r="O149" s="16"/>
    </row>
    <row r="150" customFormat="false" ht="15" hidden="false" customHeight="false" outlineLevel="0" collapsed="false">
      <c r="A150" s="16"/>
      <c r="B150" s="25"/>
      <c r="C150" s="26"/>
      <c r="D150" s="16"/>
      <c r="E150" s="25"/>
      <c r="F150" s="25"/>
      <c r="G150" s="25"/>
      <c r="H150" s="26"/>
      <c r="I150" s="27" t="str">
        <f aca="false">IF(OR(C150="",H150=""),"",C150-H150)</f>
        <v/>
      </c>
      <c r="J150" s="8" t="str">
        <f aca="false">IF(C150="","",IF(H150="","WAITING",IF(ABS(C150-H150)&lt;0.005,"MATCHED","CHECK")))</f>
        <v/>
      </c>
      <c r="K150" s="27" t="str">
        <f aca="false">IF(OR(A150="",E150="",F150=""),"",SUMIFS('Sales Log'!$L$5:$L$1004,'Sales Log'!$B$5:$B$1004,A150,'Sales Log'!$A$5:$A$1004,"&gt;="&amp;E150,'Sales Log'!$A$5:$A$1004,"&lt;="&amp;F150,'Sales Log'!$R$5:$R$1004,IF(O150="EXAMPLE","EXAMPLE","&lt;&gt;EXAMPLE")))</f>
        <v/>
      </c>
      <c r="L150" s="16"/>
      <c r="M150" s="16"/>
      <c r="N150" s="16"/>
      <c r="O150" s="16"/>
    </row>
    <row r="151" customFormat="false" ht="15" hidden="false" customHeight="false" outlineLevel="0" collapsed="false">
      <c r="A151" s="16"/>
      <c r="B151" s="25"/>
      <c r="C151" s="26"/>
      <c r="D151" s="16"/>
      <c r="E151" s="25"/>
      <c r="F151" s="25"/>
      <c r="G151" s="25"/>
      <c r="H151" s="26"/>
      <c r="I151" s="27" t="str">
        <f aca="false">IF(OR(C151="",H151=""),"",C151-H151)</f>
        <v/>
      </c>
      <c r="J151" s="8" t="str">
        <f aca="false">IF(C151="","",IF(H151="","WAITING",IF(ABS(C151-H151)&lt;0.005,"MATCHED","CHECK")))</f>
        <v/>
      </c>
      <c r="K151" s="27" t="str">
        <f aca="false">IF(OR(A151="",E151="",F151=""),"",SUMIFS('Sales Log'!$L$5:$L$1004,'Sales Log'!$B$5:$B$1004,A151,'Sales Log'!$A$5:$A$1004,"&gt;="&amp;E151,'Sales Log'!$A$5:$A$1004,"&lt;="&amp;F151,'Sales Log'!$R$5:$R$1004,IF(O151="EXAMPLE","EXAMPLE","&lt;&gt;EXAMPLE")))</f>
        <v/>
      </c>
      <c r="L151" s="16"/>
      <c r="M151" s="16"/>
      <c r="N151" s="16"/>
      <c r="O151" s="16"/>
    </row>
    <row r="152" customFormat="false" ht="15" hidden="false" customHeight="false" outlineLevel="0" collapsed="false">
      <c r="A152" s="16"/>
      <c r="B152" s="25"/>
      <c r="C152" s="26"/>
      <c r="D152" s="16"/>
      <c r="E152" s="25"/>
      <c r="F152" s="25"/>
      <c r="G152" s="25"/>
      <c r="H152" s="26"/>
      <c r="I152" s="27" t="str">
        <f aca="false">IF(OR(C152="",H152=""),"",C152-H152)</f>
        <v/>
      </c>
      <c r="J152" s="8" t="str">
        <f aca="false">IF(C152="","",IF(H152="","WAITING",IF(ABS(C152-H152)&lt;0.005,"MATCHED","CHECK")))</f>
        <v/>
      </c>
      <c r="K152" s="27" t="str">
        <f aca="false">IF(OR(A152="",E152="",F152=""),"",SUMIFS('Sales Log'!$L$5:$L$1004,'Sales Log'!$B$5:$B$1004,A152,'Sales Log'!$A$5:$A$1004,"&gt;="&amp;E152,'Sales Log'!$A$5:$A$1004,"&lt;="&amp;F152,'Sales Log'!$R$5:$R$1004,IF(O152="EXAMPLE","EXAMPLE","&lt;&gt;EXAMPLE")))</f>
        <v/>
      </c>
      <c r="L152" s="16"/>
      <c r="M152" s="16"/>
      <c r="N152" s="16"/>
      <c r="O152" s="16"/>
    </row>
    <row r="153" customFormat="false" ht="15" hidden="false" customHeight="false" outlineLevel="0" collapsed="false">
      <c r="A153" s="16"/>
      <c r="B153" s="25"/>
      <c r="C153" s="26"/>
      <c r="D153" s="16"/>
      <c r="E153" s="25"/>
      <c r="F153" s="25"/>
      <c r="G153" s="25"/>
      <c r="H153" s="26"/>
      <c r="I153" s="27" t="str">
        <f aca="false">IF(OR(C153="",H153=""),"",C153-H153)</f>
        <v/>
      </c>
      <c r="J153" s="8" t="str">
        <f aca="false">IF(C153="","",IF(H153="","WAITING",IF(ABS(C153-H153)&lt;0.005,"MATCHED","CHECK")))</f>
        <v/>
      </c>
      <c r="K153" s="27" t="str">
        <f aca="false">IF(OR(A153="",E153="",F153=""),"",SUMIFS('Sales Log'!$L$5:$L$1004,'Sales Log'!$B$5:$B$1004,A153,'Sales Log'!$A$5:$A$1004,"&gt;="&amp;E153,'Sales Log'!$A$5:$A$1004,"&lt;="&amp;F153,'Sales Log'!$R$5:$R$1004,IF(O153="EXAMPLE","EXAMPLE","&lt;&gt;EXAMPLE")))</f>
        <v/>
      </c>
      <c r="L153" s="16"/>
      <c r="M153" s="16"/>
      <c r="N153" s="16"/>
      <c r="O153" s="16"/>
    </row>
    <row r="154" customFormat="false" ht="15" hidden="false" customHeight="false" outlineLevel="0" collapsed="false">
      <c r="A154" s="16"/>
      <c r="B154" s="25"/>
      <c r="C154" s="26"/>
      <c r="D154" s="16"/>
      <c r="E154" s="25"/>
      <c r="F154" s="25"/>
      <c r="G154" s="25"/>
      <c r="H154" s="26"/>
      <c r="I154" s="27" t="str">
        <f aca="false">IF(OR(C154="",H154=""),"",C154-H154)</f>
        <v/>
      </c>
      <c r="J154" s="8" t="str">
        <f aca="false">IF(C154="","",IF(H154="","WAITING",IF(ABS(C154-H154)&lt;0.005,"MATCHED","CHECK")))</f>
        <v/>
      </c>
      <c r="K154" s="27" t="str">
        <f aca="false">IF(OR(A154="",E154="",F154=""),"",SUMIFS('Sales Log'!$L$5:$L$1004,'Sales Log'!$B$5:$B$1004,A154,'Sales Log'!$A$5:$A$1004,"&gt;="&amp;E154,'Sales Log'!$A$5:$A$1004,"&lt;="&amp;F154,'Sales Log'!$R$5:$R$1004,IF(O154="EXAMPLE","EXAMPLE","&lt;&gt;EXAMPLE")))</f>
        <v/>
      </c>
      <c r="L154" s="16"/>
      <c r="M154" s="16"/>
      <c r="N154" s="16"/>
      <c r="O154" s="16"/>
    </row>
    <row r="155" customFormat="false" ht="15" hidden="false" customHeight="false" outlineLevel="0" collapsed="false">
      <c r="A155" s="16"/>
      <c r="B155" s="25"/>
      <c r="C155" s="26"/>
      <c r="D155" s="16"/>
      <c r="E155" s="25"/>
      <c r="F155" s="25"/>
      <c r="G155" s="25"/>
      <c r="H155" s="26"/>
      <c r="I155" s="27" t="str">
        <f aca="false">IF(OR(C155="",H155=""),"",C155-H155)</f>
        <v/>
      </c>
      <c r="J155" s="8" t="str">
        <f aca="false">IF(C155="","",IF(H155="","WAITING",IF(ABS(C155-H155)&lt;0.005,"MATCHED","CHECK")))</f>
        <v/>
      </c>
      <c r="K155" s="27" t="str">
        <f aca="false">IF(OR(A155="",E155="",F155=""),"",SUMIFS('Sales Log'!$L$5:$L$1004,'Sales Log'!$B$5:$B$1004,A155,'Sales Log'!$A$5:$A$1004,"&gt;="&amp;E155,'Sales Log'!$A$5:$A$1004,"&lt;="&amp;F155,'Sales Log'!$R$5:$R$1004,IF(O155="EXAMPLE","EXAMPLE","&lt;&gt;EXAMPLE")))</f>
        <v/>
      </c>
      <c r="L155" s="16"/>
      <c r="M155" s="16"/>
      <c r="N155" s="16"/>
      <c r="O155" s="16"/>
    </row>
    <row r="156" customFormat="false" ht="15" hidden="false" customHeight="false" outlineLevel="0" collapsed="false">
      <c r="A156" s="16"/>
      <c r="B156" s="25"/>
      <c r="C156" s="26"/>
      <c r="D156" s="16"/>
      <c r="E156" s="25"/>
      <c r="F156" s="25"/>
      <c r="G156" s="25"/>
      <c r="H156" s="26"/>
      <c r="I156" s="27" t="str">
        <f aca="false">IF(OR(C156="",H156=""),"",C156-H156)</f>
        <v/>
      </c>
      <c r="J156" s="8" t="str">
        <f aca="false">IF(C156="","",IF(H156="","WAITING",IF(ABS(C156-H156)&lt;0.005,"MATCHED","CHECK")))</f>
        <v/>
      </c>
      <c r="K156" s="27" t="str">
        <f aca="false">IF(OR(A156="",E156="",F156=""),"",SUMIFS('Sales Log'!$L$5:$L$1004,'Sales Log'!$B$5:$B$1004,A156,'Sales Log'!$A$5:$A$1004,"&gt;="&amp;E156,'Sales Log'!$A$5:$A$1004,"&lt;="&amp;F156,'Sales Log'!$R$5:$R$1004,IF(O156="EXAMPLE","EXAMPLE","&lt;&gt;EXAMPLE")))</f>
        <v/>
      </c>
      <c r="L156" s="16"/>
      <c r="M156" s="16"/>
      <c r="N156" s="16"/>
      <c r="O156" s="16"/>
    </row>
    <row r="157" customFormat="false" ht="15" hidden="false" customHeight="false" outlineLevel="0" collapsed="false">
      <c r="A157" s="16"/>
      <c r="B157" s="25"/>
      <c r="C157" s="26"/>
      <c r="D157" s="16"/>
      <c r="E157" s="25"/>
      <c r="F157" s="25"/>
      <c r="G157" s="25"/>
      <c r="H157" s="26"/>
      <c r="I157" s="27" t="str">
        <f aca="false">IF(OR(C157="",H157=""),"",C157-H157)</f>
        <v/>
      </c>
      <c r="J157" s="8" t="str">
        <f aca="false">IF(C157="","",IF(H157="","WAITING",IF(ABS(C157-H157)&lt;0.005,"MATCHED","CHECK")))</f>
        <v/>
      </c>
      <c r="K157" s="27" t="str">
        <f aca="false">IF(OR(A157="",E157="",F157=""),"",SUMIFS('Sales Log'!$L$5:$L$1004,'Sales Log'!$B$5:$B$1004,A157,'Sales Log'!$A$5:$A$1004,"&gt;="&amp;E157,'Sales Log'!$A$5:$A$1004,"&lt;="&amp;F157,'Sales Log'!$R$5:$R$1004,IF(O157="EXAMPLE","EXAMPLE","&lt;&gt;EXAMPLE")))</f>
        <v/>
      </c>
      <c r="L157" s="16"/>
      <c r="M157" s="16"/>
      <c r="N157" s="16"/>
      <c r="O157" s="16"/>
    </row>
    <row r="158" customFormat="false" ht="15" hidden="false" customHeight="false" outlineLevel="0" collapsed="false">
      <c r="A158" s="16"/>
      <c r="B158" s="25"/>
      <c r="C158" s="26"/>
      <c r="D158" s="16"/>
      <c r="E158" s="25"/>
      <c r="F158" s="25"/>
      <c r="G158" s="25"/>
      <c r="H158" s="26"/>
      <c r="I158" s="27" t="str">
        <f aca="false">IF(OR(C158="",H158=""),"",C158-H158)</f>
        <v/>
      </c>
      <c r="J158" s="8" t="str">
        <f aca="false">IF(C158="","",IF(H158="","WAITING",IF(ABS(C158-H158)&lt;0.005,"MATCHED","CHECK")))</f>
        <v/>
      </c>
      <c r="K158" s="27" t="str">
        <f aca="false">IF(OR(A158="",E158="",F158=""),"",SUMIFS('Sales Log'!$L$5:$L$1004,'Sales Log'!$B$5:$B$1004,A158,'Sales Log'!$A$5:$A$1004,"&gt;="&amp;E158,'Sales Log'!$A$5:$A$1004,"&lt;="&amp;F158,'Sales Log'!$R$5:$R$1004,IF(O158="EXAMPLE","EXAMPLE","&lt;&gt;EXAMPLE")))</f>
        <v/>
      </c>
      <c r="L158" s="16"/>
      <c r="M158" s="16"/>
      <c r="N158" s="16"/>
      <c r="O158" s="16"/>
    </row>
    <row r="159" customFormat="false" ht="15" hidden="false" customHeight="false" outlineLevel="0" collapsed="false">
      <c r="A159" s="16"/>
      <c r="B159" s="25"/>
      <c r="C159" s="26"/>
      <c r="D159" s="16"/>
      <c r="E159" s="25"/>
      <c r="F159" s="25"/>
      <c r="G159" s="25"/>
      <c r="H159" s="26"/>
      <c r="I159" s="27" t="str">
        <f aca="false">IF(OR(C159="",H159=""),"",C159-H159)</f>
        <v/>
      </c>
      <c r="J159" s="8" t="str">
        <f aca="false">IF(C159="","",IF(H159="","WAITING",IF(ABS(C159-H159)&lt;0.005,"MATCHED","CHECK")))</f>
        <v/>
      </c>
      <c r="K159" s="27" t="str">
        <f aca="false">IF(OR(A159="",E159="",F159=""),"",SUMIFS('Sales Log'!$L$5:$L$1004,'Sales Log'!$B$5:$B$1004,A159,'Sales Log'!$A$5:$A$1004,"&gt;="&amp;E159,'Sales Log'!$A$5:$A$1004,"&lt;="&amp;F159,'Sales Log'!$R$5:$R$1004,IF(O159="EXAMPLE","EXAMPLE","&lt;&gt;EXAMPLE")))</f>
        <v/>
      </c>
      <c r="L159" s="16"/>
      <c r="M159" s="16"/>
      <c r="N159" s="16"/>
      <c r="O159" s="16"/>
    </row>
    <row r="160" customFormat="false" ht="15" hidden="false" customHeight="false" outlineLevel="0" collapsed="false">
      <c r="A160" s="16"/>
      <c r="B160" s="25"/>
      <c r="C160" s="26"/>
      <c r="D160" s="16"/>
      <c r="E160" s="25"/>
      <c r="F160" s="25"/>
      <c r="G160" s="25"/>
      <c r="H160" s="26"/>
      <c r="I160" s="27" t="str">
        <f aca="false">IF(OR(C160="",H160=""),"",C160-H160)</f>
        <v/>
      </c>
      <c r="J160" s="8" t="str">
        <f aca="false">IF(C160="","",IF(H160="","WAITING",IF(ABS(C160-H160)&lt;0.005,"MATCHED","CHECK")))</f>
        <v/>
      </c>
      <c r="K160" s="27" t="str">
        <f aca="false">IF(OR(A160="",E160="",F160=""),"",SUMIFS('Sales Log'!$L$5:$L$1004,'Sales Log'!$B$5:$B$1004,A160,'Sales Log'!$A$5:$A$1004,"&gt;="&amp;E160,'Sales Log'!$A$5:$A$1004,"&lt;="&amp;F160,'Sales Log'!$R$5:$R$1004,IF(O160="EXAMPLE","EXAMPLE","&lt;&gt;EXAMPLE")))</f>
        <v/>
      </c>
      <c r="L160" s="16"/>
      <c r="M160" s="16"/>
      <c r="N160" s="16"/>
      <c r="O160" s="16"/>
    </row>
    <row r="161" customFormat="false" ht="15" hidden="false" customHeight="false" outlineLevel="0" collapsed="false">
      <c r="A161" s="16"/>
      <c r="B161" s="25"/>
      <c r="C161" s="26"/>
      <c r="D161" s="16"/>
      <c r="E161" s="25"/>
      <c r="F161" s="25"/>
      <c r="G161" s="25"/>
      <c r="H161" s="26"/>
      <c r="I161" s="27" t="str">
        <f aca="false">IF(OR(C161="",H161=""),"",C161-H161)</f>
        <v/>
      </c>
      <c r="J161" s="8" t="str">
        <f aca="false">IF(C161="","",IF(H161="","WAITING",IF(ABS(C161-H161)&lt;0.005,"MATCHED","CHECK")))</f>
        <v/>
      </c>
      <c r="K161" s="27" t="str">
        <f aca="false">IF(OR(A161="",E161="",F161=""),"",SUMIFS('Sales Log'!$L$5:$L$1004,'Sales Log'!$B$5:$B$1004,A161,'Sales Log'!$A$5:$A$1004,"&gt;="&amp;E161,'Sales Log'!$A$5:$A$1004,"&lt;="&amp;F161,'Sales Log'!$R$5:$R$1004,IF(O161="EXAMPLE","EXAMPLE","&lt;&gt;EXAMPLE")))</f>
        <v/>
      </c>
      <c r="L161" s="16"/>
      <c r="M161" s="16"/>
      <c r="N161" s="16"/>
      <c r="O161" s="16"/>
    </row>
    <row r="162" customFormat="false" ht="15" hidden="false" customHeight="false" outlineLevel="0" collapsed="false">
      <c r="A162" s="16"/>
      <c r="B162" s="25"/>
      <c r="C162" s="26"/>
      <c r="D162" s="16"/>
      <c r="E162" s="25"/>
      <c r="F162" s="25"/>
      <c r="G162" s="25"/>
      <c r="H162" s="26"/>
      <c r="I162" s="27" t="str">
        <f aca="false">IF(OR(C162="",H162=""),"",C162-H162)</f>
        <v/>
      </c>
      <c r="J162" s="8" t="str">
        <f aca="false">IF(C162="","",IF(H162="","WAITING",IF(ABS(C162-H162)&lt;0.005,"MATCHED","CHECK")))</f>
        <v/>
      </c>
      <c r="K162" s="27" t="str">
        <f aca="false">IF(OR(A162="",E162="",F162=""),"",SUMIFS('Sales Log'!$L$5:$L$1004,'Sales Log'!$B$5:$B$1004,A162,'Sales Log'!$A$5:$A$1004,"&gt;="&amp;E162,'Sales Log'!$A$5:$A$1004,"&lt;="&amp;F162,'Sales Log'!$R$5:$R$1004,IF(O162="EXAMPLE","EXAMPLE","&lt;&gt;EXAMPLE")))</f>
        <v/>
      </c>
      <c r="L162" s="16"/>
      <c r="M162" s="16"/>
      <c r="N162" s="16"/>
      <c r="O162" s="16"/>
    </row>
    <row r="163" customFormat="false" ht="15" hidden="false" customHeight="false" outlineLevel="0" collapsed="false">
      <c r="A163" s="16"/>
      <c r="B163" s="25"/>
      <c r="C163" s="26"/>
      <c r="D163" s="16"/>
      <c r="E163" s="25"/>
      <c r="F163" s="25"/>
      <c r="G163" s="25"/>
      <c r="H163" s="26"/>
      <c r="I163" s="27" t="str">
        <f aca="false">IF(OR(C163="",H163=""),"",C163-H163)</f>
        <v/>
      </c>
      <c r="J163" s="8" t="str">
        <f aca="false">IF(C163="","",IF(H163="","WAITING",IF(ABS(C163-H163)&lt;0.005,"MATCHED","CHECK")))</f>
        <v/>
      </c>
      <c r="K163" s="27" t="str">
        <f aca="false">IF(OR(A163="",E163="",F163=""),"",SUMIFS('Sales Log'!$L$5:$L$1004,'Sales Log'!$B$5:$B$1004,A163,'Sales Log'!$A$5:$A$1004,"&gt;="&amp;E163,'Sales Log'!$A$5:$A$1004,"&lt;="&amp;F163,'Sales Log'!$R$5:$R$1004,IF(O163="EXAMPLE","EXAMPLE","&lt;&gt;EXAMPLE")))</f>
        <v/>
      </c>
      <c r="L163" s="16"/>
      <c r="M163" s="16"/>
      <c r="N163" s="16"/>
      <c r="O163" s="16"/>
    </row>
    <row r="164" customFormat="false" ht="15" hidden="false" customHeight="false" outlineLevel="0" collapsed="false">
      <c r="A164" s="16"/>
      <c r="B164" s="25"/>
      <c r="C164" s="26"/>
      <c r="D164" s="16"/>
      <c r="E164" s="25"/>
      <c r="F164" s="25"/>
      <c r="G164" s="25"/>
      <c r="H164" s="26"/>
      <c r="I164" s="27" t="str">
        <f aca="false">IF(OR(C164="",H164=""),"",C164-H164)</f>
        <v/>
      </c>
      <c r="J164" s="8" t="str">
        <f aca="false">IF(C164="","",IF(H164="","WAITING",IF(ABS(C164-H164)&lt;0.005,"MATCHED","CHECK")))</f>
        <v/>
      </c>
      <c r="K164" s="27" t="str">
        <f aca="false">IF(OR(A164="",E164="",F164=""),"",SUMIFS('Sales Log'!$L$5:$L$1004,'Sales Log'!$B$5:$B$1004,A164,'Sales Log'!$A$5:$A$1004,"&gt;="&amp;E164,'Sales Log'!$A$5:$A$1004,"&lt;="&amp;F164,'Sales Log'!$R$5:$R$1004,IF(O164="EXAMPLE","EXAMPLE","&lt;&gt;EXAMPLE")))</f>
        <v/>
      </c>
      <c r="L164" s="16"/>
      <c r="M164" s="16"/>
      <c r="N164" s="16"/>
      <c r="O164" s="16"/>
    </row>
    <row r="165" customFormat="false" ht="15" hidden="false" customHeight="false" outlineLevel="0" collapsed="false">
      <c r="A165" s="16"/>
      <c r="B165" s="25"/>
      <c r="C165" s="26"/>
      <c r="D165" s="16"/>
      <c r="E165" s="25"/>
      <c r="F165" s="25"/>
      <c r="G165" s="25"/>
      <c r="H165" s="26"/>
      <c r="I165" s="27" t="str">
        <f aca="false">IF(OR(C165="",H165=""),"",C165-H165)</f>
        <v/>
      </c>
      <c r="J165" s="8" t="str">
        <f aca="false">IF(C165="","",IF(H165="","WAITING",IF(ABS(C165-H165)&lt;0.005,"MATCHED","CHECK")))</f>
        <v/>
      </c>
      <c r="K165" s="27" t="str">
        <f aca="false">IF(OR(A165="",E165="",F165=""),"",SUMIFS('Sales Log'!$L$5:$L$1004,'Sales Log'!$B$5:$B$1004,A165,'Sales Log'!$A$5:$A$1004,"&gt;="&amp;E165,'Sales Log'!$A$5:$A$1004,"&lt;="&amp;F165,'Sales Log'!$R$5:$R$1004,IF(O165="EXAMPLE","EXAMPLE","&lt;&gt;EXAMPLE")))</f>
        <v/>
      </c>
      <c r="L165" s="16"/>
      <c r="M165" s="16"/>
      <c r="N165" s="16"/>
      <c r="O165" s="16"/>
    </row>
    <row r="166" customFormat="false" ht="15" hidden="false" customHeight="false" outlineLevel="0" collapsed="false">
      <c r="A166" s="16"/>
      <c r="B166" s="25"/>
      <c r="C166" s="26"/>
      <c r="D166" s="16"/>
      <c r="E166" s="25"/>
      <c r="F166" s="25"/>
      <c r="G166" s="25"/>
      <c r="H166" s="26"/>
      <c r="I166" s="27" t="str">
        <f aca="false">IF(OR(C166="",H166=""),"",C166-H166)</f>
        <v/>
      </c>
      <c r="J166" s="8" t="str">
        <f aca="false">IF(C166="","",IF(H166="","WAITING",IF(ABS(C166-H166)&lt;0.005,"MATCHED","CHECK")))</f>
        <v/>
      </c>
      <c r="K166" s="27" t="str">
        <f aca="false">IF(OR(A166="",E166="",F166=""),"",SUMIFS('Sales Log'!$L$5:$L$1004,'Sales Log'!$B$5:$B$1004,A166,'Sales Log'!$A$5:$A$1004,"&gt;="&amp;E166,'Sales Log'!$A$5:$A$1004,"&lt;="&amp;F166,'Sales Log'!$R$5:$R$1004,IF(O166="EXAMPLE","EXAMPLE","&lt;&gt;EXAMPLE")))</f>
        <v/>
      </c>
      <c r="L166" s="16"/>
      <c r="M166" s="16"/>
      <c r="N166" s="16"/>
      <c r="O166" s="16"/>
    </row>
    <row r="167" customFormat="false" ht="15" hidden="false" customHeight="false" outlineLevel="0" collapsed="false">
      <c r="A167" s="16"/>
      <c r="B167" s="25"/>
      <c r="C167" s="26"/>
      <c r="D167" s="16"/>
      <c r="E167" s="25"/>
      <c r="F167" s="25"/>
      <c r="G167" s="25"/>
      <c r="H167" s="26"/>
      <c r="I167" s="27" t="str">
        <f aca="false">IF(OR(C167="",H167=""),"",C167-H167)</f>
        <v/>
      </c>
      <c r="J167" s="8" t="str">
        <f aca="false">IF(C167="","",IF(H167="","WAITING",IF(ABS(C167-H167)&lt;0.005,"MATCHED","CHECK")))</f>
        <v/>
      </c>
      <c r="K167" s="27" t="str">
        <f aca="false">IF(OR(A167="",E167="",F167=""),"",SUMIFS('Sales Log'!$L$5:$L$1004,'Sales Log'!$B$5:$B$1004,A167,'Sales Log'!$A$5:$A$1004,"&gt;="&amp;E167,'Sales Log'!$A$5:$A$1004,"&lt;="&amp;F167,'Sales Log'!$R$5:$R$1004,IF(O167="EXAMPLE","EXAMPLE","&lt;&gt;EXAMPLE")))</f>
        <v/>
      </c>
      <c r="L167" s="16"/>
      <c r="M167" s="16"/>
      <c r="N167" s="16"/>
      <c r="O167" s="16"/>
    </row>
    <row r="168" customFormat="false" ht="15" hidden="false" customHeight="false" outlineLevel="0" collapsed="false">
      <c r="A168" s="16"/>
      <c r="B168" s="25"/>
      <c r="C168" s="26"/>
      <c r="D168" s="16"/>
      <c r="E168" s="25"/>
      <c r="F168" s="25"/>
      <c r="G168" s="25"/>
      <c r="H168" s="26"/>
      <c r="I168" s="27" t="str">
        <f aca="false">IF(OR(C168="",H168=""),"",C168-H168)</f>
        <v/>
      </c>
      <c r="J168" s="8" t="str">
        <f aca="false">IF(C168="","",IF(H168="","WAITING",IF(ABS(C168-H168)&lt;0.005,"MATCHED","CHECK")))</f>
        <v/>
      </c>
      <c r="K168" s="27" t="str">
        <f aca="false">IF(OR(A168="",E168="",F168=""),"",SUMIFS('Sales Log'!$L$5:$L$1004,'Sales Log'!$B$5:$B$1004,A168,'Sales Log'!$A$5:$A$1004,"&gt;="&amp;E168,'Sales Log'!$A$5:$A$1004,"&lt;="&amp;F168,'Sales Log'!$R$5:$R$1004,IF(O168="EXAMPLE","EXAMPLE","&lt;&gt;EXAMPLE")))</f>
        <v/>
      </c>
      <c r="L168" s="16"/>
      <c r="M168" s="16"/>
      <c r="N168" s="16"/>
      <c r="O168" s="16"/>
    </row>
    <row r="169" customFormat="false" ht="15" hidden="false" customHeight="false" outlineLevel="0" collapsed="false">
      <c r="A169" s="16"/>
      <c r="B169" s="25"/>
      <c r="C169" s="26"/>
      <c r="D169" s="16"/>
      <c r="E169" s="25"/>
      <c r="F169" s="25"/>
      <c r="G169" s="25"/>
      <c r="H169" s="26"/>
      <c r="I169" s="27" t="str">
        <f aca="false">IF(OR(C169="",H169=""),"",C169-H169)</f>
        <v/>
      </c>
      <c r="J169" s="8" t="str">
        <f aca="false">IF(C169="","",IF(H169="","WAITING",IF(ABS(C169-H169)&lt;0.005,"MATCHED","CHECK")))</f>
        <v/>
      </c>
      <c r="K169" s="27" t="str">
        <f aca="false">IF(OR(A169="",E169="",F169=""),"",SUMIFS('Sales Log'!$L$5:$L$1004,'Sales Log'!$B$5:$B$1004,A169,'Sales Log'!$A$5:$A$1004,"&gt;="&amp;E169,'Sales Log'!$A$5:$A$1004,"&lt;="&amp;F169,'Sales Log'!$R$5:$R$1004,IF(O169="EXAMPLE","EXAMPLE","&lt;&gt;EXAMPLE")))</f>
        <v/>
      </c>
      <c r="L169" s="16"/>
      <c r="M169" s="16"/>
      <c r="N169" s="16"/>
      <c r="O169" s="16"/>
    </row>
    <row r="170" customFormat="false" ht="15" hidden="false" customHeight="false" outlineLevel="0" collapsed="false">
      <c r="A170" s="16"/>
      <c r="B170" s="25"/>
      <c r="C170" s="26"/>
      <c r="D170" s="16"/>
      <c r="E170" s="25"/>
      <c r="F170" s="25"/>
      <c r="G170" s="25"/>
      <c r="H170" s="26"/>
      <c r="I170" s="27" t="str">
        <f aca="false">IF(OR(C170="",H170=""),"",C170-H170)</f>
        <v/>
      </c>
      <c r="J170" s="8" t="str">
        <f aca="false">IF(C170="","",IF(H170="","WAITING",IF(ABS(C170-H170)&lt;0.005,"MATCHED","CHECK")))</f>
        <v/>
      </c>
      <c r="K170" s="27" t="str">
        <f aca="false">IF(OR(A170="",E170="",F170=""),"",SUMIFS('Sales Log'!$L$5:$L$1004,'Sales Log'!$B$5:$B$1004,A170,'Sales Log'!$A$5:$A$1004,"&gt;="&amp;E170,'Sales Log'!$A$5:$A$1004,"&lt;="&amp;F170,'Sales Log'!$R$5:$R$1004,IF(O170="EXAMPLE","EXAMPLE","&lt;&gt;EXAMPLE")))</f>
        <v/>
      </c>
      <c r="L170" s="16"/>
      <c r="M170" s="16"/>
      <c r="N170" s="16"/>
      <c r="O170" s="16"/>
    </row>
    <row r="171" customFormat="false" ht="15" hidden="false" customHeight="false" outlineLevel="0" collapsed="false">
      <c r="A171" s="16"/>
      <c r="B171" s="25"/>
      <c r="C171" s="26"/>
      <c r="D171" s="16"/>
      <c r="E171" s="25"/>
      <c r="F171" s="25"/>
      <c r="G171" s="25"/>
      <c r="H171" s="26"/>
      <c r="I171" s="27" t="str">
        <f aca="false">IF(OR(C171="",H171=""),"",C171-H171)</f>
        <v/>
      </c>
      <c r="J171" s="8" t="str">
        <f aca="false">IF(C171="","",IF(H171="","WAITING",IF(ABS(C171-H171)&lt;0.005,"MATCHED","CHECK")))</f>
        <v/>
      </c>
      <c r="K171" s="27" t="str">
        <f aca="false">IF(OR(A171="",E171="",F171=""),"",SUMIFS('Sales Log'!$L$5:$L$1004,'Sales Log'!$B$5:$B$1004,A171,'Sales Log'!$A$5:$A$1004,"&gt;="&amp;E171,'Sales Log'!$A$5:$A$1004,"&lt;="&amp;F171,'Sales Log'!$R$5:$R$1004,IF(O171="EXAMPLE","EXAMPLE","&lt;&gt;EXAMPLE")))</f>
        <v/>
      </c>
      <c r="L171" s="16"/>
      <c r="M171" s="16"/>
      <c r="N171" s="16"/>
      <c r="O171" s="16"/>
    </row>
    <row r="172" customFormat="false" ht="15" hidden="false" customHeight="false" outlineLevel="0" collapsed="false">
      <c r="A172" s="16"/>
      <c r="B172" s="25"/>
      <c r="C172" s="26"/>
      <c r="D172" s="16"/>
      <c r="E172" s="25"/>
      <c r="F172" s="25"/>
      <c r="G172" s="25"/>
      <c r="H172" s="26"/>
      <c r="I172" s="27" t="str">
        <f aca="false">IF(OR(C172="",H172=""),"",C172-H172)</f>
        <v/>
      </c>
      <c r="J172" s="8" t="str">
        <f aca="false">IF(C172="","",IF(H172="","WAITING",IF(ABS(C172-H172)&lt;0.005,"MATCHED","CHECK")))</f>
        <v/>
      </c>
      <c r="K172" s="27" t="str">
        <f aca="false">IF(OR(A172="",E172="",F172=""),"",SUMIFS('Sales Log'!$L$5:$L$1004,'Sales Log'!$B$5:$B$1004,A172,'Sales Log'!$A$5:$A$1004,"&gt;="&amp;E172,'Sales Log'!$A$5:$A$1004,"&lt;="&amp;F172,'Sales Log'!$R$5:$R$1004,IF(O172="EXAMPLE","EXAMPLE","&lt;&gt;EXAMPLE")))</f>
        <v/>
      </c>
      <c r="L172" s="16"/>
      <c r="M172" s="16"/>
      <c r="N172" s="16"/>
      <c r="O172" s="16"/>
    </row>
    <row r="173" customFormat="false" ht="15" hidden="false" customHeight="false" outlineLevel="0" collapsed="false">
      <c r="A173" s="16"/>
      <c r="B173" s="25"/>
      <c r="C173" s="26"/>
      <c r="D173" s="16"/>
      <c r="E173" s="25"/>
      <c r="F173" s="25"/>
      <c r="G173" s="25"/>
      <c r="H173" s="26"/>
      <c r="I173" s="27" t="str">
        <f aca="false">IF(OR(C173="",H173=""),"",C173-H173)</f>
        <v/>
      </c>
      <c r="J173" s="8" t="str">
        <f aca="false">IF(C173="","",IF(H173="","WAITING",IF(ABS(C173-H173)&lt;0.005,"MATCHED","CHECK")))</f>
        <v/>
      </c>
      <c r="K173" s="27" t="str">
        <f aca="false">IF(OR(A173="",E173="",F173=""),"",SUMIFS('Sales Log'!$L$5:$L$1004,'Sales Log'!$B$5:$B$1004,A173,'Sales Log'!$A$5:$A$1004,"&gt;="&amp;E173,'Sales Log'!$A$5:$A$1004,"&lt;="&amp;F173,'Sales Log'!$R$5:$R$1004,IF(O173="EXAMPLE","EXAMPLE","&lt;&gt;EXAMPLE")))</f>
        <v/>
      </c>
      <c r="L173" s="16"/>
      <c r="M173" s="16"/>
      <c r="N173" s="16"/>
      <c r="O173" s="16"/>
    </row>
    <row r="174" customFormat="false" ht="15" hidden="false" customHeight="false" outlineLevel="0" collapsed="false">
      <c r="A174" s="16"/>
      <c r="B174" s="25"/>
      <c r="C174" s="26"/>
      <c r="D174" s="16"/>
      <c r="E174" s="25"/>
      <c r="F174" s="25"/>
      <c r="G174" s="25"/>
      <c r="H174" s="26"/>
      <c r="I174" s="27" t="str">
        <f aca="false">IF(OR(C174="",H174=""),"",C174-H174)</f>
        <v/>
      </c>
      <c r="J174" s="8" t="str">
        <f aca="false">IF(C174="","",IF(H174="","WAITING",IF(ABS(C174-H174)&lt;0.005,"MATCHED","CHECK")))</f>
        <v/>
      </c>
      <c r="K174" s="27" t="str">
        <f aca="false">IF(OR(A174="",E174="",F174=""),"",SUMIFS('Sales Log'!$L$5:$L$1004,'Sales Log'!$B$5:$B$1004,A174,'Sales Log'!$A$5:$A$1004,"&gt;="&amp;E174,'Sales Log'!$A$5:$A$1004,"&lt;="&amp;F174,'Sales Log'!$R$5:$R$1004,IF(O174="EXAMPLE","EXAMPLE","&lt;&gt;EXAMPLE")))</f>
        <v/>
      </c>
      <c r="L174" s="16"/>
      <c r="M174" s="16"/>
      <c r="N174" s="16"/>
      <c r="O174" s="16"/>
    </row>
    <row r="175" customFormat="false" ht="15" hidden="false" customHeight="false" outlineLevel="0" collapsed="false">
      <c r="A175" s="16"/>
      <c r="B175" s="25"/>
      <c r="C175" s="26"/>
      <c r="D175" s="16"/>
      <c r="E175" s="25"/>
      <c r="F175" s="25"/>
      <c r="G175" s="25"/>
      <c r="H175" s="26"/>
      <c r="I175" s="27" t="str">
        <f aca="false">IF(OR(C175="",H175=""),"",C175-H175)</f>
        <v/>
      </c>
      <c r="J175" s="8" t="str">
        <f aca="false">IF(C175="","",IF(H175="","WAITING",IF(ABS(C175-H175)&lt;0.005,"MATCHED","CHECK")))</f>
        <v/>
      </c>
      <c r="K175" s="27" t="str">
        <f aca="false">IF(OR(A175="",E175="",F175=""),"",SUMIFS('Sales Log'!$L$5:$L$1004,'Sales Log'!$B$5:$B$1004,A175,'Sales Log'!$A$5:$A$1004,"&gt;="&amp;E175,'Sales Log'!$A$5:$A$1004,"&lt;="&amp;F175,'Sales Log'!$R$5:$R$1004,IF(O175="EXAMPLE","EXAMPLE","&lt;&gt;EXAMPLE")))</f>
        <v/>
      </c>
      <c r="L175" s="16"/>
      <c r="M175" s="16"/>
      <c r="N175" s="16"/>
      <c r="O175" s="16"/>
    </row>
    <row r="176" customFormat="false" ht="15" hidden="false" customHeight="false" outlineLevel="0" collapsed="false">
      <c r="A176" s="16"/>
      <c r="B176" s="25"/>
      <c r="C176" s="26"/>
      <c r="D176" s="16"/>
      <c r="E176" s="25"/>
      <c r="F176" s="25"/>
      <c r="G176" s="25"/>
      <c r="H176" s="26"/>
      <c r="I176" s="27" t="str">
        <f aca="false">IF(OR(C176="",H176=""),"",C176-H176)</f>
        <v/>
      </c>
      <c r="J176" s="8" t="str">
        <f aca="false">IF(C176="","",IF(H176="","WAITING",IF(ABS(C176-H176)&lt;0.005,"MATCHED","CHECK")))</f>
        <v/>
      </c>
      <c r="K176" s="27" t="str">
        <f aca="false">IF(OR(A176="",E176="",F176=""),"",SUMIFS('Sales Log'!$L$5:$L$1004,'Sales Log'!$B$5:$B$1004,A176,'Sales Log'!$A$5:$A$1004,"&gt;="&amp;E176,'Sales Log'!$A$5:$A$1004,"&lt;="&amp;F176,'Sales Log'!$R$5:$R$1004,IF(O176="EXAMPLE","EXAMPLE","&lt;&gt;EXAMPLE")))</f>
        <v/>
      </c>
      <c r="L176" s="16"/>
      <c r="M176" s="16"/>
      <c r="N176" s="16"/>
      <c r="O176" s="16"/>
    </row>
    <row r="177" customFormat="false" ht="15" hidden="false" customHeight="false" outlineLevel="0" collapsed="false">
      <c r="A177" s="16"/>
      <c r="B177" s="25"/>
      <c r="C177" s="26"/>
      <c r="D177" s="16"/>
      <c r="E177" s="25"/>
      <c r="F177" s="25"/>
      <c r="G177" s="25"/>
      <c r="H177" s="26"/>
      <c r="I177" s="27" t="str">
        <f aca="false">IF(OR(C177="",H177=""),"",C177-H177)</f>
        <v/>
      </c>
      <c r="J177" s="8" t="str">
        <f aca="false">IF(C177="","",IF(H177="","WAITING",IF(ABS(C177-H177)&lt;0.005,"MATCHED","CHECK")))</f>
        <v/>
      </c>
      <c r="K177" s="27" t="str">
        <f aca="false">IF(OR(A177="",E177="",F177=""),"",SUMIFS('Sales Log'!$L$5:$L$1004,'Sales Log'!$B$5:$B$1004,A177,'Sales Log'!$A$5:$A$1004,"&gt;="&amp;E177,'Sales Log'!$A$5:$A$1004,"&lt;="&amp;F177,'Sales Log'!$R$5:$R$1004,IF(O177="EXAMPLE","EXAMPLE","&lt;&gt;EXAMPLE")))</f>
        <v/>
      </c>
      <c r="L177" s="16"/>
      <c r="M177" s="16"/>
      <c r="N177" s="16"/>
      <c r="O177" s="16"/>
    </row>
    <row r="178" customFormat="false" ht="15" hidden="false" customHeight="false" outlineLevel="0" collapsed="false">
      <c r="A178" s="16"/>
      <c r="B178" s="25"/>
      <c r="C178" s="26"/>
      <c r="D178" s="16"/>
      <c r="E178" s="25"/>
      <c r="F178" s="25"/>
      <c r="G178" s="25"/>
      <c r="H178" s="26"/>
      <c r="I178" s="27" t="str">
        <f aca="false">IF(OR(C178="",H178=""),"",C178-H178)</f>
        <v/>
      </c>
      <c r="J178" s="8" t="str">
        <f aca="false">IF(C178="","",IF(H178="","WAITING",IF(ABS(C178-H178)&lt;0.005,"MATCHED","CHECK")))</f>
        <v/>
      </c>
      <c r="K178" s="27" t="str">
        <f aca="false">IF(OR(A178="",E178="",F178=""),"",SUMIFS('Sales Log'!$L$5:$L$1004,'Sales Log'!$B$5:$B$1004,A178,'Sales Log'!$A$5:$A$1004,"&gt;="&amp;E178,'Sales Log'!$A$5:$A$1004,"&lt;="&amp;F178,'Sales Log'!$R$5:$R$1004,IF(O178="EXAMPLE","EXAMPLE","&lt;&gt;EXAMPLE")))</f>
        <v/>
      </c>
      <c r="L178" s="16"/>
      <c r="M178" s="16"/>
      <c r="N178" s="16"/>
      <c r="O178" s="16"/>
    </row>
    <row r="179" customFormat="false" ht="15" hidden="false" customHeight="false" outlineLevel="0" collapsed="false">
      <c r="A179" s="16"/>
      <c r="B179" s="25"/>
      <c r="C179" s="26"/>
      <c r="D179" s="16"/>
      <c r="E179" s="25"/>
      <c r="F179" s="25"/>
      <c r="G179" s="25"/>
      <c r="H179" s="26"/>
      <c r="I179" s="27" t="str">
        <f aca="false">IF(OR(C179="",H179=""),"",C179-H179)</f>
        <v/>
      </c>
      <c r="J179" s="8" t="str">
        <f aca="false">IF(C179="","",IF(H179="","WAITING",IF(ABS(C179-H179)&lt;0.005,"MATCHED","CHECK")))</f>
        <v/>
      </c>
      <c r="K179" s="27" t="str">
        <f aca="false">IF(OR(A179="",E179="",F179=""),"",SUMIFS('Sales Log'!$L$5:$L$1004,'Sales Log'!$B$5:$B$1004,A179,'Sales Log'!$A$5:$A$1004,"&gt;="&amp;E179,'Sales Log'!$A$5:$A$1004,"&lt;="&amp;F179,'Sales Log'!$R$5:$R$1004,IF(O179="EXAMPLE","EXAMPLE","&lt;&gt;EXAMPLE")))</f>
        <v/>
      </c>
      <c r="L179" s="16"/>
      <c r="M179" s="16"/>
      <c r="N179" s="16"/>
      <c r="O179" s="16"/>
    </row>
    <row r="180" customFormat="false" ht="15" hidden="false" customHeight="false" outlineLevel="0" collapsed="false">
      <c r="A180" s="16"/>
      <c r="B180" s="25"/>
      <c r="C180" s="26"/>
      <c r="D180" s="16"/>
      <c r="E180" s="25"/>
      <c r="F180" s="25"/>
      <c r="G180" s="25"/>
      <c r="H180" s="26"/>
      <c r="I180" s="27" t="str">
        <f aca="false">IF(OR(C180="",H180=""),"",C180-H180)</f>
        <v/>
      </c>
      <c r="J180" s="8" t="str">
        <f aca="false">IF(C180="","",IF(H180="","WAITING",IF(ABS(C180-H180)&lt;0.005,"MATCHED","CHECK")))</f>
        <v/>
      </c>
      <c r="K180" s="27" t="str">
        <f aca="false">IF(OR(A180="",E180="",F180=""),"",SUMIFS('Sales Log'!$L$5:$L$1004,'Sales Log'!$B$5:$B$1004,A180,'Sales Log'!$A$5:$A$1004,"&gt;="&amp;E180,'Sales Log'!$A$5:$A$1004,"&lt;="&amp;F180,'Sales Log'!$R$5:$R$1004,IF(O180="EXAMPLE","EXAMPLE","&lt;&gt;EXAMPLE")))</f>
        <v/>
      </c>
      <c r="L180" s="16"/>
      <c r="M180" s="16"/>
      <c r="N180" s="16"/>
      <c r="O180" s="16"/>
    </row>
    <row r="181" customFormat="false" ht="15" hidden="false" customHeight="false" outlineLevel="0" collapsed="false">
      <c r="A181" s="16"/>
      <c r="B181" s="25"/>
      <c r="C181" s="26"/>
      <c r="D181" s="16"/>
      <c r="E181" s="25"/>
      <c r="F181" s="25"/>
      <c r="G181" s="25"/>
      <c r="H181" s="26"/>
      <c r="I181" s="27" t="str">
        <f aca="false">IF(OR(C181="",H181=""),"",C181-H181)</f>
        <v/>
      </c>
      <c r="J181" s="8" t="str">
        <f aca="false">IF(C181="","",IF(H181="","WAITING",IF(ABS(C181-H181)&lt;0.005,"MATCHED","CHECK")))</f>
        <v/>
      </c>
      <c r="K181" s="27" t="str">
        <f aca="false">IF(OR(A181="",E181="",F181=""),"",SUMIFS('Sales Log'!$L$5:$L$1004,'Sales Log'!$B$5:$B$1004,A181,'Sales Log'!$A$5:$A$1004,"&gt;="&amp;E181,'Sales Log'!$A$5:$A$1004,"&lt;="&amp;F181,'Sales Log'!$R$5:$R$1004,IF(O181="EXAMPLE","EXAMPLE","&lt;&gt;EXAMPLE")))</f>
        <v/>
      </c>
      <c r="L181" s="16"/>
      <c r="M181" s="16"/>
      <c r="N181" s="16"/>
      <c r="O181" s="16"/>
    </row>
    <row r="182" customFormat="false" ht="15" hidden="false" customHeight="false" outlineLevel="0" collapsed="false">
      <c r="A182" s="16"/>
      <c r="B182" s="25"/>
      <c r="C182" s="26"/>
      <c r="D182" s="16"/>
      <c r="E182" s="25"/>
      <c r="F182" s="25"/>
      <c r="G182" s="25"/>
      <c r="H182" s="26"/>
      <c r="I182" s="27" t="str">
        <f aca="false">IF(OR(C182="",H182=""),"",C182-H182)</f>
        <v/>
      </c>
      <c r="J182" s="8" t="str">
        <f aca="false">IF(C182="","",IF(H182="","WAITING",IF(ABS(C182-H182)&lt;0.005,"MATCHED","CHECK")))</f>
        <v/>
      </c>
      <c r="K182" s="27" t="str">
        <f aca="false">IF(OR(A182="",E182="",F182=""),"",SUMIFS('Sales Log'!$L$5:$L$1004,'Sales Log'!$B$5:$B$1004,A182,'Sales Log'!$A$5:$A$1004,"&gt;="&amp;E182,'Sales Log'!$A$5:$A$1004,"&lt;="&amp;F182,'Sales Log'!$R$5:$R$1004,IF(O182="EXAMPLE","EXAMPLE","&lt;&gt;EXAMPLE")))</f>
        <v/>
      </c>
      <c r="L182" s="16"/>
      <c r="M182" s="16"/>
      <c r="N182" s="16"/>
      <c r="O182" s="16"/>
    </row>
    <row r="183" customFormat="false" ht="15" hidden="false" customHeight="false" outlineLevel="0" collapsed="false">
      <c r="A183" s="16"/>
      <c r="B183" s="25"/>
      <c r="C183" s="26"/>
      <c r="D183" s="16"/>
      <c r="E183" s="25"/>
      <c r="F183" s="25"/>
      <c r="G183" s="25"/>
      <c r="H183" s="26"/>
      <c r="I183" s="27" t="str">
        <f aca="false">IF(OR(C183="",H183=""),"",C183-H183)</f>
        <v/>
      </c>
      <c r="J183" s="8" t="str">
        <f aca="false">IF(C183="","",IF(H183="","WAITING",IF(ABS(C183-H183)&lt;0.005,"MATCHED","CHECK")))</f>
        <v/>
      </c>
      <c r="K183" s="27" t="str">
        <f aca="false">IF(OR(A183="",E183="",F183=""),"",SUMIFS('Sales Log'!$L$5:$L$1004,'Sales Log'!$B$5:$B$1004,A183,'Sales Log'!$A$5:$A$1004,"&gt;="&amp;E183,'Sales Log'!$A$5:$A$1004,"&lt;="&amp;F183,'Sales Log'!$R$5:$R$1004,IF(O183="EXAMPLE","EXAMPLE","&lt;&gt;EXAMPLE")))</f>
        <v/>
      </c>
      <c r="L183" s="16"/>
      <c r="M183" s="16"/>
      <c r="N183" s="16"/>
      <c r="O183" s="16"/>
    </row>
    <row r="184" customFormat="false" ht="15" hidden="false" customHeight="false" outlineLevel="0" collapsed="false">
      <c r="A184" s="16"/>
      <c r="B184" s="25"/>
      <c r="C184" s="26"/>
      <c r="D184" s="16"/>
      <c r="E184" s="25"/>
      <c r="F184" s="25"/>
      <c r="G184" s="25"/>
      <c r="H184" s="26"/>
      <c r="I184" s="27" t="str">
        <f aca="false">IF(OR(C184="",H184=""),"",C184-H184)</f>
        <v/>
      </c>
      <c r="J184" s="8" t="str">
        <f aca="false">IF(C184="","",IF(H184="","WAITING",IF(ABS(C184-H184)&lt;0.005,"MATCHED","CHECK")))</f>
        <v/>
      </c>
      <c r="K184" s="27" t="str">
        <f aca="false">IF(OR(A184="",E184="",F184=""),"",SUMIFS('Sales Log'!$L$5:$L$1004,'Sales Log'!$B$5:$B$1004,A184,'Sales Log'!$A$5:$A$1004,"&gt;="&amp;E184,'Sales Log'!$A$5:$A$1004,"&lt;="&amp;F184,'Sales Log'!$R$5:$R$1004,IF(O184="EXAMPLE","EXAMPLE","&lt;&gt;EXAMPLE")))</f>
        <v/>
      </c>
      <c r="L184" s="16"/>
      <c r="M184" s="16"/>
      <c r="N184" s="16"/>
      <c r="O184" s="16"/>
    </row>
    <row r="185" customFormat="false" ht="15" hidden="false" customHeight="false" outlineLevel="0" collapsed="false">
      <c r="A185" s="16"/>
      <c r="B185" s="25"/>
      <c r="C185" s="26"/>
      <c r="D185" s="16"/>
      <c r="E185" s="25"/>
      <c r="F185" s="25"/>
      <c r="G185" s="25"/>
      <c r="H185" s="26"/>
      <c r="I185" s="27" t="str">
        <f aca="false">IF(OR(C185="",H185=""),"",C185-H185)</f>
        <v/>
      </c>
      <c r="J185" s="8" t="str">
        <f aca="false">IF(C185="","",IF(H185="","WAITING",IF(ABS(C185-H185)&lt;0.005,"MATCHED","CHECK")))</f>
        <v/>
      </c>
      <c r="K185" s="27" t="str">
        <f aca="false">IF(OR(A185="",E185="",F185=""),"",SUMIFS('Sales Log'!$L$5:$L$1004,'Sales Log'!$B$5:$B$1004,A185,'Sales Log'!$A$5:$A$1004,"&gt;="&amp;E185,'Sales Log'!$A$5:$A$1004,"&lt;="&amp;F185,'Sales Log'!$R$5:$R$1004,IF(O185="EXAMPLE","EXAMPLE","&lt;&gt;EXAMPLE")))</f>
        <v/>
      </c>
      <c r="L185" s="16"/>
      <c r="M185" s="16"/>
      <c r="N185" s="16"/>
      <c r="O185" s="16"/>
    </row>
    <row r="186" customFormat="false" ht="15" hidden="false" customHeight="false" outlineLevel="0" collapsed="false">
      <c r="A186" s="16"/>
      <c r="B186" s="25"/>
      <c r="C186" s="26"/>
      <c r="D186" s="16"/>
      <c r="E186" s="25"/>
      <c r="F186" s="25"/>
      <c r="G186" s="25"/>
      <c r="H186" s="26"/>
      <c r="I186" s="27" t="str">
        <f aca="false">IF(OR(C186="",H186=""),"",C186-H186)</f>
        <v/>
      </c>
      <c r="J186" s="8" t="str">
        <f aca="false">IF(C186="","",IF(H186="","WAITING",IF(ABS(C186-H186)&lt;0.005,"MATCHED","CHECK")))</f>
        <v/>
      </c>
      <c r="K186" s="27" t="str">
        <f aca="false">IF(OR(A186="",E186="",F186=""),"",SUMIFS('Sales Log'!$L$5:$L$1004,'Sales Log'!$B$5:$B$1004,A186,'Sales Log'!$A$5:$A$1004,"&gt;="&amp;E186,'Sales Log'!$A$5:$A$1004,"&lt;="&amp;F186,'Sales Log'!$R$5:$R$1004,IF(O186="EXAMPLE","EXAMPLE","&lt;&gt;EXAMPLE")))</f>
        <v/>
      </c>
      <c r="L186" s="16"/>
      <c r="M186" s="16"/>
      <c r="N186" s="16"/>
      <c r="O186" s="16"/>
    </row>
    <row r="187" customFormat="false" ht="15" hidden="false" customHeight="false" outlineLevel="0" collapsed="false">
      <c r="A187" s="16"/>
      <c r="B187" s="25"/>
      <c r="C187" s="26"/>
      <c r="D187" s="16"/>
      <c r="E187" s="25"/>
      <c r="F187" s="25"/>
      <c r="G187" s="25"/>
      <c r="H187" s="26"/>
      <c r="I187" s="27" t="str">
        <f aca="false">IF(OR(C187="",H187=""),"",C187-H187)</f>
        <v/>
      </c>
      <c r="J187" s="8" t="str">
        <f aca="false">IF(C187="","",IF(H187="","WAITING",IF(ABS(C187-H187)&lt;0.005,"MATCHED","CHECK")))</f>
        <v/>
      </c>
      <c r="K187" s="27" t="str">
        <f aca="false">IF(OR(A187="",E187="",F187=""),"",SUMIFS('Sales Log'!$L$5:$L$1004,'Sales Log'!$B$5:$B$1004,A187,'Sales Log'!$A$5:$A$1004,"&gt;="&amp;E187,'Sales Log'!$A$5:$A$1004,"&lt;="&amp;F187,'Sales Log'!$R$5:$R$1004,IF(O187="EXAMPLE","EXAMPLE","&lt;&gt;EXAMPLE")))</f>
        <v/>
      </c>
      <c r="L187" s="16"/>
      <c r="M187" s="16"/>
      <c r="N187" s="16"/>
      <c r="O187" s="16"/>
    </row>
    <row r="188" customFormat="false" ht="15" hidden="false" customHeight="false" outlineLevel="0" collapsed="false">
      <c r="A188" s="16"/>
      <c r="B188" s="25"/>
      <c r="C188" s="26"/>
      <c r="D188" s="16"/>
      <c r="E188" s="25"/>
      <c r="F188" s="25"/>
      <c r="G188" s="25"/>
      <c r="H188" s="26"/>
      <c r="I188" s="27" t="str">
        <f aca="false">IF(OR(C188="",H188=""),"",C188-H188)</f>
        <v/>
      </c>
      <c r="J188" s="8" t="str">
        <f aca="false">IF(C188="","",IF(H188="","WAITING",IF(ABS(C188-H188)&lt;0.005,"MATCHED","CHECK")))</f>
        <v/>
      </c>
      <c r="K188" s="27" t="str">
        <f aca="false">IF(OR(A188="",E188="",F188=""),"",SUMIFS('Sales Log'!$L$5:$L$1004,'Sales Log'!$B$5:$B$1004,A188,'Sales Log'!$A$5:$A$1004,"&gt;="&amp;E188,'Sales Log'!$A$5:$A$1004,"&lt;="&amp;F188,'Sales Log'!$R$5:$R$1004,IF(O188="EXAMPLE","EXAMPLE","&lt;&gt;EXAMPLE")))</f>
        <v/>
      </c>
      <c r="L188" s="16"/>
      <c r="M188" s="16"/>
      <c r="N188" s="16"/>
      <c r="O188" s="16"/>
    </row>
    <row r="189" customFormat="false" ht="15" hidden="false" customHeight="false" outlineLevel="0" collapsed="false">
      <c r="A189" s="16"/>
      <c r="B189" s="25"/>
      <c r="C189" s="26"/>
      <c r="D189" s="16"/>
      <c r="E189" s="25"/>
      <c r="F189" s="25"/>
      <c r="G189" s="25"/>
      <c r="H189" s="26"/>
      <c r="I189" s="27" t="str">
        <f aca="false">IF(OR(C189="",H189=""),"",C189-H189)</f>
        <v/>
      </c>
      <c r="J189" s="8" t="str">
        <f aca="false">IF(C189="","",IF(H189="","WAITING",IF(ABS(C189-H189)&lt;0.005,"MATCHED","CHECK")))</f>
        <v/>
      </c>
      <c r="K189" s="27" t="str">
        <f aca="false">IF(OR(A189="",E189="",F189=""),"",SUMIFS('Sales Log'!$L$5:$L$1004,'Sales Log'!$B$5:$B$1004,A189,'Sales Log'!$A$5:$A$1004,"&gt;="&amp;E189,'Sales Log'!$A$5:$A$1004,"&lt;="&amp;F189,'Sales Log'!$R$5:$R$1004,IF(O189="EXAMPLE","EXAMPLE","&lt;&gt;EXAMPLE")))</f>
        <v/>
      </c>
      <c r="L189" s="16"/>
      <c r="M189" s="16"/>
      <c r="N189" s="16"/>
      <c r="O189" s="16"/>
    </row>
    <row r="190" customFormat="false" ht="15" hidden="false" customHeight="false" outlineLevel="0" collapsed="false">
      <c r="A190" s="16"/>
      <c r="B190" s="25"/>
      <c r="C190" s="26"/>
      <c r="D190" s="16"/>
      <c r="E190" s="25"/>
      <c r="F190" s="25"/>
      <c r="G190" s="25"/>
      <c r="H190" s="26"/>
      <c r="I190" s="27" t="str">
        <f aca="false">IF(OR(C190="",H190=""),"",C190-H190)</f>
        <v/>
      </c>
      <c r="J190" s="8" t="str">
        <f aca="false">IF(C190="","",IF(H190="","WAITING",IF(ABS(C190-H190)&lt;0.005,"MATCHED","CHECK")))</f>
        <v/>
      </c>
      <c r="K190" s="27" t="str">
        <f aca="false">IF(OR(A190="",E190="",F190=""),"",SUMIFS('Sales Log'!$L$5:$L$1004,'Sales Log'!$B$5:$B$1004,A190,'Sales Log'!$A$5:$A$1004,"&gt;="&amp;E190,'Sales Log'!$A$5:$A$1004,"&lt;="&amp;F190,'Sales Log'!$R$5:$R$1004,IF(O190="EXAMPLE","EXAMPLE","&lt;&gt;EXAMPLE")))</f>
        <v/>
      </c>
      <c r="L190" s="16"/>
      <c r="M190" s="16"/>
      <c r="N190" s="16"/>
      <c r="O190" s="16"/>
    </row>
    <row r="191" customFormat="false" ht="15" hidden="false" customHeight="false" outlineLevel="0" collapsed="false">
      <c r="A191" s="16"/>
      <c r="B191" s="25"/>
      <c r="C191" s="26"/>
      <c r="D191" s="16"/>
      <c r="E191" s="25"/>
      <c r="F191" s="25"/>
      <c r="G191" s="25"/>
      <c r="H191" s="26"/>
      <c r="I191" s="27" t="str">
        <f aca="false">IF(OR(C191="",H191=""),"",C191-H191)</f>
        <v/>
      </c>
      <c r="J191" s="8" t="str">
        <f aca="false">IF(C191="","",IF(H191="","WAITING",IF(ABS(C191-H191)&lt;0.005,"MATCHED","CHECK")))</f>
        <v/>
      </c>
      <c r="K191" s="27" t="str">
        <f aca="false">IF(OR(A191="",E191="",F191=""),"",SUMIFS('Sales Log'!$L$5:$L$1004,'Sales Log'!$B$5:$B$1004,A191,'Sales Log'!$A$5:$A$1004,"&gt;="&amp;E191,'Sales Log'!$A$5:$A$1004,"&lt;="&amp;F191,'Sales Log'!$R$5:$R$1004,IF(O191="EXAMPLE","EXAMPLE","&lt;&gt;EXAMPLE")))</f>
        <v/>
      </c>
      <c r="L191" s="16"/>
      <c r="M191" s="16"/>
      <c r="N191" s="16"/>
      <c r="O191" s="16"/>
    </row>
    <row r="192" customFormat="false" ht="15" hidden="false" customHeight="false" outlineLevel="0" collapsed="false">
      <c r="A192" s="16"/>
      <c r="B192" s="25"/>
      <c r="C192" s="26"/>
      <c r="D192" s="16"/>
      <c r="E192" s="25"/>
      <c r="F192" s="25"/>
      <c r="G192" s="25"/>
      <c r="H192" s="26"/>
      <c r="I192" s="27" t="str">
        <f aca="false">IF(OR(C192="",H192=""),"",C192-H192)</f>
        <v/>
      </c>
      <c r="J192" s="8" t="str">
        <f aca="false">IF(C192="","",IF(H192="","WAITING",IF(ABS(C192-H192)&lt;0.005,"MATCHED","CHECK")))</f>
        <v/>
      </c>
      <c r="K192" s="27" t="str">
        <f aca="false">IF(OR(A192="",E192="",F192=""),"",SUMIFS('Sales Log'!$L$5:$L$1004,'Sales Log'!$B$5:$B$1004,A192,'Sales Log'!$A$5:$A$1004,"&gt;="&amp;E192,'Sales Log'!$A$5:$A$1004,"&lt;="&amp;F192,'Sales Log'!$R$5:$R$1004,IF(O192="EXAMPLE","EXAMPLE","&lt;&gt;EXAMPLE")))</f>
        <v/>
      </c>
      <c r="L192" s="16"/>
      <c r="M192" s="16"/>
      <c r="N192" s="16"/>
      <c r="O192" s="16"/>
    </row>
    <row r="193" customFormat="false" ht="15" hidden="false" customHeight="false" outlineLevel="0" collapsed="false">
      <c r="A193" s="16"/>
      <c r="B193" s="25"/>
      <c r="C193" s="26"/>
      <c r="D193" s="16"/>
      <c r="E193" s="25"/>
      <c r="F193" s="25"/>
      <c r="G193" s="25"/>
      <c r="H193" s="26"/>
      <c r="I193" s="27" t="str">
        <f aca="false">IF(OR(C193="",H193=""),"",C193-H193)</f>
        <v/>
      </c>
      <c r="J193" s="8" t="str">
        <f aca="false">IF(C193="","",IF(H193="","WAITING",IF(ABS(C193-H193)&lt;0.005,"MATCHED","CHECK")))</f>
        <v/>
      </c>
      <c r="K193" s="27" t="str">
        <f aca="false">IF(OR(A193="",E193="",F193=""),"",SUMIFS('Sales Log'!$L$5:$L$1004,'Sales Log'!$B$5:$B$1004,A193,'Sales Log'!$A$5:$A$1004,"&gt;="&amp;E193,'Sales Log'!$A$5:$A$1004,"&lt;="&amp;F193,'Sales Log'!$R$5:$R$1004,IF(O193="EXAMPLE","EXAMPLE","&lt;&gt;EXAMPLE")))</f>
        <v/>
      </c>
      <c r="L193" s="16"/>
      <c r="M193" s="16"/>
      <c r="N193" s="16"/>
      <c r="O193" s="16"/>
    </row>
    <row r="194" customFormat="false" ht="15" hidden="false" customHeight="false" outlineLevel="0" collapsed="false">
      <c r="A194" s="16"/>
      <c r="B194" s="25"/>
      <c r="C194" s="26"/>
      <c r="D194" s="16"/>
      <c r="E194" s="25"/>
      <c r="F194" s="25"/>
      <c r="G194" s="25"/>
      <c r="H194" s="26"/>
      <c r="I194" s="27" t="str">
        <f aca="false">IF(OR(C194="",H194=""),"",C194-H194)</f>
        <v/>
      </c>
      <c r="J194" s="8" t="str">
        <f aca="false">IF(C194="","",IF(H194="","WAITING",IF(ABS(C194-H194)&lt;0.005,"MATCHED","CHECK")))</f>
        <v/>
      </c>
      <c r="K194" s="27" t="str">
        <f aca="false">IF(OR(A194="",E194="",F194=""),"",SUMIFS('Sales Log'!$L$5:$L$1004,'Sales Log'!$B$5:$B$1004,A194,'Sales Log'!$A$5:$A$1004,"&gt;="&amp;E194,'Sales Log'!$A$5:$A$1004,"&lt;="&amp;F194,'Sales Log'!$R$5:$R$1004,IF(O194="EXAMPLE","EXAMPLE","&lt;&gt;EXAMPLE")))</f>
        <v/>
      </c>
      <c r="L194" s="16"/>
      <c r="M194" s="16"/>
      <c r="N194" s="16"/>
      <c r="O194" s="16"/>
    </row>
    <row r="195" customFormat="false" ht="15" hidden="false" customHeight="false" outlineLevel="0" collapsed="false">
      <c r="A195" s="16"/>
      <c r="B195" s="25"/>
      <c r="C195" s="26"/>
      <c r="D195" s="16"/>
      <c r="E195" s="25"/>
      <c r="F195" s="25"/>
      <c r="G195" s="25"/>
      <c r="H195" s="26"/>
      <c r="I195" s="27" t="str">
        <f aca="false">IF(OR(C195="",H195=""),"",C195-H195)</f>
        <v/>
      </c>
      <c r="J195" s="8" t="str">
        <f aca="false">IF(C195="","",IF(H195="","WAITING",IF(ABS(C195-H195)&lt;0.005,"MATCHED","CHECK")))</f>
        <v/>
      </c>
      <c r="K195" s="27" t="str">
        <f aca="false">IF(OR(A195="",E195="",F195=""),"",SUMIFS('Sales Log'!$L$5:$L$1004,'Sales Log'!$B$5:$B$1004,A195,'Sales Log'!$A$5:$A$1004,"&gt;="&amp;E195,'Sales Log'!$A$5:$A$1004,"&lt;="&amp;F195,'Sales Log'!$R$5:$R$1004,IF(O195="EXAMPLE","EXAMPLE","&lt;&gt;EXAMPLE")))</f>
        <v/>
      </c>
      <c r="L195" s="16"/>
      <c r="M195" s="16"/>
      <c r="N195" s="16"/>
      <c r="O195" s="16"/>
    </row>
    <row r="196" customFormat="false" ht="15" hidden="false" customHeight="false" outlineLevel="0" collapsed="false">
      <c r="A196" s="16"/>
      <c r="B196" s="25"/>
      <c r="C196" s="26"/>
      <c r="D196" s="16"/>
      <c r="E196" s="25"/>
      <c r="F196" s="25"/>
      <c r="G196" s="25"/>
      <c r="H196" s="26"/>
      <c r="I196" s="27" t="str">
        <f aca="false">IF(OR(C196="",H196=""),"",C196-H196)</f>
        <v/>
      </c>
      <c r="J196" s="8" t="str">
        <f aca="false">IF(C196="","",IF(H196="","WAITING",IF(ABS(C196-H196)&lt;0.005,"MATCHED","CHECK")))</f>
        <v/>
      </c>
      <c r="K196" s="27" t="str">
        <f aca="false">IF(OR(A196="",E196="",F196=""),"",SUMIFS('Sales Log'!$L$5:$L$1004,'Sales Log'!$B$5:$B$1004,A196,'Sales Log'!$A$5:$A$1004,"&gt;="&amp;E196,'Sales Log'!$A$5:$A$1004,"&lt;="&amp;F196,'Sales Log'!$R$5:$R$1004,IF(O196="EXAMPLE","EXAMPLE","&lt;&gt;EXAMPLE")))</f>
        <v/>
      </c>
      <c r="L196" s="16"/>
      <c r="M196" s="16"/>
      <c r="N196" s="16"/>
      <c r="O196" s="16"/>
    </row>
    <row r="197" customFormat="false" ht="15" hidden="false" customHeight="false" outlineLevel="0" collapsed="false">
      <c r="A197" s="16"/>
      <c r="B197" s="25"/>
      <c r="C197" s="26"/>
      <c r="D197" s="16"/>
      <c r="E197" s="25"/>
      <c r="F197" s="25"/>
      <c r="G197" s="25"/>
      <c r="H197" s="26"/>
      <c r="I197" s="27" t="str">
        <f aca="false">IF(OR(C197="",H197=""),"",C197-H197)</f>
        <v/>
      </c>
      <c r="J197" s="8" t="str">
        <f aca="false">IF(C197="","",IF(H197="","WAITING",IF(ABS(C197-H197)&lt;0.005,"MATCHED","CHECK")))</f>
        <v/>
      </c>
      <c r="K197" s="27" t="str">
        <f aca="false">IF(OR(A197="",E197="",F197=""),"",SUMIFS('Sales Log'!$L$5:$L$1004,'Sales Log'!$B$5:$B$1004,A197,'Sales Log'!$A$5:$A$1004,"&gt;="&amp;E197,'Sales Log'!$A$5:$A$1004,"&lt;="&amp;F197,'Sales Log'!$R$5:$R$1004,IF(O197="EXAMPLE","EXAMPLE","&lt;&gt;EXAMPLE")))</f>
        <v/>
      </c>
      <c r="L197" s="16"/>
      <c r="M197" s="16"/>
      <c r="N197" s="16"/>
      <c r="O197" s="16"/>
    </row>
    <row r="198" customFormat="false" ht="15" hidden="false" customHeight="false" outlineLevel="0" collapsed="false">
      <c r="A198" s="16"/>
      <c r="B198" s="25"/>
      <c r="C198" s="26"/>
      <c r="D198" s="16"/>
      <c r="E198" s="25"/>
      <c r="F198" s="25"/>
      <c r="G198" s="25"/>
      <c r="H198" s="26"/>
      <c r="I198" s="27" t="str">
        <f aca="false">IF(OR(C198="",H198=""),"",C198-H198)</f>
        <v/>
      </c>
      <c r="J198" s="8" t="str">
        <f aca="false">IF(C198="","",IF(H198="","WAITING",IF(ABS(C198-H198)&lt;0.005,"MATCHED","CHECK")))</f>
        <v/>
      </c>
      <c r="K198" s="27" t="str">
        <f aca="false">IF(OR(A198="",E198="",F198=""),"",SUMIFS('Sales Log'!$L$5:$L$1004,'Sales Log'!$B$5:$B$1004,A198,'Sales Log'!$A$5:$A$1004,"&gt;="&amp;E198,'Sales Log'!$A$5:$A$1004,"&lt;="&amp;F198,'Sales Log'!$R$5:$R$1004,IF(O198="EXAMPLE","EXAMPLE","&lt;&gt;EXAMPLE")))</f>
        <v/>
      </c>
      <c r="L198" s="16"/>
      <c r="M198" s="16"/>
      <c r="N198" s="16"/>
      <c r="O198" s="16"/>
    </row>
    <row r="199" customFormat="false" ht="15" hidden="false" customHeight="false" outlineLevel="0" collapsed="false">
      <c r="A199" s="16"/>
      <c r="B199" s="25"/>
      <c r="C199" s="26"/>
      <c r="D199" s="16"/>
      <c r="E199" s="25"/>
      <c r="F199" s="25"/>
      <c r="G199" s="25"/>
      <c r="H199" s="26"/>
      <c r="I199" s="27" t="str">
        <f aca="false">IF(OR(C199="",H199=""),"",C199-H199)</f>
        <v/>
      </c>
      <c r="J199" s="8" t="str">
        <f aca="false">IF(C199="","",IF(H199="","WAITING",IF(ABS(C199-H199)&lt;0.005,"MATCHED","CHECK")))</f>
        <v/>
      </c>
      <c r="K199" s="27" t="str">
        <f aca="false">IF(OR(A199="",E199="",F199=""),"",SUMIFS('Sales Log'!$L$5:$L$1004,'Sales Log'!$B$5:$B$1004,A199,'Sales Log'!$A$5:$A$1004,"&gt;="&amp;E199,'Sales Log'!$A$5:$A$1004,"&lt;="&amp;F199,'Sales Log'!$R$5:$R$1004,IF(O199="EXAMPLE","EXAMPLE","&lt;&gt;EXAMPLE")))</f>
        <v/>
      </c>
      <c r="L199" s="16"/>
      <c r="M199" s="16"/>
      <c r="N199" s="16"/>
      <c r="O199" s="16"/>
    </row>
    <row r="200" customFormat="false" ht="15" hidden="false" customHeight="false" outlineLevel="0" collapsed="false">
      <c r="A200" s="16"/>
      <c r="B200" s="25"/>
      <c r="C200" s="26"/>
      <c r="D200" s="16"/>
      <c r="E200" s="25"/>
      <c r="F200" s="25"/>
      <c r="G200" s="25"/>
      <c r="H200" s="26"/>
      <c r="I200" s="27" t="str">
        <f aca="false">IF(OR(C200="",H200=""),"",C200-H200)</f>
        <v/>
      </c>
      <c r="J200" s="8" t="str">
        <f aca="false">IF(C200="","",IF(H200="","WAITING",IF(ABS(C200-H200)&lt;0.005,"MATCHED","CHECK")))</f>
        <v/>
      </c>
      <c r="K200" s="27" t="str">
        <f aca="false">IF(OR(A200="",E200="",F200=""),"",SUMIFS('Sales Log'!$L$5:$L$1004,'Sales Log'!$B$5:$B$1004,A200,'Sales Log'!$A$5:$A$1004,"&gt;="&amp;E200,'Sales Log'!$A$5:$A$1004,"&lt;="&amp;F200,'Sales Log'!$R$5:$R$1004,IF(O200="EXAMPLE","EXAMPLE","&lt;&gt;EXAMPLE")))</f>
        <v/>
      </c>
      <c r="L200" s="16"/>
      <c r="M200" s="16"/>
      <c r="N200" s="16"/>
      <c r="O200" s="16"/>
    </row>
    <row r="201" customFormat="false" ht="15" hidden="false" customHeight="false" outlineLevel="0" collapsed="false">
      <c r="A201" s="16"/>
      <c r="B201" s="25"/>
      <c r="C201" s="26"/>
      <c r="D201" s="16"/>
      <c r="E201" s="25"/>
      <c r="F201" s="25"/>
      <c r="G201" s="25"/>
      <c r="H201" s="26"/>
      <c r="I201" s="27" t="str">
        <f aca="false">IF(OR(C201="",H201=""),"",C201-H201)</f>
        <v/>
      </c>
      <c r="J201" s="8" t="str">
        <f aca="false">IF(C201="","",IF(H201="","WAITING",IF(ABS(C201-H201)&lt;0.005,"MATCHED","CHECK")))</f>
        <v/>
      </c>
      <c r="K201" s="27" t="str">
        <f aca="false">IF(OR(A201="",E201="",F201=""),"",SUMIFS('Sales Log'!$L$5:$L$1004,'Sales Log'!$B$5:$B$1004,A201,'Sales Log'!$A$5:$A$1004,"&gt;="&amp;E201,'Sales Log'!$A$5:$A$1004,"&lt;="&amp;F201,'Sales Log'!$R$5:$R$1004,IF(O201="EXAMPLE","EXAMPLE","&lt;&gt;EXAMPLE")))</f>
        <v/>
      </c>
      <c r="L201" s="16"/>
      <c r="M201" s="16"/>
      <c r="N201" s="16"/>
      <c r="O201" s="16"/>
    </row>
    <row r="202" customFormat="false" ht="15" hidden="false" customHeight="false" outlineLevel="0" collapsed="false">
      <c r="A202" s="16"/>
      <c r="B202" s="25"/>
      <c r="C202" s="26"/>
      <c r="D202" s="16"/>
      <c r="E202" s="25"/>
      <c r="F202" s="25"/>
      <c r="G202" s="25"/>
      <c r="H202" s="26"/>
      <c r="I202" s="27" t="str">
        <f aca="false">IF(OR(C202="",H202=""),"",C202-H202)</f>
        <v/>
      </c>
      <c r="J202" s="8" t="str">
        <f aca="false">IF(C202="","",IF(H202="","WAITING",IF(ABS(C202-H202)&lt;0.005,"MATCHED","CHECK")))</f>
        <v/>
      </c>
      <c r="K202" s="27" t="str">
        <f aca="false">IF(OR(A202="",E202="",F202=""),"",SUMIFS('Sales Log'!$L$5:$L$1004,'Sales Log'!$B$5:$B$1004,A202,'Sales Log'!$A$5:$A$1004,"&gt;="&amp;E202,'Sales Log'!$A$5:$A$1004,"&lt;="&amp;F202,'Sales Log'!$R$5:$R$1004,IF(O202="EXAMPLE","EXAMPLE","&lt;&gt;EXAMPLE")))</f>
        <v/>
      </c>
      <c r="L202" s="16"/>
      <c r="M202" s="16"/>
      <c r="N202" s="16"/>
      <c r="O202" s="16"/>
    </row>
    <row r="203" customFormat="false" ht="15" hidden="false" customHeight="false" outlineLevel="0" collapsed="false">
      <c r="A203" s="16"/>
      <c r="B203" s="25"/>
      <c r="C203" s="26"/>
      <c r="D203" s="16"/>
      <c r="E203" s="25"/>
      <c r="F203" s="25"/>
      <c r="G203" s="25"/>
      <c r="H203" s="26"/>
      <c r="I203" s="27" t="str">
        <f aca="false">IF(OR(C203="",H203=""),"",C203-H203)</f>
        <v/>
      </c>
      <c r="J203" s="8" t="str">
        <f aca="false">IF(C203="","",IF(H203="","WAITING",IF(ABS(C203-H203)&lt;0.005,"MATCHED","CHECK")))</f>
        <v/>
      </c>
      <c r="K203" s="27" t="str">
        <f aca="false">IF(OR(A203="",E203="",F203=""),"",SUMIFS('Sales Log'!$L$5:$L$1004,'Sales Log'!$B$5:$B$1004,A203,'Sales Log'!$A$5:$A$1004,"&gt;="&amp;E203,'Sales Log'!$A$5:$A$1004,"&lt;="&amp;F203,'Sales Log'!$R$5:$R$1004,IF(O203="EXAMPLE","EXAMPLE","&lt;&gt;EXAMPLE")))</f>
        <v/>
      </c>
      <c r="L203" s="16"/>
      <c r="M203" s="16"/>
      <c r="N203" s="16"/>
      <c r="O203" s="16"/>
    </row>
    <row r="204" customFormat="false" ht="15" hidden="false" customHeight="false" outlineLevel="0" collapsed="false">
      <c r="A204" s="16"/>
      <c r="B204" s="25"/>
      <c r="C204" s="26"/>
      <c r="D204" s="16"/>
      <c r="E204" s="25"/>
      <c r="F204" s="25"/>
      <c r="G204" s="25"/>
      <c r="H204" s="26"/>
      <c r="I204" s="27" t="str">
        <f aca="false">IF(OR(C204="",H204=""),"",C204-H204)</f>
        <v/>
      </c>
      <c r="J204" s="8" t="str">
        <f aca="false">IF(C204="","",IF(H204="","WAITING",IF(ABS(C204-H204)&lt;0.005,"MATCHED","CHECK")))</f>
        <v/>
      </c>
      <c r="K204" s="27" t="str">
        <f aca="false">IF(OR(A204="",E204="",F204=""),"",SUMIFS('Sales Log'!$L$5:$L$1004,'Sales Log'!$B$5:$B$1004,A204,'Sales Log'!$A$5:$A$1004,"&gt;="&amp;E204,'Sales Log'!$A$5:$A$1004,"&lt;="&amp;F204,'Sales Log'!$R$5:$R$1004,IF(O204="EXAMPLE","EXAMPLE","&lt;&gt;EXAMPLE")))</f>
        <v/>
      </c>
      <c r="L204" s="16"/>
      <c r="M204" s="16"/>
      <c r="N204" s="16"/>
      <c r="O204" s="16"/>
    </row>
    <row r="205" customFormat="false" ht="15" hidden="false" customHeight="false" outlineLevel="0" collapsed="false">
      <c r="A205" s="16"/>
      <c r="B205" s="25"/>
      <c r="C205" s="26"/>
      <c r="D205" s="16"/>
      <c r="E205" s="25"/>
      <c r="F205" s="25"/>
      <c r="G205" s="25"/>
      <c r="H205" s="26"/>
      <c r="I205" s="27" t="str">
        <f aca="false">IF(OR(C205="",H205=""),"",C205-H205)</f>
        <v/>
      </c>
      <c r="J205" s="8" t="str">
        <f aca="false">IF(C205="","",IF(H205="","WAITING",IF(ABS(C205-H205)&lt;0.005,"MATCHED","CHECK")))</f>
        <v/>
      </c>
      <c r="K205" s="27" t="str">
        <f aca="false">IF(OR(A205="",E205="",F205=""),"",SUMIFS('Sales Log'!$L$5:$L$1004,'Sales Log'!$B$5:$B$1004,A205,'Sales Log'!$A$5:$A$1004,"&gt;="&amp;E205,'Sales Log'!$A$5:$A$1004,"&lt;="&amp;F205,'Sales Log'!$R$5:$R$1004,IF(O205="EXAMPLE","EXAMPLE","&lt;&gt;EXAMPLE")))</f>
        <v/>
      </c>
      <c r="L205" s="16"/>
      <c r="M205" s="16"/>
      <c r="N205" s="16"/>
      <c r="O205" s="16"/>
    </row>
    <row r="206" customFormat="false" ht="15" hidden="false" customHeight="false" outlineLevel="0" collapsed="false">
      <c r="A206" s="16"/>
      <c r="B206" s="25"/>
      <c r="C206" s="26"/>
      <c r="D206" s="16"/>
      <c r="E206" s="25"/>
      <c r="F206" s="25"/>
      <c r="G206" s="25"/>
      <c r="H206" s="26"/>
      <c r="I206" s="27" t="str">
        <f aca="false">IF(OR(C206="",H206=""),"",C206-H206)</f>
        <v/>
      </c>
      <c r="J206" s="8" t="str">
        <f aca="false">IF(C206="","",IF(H206="","WAITING",IF(ABS(C206-H206)&lt;0.005,"MATCHED","CHECK")))</f>
        <v/>
      </c>
      <c r="K206" s="27" t="str">
        <f aca="false">IF(OR(A206="",E206="",F206=""),"",SUMIFS('Sales Log'!$L$5:$L$1004,'Sales Log'!$B$5:$B$1004,A206,'Sales Log'!$A$5:$A$1004,"&gt;="&amp;E206,'Sales Log'!$A$5:$A$1004,"&lt;="&amp;F206,'Sales Log'!$R$5:$R$1004,IF(O206="EXAMPLE","EXAMPLE","&lt;&gt;EXAMPLE")))</f>
        <v/>
      </c>
      <c r="L206" s="16"/>
      <c r="M206" s="16"/>
      <c r="N206" s="16"/>
      <c r="O206" s="16"/>
    </row>
    <row r="207" customFormat="false" ht="15" hidden="false" customHeight="false" outlineLevel="0" collapsed="false">
      <c r="A207" s="16"/>
      <c r="B207" s="25"/>
      <c r="C207" s="26"/>
      <c r="D207" s="16"/>
      <c r="E207" s="25"/>
      <c r="F207" s="25"/>
      <c r="G207" s="25"/>
      <c r="H207" s="26"/>
      <c r="I207" s="27" t="str">
        <f aca="false">IF(OR(C207="",H207=""),"",C207-H207)</f>
        <v/>
      </c>
      <c r="J207" s="8" t="str">
        <f aca="false">IF(C207="","",IF(H207="","WAITING",IF(ABS(C207-H207)&lt;0.005,"MATCHED","CHECK")))</f>
        <v/>
      </c>
      <c r="K207" s="27" t="str">
        <f aca="false">IF(OR(A207="",E207="",F207=""),"",SUMIFS('Sales Log'!$L$5:$L$1004,'Sales Log'!$B$5:$B$1004,A207,'Sales Log'!$A$5:$A$1004,"&gt;="&amp;E207,'Sales Log'!$A$5:$A$1004,"&lt;="&amp;F207,'Sales Log'!$R$5:$R$1004,IF(O207="EXAMPLE","EXAMPLE","&lt;&gt;EXAMPLE")))</f>
        <v/>
      </c>
      <c r="L207" s="16"/>
      <c r="M207" s="16"/>
      <c r="N207" s="16"/>
      <c r="O207" s="16"/>
    </row>
    <row r="208" customFormat="false" ht="15" hidden="false" customHeight="false" outlineLevel="0" collapsed="false">
      <c r="A208" s="16"/>
      <c r="B208" s="25"/>
      <c r="C208" s="26"/>
      <c r="D208" s="16"/>
      <c r="E208" s="25"/>
      <c r="F208" s="25"/>
      <c r="G208" s="25"/>
      <c r="H208" s="26"/>
      <c r="I208" s="27" t="str">
        <f aca="false">IF(OR(C208="",H208=""),"",C208-H208)</f>
        <v/>
      </c>
      <c r="J208" s="8" t="str">
        <f aca="false">IF(C208="","",IF(H208="","WAITING",IF(ABS(C208-H208)&lt;0.005,"MATCHED","CHECK")))</f>
        <v/>
      </c>
      <c r="K208" s="27" t="str">
        <f aca="false">IF(OR(A208="",E208="",F208=""),"",SUMIFS('Sales Log'!$L$5:$L$1004,'Sales Log'!$B$5:$B$1004,A208,'Sales Log'!$A$5:$A$1004,"&gt;="&amp;E208,'Sales Log'!$A$5:$A$1004,"&lt;="&amp;F208,'Sales Log'!$R$5:$R$1004,IF(O208="EXAMPLE","EXAMPLE","&lt;&gt;EXAMPLE")))</f>
        <v/>
      </c>
      <c r="L208" s="16"/>
      <c r="M208" s="16"/>
      <c r="N208" s="16"/>
      <c r="O208" s="16"/>
    </row>
    <row r="209" customFormat="false" ht="15" hidden="false" customHeight="false" outlineLevel="0" collapsed="false">
      <c r="A209" s="16"/>
      <c r="B209" s="25"/>
      <c r="C209" s="26"/>
      <c r="D209" s="16"/>
      <c r="E209" s="25"/>
      <c r="F209" s="25"/>
      <c r="G209" s="25"/>
      <c r="H209" s="26"/>
      <c r="I209" s="27" t="str">
        <f aca="false">IF(OR(C209="",H209=""),"",C209-H209)</f>
        <v/>
      </c>
      <c r="J209" s="8" t="str">
        <f aca="false">IF(C209="","",IF(H209="","WAITING",IF(ABS(C209-H209)&lt;0.005,"MATCHED","CHECK")))</f>
        <v/>
      </c>
      <c r="K209" s="27" t="str">
        <f aca="false">IF(OR(A209="",E209="",F209=""),"",SUMIFS('Sales Log'!$L$5:$L$1004,'Sales Log'!$B$5:$B$1004,A209,'Sales Log'!$A$5:$A$1004,"&gt;="&amp;E209,'Sales Log'!$A$5:$A$1004,"&lt;="&amp;F209,'Sales Log'!$R$5:$R$1004,IF(O209="EXAMPLE","EXAMPLE","&lt;&gt;EXAMPLE")))</f>
        <v/>
      </c>
      <c r="L209" s="16"/>
      <c r="M209" s="16"/>
      <c r="N209" s="16"/>
      <c r="O209" s="16"/>
    </row>
    <row r="210" customFormat="false" ht="15" hidden="false" customHeight="false" outlineLevel="0" collapsed="false">
      <c r="A210" s="16"/>
      <c r="B210" s="25"/>
      <c r="C210" s="26"/>
      <c r="D210" s="16"/>
      <c r="E210" s="25"/>
      <c r="F210" s="25"/>
      <c r="G210" s="25"/>
      <c r="H210" s="26"/>
      <c r="I210" s="27" t="str">
        <f aca="false">IF(OR(C210="",H210=""),"",C210-H210)</f>
        <v/>
      </c>
      <c r="J210" s="8" t="str">
        <f aca="false">IF(C210="","",IF(H210="","WAITING",IF(ABS(C210-H210)&lt;0.005,"MATCHED","CHECK")))</f>
        <v/>
      </c>
      <c r="K210" s="27" t="str">
        <f aca="false">IF(OR(A210="",E210="",F210=""),"",SUMIFS('Sales Log'!$L$5:$L$1004,'Sales Log'!$B$5:$B$1004,A210,'Sales Log'!$A$5:$A$1004,"&gt;="&amp;E210,'Sales Log'!$A$5:$A$1004,"&lt;="&amp;F210,'Sales Log'!$R$5:$R$1004,IF(O210="EXAMPLE","EXAMPLE","&lt;&gt;EXAMPLE")))</f>
        <v/>
      </c>
      <c r="L210" s="16"/>
      <c r="M210" s="16"/>
      <c r="N210" s="16"/>
      <c r="O210" s="16"/>
    </row>
    <row r="211" customFormat="false" ht="15" hidden="false" customHeight="false" outlineLevel="0" collapsed="false">
      <c r="A211" s="16"/>
      <c r="B211" s="25"/>
      <c r="C211" s="26"/>
      <c r="D211" s="16"/>
      <c r="E211" s="25"/>
      <c r="F211" s="25"/>
      <c r="G211" s="25"/>
      <c r="H211" s="26"/>
      <c r="I211" s="27" t="str">
        <f aca="false">IF(OR(C211="",H211=""),"",C211-H211)</f>
        <v/>
      </c>
      <c r="J211" s="8" t="str">
        <f aca="false">IF(C211="","",IF(H211="","WAITING",IF(ABS(C211-H211)&lt;0.005,"MATCHED","CHECK")))</f>
        <v/>
      </c>
      <c r="K211" s="27" t="str">
        <f aca="false">IF(OR(A211="",E211="",F211=""),"",SUMIFS('Sales Log'!$L$5:$L$1004,'Sales Log'!$B$5:$B$1004,A211,'Sales Log'!$A$5:$A$1004,"&gt;="&amp;E211,'Sales Log'!$A$5:$A$1004,"&lt;="&amp;F211,'Sales Log'!$R$5:$R$1004,IF(O211="EXAMPLE","EXAMPLE","&lt;&gt;EXAMPLE")))</f>
        <v/>
      </c>
      <c r="L211" s="16"/>
      <c r="M211" s="16"/>
      <c r="N211" s="16"/>
      <c r="O211" s="16"/>
    </row>
    <row r="212" customFormat="false" ht="15" hidden="false" customHeight="false" outlineLevel="0" collapsed="false">
      <c r="A212" s="16"/>
      <c r="B212" s="25"/>
      <c r="C212" s="26"/>
      <c r="D212" s="16"/>
      <c r="E212" s="25"/>
      <c r="F212" s="25"/>
      <c r="G212" s="25"/>
      <c r="H212" s="26"/>
      <c r="I212" s="27" t="str">
        <f aca="false">IF(OR(C212="",H212=""),"",C212-H212)</f>
        <v/>
      </c>
      <c r="J212" s="8" t="str">
        <f aca="false">IF(C212="","",IF(H212="","WAITING",IF(ABS(C212-H212)&lt;0.005,"MATCHED","CHECK")))</f>
        <v/>
      </c>
      <c r="K212" s="27" t="str">
        <f aca="false">IF(OR(A212="",E212="",F212=""),"",SUMIFS('Sales Log'!$L$5:$L$1004,'Sales Log'!$B$5:$B$1004,A212,'Sales Log'!$A$5:$A$1004,"&gt;="&amp;E212,'Sales Log'!$A$5:$A$1004,"&lt;="&amp;F212,'Sales Log'!$R$5:$R$1004,IF(O212="EXAMPLE","EXAMPLE","&lt;&gt;EXAMPLE")))</f>
        <v/>
      </c>
      <c r="L212" s="16"/>
      <c r="M212" s="16"/>
      <c r="N212" s="16"/>
      <c r="O212" s="16"/>
    </row>
    <row r="213" customFormat="false" ht="15" hidden="false" customHeight="false" outlineLevel="0" collapsed="false">
      <c r="A213" s="16"/>
      <c r="B213" s="25"/>
      <c r="C213" s="26"/>
      <c r="D213" s="16"/>
      <c r="E213" s="25"/>
      <c r="F213" s="25"/>
      <c r="G213" s="25"/>
      <c r="H213" s="26"/>
      <c r="I213" s="27" t="str">
        <f aca="false">IF(OR(C213="",H213=""),"",C213-H213)</f>
        <v/>
      </c>
      <c r="J213" s="8" t="str">
        <f aca="false">IF(C213="","",IF(H213="","WAITING",IF(ABS(C213-H213)&lt;0.005,"MATCHED","CHECK")))</f>
        <v/>
      </c>
      <c r="K213" s="27" t="str">
        <f aca="false">IF(OR(A213="",E213="",F213=""),"",SUMIFS('Sales Log'!$L$5:$L$1004,'Sales Log'!$B$5:$B$1004,A213,'Sales Log'!$A$5:$A$1004,"&gt;="&amp;E213,'Sales Log'!$A$5:$A$1004,"&lt;="&amp;F213,'Sales Log'!$R$5:$R$1004,IF(O213="EXAMPLE","EXAMPLE","&lt;&gt;EXAMPLE")))</f>
        <v/>
      </c>
      <c r="L213" s="16"/>
      <c r="M213" s="16"/>
      <c r="N213" s="16"/>
      <c r="O213" s="16"/>
    </row>
    <row r="214" customFormat="false" ht="15" hidden="false" customHeight="false" outlineLevel="0" collapsed="false">
      <c r="A214" s="16"/>
      <c r="B214" s="25"/>
      <c r="C214" s="26"/>
      <c r="D214" s="16"/>
      <c r="E214" s="25"/>
      <c r="F214" s="25"/>
      <c r="G214" s="25"/>
      <c r="H214" s="26"/>
      <c r="I214" s="27" t="str">
        <f aca="false">IF(OR(C214="",H214=""),"",C214-H214)</f>
        <v/>
      </c>
      <c r="J214" s="8" t="str">
        <f aca="false">IF(C214="","",IF(H214="","WAITING",IF(ABS(C214-H214)&lt;0.005,"MATCHED","CHECK")))</f>
        <v/>
      </c>
      <c r="K214" s="27" t="str">
        <f aca="false">IF(OR(A214="",E214="",F214=""),"",SUMIFS('Sales Log'!$L$5:$L$1004,'Sales Log'!$B$5:$B$1004,A214,'Sales Log'!$A$5:$A$1004,"&gt;="&amp;E214,'Sales Log'!$A$5:$A$1004,"&lt;="&amp;F214,'Sales Log'!$R$5:$R$1004,IF(O214="EXAMPLE","EXAMPLE","&lt;&gt;EXAMPLE")))</f>
        <v/>
      </c>
      <c r="L214" s="16"/>
      <c r="M214" s="16"/>
      <c r="N214" s="16"/>
      <c r="O214" s="16"/>
    </row>
    <row r="215" customFormat="false" ht="15" hidden="false" customHeight="false" outlineLevel="0" collapsed="false">
      <c r="A215" s="16"/>
      <c r="B215" s="25"/>
      <c r="C215" s="26"/>
      <c r="D215" s="16"/>
      <c r="E215" s="25"/>
      <c r="F215" s="25"/>
      <c r="G215" s="25"/>
      <c r="H215" s="26"/>
      <c r="I215" s="27" t="str">
        <f aca="false">IF(OR(C215="",H215=""),"",C215-H215)</f>
        <v/>
      </c>
      <c r="J215" s="8" t="str">
        <f aca="false">IF(C215="","",IF(H215="","WAITING",IF(ABS(C215-H215)&lt;0.005,"MATCHED","CHECK")))</f>
        <v/>
      </c>
      <c r="K215" s="27" t="str">
        <f aca="false">IF(OR(A215="",E215="",F215=""),"",SUMIFS('Sales Log'!$L$5:$L$1004,'Sales Log'!$B$5:$B$1004,A215,'Sales Log'!$A$5:$A$1004,"&gt;="&amp;E215,'Sales Log'!$A$5:$A$1004,"&lt;="&amp;F215,'Sales Log'!$R$5:$R$1004,IF(O215="EXAMPLE","EXAMPLE","&lt;&gt;EXAMPLE")))</f>
        <v/>
      </c>
      <c r="L215" s="16"/>
      <c r="M215" s="16"/>
      <c r="N215" s="16"/>
      <c r="O215" s="16"/>
    </row>
    <row r="216" customFormat="false" ht="15" hidden="false" customHeight="false" outlineLevel="0" collapsed="false">
      <c r="A216" s="16"/>
      <c r="B216" s="25"/>
      <c r="C216" s="26"/>
      <c r="D216" s="16"/>
      <c r="E216" s="25"/>
      <c r="F216" s="25"/>
      <c r="G216" s="25"/>
      <c r="H216" s="26"/>
      <c r="I216" s="27" t="str">
        <f aca="false">IF(OR(C216="",H216=""),"",C216-H216)</f>
        <v/>
      </c>
      <c r="J216" s="8" t="str">
        <f aca="false">IF(C216="","",IF(H216="","WAITING",IF(ABS(C216-H216)&lt;0.005,"MATCHED","CHECK")))</f>
        <v/>
      </c>
      <c r="K216" s="27" t="str">
        <f aca="false">IF(OR(A216="",E216="",F216=""),"",SUMIFS('Sales Log'!$L$5:$L$1004,'Sales Log'!$B$5:$B$1004,A216,'Sales Log'!$A$5:$A$1004,"&gt;="&amp;E216,'Sales Log'!$A$5:$A$1004,"&lt;="&amp;F216,'Sales Log'!$R$5:$R$1004,IF(O216="EXAMPLE","EXAMPLE","&lt;&gt;EXAMPLE")))</f>
        <v/>
      </c>
      <c r="L216" s="16"/>
      <c r="M216" s="16"/>
      <c r="N216" s="16"/>
      <c r="O216" s="16"/>
    </row>
    <row r="217" customFormat="false" ht="15" hidden="false" customHeight="false" outlineLevel="0" collapsed="false">
      <c r="A217" s="16"/>
      <c r="B217" s="25"/>
      <c r="C217" s="26"/>
      <c r="D217" s="16"/>
      <c r="E217" s="25"/>
      <c r="F217" s="25"/>
      <c r="G217" s="25"/>
      <c r="H217" s="26"/>
      <c r="I217" s="27" t="str">
        <f aca="false">IF(OR(C217="",H217=""),"",C217-H217)</f>
        <v/>
      </c>
      <c r="J217" s="8" t="str">
        <f aca="false">IF(C217="","",IF(H217="","WAITING",IF(ABS(C217-H217)&lt;0.005,"MATCHED","CHECK")))</f>
        <v/>
      </c>
      <c r="K217" s="27" t="str">
        <f aca="false">IF(OR(A217="",E217="",F217=""),"",SUMIFS('Sales Log'!$L$5:$L$1004,'Sales Log'!$B$5:$B$1004,A217,'Sales Log'!$A$5:$A$1004,"&gt;="&amp;E217,'Sales Log'!$A$5:$A$1004,"&lt;="&amp;F217,'Sales Log'!$R$5:$R$1004,IF(O217="EXAMPLE","EXAMPLE","&lt;&gt;EXAMPLE")))</f>
        <v/>
      </c>
      <c r="L217" s="16"/>
      <c r="M217" s="16"/>
      <c r="N217" s="16"/>
      <c r="O217" s="16"/>
    </row>
    <row r="218" customFormat="false" ht="15" hidden="false" customHeight="false" outlineLevel="0" collapsed="false">
      <c r="A218" s="16"/>
      <c r="B218" s="25"/>
      <c r="C218" s="26"/>
      <c r="D218" s="16"/>
      <c r="E218" s="25"/>
      <c r="F218" s="25"/>
      <c r="G218" s="25"/>
      <c r="H218" s="26"/>
      <c r="I218" s="27" t="str">
        <f aca="false">IF(OR(C218="",H218=""),"",C218-H218)</f>
        <v/>
      </c>
      <c r="J218" s="8" t="str">
        <f aca="false">IF(C218="","",IF(H218="","WAITING",IF(ABS(C218-H218)&lt;0.005,"MATCHED","CHECK")))</f>
        <v/>
      </c>
      <c r="K218" s="27" t="str">
        <f aca="false">IF(OR(A218="",E218="",F218=""),"",SUMIFS('Sales Log'!$L$5:$L$1004,'Sales Log'!$B$5:$B$1004,A218,'Sales Log'!$A$5:$A$1004,"&gt;="&amp;E218,'Sales Log'!$A$5:$A$1004,"&lt;="&amp;F218,'Sales Log'!$R$5:$R$1004,IF(O218="EXAMPLE","EXAMPLE","&lt;&gt;EXAMPLE")))</f>
        <v/>
      </c>
      <c r="L218" s="16"/>
      <c r="M218" s="16"/>
      <c r="N218" s="16"/>
      <c r="O218" s="16"/>
    </row>
    <row r="219" customFormat="false" ht="15" hidden="false" customHeight="false" outlineLevel="0" collapsed="false">
      <c r="A219" s="16"/>
      <c r="B219" s="25"/>
      <c r="C219" s="26"/>
      <c r="D219" s="16"/>
      <c r="E219" s="25"/>
      <c r="F219" s="25"/>
      <c r="G219" s="25"/>
      <c r="H219" s="26"/>
      <c r="I219" s="27" t="str">
        <f aca="false">IF(OR(C219="",H219=""),"",C219-H219)</f>
        <v/>
      </c>
      <c r="J219" s="8" t="str">
        <f aca="false">IF(C219="","",IF(H219="","WAITING",IF(ABS(C219-H219)&lt;0.005,"MATCHED","CHECK")))</f>
        <v/>
      </c>
      <c r="K219" s="27" t="str">
        <f aca="false">IF(OR(A219="",E219="",F219=""),"",SUMIFS('Sales Log'!$L$5:$L$1004,'Sales Log'!$B$5:$B$1004,A219,'Sales Log'!$A$5:$A$1004,"&gt;="&amp;E219,'Sales Log'!$A$5:$A$1004,"&lt;="&amp;F219,'Sales Log'!$R$5:$R$1004,IF(O219="EXAMPLE","EXAMPLE","&lt;&gt;EXAMPLE")))</f>
        <v/>
      </c>
      <c r="L219" s="16"/>
      <c r="M219" s="16"/>
      <c r="N219" s="16"/>
      <c r="O219" s="16"/>
    </row>
    <row r="220" customFormat="false" ht="15" hidden="false" customHeight="false" outlineLevel="0" collapsed="false">
      <c r="A220" s="16"/>
      <c r="B220" s="25"/>
      <c r="C220" s="26"/>
      <c r="D220" s="16"/>
      <c r="E220" s="25"/>
      <c r="F220" s="25"/>
      <c r="G220" s="25"/>
      <c r="H220" s="26"/>
      <c r="I220" s="27" t="str">
        <f aca="false">IF(OR(C220="",H220=""),"",C220-H220)</f>
        <v/>
      </c>
      <c r="J220" s="8" t="str">
        <f aca="false">IF(C220="","",IF(H220="","WAITING",IF(ABS(C220-H220)&lt;0.005,"MATCHED","CHECK")))</f>
        <v/>
      </c>
      <c r="K220" s="27" t="str">
        <f aca="false">IF(OR(A220="",E220="",F220=""),"",SUMIFS('Sales Log'!$L$5:$L$1004,'Sales Log'!$B$5:$B$1004,A220,'Sales Log'!$A$5:$A$1004,"&gt;="&amp;E220,'Sales Log'!$A$5:$A$1004,"&lt;="&amp;F220,'Sales Log'!$R$5:$R$1004,IF(O220="EXAMPLE","EXAMPLE","&lt;&gt;EXAMPLE")))</f>
        <v/>
      </c>
      <c r="L220" s="16"/>
      <c r="M220" s="16"/>
      <c r="N220" s="16"/>
      <c r="O220" s="16"/>
    </row>
    <row r="221" customFormat="false" ht="15" hidden="false" customHeight="false" outlineLevel="0" collapsed="false">
      <c r="A221" s="16"/>
      <c r="B221" s="25"/>
      <c r="C221" s="26"/>
      <c r="D221" s="16"/>
      <c r="E221" s="25"/>
      <c r="F221" s="25"/>
      <c r="G221" s="25"/>
      <c r="H221" s="26"/>
      <c r="I221" s="27" t="str">
        <f aca="false">IF(OR(C221="",H221=""),"",C221-H221)</f>
        <v/>
      </c>
      <c r="J221" s="8" t="str">
        <f aca="false">IF(C221="","",IF(H221="","WAITING",IF(ABS(C221-H221)&lt;0.005,"MATCHED","CHECK")))</f>
        <v/>
      </c>
      <c r="K221" s="27" t="str">
        <f aca="false">IF(OR(A221="",E221="",F221=""),"",SUMIFS('Sales Log'!$L$5:$L$1004,'Sales Log'!$B$5:$B$1004,A221,'Sales Log'!$A$5:$A$1004,"&gt;="&amp;E221,'Sales Log'!$A$5:$A$1004,"&lt;="&amp;F221,'Sales Log'!$R$5:$R$1004,IF(O221="EXAMPLE","EXAMPLE","&lt;&gt;EXAMPLE")))</f>
        <v/>
      </c>
      <c r="L221" s="16"/>
      <c r="M221" s="16"/>
      <c r="N221" s="16"/>
      <c r="O221" s="16"/>
    </row>
    <row r="222" customFormat="false" ht="15" hidden="false" customHeight="false" outlineLevel="0" collapsed="false">
      <c r="A222" s="16"/>
      <c r="B222" s="25"/>
      <c r="C222" s="26"/>
      <c r="D222" s="16"/>
      <c r="E222" s="25"/>
      <c r="F222" s="25"/>
      <c r="G222" s="25"/>
      <c r="H222" s="26"/>
      <c r="I222" s="27" t="str">
        <f aca="false">IF(OR(C222="",H222=""),"",C222-H222)</f>
        <v/>
      </c>
      <c r="J222" s="8" t="str">
        <f aca="false">IF(C222="","",IF(H222="","WAITING",IF(ABS(C222-H222)&lt;0.005,"MATCHED","CHECK")))</f>
        <v/>
      </c>
      <c r="K222" s="27" t="str">
        <f aca="false">IF(OR(A222="",E222="",F222=""),"",SUMIFS('Sales Log'!$L$5:$L$1004,'Sales Log'!$B$5:$B$1004,A222,'Sales Log'!$A$5:$A$1004,"&gt;="&amp;E222,'Sales Log'!$A$5:$A$1004,"&lt;="&amp;F222,'Sales Log'!$R$5:$R$1004,IF(O222="EXAMPLE","EXAMPLE","&lt;&gt;EXAMPLE")))</f>
        <v/>
      </c>
      <c r="L222" s="16"/>
      <c r="M222" s="16"/>
      <c r="N222" s="16"/>
      <c r="O222" s="16"/>
    </row>
    <row r="223" customFormat="false" ht="15" hidden="false" customHeight="false" outlineLevel="0" collapsed="false">
      <c r="A223" s="16"/>
      <c r="B223" s="25"/>
      <c r="C223" s="26"/>
      <c r="D223" s="16"/>
      <c r="E223" s="25"/>
      <c r="F223" s="25"/>
      <c r="G223" s="25"/>
      <c r="H223" s="26"/>
      <c r="I223" s="27" t="str">
        <f aca="false">IF(OR(C223="",H223=""),"",C223-H223)</f>
        <v/>
      </c>
      <c r="J223" s="8" t="str">
        <f aca="false">IF(C223="","",IF(H223="","WAITING",IF(ABS(C223-H223)&lt;0.005,"MATCHED","CHECK")))</f>
        <v/>
      </c>
      <c r="K223" s="27" t="str">
        <f aca="false">IF(OR(A223="",E223="",F223=""),"",SUMIFS('Sales Log'!$L$5:$L$1004,'Sales Log'!$B$5:$B$1004,A223,'Sales Log'!$A$5:$A$1004,"&gt;="&amp;E223,'Sales Log'!$A$5:$A$1004,"&lt;="&amp;F223,'Sales Log'!$R$5:$R$1004,IF(O223="EXAMPLE","EXAMPLE","&lt;&gt;EXAMPLE")))</f>
        <v/>
      </c>
      <c r="L223" s="16"/>
      <c r="M223" s="16"/>
      <c r="N223" s="16"/>
      <c r="O223" s="16"/>
    </row>
    <row r="224" customFormat="false" ht="15" hidden="false" customHeight="false" outlineLevel="0" collapsed="false">
      <c r="A224" s="16"/>
      <c r="B224" s="25"/>
      <c r="C224" s="26"/>
      <c r="D224" s="16"/>
      <c r="E224" s="25"/>
      <c r="F224" s="25"/>
      <c r="G224" s="25"/>
      <c r="H224" s="26"/>
      <c r="I224" s="27" t="str">
        <f aca="false">IF(OR(C224="",H224=""),"",C224-H224)</f>
        <v/>
      </c>
      <c r="J224" s="8" t="str">
        <f aca="false">IF(C224="","",IF(H224="","WAITING",IF(ABS(C224-H224)&lt;0.005,"MATCHED","CHECK")))</f>
        <v/>
      </c>
      <c r="K224" s="27" t="str">
        <f aca="false">IF(OR(A224="",E224="",F224=""),"",SUMIFS('Sales Log'!$L$5:$L$1004,'Sales Log'!$B$5:$B$1004,A224,'Sales Log'!$A$5:$A$1004,"&gt;="&amp;E224,'Sales Log'!$A$5:$A$1004,"&lt;="&amp;F224,'Sales Log'!$R$5:$R$1004,IF(O224="EXAMPLE","EXAMPLE","&lt;&gt;EXAMPLE")))</f>
        <v/>
      </c>
      <c r="L224" s="16"/>
      <c r="M224" s="16"/>
      <c r="N224" s="16"/>
      <c r="O224" s="16"/>
    </row>
    <row r="225" customFormat="false" ht="15" hidden="false" customHeight="false" outlineLevel="0" collapsed="false">
      <c r="A225" s="16"/>
      <c r="B225" s="25"/>
      <c r="C225" s="26"/>
      <c r="D225" s="16"/>
      <c r="E225" s="25"/>
      <c r="F225" s="25"/>
      <c r="G225" s="25"/>
      <c r="H225" s="26"/>
      <c r="I225" s="27" t="str">
        <f aca="false">IF(OR(C225="",H225=""),"",C225-H225)</f>
        <v/>
      </c>
      <c r="J225" s="8" t="str">
        <f aca="false">IF(C225="","",IF(H225="","WAITING",IF(ABS(C225-H225)&lt;0.005,"MATCHED","CHECK")))</f>
        <v/>
      </c>
      <c r="K225" s="27" t="str">
        <f aca="false">IF(OR(A225="",E225="",F225=""),"",SUMIFS('Sales Log'!$L$5:$L$1004,'Sales Log'!$B$5:$B$1004,A225,'Sales Log'!$A$5:$A$1004,"&gt;="&amp;E225,'Sales Log'!$A$5:$A$1004,"&lt;="&amp;F225,'Sales Log'!$R$5:$R$1004,IF(O225="EXAMPLE","EXAMPLE","&lt;&gt;EXAMPLE")))</f>
        <v/>
      </c>
      <c r="L225" s="16"/>
      <c r="M225" s="16"/>
      <c r="N225" s="16"/>
      <c r="O225" s="16"/>
    </row>
    <row r="226" customFormat="false" ht="15" hidden="false" customHeight="false" outlineLevel="0" collapsed="false">
      <c r="A226" s="16"/>
      <c r="B226" s="25"/>
      <c r="C226" s="26"/>
      <c r="D226" s="16"/>
      <c r="E226" s="25"/>
      <c r="F226" s="25"/>
      <c r="G226" s="25"/>
      <c r="H226" s="26"/>
      <c r="I226" s="27" t="str">
        <f aca="false">IF(OR(C226="",H226=""),"",C226-H226)</f>
        <v/>
      </c>
      <c r="J226" s="8" t="str">
        <f aca="false">IF(C226="","",IF(H226="","WAITING",IF(ABS(C226-H226)&lt;0.005,"MATCHED","CHECK")))</f>
        <v/>
      </c>
      <c r="K226" s="27" t="str">
        <f aca="false">IF(OR(A226="",E226="",F226=""),"",SUMIFS('Sales Log'!$L$5:$L$1004,'Sales Log'!$B$5:$B$1004,A226,'Sales Log'!$A$5:$A$1004,"&gt;="&amp;E226,'Sales Log'!$A$5:$A$1004,"&lt;="&amp;F226,'Sales Log'!$R$5:$R$1004,IF(O226="EXAMPLE","EXAMPLE","&lt;&gt;EXAMPLE")))</f>
        <v/>
      </c>
      <c r="L226" s="16"/>
      <c r="M226" s="16"/>
      <c r="N226" s="16"/>
      <c r="O226" s="16"/>
    </row>
    <row r="227" customFormat="false" ht="15" hidden="false" customHeight="false" outlineLevel="0" collapsed="false">
      <c r="A227" s="16"/>
      <c r="B227" s="25"/>
      <c r="C227" s="26"/>
      <c r="D227" s="16"/>
      <c r="E227" s="25"/>
      <c r="F227" s="25"/>
      <c r="G227" s="25"/>
      <c r="H227" s="26"/>
      <c r="I227" s="27" t="str">
        <f aca="false">IF(OR(C227="",H227=""),"",C227-H227)</f>
        <v/>
      </c>
      <c r="J227" s="8" t="str">
        <f aca="false">IF(C227="","",IF(H227="","WAITING",IF(ABS(C227-H227)&lt;0.005,"MATCHED","CHECK")))</f>
        <v/>
      </c>
      <c r="K227" s="27" t="str">
        <f aca="false">IF(OR(A227="",E227="",F227=""),"",SUMIFS('Sales Log'!$L$5:$L$1004,'Sales Log'!$B$5:$B$1004,A227,'Sales Log'!$A$5:$A$1004,"&gt;="&amp;E227,'Sales Log'!$A$5:$A$1004,"&lt;="&amp;F227,'Sales Log'!$R$5:$R$1004,IF(O227="EXAMPLE","EXAMPLE","&lt;&gt;EXAMPLE")))</f>
        <v/>
      </c>
      <c r="L227" s="16"/>
      <c r="M227" s="16"/>
      <c r="N227" s="16"/>
      <c r="O227" s="16"/>
    </row>
    <row r="228" customFormat="false" ht="15" hidden="false" customHeight="false" outlineLevel="0" collapsed="false">
      <c r="A228" s="16"/>
      <c r="B228" s="25"/>
      <c r="C228" s="26"/>
      <c r="D228" s="16"/>
      <c r="E228" s="25"/>
      <c r="F228" s="25"/>
      <c r="G228" s="25"/>
      <c r="H228" s="26"/>
      <c r="I228" s="27" t="str">
        <f aca="false">IF(OR(C228="",H228=""),"",C228-H228)</f>
        <v/>
      </c>
      <c r="J228" s="8" t="str">
        <f aca="false">IF(C228="","",IF(H228="","WAITING",IF(ABS(C228-H228)&lt;0.005,"MATCHED","CHECK")))</f>
        <v/>
      </c>
      <c r="K228" s="27" t="str">
        <f aca="false">IF(OR(A228="",E228="",F228=""),"",SUMIFS('Sales Log'!$L$5:$L$1004,'Sales Log'!$B$5:$B$1004,A228,'Sales Log'!$A$5:$A$1004,"&gt;="&amp;E228,'Sales Log'!$A$5:$A$1004,"&lt;="&amp;F228,'Sales Log'!$R$5:$R$1004,IF(O228="EXAMPLE","EXAMPLE","&lt;&gt;EXAMPLE")))</f>
        <v/>
      </c>
      <c r="L228" s="16"/>
      <c r="M228" s="16"/>
      <c r="N228" s="16"/>
      <c r="O228" s="16"/>
    </row>
    <row r="229" customFormat="false" ht="15" hidden="false" customHeight="false" outlineLevel="0" collapsed="false">
      <c r="A229" s="16"/>
      <c r="B229" s="25"/>
      <c r="C229" s="26"/>
      <c r="D229" s="16"/>
      <c r="E229" s="25"/>
      <c r="F229" s="25"/>
      <c r="G229" s="25"/>
      <c r="H229" s="26"/>
      <c r="I229" s="27" t="str">
        <f aca="false">IF(OR(C229="",H229=""),"",C229-H229)</f>
        <v/>
      </c>
      <c r="J229" s="8" t="str">
        <f aca="false">IF(C229="","",IF(H229="","WAITING",IF(ABS(C229-H229)&lt;0.005,"MATCHED","CHECK")))</f>
        <v/>
      </c>
      <c r="K229" s="27" t="str">
        <f aca="false">IF(OR(A229="",E229="",F229=""),"",SUMIFS('Sales Log'!$L$5:$L$1004,'Sales Log'!$B$5:$B$1004,A229,'Sales Log'!$A$5:$A$1004,"&gt;="&amp;E229,'Sales Log'!$A$5:$A$1004,"&lt;="&amp;F229,'Sales Log'!$R$5:$R$1004,IF(O229="EXAMPLE","EXAMPLE","&lt;&gt;EXAMPLE")))</f>
        <v/>
      </c>
      <c r="L229" s="16"/>
      <c r="M229" s="16"/>
      <c r="N229" s="16"/>
      <c r="O229" s="16"/>
    </row>
    <row r="230" customFormat="false" ht="15" hidden="false" customHeight="false" outlineLevel="0" collapsed="false">
      <c r="A230" s="16"/>
      <c r="B230" s="25"/>
      <c r="C230" s="26"/>
      <c r="D230" s="16"/>
      <c r="E230" s="25"/>
      <c r="F230" s="25"/>
      <c r="G230" s="25"/>
      <c r="H230" s="26"/>
      <c r="I230" s="27" t="str">
        <f aca="false">IF(OR(C230="",H230=""),"",C230-H230)</f>
        <v/>
      </c>
      <c r="J230" s="8" t="str">
        <f aca="false">IF(C230="","",IF(H230="","WAITING",IF(ABS(C230-H230)&lt;0.005,"MATCHED","CHECK")))</f>
        <v/>
      </c>
      <c r="K230" s="27" t="str">
        <f aca="false">IF(OR(A230="",E230="",F230=""),"",SUMIFS('Sales Log'!$L$5:$L$1004,'Sales Log'!$B$5:$B$1004,A230,'Sales Log'!$A$5:$A$1004,"&gt;="&amp;E230,'Sales Log'!$A$5:$A$1004,"&lt;="&amp;F230,'Sales Log'!$R$5:$R$1004,IF(O230="EXAMPLE","EXAMPLE","&lt;&gt;EXAMPLE")))</f>
        <v/>
      </c>
      <c r="L230" s="16"/>
      <c r="M230" s="16"/>
      <c r="N230" s="16"/>
      <c r="O230" s="16"/>
    </row>
    <row r="231" customFormat="false" ht="15" hidden="false" customHeight="false" outlineLevel="0" collapsed="false">
      <c r="A231" s="16"/>
      <c r="B231" s="25"/>
      <c r="C231" s="26"/>
      <c r="D231" s="16"/>
      <c r="E231" s="25"/>
      <c r="F231" s="25"/>
      <c r="G231" s="25"/>
      <c r="H231" s="26"/>
      <c r="I231" s="27" t="str">
        <f aca="false">IF(OR(C231="",H231=""),"",C231-H231)</f>
        <v/>
      </c>
      <c r="J231" s="8" t="str">
        <f aca="false">IF(C231="","",IF(H231="","WAITING",IF(ABS(C231-H231)&lt;0.005,"MATCHED","CHECK")))</f>
        <v/>
      </c>
      <c r="K231" s="27" t="str">
        <f aca="false">IF(OR(A231="",E231="",F231=""),"",SUMIFS('Sales Log'!$L$5:$L$1004,'Sales Log'!$B$5:$B$1004,A231,'Sales Log'!$A$5:$A$1004,"&gt;="&amp;E231,'Sales Log'!$A$5:$A$1004,"&lt;="&amp;F231,'Sales Log'!$R$5:$R$1004,IF(O231="EXAMPLE","EXAMPLE","&lt;&gt;EXAMPLE")))</f>
        <v/>
      </c>
      <c r="L231" s="16"/>
      <c r="M231" s="16"/>
      <c r="N231" s="16"/>
      <c r="O231" s="16"/>
    </row>
    <row r="232" customFormat="false" ht="15" hidden="false" customHeight="false" outlineLevel="0" collapsed="false">
      <c r="A232" s="16"/>
      <c r="B232" s="25"/>
      <c r="C232" s="26"/>
      <c r="D232" s="16"/>
      <c r="E232" s="25"/>
      <c r="F232" s="25"/>
      <c r="G232" s="25"/>
      <c r="H232" s="26"/>
      <c r="I232" s="27" t="str">
        <f aca="false">IF(OR(C232="",H232=""),"",C232-H232)</f>
        <v/>
      </c>
      <c r="J232" s="8" t="str">
        <f aca="false">IF(C232="","",IF(H232="","WAITING",IF(ABS(C232-H232)&lt;0.005,"MATCHED","CHECK")))</f>
        <v/>
      </c>
      <c r="K232" s="27" t="str">
        <f aca="false">IF(OR(A232="",E232="",F232=""),"",SUMIFS('Sales Log'!$L$5:$L$1004,'Sales Log'!$B$5:$B$1004,A232,'Sales Log'!$A$5:$A$1004,"&gt;="&amp;E232,'Sales Log'!$A$5:$A$1004,"&lt;="&amp;F232,'Sales Log'!$R$5:$R$1004,IF(O232="EXAMPLE","EXAMPLE","&lt;&gt;EXAMPLE")))</f>
        <v/>
      </c>
      <c r="L232" s="16"/>
      <c r="M232" s="16"/>
      <c r="N232" s="16"/>
      <c r="O232" s="16"/>
    </row>
    <row r="233" customFormat="false" ht="15" hidden="false" customHeight="false" outlineLevel="0" collapsed="false">
      <c r="A233" s="16"/>
      <c r="B233" s="25"/>
      <c r="C233" s="26"/>
      <c r="D233" s="16"/>
      <c r="E233" s="25"/>
      <c r="F233" s="25"/>
      <c r="G233" s="25"/>
      <c r="H233" s="26"/>
      <c r="I233" s="27" t="str">
        <f aca="false">IF(OR(C233="",H233=""),"",C233-H233)</f>
        <v/>
      </c>
      <c r="J233" s="8" t="str">
        <f aca="false">IF(C233="","",IF(H233="","WAITING",IF(ABS(C233-H233)&lt;0.005,"MATCHED","CHECK")))</f>
        <v/>
      </c>
      <c r="K233" s="27" t="str">
        <f aca="false">IF(OR(A233="",E233="",F233=""),"",SUMIFS('Sales Log'!$L$5:$L$1004,'Sales Log'!$B$5:$B$1004,A233,'Sales Log'!$A$5:$A$1004,"&gt;="&amp;E233,'Sales Log'!$A$5:$A$1004,"&lt;="&amp;F233,'Sales Log'!$R$5:$R$1004,IF(O233="EXAMPLE","EXAMPLE","&lt;&gt;EXAMPLE")))</f>
        <v/>
      </c>
      <c r="L233" s="16"/>
      <c r="M233" s="16"/>
      <c r="N233" s="16"/>
      <c r="O233" s="16"/>
    </row>
    <row r="234" customFormat="false" ht="15" hidden="false" customHeight="false" outlineLevel="0" collapsed="false">
      <c r="A234" s="16"/>
      <c r="B234" s="25"/>
      <c r="C234" s="26"/>
      <c r="D234" s="16"/>
      <c r="E234" s="25"/>
      <c r="F234" s="25"/>
      <c r="G234" s="25"/>
      <c r="H234" s="26"/>
      <c r="I234" s="27" t="str">
        <f aca="false">IF(OR(C234="",H234=""),"",C234-H234)</f>
        <v/>
      </c>
      <c r="J234" s="8" t="str">
        <f aca="false">IF(C234="","",IF(H234="","WAITING",IF(ABS(C234-H234)&lt;0.005,"MATCHED","CHECK")))</f>
        <v/>
      </c>
      <c r="K234" s="27" t="str">
        <f aca="false">IF(OR(A234="",E234="",F234=""),"",SUMIFS('Sales Log'!$L$5:$L$1004,'Sales Log'!$B$5:$B$1004,A234,'Sales Log'!$A$5:$A$1004,"&gt;="&amp;E234,'Sales Log'!$A$5:$A$1004,"&lt;="&amp;F234,'Sales Log'!$R$5:$R$1004,IF(O234="EXAMPLE","EXAMPLE","&lt;&gt;EXAMPLE")))</f>
        <v/>
      </c>
      <c r="L234" s="16"/>
      <c r="M234" s="16"/>
      <c r="N234" s="16"/>
      <c r="O234" s="16"/>
    </row>
    <row r="235" customFormat="false" ht="15" hidden="false" customHeight="false" outlineLevel="0" collapsed="false">
      <c r="A235" s="16"/>
      <c r="B235" s="25"/>
      <c r="C235" s="26"/>
      <c r="D235" s="16"/>
      <c r="E235" s="25"/>
      <c r="F235" s="25"/>
      <c r="G235" s="25"/>
      <c r="H235" s="26"/>
      <c r="I235" s="27" t="str">
        <f aca="false">IF(OR(C235="",H235=""),"",C235-H235)</f>
        <v/>
      </c>
      <c r="J235" s="8" t="str">
        <f aca="false">IF(C235="","",IF(H235="","WAITING",IF(ABS(C235-H235)&lt;0.005,"MATCHED","CHECK")))</f>
        <v/>
      </c>
      <c r="K235" s="27" t="str">
        <f aca="false">IF(OR(A235="",E235="",F235=""),"",SUMIFS('Sales Log'!$L$5:$L$1004,'Sales Log'!$B$5:$B$1004,A235,'Sales Log'!$A$5:$A$1004,"&gt;="&amp;E235,'Sales Log'!$A$5:$A$1004,"&lt;="&amp;F235,'Sales Log'!$R$5:$R$1004,IF(O235="EXAMPLE","EXAMPLE","&lt;&gt;EXAMPLE")))</f>
        <v/>
      </c>
      <c r="L235" s="16"/>
      <c r="M235" s="16"/>
      <c r="N235" s="16"/>
      <c r="O235" s="16"/>
    </row>
    <row r="236" customFormat="false" ht="15" hidden="false" customHeight="false" outlineLevel="0" collapsed="false">
      <c r="A236" s="16"/>
      <c r="B236" s="25"/>
      <c r="C236" s="26"/>
      <c r="D236" s="16"/>
      <c r="E236" s="25"/>
      <c r="F236" s="25"/>
      <c r="G236" s="25"/>
      <c r="H236" s="26"/>
      <c r="I236" s="27" t="str">
        <f aca="false">IF(OR(C236="",H236=""),"",C236-H236)</f>
        <v/>
      </c>
      <c r="J236" s="8" t="str">
        <f aca="false">IF(C236="","",IF(H236="","WAITING",IF(ABS(C236-H236)&lt;0.005,"MATCHED","CHECK")))</f>
        <v/>
      </c>
      <c r="K236" s="27" t="str">
        <f aca="false">IF(OR(A236="",E236="",F236=""),"",SUMIFS('Sales Log'!$L$5:$L$1004,'Sales Log'!$B$5:$B$1004,A236,'Sales Log'!$A$5:$A$1004,"&gt;="&amp;E236,'Sales Log'!$A$5:$A$1004,"&lt;="&amp;F236,'Sales Log'!$R$5:$R$1004,IF(O236="EXAMPLE","EXAMPLE","&lt;&gt;EXAMPLE")))</f>
        <v/>
      </c>
      <c r="L236" s="16"/>
      <c r="M236" s="16"/>
      <c r="N236" s="16"/>
      <c r="O236" s="16"/>
    </row>
    <row r="237" customFormat="false" ht="15" hidden="false" customHeight="false" outlineLevel="0" collapsed="false">
      <c r="A237" s="16"/>
      <c r="B237" s="25"/>
      <c r="C237" s="26"/>
      <c r="D237" s="16"/>
      <c r="E237" s="25"/>
      <c r="F237" s="25"/>
      <c r="G237" s="25"/>
      <c r="H237" s="26"/>
      <c r="I237" s="27" t="str">
        <f aca="false">IF(OR(C237="",H237=""),"",C237-H237)</f>
        <v/>
      </c>
      <c r="J237" s="8" t="str">
        <f aca="false">IF(C237="","",IF(H237="","WAITING",IF(ABS(C237-H237)&lt;0.005,"MATCHED","CHECK")))</f>
        <v/>
      </c>
      <c r="K237" s="27" t="str">
        <f aca="false">IF(OR(A237="",E237="",F237=""),"",SUMIFS('Sales Log'!$L$5:$L$1004,'Sales Log'!$B$5:$B$1004,A237,'Sales Log'!$A$5:$A$1004,"&gt;="&amp;E237,'Sales Log'!$A$5:$A$1004,"&lt;="&amp;F237,'Sales Log'!$R$5:$R$1004,IF(O237="EXAMPLE","EXAMPLE","&lt;&gt;EXAMPLE")))</f>
        <v/>
      </c>
      <c r="L237" s="16"/>
      <c r="M237" s="16"/>
      <c r="N237" s="16"/>
      <c r="O237" s="16"/>
    </row>
    <row r="238" customFormat="false" ht="15" hidden="false" customHeight="false" outlineLevel="0" collapsed="false">
      <c r="A238" s="16"/>
      <c r="B238" s="25"/>
      <c r="C238" s="26"/>
      <c r="D238" s="16"/>
      <c r="E238" s="25"/>
      <c r="F238" s="25"/>
      <c r="G238" s="25"/>
      <c r="H238" s="26"/>
      <c r="I238" s="27" t="str">
        <f aca="false">IF(OR(C238="",H238=""),"",C238-H238)</f>
        <v/>
      </c>
      <c r="J238" s="8" t="str">
        <f aca="false">IF(C238="","",IF(H238="","WAITING",IF(ABS(C238-H238)&lt;0.005,"MATCHED","CHECK")))</f>
        <v/>
      </c>
      <c r="K238" s="27" t="str">
        <f aca="false">IF(OR(A238="",E238="",F238=""),"",SUMIFS('Sales Log'!$L$5:$L$1004,'Sales Log'!$B$5:$B$1004,A238,'Sales Log'!$A$5:$A$1004,"&gt;="&amp;E238,'Sales Log'!$A$5:$A$1004,"&lt;="&amp;F238,'Sales Log'!$R$5:$R$1004,IF(O238="EXAMPLE","EXAMPLE","&lt;&gt;EXAMPLE")))</f>
        <v/>
      </c>
      <c r="L238" s="16"/>
      <c r="M238" s="16"/>
      <c r="N238" s="16"/>
      <c r="O238" s="16"/>
    </row>
    <row r="239" customFormat="false" ht="15" hidden="false" customHeight="false" outlineLevel="0" collapsed="false">
      <c r="A239" s="16"/>
      <c r="B239" s="25"/>
      <c r="C239" s="26"/>
      <c r="D239" s="16"/>
      <c r="E239" s="25"/>
      <c r="F239" s="25"/>
      <c r="G239" s="25"/>
      <c r="H239" s="26"/>
      <c r="I239" s="27" t="str">
        <f aca="false">IF(OR(C239="",H239=""),"",C239-H239)</f>
        <v/>
      </c>
      <c r="J239" s="8" t="str">
        <f aca="false">IF(C239="","",IF(H239="","WAITING",IF(ABS(C239-H239)&lt;0.005,"MATCHED","CHECK")))</f>
        <v/>
      </c>
      <c r="K239" s="27" t="str">
        <f aca="false">IF(OR(A239="",E239="",F239=""),"",SUMIFS('Sales Log'!$L$5:$L$1004,'Sales Log'!$B$5:$B$1004,A239,'Sales Log'!$A$5:$A$1004,"&gt;="&amp;E239,'Sales Log'!$A$5:$A$1004,"&lt;="&amp;F239,'Sales Log'!$R$5:$R$1004,IF(O239="EXAMPLE","EXAMPLE","&lt;&gt;EXAMPLE")))</f>
        <v/>
      </c>
      <c r="L239" s="16"/>
      <c r="M239" s="16"/>
      <c r="N239" s="16"/>
      <c r="O239" s="16"/>
    </row>
    <row r="240" customFormat="false" ht="15" hidden="false" customHeight="false" outlineLevel="0" collapsed="false">
      <c r="A240" s="16"/>
      <c r="B240" s="25"/>
      <c r="C240" s="26"/>
      <c r="D240" s="16"/>
      <c r="E240" s="25"/>
      <c r="F240" s="25"/>
      <c r="G240" s="25"/>
      <c r="H240" s="26"/>
      <c r="I240" s="27" t="str">
        <f aca="false">IF(OR(C240="",H240=""),"",C240-H240)</f>
        <v/>
      </c>
      <c r="J240" s="8" t="str">
        <f aca="false">IF(C240="","",IF(H240="","WAITING",IF(ABS(C240-H240)&lt;0.005,"MATCHED","CHECK")))</f>
        <v/>
      </c>
      <c r="K240" s="27" t="str">
        <f aca="false">IF(OR(A240="",E240="",F240=""),"",SUMIFS('Sales Log'!$L$5:$L$1004,'Sales Log'!$B$5:$B$1004,A240,'Sales Log'!$A$5:$A$1004,"&gt;="&amp;E240,'Sales Log'!$A$5:$A$1004,"&lt;="&amp;F240,'Sales Log'!$R$5:$R$1004,IF(O240="EXAMPLE","EXAMPLE","&lt;&gt;EXAMPLE")))</f>
        <v/>
      </c>
      <c r="L240" s="16"/>
      <c r="M240" s="16"/>
      <c r="N240" s="16"/>
      <c r="O240" s="16"/>
    </row>
    <row r="241" customFormat="false" ht="15" hidden="false" customHeight="false" outlineLevel="0" collapsed="false">
      <c r="A241" s="16"/>
      <c r="B241" s="25"/>
      <c r="C241" s="26"/>
      <c r="D241" s="16"/>
      <c r="E241" s="25"/>
      <c r="F241" s="25"/>
      <c r="G241" s="25"/>
      <c r="H241" s="26"/>
      <c r="I241" s="27" t="str">
        <f aca="false">IF(OR(C241="",H241=""),"",C241-H241)</f>
        <v/>
      </c>
      <c r="J241" s="8" t="str">
        <f aca="false">IF(C241="","",IF(H241="","WAITING",IF(ABS(C241-H241)&lt;0.005,"MATCHED","CHECK")))</f>
        <v/>
      </c>
      <c r="K241" s="27" t="str">
        <f aca="false">IF(OR(A241="",E241="",F241=""),"",SUMIFS('Sales Log'!$L$5:$L$1004,'Sales Log'!$B$5:$B$1004,A241,'Sales Log'!$A$5:$A$1004,"&gt;="&amp;E241,'Sales Log'!$A$5:$A$1004,"&lt;="&amp;F241,'Sales Log'!$R$5:$R$1004,IF(O241="EXAMPLE","EXAMPLE","&lt;&gt;EXAMPLE")))</f>
        <v/>
      </c>
      <c r="L241" s="16"/>
      <c r="M241" s="16"/>
      <c r="N241" s="16"/>
      <c r="O241" s="16"/>
    </row>
    <row r="242" customFormat="false" ht="15" hidden="false" customHeight="false" outlineLevel="0" collapsed="false">
      <c r="A242" s="16"/>
      <c r="B242" s="25"/>
      <c r="C242" s="26"/>
      <c r="D242" s="16"/>
      <c r="E242" s="25"/>
      <c r="F242" s="25"/>
      <c r="G242" s="25"/>
      <c r="H242" s="26"/>
      <c r="I242" s="27" t="str">
        <f aca="false">IF(OR(C242="",H242=""),"",C242-H242)</f>
        <v/>
      </c>
      <c r="J242" s="8" t="str">
        <f aca="false">IF(C242="","",IF(H242="","WAITING",IF(ABS(C242-H242)&lt;0.005,"MATCHED","CHECK")))</f>
        <v/>
      </c>
      <c r="K242" s="27" t="str">
        <f aca="false">IF(OR(A242="",E242="",F242=""),"",SUMIFS('Sales Log'!$L$5:$L$1004,'Sales Log'!$B$5:$B$1004,A242,'Sales Log'!$A$5:$A$1004,"&gt;="&amp;E242,'Sales Log'!$A$5:$A$1004,"&lt;="&amp;F242,'Sales Log'!$R$5:$R$1004,IF(O242="EXAMPLE","EXAMPLE","&lt;&gt;EXAMPLE")))</f>
        <v/>
      </c>
      <c r="L242" s="16"/>
      <c r="M242" s="16"/>
      <c r="N242" s="16"/>
      <c r="O242" s="16"/>
    </row>
    <row r="243" customFormat="false" ht="15" hidden="false" customHeight="false" outlineLevel="0" collapsed="false">
      <c r="A243" s="16"/>
      <c r="B243" s="25"/>
      <c r="C243" s="26"/>
      <c r="D243" s="16"/>
      <c r="E243" s="25"/>
      <c r="F243" s="25"/>
      <c r="G243" s="25"/>
      <c r="H243" s="26"/>
      <c r="I243" s="27" t="str">
        <f aca="false">IF(OR(C243="",H243=""),"",C243-H243)</f>
        <v/>
      </c>
      <c r="J243" s="8" t="str">
        <f aca="false">IF(C243="","",IF(H243="","WAITING",IF(ABS(C243-H243)&lt;0.005,"MATCHED","CHECK")))</f>
        <v/>
      </c>
      <c r="K243" s="27" t="str">
        <f aca="false">IF(OR(A243="",E243="",F243=""),"",SUMIFS('Sales Log'!$L$5:$L$1004,'Sales Log'!$B$5:$B$1004,A243,'Sales Log'!$A$5:$A$1004,"&gt;="&amp;E243,'Sales Log'!$A$5:$A$1004,"&lt;="&amp;F243,'Sales Log'!$R$5:$R$1004,IF(O243="EXAMPLE","EXAMPLE","&lt;&gt;EXAMPLE")))</f>
        <v/>
      </c>
      <c r="L243" s="16"/>
      <c r="M243" s="16"/>
      <c r="N243" s="16"/>
      <c r="O243" s="16"/>
    </row>
    <row r="244" customFormat="false" ht="15" hidden="false" customHeight="false" outlineLevel="0" collapsed="false">
      <c r="A244" s="16"/>
      <c r="B244" s="25"/>
      <c r="C244" s="26"/>
      <c r="D244" s="16"/>
      <c r="E244" s="25"/>
      <c r="F244" s="25"/>
      <c r="G244" s="25"/>
      <c r="H244" s="26"/>
      <c r="I244" s="27" t="str">
        <f aca="false">IF(OR(C244="",H244=""),"",C244-H244)</f>
        <v/>
      </c>
      <c r="J244" s="8" t="str">
        <f aca="false">IF(C244="","",IF(H244="","WAITING",IF(ABS(C244-H244)&lt;0.005,"MATCHED","CHECK")))</f>
        <v/>
      </c>
      <c r="K244" s="27" t="str">
        <f aca="false">IF(OR(A244="",E244="",F244=""),"",SUMIFS('Sales Log'!$L$5:$L$1004,'Sales Log'!$B$5:$B$1004,A244,'Sales Log'!$A$5:$A$1004,"&gt;="&amp;E244,'Sales Log'!$A$5:$A$1004,"&lt;="&amp;F244,'Sales Log'!$R$5:$R$1004,IF(O244="EXAMPLE","EXAMPLE","&lt;&gt;EXAMPLE")))</f>
        <v/>
      </c>
      <c r="L244" s="16"/>
      <c r="M244" s="16"/>
      <c r="N244" s="16"/>
      <c r="O244" s="16"/>
    </row>
    <row r="245" customFormat="false" ht="15" hidden="false" customHeight="false" outlineLevel="0" collapsed="false">
      <c r="A245" s="16"/>
      <c r="B245" s="25"/>
      <c r="C245" s="26"/>
      <c r="D245" s="16"/>
      <c r="E245" s="25"/>
      <c r="F245" s="25"/>
      <c r="G245" s="25"/>
      <c r="H245" s="26"/>
      <c r="I245" s="27" t="str">
        <f aca="false">IF(OR(C245="",H245=""),"",C245-H245)</f>
        <v/>
      </c>
      <c r="J245" s="8" t="str">
        <f aca="false">IF(C245="","",IF(H245="","WAITING",IF(ABS(C245-H245)&lt;0.005,"MATCHED","CHECK")))</f>
        <v/>
      </c>
      <c r="K245" s="27" t="str">
        <f aca="false">IF(OR(A245="",E245="",F245=""),"",SUMIFS('Sales Log'!$L$5:$L$1004,'Sales Log'!$B$5:$B$1004,A245,'Sales Log'!$A$5:$A$1004,"&gt;="&amp;E245,'Sales Log'!$A$5:$A$1004,"&lt;="&amp;F245,'Sales Log'!$R$5:$R$1004,IF(O245="EXAMPLE","EXAMPLE","&lt;&gt;EXAMPLE")))</f>
        <v/>
      </c>
      <c r="L245" s="16"/>
      <c r="M245" s="16"/>
      <c r="N245" s="16"/>
      <c r="O245" s="16"/>
    </row>
    <row r="246" customFormat="false" ht="15" hidden="false" customHeight="false" outlineLevel="0" collapsed="false">
      <c r="A246" s="16"/>
      <c r="B246" s="25"/>
      <c r="C246" s="26"/>
      <c r="D246" s="16"/>
      <c r="E246" s="25"/>
      <c r="F246" s="25"/>
      <c r="G246" s="25"/>
      <c r="H246" s="26"/>
      <c r="I246" s="27" t="str">
        <f aca="false">IF(OR(C246="",H246=""),"",C246-H246)</f>
        <v/>
      </c>
      <c r="J246" s="8" t="str">
        <f aca="false">IF(C246="","",IF(H246="","WAITING",IF(ABS(C246-H246)&lt;0.005,"MATCHED","CHECK")))</f>
        <v/>
      </c>
      <c r="K246" s="27" t="str">
        <f aca="false">IF(OR(A246="",E246="",F246=""),"",SUMIFS('Sales Log'!$L$5:$L$1004,'Sales Log'!$B$5:$B$1004,A246,'Sales Log'!$A$5:$A$1004,"&gt;="&amp;E246,'Sales Log'!$A$5:$A$1004,"&lt;="&amp;F246,'Sales Log'!$R$5:$R$1004,IF(O246="EXAMPLE","EXAMPLE","&lt;&gt;EXAMPLE")))</f>
        <v/>
      </c>
      <c r="L246" s="16"/>
      <c r="M246" s="16"/>
      <c r="N246" s="16"/>
      <c r="O246" s="16"/>
    </row>
    <row r="247" customFormat="false" ht="15" hidden="false" customHeight="false" outlineLevel="0" collapsed="false">
      <c r="A247" s="16"/>
      <c r="B247" s="25"/>
      <c r="C247" s="26"/>
      <c r="D247" s="16"/>
      <c r="E247" s="25"/>
      <c r="F247" s="25"/>
      <c r="G247" s="25"/>
      <c r="H247" s="26"/>
      <c r="I247" s="27" t="str">
        <f aca="false">IF(OR(C247="",H247=""),"",C247-H247)</f>
        <v/>
      </c>
      <c r="J247" s="8" t="str">
        <f aca="false">IF(C247="","",IF(H247="","WAITING",IF(ABS(C247-H247)&lt;0.005,"MATCHED","CHECK")))</f>
        <v/>
      </c>
      <c r="K247" s="27" t="str">
        <f aca="false">IF(OR(A247="",E247="",F247=""),"",SUMIFS('Sales Log'!$L$5:$L$1004,'Sales Log'!$B$5:$B$1004,A247,'Sales Log'!$A$5:$A$1004,"&gt;="&amp;E247,'Sales Log'!$A$5:$A$1004,"&lt;="&amp;F247,'Sales Log'!$R$5:$R$1004,IF(O247="EXAMPLE","EXAMPLE","&lt;&gt;EXAMPLE")))</f>
        <v/>
      </c>
      <c r="L247" s="16"/>
      <c r="M247" s="16"/>
      <c r="N247" s="16"/>
      <c r="O247" s="16"/>
    </row>
    <row r="248" customFormat="false" ht="15" hidden="false" customHeight="false" outlineLevel="0" collapsed="false">
      <c r="A248" s="16"/>
      <c r="B248" s="25"/>
      <c r="C248" s="26"/>
      <c r="D248" s="16"/>
      <c r="E248" s="25"/>
      <c r="F248" s="25"/>
      <c r="G248" s="25"/>
      <c r="H248" s="26"/>
      <c r="I248" s="27" t="str">
        <f aca="false">IF(OR(C248="",H248=""),"",C248-H248)</f>
        <v/>
      </c>
      <c r="J248" s="8" t="str">
        <f aca="false">IF(C248="","",IF(H248="","WAITING",IF(ABS(C248-H248)&lt;0.005,"MATCHED","CHECK")))</f>
        <v/>
      </c>
      <c r="K248" s="27" t="str">
        <f aca="false">IF(OR(A248="",E248="",F248=""),"",SUMIFS('Sales Log'!$L$5:$L$1004,'Sales Log'!$B$5:$B$1004,A248,'Sales Log'!$A$5:$A$1004,"&gt;="&amp;E248,'Sales Log'!$A$5:$A$1004,"&lt;="&amp;F248,'Sales Log'!$R$5:$R$1004,IF(O248="EXAMPLE","EXAMPLE","&lt;&gt;EXAMPLE")))</f>
        <v/>
      </c>
      <c r="L248" s="16"/>
      <c r="M248" s="16"/>
      <c r="N248" s="16"/>
      <c r="O248" s="16"/>
    </row>
    <row r="249" customFormat="false" ht="15" hidden="false" customHeight="false" outlineLevel="0" collapsed="false">
      <c r="A249" s="16"/>
      <c r="B249" s="25"/>
      <c r="C249" s="26"/>
      <c r="D249" s="16"/>
      <c r="E249" s="25"/>
      <c r="F249" s="25"/>
      <c r="G249" s="25"/>
      <c r="H249" s="26"/>
      <c r="I249" s="27" t="str">
        <f aca="false">IF(OR(C249="",H249=""),"",C249-H249)</f>
        <v/>
      </c>
      <c r="J249" s="8" t="str">
        <f aca="false">IF(C249="","",IF(H249="","WAITING",IF(ABS(C249-H249)&lt;0.005,"MATCHED","CHECK")))</f>
        <v/>
      </c>
      <c r="K249" s="27" t="str">
        <f aca="false">IF(OR(A249="",E249="",F249=""),"",SUMIFS('Sales Log'!$L$5:$L$1004,'Sales Log'!$B$5:$B$1004,A249,'Sales Log'!$A$5:$A$1004,"&gt;="&amp;E249,'Sales Log'!$A$5:$A$1004,"&lt;="&amp;F249,'Sales Log'!$R$5:$R$1004,IF(O249="EXAMPLE","EXAMPLE","&lt;&gt;EXAMPLE")))</f>
        <v/>
      </c>
      <c r="L249" s="16"/>
      <c r="M249" s="16"/>
      <c r="N249" s="16"/>
      <c r="O249" s="16"/>
    </row>
    <row r="250" customFormat="false" ht="15" hidden="false" customHeight="false" outlineLevel="0" collapsed="false">
      <c r="A250" s="16"/>
      <c r="B250" s="25"/>
      <c r="C250" s="26"/>
      <c r="D250" s="16"/>
      <c r="E250" s="25"/>
      <c r="F250" s="25"/>
      <c r="G250" s="25"/>
      <c r="H250" s="26"/>
      <c r="I250" s="27" t="str">
        <f aca="false">IF(OR(C250="",H250=""),"",C250-H250)</f>
        <v/>
      </c>
      <c r="J250" s="8" t="str">
        <f aca="false">IF(C250="","",IF(H250="","WAITING",IF(ABS(C250-H250)&lt;0.005,"MATCHED","CHECK")))</f>
        <v/>
      </c>
      <c r="K250" s="27" t="str">
        <f aca="false">IF(OR(A250="",E250="",F250=""),"",SUMIFS('Sales Log'!$L$5:$L$1004,'Sales Log'!$B$5:$B$1004,A250,'Sales Log'!$A$5:$A$1004,"&gt;="&amp;E250,'Sales Log'!$A$5:$A$1004,"&lt;="&amp;F250,'Sales Log'!$R$5:$R$1004,IF(O250="EXAMPLE","EXAMPLE","&lt;&gt;EXAMPLE")))</f>
        <v/>
      </c>
      <c r="L250" s="16"/>
      <c r="M250" s="16"/>
      <c r="N250" s="16"/>
      <c r="O250" s="16"/>
    </row>
    <row r="251" customFormat="false" ht="15" hidden="false" customHeight="false" outlineLevel="0" collapsed="false">
      <c r="A251" s="16"/>
      <c r="B251" s="25"/>
      <c r="C251" s="26"/>
      <c r="D251" s="16"/>
      <c r="E251" s="25"/>
      <c r="F251" s="25"/>
      <c r="G251" s="25"/>
      <c r="H251" s="26"/>
      <c r="I251" s="27" t="str">
        <f aca="false">IF(OR(C251="",H251=""),"",C251-H251)</f>
        <v/>
      </c>
      <c r="J251" s="8" t="str">
        <f aca="false">IF(C251="","",IF(H251="","WAITING",IF(ABS(C251-H251)&lt;0.005,"MATCHED","CHECK")))</f>
        <v/>
      </c>
      <c r="K251" s="27" t="str">
        <f aca="false">IF(OR(A251="",E251="",F251=""),"",SUMIFS('Sales Log'!$L$5:$L$1004,'Sales Log'!$B$5:$B$1004,A251,'Sales Log'!$A$5:$A$1004,"&gt;="&amp;E251,'Sales Log'!$A$5:$A$1004,"&lt;="&amp;F251,'Sales Log'!$R$5:$R$1004,IF(O251="EXAMPLE","EXAMPLE","&lt;&gt;EXAMPLE")))</f>
        <v/>
      </c>
      <c r="L251" s="16"/>
      <c r="M251" s="16"/>
      <c r="N251" s="16"/>
      <c r="O251" s="16"/>
    </row>
    <row r="252" customFormat="false" ht="15" hidden="false" customHeight="false" outlineLevel="0" collapsed="false">
      <c r="A252" s="16"/>
      <c r="B252" s="25"/>
      <c r="C252" s="26"/>
      <c r="D252" s="16"/>
      <c r="E252" s="25"/>
      <c r="F252" s="25"/>
      <c r="G252" s="25"/>
      <c r="H252" s="26"/>
      <c r="I252" s="27" t="str">
        <f aca="false">IF(OR(C252="",H252=""),"",C252-H252)</f>
        <v/>
      </c>
      <c r="J252" s="8" t="str">
        <f aca="false">IF(C252="","",IF(H252="","WAITING",IF(ABS(C252-H252)&lt;0.005,"MATCHED","CHECK")))</f>
        <v/>
      </c>
      <c r="K252" s="27" t="str">
        <f aca="false">IF(OR(A252="",E252="",F252=""),"",SUMIFS('Sales Log'!$L$5:$L$1004,'Sales Log'!$B$5:$B$1004,A252,'Sales Log'!$A$5:$A$1004,"&gt;="&amp;E252,'Sales Log'!$A$5:$A$1004,"&lt;="&amp;F252,'Sales Log'!$R$5:$R$1004,IF(O252="EXAMPLE","EXAMPLE","&lt;&gt;EXAMPLE")))</f>
        <v/>
      </c>
      <c r="L252" s="16"/>
      <c r="M252" s="16"/>
      <c r="N252" s="16"/>
      <c r="O252" s="16"/>
    </row>
    <row r="253" customFormat="false" ht="15" hidden="false" customHeight="false" outlineLevel="0" collapsed="false">
      <c r="A253" s="16"/>
      <c r="B253" s="25"/>
      <c r="C253" s="26"/>
      <c r="D253" s="16"/>
      <c r="E253" s="25"/>
      <c r="F253" s="25"/>
      <c r="G253" s="25"/>
      <c r="H253" s="26"/>
      <c r="I253" s="27" t="str">
        <f aca="false">IF(OR(C253="",H253=""),"",C253-H253)</f>
        <v/>
      </c>
      <c r="J253" s="8" t="str">
        <f aca="false">IF(C253="","",IF(H253="","WAITING",IF(ABS(C253-H253)&lt;0.005,"MATCHED","CHECK")))</f>
        <v/>
      </c>
      <c r="K253" s="27" t="str">
        <f aca="false">IF(OR(A253="",E253="",F253=""),"",SUMIFS('Sales Log'!$L$5:$L$1004,'Sales Log'!$B$5:$B$1004,A253,'Sales Log'!$A$5:$A$1004,"&gt;="&amp;E253,'Sales Log'!$A$5:$A$1004,"&lt;="&amp;F253,'Sales Log'!$R$5:$R$1004,IF(O253="EXAMPLE","EXAMPLE","&lt;&gt;EXAMPLE")))</f>
        <v/>
      </c>
      <c r="L253" s="16"/>
      <c r="M253" s="16"/>
      <c r="N253" s="16"/>
      <c r="O253" s="16"/>
    </row>
    <row r="254" customFormat="false" ht="15" hidden="false" customHeight="false" outlineLevel="0" collapsed="false">
      <c r="A254" s="16"/>
      <c r="B254" s="25"/>
      <c r="C254" s="26"/>
      <c r="D254" s="16"/>
      <c r="E254" s="25"/>
      <c r="F254" s="25"/>
      <c r="G254" s="25"/>
      <c r="H254" s="26"/>
      <c r="I254" s="27" t="str">
        <f aca="false">IF(OR(C254="",H254=""),"",C254-H254)</f>
        <v/>
      </c>
      <c r="J254" s="8" t="str">
        <f aca="false">IF(C254="","",IF(H254="","WAITING",IF(ABS(C254-H254)&lt;0.005,"MATCHED","CHECK")))</f>
        <v/>
      </c>
      <c r="K254" s="27" t="str">
        <f aca="false">IF(OR(A254="",E254="",F254=""),"",SUMIFS('Sales Log'!$L$5:$L$1004,'Sales Log'!$B$5:$B$1004,A254,'Sales Log'!$A$5:$A$1004,"&gt;="&amp;E254,'Sales Log'!$A$5:$A$1004,"&lt;="&amp;F254,'Sales Log'!$R$5:$R$1004,IF(O254="EXAMPLE","EXAMPLE","&lt;&gt;EXAMPLE")))</f>
        <v/>
      </c>
      <c r="L254" s="16"/>
      <c r="M254" s="16"/>
      <c r="N254" s="16"/>
      <c r="O254" s="16"/>
    </row>
    <row r="255" customFormat="false" ht="15" hidden="false" customHeight="false" outlineLevel="0" collapsed="false">
      <c r="A255" s="16"/>
      <c r="B255" s="25"/>
      <c r="C255" s="26"/>
      <c r="D255" s="16"/>
      <c r="E255" s="25"/>
      <c r="F255" s="25"/>
      <c r="G255" s="25"/>
      <c r="H255" s="26"/>
      <c r="I255" s="27" t="str">
        <f aca="false">IF(OR(C255="",H255=""),"",C255-H255)</f>
        <v/>
      </c>
      <c r="J255" s="8" t="str">
        <f aca="false">IF(C255="","",IF(H255="","WAITING",IF(ABS(C255-H255)&lt;0.005,"MATCHED","CHECK")))</f>
        <v/>
      </c>
      <c r="K255" s="27" t="str">
        <f aca="false">IF(OR(A255="",E255="",F255=""),"",SUMIFS('Sales Log'!$L$5:$L$1004,'Sales Log'!$B$5:$B$1004,A255,'Sales Log'!$A$5:$A$1004,"&gt;="&amp;E255,'Sales Log'!$A$5:$A$1004,"&lt;="&amp;F255,'Sales Log'!$R$5:$R$1004,IF(O255="EXAMPLE","EXAMPLE","&lt;&gt;EXAMPLE")))</f>
        <v/>
      </c>
      <c r="L255" s="16"/>
      <c r="M255" s="16"/>
      <c r="N255" s="16"/>
      <c r="O255" s="16"/>
    </row>
    <row r="256" customFormat="false" ht="15" hidden="false" customHeight="false" outlineLevel="0" collapsed="false">
      <c r="A256" s="16"/>
      <c r="B256" s="25"/>
      <c r="C256" s="26"/>
      <c r="D256" s="16"/>
      <c r="E256" s="25"/>
      <c r="F256" s="25"/>
      <c r="G256" s="25"/>
      <c r="H256" s="26"/>
      <c r="I256" s="27" t="str">
        <f aca="false">IF(OR(C256="",H256=""),"",C256-H256)</f>
        <v/>
      </c>
      <c r="J256" s="8" t="str">
        <f aca="false">IF(C256="","",IF(H256="","WAITING",IF(ABS(C256-H256)&lt;0.005,"MATCHED","CHECK")))</f>
        <v/>
      </c>
      <c r="K256" s="27" t="str">
        <f aca="false">IF(OR(A256="",E256="",F256=""),"",SUMIFS('Sales Log'!$L$5:$L$1004,'Sales Log'!$B$5:$B$1004,A256,'Sales Log'!$A$5:$A$1004,"&gt;="&amp;E256,'Sales Log'!$A$5:$A$1004,"&lt;="&amp;F256,'Sales Log'!$R$5:$R$1004,IF(O256="EXAMPLE","EXAMPLE","&lt;&gt;EXAMPLE")))</f>
        <v/>
      </c>
      <c r="L256" s="16"/>
      <c r="M256" s="16"/>
      <c r="N256" s="16"/>
      <c r="O256" s="16"/>
    </row>
    <row r="257" customFormat="false" ht="15" hidden="false" customHeight="false" outlineLevel="0" collapsed="false">
      <c r="A257" s="16"/>
      <c r="B257" s="25"/>
      <c r="C257" s="26"/>
      <c r="D257" s="16"/>
      <c r="E257" s="25"/>
      <c r="F257" s="25"/>
      <c r="G257" s="25"/>
      <c r="H257" s="26"/>
      <c r="I257" s="27" t="str">
        <f aca="false">IF(OR(C257="",H257=""),"",C257-H257)</f>
        <v/>
      </c>
      <c r="J257" s="8" t="str">
        <f aca="false">IF(C257="","",IF(H257="","WAITING",IF(ABS(C257-H257)&lt;0.005,"MATCHED","CHECK")))</f>
        <v/>
      </c>
      <c r="K257" s="27" t="str">
        <f aca="false">IF(OR(A257="",E257="",F257=""),"",SUMIFS('Sales Log'!$L$5:$L$1004,'Sales Log'!$B$5:$B$1004,A257,'Sales Log'!$A$5:$A$1004,"&gt;="&amp;E257,'Sales Log'!$A$5:$A$1004,"&lt;="&amp;F257,'Sales Log'!$R$5:$R$1004,IF(O257="EXAMPLE","EXAMPLE","&lt;&gt;EXAMPLE")))</f>
        <v/>
      </c>
      <c r="L257" s="16"/>
      <c r="M257" s="16"/>
      <c r="N257" s="16"/>
      <c r="O257" s="16"/>
    </row>
    <row r="258" customFormat="false" ht="15" hidden="false" customHeight="false" outlineLevel="0" collapsed="false">
      <c r="A258" s="16"/>
      <c r="B258" s="25"/>
      <c r="C258" s="26"/>
      <c r="D258" s="16"/>
      <c r="E258" s="25"/>
      <c r="F258" s="25"/>
      <c r="G258" s="25"/>
      <c r="H258" s="26"/>
      <c r="I258" s="27" t="str">
        <f aca="false">IF(OR(C258="",H258=""),"",C258-H258)</f>
        <v/>
      </c>
      <c r="J258" s="8" t="str">
        <f aca="false">IF(C258="","",IF(H258="","WAITING",IF(ABS(C258-H258)&lt;0.005,"MATCHED","CHECK")))</f>
        <v/>
      </c>
      <c r="K258" s="27" t="str">
        <f aca="false">IF(OR(A258="",E258="",F258=""),"",SUMIFS('Sales Log'!$L$5:$L$1004,'Sales Log'!$B$5:$B$1004,A258,'Sales Log'!$A$5:$A$1004,"&gt;="&amp;E258,'Sales Log'!$A$5:$A$1004,"&lt;="&amp;F258,'Sales Log'!$R$5:$R$1004,IF(O258="EXAMPLE","EXAMPLE","&lt;&gt;EXAMPLE")))</f>
        <v/>
      </c>
      <c r="L258" s="16"/>
      <c r="M258" s="16"/>
      <c r="N258" s="16"/>
      <c r="O258" s="16"/>
    </row>
    <row r="259" customFormat="false" ht="15" hidden="false" customHeight="false" outlineLevel="0" collapsed="false">
      <c r="A259" s="16"/>
      <c r="B259" s="25"/>
      <c r="C259" s="26"/>
      <c r="D259" s="16"/>
      <c r="E259" s="25"/>
      <c r="F259" s="25"/>
      <c r="G259" s="25"/>
      <c r="H259" s="26"/>
      <c r="I259" s="27" t="str">
        <f aca="false">IF(OR(C259="",H259=""),"",C259-H259)</f>
        <v/>
      </c>
      <c r="J259" s="8" t="str">
        <f aca="false">IF(C259="","",IF(H259="","WAITING",IF(ABS(C259-H259)&lt;0.005,"MATCHED","CHECK")))</f>
        <v/>
      </c>
      <c r="K259" s="27" t="str">
        <f aca="false">IF(OR(A259="",E259="",F259=""),"",SUMIFS('Sales Log'!$L$5:$L$1004,'Sales Log'!$B$5:$B$1004,A259,'Sales Log'!$A$5:$A$1004,"&gt;="&amp;E259,'Sales Log'!$A$5:$A$1004,"&lt;="&amp;F259,'Sales Log'!$R$5:$R$1004,IF(O259="EXAMPLE","EXAMPLE","&lt;&gt;EXAMPLE")))</f>
        <v/>
      </c>
      <c r="L259" s="16"/>
      <c r="M259" s="16"/>
      <c r="N259" s="16"/>
      <c r="O259" s="16"/>
    </row>
    <row r="260" customFormat="false" ht="15" hidden="false" customHeight="false" outlineLevel="0" collapsed="false">
      <c r="A260" s="16"/>
      <c r="B260" s="25"/>
      <c r="C260" s="26"/>
      <c r="D260" s="16"/>
      <c r="E260" s="25"/>
      <c r="F260" s="25"/>
      <c r="G260" s="25"/>
      <c r="H260" s="26"/>
      <c r="I260" s="27" t="str">
        <f aca="false">IF(OR(C260="",H260=""),"",C260-H260)</f>
        <v/>
      </c>
      <c r="J260" s="8" t="str">
        <f aca="false">IF(C260="","",IF(H260="","WAITING",IF(ABS(C260-H260)&lt;0.005,"MATCHED","CHECK")))</f>
        <v/>
      </c>
      <c r="K260" s="27" t="str">
        <f aca="false">IF(OR(A260="",E260="",F260=""),"",SUMIFS('Sales Log'!$L$5:$L$1004,'Sales Log'!$B$5:$B$1004,A260,'Sales Log'!$A$5:$A$1004,"&gt;="&amp;E260,'Sales Log'!$A$5:$A$1004,"&lt;="&amp;F260,'Sales Log'!$R$5:$R$1004,IF(O260="EXAMPLE","EXAMPLE","&lt;&gt;EXAMPLE")))</f>
        <v/>
      </c>
      <c r="L260" s="16"/>
      <c r="M260" s="16"/>
      <c r="N260" s="16"/>
      <c r="O260" s="16"/>
    </row>
    <row r="261" customFormat="false" ht="15" hidden="false" customHeight="false" outlineLevel="0" collapsed="false">
      <c r="A261" s="16"/>
      <c r="B261" s="25"/>
      <c r="C261" s="26"/>
      <c r="D261" s="16"/>
      <c r="E261" s="25"/>
      <c r="F261" s="25"/>
      <c r="G261" s="25"/>
      <c r="H261" s="26"/>
      <c r="I261" s="27" t="str">
        <f aca="false">IF(OR(C261="",H261=""),"",C261-H261)</f>
        <v/>
      </c>
      <c r="J261" s="8" t="str">
        <f aca="false">IF(C261="","",IF(H261="","WAITING",IF(ABS(C261-H261)&lt;0.005,"MATCHED","CHECK")))</f>
        <v/>
      </c>
      <c r="K261" s="27" t="str">
        <f aca="false">IF(OR(A261="",E261="",F261=""),"",SUMIFS('Sales Log'!$L$5:$L$1004,'Sales Log'!$B$5:$B$1004,A261,'Sales Log'!$A$5:$A$1004,"&gt;="&amp;E261,'Sales Log'!$A$5:$A$1004,"&lt;="&amp;F261,'Sales Log'!$R$5:$R$1004,IF(O261="EXAMPLE","EXAMPLE","&lt;&gt;EXAMPLE")))</f>
        <v/>
      </c>
      <c r="L261" s="16"/>
      <c r="M261" s="16"/>
      <c r="N261" s="16"/>
      <c r="O261" s="16"/>
    </row>
    <row r="262" customFormat="false" ht="15" hidden="false" customHeight="false" outlineLevel="0" collapsed="false">
      <c r="A262" s="16"/>
      <c r="B262" s="25"/>
      <c r="C262" s="26"/>
      <c r="D262" s="16"/>
      <c r="E262" s="25"/>
      <c r="F262" s="25"/>
      <c r="G262" s="25"/>
      <c r="H262" s="26"/>
      <c r="I262" s="27" t="str">
        <f aca="false">IF(OR(C262="",H262=""),"",C262-H262)</f>
        <v/>
      </c>
      <c r="J262" s="8" t="str">
        <f aca="false">IF(C262="","",IF(H262="","WAITING",IF(ABS(C262-H262)&lt;0.005,"MATCHED","CHECK")))</f>
        <v/>
      </c>
      <c r="K262" s="27" t="str">
        <f aca="false">IF(OR(A262="",E262="",F262=""),"",SUMIFS('Sales Log'!$L$5:$L$1004,'Sales Log'!$B$5:$B$1004,A262,'Sales Log'!$A$5:$A$1004,"&gt;="&amp;E262,'Sales Log'!$A$5:$A$1004,"&lt;="&amp;F262,'Sales Log'!$R$5:$R$1004,IF(O262="EXAMPLE","EXAMPLE","&lt;&gt;EXAMPLE")))</f>
        <v/>
      </c>
      <c r="L262" s="16"/>
      <c r="M262" s="16"/>
      <c r="N262" s="16"/>
      <c r="O262" s="16"/>
    </row>
    <row r="263" customFormat="false" ht="15" hidden="false" customHeight="false" outlineLevel="0" collapsed="false">
      <c r="A263" s="16"/>
      <c r="B263" s="25"/>
      <c r="C263" s="26"/>
      <c r="D263" s="16"/>
      <c r="E263" s="25"/>
      <c r="F263" s="25"/>
      <c r="G263" s="25"/>
      <c r="H263" s="26"/>
      <c r="I263" s="27" t="str">
        <f aca="false">IF(OR(C263="",H263=""),"",C263-H263)</f>
        <v/>
      </c>
      <c r="J263" s="8" t="str">
        <f aca="false">IF(C263="","",IF(H263="","WAITING",IF(ABS(C263-H263)&lt;0.005,"MATCHED","CHECK")))</f>
        <v/>
      </c>
      <c r="K263" s="27" t="str">
        <f aca="false">IF(OR(A263="",E263="",F263=""),"",SUMIFS('Sales Log'!$L$5:$L$1004,'Sales Log'!$B$5:$B$1004,A263,'Sales Log'!$A$5:$A$1004,"&gt;="&amp;E263,'Sales Log'!$A$5:$A$1004,"&lt;="&amp;F263,'Sales Log'!$R$5:$R$1004,IF(O263="EXAMPLE","EXAMPLE","&lt;&gt;EXAMPLE")))</f>
        <v/>
      </c>
      <c r="L263" s="16"/>
      <c r="M263" s="16"/>
      <c r="N263" s="16"/>
      <c r="O263" s="16"/>
    </row>
    <row r="264" customFormat="false" ht="15" hidden="false" customHeight="false" outlineLevel="0" collapsed="false">
      <c r="A264" s="16"/>
      <c r="B264" s="25"/>
      <c r="C264" s="26"/>
      <c r="D264" s="16"/>
      <c r="E264" s="25"/>
      <c r="F264" s="25"/>
      <c r="G264" s="25"/>
      <c r="H264" s="26"/>
      <c r="I264" s="27" t="str">
        <f aca="false">IF(OR(C264="",H264=""),"",C264-H264)</f>
        <v/>
      </c>
      <c r="J264" s="8" t="str">
        <f aca="false">IF(C264="","",IF(H264="","WAITING",IF(ABS(C264-H264)&lt;0.005,"MATCHED","CHECK")))</f>
        <v/>
      </c>
      <c r="K264" s="27" t="str">
        <f aca="false">IF(OR(A264="",E264="",F264=""),"",SUMIFS('Sales Log'!$L$5:$L$1004,'Sales Log'!$B$5:$B$1004,A264,'Sales Log'!$A$5:$A$1004,"&gt;="&amp;E264,'Sales Log'!$A$5:$A$1004,"&lt;="&amp;F264,'Sales Log'!$R$5:$R$1004,IF(O264="EXAMPLE","EXAMPLE","&lt;&gt;EXAMPLE")))</f>
        <v/>
      </c>
      <c r="L264" s="16"/>
      <c r="M264" s="16"/>
      <c r="N264" s="16"/>
      <c r="O264" s="16"/>
    </row>
    <row r="265" customFormat="false" ht="15" hidden="false" customHeight="false" outlineLevel="0" collapsed="false">
      <c r="A265" s="16"/>
      <c r="B265" s="25"/>
      <c r="C265" s="26"/>
      <c r="D265" s="16"/>
      <c r="E265" s="25"/>
      <c r="F265" s="25"/>
      <c r="G265" s="25"/>
      <c r="H265" s="26"/>
      <c r="I265" s="27" t="str">
        <f aca="false">IF(OR(C265="",H265=""),"",C265-H265)</f>
        <v/>
      </c>
      <c r="J265" s="8" t="str">
        <f aca="false">IF(C265="","",IF(H265="","WAITING",IF(ABS(C265-H265)&lt;0.005,"MATCHED","CHECK")))</f>
        <v/>
      </c>
      <c r="K265" s="27" t="str">
        <f aca="false">IF(OR(A265="",E265="",F265=""),"",SUMIFS('Sales Log'!$L$5:$L$1004,'Sales Log'!$B$5:$B$1004,A265,'Sales Log'!$A$5:$A$1004,"&gt;="&amp;E265,'Sales Log'!$A$5:$A$1004,"&lt;="&amp;F265,'Sales Log'!$R$5:$R$1004,IF(O265="EXAMPLE","EXAMPLE","&lt;&gt;EXAMPLE")))</f>
        <v/>
      </c>
      <c r="L265" s="16"/>
      <c r="M265" s="16"/>
      <c r="N265" s="16"/>
      <c r="O265" s="16"/>
    </row>
    <row r="266" customFormat="false" ht="15" hidden="false" customHeight="false" outlineLevel="0" collapsed="false">
      <c r="A266" s="16"/>
      <c r="B266" s="25"/>
      <c r="C266" s="26"/>
      <c r="D266" s="16"/>
      <c r="E266" s="25"/>
      <c r="F266" s="25"/>
      <c r="G266" s="25"/>
      <c r="H266" s="26"/>
      <c r="I266" s="27" t="str">
        <f aca="false">IF(OR(C266="",H266=""),"",C266-H266)</f>
        <v/>
      </c>
      <c r="J266" s="8" t="str">
        <f aca="false">IF(C266="","",IF(H266="","WAITING",IF(ABS(C266-H266)&lt;0.005,"MATCHED","CHECK")))</f>
        <v/>
      </c>
      <c r="K266" s="27" t="str">
        <f aca="false">IF(OR(A266="",E266="",F266=""),"",SUMIFS('Sales Log'!$L$5:$L$1004,'Sales Log'!$B$5:$B$1004,A266,'Sales Log'!$A$5:$A$1004,"&gt;="&amp;E266,'Sales Log'!$A$5:$A$1004,"&lt;="&amp;F266,'Sales Log'!$R$5:$R$1004,IF(O266="EXAMPLE","EXAMPLE","&lt;&gt;EXAMPLE")))</f>
        <v/>
      </c>
      <c r="L266" s="16"/>
      <c r="M266" s="16"/>
      <c r="N266" s="16"/>
      <c r="O266" s="16"/>
    </row>
    <row r="267" customFormat="false" ht="15" hidden="false" customHeight="false" outlineLevel="0" collapsed="false">
      <c r="A267" s="16"/>
      <c r="B267" s="25"/>
      <c r="C267" s="26"/>
      <c r="D267" s="16"/>
      <c r="E267" s="25"/>
      <c r="F267" s="25"/>
      <c r="G267" s="25"/>
      <c r="H267" s="26"/>
      <c r="I267" s="27" t="str">
        <f aca="false">IF(OR(C267="",H267=""),"",C267-H267)</f>
        <v/>
      </c>
      <c r="J267" s="8" t="str">
        <f aca="false">IF(C267="","",IF(H267="","WAITING",IF(ABS(C267-H267)&lt;0.005,"MATCHED","CHECK")))</f>
        <v/>
      </c>
      <c r="K267" s="27" t="str">
        <f aca="false">IF(OR(A267="",E267="",F267=""),"",SUMIFS('Sales Log'!$L$5:$L$1004,'Sales Log'!$B$5:$B$1004,A267,'Sales Log'!$A$5:$A$1004,"&gt;="&amp;E267,'Sales Log'!$A$5:$A$1004,"&lt;="&amp;F267,'Sales Log'!$R$5:$R$1004,IF(O267="EXAMPLE","EXAMPLE","&lt;&gt;EXAMPLE")))</f>
        <v/>
      </c>
      <c r="L267" s="16"/>
      <c r="M267" s="16"/>
      <c r="N267" s="16"/>
      <c r="O267" s="16"/>
    </row>
    <row r="268" customFormat="false" ht="15" hidden="false" customHeight="false" outlineLevel="0" collapsed="false">
      <c r="A268" s="16"/>
      <c r="B268" s="25"/>
      <c r="C268" s="26"/>
      <c r="D268" s="16"/>
      <c r="E268" s="25"/>
      <c r="F268" s="25"/>
      <c r="G268" s="25"/>
      <c r="H268" s="26"/>
      <c r="I268" s="27" t="str">
        <f aca="false">IF(OR(C268="",H268=""),"",C268-H268)</f>
        <v/>
      </c>
      <c r="J268" s="8" t="str">
        <f aca="false">IF(C268="","",IF(H268="","WAITING",IF(ABS(C268-H268)&lt;0.005,"MATCHED","CHECK")))</f>
        <v/>
      </c>
      <c r="K268" s="27" t="str">
        <f aca="false">IF(OR(A268="",E268="",F268=""),"",SUMIFS('Sales Log'!$L$5:$L$1004,'Sales Log'!$B$5:$B$1004,A268,'Sales Log'!$A$5:$A$1004,"&gt;="&amp;E268,'Sales Log'!$A$5:$A$1004,"&lt;="&amp;F268,'Sales Log'!$R$5:$R$1004,IF(O268="EXAMPLE","EXAMPLE","&lt;&gt;EXAMPLE")))</f>
        <v/>
      </c>
      <c r="L268" s="16"/>
      <c r="M268" s="16"/>
      <c r="N268" s="16"/>
      <c r="O268" s="16"/>
    </row>
    <row r="269" customFormat="false" ht="15" hidden="false" customHeight="false" outlineLevel="0" collapsed="false">
      <c r="A269" s="16"/>
      <c r="B269" s="25"/>
      <c r="C269" s="26"/>
      <c r="D269" s="16"/>
      <c r="E269" s="25"/>
      <c r="F269" s="25"/>
      <c r="G269" s="25"/>
      <c r="H269" s="26"/>
      <c r="I269" s="27" t="str">
        <f aca="false">IF(OR(C269="",H269=""),"",C269-H269)</f>
        <v/>
      </c>
      <c r="J269" s="8" t="str">
        <f aca="false">IF(C269="","",IF(H269="","WAITING",IF(ABS(C269-H269)&lt;0.005,"MATCHED","CHECK")))</f>
        <v/>
      </c>
      <c r="K269" s="27" t="str">
        <f aca="false">IF(OR(A269="",E269="",F269=""),"",SUMIFS('Sales Log'!$L$5:$L$1004,'Sales Log'!$B$5:$B$1004,A269,'Sales Log'!$A$5:$A$1004,"&gt;="&amp;E269,'Sales Log'!$A$5:$A$1004,"&lt;="&amp;F269,'Sales Log'!$R$5:$R$1004,IF(O269="EXAMPLE","EXAMPLE","&lt;&gt;EXAMPLE")))</f>
        <v/>
      </c>
      <c r="L269" s="16"/>
      <c r="M269" s="16"/>
      <c r="N269" s="16"/>
      <c r="O269" s="16"/>
    </row>
    <row r="270" customFormat="false" ht="15" hidden="false" customHeight="false" outlineLevel="0" collapsed="false">
      <c r="A270" s="16"/>
      <c r="B270" s="25"/>
      <c r="C270" s="26"/>
      <c r="D270" s="16"/>
      <c r="E270" s="25"/>
      <c r="F270" s="25"/>
      <c r="G270" s="25"/>
      <c r="H270" s="26"/>
      <c r="I270" s="27" t="str">
        <f aca="false">IF(OR(C270="",H270=""),"",C270-H270)</f>
        <v/>
      </c>
      <c r="J270" s="8" t="str">
        <f aca="false">IF(C270="","",IF(H270="","WAITING",IF(ABS(C270-H270)&lt;0.005,"MATCHED","CHECK")))</f>
        <v/>
      </c>
      <c r="K270" s="27" t="str">
        <f aca="false">IF(OR(A270="",E270="",F270=""),"",SUMIFS('Sales Log'!$L$5:$L$1004,'Sales Log'!$B$5:$B$1004,A270,'Sales Log'!$A$5:$A$1004,"&gt;="&amp;E270,'Sales Log'!$A$5:$A$1004,"&lt;="&amp;F270,'Sales Log'!$R$5:$R$1004,IF(O270="EXAMPLE","EXAMPLE","&lt;&gt;EXAMPLE")))</f>
        <v/>
      </c>
      <c r="L270" s="16"/>
      <c r="M270" s="16"/>
      <c r="N270" s="16"/>
      <c r="O270" s="16"/>
    </row>
    <row r="271" customFormat="false" ht="15" hidden="false" customHeight="false" outlineLevel="0" collapsed="false">
      <c r="A271" s="16"/>
      <c r="B271" s="25"/>
      <c r="C271" s="26"/>
      <c r="D271" s="16"/>
      <c r="E271" s="25"/>
      <c r="F271" s="25"/>
      <c r="G271" s="25"/>
      <c r="H271" s="26"/>
      <c r="I271" s="27" t="str">
        <f aca="false">IF(OR(C271="",H271=""),"",C271-H271)</f>
        <v/>
      </c>
      <c r="J271" s="8" t="str">
        <f aca="false">IF(C271="","",IF(H271="","WAITING",IF(ABS(C271-H271)&lt;0.005,"MATCHED","CHECK")))</f>
        <v/>
      </c>
      <c r="K271" s="27" t="str">
        <f aca="false">IF(OR(A271="",E271="",F271=""),"",SUMIFS('Sales Log'!$L$5:$L$1004,'Sales Log'!$B$5:$B$1004,A271,'Sales Log'!$A$5:$A$1004,"&gt;="&amp;E271,'Sales Log'!$A$5:$A$1004,"&lt;="&amp;F271,'Sales Log'!$R$5:$R$1004,IF(O271="EXAMPLE","EXAMPLE","&lt;&gt;EXAMPLE")))</f>
        <v/>
      </c>
      <c r="L271" s="16"/>
      <c r="M271" s="16"/>
      <c r="N271" s="16"/>
      <c r="O271" s="16"/>
    </row>
    <row r="272" customFormat="false" ht="15" hidden="false" customHeight="false" outlineLevel="0" collapsed="false">
      <c r="A272" s="16"/>
      <c r="B272" s="25"/>
      <c r="C272" s="26"/>
      <c r="D272" s="16"/>
      <c r="E272" s="25"/>
      <c r="F272" s="25"/>
      <c r="G272" s="25"/>
      <c r="H272" s="26"/>
      <c r="I272" s="27" t="str">
        <f aca="false">IF(OR(C272="",H272=""),"",C272-H272)</f>
        <v/>
      </c>
      <c r="J272" s="8" t="str">
        <f aca="false">IF(C272="","",IF(H272="","WAITING",IF(ABS(C272-H272)&lt;0.005,"MATCHED","CHECK")))</f>
        <v/>
      </c>
      <c r="K272" s="27" t="str">
        <f aca="false">IF(OR(A272="",E272="",F272=""),"",SUMIFS('Sales Log'!$L$5:$L$1004,'Sales Log'!$B$5:$B$1004,A272,'Sales Log'!$A$5:$A$1004,"&gt;="&amp;E272,'Sales Log'!$A$5:$A$1004,"&lt;="&amp;F272,'Sales Log'!$R$5:$R$1004,IF(O272="EXAMPLE","EXAMPLE","&lt;&gt;EXAMPLE")))</f>
        <v/>
      </c>
      <c r="L272" s="16"/>
      <c r="M272" s="16"/>
      <c r="N272" s="16"/>
      <c r="O272" s="16"/>
    </row>
    <row r="273" customFormat="false" ht="15" hidden="false" customHeight="false" outlineLevel="0" collapsed="false">
      <c r="A273" s="16"/>
      <c r="B273" s="25"/>
      <c r="C273" s="26"/>
      <c r="D273" s="16"/>
      <c r="E273" s="25"/>
      <c r="F273" s="25"/>
      <c r="G273" s="25"/>
      <c r="H273" s="26"/>
      <c r="I273" s="27" t="str">
        <f aca="false">IF(OR(C273="",H273=""),"",C273-H273)</f>
        <v/>
      </c>
      <c r="J273" s="8" t="str">
        <f aca="false">IF(C273="","",IF(H273="","WAITING",IF(ABS(C273-H273)&lt;0.005,"MATCHED","CHECK")))</f>
        <v/>
      </c>
      <c r="K273" s="27" t="str">
        <f aca="false">IF(OR(A273="",E273="",F273=""),"",SUMIFS('Sales Log'!$L$5:$L$1004,'Sales Log'!$B$5:$B$1004,A273,'Sales Log'!$A$5:$A$1004,"&gt;="&amp;E273,'Sales Log'!$A$5:$A$1004,"&lt;="&amp;F273,'Sales Log'!$R$5:$R$1004,IF(O273="EXAMPLE","EXAMPLE","&lt;&gt;EXAMPLE")))</f>
        <v/>
      </c>
      <c r="L273" s="16"/>
      <c r="M273" s="16"/>
      <c r="N273" s="16"/>
      <c r="O273" s="16"/>
    </row>
    <row r="274" customFormat="false" ht="15" hidden="false" customHeight="false" outlineLevel="0" collapsed="false">
      <c r="A274" s="16"/>
      <c r="B274" s="25"/>
      <c r="C274" s="26"/>
      <c r="D274" s="16"/>
      <c r="E274" s="25"/>
      <c r="F274" s="25"/>
      <c r="G274" s="25"/>
      <c r="H274" s="26"/>
      <c r="I274" s="27" t="str">
        <f aca="false">IF(OR(C274="",H274=""),"",C274-H274)</f>
        <v/>
      </c>
      <c r="J274" s="8" t="str">
        <f aca="false">IF(C274="","",IF(H274="","WAITING",IF(ABS(C274-H274)&lt;0.005,"MATCHED","CHECK")))</f>
        <v/>
      </c>
      <c r="K274" s="27" t="str">
        <f aca="false">IF(OR(A274="",E274="",F274=""),"",SUMIFS('Sales Log'!$L$5:$L$1004,'Sales Log'!$B$5:$B$1004,A274,'Sales Log'!$A$5:$A$1004,"&gt;="&amp;E274,'Sales Log'!$A$5:$A$1004,"&lt;="&amp;F274,'Sales Log'!$R$5:$R$1004,IF(O274="EXAMPLE","EXAMPLE","&lt;&gt;EXAMPLE")))</f>
        <v/>
      </c>
      <c r="L274" s="16"/>
      <c r="M274" s="16"/>
      <c r="N274" s="16"/>
      <c r="O274" s="16"/>
    </row>
    <row r="275" customFormat="false" ht="15" hidden="false" customHeight="false" outlineLevel="0" collapsed="false">
      <c r="A275" s="16"/>
      <c r="B275" s="25"/>
      <c r="C275" s="26"/>
      <c r="D275" s="16"/>
      <c r="E275" s="25"/>
      <c r="F275" s="25"/>
      <c r="G275" s="25"/>
      <c r="H275" s="26"/>
      <c r="I275" s="27" t="str">
        <f aca="false">IF(OR(C275="",H275=""),"",C275-H275)</f>
        <v/>
      </c>
      <c r="J275" s="8" t="str">
        <f aca="false">IF(C275="","",IF(H275="","WAITING",IF(ABS(C275-H275)&lt;0.005,"MATCHED","CHECK")))</f>
        <v/>
      </c>
      <c r="K275" s="27" t="str">
        <f aca="false">IF(OR(A275="",E275="",F275=""),"",SUMIFS('Sales Log'!$L$5:$L$1004,'Sales Log'!$B$5:$B$1004,A275,'Sales Log'!$A$5:$A$1004,"&gt;="&amp;E275,'Sales Log'!$A$5:$A$1004,"&lt;="&amp;F275,'Sales Log'!$R$5:$R$1004,IF(O275="EXAMPLE","EXAMPLE","&lt;&gt;EXAMPLE")))</f>
        <v/>
      </c>
      <c r="L275" s="16"/>
      <c r="M275" s="16"/>
      <c r="N275" s="16"/>
      <c r="O275" s="16"/>
    </row>
    <row r="276" customFormat="false" ht="15" hidden="false" customHeight="false" outlineLevel="0" collapsed="false">
      <c r="A276" s="16"/>
      <c r="B276" s="25"/>
      <c r="C276" s="26"/>
      <c r="D276" s="16"/>
      <c r="E276" s="25"/>
      <c r="F276" s="25"/>
      <c r="G276" s="25"/>
      <c r="H276" s="26"/>
      <c r="I276" s="27" t="str">
        <f aca="false">IF(OR(C276="",H276=""),"",C276-H276)</f>
        <v/>
      </c>
      <c r="J276" s="8" t="str">
        <f aca="false">IF(C276="","",IF(H276="","WAITING",IF(ABS(C276-H276)&lt;0.005,"MATCHED","CHECK")))</f>
        <v/>
      </c>
      <c r="K276" s="27" t="str">
        <f aca="false">IF(OR(A276="",E276="",F276=""),"",SUMIFS('Sales Log'!$L$5:$L$1004,'Sales Log'!$B$5:$B$1004,A276,'Sales Log'!$A$5:$A$1004,"&gt;="&amp;E276,'Sales Log'!$A$5:$A$1004,"&lt;="&amp;F276,'Sales Log'!$R$5:$R$1004,IF(O276="EXAMPLE","EXAMPLE","&lt;&gt;EXAMPLE")))</f>
        <v/>
      </c>
      <c r="L276" s="16"/>
      <c r="M276" s="16"/>
      <c r="N276" s="16"/>
      <c r="O276" s="16"/>
    </row>
    <row r="277" customFormat="false" ht="15" hidden="false" customHeight="false" outlineLevel="0" collapsed="false">
      <c r="A277" s="16"/>
      <c r="B277" s="25"/>
      <c r="C277" s="26"/>
      <c r="D277" s="16"/>
      <c r="E277" s="25"/>
      <c r="F277" s="25"/>
      <c r="G277" s="25"/>
      <c r="H277" s="26"/>
      <c r="I277" s="27" t="str">
        <f aca="false">IF(OR(C277="",H277=""),"",C277-H277)</f>
        <v/>
      </c>
      <c r="J277" s="8" t="str">
        <f aca="false">IF(C277="","",IF(H277="","WAITING",IF(ABS(C277-H277)&lt;0.005,"MATCHED","CHECK")))</f>
        <v/>
      </c>
      <c r="K277" s="27" t="str">
        <f aca="false">IF(OR(A277="",E277="",F277=""),"",SUMIFS('Sales Log'!$L$5:$L$1004,'Sales Log'!$B$5:$B$1004,A277,'Sales Log'!$A$5:$A$1004,"&gt;="&amp;E277,'Sales Log'!$A$5:$A$1004,"&lt;="&amp;F277,'Sales Log'!$R$5:$R$1004,IF(O277="EXAMPLE","EXAMPLE","&lt;&gt;EXAMPLE")))</f>
        <v/>
      </c>
      <c r="L277" s="16"/>
      <c r="M277" s="16"/>
      <c r="N277" s="16"/>
      <c r="O277" s="16"/>
    </row>
    <row r="278" customFormat="false" ht="15" hidden="false" customHeight="false" outlineLevel="0" collapsed="false">
      <c r="A278" s="16"/>
      <c r="B278" s="25"/>
      <c r="C278" s="26"/>
      <c r="D278" s="16"/>
      <c r="E278" s="25"/>
      <c r="F278" s="25"/>
      <c r="G278" s="25"/>
      <c r="H278" s="26"/>
      <c r="I278" s="27" t="str">
        <f aca="false">IF(OR(C278="",H278=""),"",C278-H278)</f>
        <v/>
      </c>
      <c r="J278" s="8" t="str">
        <f aca="false">IF(C278="","",IF(H278="","WAITING",IF(ABS(C278-H278)&lt;0.005,"MATCHED","CHECK")))</f>
        <v/>
      </c>
      <c r="K278" s="27" t="str">
        <f aca="false">IF(OR(A278="",E278="",F278=""),"",SUMIFS('Sales Log'!$L$5:$L$1004,'Sales Log'!$B$5:$B$1004,A278,'Sales Log'!$A$5:$A$1004,"&gt;="&amp;E278,'Sales Log'!$A$5:$A$1004,"&lt;="&amp;F278,'Sales Log'!$R$5:$R$1004,IF(O278="EXAMPLE","EXAMPLE","&lt;&gt;EXAMPLE")))</f>
        <v/>
      </c>
      <c r="L278" s="16"/>
      <c r="M278" s="16"/>
      <c r="N278" s="16"/>
      <c r="O278" s="16"/>
    </row>
    <row r="279" customFormat="false" ht="15" hidden="false" customHeight="false" outlineLevel="0" collapsed="false">
      <c r="A279" s="16"/>
      <c r="B279" s="25"/>
      <c r="C279" s="26"/>
      <c r="D279" s="16"/>
      <c r="E279" s="25"/>
      <c r="F279" s="25"/>
      <c r="G279" s="25"/>
      <c r="H279" s="26"/>
      <c r="I279" s="27" t="str">
        <f aca="false">IF(OR(C279="",H279=""),"",C279-H279)</f>
        <v/>
      </c>
      <c r="J279" s="8" t="str">
        <f aca="false">IF(C279="","",IF(H279="","WAITING",IF(ABS(C279-H279)&lt;0.005,"MATCHED","CHECK")))</f>
        <v/>
      </c>
      <c r="K279" s="27" t="str">
        <f aca="false">IF(OR(A279="",E279="",F279=""),"",SUMIFS('Sales Log'!$L$5:$L$1004,'Sales Log'!$B$5:$B$1004,A279,'Sales Log'!$A$5:$A$1004,"&gt;="&amp;E279,'Sales Log'!$A$5:$A$1004,"&lt;="&amp;F279,'Sales Log'!$R$5:$R$1004,IF(O279="EXAMPLE","EXAMPLE","&lt;&gt;EXAMPLE")))</f>
        <v/>
      </c>
      <c r="L279" s="16"/>
      <c r="M279" s="16"/>
      <c r="N279" s="16"/>
      <c r="O279" s="16"/>
    </row>
    <row r="280" customFormat="false" ht="15" hidden="false" customHeight="false" outlineLevel="0" collapsed="false">
      <c r="A280" s="16"/>
      <c r="B280" s="25"/>
      <c r="C280" s="26"/>
      <c r="D280" s="16"/>
      <c r="E280" s="25"/>
      <c r="F280" s="25"/>
      <c r="G280" s="25"/>
      <c r="H280" s="26"/>
      <c r="I280" s="27" t="str">
        <f aca="false">IF(OR(C280="",H280=""),"",C280-H280)</f>
        <v/>
      </c>
      <c r="J280" s="8" t="str">
        <f aca="false">IF(C280="","",IF(H280="","WAITING",IF(ABS(C280-H280)&lt;0.005,"MATCHED","CHECK")))</f>
        <v/>
      </c>
      <c r="K280" s="27" t="str">
        <f aca="false">IF(OR(A280="",E280="",F280=""),"",SUMIFS('Sales Log'!$L$5:$L$1004,'Sales Log'!$B$5:$B$1004,A280,'Sales Log'!$A$5:$A$1004,"&gt;="&amp;E280,'Sales Log'!$A$5:$A$1004,"&lt;="&amp;F280,'Sales Log'!$R$5:$R$1004,IF(O280="EXAMPLE","EXAMPLE","&lt;&gt;EXAMPLE")))</f>
        <v/>
      </c>
      <c r="L280" s="16"/>
      <c r="M280" s="16"/>
      <c r="N280" s="16"/>
      <c r="O280" s="16"/>
    </row>
    <row r="281" customFormat="false" ht="15" hidden="false" customHeight="false" outlineLevel="0" collapsed="false">
      <c r="A281" s="16"/>
      <c r="B281" s="25"/>
      <c r="C281" s="26"/>
      <c r="D281" s="16"/>
      <c r="E281" s="25"/>
      <c r="F281" s="25"/>
      <c r="G281" s="25"/>
      <c r="H281" s="26"/>
      <c r="I281" s="27" t="str">
        <f aca="false">IF(OR(C281="",H281=""),"",C281-H281)</f>
        <v/>
      </c>
      <c r="J281" s="8" t="str">
        <f aca="false">IF(C281="","",IF(H281="","WAITING",IF(ABS(C281-H281)&lt;0.005,"MATCHED","CHECK")))</f>
        <v/>
      </c>
      <c r="K281" s="27" t="str">
        <f aca="false">IF(OR(A281="",E281="",F281=""),"",SUMIFS('Sales Log'!$L$5:$L$1004,'Sales Log'!$B$5:$B$1004,A281,'Sales Log'!$A$5:$A$1004,"&gt;="&amp;E281,'Sales Log'!$A$5:$A$1004,"&lt;="&amp;F281,'Sales Log'!$R$5:$R$1004,IF(O281="EXAMPLE","EXAMPLE","&lt;&gt;EXAMPLE")))</f>
        <v/>
      </c>
      <c r="L281" s="16"/>
      <c r="M281" s="16"/>
      <c r="N281" s="16"/>
      <c r="O281" s="16"/>
    </row>
    <row r="282" customFormat="false" ht="15" hidden="false" customHeight="false" outlineLevel="0" collapsed="false">
      <c r="A282" s="16"/>
      <c r="B282" s="25"/>
      <c r="C282" s="26"/>
      <c r="D282" s="16"/>
      <c r="E282" s="25"/>
      <c r="F282" s="25"/>
      <c r="G282" s="25"/>
      <c r="H282" s="26"/>
      <c r="I282" s="27" t="str">
        <f aca="false">IF(OR(C282="",H282=""),"",C282-H282)</f>
        <v/>
      </c>
      <c r="J282" s="8" t="str">
        <f aca="false">IF(C282="","",IF(H282="","WAITING",IF(ABS(C282-H282)&lt;0.005,"MATCHED","CHECK")))</f>
        <v/>
      </c>
      <c r="K282" s="27" t="str">
        <f aca="false">IF(OR(A282="",E282="",F282=""),"",SUMIFS('Sales Log'!$L$5:$L$1004,'Sales Log'!$B$5:$B$1004,A282,'Sales Log'!$A$5:$A$1004,"&gt;="&amp;E282,'Sales Log'!$A$5:$A$1004,"&lt;="&amp;F282,'Sales Log'!$R$5:$R$1004,IF(O282="EXAMPLE","EXAMPLE","&lt;&gt;EXAMPLE")))</f>
        <v/>
      </c>
      <c r="L282" s="16"/>
      <c r="M282" s="16"/>
      <c r="N282" s="16"/>
      <c r="O282" s="16"/>
    </row>
    <row r="283" customFormat="false" ht="15" hidden="false" customHeight="false" outlineLevel="0" collapsed="false">
      <c r="A283" s="16"/>
      <c r="B283" s="25"/>
      <c r="C283" s="26"/>
      <c r="D283" s="16"/>
      <c r="E283" s="25"/>
      <c r="F283" s="25"/>
      <c r="G283" s="25"/>
      <c r="H283" s="26"/>
      <c r="I283" s="27" t="str">
        <f aca="false">IF(OR(C283="",H283=""),"",C283-H283)</f>
        <v/>
      </c>
      <c r="J283" s="8" t="str">
        <f aca="false">IF(C283="","",IF(H283="","WAITING",IF(ABS(C283-H283)&lt;0.005,"MATCHED","CHECK")))</f>
        <v/>
      </c>
      <c r="K283" s="27" t="str">
        <f aca="false">IF(OR(A283="",E283="",F283=""),"",SUMIFS('Sales Log'!$L$5:$L$1004,'Sales Log'!$B$5:$B$1004,A283,'Sales Log'!$A$5:$A$1004,"&gt;="&amp;E283,'Sales Log'!$A$5:$A$1004,"&lt;="&amp;F283,'Sales Log'!$R$5:$R$1004,IF(O283="EXAMPLE","EXAMPLE","&lt;&gt;EXAMPLE")))</f>
        <v/>
      </c>
      <c r="L283" s="16"/>
      <c r="M283" s="16"/>
      <c r="N283" s="16"/>
      <c r="O283" s="16"/>
    </row>
    <row r="284" customFormat="false" ht="15" hidden="false" customHeight="false" outlineLevel="0" collapsed="false">
      <c r="A284" s="16"/>
      <c r="B284" s="25"/>
      <c r="C284" s="26"/>
      <c r="D284" s="16"/>
      <c r="E284" s="25"/>
      <c r="F284" s="25"/>
      <c r="G284" s="25"/>
      <c r="H284" s="26"/>
      <c r="I284" s="27" t="str">
        <f aca="false">IF(OR(C284="",H284=""),"",C284-H284)</f>
        <v/>
      </c>
      <c r="J284" s="8" t="str">
        <f aca="false">IF(C284="","",IF(H284="","WAITING",IF(ABS(C284-H284)&lt;0.005,"MATCHED","CHECK")))</f>
        <v/>
      </c>
      <c r="K284" s="27" t="str">
        <f aca="false">IF(OR(A284="",E284="",F284=""),"",SUMIFS('Sales Log'!$L$5:$L$1004,'Sales Log'!$B$5:$B$1004,A284,'Sales Log'!$A$5:$A$1004,"&gt;="&amp;E284,'Sales Log'!$A$5:$A$1004,"&lt;="&amp;F284,'Sales Log'!$R$5:$R$1004,IF(O284="EXAMPLE","EXAMPLE","&lt;&gt;EXAMPLE")))</f>
        <v/>
      </c>
      <c r="L284" s="16"/>
      <c r="M284" s="16"/>
      <c r="N284" s="16"/>
      <c r="O284" s="16"/>
    </row>
    <row r="285" customFormat="false" ht="15" hidden="false" customHeight="false" outlineLevel="0" collapsed="false">
      <c r="A285" s="16"/>
      <c r="B285" s="25"/>
      <c r="C285" s="26"/>
      <c r="D285" s="16"/>
      <c r="E285" s="25"/>
      <c r="F285" s="25"/>
      <c r="G285" s="25"/>
      <c r="H285" s="26"/>
      <c r="I285" s="27" t="str">
        <f aca="false">IF(OR(C285="",H285=""),"",C285-H285)</f>
        <v/>
      </c>
      <c r="J285" s="8" t="str">
        <f aca="false">IF(C285="","",IF(H285="","WAITING",IF(ABS(C285-H285)&lt;0.005,"MATCHED","CHECK")))</f>
        <v/>
      </c>
      <c r="K285" s="27" t="str">
        <f aca="false">IF(OR(A285="",E285="",F285=""),"",SUMIFS('Sales Log'!$L$5:$L$1004,'Sales Log'!$B$5:$B$1004,A285,'Sales Log'!$A$5:$A$1004,"&gt;="&amp;E285,'Sales Log'!$A$5:$A$1004,"&lt;="&amp;F285,'Sales Log'!$R$5:$R$1004,IF(O285="EXAMPLE","EXAMPLE","&lt;&gt;EXAMPLE")))</f>
        <v/>
      </c>
      <c r="L285" s="16"/>
      <c r="M285" s="16"/>
      <c r="N285" s="16"/>
      <c r="O285" s="16"/>
    </row>
    <row r="286" customFormat="false" ht="15" hidden="false" customHeight="false" outlineLevel="0" collapsed="false">
      <c r="A286" s="16"/>
      <c r="B286" s="25"/>
      <c r="C286" s="26"/>
      <c r="D286" s="16"/>
      <c r="E286" s="25"/>
      <c r="F286" s="25"/>
      <c r="G286" s="25"/>
      <c r="H286" s="26"/>
      <c r="I286" s="27" t="str">
        <f aca="false">IF(OR(C286="",H286=""),"",C286-H286)</f>
        <v/>
      </c>
      <c r="J286" s="8" t="str">
        <f aca="false">IF(C286="","",IF(H286="","WAITING",IF(ABS(C286-H286)&lt;0.005,"MATCHED","CHECK")))</f>
        <v/>
      </c>
      <c r="K286" s="27" t="str">
        <f aca="false">IF(OR(A286="",E286="",F286=""),"",SUMIFS('Sales Log'!$L$5:$L$1004,'Sales Log'!$B$5:$B$1004,A286,'Sales Log'!$A$5:$A$1004,"&gt;="&amp;E286,'Sales Log'!$A$5:$A$1004,"&lt;="&amp;F286,'Sales Log'!$R$5:$R$1004,IF(O286="EXAMPLE","EXAMPLE","&lt;&gt;EXAMPLE")))</f>
        <v/>
      </c>
      <c r="L286" s="16"/>
      <c r="M286" s="16"/>
      <c r="N286" s="16"/>
      <c r="O286" s="16"/>
    </row>
    <row r="287" customFormat="false" ht="15" hidden="false" customHeight="false" outlineLevel="0" collapsed="false">
      <c r="A287" s="16"/>
      <c r="B287" s="25"/>
      <c r="C287" s="26"/>
      <c r="D287" s="16"/>
      <c r="E287" s="25"/>
      <c r="F287" s="25"/>
      <c r="G287" s="25"/>
      <c r="H287" s="26"/>
      <c r="I287" s="27" t="str">
        <f aca="false">IF(OR(C287="",H287=""),"",C287-H287)</f>
        <v/>
      </c>
      <c r="J287" s="8" t="str">
        <f aca="false">IF(C287="","",IF(H287="","WAITING",IF(ABS(C287-H287)&lt;0.005,"MATCHED","CHECK")))</f>
        <v/>
      </c>
      <c r="K287" s="27" t="str">
        <f aca="false">IF(OR(A287="",E287="",F287=""),"",SUMIFS('Sales Log'!$L$5:$L$1004,'Sales Log'!$B$5:$B$1004,A287,'Sales Log'!$A$5:$A$1004,"&gt;="&amp;E287,'Sales Log'!$A$5:$A$1004,"&lt;="&amp;F287,'Sales Log'!$R$5:$R$1004,IF(O287="EXAMPLE","EXAMPLE","&lt;&gt;EXAMPLE")))</f>
        <v/>
      </c>
      <c r="L287" s="16"/>
      <c r="M287" s="16"/>
      <c r="N287" s="16"/>
      <c r="O287" s="16"/>
    </row>
    <row r="288" customFormat="false" ht="15" hidden="false" customHeight="false" outlineLevel="0" collapsed="false">
      <c r="A288" s="16"/>
      <c r="B288" s="25"/>
      <c r="C288" s="26"/>
      <c r="D288" s="16"/>
      <c r="E288" s="25"/>
      <c r="F288" s="25"/>
      <c r="G288" s="25"/>
      <c r="H288" s="26"/>
      <c r="I288" s="27" t="str">
        <f aca="false">IF(OR(C288="",H288=""),"",C288-H288)</f>
        <v/>
      </c>
      <c r="J288" s="8" t="str">
        <f aca="false">IF(C288="","",IF(H288="","WAITING",IF(ABS(C288-H288)&lt;0.005,"MATCHED","CHECK")))</f>
        <v/>
      </c>
      <c r="K288" s="27" t="str">
        <f aca="false">IF(OR(A288="",E288="",F288=""),"",SUMIFS('Sales Log'!$L$5:$L$1004,'Sales Log'!$B$5:$B$1004,A288,'Sales Log'!$A$5:$A$1004,"&gt;="&amp;E288,'Sales Log'!$A$5:$A$1004,"&lt;="&amp;F288,'Sales Log'!$R$5:$R$1004,IF(O288="EXAMPLE","EXAMPLE","&lt;&gt;EXAMPLE")))</f>
        <v/>
      </c>
      <c r="L288" s="16"/>
      <c r="M288" s="16"/>
      <c r="N288" s="16"/>
      <c r="O288" s="16"/>
    </row>
    <row r="289" customFormat="false" ht="15" hidden="false" customHeight="false" outlineLevel="0" collapsed="false">
      <c r="A289" s="16"/>
      <c r="B289" s="25"/>
      <c r="C289" s="26"/>
      <c r="D289" s="16"/>
      <c r="E289" s="25"/>
      <c r="F289" s="25"/>
      <c r="G289" s="25"/>
      <c r="H289" s="26"/>
      <c r="I289" s="27" t="str">
        <f aca="false">IF(OR(C289="",H289=""),"",C289-H289)</f>
        <v/>
      </c>
      <c r="J289" s="8" t="str">
        <f aca="false">IF(C289="","",IF(H289="","WAITING",IF(ABS(C289-H289)&lt;0.005,"MATCHED","CHECK")))</f>
        <v/>
      </c>
      <c r="K289" s="27" t="str">
        <f aca="false">IF(OR(A289="",E289="",F289=""),"",SUMIFS('Sales Log'!$L$5:$L$1004,'Sales Log'!$B$5:$B$1004,A289,'Sales Log'!$A$5:$A$1004,"&gt;="&amp;E289,'Sales Log'!$A$5:$A$1004,"&lt;="&amp;F289,'Sales Log'!$R$5:$R$1004,IF(O289="EXAMPLE","EXAMPLE","&lt;&gt;EXAMPLE")))</f>
        <v/>
      </c>
      <c r="L289" s="16"/>
      <c r="M289" s="16"/>
      <c r="N289" s="16"/>
      <c r="O289" s="16"/>
    </row>
    <row r="290" customFormat="false" ht="15" hidden="false" customHeight="false" outlineLevel="0" collapsed="false">
      <c r="A290" s="16"/>
      <c r="B290" s="25"/>
      <c r="C290" s="26"/>
      <c r="D290" s="16"/>
      <c r="E290" s="25"/>
      <c r="F290" s="25"/>
      <c r="G290" s="25"/>
      <c r="H290" s="26"/>
      <c r="I290" s="27" t="str">
        <f aca="false">IF(OR(C290="",H290=""),"",C290-H290)</f>
        <v/>
      </c>
      <c r="J290" s="8" t="str">
        <f aca="false">IF(C290="","",IF(H290="","WAITING",IF(ABS(C290-H290)&lt;0.005,"MATCHED","CHECK")))</f>
        <v/>
      </c>
      <c r="K290" s="27" t="str">
        <f aca="false">IF(OR(A290="",E290="",F290=""),"",SUMIFS('Sales Log'!$L$5:$L$1004,'Sales Log'!$B$5:$B$1004,A290,'Sales Log'!$A$5:$A$1004,"&gt;="&amp;E290,'Sales Log'!$A$5:$A$1004,"&lt;="&amp;F290,'Sales Log'!$R$5:$R$1004,IF(O290="EXAMPLE","EXAMPLE","&lt;&gt;EXAMPLE")))</f>
        <v/>
      </c>
      <c r="L290" s="16"/>
      <c r="M290" s="16"/>
      <c r="N290" s="16"/>
      <c r="O290" s="16"/>
    </row>
    <row r="291" customFormat="false" ht="15" hidden="false" customHeight="false" outlineLevel="0" collapsed="false">
      <c r="A291" s="16"/>
      <c r="B291" s="25"/>
      <c r="C291" s="26"/>
      <c r="D291" s="16"/>
      <c r="E291" s="25"/>
      <c r="F291" s="25"/>
      <c r="G291" s="25"/>
      <c r="H291" s="26"/>
      <c r="I291" s="27" t="str">
        <f aca="false">IF(OR(C291="",H291=""),"",C291-H291)</f>
        <v/>
      </c>
      <c r="J291" s="8" t="str">
        <f aca="false">IF(C291="","",IF(H291="","WAITING",IF(ABS(C291-H291)&lt;0.005,"MATCHED","CHECK")))</f>
        <v/>
      </c>
      <c r="K291" s="27" t="str">
        <f aca="false">IF(OR(A291="",E291="",F291=""),"",SUMIFS('Sales Log'!$L$5:$L$1004,'Sales Log'!$B$5:$B$1004,A291,'Sales Log'!$A$5:$A$1004,"&gt;="&amp;E291,'Sales Log'!$A$5:$A$1004,"&lt;="&amp;F291,'Sales Log'!$R$5:$R$1004,IF(O291="EXAMPLE","EXAMPLE","&lt;&gt;EXAMPLE")))</f>
        <v/>
      </c>
      <c r="L291" s="16"/>
      <c r="M291" s="16"/>
      <c r="N291" s="16"/>
      <c r="O291" s="16"/>
    </row>
    <row r="292" customFormat="false" ht="15" hidden="false" customHeight="false" outlineLevel="0" collapsed="false">
      <c r="A292" s="16"/>
      <c r="B292" s="25"/>
      <c r="C292" s="26"/>
      <c r="D292" s="16"/>
      <c r="E292" s="25"/>
      <c r="F292" s="25"/>
      <c r="G292" s="25"/>
      <c r="H292" s="26"/>
      <c r="I292" s="27" t="str">
        <f aca="false">IF(OR(C292="",H292=""),"",C292-H292)</f>
        <v/>
      </c>
      <c r="J292" s="8" t="str">
        <f aca="false">IF(C292="","",IF(H292="","WAITING",IF(ABS(C292-H292)&lt;0.005,"MATCHED","CHECK")))</f>
        <v/>
      </c>
      <c r="K292" s="27" t="str">
        <f aca="false">IF(OR(A292="",E292="",F292=""),"",SUMIFS('Sales Log'!$L$5:$L$1004,'Sales Log'!$B$5:$B$1004,A292,'Sales Log'!$A$5:$A$1004,"&gt;="&amp;E292,'Sales Log'!$A$5:$A$1004,"&lt;="&amp;F292,'Sales Log'!$R$5:$R$1004,IF(O292="EXAMPLE","EXAMPLE","&lt;&gt;EXAMPLE")))</f>
        <v/>
      </c>
      <c r="L292" s="16"/>
      <c r="M292" s="16"/>
      <c r="N292" s="16"/>
      <c r="O292" s="16"/>
    </row>
    <row r="293" customFormat="false" ht="15" hidden="false" customHeight="false" outlineLevel="0" collapsed="false">
      <c r="A293" s="16"/>
      <c r="B293" s="25"/>
      <c r="C293" s="26"/>
      <c r="D293" s="16"/>
      <c r="E293" s="25"/>
      <c r="F293" s="25"/>
      <c r="G293" s="25"/>
      <c r="H293" s="26"/>
      <c r="I293" s="27" t="str">
        <f aca="false">IF(OR(C293="",H293=""),"",C293-H293)</f>
        <v/>
      </c>
      <c r="J293" s="8" t="str">
        <f aca="false">IF(C293="","",IF(H293="","WAITING",IF(ABS(C293-H293)&lt;0.005,"MATCHED","CHECK")))</f>
        <v/>
      </c>
      <c r="K293" s="27" t="str">
        <f aca="false">IF(OR(A293="",E293="",F293=""),"",SUMIFS('Sales Log'!$L$5:$L$1004,'Sales Log'!$B$5:$B$1004,A293,'Sales Log'!$A$5:$A$1004,"&gt;="&amp;E293,'Sales Log'!$A$5:$A$1004,"&lt;="&amp;F293,'Sales Log'!$R$5:$R$1004,IF(O293="EXAMPLE","EXAMPLE","&lt;&gt;EXAMPLE")))</f>
        <v/>
      </c>
      <c r="L293" s="16"/>
      <c r="M293" s="16"/>
      <c r="N293" s="16"/>
      <c r="O293" s="16"/>
    </row>
    <row r="294" customFormat="false" ht="15" hidden="false" customHeight="false" outlineLevel="0" collapsed="false">
      <c r="A294" s="16"/>
      <c r="B294" s="25"/>
      <c r="C294" s="26"/>
      <c r="D294" s="16"/>
      <c r="E294" s="25"/>
      <c r="F294" s="25"/>
      <c r="G294" s="25"/>
      <c r="H294" s="26"/>
      <c r="I294" s="27" t="str">
        <f aca="false">IF(OR(C294="",H294=""),"",C294-H294)</f>
        <v/>
      </c>
      <c r="J294" s="8" t="str">
        <f aca="false">IF(C294="","",IF(H294="","WAITING",IF(ABS(C294-H294)&lt;0.005,"MATCHED","CHECK")))</f>
        <v/>
      </c>
      <c r="K294" s="27" t="str">
        <f aca="false">IF(OR(A294="",E294="",F294=""),"",SUMIFS('Sales Log'!$L$5:$L$1004,'Sales Log'!$B$5:$B$1004,A294,'Sales Log'!$A$5:$A$1004,"&gt;="&amp;E294,'Sales Log'!$A$5:$A$1004,"&lt;="&amp;F294,'Sales Log'!$R$5:$R$1004,IF(O294="EXAMPLE","EXAMPLE","&lt;&gt;EXAMPLE")))</f>
        <v/>
      </c>
      <c r="L294" s="16"/>
      <c r="M294" s="16"/>
      <c r="N294" s="16"/>
      <c r="O294" s="16"/>
    </row>
    <row r="295" customFormat="false" ht="15" hidden="false" customHeight="false" outlineLevel="0" collapsed="false">
      <c r="A295" s="16"/>
      <c r="B295" s="25"/>
      <c r="C295" s="26"/>
      <c r="D295" s="16"/>
      <c r="E295" s="25"/>
      <c r="F295" s="25"/>
      <c r="G295" s="25"/>
      <c r="H295" s="26"/>
      <c r="I295" s="27" t="str">
        <f aca="false">IF(OR(C295="",H295=""),"",C295-H295)</f>
        <v/>
      </c>
      <c r="J295" s="8" t="str">
        <f aca="false">IF(C295="","",IF(H295="","WAITING",IF(ABS(C295-H295)&lt;0.005,"MATCHED","CHECK")))</f>
        <v/>
      </c>
      <c r="K295" s="27" t="str">
        <f aca="false">IF(OR(A295="",E295="",F295=""),"",SUMIFS('Sales Log'!$L$5:$L$1004,'Sales Log'!$B$5:$B$1004,A295,'Sales Log'!$A$5:$A$1004,"&gt;="&amp;E295,'Sales Log'!$A$5:$A$1004,"&lt;="&amp;F295,'Sales Log'!$R$5:$R$1004,IF(O295="EXAMPLE","EXAMPLE","&lt;&gt;EXAMPLE")))</f>
        <v/>
      </c>
      <c r="L295" s="16"/>
      <c r="M295" s="16"/>
      <c r="N295" s="16"/>
      <c r="O295" s="16"/>
    </row>
    <row r="296" customFormat="false" ht="15" hidden="false" customHeight="false" outlineLevel="0" collapsed="false">
      <c r="A296" s="16"/>
      <c r="B296" s="25"/>
      <c r="C296" s="26"/>
      <c r="D296" s="16"/>
      <c r="E296" s="25"/>
      <c r="F296" s="25"/>
      <c r="G296" s="25"/>
      <c r="H296" s="26"/>
      <c r="I296" s="27" t="str">
        <f aca="false">IF(OR(C296="",H296=""),"",C296-H296)</f>
        <v/>
      </c>
      <c r="J296" s="8" t="str">
        <f aca="false">IF(C296="","",IF(H296="","WAITING",IF(ABS(C296-H296)&lt;0.005,"MATCHED","CHECK")))</f>
        <v/>
      </c>
      <c r="K296" s="27" t="str">
        <f aca="false">IF(OR(A296="",E296="",F296=""),"",SUMIFS('Sales Log'!$L$5:$L$1004,'Sales Log'!$B$5:$B$1004,A296,'Sales Log'!$A$5:$A$1004,"&gt;="&amp;E296,'Sales Log'!$A$5:$A$1004,"&lt;="&amp;F296,'Sales Log'!$R$5:$R$1004,IF(O296="EXAMPLE","EXAMPLE","&lt;&gt;EXAMPLE")))</f>
        <v/>
      </c>
      <c r="L296" s="16"/>
      <c r="M296" s="16"/>
      <c r="N296" s="16"/>
      <c r="O296" s="16"/>
    </row>
    <row r="297" customFormat="false" ht="15" hidden="false" customHeight="false" outlineLevel="0" collapsed="false">
      <c r="A297" s="16"/>
      <c r="B297" s="25"/>
      <c r="C297" s="26"/>
      <c r="D297" s="16"/>
      <c r="E297" s="25"/>
      <c r="F297" s="25"/>
      <c r="G297" s="25"/>
      <c r="H297" s="26"/>
      <c r="I297" s="27" t="str">
        <f aca="false">IF(OR(C297="",H297=""),"",C297-H297)</f>
        <v/>
      </c>
      <c r="J297" s="8" t="str">
        <f aca="false">IF(C297="","",IF(H297="","WAITING",IF(ABS(C297-H297)&lt;0.005,"MATCHED","CHECK")))</f>
        <v/>
      </c>
      <c r="K297" s="27" t="str">
        <f aca="false">IF(OR(A297="",E297="",F297=""),"",SUMIFS('Sales Log'!$L$5:$L$1004,'Sales Log'!$B$5:$B$1004,A297,'Sales Log'!$A$5:$A$1004,"&gt;="&amp;E297,'Sales Log'!$A$5:$A$1004,"&lt;="&amp;F297,'Sales Log'!$R$5:$R$1004,IF(O297="EXAMPLE","EXAMPLE","&lt;&gt;EXAMPLE")))</f>
        <v/>
      </c>
      <c r="L297" s="16"/>
      <c r="M297" s="16"/>
      <c r="N297" s="16"/>
      <c r="O297" s="16"/>
    </row>
    <row r="298" customFormat="false" ht="15" hidden="false" customHeight="false" outlineLevel="0" collapsed="false">
      <c r="A298" s="16"/>
      <c r="B298" s="25"/>
      <c r="C298" s="26"/>
      <c r="D298" s="16"/>
      <c r="E298" s="25"/>
      <c r="F298" s="25"/>
      <c r="G298" s="25"/>
      <c r="H298" s="26"/>
      <c r="I298" s="27" t="str">
        <f aca="false">IF(OR(C298="",H298=""),"",C298-H298)</f>
        <v/>
      </c>
      <c r="J298" s="8" t="str">
        <f aca="false">IF(C298="","",IF(H298="","WAITING",IF(ABS(C298-H298)&lt;0.005,"MATCHED","CHECK")))</f>
        <v/>
      </c>
      <c r="K298" s="27" t="str">
        <f aca="false">IF(OR(A298="",E298="",F298=""),"",SUMIFS('Sales Log'!$L$5:$L$1004,'Sales Log'!$B$5:$B$1004,A298,'Sales Log'!$A$5:$A$1004,"&gt;="&amp;E298,'Sales Log'!$A$5:$A$1004,"&lt;="&amp;F298,'Sales Log'!$R$5:$R$1004,IF(O298="EXAMPLE","EXAMPLE","&lt;&gt;EXAMPLE")))</f>
        <v/>
      </c>
      <c r="L298" s="16"/>
      <c r="M298" s="16"/>
      <c r="N298" s="16"/>
      <c r="O298" s="16"/>
    </row>
    <row r="299" customFormat="false" ht="15" hidden="false" customHeight="false" outlineLevel="0" collapsed="false">
      <c r="A299" s="16"/>
      <c r="B299" s="25"/>
      <c r="C299" s="26"/>
      <c r="D299" s="16"/>
      <c r="E299" s="25"/>
      <c r="F299" s="25"/>
      <c r="G299" s="25"/>
      <c r="H299" s="26"/>
      <c r="I299" s="27" t="str">
        <f aca="false">IF(OR(C299="",H299=""),"",C299-H299)</f>
        <v/>
      </c>
      <c r="J299" s="8" t="str">
        <f aca="false">IF(C299="","",IF(H299="","WAITING",IF(ABS(C299-H299)&lt;0.005,"MATCHED","CHECK")))</f>
        <v/>
      </c>
      <c r="K299" s="27" t="str">
        <f aca="false">IF(OR(A299="",E299="",F299=""),"",SUMIFS('Sales Log'!$L$5:$L$1004,'Sales Log'!$B$5:$B$1004,A299,'Sales Log'!$A$5:$A$1004,"&gt;="&amp;E299,'Sales Log'!$A$5:$A$1004,"&lt;="&amp;F299,'Sales Log'!$R$5:$R$1004,IF(O299="EXAMPLE","EXAMPLE","&lt;&gt;EXAMPLE")))</f>
        <v/>
      </c>
      <c r="L299" s="16"/>
      <c r="M299" s="16"/>
      <c r="N299" s="16"/>
      <c r="O299" s="16"/>
    </row>
    <row r="300" customFormat="false" ht="15" hidden="false" customHeight="false" outlineLevel="0" collapsed="false">
      <c r="A300" s="16"/>
      <c r="B300" s="25"/>
      <c r="C300" s="26"/>
      <c r="D300" s="16"/>
      <c r="E300" s="25"/>
      <c r="F300" s="25"/>
      <c r="G300" s="25"/>
      <c r="H300" s="26"/>
      <c r="I300" s="27" t="str">
        <f aca="false">IF(OR(C300="",H300=""),"",C300-H300)</f>
        <v/>
      </c>
      <c r="J300" s="8" t="str">
        <f aca="false">IF(C300="","",IF(H300="","WAITING",IF(ABS(C300-H300)&lt;0.005,"MATCHED","CHECK")))</f>
        <v/>
      </c>
      <c r="K300" s="27" t="str">
        <f aca="false">IF(OR(A300="",E300="",F300=""),"",SUMIFS('Sales Log'!$L$5:$L$1004,'Sales Log'!$B$5:$B$1004,A300,'Sales Log'!$A$5:$A$1004,"&gt;="&amp;E300,'Sales Log'!$A$5:$A$1004,"&lt;="&amp;F300,'Sales Log'!$R$5:$R$1004,IF(O300="EXAMPLE","EXAMPLE","&lt;&gt;EXAMPLE")))</f>
        <v/>
      </c>
      <c r="L300" s="16"/>
      <c r="M300" s="16"/>
      <c r="N300" s="16"/>
      <c r="O300" s="16"/>
    </row>
    <row r="301" customFormat="false" ht="15" hidden="false" customHeight="false" outlineLevel="0" collapsed="false">
      <c r="A301" s="16"/>
      <c r="B301" s="25"/>
      <c r="C301" s="26"/>
      <c r="D301" s="16"/>
      <c r="E301" s="25"/>
      <c r="F301" s="25"/>
      <c r="G301" s="25"/>
      <c r="H301" s="26"/>
      <c r="I301" s="27" t="str">
        <f aca="false">IF(OR(C301="",H301=""),"",C301-H301)</f>
        <v/>
      </c>
      <c r="J301" s="8" t="str">
        <f aca="false">IF(C301="","",IF(H301="","WAITING",IF(ABS(C301-H301)&lt;0.005,"MATCHED","CHECK")))</f>
        <v/>
      </c>
      <c r="K301" s="27" t="str">
        <f aca="false">IF(OR(A301="",E301="",F301=""),"",SUMIFS('Sales Log'!$L$5:$L$1004,'Sales Log'!$B$5:$B$1004,A301,'Sales Log'!$A$5:$A$1004,"&gt;="&amp;E301,'Sales Log'!$A$5:$A$1004,"&lt;="&amp;F301,'Sales Log'!$R$5:$R$1004,IF(O301="EXAMPLE","EXAMPLE","&lt;&gt;EXAMPLE")))</f>
        <v/>
      </c>
      <c r="L301" s="16"/>
      <c r="M301" s="16"/>
      <c r="N301" s="16"/>
      <c r="O301" s="16"/>
    </row>
    <row r="302" customFormat="false" ht="15" hidden="false" customHeight="false" outlineLevel="0" collapsed="false">
      <c r="A302" s="16"/>
      <c r="B302" s="25"/>
      <c r="C302" s="26"/>
      <c r="D302" s="16"/>
      <c r="E302" s="25"/>
      <c r="F302" s="25"/>
      <c r="G302" s="25"/>
      <c r="H302" s="26"/>
      <c r="I302" s="27" t="str">
        <f aca="false">IF(OR(C302="",H302=""),"",C302-H302)</f>
        <v/>
      </c>
      <c r="J302" s="8" t="str">
        <f aca="false">IF(C302="","",IF(H302="","WAITING",IF(ABS(C302-H302)&lt;0.005,"MATCHED","CHECK")))</f>
        <v/>
      </c>
      <c r="K302" s="27" t="str">
        <f aca="false">IF(OR(A302="",E302="",F302=""),"",SUMIFS('Sales Log'!$L$5:$L$1004,'Sales Log'!$B$5:$B$1004,A302,'Sales Log'!$A$5:$A$1004,"&gt;="&amp;E302,'Sales Log'!$A$5:$A$1004,"&lt;="&amp;F302,'Sales Log'!$R$5:$R$1004,IF(O302="EXAMPLE","EXAMPLE","&lt;&gt;EXAMPLE")))</f>
        <v/>
      </c>
      <c r="L302" s="16"/>
      <c r="M302" s="16"/>
      <c r="N302" s="16"/>
      <c r="O302" s="16"/>
    </row>
    <row r="303" customFormat="false" ht="15" hidden="false" customHeight="false" outlineLevel="0" collapsed="false">
      <c r="A303" s="16"/>
      <c r="B303" s="25"/>
      <c r="C303" s="26"/>
      <c r="D303" s="16"/>
      <c r="E303" s="25"/>
      <c r="F303" s="25"/>
      <c r="G303" s="25"/>
      <c r="H303" s="26"/>
      <c r="I303" s="27" t="str">
        <f aca="false">IF(OR(C303="",H303=""),"",C303-H303)</f>
        <v/>
      </c>
      <c r="J303" s="8" t="str">
        <f aca="false">IF(C303="","",IF(H303="","WAITING",IF(ABS(C303-H303)&lt;0.005,"MATCHED","CHECK")))</f>
        <v/>
      </c>
      <c r="K303" s="27" t="str">
        <f aca="false">IF(OR(A303="",E303="",F303=""),"",SUMIFS('Sales Log'!$L$5:$L$1004,'Sales Log'!$B$5:$B$1004,A303,'Sales Log'!$A$5:$A$1004,"&gt;="&amp;E303,'Sales Log'!$A$5:$A$1004,"&lt;="&amp;F303,'Sales Log'!$R$5:$R$1004,IF(O303="EXAMPLE","EXAMPLE","&lt;&gt;EXAMPLE")))</f>
        <v/>
      </c>
      <c r="L303" s="16"/>
      <c r="M303" s="16"/>
      <c r="N303" s="16"/>
      <c r="O303" s="16"/>
    </row>
    <row r="304" customFormat="false" ht="15" hidden="false" customHeight="false" outlineLevel="0" collapsed="false">
      <c r="A304" s="16"/>
      <c r="B304" s="25"/>
      <c r="C304" s="26"/>
      <c r="D304" s="16"/>
      <c r="E304" s="25"/>
      <c r="F304" s="25"/>
      <c r="G304" s="25"/>
      <c r="H304" s="26"/>
      <c r="I304" s="27" t="str">
        <f aca="false">IF(OR(C304="",H304=""),"",C304-H304)</f>
        <v/>
      </c>
      <c r="J304" s="8" t="str">
        <f aca="false">IF(C304="","",IF(H304="","WAITING",IF(ABS(C304-H304)&lt;0.005,"MATCHED","CHECK")))</f>
        <v/>
      </c>
      <c r="K304" s="27" t="str">
        <f aca="false">IF(OR(A304="",E304="",F304=""),"",SUMIFS('Sales Log'!$L$5:$L$1004,'Sales Log'!$B$5:$B$1004,A304,'Sales Log'!$A$5:$A$1004,"&gt;="&amp;E304,'Sales Log'!$A$5:$A$1004,"&lt;="&amp;F304,'Sales Log'!$R$5:$R$1004,IF(O304="EXAMPLE","EXAMPLE","&lt;&gt;EXAMPLE")))</f>
        <v/>
      </c>
      <c r="L304" s="16"/>
      <c r="M304" s="16"/>
      <c r="N304" s="16"/>
      <c r="O304" s="16"/>
    </row>
    <row r="305" customFormat="false" ht="15" hidden="false" customHeight="false" outlineLevel="0" collapsed="false">
      <c r="A305" s="16"/>
      <c r="B305" s="25"/>
      <c r="C305" s="26"/>
      <c r="D305" s="16"/>
      <c r="E305" s="25"/>
      <c r="F305" s="25"/>
      <c r="G305" s="25"/>
      <c r="H305" s="26"/>
      <c r="I305" s="27" t="str">
        <f aca="false">IF(OR(C305="",H305=""),"",C305-H305)</f>
        <v/>
      </c>
      <c r="J305" s="8" t="str">
        <f aca="false">IF(C305="","",IF(H305="","WAITING",IF(ABS(C305-H305)&lt;0.005,"MATCHED","CHECK")))</f>
        <v/>
      </c>
      <c r="K305" s="27" t="str">
        <f aca="false">IF(OR(A305="",E305="",F305=""),"",SUMIFS('Sales Log'!$L$5:$L$1004,'Sales Log'!$B$5:$B$1004,A305,'Sales Log'!$A$5:$A$1004,"&gt;="&amp;E305,'Sales Log'!$A$5:$A$1004,"&lt;="&amp;F305,'Sales Log'!$R$5:$R$1004,IF(O305="EXAMPLE","EXAMPLE","&lt;&gt;EXAMPLE")))</f>
        <v/>
      </c>
      <c r="L305" s="16"/>
      <c r="M305" s="16"/>
      <c r="N305" s="16"/>
      <c r="O305" s="16"/>
    </row>
    <row r="306" customFormat="false" ht="15" hidden="false" customHeight="false" outlineLevel="0" collapsed="false">
      <c r="A306" s="16"/>
      <c r="B306" s="25"/>
      <c r="C306" s="26"/>
      <c r="D306" s="16"/>
      <c r="E306" s="25"/>
      <c r="F306" s="25"/>
      <c r="G306" s="25"/>
      <c r="H306" s="26"/>
      <c r="I306" s="27" t="str">
        <f aca="false">IF(OR(C306="",H306=""),"",C306-H306)</f>
        <v/>
      </c>
      <c r="J306" s="8" t="str">
        <f aca="false">IF(C306="","",IF(H306="","WAITING",IF(ABS(C306-H306)&lt;0.005,"MATCHED","CHECK")))</f>
        <v/>
      </c>
      <c r="K306" s="27" t="str">
        <f aca="false">IF(OR(A306="",E306="",F306=""),"",SUMIFS('Sales Log'!$L$5:$L$1004,'Sales Log'!$B$5:$B$1004,A306,'Sales Log'!$A$5:$A$1004,"&gt;="&amp;E306,'Sales Log'!$A$5:$A$1004,"&lt;="&amp;F306,'Sales Log'!$R$5:$R$1004,IF(O306="EXAMPLE","EXAMPLE","&lt;&gt;EXAMPLE")))</f>
        <v/>
      </c>
      <c r="L306" s="16"/>
      <c r="M306" s="16"/>
      <c r="N306" s="16"/>
      <c r="O306" s="16"/>
    </row>
    <row r="307" customFormat="false" ht="15" hidden="false" customHeight="false" outlineLevel="0" collapsed="false">
      <c r="A307" s="16"/>
      <c r="B307" s="25"/>
      <c r="C307" s="26"/>
      <c r="D307" s="16"/>
      <c r="E307" s="25"/>
      <c r="F307" s="25"/>
      <c r="G307" s="25"/>
      <c r="H307" s="26"/>
      <c r="I307" s="27" t="str">
        <f aca="false">IF(OR(C307="",H307=""),"",C307-H307)</f>
        <v/>
      </c>
      <c r="J307" s="8" t="str">
        <f aca="false">IF(C307="","",IF(H307="","WAITING",IF(ABS(C307-H307)&lt;0.005,"MATCHED","CHECK")))</f>
        <v/>
      </c>
      <c r="K307" s="27" t="str">
        <f aca="false">IF(OR(A307="",E307="",F307=""),"",SUMIFS('Sales Log'!$L$5:$L$1004,'Sales Log'!$B$5:$B$1004,A307,'Sales Log'!$A$5:$A$1004,"&gt;="&amp;E307,'Sales Log'!$A$5:$A$1004,"&lt;="&amp;F307,'Sales Log'!$R$5:$R$1004,IF(O307="EXAMPLE","EXAMPLE","&lt;&gt;EXAMPLE")))</f>
        <v/>
      </c>
      <c r="L307" s="16"/>
      <c r="M307" s="16"/>
      <c r="N307" s="16"/>
      <c r="O307" s="16"/>
    </row>
    <row r="308" customFormat="false" ht="15" hidden="false" customHeight="false" outlineLevel="0" collapsed="false">
      <c r="A308" s="16"/>
      <c r="B308" s="25"/>
      <c r="C308" s="26"/>
      <c r="D308" s="16"/>
      <c r="E308" s="25"/>
      <c r="F308" s="25"/>
      <c r="G308" s="25"/>
      <c r="H308" s="26"/>
      <c r="I308" s="27" t="str">
        <f aca="false">IF(OR(C308="",H308=""),"",C308-H308)</f>
        <v/>
      </c>
      <c r="J308" s="8" t="str">
        <f aca="false">IF(C308="","",IF(H308="","WAITING",IF(ABS(C308-H308)&lt;0.005,"MATCHED","CHECK")))</f>
        <v/>
      </c>
      <c r="K308" s="27" t="str">
        <f aca="false">IF(OR(A308="",E308="",F308=""),"",SUMIFS('Sales Log'!$L$5:$L$1004,'Sales Log'!$B$5:$B$1004,A308,'Sales Log'!$A$5:$A$1004,"&gt;="&amp;E308,'Sales Log'!$A$5:$A$1004,"&lt;="&amp;F308,'Sales Log'!$R$5:$R$1004,IF(O308="EXAMPLE","EXAMPLE","&lt;&gt;EXAMPLE")))</f>
        <v/>
      </c>
      <c r="L308" s="16"/>
      <c r="M308" s="16"/>
      <c r="N308" s="16"/>
      <c r="O308" s="16"/>
    </row>
    <row r="309" customFormat="false" ht="15" hidden="false" customHeight="false" outlineLevel="0" collapsed="false">
      <c r="A309" s="16"/>
      <c r="B309" s="25"/>
      <c r="C309" s="26"/>
      <c r="D309" s="16"/>
      <c r="E309" s="25"/>
      <c r="F309" s="25"/>
      <c r="G309" s="25"/>
      <c r="H309" s="26"/>
      <c r="I309" s="27" t="str">
        <f aca="false">IF(OR(C309="",H309=""),"",C309-H309)</f>
        <v/>
      </c>
      <c r="J309" s="8" t="str">
        <f aca="false">IF(C309="","",IF(H309="","WAITING",IF(ABS(C309-H309)&lt;0.005,"MATCHED","CHECK")))</f>
        <v/>
      </c>
      <c r="K309" s="27" t="str">
        <f aca="false">IF(OR(A309="",E309="",F309=""),"",SUMIFS('Sales Log'!$L$5:$L$1004,'Sales Log'!$B$5:$B$1004,A309,'Sales Log'!$A$5:$A$1004,"&gt;="&amp;E309,'Sales Log'!$A$5:$A$1004,"&lt;="&amp;F309,'Sales Log'!$R$5:$R$1004,IF(O309="EXAMPLE","EXAMPLE","&lt;&gt;EXAMPLE")))</f>
        <v/>
      </c>
      <c r="L309" s="16"/>
      <c r="M309" s="16"/>
      <c r="N309" s="16"/>
      <c r="O309" s="16"/>
    </row>
    <row r="310" customFormat="false" ht="15" hidden="false" customHeight="false" outlineLevel="0" collapsed="false">
      <c r="A310" s="16"/>
      <c r="B310" s="25"/>
      <c r="C310" s="26"/>
      <c r="D310" s="16"/>
      <c r="E310" s="25"/>
      <c r="F310" s="25"/>
      <c r="G310" s="25"/>
      <c r="H310" s="26"/>
      <c r="I310" s="27" t="str">
        <f aca="false">IF(OR(C310="",H310=""),"",C310-H310)</f>
        <v/>
      </c>
      <c r="J310" s="8" t="str">
        <f aca="false">IF(C310="","",IF(H310="","WAITING",IF(ABS(C310-H310)&lt;0.005,"MATCHED","CHECK")))</f>
        <v/>
      </c>
      <c r="K310" s="27" t="str">
        <f aca="false">IF(OR(A310="",E310="",F310=""),"",SUMIFS('Sales Log'!$L$5:$L$1004,'Sales Log'!$B$5:$B$1004,A310,'Sales Log'!$A$5:$A$1004,"&gt;="&amp;E310,'Sales Log'!$A$5:$A$1004,"&lt;="&amp;F310,'Sales Log'!$R$5:$R$1004,IF(O310="EXAMPLE","EXAMPLE","&lt;&gt;EXAMPLE")))</f>
        <v/>
      </c>
      <c r="L310" s="16"/>
      <c r="M310" s="16"/>
      <c r="N310" s="16"/>
      <c r="O310" s="16"/>
    </row>
    <row r="311" customFormat="false" ht="15" hidden="false" customHeight="false" outlineLevel="0" collapsed="false">
      <c r="A311" s="16"/>
      <c r="B311" s="25"/>
      <c r="C311" s="26"/>
      <c r="D311" s="16"/>
      <c r="E311" s="25"/>
      <c r="F311" s="25"/>
      <c r="G311" s="25"/>
      <c r="H311" s="26"/>
      <c r="I311" s="27" t="str">
        <f aca="false">IF(OR(C311="",H311=""),"",C311-H311)</f>
        <v/>
      </c>
      <c r="J311" s="8" t="str">
        <f aca="false">IF(C311="","",IF(H311="","WAITING",IF(ABS(C311-H311)&lt;0.005,"MATCHED","CHECK")))</f>
        <v/>
      </c>
      <c r="K311" s="27" t="str">
        <f aca="false">IF(OR(A311="",E311="",F311=""),"",SUMIFS('Sales Log'!$L$5:$L$1004,'Sales Log'!$B$5:$B$1004,A311,'Sales Log'!$A$5:$A$1004,"&gt;="&amp;E311,'Sales Log'!$A$5:$A$1004,"&lt;="&amp;F311,'Sales Log'!$R$5:$R$1004,IF(O311="EXAMPLE","EXAMPLE","&lt;&gt;EXAMPLE")))</f>
        <v/>
      </c>
      <c r="L311" s="16"/>
      <c r="M311" s="16"/>
      <c r="N311" s="16"/>
      <c r="O311" s="16"/>
    </row>
    <row r="312" customFormat="false" ht="15" hidden="false" customHeight="false" outlineLevel="0" collapsed="false">
      <c r="A312" s="16"/>
      <c r="B312" s="25"/>
      <c r="C312" s="26"/>
      <c r="D312" s="16"/>
      <c r="E312" s="25"/>
      <c r="F312" s="25"/>
      <c r="G312" s="25"/>
      <c r="H312" s="26"/>
      <c r="I312" s="27" t="str">
        <f aca="false">IF(OR(C312="",H312=""),"",C312-H312)</f>
        <v/>
      </c>
      <c r="J312" s="8" t="str">
        <f aca="false">IF(C312="","",IF(H312="","WAITING",IF(ABS(C312-H312)&lt;0.005,"MATCHED","CHECK")))</f>
        <v/>
      </c>
      <c r="K312" s="27" t="str">
        <f aca="false">IF(OR(A312="",E312="",F312=""),"",SUMIFS('Sales Log'!$L$5:$L$1004,'Sales Log'!$B$5:$B$1004,A312,'Sales Log'!$A$5:$A$1004,"&gt;="&amp;E312,'Sales Log'!$A$5:$A$1004,"&lt;="&amp;F312,'Sales Log'!$R$5:$R$1004,IF(O312="EXAMPLE","EXAMPLE","&lt;&gt;EXAMPLE")))</f>
        <v/>
      </c>
      <c r="L312" s="16"/>
      <c r="M312" s="16"/>
      <c r="N312" s="16"/>
      <c r="O312" s="16"/>
    </row>
    <row r="313" customFormat="false" ht="15" hidden="false" customHeight="false" outlineLevel="0" collapsed="false">
      <c r="A313" s="16"/>
      <c r="B313" s="25"/>
      <c r="C313" s="26"/>
      <c r="D313" s="16"/>
      <c r="E313" s="25"/>
      <c r="F313" s="25"/>
      <c r="G313" s="25"/>
      <c r="H313" s="26"/>
      <c r="I313" s="27" t="str">
        <f aca="false">IF(OR(C313="",H313=""),"",C313-H313)</f>
        <v/>
      </c>
      <c r="J313" s="8" t="str">
        <f aca="false">IF(C313="","",IF(H313="","WAITING",IF(ABS(C313-H313)&lt;0.005,"MATCHED","CHECK")))</f>
        <v/>
      </c>
      <c r="K313" s="27" t="str">
        <f aca="false">IF(OR(A313="",E313="",F313=""),"",SUMIFS('Sales Log'!$L$5:$L$1004,'Sales Log'!$B$5:$B$1004,A313,'Sales Log'!$A$5:$A$1004,"&gt;="&amp;E313,'Sales Log'!$A$5:$A$1004,"&lt;="&amp;F313,'Sales Log'!$R$5:$R$1004,IF(O313="EXAMPLE","EXAMPLE","&lt;&gt;EXAMPLE")))</f>
        <v/>
      </c>
      <c r="L313" s="16"/>
      <c r="M313" s="16"/>
      <c r="N313" s="16"/>
      <c r="O313" s="16"/>
    </row>
    <row r="314" customFormat="false" ht="15" hidden="false" customHeight="false" outlineLevel="0" collapsed="false">
      <c r="A314" s="16"/>
      <c r="B314" s="25"/>
      <c r="C314" s="26"/>
      <c r="D314" s="16"/>
      <c r="E314" s="25"/>
      <c r="F314" s="25"/>
      <c r="G314" s="25"/>
      <c r="H314" s="26"/>
      <c r="I314" s="27" t="str">
        <f aca="false">IF(OR(C314="",H314=""),"",C314-H314)</f>
        <v/>
      </c>
      <c r="J314" s="8" t="str">
        <f aca="false">IF(C314="","",IF(H314="","WAITING",IF(ABS(C314-H314)&lt;0.005,"MATCHED","CHECK")))</f>
        <v/>
      </c>
      <c r="K314" s="27" t="str">
        <f aca="false">IF(OR(A314="",E314="",F314=""),"",SUMIFS('Sales Log'!$L$5:$L$1004,'Sales Log'!$B$5:$B$1004,A314,'Sales Log'!$A$5:$A$1004,"&gt;="&amp;E314,'Sales Log'!$A$5:$A$1004,"&lt;="&amp;F314,'Sales Log'!$R$5:$R$1004,IF(O314="EXAMPLE","EXAMPLE","&lt;&gt;EXAMPLE")))</f>
        <v/>
      </c>
      <c r="L314" s="16"/>
      <c r="M314" s="16"/>
      <c r="N314" s="16"/>
      <c r="O314" s="16"/>
    </row>
    <row r="315" customFormat="false" ht="15" hidden="false" customHeight="false" outlineLevel="0" collapsed="false">
      <c r="A315" s="16"/>
      <c r="B315" s="25"/>
      <c r="C315" s="26"/>
      <c r="D315" s="16"/>
      <c r="E315" s="25"/>
      <c r="F315" s="25"/>
      <c r="G315" s="25"/>
      <c r="H315" s="26"/>
      <c r="I315" s="27" t="str">
        <f aca="false">IF(OR(C315="",H315=""),"",C315-H315)</f>
        <v/>
      </c>
      <c r="J315" s="8" t="str">
        <f aca="false">IF(C315="","",IF(H315="","WAITING",IF(ABS(C315-H315)&lt;0.005,"MATCHED","CHECK")))</f>
        <v/>
      </c>
      <c r="K315" s="27" t="str">
        <f aca="false">IF(OR(A315="",E315="",F315=""),"",SUMIFS('Sales Log'!$L$5:$L$1004,'Sales Log'!$B$5:$B$1004,A315,'Sales Log'!$A$5:$A$1004,"&gt;="&amp;E315,'Sales Log'!$A$5:$A$1004,"&lt;="&amp;F315,'Sales Log'!$R$5:$R$1004,IF(O315="EXAMPLE","EXAMPLE","&lt;&gt;EXAMPLE")))</f>
        <v/>
      </c>
      <c r="L315" s="16"/>
      <c r="M315" s="16"/>
      <c r="N315" s="16"/>
      <c r="O315" s="16"/>
    </row>
    <row r="316" customFormat="false" ht="15" hidden="false" customHeight="false" outlineLevel="0" collapsed="false">
      <c r="A316" s="16"/>
      <c r="B316" s="25"/>
      <c r="C316" s="26"/>
      <c r="D316" s="16"/>
      <c r="E316" s="25"/>
      <c r="F316" s="25"/>
      <c r="G316" s="25"/>
      <c r="H316" s="26"/>
      <c r="I316" s="27" t="str">
        <f aca="false">IF(OR(C316="",H316=""),"",C316-H316)</f>
        <v/>
      </c>
      <c r="J316" s="8" t="str">
        <f aca="false">IF(C316="","",IF(H316="","WAITING",IF(ABS(C316-H316)&lt;0.005,"MATCHED","CHECK")))</f>
        <v/>
      </c>
      <c r="K316" s="27" t="str">
        <f aca="false">IF(OR(A316="",E316="",F316=""),"",SUMIFS('Sales Log'!$L$5:$L$1004,'Sales Log'!$B$5:$B$1004,A316,'Sales Log'!$A$5:$A$1004,"&gt;="&amp;E316,'Sales Log'!$A$5:$A$1004,"&lt;="&amp;F316,'Sales Log'!$R$5:$R$1004,IF(O316="EXAMPLE","EXAMPLE","&lt;&gt;EXAMPLE")))</f>
        <v/>
      </c>
      <c r="L316" s="16"/>
      <c r="M316" s="16"/>
      <c r="N316" s="16"/>
      <c r="O316" s="16"/>
    </row>
    <row r="317" customFormat="false" ht="15" hidden="false" customHeight="false" outlineLevel="0" collapsed="false">
      <c r="A317" s="16"/>
      <c r="B317" s="25"/>
      <c r="C317" s="26"/>
      <c r="D317" s="16"/>
      <c r="E317" s="25"/>
      <c r="F317" s="25"/>
      <c r="G317" s="25"/>
      <c r="H317" s="26"/>
      <c r="I317" s="27" t="str">
        <f aca="false">IF(OR(C317="",H317=""),"",C317-H317)</f>
        <v/>
      </c>
      <c r="J317" s="8" t="str">
        <f aca="false">IF(C317="","",IF(H317="","WAITING",IF(ABS(C317-H317)&lt;0.005,"MATCHED","CHECK")))</f>
        <v/>
      </c>
      <c r="K317" s="27" t="str">
        <f aca="false">IF(OR(A317="",E317="",F317=""),"",SUMIFS('Sales Log'!$L$5:$L$1004,'Sales Log'!$B$5:$B$1004,A317,'Sales Log'!$A$5:$A$1004,"&gt;="&amp;E317,'Sales Log'!$A$5:$A$1004,"&lt;="&amp;F317,'Sales Log'!$R$5:$R$1004,IF(O317="EXAMPLE","EXAMPLE","&lt;&gt;EXAMPLE")))</f>
        <v/>
      </c>
      <c r="L317" s="16"/>
      <c r="M317" s="16"/>
      <c r="N317" s="16"/>
      <c r="O317" s="16"/>
    </row>
    <row r="318" customFormat="false" ht="15" hidden="false" customHeight="false" outlineLevel="0" collapsed="false">
      <c r="A318" s="16"/>
      <c r="B318" s="25"/>
      <c r="C318" s="26"/>
      <c r="D318" s="16"/>
      <c r="E318" s="25"/>
      <c r="F318" s="25"/>
      <c r="G318" s="25"/>
      <c r="H318" s="26"/>
      <c r="I318" s="27" t="str">
        <f aca="false">IF(OR(C318="",H318=""),"",C318-H318)</f>
        <v/>
      </c>
      <c r="J318" s="8" t="str">
        <f aca="false">IF(C318="","",IF(H318="","WAITING",IF(ABS(C318-H318)&lt;0.005,"MATCHED","CHECK")))</f>
        <v/>
      </c>
      <c r="K318" s="27" t="str">
        <f aca="false">IF(OR(A318="",E318="",F318=""),"",SUMIFS('Sales Log'!$L$5:$L$1004,'Sales Log'!$B$5:$B$1004,A318,'Sales Log'!$A$5:$A$1004,"&gt;="&amp;E318,'Sales Log'!$A$5:$A$1004,"&lt;="&amp;F318,'Sales Log'!$R$5:$R$1004,IF(O318="EXAMPLE","EXAMPLE","&lt;&gt;EXAMPLE")))</f>
        <v/>
      </c>
      <c r="L318" s="16"/>
      <c r="M318" s="16"/>
      <c r="N318" s="16"/>
      <c r="O318" s="16"/>
    </row>
    <row r="319" customFormat="false" ht="15" hidden="false" customHeight="false" outlineLevel="0" collapsed="false">
      <c r="A319" s="16"/>
      <c r="B319" s="25"/>
      <c r="C319" s="26"/>
      <c r="D319" s="16"/>
      <c r="E319" s="25"/>
      <c r="F319" s="25"/>
      <c r="G319" s="25"/>
      <c r="H319" s="26"/>
      <c r="I319" s="27" t="str">
        <f aca="false">IF(OR(C319="",H319=""),"",C319-H319)</f>
        <v/>
      </c>
      <c r="J319" s="8" t="str">
        <f aca="false">IF(C319="","",IF(H319="","WAITING",IF(ABS(C319-H319)&lt;0.005,"MATCHED","CHECK")))</f>
        <v/>
      </c>
      <c r="K319" s="27" t="str">
        <f aca="false">IF(OR(A319="",E319="",F319=""),"",SUMIFS('Sales Log'!$L$5:$L$1004,'Sales Log'!$B$5:$B$1004,A319,'Sales Log'!$A$5:$A$1004,"&gt;="&amp;E319,'Sales Log'!$A$5:$A$1004,"&lt;="&amp;F319,'Sales Log'!$R$5:$R$1004,IF(O319="EXAMPLE","EXAMPLE","&lt;&gt;EXAMPLE")))</f>
        <v/>
      </c>
      <c r="L319" s="16"/>
      <c r="M319" s="16"/>
      <c r="N319" s="16"/>
      <c r="O319" s="16"/>
    </row>
    <row r="320" customFormat="false" ht="15" hidden="false" customHeight="false" outlineLevel="0" collapsed="false">
      <c r="A320" s="16"/>
      <c r="B320" s="25"/>
      <c r="C320" s="26"/>
      <c r="D320" s="16"/>
      <c r="E320" s="25"/>
      <c r="F320" s="25"/>
      <c r="G320" s="25"/>
      <c r="H320" s="26"/>
      <c r="I320" s="27" t="str">
        <f aca="false">IF(OR(C320="",H320=""),"",C320-H320)</f>
        <v/>
      </c>
      <c r="J320" s="8" t="str">
        <f aca="false">IF(C320="","",IF(H320="","WAITING",IF(ABS(C320-H320)&lt;0.005,"MATCHED","CHECK")))</f>
        <v/>
      </c>
      <c r="K320" s="27" t="str">
        <f aca="false">IF(OR(A320="",E320="",F320=""),"",SUMIFS('Sales Log'!$L$5:$L$1004,'Sales Log'!$B$5:$B$1004,A320,'Sales Log'!$A$5:$A$1004,"&gt;="&amp;E320,'Sales Log'!$A$5:$A$1004,"&lt;="&amp;F320,'Sales Log'!$R$5:$R$1004,IF(O320="EXAMPLE","EXAMPLE","&lt;&gt;EXAMPLE")))</f>
        <v/>
      </c>
      <c r="L320" s="16"/>
      <c r="M320" s="16"/>
      <c r="N320" s="16"/>
      <c r="O320" s="16"/>
    </row>
    <row r="321" customFormat="false" ht="15" hidden="false" customHeight="false" outlineLevel="0" collapsed="false">
      <c r="A321" s="16"/>
      <c r="B321" s="25"/>
      <c r="C321" s="26"/>
      <c r="D321" s="16"/>
      <c r="E321" s="25"/>
      <c r="F321" s="25"/>
      <c r="G321" s="25"/>
      <c r="H321" s="26"/>
      <c r="I321" s="27" t="str">
        <f aca="false">IF(OR(C321="",H321=""),"",C321-H321)</f>
        <v/>
      </c>
      <c r="J321" s="8" t="str">
        <f aca="false">IF(C321="","",IF(H321="","WAITING",IF(ABS(C321-H321)&lt;0.005,"MATCHED","CHECK")))</f>
        <v/>
      </c>
      <c r="K321" s="27" t="str">
        <f aca="false">IF(OR(A321="",E321="",F321=""),"",SUMIFS('Sales Log'!$L$5:$L$1004,'Sales Log'!$B$5:$B$1004,A321,'Sales Log'!$A$5:$A$1004,"&gt;="&amp;E321,'Sales Log'!$A$5:$A$1004,"&lt;="&amp;F321,'Sales Log'!$R$5:$R$1004,IF(O321="EXAMPLE","EXAMPLE","&lt;&gt;EXAMPLE")))</f>
        <v/>
      </c>
      <c r="L321" s="16"/>
      <c r="M321" s="16"/>
      <c r="N321" s="16"/>
      <c r="O321" s="16"/>
    </row>
    <row r="322" customFormat="false" ht="15" hidden="false" customHeight="false" outlineLevel="0" collapsed="false">
      <c r="A322" s="16"/>
      <c r="B322" s="25"/>
      <c r="C322" s="26"/>
      <c r="D322" s="16"/>
      <c r="E322" s="25"/>
      <c r="F322" s="25"/>
      <c r="G322" s="25"/>
      <c r="H322" s="26"/>
      <c r="I322" s="27" t="str">
        <f aca="false">IF(OR(C322="",H322=""),"",C322-H322)</f>
        <v/>
      </c>
      <c r="J322" s="8" t="str">
        <f aca="false">IF(C322="","",IF(H322="","WAITING",IF(ABS(C322-H322)&lt;0.005,"MATCHED","CHECK")))</f>
        <v/>
      </c>
      <c r="K322" s="27" t="str">
        <f aca="false">IF(OR(A322="",E322="",F322=""),"",SUMIFS('Sales Log'!$L$5:$L$1004,'Sales Log'!$B$5:$B$1004,A322,'Sales Log'!$A$5:$A$1004,"&gt;="&amp;E322,'Sales Log'!$A$5:$A$1004,"&lt;="&amp;F322,'Sales Log'!$R$5:$R$1004,IF(O322="EXAMPLE","EXAMPLE","&lt;&gt;EXAMPLE")))</f>
        <v/>
      </c>
      <c r="L322" s="16"/>
      <c r="M322" s="16"/>
      <c r="N322" s="16"/>
      <c r="O322" s="16"/>
    </row>
    <row r="323" customFormat="false" ht="15" hidden="false" customHeight="false" outlineLevel="0" collapsed="false">
      <c r="A323" s="16"/>
      <c r="B323" s="25"/>
      <c r="C323" s="26"/>
      <c r="D323" s="16"/>
      <c r="E323" s="25"/>
      <c r="F323" s="25"/>
      <c r="G323" s="25"/>
      <c r="H323" s="26"/>
      <c r="I323" s="27" t="str">
        <f aca="false">IF(OR(C323="",H323=""),"",C323-H323)</f>
        <v/>
      </c>
      <c r="J323" s="8" t="str">
        <f aca="false">IF(C323="","",IF(H323="","WAITING",IF(ABS(C323-H323)&lt;0.005,"MATCHED","CHECK")))</f>
        <v/>
      </c>
      <c r="K323" s="27" t="str">
        <f aca="false">IF(OR(A323="",E323="",F323=""),"",SUMIFS('Sales Log'!$L$5:$L$1004,'Sales Log'!$B$5:$B$1004,A323,'Sales Log'!$A$5:$A$1004,"&gt;="&amp;E323,'Sales Log'!$A$5:$A$1004,"&lt;="&amp;F323,'Sales Log'!$R$5:$R$1004,IF(O323="EXAMPLE","EXAMPLE","&lt;&gt;EXAMPLE")))</f>
        <v/>
      </c>
      <c r="L323" s="16"/>
      <c r="M323" s="16"/>
      <c r="N323" s="16"/>
      <c r="O323" s="16"/>
    </row>
    <row r="324" customFormat="false" ht="15" hidden="false" customHeight="false" outlineLevel="0" collapsed="false">
      <c r="A324" s="16"/>
      <c r="B324" s="25"/>
      <c r="C324" s="26"/>
      <c r="D324" s="16"/>
      <c r="E324" s="25"/>
      <c r="F324" s="25"/>
      <c r="G324" s="25"/>
      <c r="H324" s="26"/>
      <c r="I324" s="27" t="str">
        <f aca="false">IF(OR(C324="",H324=""),"",C324-H324)</f>
        <v/>
      </c>
      <c r="J324" s="8" t="str">
        <f aca="false">IF(C324="","",IF(H324="","WAITING",IF(ABS(C324-H324)&lt;0.005,"MATCHED","CHECK")))</f>
        <v/>
      </c>
      <c r="K324" s="27" t="str">
        <f aca="false">IF(OR(A324="",E324="",F324=""),"",SUMIFS('Sales Log'!$L$5:$L$1004,'Sales Log'!$B$5:$B$1004,A324,'Sales Log'!$A$5:$A$1004,"&gt;="&amp;E324,'Sales Log'!$A$5:$A$1004,"&lt;="&amp;F324,'Sales Log'!$R$5:$R$1004,IF(O324="EXAMPLE","EXAMPLE","&lt;&gt;EXAMPLE")))</f>
        <v/>
      </c>
      <c r="L324" s="16"/>
      <c r="M324" s="16"/>
      <c r="N324" s="16"/>
      <c r="O324" s="16"/>
    </row>
    <row r="325" customFormat="false" ht="15" hidden="false" customHeight="false" outlineLevel="0" collapsed="false">
      <c r="A325" s="16"/>
      <c r="B325" s="25"/>
      <c r="C325" s="26"/>
      <c r="D325" s="16"/>
      <c r="E325" s="25"/>
      <c r="F325" s="25"/>
      <c r="G325" s="25"/>
      <c r="H325" s="26"/>
      <c r="I325" s="27" t="str">
        <f aca="false">IF(OR(C325="",H325=""),"",C325-H325)</f>
        <v/>
      </c>
      <c r="J325" s="8" t="str">
        <f aca="false">IF(C325="","",IF(H325="","WAITING",IF(ABS(C325-H325)&lt;0.005,"MATCHED","CHECK")))</f>
        <v/>
      </c>
      <c r="K325" s="27" t="str">
        <f aca="false">IF(OR(A325="",E325="",F325=""),"",SUMIFS('Sales Log'!$L$5:$L$1004,'Sales Log'!$B$5:$B$1004,A325,'Sales Log'!$A$5:$A$1004,"&gt;="&amp;E325,'Sales Log'!$A$5:$A$1004,"&lt;="&amp;F325,'Sales Log'!$R$5:$R$1004,IF(O325="EXAMPLE","EXAMPLE","&lt;&gt;EXAMPLE")))</f>
        <v/>
      </c>
      <c r="L325" s="16"/>
      <c r="M325" s="16"/>
      <c r="N325" s="16"/>
      <c r="O325" s="16"/>
    </row>
    <row r="326" customFormat="false" ht="15" hidden="false" customHeight="false" outlineLevel="0" collapsed="false">
      <c r="A326" s="16"/>
      <c r="B326" s="25"/>
      <c r="C326" s="26"/>
      <c r="D326" s="16"/>
      <c r="E326" s="25"/>
      <c r="F326" s="25"/>
      <c r="G326" s="25"/>
      <c r="H326" s="26"/>
      <c r="I326" s="27" t="str">
        <f aca="false">IF(OR(C326="",H326=""),"",C326-H326)</f>
        <v/>
      </c>
      <c r="J326" s="8" t="str">
        <f aca="false">IF(C326="","",IF(H326="","WAITING",IF(ABS(C326-H326)&lt;0.005,"MATCHED","CHECK")))</f>
        <v/>
      </c>
      <c r="K326" s="27" t="str">
        <f aca="false">IF(OR(A326="",E326="",F326=""),"",SUMIFS('Sales Log'!$L$5:$L$1004,'Sales Log'!$B$5:$B$1004,A326,'Sales Log'!$A$5:$A$1004,"&gt;="&amp;E326,'Sales Log'!$A$5:$A$1004,"&lt;="&amp;F326,'Sales Log'!$R$5:$R$1004,IF(O326="EXAMPLE","EXAMPLE","&lt;&gt;EXAMPLE")))</f>
        <v/>
      </c>
      <c r="L326" s="16"/>
      <c r="M326" s="16"/>
      <c r="N326" s="16"/>
      <c r="O326" s="16"/>
    </row>
    <row r="327" customFormat="false" ht="15" hidden="false" customHeight="false" outlineLevel="0" collapsed="false">
      <c r="A327" s="16"/>
      <c r="B327" s="25"/>
      <c r="C327" s="26"/>
      <c r="D327" s="16"/>
      <c r="E327" s="25"/>
      <c r="F327" s="25"/>
      <c r="G327" s="25"/>
      <c r="H327" s="26"/>
      <c r="I327" s="27" t="str">
        <f aca="false">IF(OR(C327="",H327=""),"",C327-H327)</f>
        <v/>
      </c>
      <c r="J327" s="8" t="str">
        <f aca="false">IF(C327="","",IF(H327="","WAITING",IF(ABS(C327-H327)&lt;0.005,"MATCHED","CHECK")))</f>
        <v/>
      </c>
      <c r="K327" s="27" t="str">
        <f aca="false">IF(OR(A327="",E327="",F327=""),"",SUMIFS('Sales Log'!$L$5:$L$1004,'Sales Log'!$B$5:$B$1004,A327,'Sales Log'!$A$5:$A$1004,"&gt;="&amp;E327,'Sales Log'!$A$5:$A$1004,"&lt;="&amp;F327,'Sales Log'!$R$5:$R$1004,IF(O327="EXAMPLE","EXAMPLE","&lt;&gt;EXAMPLE")))</f>
        <v/>
      </c>
      <c r="L327" s="16"/>
      <c r="M327" s="16"/>
      <c r="N327" s="16"/>
      <c r="O327" s="16"/>
    </row>
    <row r="328" customFormat="false" ht="15" hidden="false" customHeight="false" outlineLevel="0" collapsed="false">
      <c r="A328" s="16"/>
      <c r="B328" s="25"/>
      <c r="C328" s="26"/>
      <c r="D328" s="16"/>
      <c r="E328" s="25"/>
      <c r="F328" s="25"/>
      <c r="G328" s="25"/>
      <c r="H328" s="26"/>
      <c r="I328" s="27" t="str">
        <f aca="false">IF(OR(C328="",H328=""),"",C328-H328)</f>
        <v/>
      </c>
      <c r="J328" s="8" t="str">
        <f aca="false">IF(C328="","",IF(H328="","WAITING",IF(ABS(C328-H328)&lt;0.005,"MATCHED","CHECK")))</f>
        <v/>
      </c>
      <c r="K328" s="27" t="str">
        <f aca="false">IF(OR(A328="",E328="",F328=""),"",SUMIFS('Sales Log'!$L$5:$L$1004,'Sales Log'!$B$5:$B$1004,A328,'Sales Log'!$A$5:$A$1004,"&gt;="&amp;E328,'Sales Log'!$A$5:$A$1004,"&lt;="&amp;F328,'Sales Log'!$R$5:$R$1004,IF(O328="EXAMPLE","EXAMPLE","&lt;&gt;EXAMPLE")))</f>
        <v/>
      </c>
      <c r="L328" s="16"/>
      <c r="M328" s="16"/>
      <c r="N328" s="16"/>
      <c r="O328" s="16"/>
    </row>
    <row r="329" customFormat="false" ht="15" hidden="false" customHeight="false" outlineLevel="0" collapsed="false">
      <c r="A329" s="16"/>
      <c r="B329" s="25"/>
      <c r="C329" s="26"/>
      <c r="D329" s="16"/>
      <c r="E329" s="25"/>
      <c r="F329" s="25"/>
      <c r="G329" s="25"/>
      <c r="H329" s="26"/>
      <c r="I329" s="27" t="str">
        <f aca="false">IF(OR(C329="",H329=""),"",C329-H329)</f>
        <v/>
      </c>
      <c r="J329" s="8" t="str">
        <f aca="false">IF(C329="","",IF(H329="","WAITING",IF(ABS(C329-H329)&lt;0.005,"MATCHED","CHECK")))</f>
        <v/>
      </c>
      <c r="K329" s="27" t="str">
        <f aca="false">IF(OR(A329="",E329="",F329=""),"",SUMIFS('Sales Log'!$L$5:$L$1004,'Sales Log'!$B$5:$B$1004,A329,'Sales Log'!$A$5:$A$1004,"&gt;="&amp;E329,'Sales Log'!$A$5:$A$1004,"&lt;="&amp;F329,'Sales Log'!$R$5:$R$1004,IF(O329="EXAMPLE","EXAMPLE","&lt;&gt;EXAMPLE")))</f>
        <v/>
      </c>
      <c r="L329" s="16"/>
      <c r="M329" s="16"/>
      <c r="N329" s="16"/>
      <c r="O329" s="16"/>
    </row>
    <row r="330" customFormat="false" ht="15" hidden="false" customHeight="false" outlineLevel="0" collapsed="false">
      <c r="A330" s="16"/>
      <c r="B330" s="25"/>
      <c r="C330" s="26"/>
      <c r="D330" s="16"/>
      <c r="E330" s="25"/>
      <c r="F330" s="25"/>
      <c r="G330" s="25"/>
      <c r="H330" s="26"/>
      <c r="I330" s="27" t="str">
        <f aca="false">IF(OR(C330="",H330=""),"",C330-H330)</f>
        <v/>
      </c>
      <c r="J330" s="8" t="str">
        <f aca="false">IF(C330="","",IF(H330="","WAITING",IF(ABS(C330-H330)&lt;0.005,"MATCHED","CHECK")))</f>
        <v/>
      </c>
      <c r="K330" s="27" t="str">
        <f aca="false">IF(OR(A330="",E330="",F330=""),"",SUMIFS('Sales Log'!$L$5:$L$1004,'Sales Log'!$B$5:$B$1004,A330,'Sales Log'!$A$5:$A$1004,"&gt;="&amp;E330,'Sales Log'!$A$5:$A$1004,"&lt;="&amp;F330,'Sales Log'!$R$5:$R$1004,IF(O330="EXAMPLE","EXAMPLE","&lt;&gt;EXAMPLE")))</f>
        <v/>
      </c>
      <c r="L330" s="16"/>
      <c r="M330" s="16"/>
      <c r="N330" s="16"/>
      <c r="O330" s="16"/>
    </row>
    <row r="331" customFormat="false" ht="15" hidden="false" customHeight="false" outlineLevel="0" collapsed="false">
      <c r="A331" s="16"/>
      <c r="B331" s="25"/>
      <c r="C331" s="26"/>
      <c r="D331" s="16"/>
      <c r="E331" s="25"/>
      <c r="F331" s="25"/>
      <c r="G331" s="25"/>
      <c r="H331" s="26"/>
      <c r="I331" s="27" t="str">
        <f aca="false">IF(OR(C331="",H331=""),"",C331-H331)</f>
        <v/>
      </c>
      <c r="J331" s="8" t="str">
        <f aca="false">IF(C331="","",IF(H331="","WAITING",IF(ABS(C331-H331)&lt;0.005,"MATCHED","CHECK")))</f>
        <v/>
      </c>
      <c r="K331" s="27" t="str">
        <f aca="false">IF(OR(A331="",E331="",F331=""),"",SUMIFS('Sales Log'!$L$5:$L$1004,'Sales Log'!$B$5:$B$1004,A331,'Sales Log'!$A$5:$A$1004,"&gt;="&amp;E331,'Sales Log'!$A$5:$A$1004,"&lt;="&amp;F331,'Sales Log'!$R$5:$R$1004,IF(O331="EXAMPLE","EXAMPLE","&lt;&gt;EXAMPLE")))</f>
        <v/>
      </c>
      <c r="L331" s="16"/>
      <c r="M331" s="16"/>
      <c r="N331" s="16"/>
      <c r="O331" s="16"/>
    </row>
    <row r="332" customFormat="false" ht="15" hidden="false" customHeight="false" outlineLevel="0" collapsed="false">
      <c r="A332" s="16"/>
      <c r="B332" s="25"/>
      <c r="C332" s="26"/>
      <c r="D332" s="16"/>
      <c r="E332" s="25"/>
      <c r="F332" s="25"/>
      <c r="G332" s="25"/>
      <c r="H332" s="26"/>
      <c r="I332" s="27" t="str">
        <f aca="false">IF(OR(C332="",H332=""),"",C332-H332)</f>
        <v/>
      </c>
      <c r="J332" s="8" t="str">
        <f aca="false">IF(C332="","",IF(H332="","WAITING",IF(ABS(C332-H332)&lt;0.005,"MATCHED","CHECK")))</f>
        <v/>
      </c>
      <c r="K332" s="27" t="str">
        <f aca="false">IF(OR(A332="",E332="",F332=""),"",SUMIFS('Sales Log'!$L$5:$L$1004,'Sales Log'!$B$5:$B$1004,A332,'Sales Log'!$A$5:$A$1004,"&gt;="&amp;E332,'Sales Log'!$A$5:$A$1004,"&lt;="&amp;F332,'Sales Log'!$R$5:$R$1004,IF(O332="EXAMPLE","EXAMPLE","&lt;&gt;EXAMPLE")))</f>
        <v/>
      </c>
      <c r="L332" s="16"/>
      <c r="M332" s="16"/>
      <c r="N332" s="16"/>
      <c r="O332" s="16"/>
    </row>
    <row r="333" customFormat="false" ht="15" hidden="false" customHeight="false" outlineLevel="0" collapsed="false">
      <c r="A333" s="16"/>
      <c r="B333" s="25"/>
      <c r="C333" s="26"/>
      <c r="D333" s="16"/>
      <c r="E333" s="25"/>
      <c r="F333" s="25"/>
      <c r="G333" s="25"/>
      <c r="H333" s="26"/>
      <c r="I333" s="27" t="str">
        <f aca="false">IF(OR(C333="",H333=""),"",C333-H333)</f>
        <v/>
      </c>
      <c r="J333" s="8" t="str">
        <f aca="false">IF(C333="","",IF(H333="","WAITING",IF(ABS(C333-H333)&lt;0.005,"MATCHED","CHECK")))</f>
        <v/>
      </c>
      <c r="K333" s="27" t="str">
        <f aca="false">IF(OR(A333="",E333="",F333=""),"",SUMIFS('Sales Log'!$L$5:$L$1004,'Sales Log'!$B$5:$B$1004,A333,'Sales Log'!$A$5:$A$1004,"&gt;="&amp;E333,'Sales Log'!$A$5:$A$1004,"&lt;="&amp;F333,'Sales Log'!$R$5:$R$1004,IF(O333="EXAMPLE","EXAMPLE","&lt;&gt;EXAMPLE")))</f>
        <v/>
      </c>
      <c r="L333" s="16"/>
      <c r="M333" s="16"/>
      <c r="N333" s="16"/>
      <c r="O333" s="16"/>
    </row>
    <row r="334" customFormat="false" ht="15" hidden="false" customHeight="false" outlineLevel="0" collapsed="false">
      <c r="A334" s="16"/>
      <c r="B334" s="25"/>
      <c r="C334" s="26"/>
      <c r="D334" s="16"/>
      <c r="E334" s="25"/>
      <c r="F334" s="25"/>
      <c r="G334" s="25"/>
      <c r="H334" s="26"/>
      <c r="I334" s="27" t="str">
        <f aca="false">IF(OR(C334="",H334=""),"",C334-H334)</f>
        <v/>
      </c>
      <c r="J334" s="8" t="str">
        <f aca="false">IF(C334="","",IF(H334="","WAITING",IF(ABS(C334-H334)&lt;0.005,"MATCHED","CHECK")))</f>
        <v/>
      </c>
      <c r="K334" s="27" t="str">
        <f aca="false">IF(OR(A334="",E334="",F334=""),"",SUMIFS('Sales Log'!$L$5:$L$1004,'Sales Log'!$B$5:$B$1004,A334,'Sales Log'!$A$5:$A$1004,"&gt;="&amp;E334,'Sales Log'!$A$5:$A$1004,"&lt;="&amp;F334,'Sales Log'!$R$5:$R$1004,IF(O334="EXAMPLE","EXAMPLE","&lt;&gt;EXAMPLE")))</f>
        <v/>
      </c>
      <c r="L334" s="16"/>
      <c r="M334" s="16"/>
      <c r="N334" s="16"/>
      <c r="O334" s="16"/>
    </row>
    <row r="335" customFormat="false" ht="15" hidden="false" customHeight="false" outlineLevel="0" collapsed="false">
      <c r="A335" s="16"/>
      <c r="B335" s="25"/>
      <c r="C335" s="26"/>
      <c r="D335" s="16"/>
      <c r="E335" s="25"/>
      <c r="F335" s="25"/>
      <c r="G335" s="25"/>
      <c r="H335" s="26"/>
      <c r="I335" s="27" t="str">
        <f aca="false">IF(OR(C335="",H335=""),"",C335-H335)</f>
        <v/>
      </c>
      <c r="J335" s="8" t="str">
        <f aca="false">IF(C335="","",IF(H335="","WAITING",IF(ABS(C335-H335)&lt;0.005,"MATCHED","CHECK")))</f>
        <v/>
      </c>
      <c r="K335" s="27" t="str">
        <f aca="false">IF(OR(A335="",E335="",F335=""),"",SUMIFS('Sales Log'!$L$5:$L$1004,'Sales Log'!$B$5:$B$1004,A335,'Sales Log'!$A$5:$A$1004,"&gt;="&amp;E335,'Sales Log'!$A$5:$A$1004,"&lt;="&amp;F335,'Sales Log'!$R$5:$R$1004,IF(O335="EXAMPLE","EXAMPLE","&lt;&gt;EXAMPLE")))</f>
        <v/>
      </c>
      <c r="L335" s="16"/>
      <c r="M335" s="16"/>
      <c r="N335" s="16"/>
      <c r="O335" s="16"/>
    </row>
    <row r="336" customFormat="false" ht="15" hidden="false" customHeight="false" outlineLevel="0" collapsed="false">
      <c r="A336" s="16"/>
      <c r="B336" s="25"/>
      <c r="C336" s="26"/>
      <c r="D336" s="16"/>
      <c r="E336" s="25"/>
      <c r="F336" s="25"/>
      <c r="G336" s="25"/>
      <c r="H336" s="26"/>
      <c r="I336" s="27" t="str">
        <f aca="false">IF(OR(C336="",H336=""),"",C336-H336)</f>
        <v/>
      </c>
      <c r="J336" s="8" t="str">
        <f aca="false">IF(C336="","",IF(H336="","WAITING",IF(ABS(C336-H336)&lt;0.005,"MATCHED","CHECK")))</f>
        <v/>
      </c>
      <c r="K336" s="27" t="str">
        <f aca="false">IF(OR(A336="",E336="",F336=""),"",SUMIFS('Sales Log'!$L$5:$L$1004,'Sales Log'!$B$5:$B$1004,A336,'Sales Log'!$A$5:$A$1004,"&gt;="&amp;E336,'Sales Log'!$A$5:$A$1004,"&lt;="&amp;F336,'Sales Log'!$R$5:$R$1004,IF(O336="EXAMPLE","EXAMPLE","&lt;&gt;EXAMPLE")))</f>
        <v/>
      </c>
      <c r="L336" s="16"/>
      <c r="M336" s="16"/>
      <c r="N336" s="16"/>
      <c r="O336" s="16"/>
    </row>
    <row r="337" customFormat="false" ht="15" hidden="false" customHeight="false" outlineLevel="0" collapsed="false">
      <c r="A337" s="16"/>
      <c r="B337" s="25"/>
      <c r="C337" s="26"/>
      <c r="D337" s="16"/>
      <c r="E337" s="25"/>
      <c r="F337" s="25"/>
      <c r="G337" s="25"/>
      <c r="H337" s="26"/>
      <c r="I337" s="27" t="str">
        <f aca="false">IF(OR(C337="",H337=""),"",C337-H337)</f>
        <v/>
      </c>
      <c r="J337" s="8" t="str">
        <f aca="false">IF(C337="","",IF(H337="","WAITING",IF(ABS(C337-H337)&lt;0.005,"MATCHED","CHECK")))</f>
        <v/>
      </c>
      <c r="K337" s="27" t="str">
        <f aca="false">IF(OR(A337="",E337="",F337=""),"",SUMIFS('Sales Log'!$L$5:$L$1004,'Sales Log'!$B$5:$B$1004,A337,'Sales Log'!$A$5:$A$1004,"&gt;="&amp;E337,'Sales Log'!$A$5:$A$1004,"&lt;="&amp;F337,'Sales Log'!$R$5:$R$1004,IF(O337="EXAMPLE","EXAMPLE","&lt;&gt;EXAMPLE")))</f>
        <v/>
      </c>
      <c r="L337" s="16"/>
      <c r="M337" s="16"/>
      <c r="N337" s="16"/>
      <c r="O337" s="16"/>
    </row>
    <row r="338" customFormat="false" ht="15" hidden="false" customHeight="false" outlineLevel="0" collapsed="false">
      <c r="A338" s="16"/>
      <c r="B338" s="25"/>
      <c r="C338" s="26"/>
      <c r="D338" s="16"/>
      <c r="E338" s="25"/>
      <c r="F338" s="25"/>
      <c r="G338" s="25"/>
      <c r="H338" s="26"/>
      <c r="I338" s="27" t="str">
        <f aca="false">IF(OR(C338="",H338=""),"",C338-H338)</f>
        <v/>
      </c>
      <c r="J338" s="8" t="str">
        <f aca="false">IF(C338="","",IF(H338="","WAITING",IF(ABS(C338-H338)&lt;0.005,"MATCHED","CHECK")))</f>
        <v/>
      </c>
      <c r="K338" s="27" t="str">
        <f aca="false">IF(OR(A338="",E338="",F338=""),"",SUMIFS('Sales Log'!$L$5:$L$1004,'Sales Log'!$B$5:$B$1004,A338,'Sales Log'!$A$5:$A$1004,"&gt;="&amp;E338,'Sales Log'!$A$5:$A$1004,"&lt;="&amp;F338,'Sales Log'!$R$5:$R$1004,IF(O338="EXAMPLE","EXAMPLE","&lt;&gt;EXAMPLE")))</f>
        <v/>
      </c>
      <c r="L338" s="16"/>
      <c r="M338" s="16"/>
      <c r="N338" s="16"/>
      <c r="O338" s="16"/>
    </row>
    <row r="339" customFormat="false" ht="15" hidden="false" customHeight="false" outlineLevel="0" collapsed="false">
      <c r="A339" s="16"/>
      <c r="B339" s="25"/>
      <c r="C339" s="26"/>
      <c r="D339" s="16"/>
      <c r="E339" s="25"/>
      <c r="F339" s="25"/>
      <c r="G339" s="25"/>
      <c r="H339" s="26"/>
      <c r="I339" s="27" t="str">
        <f aca="false">IF(OR(C339="",H339=""),"",C339-H339)</f>
        <v/>
      </c>
      <c r="J339" s="8" t="str">
        <f aca="false">IF(C339="","",IF(H339="","WAITING",IF(ABS(C339-H339)&lt;0.005,"MATCHED","CHECK")))</f>
        <v/>
      </c>
      <c r="K339" s="27" t="str">
        <f aca="false">IF(OR(A339="",E339="",F339=""),"",SUMIFS('Sales Log'!$L$5:$L$1004,'Sales Log'!$B$5:$B$1004,A339,'Sales Log'!$A$5:$A$1004,"&gt;="&amp;E339,'Sales Log'!$A$5:$A$1004,"&lt;="&amp;F339,'Sales Log'!$R$5:$R$1004,IF(O339="EXAMPLE","EXAMPLE","&lt;&gt;EXAMPLE")))</f>
        <v/>
      </c>
      <c r="L339" s="16"/>
      <c r="M339" s="16"/>
      <c r="N339" s="16"/>
      <c r="O339" s="16"/>
    </row>
    <row r="340" customFormat="false" ht="15" hidden="false" customHeight="false" outlineLevel="0" collapsed="false">
      <c r="A340" s="16"/>
      <c r="B340" s="25"/>
      <c r="C340" s="26"/>
      <c r="D340" s="16"/>
      <c r="E340" s="25"/>
      <c r="F340" s="25"/>
      <c r="G340" s="25"/>
      <c r="H340" s="26"/>
      <c r="I340" s="27" t="str">
        <f aca="false">IF(OR(C340="",H340=""),"",C340-H340)</f>
        <v/>
      </c>
      <c r="J340" s="8" t="str">
        <f aca="false">IF(C340="","",IF(H340="","WAITING",IF(ABS(C340-H340)&lt;0.005,"MATCHED","CHECK")))</f>
        <v/>
      </c>
      <c r="K340" s="27" t="str">
        <f aca="false">IF(OR(A340="",E340="",F340=""),"",SUMIFS('Sales Log'!$L$5:$L$1004,'Sales Log'!$B$5:$B$1004,A340,'Sales Log'!$A$5:$A$1004,"&gt;="&amp;E340,'Sales Log'!$A$5:$A$1004,"&lt;="&amp;F340,'Sales Log'!$R$5:$R$1004,IF(O340="EXAMPLE","EXAMPLE","&lt;&gt;EXAMPLE")))</f>
        <v/>
      </c>
      <c r="L340" s="16"/>
      <c r="M340" s="16"/>
      <c r="N340" s="16"/>
      <c r="O340" s="16"/>
    </row>
    <row r="341" customFormat="false" ht="15" hidden="false" customHeight="false" outlineLevel="0" collapsed="false">
      <c r="A341" s="16"/>
      <c r="B341" s="25"/>
      <c r="C341" s="26"/>
      <c r="D341" s="16"/>
      <c r="E341" s="25"/>
      <c r="F341" s="25"/>
      <c r="G341" s="25"/>
      <c r="H341" s="26"/>
      <c r="I341" s="27" t="str">
        <f aca="false">IF(OR(C341="",H341=""),"",C341-H341)</f>
        <v/>
      </c>
      <c r="J341" s="8" t="str">
        <f aca="false">IF(C341="","",IF(H341="","WAITING",IF(ABS(C341-H341)&lt;0.005,"MATCHED","CHECK")))</f>
        <v/>
      </c>
      <c r="K341" s="27" t="str">
        <f aca="false">IF(OR(A341="",E341="",F341=""),"",SUMIFS('Sales Log'!$L$5:$L$1004,'Sales Log'!$B$5:$B$1004,A341,'Sales Log'!$A$5:$A$1004,"&gt;="&amp;E341,'Sales Log'!$A$5:$A$1004,"&lt;="&amp;F341,'Sales Log'!$R$5:$R$1004,IF(O341="EXAMPLE","EXAMPLE","&lt;&gt;EXAMPLE")))</f>
        <v/>
      </c>
      <c r="L341" s="16"/>
      <c r="M341" s="16"/>
      <c r="N341" s="16"/>
      <c r="O341" s="16"/>
    </row>
    <row r="342" customFormat="false" ht="15" hidden="false" customHeight="false" outlineLevel="0" collapsed="false">
      <c r="A342" s="16"/>
      <c r="B342" s="25"/>
      <c r="C342" s="26"/>
      <c r="D342" s="16"/>
      <c r="E342" s="25"/>
      <c r="F342" s="25"/>
      <c r="G342" s="25"/>
      <c r="H342" s="26"/>
      <c r="I342" s="27" t="str">
        <f aca="false">IF(OR(C342="",H342=""),"",C342-H342)</f>
        <v/>
      </c>
      <c r="J342" s="8" t="str">
        <f aca="false">IF(C342="","",IF(H342="","WAITING",IF(ABS(C342-H342)&lt;0.005,"MATCHED","CHECK")))</f>
        <v/>
      </c>
      <c r="K342" s="27" t="str">
        <f aca="false">IF(OR(A342="",E342="",F342=""),"",SUMIFS('Sales Log'!$L$5:$L$1004,'Sales Log'!$B$5:$B$1004,A342,'Sales Log'!$A$5:$A$1004,"&gt;="&amp;E342,'Sales Log'!$A$5:$A$1004,"&lt;="&amp;F342,'Sales Log'!$R$5:$R$1004,IF(O342="EXAMPLE","EXAMPLE","&lt;&gt;EXAMPLE")))</f>
        <v/>
      </c>
      <c r="L342" s="16"/>
      <c r="M342" s="16"/>
      <c r="N342" s="16"/>
      <c r="O342" s="16"/>
    </row>
    <row r="343" customFormat="false" ht="15" hidden="false" customHeight="false" outlineLevel="0" collapsed="false">
      <c r="A343" s="16"/>
      <c r="B343" s="25"/>
      <c r="C343" s="26"/>
      <c r="D343" s="16"/>
      <c r="E343" s="25"/>
      <c r="F343" s="25"/>
      <c r="G343" s="25"/>
      <c r="H343" s="26"/>
      <c r="I343" s="27" t="str">
        <f aca="false">IF(OR(C343="",H343=""),"",C343-H343)</f>
        <v/>
      </c>
      <c r="J343" s="8" t="str">
        <f aca="false">IF(C343="","",IF(H343="","WAITING",IF(ABS(C343-H343)&lt;0.005,"MATCHED","CHECK")))</f>
        <v/>
      </c>
      <c r="K343" s="27" t="str">
        <f aca="false">IF(OR(A343="",E343="",F343=""),"",SUMIFS('Sales Log'!$L$5:$L$1004,'Sales Log'!$B$5:$B$1004,A343,'Sales Log'!$A$5:$A$1004,"&gt;="&amp;E343,'Sales Log'!$A$5:$A$1004,"&lt;="&amp;F343,'Sales Log'!$R$5:$R$1004,IF(O343="EXAMPLE","EXAMPLE","&lt;&gt;EXAMPLE")))</f>
        <v/>
      </c>
      <c r="L343" s="16"/>
      <c r="M343" s="16"/>
      <c r="N343" s="16"/>
      <c r="O343" s="16"/>
    </row>
    <row r="344" customFormat="false" ht="15" hidden="false" customHeight="false" outlineLevel="0" collapsed="false">
      <c r="A344" s="16"/>
      <c r="B344" s="25"/>
      <c r="C344" s="26"/>
      <c r="D344" s="16"/>
      <c r="E344" s="25"/>
      <c r="F344" s="25"/>
      <c r="G344" s="25"/>
      <c r="H344" s="26"/>
      <c r="I344" s="27" t="str">
        <f aca="false">IF(OR(C344="",H344=""),"",C344-H344)</f>
        <v/>
      </c>
      <c r="J344" s="8" t="str">
        <f aca="false">IF(C344="","",IF(H344="","WAITING",IF(ABS(C344-H344)&lt;0.005,"MATCHED","CHECK")))</f>
        <v/>
      </c>
      <c r="K344" s="27" t="str">
        <f aca="false">IF(OR(A344="",E344="",F344=""),"",SUMIFS('Sales Log'!$L$5:$L$1004,'Sales Log'!$B$5:$B$1004,A344,'Sales Log'!$A$5:$A$1004,"&gt;="&amp;E344,'Sales Log'!$A$5:$A$1004,"&lt;="&amp;F344,'Sales Log'!$R$5:$R$1004,IF(O344="EXAMPLE","EXAMPLE","&lt;&gt;EXAMPLE")))</f>
        <v/>
      </c>
      <c r="L344" s="16"/>
      <c r="M344" s="16"/>
      <c r="N344" s="16"/>
      <c r="O344" s="16"/>
    </row>
    <row r="345" customFormat="false" ht="15" hidden="false" customHeight="false" outlineLevel="0" collapsed="false">
      <c r="A345" s="16"/>
      <c r="B345" s="25"/>
      <c r="C345" s="26"/>
      <c r="D345" s="16"/>
      <c r="E345" s="25"/>
      <c r="F345" s="25"/>
      <c r="G345" s="25"/>
      <c r="H345" s="26"/>
      <c r="I345" s="27" t="str">
        <f aca="false">IF(OR(C345="",H345=""),"",C345-H345)</f>
        <v/>
      </c>
      <c r="J345" s="8" t="str">
        <f aca="false">IF(C345="","",IF(H345="","WAITING",IF(ABS(C345-H345)&lt;0.005,"MATCHED","CHECK")))</f>
        <v/>
      </c>
      <c r="K345" s="27" t="str">
        <f aca="false">IF(OR(A345="",E345="",F345=""),"",SUMIFS('Sales Log'!$L$5:$L$1004,'Sales Log'!$B$5:$B$1004,A345,'Sales Log'!$A$5:$A$1004,"&gt;="&amp;E345,'Sales Log'!$A$5:$A$1004,"&lt;="&amp;F345,'Sales Log'!$R$5:$R$1004,IF(O345="EXAMPLE","EXAMPLE","&lt;&gt;EXAMPLE")))</f>
        <v/>
      </c>
      <c r="L345" s="16"/>
      <c r="M345" s="16"/>
      <c r="N345" s="16"/>
      <c r="O345" s="16"/>
    </row>
    <row r="346" customFormat="false" ht="15" hidden="false" customHeight="false" outlineLevel="0" collapsed="false">
      <c r="A346" s="16"/>
      <c r="B346" s="25"/>
      <c r="C346" s="26"/>
      <c r="D346" s="16"/>
      <c r="E346" s="25"/>
      <c r="F346" s="25"/>
      <c r="G346" s="25"/>
      <c r="H346" s="26"/>
      <c r="I346" s="27" t="str">
        <f aca="false">IF(OR(C346="",H346=""),"",C346-H346)</f>
        <v/>
      </c>
      <c r="J346" s="8" t="str">
        <f aca="false">IF(C346="","",IF(H346="","WAITING",IF(ABS(C346-H346)&lt;0.005,"MATCHED","CHECK")))</f>
        <v/>
      </c>
      <c r="K346" s="27" t="str">
        <f aca="false">IF(OR(A346="",E346="",F346=""),"",SUMIFS('Sales Log'!$L$5:$L$1004,'Sales Log'!$B$5:$B$1004,A346,'Sales Log'!$A$5:$A$1004,"&gt;="&amp;E346,'Sales Log'!$A$5:$A$1004,"&lt;="&amp;F346,'Sales Log'!$R$5:$R$1004,IF(O346="EXAMPLE","EXAMPLE","&lt;&gt;EXAMPLE")))</f>
        <v/>
      </c>
      <c r="L346" s="16"/>
      <c r="M346" s="16"/>
      <c r="N346" s="16"/>
      <c r="O346" s="16"/>
    </row>
    <row r="347" customFormat="false" ht="15" hidden="false" customHeight="false" outlineLevel="0" collapsed="false">
      <c r="A347" s="16"/>
      <c r="B347" s="25"/>
      <c r="C347" s="26"/>
      <c r="D347" s="16"/>
      <c r="E347" s="25"/>
      <c r="F347" s="25"/>
      <c r="G347" s="25"/>
      <c r="H347" s="26"/>
      <c r="I347" s="27" t="str">
        <f aca="false">IF(OR(C347="",H347=""),"",C347-H347)</f>
        <v/>
      </c>
      <c r="J347" s="8" t="str">
        <f aca="false">IF(C347="","",IF(H347="","WAITING",IF(ABS(C347-H347)&lt;0.005,"MATCHED","CHECK")))</f>
        <v/>
      </c>
      <c r="K347" s="27" t="str">
        <f aca="false">IF(OR(A347="",E347="",F347=""),"",SUMIFS('Sales Log'!$L$5:$L$1004,'Sales Log'!$B$5:$B$1004,A347,'Sales Log'!$A$5:$A$1004,"&gt;="&amp;E347,'Sales Log'!$A$5:$A$1004,"&lt;="&amp;F347,'Sales Log'!$R$5:$R$1004,IF(O347="EXAMPLE","EXAMPLE","&lt;&gt;EXAMPLE")))</f>
        <v/>
      </c>
      <c r="L347" s="16"/>
      <c r="M347" s="16"/>
      <c r="N347" s="16"/>
      <c r="O347" s="16"/>
    </row>
    <row r="348" customFormat="false" ht="15" hidden="false" customHeight="false" outlineLevel="0" collapsed="false">
      <c r="A348" s="16"/>
      <c r="B348" s="25"/>
      <c r="C348" s="26"/>
      <c r="D348" s="16"/>
      <c r="E348" s="25"/>
      <c r="F348" s="25"/>
      <c r="G348" s="25"/>
      <c r="H348" s="26"/>
      <c r="I348" s="27" t="str">
        <f aca="false">IF(OR(C348="",H348=""),"",C348-H348)</f>
        <v/>
      </c>
      <c r="J348" s="8" t="str">
        <f aca="false">IF(C348="","",IF(H348="","WAITING",IF(ABS(C348-H348)&lt;0.005,"MATCHED","CHECK")))</f>
        <v/>
      </c>
      <c r="K348" s="27" t="str">
        <f aca="false">IF(OR(A348="",E348="",F348=""),"",SUMIFS('Sales Log'!$L$5:$L$1004,'Sales Log'!$B$5:$B$1004,A348,'Sales Log'!$A$5:$A$1004,"&gt;="&amp;E348,'Sales Log'!$A$5:$A$1004,"&lt;="&amp;F348,'Sales Log'!$R$5:$R$1004,IF(O348="EXAMPLE","EXAMPLE","&lt;&gt;EXAMPLE")))</f>
        <v/>
      </c>
      <c r="L348" s="16"/>
      <c r="M348" s="16"/>
      <c r="N348" s="16"/>
      <c r="O348" s="16"/>
    </row>
    <row r="349" customFormat="false" ht="15" hidden="false" customHeight="false" outlineLevel="0" collapsed="false">
      <c r="A349" s="16"/>
      <c r="B349" s="25"/>
      <c r="C349" s="26"/>
      <c r="D349" s="16"/>
      <c r="E349" s="25"/>
      <c r="F349" s="25"/>
      <c r="G349" s="25"/>
      <c r="H349" s="26"/>
      <c r="I349" s="27" t="str">
        <f aca="false">IF(OR(C349="",H349=""),"",C349-H349)</f>
        <v/>
      </c>
      <c r="J349" s="8" t="str">
        <f aca="false">IF(C349="","",IF(H349="","WAITING",IF(ABS(C349-H349)&lt;0.005,"MATCHED","CHECK")))</f>
        <v/>
      </c>
      <c r="K349" s="27" t="str">
        <f aca="false">IF(OR(A349="",E349="",F349=""),"",SUMIFS('Sales Log'!$L$5:$L$1004,'Sales Log'!$B$5:$B$1004,A349,'Sales Log'!$A$5:$A$1004,"&gt;="&amp;E349,'Sales Log'!$A$5:$A$1004,"&lt;="&amp;F349,'Sales Log'!$R$5:$R$1004,IF(O349="EXAMPLE","EXAMPLE","&lt;&gt;EXAMPLE")))</f>
        <v/>
      </c>
      <c r="L349" s="16"/>
      <c r="M349" s="16"/>
      <c r="N349" s="16"/>
      <c r="O349" s="16"/>
    </row>
    <row r="350" customFormat="false" ht="15" hidden="false" customHeight="false" outlineLevel="0" collapsed="false">
      <c r="A350" s="16"/>
      <c r="B350" s="25"/>
      <c r="C350" s="26"/>
      <c r="D350" s="16"/>
      <c r="E350" s="25"/>
      <c r="F350" s="25"/>
      <c r="G350" s="25"/>
      <c r="H350" s="26"/>
      <c r="I350" s="27" t="str">
        <f aca="false">IF(OR(C350="",H350=""),"",C350-H350)</f>
        <v/>
      </c>
      <c r="J350" s="8" t="str">
        <f aca="false">IF(C350="","",IF(H350="","WAITING",IF(ABS(C350-H350)&lt;0.005,"MATCHED","CHECK")))</f>
        <v/>
      </c>
      <c r="K350" s="27" t="str">
        <f aca="false">IF(OR(A350="",E350="",F350=""),"",SUMIFS('Sales Log'!$L$5:$L$1004,'Sales Log'!$B$5:$B$1004,A350,'Sales Log'!$A$5:$A$1004,"&gt;="&amp;E350,'Sales Log'!$A$5:$A$1004,"&lt;="&amp;F350,'Sales Log'!$R$5:$R$1004,IF(O350="EXAMPLE","EXAMPLE","&lt;&gt;EXAMPLE")))</f>
        <v/>
      </c>
      <c r="L350" s="16"/>
      <c r="M350" s="16"/>
      <c r="N350" s="16"/>
      <c r="O350" s="16"/>
    </row>
    <row r="351" customFormat="false" ht="15" hidden="false" customHeight="false" outlineLevel="0" collapsed="false">
      <c r="A351" s="16"/>
      <c r="B351" s="25"/>
      <c r="C351" s="26"/>
      <c r="D351" s="16"/>
      <c r="E351" s="25"/>
      <c r="F351" s="25"/>
      <c r="G351" s="25"/>
      <c r="H351" s="26"/>
      <c r="I351" s="27" t="str">
        <f aca="false">IF(OR(C351="",H351=""),"",C351-H351)</f>
        <v/>
      </c>
      <c r="J351" s="8" t="str">
        <f aca="false">IF(C351="","",IF(H351="","WAITING",IF(ABS(C351-H351)&lt;0.005,"MATCHED","CHECK")))</f>
        <v/>
      </c>
      <c r="K351" s="27" t="str">
        <f aca="false">IF(OR(A351="",E351="",F351=""),"",SUMIFS('Sales Log'!$L$5:$L$1004,'Sales Log'!$B$5:$B$1004,A351,'Sales Log'!$A$5:$A$1004,"&gt;="&amp;E351,'Sales Log'!$A$5:$A$1004,"&lt;="&amp;F351,'Sales Log'!$R$5:$R$1004,IF(O351="EXAMPLE","EXAMPLE","&lt;&gt;EXAMPLE")))</f>
        <v/>
      </c>
      <c r="L351" s="16"/>
      <c r="M351" s="16"/>
      <c r="N351" s="16"/>
      <c r="O351" s="16"/>
    </row>
    <row r="352" customFormat="false" ht="15" hidden="false" customHeight="false" outlineLevel="0" collapsed="false">
      <c r="A352" s="16"/>
      <c r="B352" s="25"/>
      <c r="C352" s="26"/>
      <c r="D352" s="16"/>
      <c r="E352" s="25"/>
      <c r="F352" s="25"/>
      <c r="G352" s="25"/>
      <c r="H352" s="26"/>
      <c r="I352" s="27" t="str">
        <f aca="false">IF(OR(C352="",H352=""),"",C352-H352)</f>
        <v/>
      </c>
      <c r="J352" s="8" t="str">
        <f aca="false">IF(C352="","",IF(H352="","WAITING",IF(ABS(C352-H352)&lt;0.005,"MATCHED","CHECK")))</f>
        <v/>
      </c>
      <c r="K352" s="27" t="str">
        <f aca="false">IF(OR(A352="",E352="",F352=""),"",SUMIFS('Sales Log'!$L$5:$L$1004,'Sales Log'!$B$5:$B$1004,A352,'Sales Log'!$A$5:$A$1004,"&gt;="&amp;E352,'Sales Log'!$A$5:$A$1004,"&lt;="&amp;F352,'Sales Log'!$R$5:$R$1004,IF(O352="EXAMPLE","EXAMPLE","&lt;&gt;EXAMPLE")))</f>
        <v/>
      </c>
      <c r="L352" s="16"/>
      <c r="M352" s="16"/>
      <c r="N352" s="16"/>
      <c r="O352" s="16"/>
    </row>
    <row r="353" customFormat="false" ht="15" hidden="false" customHeight="false" outlineLevel="0" collapsed="false">
      <c r="A353" s="16"/>
      <c r="B353" s="25"/>
      <c r="C353" s="26"/>
      <c r="D353" s="16"/>
      <c r="E353" s="25"/>
      <c r="F353" s="25"/>
      <c r="G353" s="25"/>
      <c r="H353" s="26"/>
      <c r="I353" s="27" t="str">
        <f aca="false">IF(OR(C353="",H353=""),"",C353-H353)</f>
        <v/>
      </c>
      <c r="J353" s="8" t="str">
        <f aca="false">IF(C353="","",IF(H353="","WAITING",IF(ABS(C353-H353)&lt;0.005,"MATCHED","CHECK")))</f>
        <v/>
      </c>
      <c r="K353" s="27" t="str">
        <f aca="false">IF(OR(A353="",E353="",F353=""),"",SUMIFS('Sales Log'!$L$5:$L$1004,'Sales Log'!$B$5:$B$1004,A353,'Sales Log'!$A$5:$A$1004,"&gt;="&amp;E353,'Sales Log'!$A$5:$A$1004,"&lt;="&amp;F353,'Sales Log'!$R$5:$R$1004,IF(O353="EXAMPLE","EXAMPLE","&lt;&gt;EXAMPLE")))</f>
        <v/>
      </c>
      <c r="L353" s="16"/>
      <c r="M353" s="16"/>
      <c r="N353" s="16"/>
      <c r="O353" s="16"/>
    </row>
    <row r="354" customFormat="false" ht="15" hidden="false" customHeight="false" outlineLevel="0" collapsed="false">
      <c r="A354" s="16"/>
      <c r="B354" s="25"/>
      <c r="C354" s="26"/>
      <c r="D354" s="16"/>
      <c r="E354" s="25"/>
      <c r="F354" s="25"/>
      <c r="G354" s="25"/>
      <c r="H354" s="26"/>
      <c r="I354" s="27" t="str">
        <f aca="false">IF(OR(C354="",H354=""),"",C354-H354)</f>
        <v/>
      </c>
      <c r="J354" s="8" t="str">
        <f aca="false">IF(C354="","",IF(H354="","WAITING",IF(ABS(C354-H354)&lt;0.005,"MATCHED","CHECK")))</f>
        <v/>
      </c>
      <c r="K354" s="27" t="str">
        <f aca="false">IF(OR(A354="",E354="",F354=""),"",SUMIFS('Sales Log'!$L$5:$L$1004,'Sales Log'!$B$5:$B$1004,A354,'Sales Log'!$A$5:$A$1004,"&gt;="&amp;E354,'Sales Log'!$A$5:$A$1004,"&lt;="&amp;F354,'Sales Log'!$R$5:$R$1004,IF(O354="EXAMPLE","EXAMPLE","&lt;&gt;EXAMPLE")))</f>
        <v/>
      </c>
      <c r="L354" s="16"/>
      <c r="M354" s="16"/>
      <c r="N354" s="16"/>
      <c r="O354" s="16"/>
    </row>
    <row r="355" customFormat="false" ht="15" hidden="false" customHeight="false" outlineLevel="0" collapsed="false">
      <c r="A355" s="16"/>
      <c r="B355" s="25"/>
      <c r="C355" s="26"/>
      <c r="D355" s="16"/>
      <c r="E355" s="25"/>
      <c r="F355" s="25"/>
      <c r="G355" s="25"/>
      <c r="H355" s="26"/>
      <c r="I355" s="27" t="str">
        <f aca="false">IF(OR(C355="",H355=""),"",C355-H355)</f>
        <v/>
      </c>
      <c r="J355" s="8" t="str">
        <f aca="false">IF(C355="","",IF(H355="","WAITING",IF(ABS(C355-H355)&lt;0.005,"MATCHED","CHECK")))</f>
        <v/>
      </c>
      <c r="K355" s="27" t="str">
        <f aca="false">IF(OR(A355="",E355="",F355=""),"",SUMIFS('Sales Log'!$L$5:$L$1004,'Sales Log'!$B$5:$B$1004,A355,'Sales Log'!$A$5:$A$1004,"&gt;="&amp;E355,'Sales Log'!$A$5:$A$1004,"&lt;="&amp;F355,'Sales Log'!$R$5:$R$1004,IF(O355="EXAMPLE","EXAMPLE","&lt;&gt;EXAMPLE")))</f>
        <v/>
      </c>
      <c r="L355" s="16"/>
      <c r="M355" s="16"/>
      <c r="N355" s="16"/>
      <c r="O355" s="16"/>
    </row>
    <row r="356" customFormat="false" ht="15" hidden="false" customHeight="false" outlineLevel="0" collapsed="false">
      <c r="A356" s="16"/>
      <c r="B356" s="25"/>
      <c r="C356" s="26"/>
      <c r="D356" s="16"/>
      <c r="E356" s="25"/>
      <c r="F356" s="25"/>
      <c r="G356" s="25"/>
      <c r="H356" s="26"/>
      <c r="I356" s="27" t="str">
        <f aca="false">IF(OR(C356="",H356=""),"",C356-H356)</f>
        <v/>
      </c>
      <c r="J356" s="8" t="str">
        <f aca="false">IF(C356="","",IF(H356="","WAITING",IF(ABS(C356-H356)&lt;0.005,"MATCHED","CHECK")))</f>
        <v/>
      </c>
      <c r="K356" s="27" t="str">
        <f aca="false">IF(OR(A356="",E356="",F356=""),"",SUMIFS('Sales Log'!$L$5:$L$1004,'Sales Log'!$B$5:$B$1004,A356,'Sales Log'!$A$5:$A$1004,"&gt;="&amp;E356,'Sales Log'!$A$5:$A$1004,"&lt;="&amp;F356,'Sales Log'!$R$5:$R$1004,IF(O356="EXAMPLE","EXAMPLE","&lt;&gt;EXAMPLE")))</f>
        <v/>
      </c>
      <c r="L356" s="16"/>
      <c r="M356" s="16"/>
      <c r="N356" s="16"/>
      <c r="O356" s="16"/>
    </row>
    <row r="357" customFormat="false" ht="15" hidden="false" customHeight="false" outlineLevel="0" collapsed="false">
      <c r="A357" s="16"/>
      <c r="B357" s="25"/>
      <c r="C357" s="26"/>
      <c r="D357" s="16"/>
      <c r="E357" s="25"/>
      <c r="F357" s="25"/>
      <c r="G357" s="25"/>
      <c r="H357" s="26"/>
      <c r="I357" s="27" t="str">
        <f aca="false">IF(OR(C357="",H357=""),"",C357-H357)</f>
        <v/>
      </c>
      <c r="J357" s="8" t="str">
        <f aca="false">IF(C357="","",IF(H357="","WAITING",IF(ABS(C357-H357)&lt;0.005,"MATCHED","CHECK")))</f>
        <v/>
      </c>
      <c r="K357" s="27" t="str">
        <f aca="false">IF(OR(A357="",E357="",F357=""),"",SUMIFS('Sales Log'!$L$5:$L$1004,'Sales Log'!$B$5:$B$1004,A357,'Sales Log'!$A$5:$A$1004,"&gt;="&amp;E357,'Sales Log'!$A$5:$A$1004,"&lt;="&amp;F357,'Sales Log'!$R$5:$R$1004,IF(O357="EXAMPLE","EXAMPLE","&lt;&gt;EXAMPLE")))</f>
        <v/>
      </c>
      <c r="L357" s="16"/>
      <c r="M357" s="16"/>
      <c r="N357" s="16"/>
      <c r="O357" s="16"/>
    </row>
    <row r="358" customFormat="false" ht="15" hidden="false" customHeight="false" outlineLevel="0" collapsed="false">
      <c r="A358" s="16"/>
      <c r="B358" s="25"/>
      <c r="C358" s="26"/>
      <c r="D358" s="16"/>
      <c r="E358" s="25"/>
      <c r="F358" s="25"/>
      <c r="G358" s="25"/>
      <c r="H358" s="26"/>
      <c r="I358" s="27" t="str">
        <f aca="false">IF(OR(C358="",H358=""),"",C358-H358)</f>
        <v/>
      </c>
      <c r="J358" s="8" t="str">
        <f aca="false">IF(C358="","",IF(H358="","WAITING",IF(ABS(C358-H358)&lt;0.005,"MATCHED","CHECK")))</f>
        <v/>
      </c>
      <c r="K358" s="27" t="str">
        <f aca="false">IF(OR(A358="",E358="",F358=""),"",SUMIFS('Sales Log'!$L$5:$L$1004,'Sales Log'!$B$5:$B$1004,A358,'Sales Log'!$A$5:$A$1004,"&gt;="&amp;E358,'Sales Log'!$A$5:$A$1004,"&lt;="&amp;F358,'Sales Log'!$R$5:$R$1004,IF(O358="EXAMPLE","EXAMPLE","&lt;&gt;EXAMPLE")))</f>
        <v/>
      </c>
      <c r="L358" s="16"/>
      <c r="M358" s="16"/>
      <c r="N358" s="16"/>
      <c r="O358" s="16"/>
    </row>
    <row r="359" customFormat="false" ht="15" hidden="false" customHeight="false" outlineLevel="0" collapsed="false">
      <c r="A359" s="16"/>
      <c r="B359" s="25"/>
      <c r="C359" s="26"/>
      <c r="D359" s="16"/>
      <c r="E359" s="25"/>
      <c r="F359" s="25"/>
      <c r="G359" s="25"/>
      <c r="H359" s="26"/>
      <c r="I359" s="27" t="str">
        <f aca="false">IF(OR(C359="",H359=""),"",C359-H359)</f>
        <v/>
      </c>
      <c r="J359" s="8" t="str">
        <f aca="false">IF(C359="","",IF(H359="","WAITING",IF(ABS(C359-H359)&lt;0.005,"MATCHED","CHECK")))</f>
        <v/>
      </c>
      <c r="K359" s="27" t="str">
        <f aca="false">IF(OR(A359="",E359="",F359=""),"",SUMIFS('Sales Log'!$L$5:$L$1004,'Sales Log'!$B$5:$B$1004,A359,'Sales Log'!$A$5:$A$1004,"&gt;="&amp;E359,'Sales Log'!$A$5:$A$1004,"&lt;="&amp;F359,'Sales Log'!$R$5:$R$1004,IF(O359="EXAMPLE","EXAMPLE","&lt;&gt;EXAMPLE")))</f>
        <v/>
      </c>
      <c r="L359" s="16"/>
      <c r="M359" s="16"/>
      <c r="N359" s="16"/>
      <c r="O359" s="16"/>
    </row>
    <row r="360" customFormat="false" ht="15" hidden="false" customHeight="false" outlineLevel="0" collapsed="false">
      <c r="A360" s="16"/>
      <c r="B360" s="25"/>
      <c r="C360" s="26"/>
      <c r="D360" s="16"/>
      <c r="E360" s="25"/>
      <c r="F360" s="25"/>
      <c r="G360" s="25"/>
      <c r="H360" s="26"/>
      <c r="I360" s="27" t="str">
        <f aca="false">IF(OR(C360="",H360=""),"",C360-H360)</f>
        <v/>
      </c>
      <c r="J360" s="8" t="str">
        <f aca="false">IF(C360="","",IF(H360="","WAITING",IF(ABS(C360-H360)&lt;0.005,"MATCHED","CHECK")))</f>
        <v/>
      </c>
      <c r="K360" s="27" t="str">
        <f aca="false">IF(OR(A360="",E360="",F360=""),"",SUMIFS('Sales Log'!$L$5:$L$1004,'Sales Log'!$B$5:$B$1004,A360,'Sales Log'!$A$5:$A$1004,"&gt;="&amp;E360,'Sales Log'!$A$5:$A$1004,"&lt;="&amp;F360,'Sales Log'!$R$5:$R$1004,IF(O360="EXAMPLE","EXAMPLE","&lt;&gt;EXAMPLE")))</f>
        <v/>
      </c>
      <c r="L360" s="16"/>
      <c r="M360" s="16"/>
      <c r="N360" s="16"/>
      <c r="O360" s="16"/>
    </row>
    <row r="361" customFormat="false" ht="15" hidden="false" customHeight="false" outlineLevel="0" collapsed="false">
      <c r="A361" s="16"/>
      <c r="B361" s="25"/>
      <c r="C361" s="26"/>
      <c r="D361" s="16"/>
      <c r="E361" s="25"/>
      <c r="F361" s="25"/>
      <c r="G361" s="25"/>
      <c r="H361" s="26"/>
      <c r="I361" s="27" t="str">
        <f aca="false">IF(OR(C361="",H361=""),"",C361-H361)</f>
        <v/>
      </c>
      <c r="J361" s="8" t="str">
        <f aca="false">IF(C361="","",IF(H361="","WAITING",IF(ABS(C361-H361)&lt;0.005,"MATCHED","CHECK")))</f>
        <v/>
      </c>
      <c r="K361" s="27" t="str">
        <f aca="false">IF(OR(A361="",E361="",F361=""),"",SUMIFS('Sales Log'!$L$5:$L$1004,'Sales Log'!$B$5:$B$1004,A361,'Sales Log'!$A$5:$A$1004,"&gt;="&amp;E361,'Sales Log'!$A$5:$A$1004,"&lt;="&amp;F361,'Sales Log'!$R$5:$R$1004,IF(O361="EXAMPLE","EXAMPLE","&lt;&gt;EXAMPLE")))</f>
        <v/>
      </c>
      <c r="L361" s="16"/>
      <c r="M361" s="16"/>
      <c r="N361" s="16"/>
      <c r="O361" s="16"/>
    </row>
    <row r="362" customFormat="false" ht="15" hidden="false" customHeight="false" outlineLevel="0" collapsed="false">
      <c r="A362" s="16"/>
      <c r="B362" s="25"/>
      <c r="C362" s="26"/>
      <c r="D362" s="16"/>
      <c r="E362" s="25"/>
      <c r="F362" s="25"/>
      <c r="G362" s="25"/>
      <c r="H362" s="26"/>
      <c r="I362" s="27" t="str">
        <f aca="false">IF(OR(C362="",H362=""),"",C362-H362)</f>
        <v/>
      </c>
      <c r="J362" s="8" t="str">
        <f aca="false">IF(C362="","",IF(H362="","WAITING",IF(ABS(C362-H362)&lt;0.005,"MATCHED","CHECK")))</f>
        <v/>
      </c>
      <c r="K362" s="27" t="str">
        <f aca="false">IF(OR(A362="",E362="",F362=""),"",SUMIFS('Sales Log'!$L$5:$L$1004,'Sales Log'!$B$5:$B$1004,A362,'Sales Log'!$A$5:$A$1004,"&gt;="&amp;E362,'Sales Log'!$A$5:$A$1004,"&lt;="&amp;F362,'Sales Log'!$R$5:$R$1004,IF(O362="EXAMPLE","EXAMPLE","&lt;&gt;EXAMPLE")))</f>
        <v/>
      </c>
      <c r="L362" s="16"/>
      <c r="M362" s="16"/>
      <c r="N362" s="16"/>
      <c r="O362" s="16"/>
    </row>
    <row r="363" customFormat="false" ht="15" hidden="false" customHeight="false" outlineLevel="0" collapsed="false">
      <c r="A363" s="16"/>
      <c r="B363" s="25"/>
      <c r="C363" s="26"/>
      <c r="D363" s="16"/>
      <c r="E363" s="25"/>
      <c r="F363" s="25"/>
      <c r="G363" s="25"/>
      <c r="H363" s="26"/>
      <c r="I363" s="27" t="str">
        <f aca="false">IF(OR(C363="",H363=""),"",C363-H363)</f>
        <v/>
      </c>
      <c r="J363" s="8" t="str">
        <f aca="false">IF(C363="","",IF(H363="","WAITING",IF(ABS(C363-H363)&lt;0.005,"MATCHED","CHECK")))</f>
        <v/>
      </c>
      <c r="K363" s="27" t="str">
        <f aca="false">IF(OR(A363="",E363="",F363=""),"",SUMIFS('Sales Log'!$L$5:$L$1004,'Sales Log'!$B$5:$B$1004,A363,'Sales Log'!$A$5:$A$1004,"&gt;="&amp;E363,'Sales Log'!$A$5:$A$1004,"&lt;="&amp;F363,'Sales Log'!$R$5:$R$1004,IF(O363="EXAMPLE","EXAMPLE","&lt;&gt;EXAMPLE")))</f>
        <v/>
      </c>
      <c r="L363" s="16"/>
      <c r="M363" s="16"/>
      <c r="N363" s="16"/>
      <c r="O363" s="16"/>
    </row>
    <row r="364" customFormat="false" ht="15" hidden="false" customHeight="false" outlineLevel="0" collapsed="false">
      <c r="A364" s="16"/>
      <c r="B364" s="25"/>
      <c r="C364" s="26"/>
      <c r="D364" s="16"/>
      <c r="E364" s="25"/>
      <c r="F364" s="25"/>
      <c r="G364" s="25"/>
      <c r="H364" s="26"/>
      <c r="I364" s="27" t="str">
        <f aca="false">IF(OR(C364="",H364=""),"",C364-H364)</f>
        <v/>
      </c>
      <c r="J364" s="8" t="str">
        <f aca="false">IF(C364="","",IF(H364="","WAITING",IF(ABS(C364-H364)&lt;0.005,"MATCHED","CHECK")))</f>
        <v/>
      </c>
      <c r="K364" s="27" t="str">
        <f aca="false">IF(OR(A364="",E364="",F364=""),"",SUMIFS('Sales Log'!$L$5:$L$1004,'Sales Log'!$B$5:$B$1004,A364,'Sales Log'!$A$5:$A$1004,"&gt;="&amp;E364,'Sales Log'!$A$5:$A$1004,"&lt;="&amp;F364,'Sales Log'!$R$5:$R$1004,IF(O364="EXAMPLE","EXAMPLE","&lt;&gt;EXAMPLE")))</f>
        <v/>
      </c>
      <c r="L364" s="16"/>
      <c r="M364" s="16"/>
      <c r="N364" s="16"/>
      <c r="O364" s="16"/>
    </row>
    <row r="365" customFormat="false" ht="15" hidden="false" customHeight="false" outlineLevel="0" collapsed="false">
      <c r="A365" s="16"/>
      <c r="B365" s="25"/>
      <c r="C365" s="26"/>
      <c r="D365" s="16"/>
      <c r="E365" s="25"/>
      <c r="F365" s="25"/>
      <c r="G365" s="25"/>
      <c r="H365" s="26"/>
      <c r="I365" s="27" t="str">
        <f aca="false">IF(OR(C365="",H365=""),"",C365-H365)</f>
        <v/>
      </c>
      <c r="J365" s="8" t="str">
        <f aca="false">IF(C365="","",IF(H365="","WAITING",IF(ABS(C365-H365)&lt;0.005,"MATCHED","CHECK")))</f>
        <v/>
      </c>
      <c r="K365" s="27" t="str">
        <f aca="false">IF(OR(A365="",E365="",F365=""),"",SUMIFS('Sales Log'!$L$5:$L$1004,'Sales Log'!$B$5:$B$1004,A365,'Sales Log'!$A$5:$A$1004,"&gt;="&amp;E365,'Sales Log'!$A$5:$A$1004,"&lt;="&amp;F365,'Sales Log'!$R$5:$R$1004,IF(O365="EXAMPLE","EXAMPLE","&lt;&gt;EXAMPLE")))</f>
        <v/>
      </c>
      <c r="L365" s="16"/>
      <c r="M365" s="16"/>
      <c r="N365" s="16"/>
      <c r="O365" s="16"/>
    </row>
    <row r="366" customFormat="false" ht="15" hidden="false" customHeight="false" outlineLevel="0" collapsed="false">
      <c r="A366" s="16"/>
      <c r="B366" s="25"/>
      <c r="C366" s="26"/>
      <c r="D366" s="16"/>
      <c r="E366" s="25"/>
      <c r="F366" s="25"/>
      <c r="G366" s="25"/>
      <c r="H366" s="26"/>
      <c r="I366" s="27" t="str">
        <f aca="false">IF(OR(C366="",H366=""),"",C366-H366)</f>
        <v/>
      </c>
      <c r="J366" s="8" t="str">
        <f aca="false">IF(C366="","",IF(H366="","WAITING",IF(ABS(C366-H366)&lt;0.005,"MATCHED","CHECK")))</f>
        <v/>
      </c>
      <c r="K366" s="27" t="str">
        <f aca="false">IF(OR(A366="",E366="",F366=""),"",SUMIFS('Sales Log'!$L$5:$L$1004,'Sales Log'!$B$5:$B$1004,A366,'Sales Log'!$A$5:$A$1004,"&gt;="&amp;E366,'Sales Log'!$A$5:$A$1004,"&lt;="&amp;F366,'Sales Log'!$R$5:$R$1004,IF(O366="EXAMPLE","EXAMPLE","&lt;&gt;EXAMPLE")))</f>
        <v/>
      </c>
      <c r="L366" s="16"/>
      <c r="M366" s="16"/>
      <c r="N366" s="16"/>
      <c r="O366" s="16"/>
    </row>
    <row r="367" customFormat="false" ht="15" hidden="false" customHeight="false" outlineLevel="0" collapsed="false">
      <c r="A367" s="16"/>
      <c r="B367" s="25"/>
      <c r="C367" s="26"/>
      <c r="D367" s="16"/>
      <c r="E367" s="25"/>
      <c r="F367" s="25"/>
      <c r="G367" s="25"/>
      <c r="H367" s="26"/>
      <c r="I367" s="27" t="str">
        <f aca="false">IF(OR(C367="",H367=""),"",C367-H367)</f>
        <v/>
      </c>
      <c r="J367" s="8" t="str">
        <f aca="false">IF(C367="","",IF(H367="","WAITING",IF(ABS(C367-H367)&lt;0.005,"MATCHED","CHECK")))</f>
        <v/>
      </c>
      <c r="K367" s="27" t="str">
        <f aca="false">IF(OR(A367="",E367="",F367=""),"",SUMIFS('Sales Log'!$L$5:$L$1004,'Sales Log'!$B$5:$B$1004,A367,'Sales Log'!$A$5:$A$1004,"&gt;="&amp;E367,'Sales Log'!$A$5:$A$1004,"&lt;="&amp;F367,'Sales Log'!$R$5:$R$1004,IF(O367="EXAMPLE","EXAMPLE","&lt;&gt;EXAMPLE")))</f>
        <v/>
      </c>
      <c r="L367" s="16"/>
      <c r="M367" s="16"/>
      <c r="N367" s="16"/>
      <c r="O367" s="16"/>
    </row>
    <row r="368" customFormat="false" ht="15" hidden="false" customHeight="false" outlineLevel="0" collapsed="false">
      <c r="A368" s="16"/>
      <c r="B368" s="25"/>
      <c r="C368" s="26"/>
      <c r="D368" s="16"/>
      <c r="E368" s="25"/>
      <c r="F368" s="25"/>
      <c r="G368" s="25"/>
      <c r="H368" s="26"/>
      <c r="I368" s="27" t="str">
        <f aca="false">IF(OR(C368="",H368=""),"",C368-H368)</f>
        <v/>
      </c>
      <c r="J368" s="8" t="str">
        <f aca="false">IF(C368="","",IF(H368="","WAITING",IF(ABS(C368-H368)&lt;0.005,"MATCHED","CHECK")))</f>
        <v/>
      </c>
      <c r="K368" s="27" t="str">
        <f aca="false">IF(OR(A368="",E368="",F368=""),"",SUMIFS('Sales Log'!$L$5:$L$1004,'Sales Log'!$B$5:$B$1004,A368,'Sales Log'!$A$5:$A$1004,"&gt;="&amp;E368,'Sales Log'!$A$5:$A$1004,"&lt;="&amp;F368,'Sales Log'!$R$5:$R$1004,IF(O368="EXAMPLE","EXAMPLE","&lt;&gt;EXAMPLE")))</f>
        <v/>
      </c>
      <c r="L368" s="16"/>
      <c r="M368" s="16"/>
      <c r="N368" s="16"/>
      <c r="O368" s="16"/>
    </row>
    <row r="369" customFormat="false" ht="15" hidden="false" customHeight="false" outlineLevel="0" collapsed="false">
      <c r="A369" s="16"/>
      <c r="B369" s="25"/>
      <c r="C369" s="26"/>
      <c r="D369" s="16"/>
      <c r="E369" s="25"/>
      <c r="F369" s="25"/>
      <c r="G369" s="25"/>
      <c r="H369" s="26"/>
      <c r="I369" s="27" t="str">
        <f aca="false">IF(OR(C369="",H369=""),"",C369-H369)</f>
        <v/>
      </c>
      <c r="J369" s="8" t="str">
        <f aca="false">IF(C369="","",IF(H369="","WAITING",IF(ABS(C369-H369)&lt;0.005,"MATCHED","CHECK")))</f>
        <v/>
      </c>
      <c r="K369" s="27" t="str">
        <f aca="false">IF(OR(A369="",E369="",F369=""),"",SUMIFS('Sales Log'!$L$5:$L$1004,'Sales Log'!$B$5:$B$1004,A369,'Sales Log'!$A$5:$A$1004,"&gt;="&amp;E369,'Sales Log'!$A$5:$A$1004,"&lt;="&amp;F369,'Sales Log'!$R$5:$R$1004,IF(O369="EXAMPLE","EXAMPLE","&lt;&gt;EXAMPLE")))</f>
        <v/>
      </c>
      <c r="L369" s="16"/>
      <c r="M369" s="16"/>
      <c r="N369" s="16"/>
      <c r="O369" s="16"/>
    </row>
    <row r="370" customFormat="false" ht="15" hidden="false" customHeight="false" outlineLevel="0" collapsed="false">
      <c r="A370" s="16"/>
      <c r="B370" s="25"/>
      <c r="C370" s="26"/>
      <c r="D370" s="16"/>
      <c r="E370" s="25"/>
      <c r="F370" s="25"/>
      <c r="G370" s="25"/>
      <c r="H370" s="26"/>
      <c r="I370" s="27" t="str">
        <f aca="false">IF(OR(C370="",H370=""),"",C370-H370)</f>
        <v/>
      </c>
      <c r="J370" s="8" t="str">
        <f aca="false">IF(C370="","",IF(H370="","WAITING",IF(ABS(C370-H370)&lt;0.005,"MATCHED","CHECK")))</f>
        <v/>
      </c>
      <c r="K370" s="27" t="str">
        <f aca="false">IF(OR(A370="",E370="",F370=""),"",SUMIFS('Sales Log'!$L$5:$L$1004,'Sales Log'!$B$5:$B$1004,A370,'Sales Log'!$A$5:$A$1004,"&gt;="&amp;E370,'Sales Log'!$A$5:$A$1004,"&lt;="&amp;F370,'Sales Log'!$R$5:$R$1004,IF(O370="EXAMPLE","EXAMPLE","&lt;&gt;EXAMPLE")))</f>
        <v/>
      </c>
      <c r="L370" s="16"/>
      <c r="M370" s="16"/>
      <c r="N370" s="16"/>
      <c r="O370" s="16"/>
    </row>
    <row r="371" customFormat="false" ht="15" hidden="false" customHeight="false" outlineLevel="0" collapsed="false">
      <c r="A371" s="16"/>
      <c r="B371" s="25"/>
      <c r="C371" s="26"/>
      <c r="D371" s="16"/>
      <c r="E371" s="25"/>
      <c r="F371" s="25"/>
      <c r="G371" s="25"/>
      <c r="H371" s="26"/>
      <c r="I371" s="27" t="str">
        <f aca="false">IF(OR(C371="",H371=""),"",C371-H371)</f>
        <v/>
      </c>
      <c r="J371" s="8" t="str">
        <f aca="false">IF(C371="","",IF(H371="","WAITING",IF(ABS(C371-H371)&lt;0.005,"MATCHED","CHECK")))</f>
        <v/>
      </c>
      <c r="K371" s="27" t="str">
        <f aca="false">IF(OR(A371="",E371="",F371=""),"",SUMIFS('Sales Log'!$L$5:$L$1004,'Sales Log'!$B$5:$B$1004,A371,'Sales Log'!$A$5:$A$1004,"&gt;="&amp;E371,'Sales Log'!$A$5:$A$1004,"&lt;="&amp;F371,'Sales Log'!$R$5:$R$1004,IF(O371="EXAMPLE","EXAMPLE","&lt;&gt;EXAMPLE")))</f>
        <v/>
      </c>
      <c r="L371" s="16"/>
      <c r="M371" s="16"/>
      <c r="N371" s="16"/>
      <c r="O371" s="16"/>
    </row>
    <row r="372" customFormat="false" ht="15" hidden="false" customHeight="false" outlineLevel="0" collapsed="false">
      <c r="A372" s="16"/>
      <c r="B372" s="25"/>
      <c r="C372" s="26"/>
      <c r="D372" s="16"/>
      <c r="E372" s="25"/>
      <c r="F372" s="25"/>
      <c r="G372" s="25"/>
      <c r="H372" s="26"/>
      <c r="I372" s="27" t="str">
        <f aca="false">IF(OR(C372="",H372=""),"",C372-H372)</f>
        <v/>
      </c>
      <c r="J372" s="8" t="str">
        <f aca="false">IF(C372="","",IF(H372="","WAITING",IF(ABS(C372-H372)&lt;0.005,"MATCHED","CHECK")))</f>
        <v/>
      </c>
      <c r="K372" s="27" t="str">
        <f aca="false">IF(OR(A372="",E372="",F372=""),"",SUMIFS('Sales Log'!$L$5:$L$1004,'Sales Log'!$B$5:$B$1004,A372,'Sales Log'!$A$5:$A$1004,"&gt;="&amp;E372,'Sales Log'!$A$5:$A$1004,"&lt;="&amp;F372,'Sales Log'!$R$5:$R$1004,IF(O372="EXAMPLE","EXAMPLE","&lt;&gt;EXAMPLE")))</f>
        <v/>
      </c>
      <c r="L372" s="16"/>
      <c r="M372" s="16"/>
      <c r="N372" s="16"/>
      <c r="O372" s="16"/>
    </row>
    <row r="373" customFormat="false" ht="15" hidden="false" customHeight="false" outlineLevel="0" collapsed="false">
      <c r="A373" s="16"/>
      <c r="B373" s="25"/>
      <c r="C373" s="26"/>
      <c r="D373" s="16"/>
      <c r="E373" s="25"/>
      <c r="F373" s="25"/>
      <c r="G373" s="25"/>
      <c r="H373" s="26"/>
      <c r="I373" s="27" t="str">
        <f aca="false">IF(OR(C373="",H373=""),"",C373-H373)</f>
        <v/>
      </c>
      <c r="J373" s="8" t="str">
        <f aca="false">IF(C373="","",IF(H373="","WAITING",IF(ABS(C373-H373)&lt;0.005,"MATCHED","CHECK")))</f>
        <v/>
      </c>
      <c r="K373" s="27" t="str">
        <f aca="false">IF(OR(A373="",E373="",F373=""),"",SUMIFS('Sales Log'!$L$5:$L$1004,'Sales Log'!$B$5:$B$1004,A373,'Sales Log'!$A$5:$A$1004,"&gt;="&amp;E373,'Sales Log'!$A$5:$A$1004,"&lt;="&amp;F373,'Sales Log'!$R$5:$R$1004,IF(O373="EXAMPLE","EXAMPLE","&lt;&gt;EXAMPLE")))</f>
        <v/>
      </c>
      <c r="L373" s="16"/>
      <c r="M373" s="16"/>
      <c r="N373" s="16"/>
      <c r="O373" s="16"/>
    </row>
    <row r="374" customFormat="false" ht="15" hidden="false" customHeight="false" outlineLevel="0" collapsed="false">
      <c r="A374" s="16"/>
      <c r="B374" s="25"/>
      <c r="C374" s="26"/>
      <c r="D374" s="16"/>
      <c r="E374" s="25"/>
      <c r="F374" s="25"/>
      <c r="G374" s="25"/>
      <c r="H374" s="26"/>
      <c r="I374" s="27" t="str">
        <f aca="false">IF(OR(C374="",H374=""),"",C374-H374)</f>
        <v/>
      </c>
      <c r="J374" s="8" t="str">
        <f aca="false">IF(C374="","",IF(H374="","WAITING",IF(ABS(C374-H374)&lt;0.005,"MATCHED","CHECK")))</f>
        <v/>
      </c>
      <c r="K374" s="27" t="str">
        <f aca="false">IF(OR(A374="",E374="",F374=""),"",SUMIFS('Sales Log'!$L$5:$L$1004,'Sales Log'!$B$5:$B$1004,A374,'Sales Log'!$A$5:$A$1004,"&gt;="&amp;E374,'Sales Log'!$A$5:$A$1004,"&lt;="&amp;F374,'Sales Log'!$R$5:$R$1004,IF(O374="EXAMPLE","EXAMPLE","&lt;&gt;EXAMPLE")))</f>
        <v/>
      </c>
      <c r="L374" s="16"/>
      <c r="M374" s="16"/>
      <c r="N374" s="16"/>
      <c r="O374" s="16"/>
    </row>
    <row r="375" customFormat="false" ht="15" hidden="false" customHeight="false" outlineLevel="0" collapsed="false">
      <c r="A375" s="16"/>
      <c r="B375" s="25"/>
      <c r="C375" s="26"/>
      <c r="D375" s="16"/>
      <c r="E375" s="25"/>
      <c r="F375" s="25"/>
      <c r="G375" s="25"/>
      <c r="H375" s="26"/>
      <c r="I375" s="27" t="str">
        <f aca="false">IF(OR(C375="",H375=""),"",C375-H375)</f>
        <v/>
      </c>
      <c r="J375" s="8" t="str">
        <f aca="false">IF(C375="","",IF(H375="","WAITING",IF(ABS(C375-H375)&lt;0.005,"MATCHED","CHECK")))</f>
        <v/>
      </c>
      <c r="K375" s="27" t="str">
        <f aca="false">IF(OR(A375="",E375="",F375=""),"",SUMIFS('Sales Log'!$L$5:$L$1004,'Sales Log'!$B$5:$B$1004,A375,'Sales Log'!$A$5:$A$1004,"&gt;="&amp;E375,'Sales Log'!$A$5:$A$1004,"&lt;="&amp;F375,'Sales Log'!$R$5:$R$1004,IF(O375="EXAMPLE","EXAMPLE","&lt;&gt;EXAMPLE")))</f>
        <v/>
      </c>
      <c r="L375" s="16"/>
      <c r="M375" s="16"/>
      <c r="N375" s="16"/>
      <c r="O375" s="16"/>
    </row>
    <row r="376" customFormat="false" ht="15" hidden="false" customHeight="false" outlineLevel="0" collapsed="false">
      <c r="A376" s="16"/>
      <c r="B376" s="25"/>
      <c r="C376" s="26"/>
      <c r="D376" s="16"/>
      <c r="E376" s="25"/>
      <c r="F376" s="25"/>
      <c r="G376" s="25"/>
      <c r="H376" s="26"/>
      <c r="I376" s="27" t="str">
        <f aca="false">IF(OR(C376="",H376=""),"",C376-H376)</f>
        <v/>
      </c>
      <c r="J376" s="8" t="str">
        <f aca="false">IF(C376="","",IF(H376="","WAITING",IF(ABS(C376-H376)&lt;0.005,"MATCHED","CHECK")))</f>
        <v/>
      </c>
      <c r="K376" s="27" t="str">
        <f aca="false">IF(OR(A376="",E376="",F376=""),"",SUMIFS('Sales Log'!$L$5:$L$1004,'Sales Log'!$B$5:$B$1004,A376,'Sales Log'!$A$5:$A$1004,"&gt;="&amp;E376,'Sales Log'!$A$5:$A$1004,"&lt;="&amp;F376,'Sales Log'!$R$5:$R$1004,IF(O376="EXAMPLE","EXAMPLE","&lt;&gt;EXAMPLE")))</f>
        <v/>
      </c>
      <c r="L376" s="16"/>
      <c r="M376" s="16"/>
      <c r="N376" s="16"/>
      <c r="O376" s="16"/>
    </row>
    <row r="377" customFormat="false" ht="15" hidden="false" customHeight="false" outlineLevel="0" collapsed="false">
      <c r="A377" s="16"/>
      <c r="B377" s="25"/>
      <c r="C377" s="26"/>
      <c r="D377" s="16"/>
      <c r="E377" s="25"/>
      <c r="F377" s="25"/>
      <c r="G377" s="25"/>
      <c r="H377" s="26"/>
      <c r="I377" s="27" t="str">
        <f aca="false">IF(OR(C377="",H377=""),"",C377-H377)</f>
        <v/>
      </c>
      <c r="J377" s="8" t="str">
        <f aca="false">IF(C377="","",IF(H377="","WAITING",IF(ABS(C377-H377)&lt;0.005,"MATCHED","CHECK")))</f>
        <v/>
      </c>
      <c r="K377" s="27" t="str">
        <f aca="false">IF(OR(A377="",E377="",F377=""),"",SUMIFS('Sales Log'!$L$5:$L$1004,'Sales Log'!$B$5:$B$1004,A377,'Sales Log'!$A$5:$A$1004,"&gt;="&amp;E377,'Sales Log'!$A$5:$A$1004,"&lt;="&amp;F377,'Sales Log'!$R$5:$R$1004,IF(O377="EXAMPLE","EXAMPLE","&lt;&gt;EXAMPLE")))</f>
        <v/>
      </c>
      <c r="L377" s="16"/>
      <c r="M377" s="16"/>
      <c r="N377" s="16"/>
      <c r="O377" s="16"/>
    </row>
    <row r="378" customFormat="false" ht="15" hidden="false" customHeight="false" outlineLevel="0" collapsed="false">
      <c r="A378" s="16"/>
      <c r="B378" s="25"/>
      <c r="C378" s="26"/>
      <c r="D378" s="16"/>
      <c r="E378" s="25"/>
      <c r="F378" s="25"/>
      <c r="G378" s="25"/>
      <c r="H378" s="26"/>
      <c r="I378" s="27" t="str">
        <f aca="false">IF(OR(C378="",H378=""),"",C378-H378)</f>
        <v/>
      </c>
      <c r="J378" s="8" t="str">
        <f aca="false">IF(C378="","",IF(H378="","WAITING",IF(ABS(C378-H378)&lt;0.005,"MATCHED","CHECK")))</f>
        <v/>
      </c>
      <c r="K378" s="27" t="str">
        <f aca="false">IF(OR(A378="",E378="",F378=""),"",SUMIFS('Sales Log'!$L$5:$L$1004,'Sales Log'!$B$5:$B$1004,A378,'Sales Log'!$A$5:$A$1004,"&gt;="&amp;E378,'Sales Log'!$A$5:$A$1004,"&lt;="&amp;F378,'Sales Log'!$R$5:$R$1004,IF(O378="EXAMPLE","EXAMPLE","&lt;&gt;EXAMPLE")))</f>
        <v/>
      </c>
      <c r="L378" s="16"/>
      <c r="M378" s="16"/>
      <c r="N378" s="16"/>
      <c r="O378" s="16"/>
    </row>
    <row r="379" customFormat="false" ht="15" hidden="false" customHeight="false" outlineLevel="0" collapsed="false">
      <c r="A379" s="16"/>
      <c r="B379" s="25"/>
      <c r="C379" s="26"/>
      <c r="D379" s="16"/>
      <c r="E379" s="25"/>
      <c r="F379" s="25"/>
      <c r="G379" s="25"/>
      <c r="H379" s="26"/>
      <c r="I379" s="27" t="str">
        <f aca="false">IF(OR(C379="",H379=""),"",C379-H379)</f>
        <v/>
      </c>
      <c r="J379" s="8" t="str">
        <f aca="false">IF(C379="","",IF(H379="","WAITING",IF(ABS(C379-H379)&lt;0.005,"MATCHED","CHECK")))</f>
        <v/>
      </c>
      <c r="K379" s="27" t="str">
        <f aca="false">IF(OR(A379="",E379="",F379=""),"",SUMIFS('Sales Log'!$L$5:$L$1004,'Sales Log'!$B$5:$B$1004,A379,'Sales Log'!$A$5:$A$1004,"&gt;="&amp;E379,'Sales Log'!$A$5:$A$1004,"&lt;="&amp;F379,'Sales Log'!$R$5:$R$1004,IF(O379="EXAMPLE","EXAMPLE","&lt;&gt;EXAMPLE")))</f>
        <v/>
      </c>
      <c r="L379" s="16"/>
      <c r="M379" s="16"/>
      <c r="N379" s="16"/>
      <c r="O379" s="16"/>
    </row>
    <row r="380" customFormat="false" ht="15" hidden="false" customHeight="false" outlineLevel="0" collapsed="false">
      <c r="A380" s="16"/>
      <c r="B380" s="25"/>
      <c r="C380" s="26"/>
      <c r="D380" s="16"/>
      <c r="E380" s="25"/>
      <c r="F380" s="25"/>
      <c r="G380" s="25"/>
      <c r="H380" s="26"/>
      <c r="I380" s="27" t="str">
        <f aca="false">IF(OR(C380="",H380=""),"",C380-H380)</f>
        <v/>
      </c>
      <c r="J380" s="8" t="str">
        <f aca="false">IF(C380="","",IF(H380="","WAITING",IF(ABS(C380-H380)&lt;0.005,"MATCHED","CHECK")))</f>
        <v/>
      </c>
      <c r="K380" s="27" t="str">
        <f aca="false">IF(OR(A380="",E380="",F380=""),"",SUMIFS('Sales Log'!$L$5:$L$1004,'Sales Log'!$B$5:$B$1004,A380,'Sales Log'!$A$5:$A$1004,"&gt;="&amp;E380,'Sales Log'!$A$5:$A$1004,"&lt;="&amp;F380,'Sales Log'!$R$5:$R$1004,IF(O380="EXAMPLE","EXAMPLE","&lt;&gt;EXAMPLE")))</f>
        <v/>
      </c>
      <c r="L380" s="16"/>
      <c r="M380" s="16"/>
      <c r="N380" s="16"/>
      <c r="O380" s="16"/>
    </row>
    <row r="381" customFormat="false" ht="15" hidden="false" customHeight="false" outlineLevel="0" collapsed="false">
      <c r="A381" s="16"/>
      <c r="B381" s="25"/>
      <c r="C381" s="26"/>
      <c r="D381" s="16"/>
      <c r="E381" s="25"/>
      <c r="F381" s="25"/>
      <c r="G381" s="25"/>
      <c r="H381" s="26"/>
      <c r="I381" s="27" t="str">
        <f aca="false">IF(OR(C381="",H381=""),"",C381-H381)</f>
        <v/>
      </c>
      <c r="J381" s="8" t="str">
        <f aca="false">IF(C381="","",IF(H381="","WAITING",IF(ABS(C381-H381)&lt;0.005,"MATCHED","CHECK")))</f>
        <v/>
      </c>
      <c r="K381" s="27" t="str">
        <f aca="false">IF(OR(A381="",E381="",F381=""),"",SUMIFS('Sales Log'!$L$5:$L$1004,'Sales Log'!$B$5:$B$1004,A381,'Sales Log'!$A$5:$A$1004,"&gt;="&amp;E381,'Sales Log'!$A$5:$A$1004,"&lt;="&amp;F381,'Sales Log'!$R$5:$R$1004,IF(O381="EXAMPLE","EXAMPLE","&lt;&gt;EXAMPLE")))</f>
        <v/>
      </c>
      <c r="L381" s="16"/>
      <c r="M381" s="16"/>
      <c r="N381" s="16"/>
      <c r="O381" s="16"/>
    </row>
    <row r="382" customFormat="false" ht="15" hidden="false" customHeight="false" outlineLevel="0" collapsed="false">
      <c r="A382" s="16"/>
      <c r="B382" s="25"/>
      <c r="C382" s="26"/>
      <c r="D382" s="16"/>
      <c r="E382" s="25"/>
      <c r="F382" s="25"/>
      <c r="G382" s="25"/>
      <c r="H382" s="26"/>
      <c r="I382" s="27" t="str">
        <f aca="false">IF(OR(C382="",H382=""),"",C382-H382)</f>
        <v/>
      </c>
      <c r="J382" s="8" t="str">
        <f aca="false">IF(C382="","",IF(H382="","WAITING",IF(ABS(C382-H382)&lt;0.005,"MATCHED","CHECK")))</f>
        <v/>
      </c>
      <c r="K382" s="27" t="str">
        <f aca="false">IF(OR(A382="",E382="",F382=""),"",SUMIFS('Sales Log'!$L$5:$L$1004,'Sales Log'!$B$5:$B$1004,A382,'Sales Log'!$A$5:$A$1004,"&gt;="&amp;E382,'Sales Log'!$A$5:$A$1004,"&lt;="&amp;F382,'Sales Log'!$R$5:$R$1004,IF(O382="EXAMPLE","EXAMPLE","&lt;&gt;EXAMPLE")))</f>
        <v/>
      </c>
      <c r="L382" s="16"/>
      <c r="M382" s="16"/>
      <c r="N382" s="16"/>
      <c r="O382" s="16"/>
    </row>
    <row r="383" customFormat="false" ht="15" hidden="false" customHeight="false" outlineLevel="0" collapsed="false">
      <c r="A383" s="16"/>
      <c r="B383" s="25"/>
      <c r="C383" s="26"/>
      <c r="D383" s="16"/>
      <c r="E383" s="25"/>
      <c r="F383" s="25"/>
      <c r="G383" s="25"/>
      <c r="H383" s="26"/>
      <c r="I383" s="27" t="str">
        <f aca="false">IF(OR(C383="",H383=""),"",C383-H383)</f>
        <v/>
      </c>
      <c r="J383" s="8" t="str">
        <f aca="false">IF(C383="","",IF(H383="","WAITING",IF(ABS(C383-H383)&lt;0.005,"MATCHED","CHECK")))</f>
        <v/>
      </c>
      <c r="K383" s="27" t="str">
        <f aca="false">IF(OR(A383="",E383="",F383=""),"",SUMIFS('Sales Log'!$L$5:$L$1004,'Sales Log'!$B$5:$B$1004,A383,'Sales Log'!$A$5:$A$1004,"&gt;="&amp;E383,'Sales Log'!$A$5:$A$1004,"&lt;="&amp;F383,'Sales Log'!$R$5:$R$1004,IF(O383="EXAMPLE","EXAMPLE","&lt;&gt;EXAMPLE")))</f>
        <v/>
      </c>
      <c r="L383" s="16"/>
      <c r="M383" s="16"/>
      <c r="N383" s="16"/>
      <c r="O383" s="16"/>
    </row>
    <row r="384" customFormat="false" ht="15" hidden="false" customHeight="false" outlineLevel="0" collapsed="false">
      <c r="A384" s="16"/>
      <c r="B384" s="25"/>
      <c r="C384" s="26"/>
      <c r="D384" s="16"/>
      <c r="E384" s="25"/>
      <c r="F384" s="25"/>
      <c r="G384" s="25"/>
      <c r="H384" s="26"/>
      <c r="I384" s="27" t="str">
        <f aca="false">IF(OR(C384="",H384=""),"",C384-H384)</f>
        <v/>
      </c>
      <c r="J384" s="8" t="str">
        <f aca="false">IF(C384="","",IF(H384="","WAITING",IF(ABS(C384-H384)&lt;0.005,"MATCHED","CHECK")))</f>
        <v/>
      </c>
      <c r="K384" s="27" t="str">
        <f aca="false">IF(OR(A384="",E384="",F384=""),"",SUMIFS('Sales Log'!$L$5:$L$1004,'Sales Log'!$B$5:$B$1004,A384,'Sales Log'!$A$5:$A$1004,"&gt;="&amp;E384,'Sales Log'!$A$5:$A$1004,"&lt;="&amp;F384,'Sales Log'!$R$5:$R$1004,IF(O384="EXAMPLE","EXAMPLE","&lt;&gt;EXAMPLE")))</f>
        <v/>
      </c>
      <c r="L384" s="16"/>
      <c r="M384" s="16"/>
      <c r="N384" s="16"/>
      <c r="O384" s="16"/>
    </row>
    <row r="385" customFormat="false" ht="15" hidden="false" customHeight="false" outlineLevel="0" collapsed="false">
      <c r="A385" s="16"/>
      <c r="B385" s="25"/>
      <c r="C385" s="26"/>
      <c r="D385" s="16"/>
      <c r="E385" s="25"/>
      <c r="F385" s="25"/>
      <c r="G385" s="25"/>
      <c r="H385" s="26"/>
      <c r="I385" s="27" t="str">
        <f aca="false">IF(OR(C385="",H385=""),"",C385-H385)</f>
        <v/>
      </c>
      <c r="J385" s="8" t="str">
        <f aca="false">IF(C385="","",IF(H385="","WAITING",IF(ABS(C385-H385)&lt;0.005,"MATCHED","CHECK")))</f>
        <v/>
      </c>
      <c r="K385" s="27" t="str">
        <f aca="false">IF(OR(A385="",E385="",F385=""),"",SUMIFS('Sales Log'!$L$5:$L$1004,'Sales Log'!$B$5:$B$1004,A385,'Sales Log'!$A$5:$A$1004,"&gt;="&amp;E385,'Sales Log'!$A$5:$A$1004,"&lt;="&amp;F385,'Sales Log'!$R$5:$R$1004,IF(O385="EXAMPLE","EXAMPLE","&lt;&gt;EXAMPLE")))</f>
        <v/>
      </c>
      <c r="L385" s="16"/>
      <c r="M385" s="16"/>
      <c r="N385" s="16"/>
      <c r="O385" s="16"/>
    </row>
    <row r="386" customFormat="false" ht="15" hidden="false" customHeight="false" outlineLevel="0" collapsed="false">
      <c r="A386" s="16"/>
      <c r="B386" s="25"/>
      <c r="C386" s="26"/>
      <c r="D386" s="16"/>
      <c r="E386" s="25"/>
      <c r="F386" s="25"/>
      <c r="G386" s="25"/>
      <c r="H386" s="26"/>
      <c r="I386" s="27" t="str">
        <f aca="false">IF(OR(C386="",H386=""),"",C386-H386)</f>
        <v/>
      </c>
      <c r="J386" s="8" t="str">
        <f aca="false">IF(C386="","",IF(H386="","WAITING",IF(ABS(C386-H386)&lt;0.005,"MATCHED","CHECK")))</f>
        <v/>
      </c>
      <c r="K386" s="27" t="str">
        <f aca="false">IF(OR(A386="",E386="",F386=""),"",SUMIFS('Sales Log'!$L$5:$L$1004,'Sales Log'!$B$5:$B$1004,A386,'Sales Log'!$A$5:$A$1004,"&gt;="&amp;E386,'Sales Log'!$A$5:$A$1004,"&lt;="&amp;F386,'Sales Log'!$R$5:$R$1004,IF(O386="EXAMPLE","EXAMPLE","&lt;&gt;EXAMPLE")))</f>
        <v/>
      </c>
      <c r="L386" s="16"/>
      <c r="M386" s="16"/>
      <c r="N386" s="16"/>
      <c r="O386" s="16"/>
    </row>
    <row r="387" customFormat="false" ht="15" hidden="false" customHeight="false" outlineLevel="0" collapsed="false">
      <c r="A387" s="16"/>
      <c r="B387" s="25"/>
      <c r="C387" s="26"/>
      <c r="D387" s="16"/>
      <c r="E387" s="25"/>
      <c r="F387" s="25"/>
      <c r="G387" s="25"/>
      <c r="H387" s="26"/>
      <c r="I387" s="27" t="str">
        <f aca="false">IF(OR(C387="",H387=""),"",C387-H387)</f>
        <v/>
      </c>
      <c r="J387" s="8" t="str">
        <f aca="false">IF(C387="","",IF(H387="","WAITING",IF(ABS(C387-H387)&lt;0.005,"MATCHED","CHECK")))</f>
        <v/>
      </c>
      <c r="K387" s="27" t="str">
        <f aca="false">IF(OR(A387="",E387="",F387=""),"",SUMIFS('Sales Log'!$L$5:$L$1004,'Sales Log'!$B$5:$B$1004,A387,'Sales Log'!$A$5:$A$1004,"&gt;="&amp;E387,'Sales Log'!$A$5:$A$1004,"&lt;="&amp;F387,'Sales Log'!$R$5:$R$1004,IF(O387="EXAMPLE","EXAMPLE","&lt;&gt;EXAMPLE")))</f>
        <v/>
      </c>
      <c r="L387" s="16"/>
      <c r="M387" s="16"/>
      <c r="N387" s="16"/>
      <c r="O387" s="16"/>
    </row>
    <row r="388" customFormat="false" ht="15" hidden="false" customHeight="false" outlineLevel="0" collapsed="false">
      <c r="A388" s="16"/>
      <c r="B388" s="25"/>
      <c r="C388" s="26"/>
      <c r="D388" s="16"/>
      <c r="E388" s="25"/>
      <c r="F388" s="25"/>
      <c r="G388" s="25"/>
      <c r="H388" s="26"/>
      <c r="I388" s="27" t="str">
        <f aca="false">IF(OR(C388="",H388=""),"",C388-H388)</f>
        <v/>
      </c>
      <c r="J388" s="8" t="str">
        <f aca="false">IF(C388="","",IF(H388="","WAITING",IF(ABS(C388-H388)&lt;0.005,"MATCHED","CHECK")))</f>
        <v/>
      </c>
      <c r="K388" s="27" t="str">
        <f aca="false">IF(OR(A388="",E388="",F388=""),"",SUMIFS('Sales Log'!$L$5:$L$1004,'Sales Log'!$B$5:$B$1004,A388,'Sales Log'!$A$5:$A$1004,"&gt;="&amp;E388,'Sales Log'!$A$5:$A$1004,"&lt;="&amp;F388,'Sales Log'!$R$5:$R$1004,IF(O388="EXAMPLE","EXAMPLE","&lt;&gt;EXAMPLE")))</f>
        <v/>
      </c>
      <c r="L388" s="16"/>
      <c r="M388" s="16"/>
      <c r="N388" s="16"/>
      <c r="O388" s="16"/>
    </row>
    <row r="389" customFormat="false" ht="15" hidden="false" customHeight="false" outlineLevel="0" collapsed="false">
      <c r="A389" s="16"/>
      <c r="B389" s="25"/>
      <c r="C389" s="26"/>
      <c r="D389" s="16"/>
      <c r="E389" s="25"/>
      <c r="F389" s="25"/>
      <c r="G389" s="25"/>
      <c r="H389" s="26"/>
      <c r="I389" s="27" t="str">
        <f aca="false">IF(OR(C389="",H389=""),"",C389-H389)</f>
        <v/>
      </c>
      <c r="J389" s="8" t="str">
        <f aca="false">IF(C389="","",IF(H389="","WAITING",IF(ABS(C389-H389)&lt;0.005,"MATCHED","CHECK")))</f>
        <v/>
      </c>
      <c r="K389" s="27" t="str">
        <f aca="false">IF(OR(A389="",E389="",F389=""),"",SUMIFS('Sales Log'!$L$5:$L$1004,'Sales Log'!$B$5:$B$1004,A389,'Sales Log'!$A$5:$A$1004,"&gt;="&amp;E389,'Sales Log'!$A$5:$A$1004,"&lt;="&amp;F389,'Sales Log'!$R$5:$R$1004,IF(O389="EXAMPLE","EXAMPLE","&lt;&gt;EXAMPLE")))</f>
        <v/>
      </c>
      <c r="L389" s="16"/>
      <c r="M389" s="16"/>
      <c r="N389" s="16"/>
      <c r="O389" s="16"/>
    </row>
    <row r="390" customFormat="false" ht="15" hidden="false" customHeight="false" outlineLevel="0" collapsed="false">
      <c r="A390" s="16"/>
      <c r="B390" s="25"/>
      <c r="C390" s="26"/>
      <c r="D390" s="16"/>
      <c r="E390" s="25"/>
      <c r="F390" s="25"/>
      <c r="G390" s="25"/>
      <c r="H390" s="26"/>
      <c r="I390" s="27" t="str">
        <f aca="false">IF(OR(C390="",H390=""),"",C390-H390)</f>
        <v/>
      </c>
      <c r="J390" s="8" t="str">
        <f aca="false">IF(C390="","",IF(H390="","WAITING",IF(ABS(C390-H390)&lt;0.005,"MATCHED","CHECK")))</f>
        <v/>
      </c>
      <c r="K390" s="27" t="str">
        <f aca="false">IF(OR(A390="",E390="",F390=""),"",SUMIFS('Sales Log'!$L$5:$L$1004,'Sales Log'!$B$5:$B$1004,A390,'Sales Log'!$A$5:$A$1004,"&gt;="&amp;E390,'Sales Log'!$A$5:$A$1004,"&lt;="&amp;F390,'Sales Log'!$R$5:$R$1004,IF(O390="EXAMPLE","EXAMPLE","&lt;&gt;EXAMPLE")))</f>
        <v/>
      </c>
      <c r="L390" s="16"/>
      <c r="M390" s="16"/>
      <c r="N390" s="16"/>
      <c r="O390" s="16"/>
    </row>
    <row r="391" customFormat="false" ht="15" hidden="false" customHeight="false" outlineLevel="0" collapsed="false">
      <c r="A391" s="16"/>
      <c r="B391" s="25"/>
      <c r="C391" s="26"/>
      <c r="D391" s="16"/>
      <c r="E391" s="25"/>
      <c r="F391" s="25"/>
      <c r="G391" s="25"/>
      <c r="H391" s="26"/>
      <c r="I391" s="27" t="str">
        <f aca="false">IF(OR(C391="",H391=""),"",C391-H391)</f>
        <v/>
      </c>
      <c r="J391" s="8" t="str">
        <f aca="false">IF(C391="","",IF(H391="","WAITING",IF(ABS(C391-H391)&lt;0.005,"MATCHED","CHECK")))</f>
        <v/>
      </c>
      <c r="K391" s="27" t="str">
        <f aca="false">IF(OR(A391="",E391="",F391=""),"",SUMIFS('Sales Log'!$L$5:$L$1004,'Sales Log'!$B$5:$B$1004,A391,'Sales Log'!$A$5:$A$1004,"&gt;="&amp;E391,'Sales Log'!$A$5:$A$1004,"&lt;="&amp;F391,'Sales Log'!$R$5:$R$1004,IF(O391="EXAMPLE","EXAMPLE","&lt;&gt;EXAMPLE")))</f>
        <v/>
      </c>
      <c r="L391" s="16"/>
      <c r="M391" s="16"/>
      <c r="N391" s="16"/>
      <c r="O391" s="16"/>
    </row>
    <row r="392" customFormat="false" ht="15" hidden="false" customHeight="false" outlineLevel="0" collapsed="false">
      <c r="A392" s="16"/>
      <c r="B392" s="25"/>
      <c r="C392" s="26"/>
      <c r="D392" s="16"/>
      <c r="E392" s="25"/>
      <c r="F392" s="25"/>
      <c r="G392" s="25"/>
      <c r="H392" s="26"/>
      <c r="I392" s="27" t="str">
        <f aca="false">IF(OR(C392="",H392=""),"",C392-H392)</f>
        <v/>
      </c>
      <c r="J392" s="8" t="str">
        <f aca="false">IF(C392="","",IF(H392="","WAITING",IF(ABS(C392-H392)&lt;0.005,"MATCHED","CHECK")))</f>
        <v/>
      </c>
      <c r="K392" s="27" t="str">
        <f aca="false">IF(OR(A392="",E392="",F392=""),"",SUMIFS('Sales Log'!$L$5:$L$1004,'Sales Log'!$B$5:$B$1004,A392,'Sales Log'!$A$5:$A$1004,"&gt;="&amp;E392,'Sales Log'!$A$5:$A$1004,"&lt;="&amp;F392,'Sales Log'!$R$5:$R$1004,IF(O392="EXAMPLE","EXAMPLE","&lt;&gt;EXAMPLE")))</f>
        <v/>
      </c>
      <c r="L392" s="16"/>
      <c r="M392" s="16"/>
      <c r="N392" s="16"/>
      <c r="O392" s="16"/>
    </row>
    <row r="393" customFormat="false" ht="15" hidden="false" customHeight="false" outlineLevel="0" collapsed="false">
      <c r="A393" s="16"/>
      <c r="B393" s="25"/>
      <c r="C393" s="26"/>
      <c r="D393" s="16"/>
      <c r="E393" s="25"/>
      <c r="F393" s="25"/>
      <c r="G393" s="25"/>
      <c r="H393" s="26"/>
      <c r="I393" s="27" t="str">
        <f aca="false">IF(OR(C393="",H393=""),"",C393-H393)</f>
        <v/>
      </c>
      <c r="J393" s="8" t="str">
        <f aca="false">IF(C393="","",IF(H393="","WAITING",IF(ABS(C393-H393)&lt;0.005,"MATCHED","CHECK")))</f>
        <v/>
      </c>
      <c r="K393" s="27" t="str">
        <f aca="false">IF(OR(A393="",E393="",F393=""),"",SUMIFS('Sales Log'!$L$5:$L$1004,'Sales Log'!$B$5:$B$1004,A393,'Sales Log'!$A$5:$A$1004,"&gt;="&amp;E393,'Sales Log'!$A$5:$A$1004,"&lt;="&amp;F393,'Sales Log'!$R$5:$R$1004,IF(O393="EXAMPLE","EXAMPLE","&lt;&gt;EXAMPLE")))</f>
        <v/>
      </c>
      <c r="L393" s="16"/>
      <c r="M393" s="16"/>
      <c r="N393" s="16"/>
      <c r="O393" s="16"/>
    </row>
    <row r="394" customFormat="false" ht="15" hidden="false" customHeight="false" outlineLevel="0" collapsed="false">
      <c r="A394" s="16"/>
      <c r="B394" s="25"/>
      <c r="C394" s="26"/>
      <c r="D394" s="16"/>
      <c r="E394" s="25"/>
      <c r="F394" s="25"/>
      <c r="G394" s="25"/>
      <c r="H394" s="26"/>
      <c r="I394" s="27" t="str">
        <f aca="false">IF(OR(C394="",H394=""),"",C394-H394)</f>
        <v/>
      </c>
      <c r="J394" s="8" t="str">
        <f aca="false">IF(C394="","",IF(H394="","WAITING",IF(ABS(C394-H394)&lt;0.005,"MATCHED","CHECK")))</f>
        <v/>
      </c>
      <c r="K394" s="27" t="str">
        <f aca="false">IF(OR(A394="",E394="",F394=""),"",SUMIFS('Sales Log'!$L$5:$L$1004,'Sales Log'!$B$5:$B$1004,A394,'Sales Log'!$A$5:$A$1004,"&gt;="&amp;E394,'Sales Log'!$A$5:$A$1004,"&lt;="&amp;F394,'Sales Log'!$R$5:$R$1004,IF(O394="EXAMPLE","EXAMPLE","&lt;&gt;EXAMPLE")))</f>
        <v/>
      </c>
      <c r="L394" s="16"/>
      <c r="M394" s="16"/>
      <c r="N394" s="16"/>
      <c r="O394" s="16"/>
    </row>
    <row r="395" customFormat="false" ht="15" hidden="false" customHeight="false" outlineLevel="0" collapsed="false">
      <c r="A395" s="16"/>
      <c r="B395" s="25"/>
      <c r="C395" s="26"/>
      <c r="D395" s="16"/>
      <c r="E395" s="25"/>
      <c r="F395" s="25"/>
      <c r="G395" s="25"/>
      <c r="H395" s="26"/>
      <c r="I395" s="27" t="str">
        <f aca="false">IF(OR(C395="",H395=""),"",C395-H395)</f>
        <v/>
      </c>
      <c r="J395" s="8" t="str">
        <f aca="false">IF(C395="","",IF(H395="","WAITING",IF(ABS(C395-H395)&lt;0.005,"MATCHED","CHECK")))</f>
        <v/>
      </c>
      <c r="K395" s="27" t="str">
        <f aca="false">IF(OR(A395="",E395="",F395=""),"",SUMIFS('Sales Log'!$L$5:$L$1004,'Sales Log'!$B$5:$B$1004,A395,'Sales Log'!$A$5:$A$1004,"&gt;="&amp;E395,'Sales Log'!$A$5:$A$1004,"&lt;="&amp;F395,'Sales Log'!$R$5:$R$1004,IF(O395="EXAMPLE","EXAMPLE","&lt;&gt;EXAMPLE")))</f>
        <v/>
      </c>
      <c r="L395" s="16"/>
      <c r="M395" s="16"/>
      <c r="N395" s="16"/>
      <c r="O395" s="16"/>
    </row>
    <row r="396" customFormat="false" ht="15" hidden="false" customHeight="false" outlineLevel="0" collapsed="false">
      <c r="A396" s="16"/>
      <c r="B396" s="25"/>
      <c r="C396" s="26"/>
      <c r="D396" s="16"/>
      <c r="E396" s="25"/>
      <c r="F396" s="25"/>
      <c r="G396" s="25"/>
      <c r="H396" s="26"/>
      <c r="I396" s="27" t="str">
        <f aca="false">IF(OR(C396="",H396=""),"",C396-H396)</f>
        <v/>
      </c>
      <c r="J396" s="8" t="str">
        <f aca="false">IF(C396="","",IF(H396="","WAITING",IF(ABS(C396-H396)&lt;0.005,"MATCHED","CHECK")))</f>
        <v/>
      </c>
      <c r="K396" s="27" t="str">
        <f aca="false">IF(OR(A396="",E396="",F396=""),"",SUMIFS('Sales Log'!$L$5:$L$1004,'Sales Log'!$B$5:$B$1004,A396,'Sales Log'!$A$5:$A$1004,"&gt;="&amp;E396,'Sales Log'!$A$5:$A$1004,"&lt;="&amp;F396,'Sales Log'!$R$5:$R$1004,IF(O396="EXAMPLE","EXAMPLE","&lt;&gt;EXAMPLE")))</f>
        <v/>
      </c>
      <c r="L396" s="16"/>
      <c r="M396" s="16"/>
      <c r="N396" s="16"/>
      <c r="O396" s="16"/>
    </row>
    <row r="397" customFormat="false" ht="15" hidden="false" customHeight="false" outlineLevel="0" collapsed="false">
      <c r="A397" s="16"/>
      <c r="B397" s="25"/>
      <c r="C397" s="26"/>
      <c r="D397" s="16"/>
      <c r="E397" s="25"/>
      <c r="F397" s="25"/>
      <c r="G397" s="25"/>
      <c r="H397" s="26"/>
      <c r="I397" s="27" t="str">
        <f aca="false">IF(OR(C397="",H397=""),"",C397-H397)</f>
        <v/>
      </c>
      <c r="J397" s="8" t="str">
        <f aca="false">IF(C397="","",IF(H397="","WAITING",IF(ABS(C397-H397)&lt;0.005,"MATCHED","CHECK")))</f>
        <v/>
      </c>
      <c r="K397" s="27" t="str">
        <f aca="false">IF(OR(A397="",E397="",F397=""),"",SUMIFS('Sales Log'!$L$5:$L$1004,'Sales Log'!$B$5:$B$1004,A397,'Sales Log'!$A$5:$A$1004,"&gt;="&amp;E397,'Sales Log'!$A$5:$A$1004,"&lt;="&amp;F397,'Sales Log'!$R$5:$R$1004,IF(O397="EXAMPLE","EXAMPLE","&lt;&gt;EXAMPLE")))</f>
        <v/>
      </c>
      <c r="L397" s="16"/>
      <c r="M397" s="16"/>
      <c r="N397" s="16"/>
      <c r="O397" s="16"/>
    </row>
    <row r="398" customFormat="false" ht="15" hidden="false" customHeight="false" outlineLevel="0" collapsed="false">
      <c r="A398" s="16"/>
      <c r="B398" s="25"/>
      <c r="C398" s="26"/>
      <c r="D398" s="16"/>
      <c r="E398" s="25"/>
      <c r="F398" s="25"/>
      <c r="G398" s="25"/>
      <c r="H398" s="26"/>
      <c r="I398" s="27" t="str">
        <f aca="false">IF(OR(C398="",H398=""),"",C398-H398)</f>
        <v/>
      </c>
      <c r="J398" s="8" t="str">
        <f aca="false">IF(C398="","",IF(H398="","WAITING",IF(ABS(C398-H398)&lt;0.005,"MATCHED","CHECK")))</f>
        <v/>
      </c>
      <c r="K398" s="27" t="str">
        <f aca="false">IF(OR(A398="",E398="",F398=""),"",SUMIFS('Sales Log'!$L$5:$L$1004,'Sales Log'!$B$5:$B$1004,A398,'Sales Log'!$A$5:$A$1004,"&gt;="&amp;E398,'Sales Log'!$A$5:$A$1004,"&lt;="&amp;F398,'Sales Log'!$R$5:$R$1004,IF(O398="EXAMPLE","EXAMPLE","&lt;&gt;EXAMPLE")))</f>
        <v/>
      </c>
      <c r="L398" s="16"/>
      <c r="M398" s="16"/>
      <c r="N398" s="16"/>
      <c r="O398" s="16"/>
    </row>
    <row r="399" customFormat="false" ht="15" hidden="false" customHeight="false" outlineLevel="0" collapsed="false">
      <c r="A399" s="16"/>
      <c r="B399" s="25"/>
      <c r="C399" s="26"/>
      <c r="D399" s="16"/>
      <c r="E399" s="25"/>
      <c r="F399" s="25"/>
      <c r="G399" s="25"/>
      <c r="H399" s="26"/>
      <c r="I399" s="27" t="str">
        <f aca="false">IF(OR(C399="",H399=""),"",C399-H399)</f>
        <v/>
      </c>
      <c r="J399" s="8" t="str">
        <f aca="false">IF(C399="","",IF(H399="","WAITING",IF(ABS(C399-H399)&lt;0.005,"MATCHED","CHECK")))</f>
        <v/>
      </c>
      <c r="K399" s="27" t="str">
        <f aca="false">IF(OR(A399="",E399="",F399=""),"",SUMIFS('Sales Log'!$L$5:$L$1004,'Sales Log'!$B$5:$B$1004,A399,'Sales Log'!$A$5:$A$1004,"&gt;="&amp;E399,'Sales Log'!$A$5:$A$1004,"&lt;="&amp;F399,'Sales Log'!$R$5:$R$1004,IF(O399="EXAMPLE","EXAMPLE","&lt;&gt;EXAMPLE")))</f>
        <v/>
      </c>
      <c r="L399" s="16"/>
      <c r="M399" s="16"/>
      <c r="N399" s="16"/>
      <c r="O399" s="16"/>
    </row>
    <row r="400" customFormat="false" ht="15" hidden="false" customHeight="false" outlineLevel="0" collapsed="false">
      <c r="A400" s="16"/>
      <c r="B400" s="25"/>
      <c r="C400" s="26"/>
      <c r="D400" s="16"/>
      <c r="E400" s="25"/>
      <c r="F400" s="25"/>
      <c r="G400" s="25"/>
      <c r="H400" s="26"/>
      <c r="I400" s="27" t="str">
        <f aca="false">IF(OR(C400="",H400=""),"",C400-H400)</f>
        <v/>
      </c>
      <c r="J400" s="8" t="str">
        <f aca="false">IF(C400="","",IF(H400="","WAITING",IF(ABS(C400-H400)&lt;0.005,"MATCHED","CHECK")))</f>
        <v/>
      </c>
      <c r="K400" s="27" t="str">
        <f aca="false">IF(OR(A400="",E400="",F400=""),"",SUMIFS('Sales Log'!$L$5:$L$1004,'Sales Log'!$B$5:$B$1004,A400,'Sales Log'!$A$5:$A$1004,"&gt;="&amp;E400,'Sales Log'!$A$5:$A$1004,"&lt;="&amp;F400,'Sales Log'!$R$5:$R$1004,IF(O400="EXAMPLE","EXAMPLE","&lt;&gt;EXAMPLE")))</f>
        <v/>
      </c>
      <c r="L400" s="16"/>
      <c r="M400" s="16"/>
      <c r="N400" s="16"/>
      <c r="O400" s="16"/>
    </row>
    <row r="401" customFormat="false" ht="15" hidden="false" customHeight="false" outlineLevel="0" collapsed="false">
      <c r="A401" s="16"/>
      <c r="B401" s="25"/>
      <c r="C401" s="26"/>
      <c r="D401" s="16"/>
      <c r="E401" s="25"/>
      <c r="F401" s="25"/>
      <c r="G401" s="25"/>
      <c r="H401" s="26"/>
      <c r="I401" s="27" t="str">
        <f aca="false">IF(OR(C401="",H401=""),"",C401-H401)</f>
        <v/>
      </c>
      <c r="J401" s="8" t="str">
        <f aca="false">IF(C401="","",IF(H401="","WAITING",IF(ABS(C401-H401)&lt;0.005,"MATCHED","CHECK")))</f>
        <v/>
      </c>
      <c r="K401" s="27" t="str">
        <f aca="false">IF(OR(A401="",E401="",F401=""),"",SUMIFS('Sales Log'!$L$5:$L$1004,'Sales Log'!$B$5:$B$1004,A401,'Sales Log'!$A$5:$A$1004,"&gt;="&amp;E401,'Sales Log'!$A$5:$A$1004,"&lt;="&amp;F401,'Sales Log'!$R$5:$R$1004,IF(O401="EXAMPLE","EXAMPLE","&lt;&gt;EXAMPLE")))</f>
        <v/>
      </c>
      <c r="L401" s="16"/>
      <c r="M401" s="16"/>
      <c r="N401" s="16"/>
      <c r="O401" s="16"/>
    </row>
    <row r="402" customFormat="false" ht="15" hidden="false" customHeight="false" outlineLevel="0" collapsed="false">
      <c r="A402" s="16"/>
      <c r="B402" s="25"/>
      <c r="C402" s="26"/>
      <c r="D402" s="16"/>
      <c r="E402" s="25"/>
      <c r="F402" s="25"/>
      <c r="G402" s="25"/>
      <c r="H402" s="26"/>
      <c r="I402" s="27" t="str">
        <f aca="false">IF(OR(C402="",H402=""),"",C402-H402)</f>
        <v/>
      </c>
      <c r="J402" s="8" t="str">
        <f aca="false">IF(C402="","",IF(H402="","WAITING",IF(ABS(C402-H402)&lt;0.005,"MATCHED","CHECK")))</f>
        <v/>
      </c>
      <c r="K402" s="27" t="str">
        <f aca="false">IF(OR(A402="",E402="",F402=""),"",SUMIFS('Sales Log'!$L$5:$L$1004,'Sales Log'!$B$5:$B$1004,A402,'Sales Log'!$A$5:$A$1004,"&gt;="&amp;E402,'Sales Log'!$A$5:$A$1004,"&lt;="&amp;F402,'Sales Log'!$R$5:$R$1004,IF(O402="EXAMPLE","EXAMPLE","&lt;&gt;EXAMPLE")))</f>
        <v/>
      </c>
      <c r="L402" s="16"/>
      <c r="M402" s="16"/>
      <c r="N402" s="16"/>
      <c r="O402" s="16"/>
    </row>
    <row r="403" customFormat="false" ht="15" hidden="false" customHeight="false" outlineLevel="0" collapsed="false">
      <c r="A403" s="16"/>
      <c r="B403" s="25"/>
      <c r="C403" s="26"/>
      <c r="D403" s="16"/>
      <c r="E403" s="25"/>
      <c r="F403" s="25"/>
      <c r="G403" s="25"/>
      <c r="H403" s="26"/>
      <c r="I403" s="27" t="str">
        <f aca="false">IF(OR(C403="",H403=""),"",C403-H403)</f>
        <v/>
      </c>
      <c r="J403" s="8" t="str">
        <f aca="false">IF(C403="","",IF(H403="","WAITING",IF(ABS(C403-H403)&lt;0.005,"MATCHED","CHECK")))</f>
        <v/>
      </c>
      <c r="K403" s="27" t="str">
        <f aca="false">IF(OR(A403="",E403="",F403=""),"",SUMIFS('Sales Log'!$L$5:$L$1004,'Sales Log'!$B$5:$B$1004,A403,'Sales Log'!$A$5:$A$1004,"&gt;="&amp;E403,'Sales Log'!$A$5:$A$1004,"&lt;="&amp;F403,'Sales Log'!$R$5:$R$1004,IF(O403="EXAMPLE","EXAMPLE","&lt;&gt;EXAMPLE")))</f>
        <v/>
      </c>
      <c r="L403" s="16"/>
      <c r="M403" s="16"/>
      <c r="N403" s="16"/>
      <c r="O403" s="16"/>
    </row>
    <row r="404" customFormat="false" ht="15" hidden="false" customHeight="false" outlineLevel="0" collapsed="false">
      <c r="A404" s="16"/>
      <c r="B404" s="25"/>
      <c r="C404" s="26"/>
      <c r="D404" s="16"/>
      <c r="E404" s="25"/>
      <c r="F404" s="25"/>
      <c r="G404" s="25"/>
      <c r="H404" s="26"/>
      <c r="I404" s="27" t="str">
        <f aca="false">IF(OR(C404="",H404=""),"",C404-H404)</f>
        <v/>
      </c>
      <c r="J404" s="8" t="str">
        <f aca="false">IF(C404="","",IF(H404="","WAITING",IF(ABS(C404-H404)&lt;0.005,"MATCHED","CHECK")))</f>
        <v/>
      </c>
      <c r="K404" s="27" t="str">
        <f aca="false">IF(OR(A404="",E404="",F404=""),"",SUMIFS('Sales Log'!$L$5:$L$1004,'Sales Log'!$B$5:$B$1004,A404,'Sales Log'!$A$5:$A$1004,"&gt;="&amp;E404,'Sales Log'!$A$5:$A$1004,"&lt;="&amp;F404,'Sales Log'!$R$5:$R$1004,IF(O404="EXAMPLE","EXAMPLE","&lt;&gt;EXAMPLE")))</f>
        <v/>
      </c>
      <c r="L404" s="16"/>
      <c r="M404" s="16"/>
      <c r="N404" s="16"/>
      <c r="O404" s="16"/>
    </row>
    <row r="405" customFormat="false" ht="15" hidden="false" customHeight="false" outlineLevel="0" collapsed="false">
      <c r="A405" s="16"/>
      <c r="B405" s="25"/>
      <c r="C405" s="26"/>
      <c r="D405" s="16"/>
      <c r="E405" s="25"/>
      <c r="F405" s="25"/>
      <c r="G405" s="25"/>
      <c r="H405" s="26"/>
      <c r="I405" s="27" t="str">
        <f aca="false">IF(OR(C405="",H405=""),"",C405-H405)</f>
        <v/>
      </c>
      <c r="J405" s="8" t="str">
        <f aca="false">IF(C405="","",IF(H405="","WAITING",IF(ABS(C405-H405)&lt;0.005,"MATCHED","CHECK")))</f>
        <v/>
      </c>
      <c r="K405" s="27" t="str">
        <f aca="false">IF(OR(A405="",E405="",F405=""),"",SUMIFS('Sales Log'!$L$5:$L$1004,'Sales Log'!$B$5:$B$1004,A405,'Sales Log'!$A$5:$A$1004,"&gt;="&amp;E405,'Sales Log'!$A$5:$A$1004,"&lt;="&amp;F405,'Sales Log'!$R$5:$R$1004,IF(O405="EXAMPLE","EXAMPLE","&lt;&gt;EXAMPLE")))</f>
        <v/>
      </c>
      <c r="L405" s="16"/>
      <c r="M405" s="16"/>
      <c r="N405" s="16"/>
      <c r="O405" s="16"/>
    </row>
    <row r="406" customFormat="false" ht="15" hidden="false" customHeight="false" outlineLevel="0" collapsed="false">
      <c r="A406" s="16"/>
      <c r="B406" s="25"/>
      <c r="C406" s="26"/>
      <c r="D406" s="16"/>
      <c r="E406" s="25"/>
      <c r="F406" s="25"/>
      <c r="G406" s="25"/>
      <c r="H406" s="26"/>
      <c r="I406" s="27" t="str">
        <f aca="false">IF(OR(C406="",H406=""),"",C406-H406)</f>
        <v/>
      </c>
      <c r="J406" s="8" t="str">
        <f aca="false">IF(C406="","",IF(H406="","WAITING",IF(ABS(C406-H406)&lt;0.005,"MATCHED","CHECK")))</f>
        <v/>
      </c>
      <c r="K406" s="27" t="str">
        <f aca="false">IF(OR(A406="",E406="",F406=""),"",SUMIFS('Sales Log'!$L$5:$L$1004,'Sales Log'!$B$5:$B$1004,A406,'Sales Log'!$A$5:$A$1004,"&gt;="&amp;E406,'Sales Log'!$A$5:$A$1004,"&lt;="&amp;F406,'Sales Log'!$R$5:$R$1004,IF(O406="EXAMPLE","EXAMPLE","&lt;&gt;EXAMPLE")))</f>
        <v/>
      </c>
      <c r="L406" s="16"/>
      <c r="M406" s="16"/>
      <c r="N406" s="16"/>
      <c r="O406" s="16"/>
    </row>
    <row r="407" customFormat="false" ht="15" hidden="false" customHeight="false" outlineLevel="0" collapsed="false">
      <c r="A407" s="16"/>
      <c r="B407" s="25"/>
      <c r="C407" s="26"/>
      <c r="D407" s="16"/>
      <c r="E407" s="25"/>
      <c r="F407" s="25"/>
      <c r="G407" s="25"/>
      <c r="H407" s="26"/>
      <c r="I407" s="27" t="str">
        <f aca="false">IF(OR(C407="",H407=""),"",C407-H407)</f>
        <v/>
      </c>
      <c r="J407" s="8" t="str">
        <f aca="false">IF(C407="","",IF(H407="","WAITING",IF(ABS(C407-H407)&lt;0.005,"MATCHED","CHECK")))</f>
        <v/>
      </c>
      <c r="K407" s="27" t="str">
        <f aca="false">IF(OR(A407="",E407="",F407=""),"",SUMIFS('Sales Log'!$L$5:$L$1004,'Sales Log'!$B$5:$B$1004,A407,'Sales Log'!$A$5:$A$1004,"&gt;="&amp;E407,'Sales Log'!$A$5:$A$1004,"&lt;="&amp;F407,'Sales Log'!$R$5:$R$1004,IF(O407="EXAMPLE","EXAMPLE","&lt;&gt;EXAMPLE")))</f>
        <v/>
      </c>
      <c r="L407" s="16"/>
      <c r="M407" s="16"/>
      <c r="N407" s="16"/>
      <c r="O407" s="16"/>
    </row>
    <row r="408" customFormat="false" ht="15" hidden="false" customHeight="false" outlineLevel="0" collapsed="false">
      <c r="A408" s="16"/>
      <c r="B408" s="25"/>
      <c r="C408" s="26"/>
      <c r="D408" s="16"/>
      <c r="E408" s="25"/>
      <c r="F408" s="25"/>
      <c r="G408" s="25"/>
      <c r="H408" s="26"/>
      <c r="I408" s="27" t="str">
        <f aca="false">IF(OR(C408="",H408=""),"",C408-H408)</f>
        <v/>
      </c>
      <c r="J408" s="8" t="str">
        <f aca="false">IF(C408="","",IF(H408="","WAITING",IF(ABS(C408-H408)&lt;0.005,"MATCHED","CHECK")))</f>
        <v/>
      </c>
      <c r="K408" s="27" t="str">
        <f aca="false">IF(OR(A408="",E408="",F408=""),"",SUMIFS('Sales Log'!$L$5:$L$1004,'Sales Log'!$B$5:$B$1004,A408,'Sales Log'!$A$5:$A$1004,"&gt;="&amp;E408,'Sales Log'!$A$5:$A$1004,"&lt;="&amp;F408,'Sales Log'!$R$5:$R$1004,IF(O408="EXAMPLE","EXAMPLE","&lt;&gt;EXAMPLE")))</f>
        <v/>
      </c>
      <c r="L408" s="16"/>
      <c r="M408" s="16"/>
      <c r="N408" s="16"/>
      <c r="O408" s="16"/>
    </row>
    <row r="409" customFormat="false" ht="15" hidden="false" customHeight="false" outlineLevel="0" collapsed="false">
      <c r="A409" s="16"/>
      <c r="B409" s="25"/>
      <c r="C409" s="26"/>
      <c r="D409" s="16"/>
      <c r="E409" s="25"/>
      <c r="F409" s="25"/>
      <c r="G409" s="25"/>
      <c r="H409" s="26"/>
      <c r="I409" s="27" t="str">
        <f aca="false">IF(OR(C409="",H409=""),"",C409-H409)</f>
        <v/>
      </c>
      <c r="J409" s="8" t="str">
        <f aca="false">IF(C409="","",IF(H409="","WAITING",IF(ABS(C409-H409)&lt;0.005,"MATCHED","CHECK")))</f>
        <v/>
      </c>
      <c r="K409" s="27" t="str">
        <f aca="false">IF(OR(A409="",E409="",F409=""),"",SUMIFS('Sales Log'!$L$5:$L$1004,'Sales Log'!$B$5:$B$1004,A409,'Sales Log'!$A$5:$A$1004,"&gt;="&amp;E409,'Sales Log'!$A$5:$A$1004,"&lt;="&amp;F409,'Sales Log'!$R$5:$R$1004,IF(O409="EXAMPLE","EXAMPLE","&lt;&gt;EXAMPLE")))</f>
        <v/>
      </c>
      <c r="L409" s="16"/>
      <c r="M409" s="16"/>
      <c r="N409" s="16"/>
      <c r="O409" s="16"/>
    </row>
    <row r="410" customFormat="false" ht="15" hidden="false" customHeight="false" outlineLevel="0" collapsed="false">
      <c r="A410" s="16"/>
      <c r="B410" s="25"/>
      <c r="C410" s="26"/>
      <c r="D410" s="16"/>
      <c r="E410" s="25"/>
      <c r="F410" s="25"/>
      <c r="G410" s="25"/>
      <c r="H410" s="26"/>
      <c r="I410" s="27" t="str">
        <f aca="false">IF(OR(C410="",H410=""),"",C410-H410)</f>
        <v/>
      </c>
      <c r="J410" s="8" t="str">
        <f aca="false">IF(C410="","",IF(H410="","WAITING",IF(ABS(C410-H410)&lt;0.005,"MATCHED","CHECK")))</f>
        <v/>
      </c>
      <c r="K410" s="27" t="str">
        <f aca="false">IF(OR(A410="",E410="",F410=""),"",SUMIFS('Sales Log'!$L$5:$L$1004,'Sales Log'!$B$5:$B$1004,A410,'Sales Log'!$A$5:$A$1004,"&gt;="&amp;E410,'Sales Log'!$A$5:$A$1004,"&lt;="&amp;F410,'Sales Log'!$R$5:$R$1004,IF(O410="EXAMPLE","EXAMPLE","&lt;&gt;EXAMPLE")))</f>
        <v/>
      </c>
      <c r="L410" s="16"/>
      <c r="M410" s="16"/>
      <c r="N410" s="16"/>
      <c r="O410" s="16"/>
    </row>
    <row r="411" customFormat="false" ht="15" hidden="false" customHeight="false" outlineLevel="0" collapsed="false">
      <c r="A411" s="16"/>
      <c r="B411" s="25"/>
      <c r="C411" s="26"/>
      <c r="D411" s="16"/>
      <c r="E411" s="25"/>
      <c r="F411" s="25"/>
      <c r="G411" s="25"/>
      <c r="H411" s="26"/>
      <c r="I411" s="27" t="str">
        <f aca="false">IF(OR(C411="",H411=""),"",C411-H411)</f>
        <v/>
      </c>
      <c r="J411" s="8" t="str">
        <f aca="false">IF(C411="","",IF(H411="","WAITING",IF(ABS(C411-H411)&lt;0.005,"MATCHED","CHECK")))</f>
        <v/>
      </c>
      <c r="K411" s="27" t="str">
        <f aca="false">IF(OR(A411="",E411="",F411=""),"",SUMIFS('Sales Log'!$L$5:$L$1004,'Sales Log'!$B$5:$B$1004,A411,'Sales Log'!$A$5:$A$1004,"&gt;="&amp;E411,'Sales Log'!$A$5:$A$1004,"&lt;="&amp;F411,'Sales Log'!$R$5:$R$1004,IF(O411="EXAMPLE","EXAMPLE","&lt;&gt;EXAMPLE")))</f>
        <v/>
      </c>
      <c r="L411" s="16"/>
      <c r="M411" s="16"/>
      <c r="N411" s="16"/>
      <c r="O411" s="16"/>
    </row>
    <row r="412" customFormat="false" ht="15" hidden="false" customHeight="false" outlineLevel="0" collapsed="false">
      <c r="A412" s="16"/>
      <c r="B412" s="25"/>
      <c r="C412" s="26"/>
      <c r="D412" s="16"/>
      <c r="E412" s="25"/>
      <c r="F412" s="25"/>
      <c r="G412" s="25"/>
      <c r="H412" s="26"/>
      <c r="I412" s="27" t="str">
        <f aca="false">IF(OR(C412="",H412=""),"",C412-H412)</f>
        <v/>
      </c>
      <c r="J412" s="8" t="str">
        <f aca="false">IF(C412="","",IF(H412="","WAITING",IF(ABS(C412-H412)&lt;0.005,"MATCHED","CHECK")))</f>
        <v/>
      </c>
      <c r="K412" s="27" t="str">
        <f aca="false">IF(OR(A412="",E412="",F412=""),"",SUMIFS('Sales Log'!$L$5:$L$1004,'Sales Log'!$B$5:$B$1004,A412,'Sales Log'!$A$5:$A$1004,"&gt;="&amp;E412,'Sales Log'!$A$5:$A$1004,"&lt;="&amp;F412,'Sales Log'!$R$5:$R$1004,IF(O412="EXAMPLE","EXAMPLE","&lt;&gt;EXAMPLE")))</f>
        <v/>
      </c>
      <c r="L412" s="16"/>
      <c r="M412" s="16"/>
      <c r="N412" s="16"/>
      <c r="O412" s="16"/>
    </row>
    <row r="413" customFormat="false" ht="15" hidden="false" customHeight="false" outlineLevel="0" collapsed="false">
      <c r="A413" s="16"/>
      <c r="B413" s="25"/>
      <c r="C413" s="26"/>
      <c r="D413" s="16"/>
      <c r="E413" s="25"/>
      <c r="F413" s="25"/>
      <c r="G413" s="25"/>
      <c r="H413" s="26"/>
      <c r="I413" s="27" t="str">
        <f aca="false">IF(OR(C413="",H413=""),"",C413-H413)</f>
        <v/>
      </c>
      <c r="J413" s="8" t="str">
        <f aca="false">IF(C413="","",IF(H413="","WAITING",IF(ABS(C413-H413)&lt;0.005,"MATCHED","CHECK")))</f>
        <v/>
      </c>
      <c r="K413" s="27" t="str">
        <f aca="false">IF(OR(A413="",E413="",F413=""),"",SUMIFS('Sales Log'!$L$5:$L$1004,'Sales Log'!$B$5:$B$1004,A413,'Sales Log'!$A$5:$A$1004,"&gt;="&amp;E413,'Sales Log'!$A$5:$A$1004,"&lt;="&amp;F413,'Sales Log'!$R$5:$R$1004,IF(O413="EXAMPLE","EXAMPLE","&lt;&gt;EXAMPLE")))</f>
        <v/>
      </c>
      <c r="L413" s="16"/>
      <c r="M413" s="16"/>
      <c r="N413" s="16"/>
      <c r="O413" s="16"/>
    </row>
    <row r="414" customFormat="false" ht="15" hidden="false" customHeight="false" outlineLevel="0" collapsed="false">
      <c r="A414" s="16"/>
      <c r="B414" s="25"/>
      <c r="C414" s="26"/>
      <c r="D414" s="16"/>
      <c r="E414" s="25"/>
      <c r="F414" s="25"/>
      <c r="G414" s="25"/>
      <c r="H414" s="26"/>
      <c r="I414" s="27" t="str">
        <f aca="false">IF(OR(C414="",H414=""),"",C414-H414)</f>
        <v/>
      </c>
      <c r="J414" s="8" t="str">
        <f aca="false">IF(C414="","",IF(H414="","WAITING",IF(ABS(C414-H414)&lt;0.005,"MATCHED","CHECK")))</f>
        <v/>
      </c>
      <c r="K414" s="27" t="str">
        <f aca="false">IF(OR(A414="",E414="",F414=""),"",SUMIFS('Sales Log'!$L$5:$L$1004,'Sales Log'!$B$5:$B$1004,A414,'Sales Log'!$A$5:$A$1004,"&gt;="&amp;E414,'Sales Log'!$A$5:$A$1004,"&lt;="&amp;F414,'Sales Log'!$R$5:$R$1004,IF(O414="EXAMPLE","EXAMPLE","&lt;&gt;EXAMPLE")))</f>
        <v/>
      </c>
      <c r="L414" s="16"/>
      <c r="M414" s="16"/>
      <c r="N414" s="16"/>
      <c r="O414" s="16"/>
    </row>
    <row r="415" customFormat="false" ht="15" hidden="false" customHeight="false" outlineLevel="0" collapsed="false">
      <c r="A415" s="16"/>
      <c r="B415" s="25"/>
      <c r="C415" s="26"/>
      <c r="D415" s="16"/>
      <c r="E415" s="25"/>
      <c r="F415" s="25"/>
      <c r="G415" s="25"/>
      <c r="H415" s="26"/>
      <c r="I415" s="27" t="str">
        <f aca="false">IF(OR(C415="",H415=""),"",C415-H415)</f>
        <v/>
      </c>
      <c r="J415" s="8" t="str">
        <f aca="false">IF(C415="","",IF(H415="","WAITING",IF(ABS(C415-H415)&lt;0.005,"MATCHED","CHECK")))</f>
        <v/>
      </c>
      <c r="K415" s="27" t="str">
        <f aca="false">IF(OR(A415="",E415="",F415=""),"",SUMIFS('Sales Log'!$L$5:$L$1004,'Sales Log'!$B$5:$B$1004,A415,'Sales Log'!$A$5:$A$1004,"&gt;="&amp;E415,'Sales Log'!$A$5:$A$1004,"&lt;="&amp;F415,'Sales Log'!$R$5:$R$1004,IF(O415="EXAMPLE","EXAMPLE","&lt;&gt;EXAMPLE")))</f>
        <v/>
      </c>
      <c r="L415" s="16"/>
      <c r="M415" s="16"/>
      <c r="N415" s="16"/>
      <c r="O415" s="16"/>
    </row>
    <row r="416" customFormat="false" ht="15" hidden="false" customHeight="false" outlineLevel="0" collapsed="false">
      <c r="A416" s="16"/>
      <c r="B416" s="25"/>
      <c r="C416" s="26"/>
      <c r="D416" s="16"/>
      <c r="E416" s="25"/>
      <c r="F416" s="25"/>
      <c r="G416" s="25"/>
      <c r="H416" s="26"/>
      <c r="I416" s="27" t="str">
        <f aca="false">IF(OR(C416="",H416=""),"",C416-H416)</f>
        <v/>
      </c>
      <c r="J416" s="8" t="str">
        <f aca="false">IF(C416="","",IF(H416="","WAITING",IF(ABS(C416-H416)&lt;0.005,"MATCHED","CHECK")))</f>
        <v/>
      </c>
      <c r="K416" s="27" t="str">
        <f aca="false">IF(OR(A416="",E416="",F416=""),"",SUMIFS('Sales Log'!$L$5:$L$1004,'Sales Log'!$B$5:$B$1004,A416,'Sales Log'!$A$5:$A$1004,"&gt;="&amp;E416,'Sales Log'!$A$5:$A$1004,"&lt;="&amp;F416,'Sales Log'!$R$5:$R$1004,IF(O416="EXAMPLE","EXAMPLE","&lt;&gt;EXAMPLE")))</f>
        <v/>
      </c>
      <c r="L416" s="16"/>
      <c r="M416" s="16"/>
      <c r="N416" s="16"/>
      <c r="O416" s="16"/>
    </row>
    <row r="417" customFormat="false" ht="15" hidden="false" customHeight="false" outlineLevel="0" collapsed="false">
      <c r="A417" s="16"/>
      <c r="B417" s="25"/>
      <c r="C417" s="26"/>
      <c r="D417" s="16"/>
      <c r="E417" s="25"/>
      <c r="F417" s="25"/>
      <c r="G417" s="25"/>
      <c r="H417" s="26"/>
      <c r="I417" s="27" t="str">
        <f aca="false">IF(OR(C417="",H417=""),"",C417-H417)</f>
        <v/>
      </c>
      <c r="J417" s="8" t="str">
        <f aca="false">IF(C417="","",IF(H417="","WAITING",IF(ABS(C417-H417)&lt;0.005,"MATCHED","CHECK")))</f>
        <v/>
      </c>
      <c r="K417" s="27" t="str">
        <f aca="false">IF(OR(A417="",E417="",F417=""),"",SUMIFS('Sales Log'!$L$5:$L$1004,'Sales Log'!$B$5:$B$1004,A417,'Sales Log'!$A$5:$A$1004,"&gt;="&amp;E417,'Sales Log'!$A$5:$A$1004,"&lt;="&amp;F417,'Sales Log'!$R$5:$R$1004,IF(O417="EXAMPLE","EXAMPLE","&lt;&gt;EXAMPLE")))</f>
        <v/>
      </c>
      <c r="L417" s="16"/>
      <c r="M417" s="16"/>
      <c r="N417" s="16"/>
      <c r="O417" s="16"/>
    </row>
    <row r="418" customFormat="false" ht="15" hidden="false" customHeight="false" outlineLevel="0" collapsed="false">
      <c r="A418" s="16"/>
      <c r="B418" s="25"/>
      <c r="C418" s="26"/>
      <c r="D418" s="16"/>
      <c r="E418" s="25"/>
      <c r="F418" s="25"/>
      <c r="G418" s="25"/>
      <c r="H418" s="26"/>
      <c r="I418" s="27" t="str">
        <f aca="false">IF(OR(C418="",H418=""),"",C418-H418)</f>
        <v/>
      </c>
      <c r="J418" s="8" t="str">
        <f aca="false">IF(C418="","",IF(H418="","WAITING",IF(ABS(C418-H418)&lt;0.005,"MATCHED","CHECK")))</f>
        <v/>
      </c>
      <c r="K418" s="27" t="str">
        <f aca="false">IF(OR(A418="",E418="",F418=""),"",SUMIFS('Sales Log'!$L$5:$L$1004,'Sales Log'!$B$5:$B$1004,A418,'Sales Log'!$A$5:$A$1004,"&gt;="&amp;E418,'Sales Log'!$A$5:$A$1004,"&lt;="&amp;F418,'Sales Log'!$R$5:$R$1004,IF(O418="EXAMPLE","EXAMPLE","&lt;&gt;EXAMPLE")))</f>
        <v/>
      </c>
      <c r="L418" s="16"/>
      <c r="M418" s="16"/>
      <c r="N418" s="16"/>
      <c r="O418" s="16"/>
    </row>
    <row r="419" customFormat="false" ht="15" hidden="false" customHeight="false" outlineLevel="0" collapsed="false">
      <c r="A419" s="16"/>
      <c r="B419" s="25"/>
      <c r="C419" s="26"/>
      <c r="D419" s="16"/>
      <c r="E419" s="25"/>
      <c r="F419" s="25"/>
      <c r="G419" s="25"/>
      <c r="H419" s="26"/>
      <c r="I419" s="27" t="str">
        <f aca="false">IF(OR(C419="",H419=""),"",C419-H419)</f>
        <v/>
      </c>
      <c r="J419" s="8" t="str">
        <f aca="false">IF(C419="","",IF(H419="","WAITING",IF(ABS(C419-H419)&lt;0.005,"MATCHED","CHECK")))</f>
        <v/>
      </c>
      <c r="K419" s="27" t="str">
        <f aca="false">IF(OR(A419="",E419="",F419=""),"",SUMIFS('Sales Log'!$L$5:$L$1004,'Sales Log'!$B$5:$B$1004,A419,'Sales Log'!$A$5:$A$1004,"&gt;="&amp;E419,'Sales Log'!$A$5:$A$1004,"&lt;="&amp;F419,'Sales Log'!$R$5:$R$1004,IF(O419="EXAMPLE","EXAMPLE","&lt;&gt;EXAMPLE")))</f>
        <v/>
      </c>
      <c r="L419" s="16"/>
      <c r="M419" s="16"/>
      <c r="N419" s="16"/>
      <c r="O419" s="16"/>
    </row>
    <row r="420" customFormat="false" ht="15" hidden="false" customHeight="false" outlineLevel="0" collapsed="false">
      <c r="A420" s="16"/>
      <c r="B420" s="25"/>
      <c r="C420" s="26"/>
      <c r="D420" s="16"/>
      <c r="E420" s="25"/>
      <c r="F420" s="25"/>
      <c r="G420" s="25"/>
      <c r="H420" s="26"/>
      <c r="I420" s="27" t="str">
        <f aca="false">IF(OR(C420="",H420=""),"",C420-H420)</f>
        <v/>
      </c>
      <c r="J420" s="8" t="str">
        <f aca="false">IF(C420="","",IF(H420="","WAITING",IF(ABS(C420-H420)&lt;0.005,"MATCHED","CHECK")))</f>
        <v/>
      </c>
      <c r="K420" s="27" t="str">
        <f aca="false">IF(OR(A420="",E420="",F420=""),"",SUMIFS('Sales Log'!$L$5:$L$1004,'Sales Log'!$B$5:$B$1004,A420,'Sales Log'!$A$5:$A$1004,"&gt;="&amp;E420,'Sales Log'!$A$5:$A$1004,"&lt;="&amp;F420,'Sales Log'!$R$5:$R$1004,IF(O420="EXAMPLE","EXAMPLE","&lt;&gt;EXAMPLE")))</f>
        <v/>
      </c>
      <c r="L420" s="16"/>
      <c r="M420" s="16"/>
      <c r="N420" s="16"/>
      <c r="O420" s="16"/>
    </row>
    <row r="421" customFormat="false" ht="15" hidden="false" customHeight="false" outlineLevel="0" collapsed="false">
      <c r="A421" s="16"/>
      <c r="B421" s="25"/>
      <c r="C421" s="26"/>
      <c r="D421" s="16"/>
      <c r="E421" s="25"/>
      <c r="F421" s="25"/>
      <c r="G421" s="25"/>
      <c r="H421" s="26"/>
      <c r="I421" s="27" t="str">
        <f aca="false">IF(OR(C421="",H421=""),"",C421-H421)</f>
        <v/>
      </c>
      <c r="J421" s="8" t="str">
        <f aca="false">IF(C421="","",IF(H421="","WAITING",IF(ABS(C421-H421)&lt;0.005,"MATCHED","CHECK")))</f>
        <v/>
      </c>
      <c r="K421" s="27" t="str">
        <f aca="false">IF(OR(A421="",E421="",F421=""),"",SUMIFS('Sales Log'!$L$5:$L$1004,'Sales Log'!$B$5:$B$1004,A421,'Sales Log'!$A$5:$A$1004,"&gt;="&amp;E421,'Sales Log'!$A$5:$A$1004,"&lt;="&amp;F421,'Sales Log'!$R$5:$R$1004,IF(O421="EXAMPLE","EXAMPLE","&lt;&gt;EXAMPLE")))</f>
        <v/>
      </c>
      <c r="L421" s="16"/>
      <c r="M421" s="16"/>
      <c r="N421" s="16"/>
      <c r="O421" s="16"/>
    </row>
    <row r="422" customFormat="false" ht="15" hidden="false" customHeight="false" outlineLevel="0" collapsed="false">
      <c r="A422" s="16"/>
      <c r="B422" s="25"/>
      <c r="C422" s="26"/>
      <c r="D422" s="16"/>
      <c r="E422" s="25"/>
      <c r="F422" s="25"/>
      <c r="G422" s="25"/>
      <c r="H422" s="26"/>
      <c r="I422" s="27" t="str">
        <f aca="false">IF(OR(C422="",H422=""),"",C422-H422)</f>
        <v/>
      </c>
      <c r="J422" s="8" t="str">
        <f aca="false">IF(C422="","",IF(H422="","WAITING",IF(ABS(C422-H422)&lt;0.005,"MATCHED","CHECK")))</f>
        <v/>
      </c>
      <c r="K422" s="27" t="str">
        <f aca="false">IF(OR(A422="",E422="",F422=""),"",SUMIFS('Sales Log'!$L$5:$L$1004,'Sales Log'!$B$5:$B$1004,A422,'Sales Log'!$A$5:$A$1004,"&gt;="&amp;E422,'Sales Log'!$A$5:$A$1004,"&lt;="&amp;F422,'Sales Log'!$R$5:$R$1004,IF(O422="EXAMPLE","EXAMPLE","&lt;&gt;EXAMPLE")))</f>
        <v/>
      </c>
      <c r="L422" s="16"/>
      <c r="M422" s="16"/>
      <c r="N422" s="16"/>
      <c r="O422" s="16"/>
    </row>
    <row r="423" customFormat="false" ht="15" hidden="false" customHeight="false" outlineLevel="0" collapsed="false">
      <c r="A423" s="16"/>
      <c r="B423" s="25"/>
      <c r="C423" s="26"/>
      <c r="D423" s="16"/>
      <c r="E423" s="25"/>
      <c r="F423" s="25"/>
      <c r="G423" s="25"/>
      <c r="H423" s="26"/>
      <c r="I423" s="27" t="str">
        <f aca="false">IF(OR(C423="",H423=""),"",C423-H423)</f>
        <v/>
      </c>
      <c r="J423" s="8" t="str">
        <f aca="false">IF(C423="","",IF(H423="","WAITING",IF(ABS(C423-H423)&lt;0.005,"MATCHED","CHECK")))</f>
        <v/>
      </c>
      <c r="K423" s="27" t="str">
        <f aca="false">IF(OR(A423="",E423="",F423=""),"",SUMIFS('Sales Log'!$L$5:$L$1004,'Sales Log'!$B$5:$B$1004,A423,'Sales Log'!$A$5:$A$1004,"&gt;="&amp;E423,'Sales Log'!$A$5:$A$1004,"&lt;="&amp;F423,'Sales Log'!$R$5:$R$1004,IF(O423="EXAMPLE","EXAMPLE","&lt;&gt;EXAMPLE")))</f>
        <v/>
      </c>
      <c r="L423" s="16"/>
      <c r="M423" s="16"/>
      <c r="N423" s="16"/>
      <c r="O423" s="16"/>
    </row>
    <row r="424" customFormat="false" ht="15" hidden="false" customHeight="false" outlineLevel="0" collapsed="false">
      <c r="A424" s="16"/>
      <c r="B424" s="25"/>
      <c r="C424" s="26"/>
      <c r="D424" s="16"/>
      <c r="E424" s="25"/>
      <c r="F424" s="25"/>
      <c r="G424" s="25"/>
      <c r="H424" s="26"/>
      <c r="I424" s="27" t="str">
        <f aca="false">IF(OR(C424="",H424=""),"",C424-H424)</f>
        <v/>
      </c>
      <c r="J424" s="8" t="str">
        <f aca="false">IF(C424="","",IF(H424="","WAITING",IF(ABS(C424-H424)&lt;0.005,"MATCHED","CHECK")))</f>
        <v/>
      </c>
      <c r="K424" s="27" t="str">
        <f aca="false">IF(OR(A424="",E424="",F424=""),"",SUMIFS('Sales Log'!$L$5:$L$1004,'Sales Log'!$B$5:$B$1004,A424,'Sales Log'!$A$5:$A$1004,"&gt;="&amp;E424,'Sales Log'!$A$5:$A$1004,"&lt;="&amp;F424,'Sales Log'!$R$5:$R$1004,IF(O424="EXAMPLE","EXAMPLE","&lt;&gt;EXAMPLE")))</f>
        <v/>
      </c>
      <c r="L424" s="16"/>
      <c r="M424" s="16"/>
      <c r="N424" s="16"/>
      <c r="O424" s="16"/>
    </row>
    <row r="425" customFormat="false" ht="15" hidden="false" customHeight="false" outlineLevel="0" collapsed="false">
      <c r="A425" s="16"/>
      <c r="B425" s="25"/>
      <c r="C425" s="26"/>
      <c r="D425" s="16"/>
      <c r="E425" s="25"/>
      <c r="F425" s="25"/>
      <c r="G425" s="25"/>
      <c r="H425" s="26"/>
      <c r="I425" s="27" t="str">
        <f aca="false">IF(OR(C425="",H425=""),"",C425-H425)</f>
        <v/>
      </c>
      <c r="J425" s="8" t="str">
        <f aca="false">IF(C425="","",IF(H425="","WAITING",IF(ABS(C425-H425)&lt;0.005,"MATCHED","CHECK")))</f>
        <v/>
      </c>
      <c r="K425" s="27" t="str">
        <f aca="false">IF(OR(A425="",E425="",F425=""),"",SUMIFS('Sales Log'!$L$5:$L$1004,'Sales Log'!$B$5:$B$1004,A425,'Sales Log'!$A$5:$A$1004,"&gt;="&amp;E425,'Sales Log'!$A$5:$A$1004,"&lt;="&amp;F425,'Sales Log'!$R$5:$R$1004,IF(O425="EXAMPLE","EXAMPLE","&lt;&gt;EXAMPLE")))</f>
        <v/>
      </c>
      <c r="L425" s="16"/>
      <c r="M425" s="16"/>
      <c r="N425" s="16"/>
      <c r="O425" s="16"/>
    </row>
    <row r="426" customFormat="false" ht="15" hidden="false" customHeight="false" outlineLevel="0" collapsed="false">
      <c r="A426" s="16"/>
      <c r="B426" s="25"/>
      <c r="C426" s="26"/>
      <c r="D426" s="16"/>
      <c r="E426" s="25"/>
      <c r="F426" s="25"/>
      <c r="G426" s="25"/>
      <c r="H426" s="26"/>
      <c r="I426" s="27" t="str">
        <f aca="false">IF(OR(C426="",H426=""),"",C426-H426)</f>
        <v/>
      </c>
      <c r="J426" s="8" t="str">
        <f aca="false">IF(C426="","",IF(H426="","WAITING",IF(ABS(C426-H426)&lt;0.005,"MATCHED","CHECK")))</f>
        <v/>
      </c>
      <c r="K426" s="27" t="str">
        <f aca="false">IF(OR(A426="",E426="",F426=""),"",SUMIFS('Sales Log'!$L$5:$L$1004,'Sales Log'!$B$5:$B$1004,A426,'Sales Log'!$A$5:$A$1004,"&gt;="&amp;E426,'Sales Log'!$A$5:$A$1004,"&lt;="&amp;F426,'Sales Log'!$R$5:$R$1004,IF(O426="EXAMPLE","EXAMPLE","&lt;&gt;EXAMPLE")))</f>
        <v/>
      </c>
      <c r="L426" s="16"/>
      <c r="M426" s="16"/>
      <c r="N426" s="16"/>
      <c r="O426" s="16"/>
    </row>
    <row r="427" customFormat="false" ht="15" hidden="false" customHeight="false" outlineLevel="0" collapsed="false">
      <c r="A427" s="16"/>
      <c r="B427" s="25"/>
      <c r="C427" s="26"/>
      <c r="D427" s="16"/>
      <c r="E427" s="25"/>
      <c r="F427" s="25"/>
      <c r="G427" s="25"/>
      <c r="H427" s="26"/>
      <c r="I427" s="27" t="str">
        <f aca="false">IF(OR(C427="",H427=""),"",C427-H427)</f>
        <v/>
      </c>
      <c r="J427" s="8" t="str">
        <f aca="false">IF(C427="","",IF(H427="","WAITING",IF(ABS(C427-H427)&lt;0.005,"MATCHED","CHECK")))</f>
        <v/>
      </c>
      <c r="K427" s="27" t="str">
        <f aca="false">IF(OR(A427="",E427="",F427=""),"",SUMIFS('Sales Log'!$L$5:$L$1004,'Sales Log'!$B$5:$B$1004,A427,'Sales Log'!$A$5:$A$1004,"&gt;="&amp;E427,'Sales Log'!$A$5:$A$1004,"&lt;="&amp;F427,'Sales Log'!$R$5:$R$1004,IF(O427="EXAMPLE","EXAMPLE","&lt;&gt;EXAMPLE")))</f>
        <v/>
      </c>
      <c r="L427" s="16"/>
      <c r="M427" s="16"/>
      <c r="N427" s="16"/>
      <c r="O427" s="16"/>
    </row>
    <row r="428" customFormat="false" ht="15" hidden="false" customHeight="false" outlineLevel="0" collapsed="false">
      <c r="A428" s="16"/>
      <c r="B428" s="25"/>
      <c r="C428" s="26"/>
      <c r="D428" s="16"/>
      <c r="E428" s="25"/>
      <c r="F428" s="25"/>
      <c r="G428" s="25"/>
      <c r="H428" s="26"/>
      <c r="I428" s="27" t="str">
        <f aca="false">IF(OR(C428="",H428=""),"",C428-H428)</f>
        <v/>
      </c>
      <c r="J428" s="8" t="str">
        <f aca="false">IF(C428="","",IF(H428="","WAITING",IF(ABS(C428-H428)&lt;0.005,"MATCHED","CHECK")))</f>
        <v/>
      </c>
      <c r="K428" s="27" t="str">
        <f aca="false">IF(OR(A428="",E428="",F428=""),"",SUMIFS('Sales Log'!$L$5:$L$1004,'Sales Log'!$B$5:$B$1004,A428,'Sales Log'!$A$5:$A$1004,"&gt;="&amp;E428,'Sales Log'!$A$5:$A$1004,"&lt;="&amp;F428,'Sales Log'!$R$5:$R$1004,IF(O428="EXAMPLE","EXAMPLE","&lt;&gt;EXAMPLE")))</f>
        <v/>
      </c>
      <c r="L428" s="16"/>
      <c r="M428" s="16"/>
      <c r="N428" s="16"/>
      <c r="O428" s="16"/>
    </row>
    <row r="429" customFormat="false" ht="15" hidden="false" customHeight="false" outlineLevel="0" collapsed="false">
      <c r="A429" s="16"/>
      <c r="B429" s="25"/>
      <c r="C429" s="26"/>
      <c r="D429" s="16"/>
      <c r="E429" s="25"/>
      <c r="F429" s="25"/>
      <c r="G429" s="25"/>
      <c r="H429" s="26"/>
      <c r="I429" s="27" t="str">
        <f aca="false">IF(OR(C429="",H429=""),"",C429-H429)</f>
        <v/>
      </c>
      <c r="J429" s="8" t="str">
        <f aca="false">IF(C429="","",IF(H429="","WAITING",IF(ABS(C429-H429)&lt;0.005,"MATCHED","CHECK")))</f>
        <v/>
      </c>
      <c r="K429" s="27" t="str">
        <f aca="false">IF(OR(A429="",E429="",F429=""),"",SUMIFS('Sales Log'!$L$5:$L$1004,'Sales Log'!$B$5:$B$1004,A429,'Sales Log'!$A$5:$A$1004,"&gt;="&amp;E429,'Sales Log'!$A$5:$A$1004,"&lt;="&amp;F429,'Sales Log'!$R$5:$R$1004,IF(O429="EXAMPLE","EXAMPLE","&lt;&gt;EXAMPLE")))</f>
        <v/>
      </c>
      <c r="L429" s="16"/>
      <c r="M429" s="16"/>
      <c r="N429" s="16"/>
      <c r="O429" s="16"/>
    </row>
    <row r="430" customFormat="false" ht="15" hidden="false" customHeight="false" outlineLevel="0" collapsed="false">
      <c r="A430" s="16"/>
      <c r="B430" s="25"/>
      <c r="C430" s="26"/>
      <c r="D430" s="16"/>
      <c r="E430" s="25"/>
      <c r="F430" s="25"/>
      <c r="G430" s="25"/>
      <c r="H430" s="26"/>
      <c r="I430" s="27" t="str">
        <f aca="false">IF(OR(C430="",H430=""),"",C430-H430)</f>
        <v/>
      </c>
      <c r="J430" s="8" t="str">
        <f aca="false">IF(C430="","",IF(H430="","WAITING",IF(ABS(C430-H430)&lt;0.005,"MATCHED","CHECK")))</f>
        <v/>
      </c>
      <c r="K430" s="27" t="str">
        <f aca="false">IF(OR(A430="",E430="",F430=""),"",SUMIFS('Sales Log'!$L$5:$L$1004,'Sales Log'!$B$5:$B$1004,A430,'Sales Log'!$A$5:$A$1004,"&gt;="&amp;E430,'Sales Log'!$A$5:$A$1004,"&lt;="&amp;F430,'Sales Log'!$R$5:$R$1004,IF(O430="EXAMPLE","EXAMPLE","&lt;&gt;EXAMPLE")))</f>
        <v/>
      </c>
      <c r="L430" s="16"/>
      <c r="M430" s="16"/>
      <c r="N430" s="16"/>
      <c r="O430" s="16"/>
    </row>
    <row r="431" customFormat="false" ht="15" hidden="false" customHeight="false" outlineLevel="0" collapsed="false">
      <c r="A431" s="16"/>
      <c r="B431" s="25"/>
      <c r="C431" s="26"/>
      <c r="D431" s="16"/>
      <c r="E431" s="25"/>
      <c r="F431" s="25"/>
      <c r="G431" s="25"/>
      <c r="H431" s="26"/>
      <c r="I431" s="27" t="str">
        <f aca="false">IF(OR(C431="",H431=""),"",C431-H431)</f>
        <v/>
      </c>
      <c r="J431" s="8" t="str">
        <f aca="false">IF(C431="","",IF(H431="","WAITING",IF(ABS(C431-H431)&lt;0.005,"MATCHED","CHECK")))</f>
        <v/>
      </c>
      <c r="K431" s="27" t="str">
        <f aca="false">IF(OR(A431="",E431="",F431=""),"",SUMIFS('Sales Log'!$L$5:$L$1004,'Sales Log'!$B$5:$B$1004,A431,'Sales Log'!$A$5:$A$1004,"&gt;="&amp;E431,'Sales Log'!$A$5:$A$1004,"&lt;="&amp;F431,'Sales Log'!$R$5:$R$1004,IF(O431="EXAMPLE","EXAMPLE","&lt;&gt;EXAMPLE")))</f>
        <v/>
      </c>
      <c r="L431" s="16"/>
      <c r="M431" s="16"/>
      <c r="N431" s="16"/>
      <c r="O431" s="16"/>
    </row>
    <row r="432" customFormat="false" ht="15" hidden="false" customHeight="false" outlineLevel="0" collapsed="false">
      <c r="A432" s="16"/>
      <c r="B432" s="25"/>
      <c r="C432" s="26"/>
      <c r="D432" s="16"/>
      <c r="E432" s="25"/>
      <c r="F432" s="25"/>
      <c r="G432" s="25"/>
      <c r="H432" s="26"/>
      <c r="I432" s="27" t="str">
        <f aca="false">IF(OR(C432="",H432=""),"",C432-H432)</f>
        <v/>
      </c>
      <c r="J432" s="8" t="str">
        <f aca="false">IF(C432="","",IF(H432="","WAITING",IF(ABS(C432-H432)&lt;0.005,"MATCHED","CHECK")))</f>
        <v/>
      </c>
      <c r="K432" s="27" t="str">
        <f aca="false">IF(OR(A432="",E432="",F432=""),"",SUMIFS('Sales Log'!$L$5:$L$1004,'Sales Log'!$B$5:$B$1004,A432,'Sales Log'!$A$5:$A$1004,"&gt;="&amp;E432,'Sales Log'!$A$5:$A$1004,"&lt;="&amp;F432,'Sales Log'!$R$5:$R$1004,IF(O432="EXAMPLE","EXAMPLE","&lt;&gt;EXAMPLE")))</f>
        <v/>
      </c>
      <c r="L432" s="16"/>
      <c r="M432" s="16"/>
      <c r="N432" s="16"/>
      <c r="O432" s="16"/>
    </row>
    <row r="433" customFormat="false" ht="15" hidden="false" customHeight="false" outlineLevel="0" collapsed="false">
      <c r="A433" s="16"/>
      <c r="B433" s="25"/>
      <c r="C433" s="26"/>
      <c r="D433" s="16"/>
      <c r="E433" s="25"/>
      <c r="F433" s="25"/>
      <c r="G433" s="25"/>
      <c r="H433" s="26"/>
      <c r="I433" s="27" t="str">
        <f aca="false">IF(OR(C433="",H433=""),"",C433-H433)</f>
        <v/>
      </c>
      <c r="J433" s="8" t="str">
        <f aca="false">IF(C433="","",IF(H433="","WAITING",IF(ABS(C433-H433)&lt;0.005,"MATCHED","CHECK")))</f>
        <v/>
      </c>
      <c r="K433" s="27" t="str">
        <f aca="false">IF(OR(A433="",E433="",F433=""),"",SUMIFS('Sales Log'!$L$5:$L$1004,'Sales Log'!$B$5:$B$1004,A433,'Sales Log'!$A$5:$A$1004,"&gt;="&amp;E433,'Sales Log'!$A$5:$A$1004,"&lt;="&amp;F433,'Sales Log'!$R$5:$R$1004,IF(O433="EXAMPLE","EXAMPLE","&lt;&gt;EXAMPLE")))</f>
        <v/>
      </c>
      <c r="L433" s="16"/>
      <c r="M433" s="16"/>
      <c r="N433" s="16"/>
      <c r="O433" s="16"/>
    </row>
    <row r="434" customFormat="false" ht="15" hidden="false" customHeight="false" outlineLevel="0" collapsed="false">
      <c r="A434" s="16"/>
      <c r="B434" s="25"/>
      <c r="C434" s="26"/>
      <c r="D434" s="16"/>
      <c r="E434" s="25"/>
      <c r="F434" s="25"/>
      <c r="G434" s="25"/>
      <c r="H434" s="26"/>
      <c r="I434" s="27" t="str">
        <f aca="false">IF(OR(C434="",H434=""),"",C434-H434)</f>
        <v/>
      </c>
      <c r="J434" s="8" t="str">
        <f aca="false">IF(C434="","",IF(H434="","WAITING",IF(ABS(C434-H434)&lt;0.005,"MATCHED","CHECK")))</f>
        <v/>
      </c>
      <c r="K434" s="27" t="str">
        <f aca="false">IF(OR(A434="",E434="",F434=""),"",SUMIFS('Sales Log'!$L$5:$L$1004,'Sales Log'!$B$5:$B$1004,A434,'Sales Log'!$A$5:$A$1004,"&gt;="&amp;E434,'Sales Log'!$A$5:$A$1004,"&lt;="&amp;F434,'Sales Log'!$R$5:$R$1004,IF(O434="EXAMPLE","EXAMPLE","&lt;&gt;EXAMPLE")))</f>
        <v/>
      </c>
      <c r="L434" s="16"/>
      <c r="M434" s="16"/>
      <c r="N434" s="16"/>
      <c r="O434" s="16"/>
    </row>
    <row r="435" customFormat="false" ht="15" hidden="false" customHeight="false" outlineLevel="0" collapsed="false">
      <c r="A435" s="16"/>
      <c r="B435" s="25"/>
      <c r="C435" s="26"/>
      <c r="D435" s="16"/>
      <c r="E435" s="25"/>
      <c r="F435" s="25"/>
      <c r="G435" s="25"/>
      <c r="H435" s="26"/>
      <c r="I435" s="27" t="str">
        <f aca="false">IF(OR(C435="",H435=""),"",C435-H435)</f>
        <v/>
      </c>
      <c r="J435" s="8" t="str">
        <f aca="false">IF(C435="","",IF(H435="","WAITING",IF(ABS(C435-H435)&lt;0.005,"MATCHED","CHECK")))</f>
        <v/>
      </c>
      <c r="K435" s="27" t="str">
        <f aca="false">IF(OR(A435="",E435="",F435=""),"",SUMIFS('Sales Log'!$L$5:$L$1004,'Sales Log'!$B$5:$B$1004,A435,'Sales Log'!$A$5:$A$1004,"&gt;="&amp;E435,'Sales Log'!$A$5:$A$1004,"&lt;="&amp;F435,'Sales Log'!$R$5:$R$1004,IF(O435="EXAMPLE","EXAMPLE","&lt;&gt;EXAMPLE")))</f>
        <v/>
      </c>
      <c r="L435" s="16"/>
      <c r="M435" s="16"/>
      <c r="N435" s="16"/>
      <c r="O435" s="16"/>
    </row>
    <row r="436" customFormat="false" ht="15" hidden="false" customHeight="false" outlineLevel="0" collapsed="false">
      <c r="A436" s="16"/>
      <c r="B436" s="25"/>
      <c r="C436" s="26"/>
      <c r="D436" s="16"/>
      <c r="E436" s="25"/>
      <c r="F436" s="25"/>
      <c r="G436" s="25"/>
      <c r="H436" s="26"/>
      <c r="I436" s="27" t="str">
        <f aca="false">IF(OR(C436="",H436=""),"",C436-H436)</f>
        <v/>
      </c>
      <c r="J436" s="8" t="str">
        <f aca="false">IF(C436="","",IF(H436="","WAITING",IF(ABS(C436-H436)&lt;0.005,"MATCHED","CHECK")))</f>
        <v/>
      </c>
      <c r="K436" s="27" t="str">
        <f aca="false">IF(OR(A436="",E436="",F436=""),"",SUMIFS('Sales Log'!$L$5:$L$1004,'Sales Log'!$B$5:$B$1004,A436,'Sales Log'!$A$5:$A$1004,"&gt;="&amp;E436,'Sales Log'!$A$5:$A$1004,"&lt;="&amp;F436,'Sales Log'!$R$5:$R$1004,IF(O436="EXAMPLE","EXAMPLE","&lt;&gt;EXAMPLE")))</f>
        <v/>
      </c>
      <c r="L436" s="16"/>
      <c r="M436" s="16"/>
      <c r="N436" s="16"/>
      <c r="O436" s="16"/>
    </row>
    <row r="437" customFormat="false" ht="15" hidden="false" customHeight="false" outlineLevel="0" collapsed="false">
      <c r="A437" s="16"/>
      <c r="B437" s="25"/>
      <c r="C437" s="26"/>
      <c r="D437" s="16"/>
      <c r="E437" s="25"/>
      <c r="F437" s="25"/>
      <c r="G437" s="25"/>
      <c r="H437" s="26"/>
      <c r="I437" s="27" t="str">
        <f aca="false">IF(OR(C437="",H437=""),"",C437-H437)</f>
        <v/>
      </c>
      <c r="J437" s="8" t="str">
        <f aca="false">IF(C437="","",IF(H437="","WAITING",IF(ABS(C437-H437)&lt;0.005,"MATCHED","CHECK")))</f>
        <v/>
      </c>
      <c r="K437" s="27" t="str">
        <f aca="false">IF(OR(A437="",E437="",F437=""),"",SUMIFS('Sales Log'!$L$5:$L$1004,'Sales Log'!$B$5:$B$1004,A437,'Sales Log'!$A$5:$A$1004,"&gt;="&amp;E437,'Sales Log'!$A$5:$A$1004,"&lt;="&amp;F437,'Sales Log'!$R$5:$R$1004,IF(O437="EXAMPLE","EXAMPLE","&lt;&gt;EXAMPLE")))</f>
        <v/>
      </c>
      <c r="L437" s="16"/>
      <c r="M437" s="16"/>
      <c r="N437" s="16"/>
      <c r="O437" s="16"/>
    </row>
    <row r="438" customFormat="false" ht="15" hidden="false" customHeight="false" outlineLevel="0" collapsed="false">
      <c r="A438" s="16"/>
      <c r="B438" s="25"/>
      <c r="C438" s="26"/>
      <c r="D438" s="16"/>
      <c r="E438" s="25"/>
      <c r="F438" s="25"/>
      <c r="G438" s="25"/>
      <c r="H438" s="26"/>
      <c r="I438" s="27" t="str">
        <f aca="false">IF(OR(C438="",H438=""),"",C438-H438)</f>
        <v/>
      </c>
      <c r="J438" s="8" t="str">
        <f aca="false">IF(C438="","",IF(H438="","WAITING",IF(ABS(C438-H438)&lt;0.005,"MATCHED","CHECK")))</f>
        <v/>
      </c>
      <c r="K438" s="27" t="str">
        <f aca="false">IF(OR(A438="",E438="",F438=""),"",SUMIFS('Sales Log'!$L$5:$L$1004,'Sales Log'!$B$5:$B$1004,A438,'Sales Log'!$A$5:$A$1004,"&gt;="&amp;E438,'Sales Log'!$A$5:$A$1004,"&lt;="&amp;F438,'Sales Log'!$R$5:$R$1004,IF(O438="EXAMPLE","EXAMPLE","&lt;&gt;EXAMPLE")))</f>
        <v/>
      </c>
      <c r="L438" s="16"/>
      <c r="M438" s="16"/>
      <c r="N438" s="16"/>
      <c r="O438" s="16"/>
    </row>
    <row r="439" customFormat="false" ht="15" hidden="false" customHeight="false" outlineLevel="0" collapsed="false">
      <c r="A439" s="16"/>
      <c r="B439" s="25"/>
      <c r="C439" s="26"/>
      <c r="D439" s="16"/>
      <c r="E439" s="25"/>
      <c r="F439" s="25"/>
      <c r="G439" s="25"/>
      <c r="H439" s="26"/>
      <c r="I439" s="27" t="str">
        <f aca="false">IF(OR(C439="",H439=""),"",C439-H439)</f>
        <v/>
      </c>
      <c r="J439" s="8" t="str">
        <f aca="false">IF(C439="","",IF(H439="","WAITING",IF(ABS(C439-H439)&lt;0.005,"MATCHED","CHECK")))</f>
        <v/>
      </c>
      <c r="K439" s="27" t="str">
        <f aca="false">IF(OR(A439="",E439="",F439=""),"",SUMIFS('Sales Log'!$L$5:$L$1004,'Sales Log'!$B$5:$B$1004,A439,'Sales Log'!$A$5:$A$1004,"&gt;="&amp;E439,'Sales Log'!$A$5:$A$1004,"&lt;="&amp;F439,'Sales Log'!$R$5:$R$1004,IF(O439="EXAMPLE","EXAMPLE","&lt;&gt;EXAMPLE")))</f>
        <v/>
      </c>
      <c r="L439" s="16"/>
      <c r="M439" s="16"/>
      <c r="N439" s="16"/>
      <c r="O439" s="16"/>
    </row>
    <row r="440" customFormat="false" ht="15" hidden="false" customHeight="false" outlineLevel="0" collapsed="false">
      <c r="A440" s="16"/>
      <c r="B440" s="25"/>
      <c r="C440" s="26"/>
      <c r="D440" s="16"/>
      <c r="E440" s="25"/>
      <c r="F440" s="25"/>
      <c r="G440" s="25"/>
      <c r="H440" s="26"/>
      <c r="I440" s="27" t="str">
        <f aca="false">IF(OR(C440="",H440=""),"",C440-H440)</f>
        <v/>
      </c>
      <c r="J440" s="8" t="str">
        <f aca="false">IF(C440="","",IF(H440="","WAITING",IF(ABS(C440-H440)&lt;0.005,"MATCHED","CHECK")))</f>
        <v/>
      </c>
      <c r="K440" s="27" t="str">
        <f aca="false">IF(OR(A440="",E440="",F440=""),"",SUMIFS('Sales Log'!$L$5:$L$1004,'Sales Log'!$B$5:$B$1004,A440,'Sales Log'!$A$5:$A$1004,"&gt;="&amp;E440,'Sales Log'!$A$5:$A$1004,"&lt;="&amp;F440,'Sales Log'!$R$5:$R$1004,IF(O440="EXAMPLE","EXAMPLE","&lt;&gt;EXAMPLE")))</f>
        <v/>
      </c>
      <c r="L440" s="16"/>
      <c r="M440" s="16"/>
      <c r="N440" s="16"/>
      <c r="O440" s="16"/>
    </row>
    <row r="441" customFormat="false" ht="15" hidden="false" customHeight="false" outlineLevel="0" collapsed="false">
      <c r="A441" s="16"/>
      <c r="B441" s="25"/>
      <c r="C441" s="26"/>
      <c r="D441" s="16"/>
      <c r="E441" s="25"/>
      <c r="F441" s="25"/>
      <c r="G441" s="25"/>
      <c r="H441" s="26"/>
      <c r="I441" s="27" t="str">
        <f aca="false">IF(OR(C441="",H441=""),"",C441-H441)</f>
        <v/>
      </c>
      <c r="J441" s="8" t="str">
        <f aca="false">IF(C441="","",IF(H441="","WAITING",IF(ABS(C441-H441)&lt;0.005,"MATCHED","CHECK")))</f>
        <v/>
      </c>
      <c r="K441" s="27" t="str">
        <f aca="false">IF(OR(A441="",E441="",F441=""),"",SUMIFS('Sales Log'!$L$5:$L$1004,'Sales Log'!$B$5:$B$1004,A441,'Sales Log'!$A$5:$A$1004,"&gt;="&amp;E441,'Sales Log'!$A$5:$A$1004,"&lt;="&amp;F441,'Sales Log'!$R$5:$R$1004,IF(O441="EXAMPLE","EXAMPLE","&lt;&gt;EXAMPLE")))</f>
        <v/>
      </c>
      <c r="L441" s="16"/>
      <c r="M441" s="16"/>
      <c r="N441" s="16"/>
      <c r="O441" s="16"/>
    </row>
    <row r="442" customFormat="false" ht="15" hidden="false" customHeight="false" outlineLevel="0" collapsed="false">
      <c r="A442" s="16"/>
      <c r="B442" s="25"/>
      <c r="C442" s="26"/>
      <c r="D442" s="16"/>
      <c r="E442" s="25"/>
      <c r="F442" s="25"/>
      <c r="G442" s="25"/>
      <c r="H442" s="26"/>
      <c r="I442" s="27" t="str">
        <f aca="false">IF(OR(C442="",H442=""),"",C442-H442)</f>
        <v/>
      </c>
      <c r="J442" s="8" t="str">
        <f aca="false">IF(C442="","",IF(H442="","WAITING",IF(ABS(C442-H442)&lt;0.005,"MATCHED","CHECK")))</f>
        <v/>
      </c>
      <c r="K442" s="27" t="str">
        <f aca="false">IF(OR(A442="",E442="",F442=""),"",SUMIFS('Sales Log'!$L$5:$L$1004,'Sales Log'!$B$5:$B$1004,A442,'Sales Log'!$A$5:$A$1004,"&gt;="&amp;E442,'Sales Log'!$A$5:$A$1004,"&lt;="&amp;F442,'Sales Log'!$R$5:$R$1004,IF(O442="EXAMPLE","EXAMPLE","&lt;&gt;EXAMPLE")))</f>
        <v/>
      </c>
      <c r="L442" s="16"/>
      <c r="M442" s="16"/>
      <c r="N442" s="16"/>
      <c r="O442" s="16"/>
    </row>
    <row r="443" customFormat="false" ht="15" hidden="false" customHeight="false" outlineLevel="0" collapsed="false">
      <c r="A443" s="16"/>
      <c r="B443" s="25"/>
      <c r="C443" s="26"/>
      <c r="D443" s="16"/>
      <c r="E443" s="25"/>
      <c r="F443" s="25"/>
      <c r="G443" s="25"/>
      <c r="H443" s="26"/>
      <c r="I443" s="27" t="str">
        <f aca="false">IF(OR(C443="",H443=""),"",C443-H443)</f>
        <v/>
      </c>
      <c r="J443" s="8" t="str">
        <f aca="false">IF(C443="","",IF(H443="","WAITING",IF(ABS(C443-H443)&lt;0.005,"MATCHED","CHECK")))</f>
        <v/>
      </c>
      <c r="K443" s="27" t="str">
        <f aca="false">IF(OR(A443="",E443="",F443=""),"",SUMIFS('Sales Log'!$L$5:$L$1004,'Sales Log'!$B$5:$B$1004,A443,'Sales Log'!$A$5:$A$1004,"&gt;="&amp;E443,'Sales Log'!$A$5:$A$1004,"&lt;="&amp;F443,'Sales Log'!$R$5:$R$1004,IF(O443="EXAMPLE","EXAMPLE","&lt;&gt;EXAMPLE")))</f>
        <v/>
      </c>
      <c r="L443" s="16"/>
      <c r="M443" s="16"/>
      <c r="N443" s="16"/>
      <c r="O443" s="16"/>
    </row>
    <row r="444" customFormat="false" ht="15" hidden="false" customHeight="false" outlineLevel="0" collapsed="false">
      <c r="A444" s="16"/>
      <c r="B444" s="25"/>
      <c r="C444" s="26"/>
      <c r="D444" s="16"/>
      <c r="E444" s="25"/>
      <c r="F444" s="25"/>
      <c r="G444" s="25"/>
      <c r="H444" s="26"/>
      <c r="I444" s="27" t="str">
        <f aca="false">IF(OR(C444="",H444=""),"",C444-H444)</f>
        <v/>
      </c>
      <c r="J444" s="8" t="str">
        <f aca="false">IF(C444="","",IF(H444="","WAITING",IF(ABS(C444-H444)&lt;0.005,"MATCHED","CHECK")))</f>
        <v/>
      </c>
      <c r="K444" s="27" t="str">
        <f aca="false">IF(OR(A444="",E444="",F444=""),"",SUMIFS('Sales Log'!$L$5:$L$1004,'Sales Log'!$B$5:$B$1004,A444,'Sales Log'!$A$5:$A$1004,"&gt;="&amp;E444,'Sales Log'!$A$5:$A$1004,"&lt;="&amp;F444,'Sales Log'!$R$5:$R$1004,IF(O444="EXAMPLE","EXAMPLE","&lt;&gt;EXAMPLE")))</f>
        <v/>
      </c>
      <c r="L444" s="16"/>
      <c r="M444" s="16"/>
      <c r="N444" s="16"/>
      <c r="O444" s="16"/>
    </row>
    <row r="445" customFormat="false" ht="15" hidden="false" customHeight="false" outlineLevel="0" collapsed="false">
      <c r="A445" s="16"/>
      <c r="B445" s="25"/>
      <c r="C445" s="26"/>
      <c r="D445" s="16"/>
      <c r="E445" s="25"/>
      <c r="F445" s="25"/>
      <c r="G445" s="25"/>
      <c r="H445" s="26"/>
      <c r="I445" s="27" t="str">
        <f aca="false">IF(OR(C445="",H445=""),"",C445-H445)</f>
        <v/>
      </c>
      <c r="J445" s="8" t="str">
        <f aca="false">IF(C445="","",IF(H445="","WAITING",IF(ABS(C445-H445)&lt;0.005,"MATCHED","CHECK")))</f>
        <v/>
      </c>
      <c r="K445" s="27" t="str">
        <f aca="false">IF(OR(A445="",E445="",F445=""),"",SUMIFS('Sales Log'!$L$5:$L$1004,'Sales Log'!$B$5:$B$1004,A445,'Sales Log'!$A$5:$A$1004,"&gt;="&amp;E445,'Sales Log'!$A$5:$A$1004,"&lt;="&amp;F445,'Sales Log'!$R$5:$R$1004,IF(O445="EXAMPLE","EXAMPLE","&lt;&gt;EXAMPLE")))</f>
        <v/>
      </c>
      <c r="L445" s="16"/>
      <c r="M445" s="16"/>
      <c r="N445" s="16"/>
      <c r="O445" s="16"/>
    </row>
    <row r="446" customFormat="false" ht="15" hidden="false" customHeight="false" outlineLevel="0" collapsed="false">
      <c r="A446" s="16"/>
      <c r="B446" s="25"/>
      <c r="C446" s="26"/>
      <c r="D446" s="16"/>
      <c r="E446" s="25"/>
      <c r="F446" s="25"/>
      <c r="G446" s="25"/>
      <c r="H446" s="26"/>
      <c r="I446" s="27" t="str">
        <f aca="false">IF(OR(C446="",H446=""),"",C446-H446)</f>
        <v/>
      </c>
      <c r="J446" s="8" t="str">
        <f aca="false">IF(C446="","",IF(H446="","WAITING",IF(ABS(C446-H446)&lt;0.005,"MATCHED","CHECK")))</f>
        <v/>
      </c>
      <c r="K446" s="27" t="str">
        <f aca="false">IF(OR(A446="",E446="",F446=""),"",SUMIFS('Sales Log'!$L$5:$L$1004,'Sales Log'!$B$5:$B$1004,A446,'Sales Log'!$A$5:$A$1004,"&gt;="&amp;E446,'Sales Log'!$A$5:$A$1004,"&lt;="&amp;F446,'Sales Log'!$R$5:$R$1004,IF(O446="EXAMPLE","EXAMPLE","&lt;&gt;EXAMPLE")))</f>
        <v/>
      </c>
      <c r="L446" s="16"/>
      <c r="M446" s="16"/>
      <c r="N446" s="16"/>
      <c r="O446" s="16"/>
    </row>
    <row r="447" customFormat="false" ht="15" hidden="false" customHeight="false" outlineLevel="0" collapsed="false">
      <c r="A447" s="16"/>
      <c r="B447" s="25"/>
      <c r="C447" s="26"/>
      <c r="D447" s="16"/>
      <c r="E447" s="25"/>
      <c r="F447" s="25"/>
      <c r="G447" s="25"/>
      <c r="H447" s="26"/>
      <c r="I447" s="27" t="str">
        <f aca="false">IF(OR(C447="",H447=""),"",C447-H447)</f>
        <v/>
      </c>
      <c r="J447" s="8" t="str">
        <f aca="false">IF(C447="","",IF(H447="","WAITING",IF(ABS(C447-H447)&lt;0.005,"MATCHED","CHECK")))</f>
        <v/>
      </c>
      <c r="K447" s="27" t="str">
        <f aca="false">IF(OR(A447="",E447="",F447=""),"",SUMIFS('Sales Log'!$L$5:$L$1004,'Sales Log'!$B$5:$B$1004,A447,'Sales Log'!$A$5:$A$1004,"&gt;="&amp;E447,'Sales Log'!$A$5:$A$1004,"&lt;="&amp;F447,'Sales Log'!$R$5:$R$1004,IF(O447="EXAMPLE","EXAMPLE","&lt;&gt;EXAMPLE")))</f>
        <v/>
      </c>
      <c r="L447" s="16"/>
      <c r="M447" s="16"/>
      <c r="N447" s="16"/>
      <c r="O447" s="16"/>
    </row>
    <row r="448" customFormat="false" ht="15" hidden="false" customHeight="false" outlineLevel="0" collapsed="false">
      <c r="A448" s="16"/>
      <c r="B448" s="25"/>
      <c r="C448" s="26"/>
      <c r="D448" s="16"/>
      <c r="E448" s="25"/>
      <c r="F448" s="25"/>
      <c r="G448" s="25"/>
      <c r="H448" s="26"/>
      <c r="I448" s="27" t="str">
        <f aca="false">IF(OR(C448="",H448=""),"",C448-H448)</f>
        <v/>
      </c>
      <c r="J448" s="8" t="str">
        <f aca="false">IF(C448="","",IF(H448="","WAITING",IF(ABS(C448-H448)&lt;0.005,"MATCHED","CHECK")))</f>
        <v/>
      </c>
      <c r="K448" s="27" t="str">
        <f aca="false">IF(OR(A448="",E448="",F448=""),"",SUMIFS('Sales Log'!$L$5:$L$1004,'Sales Log'!$B$5:$B$1004,A448,'Sales Log'!$A$5:$A$1004,"&gt;="&amp;E448,'Sales Log'!$A$5:$A$1004,"&lt;="&amp;F448,'Sales Log'!$R$5:$R$1004,IF(O448="EXAMPLE","EXAMPLE","&lt;&gt;EXAMPLE")))</f>
        <v/>
      </c>
      <c r="L448" s="16"/>
      <c r="M448" s="16"/>
      <c r="N448" s="16"/>
      <c r="O448" s="16"/>
    </row>
    <row r="449" customFormat="false" ht="15" hidden="false" customHeight="false" outlineLevel="0" collapsed="false">
      <c r="A449" s="16"/>
      <c r="B449" s="25"/>
      <c r="C449" s="26"/>
      <c r="D449" s="16"/>
      <c r="E449" s="25"/>
      <c r="F449" s="25"/>
      <c r="G449" s="25"/>
      <c r="H449" s="26"/>
      <c r="I449" s="27" t="str">
        <f aca="false">IF(OR(C449="",H449=""),"",C449-H449)</f>
        <v/>
      </c>
      <c r="J449" s="8" t="str">
        <f aca="false">IF(C449="","",IF(H449="","WAITING",IF(ABS(C449-H449)&lt;0.005,"MATCHED","CHECK")))</f>
        <v/>
      </c>
      <c r="K449" s="27" t="str">
        <f aca="false">IF(OR(A449="",E449="",F449=""),"",SUMIFS('Sales Log'!$L$5:$L$1004,'Sales Log'!$B$5:$B$1004,A449,'Sales Log'!$A$5:$A$1004,"&gt;="&amp;E449,'Sales Log'!$A$5:$A$1004,"&lt;="&amp;F449,'Sales Log'!$R$5:$R$1004,IF(O449="EXAMPLE","EXAMPLE","&lt;&gt;EXAMPLE")))</f>
        <v/>
      </c>
      <c r="L449" s="16"/>
      <c r="M449" s="16"/>
      <c r="N449" s="16"/>
      <c r="O449" s="16"/>
    </row>
    <row r="450" customFormat="false" ht="15" hidden="false" customHeight="false" outlineLevel="0" collapsed="false">
      <c r="A450" s="16"/>
      <c r="B450" s="25"/>
      <c r="C450" s="26"/>
      <c r="D450" s="16"/>
      <c r="E450" s="25"/>
      <c r="F450" s="25"/>
      <c r="G450" s="25"/>
      <c r="H450" s="26"/>
      <c r="I450" s="27" t="str">
        <f aca="false">IF(OR(C450="",H450=""),"",C450-H450)</f>
        <v/>
      </c>
      <c r="J450" s="8" t="str">
        <f aca="false">IF(C450="","",IF(H450="","WAITING",IF(ABS(C450-H450)&lt;0.005,"MATCHED","CHECK")))</f>
        <v/>
      </c>
      <c r="K450" s="27" t="str">
        <f aca="false">IF(OR(A450="",E450="",F450=""),"",SUMIFS('Sales Log'!$L$5:$L$1004,'Sales Log'!$B$5:$B$1004,A450,'Sales Log'!$A$5:$A$1004,"&gt;="&amp;E450,'Sales Log'!$A$5:$A$1004,"&lt;="&amp;F450,'Sales Log'!$R$5:$R$1004,IF(O450="EXAMPLE","EXAMPLE","&lt;&gt;EXAMPLE")))</f>
        <v/>
      </c>
      <c r="L450" s="16"/>
      <c r="M450" s="16"/>
      <c r="N450" s="16"/>
      <c r="O450" s="16"/>
    </row>
    <row r="451" customFormat="false" ht="15" hidden="false" customHeight="false" outlineLevel="0" collapsed="false">
      <c r="A451" s="16"/>
      <c r="B451" s="25"/>
      <c r="C451" s="26"/>
      <c r="D451" s="16"/>
      <c r="E451" s="25"/>
      <c r="F451" s="25"/>
      <c r="G451" s="25"/>
      <c r="H451" s="26"/>
      <c r="I451" s="27" t="str">
        <f aca="false">IF(OR(C451="",H451=""),"",C451-H451)</f>
        <v/>
      </c>
      <c r="J451" s="8" t="str">
        <f aca="false">IF(C451="","",IF(H451="","WAITING",IF(ABS(C451-H451)&lt;0.005,"MATCHED","CHECK")))</f>
        <v/>
      </c>
      <c r="K451" s="27" t="str">
        <f aca="false">IF(OR(A451="",E451="",F451=""),"",SUMIFS('Sales Log'!$L$5:$L$1004,'Sales Log'!$B$5:$B$1004,A451,'Sales Log'!$A$5:$A$1004,"&gt;="&amp;E451,'Sales Log'!$A$5:$A$1004,"&lt;="&amp;F451,'Sales Log'!$R$5:$R$1004,IF(O451="EXAMPLE","EXAMPLE","&lt;&gt;EXAMPLE")))</f>
        <v/>
      </c>
      <c r="L451" s="16"/>
      <c r="M451" s="16"/>
      <c r="N451" s="16"/>
      <c r="O451" s="16"/>
    </row>
    <row r="452" customFormat="false" ht="15" hidden="false" customHeight="false" outlineLevel="0" collapsed="false">
      <c r="A452" s="16"/>
      <c r="B452" s="25"/>
      <c r="C452" s="26"/>
      <c r="D452" s="16"/>
      <c r="E452" s="25"/>
      <c r="F452" s="25"/>
      <c r="G452" s="25"/>
      <c r="H452" s="26"/>
      <c r="I452" s="27" t="str">
        <f aca="false">IF(OR(C452="",H452=""),"",C452-H452)</f>
        <v/>
      </c>
      <c r="J452" s="8" t="str">
        <f aca="false">IF(C452="","",IF(H452="","WAITING",IF(ABS(C452-H452)&lt;0.005,"MATCHED","CHECK")))</f>
        <v/>
      </c>
      <c r="K452" s="27" t="str">
        <f aca="false">IF(OR(A452="",E452="",F452=""),"",SUMIFS('Sales Log'!$L$5:$L$1004,'Sales Log'!$B$5:$B$1004,A452,'Sales Log'!$A$5:$A$1004,"&gt;="&amp;E452,'Sales Log'!$A$5:$A$1004,"&lt;="&amp;F452,'Sales Log'!$R$5:$R$1004,IF(O452="EXAMPLE","EXAMPLE","&lt;&gt;EXAMPLE")))</f>
        <v/>
      </c>
      <c r="L452" s="16"/>
      <c r="M452" s="16"/>
      <c r="N452" s="16"/>
      <c r="O452" s="16"/>
    </row>
    <row r="453" customFormat="false" ht="15" hidden="false" customHeight="false" outlineLevel="0" collapsed="false">
      <c r="A453" s="16"/>
      <c r="B453" s="25"/>
      <c r="C453" s="26"/>
      <c r="D453" s="16"/>
      <c r="E453" s="25"/>
      <c r="F453" s="25"/>
      <c r="G453" s="25"/>
      <c r="H453" s="26"/>
      <c r="I453" s="27" t="str">
        <f aca="false">IF(OR(C453="",H453=""),"",C453-H453)</f>
        <v/>
      </c>
      <c r="J453" s="8" t="str">
        <f aca="false">IF(C453="","",IF(H453="","WAITING",IF(ABS(C453-H453)&lt;0.005,"MATCHED","CHECK")))</f>
        <v/>
      </c>
      <c r="K453" s="27" t="str">
        <f aca="false">IF(OR(A453="",E453="",F453=""),"",SUMIFS('Sales Log'!$L$5:$L$1004,'Sales Log'!$B$5:$B$1004,A453,'Sales Log'!$A$5:$A$1004,"&gt;="&amp;E453,'Sales Log'!$A$5:$A$1004,"&lt;="&amp;F453,'Sales Log'!$R$5:$R$1004,IF(O453="EXAMPLE","EXAMPLE","&lt;&gt;EXAMPLE")))</f>
        <v/>
      </c>
      <c r="L453" s="16"/>
      <c r="M453" s="16"/>
      <c r="N453" s="16"/>
      <c r="O453" s="16"/>
    </row>
    <row r="454" customFormat="false" ht="15" hidden="false" customHeight="false" outlineLevel="0" collapsed="false">
      <c r="A454" s="16"/>
      <c r="B454" s="25"/>
      <c r="C454" s="26"/>
      <c r="D454" s="16"/>
      <c r="E454" s="25"/>
      <c r="F454" s="25"/>
      <c r="G454" s="25"/>
      <c r="H454" s="26"/>
      <c r="I454" s="27" t="str">
        <f aca="false">IF(OR(C454="",H454=""),"",C454-H454)</f>
        <v/>
      </c>
      <c r="J454" s="8" t="str">
        <f aca="false">IF(C454="","",IF(H454="","WAITING",IF(ABS(C454-H454)&lt;0.005,"MATCHED","CHECK")))</f>
        <v/>
      </c>
      <c r="K454" s="27" t="str">
        <f aca="false">IF(OR(A454="",E454="",F454=""),"",SUMIFS('Sales Log'!$L$5:$L$1004,'Sales Log'!$B$5:$B$1004,A454,'Sales Log'!$A$5:$A$1004,"&gt;="&amp;E454,'Sales Log'!$A$5:$A$1004,"&lt;="&amp;F454,'Sales Log'!$R$5:$R$1004,IF(O454="EXAMPLE","EXAMPLE","&lt;&gt;EXAMPLE")))</f>
        <v/>
      </c>
      <c r="L454" s="16"/>
      <c r="M454" s="16"/>
      <c r="N454" s="16"/>
      <c r="O454" s="16"/>
    </row>
    <row r="455" customFormat="false" ht="15" hidden="false" customHeight="false" outlineLevel="0" collapsed="false">
      <c r="A455" s="16"/>
      <c r="B455" s="25"/>
      <c r="C455" s="26"/>
      <c r="D455" s="16"/>
      <c r="E455" s="25"/>
      <c r="F455" s="25"/>
      <c r="G455" s="25"/>
      <c r="H455" s="26"/>
      <c r="I455" s="27" t="str">
        <f aca="false">IF(OR(C455="",H455=""),"",C455-H455)</f>
        <v/>
      </c>
      <c r="J455" s="8" t="str">
        <f aca="false">IF(C455="","",IF(H455="","WAITING",IF(ABS(C455-H455)&lt;0.005,"MATCHED","CHECK")))</f>
        <v/>
      </c>
      <c r="K455" s="27" t="str">
        <f aca="false">IF(OR(A455="",E455="",F455=""),"",SUMIFS('Sales Log'!$L$5:$L$1004,'Sales Log'!$B$5:$B$1004,A455,'Sales Log'!$A$5:$A$1004,"&gt;="&amp;E455,'Sales Log'!$A$5:$A$1004,"&lt;="&amp;F455,'Sales Log'!$R$5:$R$1004,IF(O455="EXAMPLE","EXAMPLE","&lt;&gt;EXAMPLE")))</f>
        <v/>
      </c>
      <c r="L455" s="16"/>
      <c r="M455" s="16"/>
      <c r="N455" s="16"/>
      <c r="O455" s="16"/>
    </row>
    <row r="456" customFormat="false" ht="15" hidden="false" customHeight="false" outlineLevel="0" collapsed="false">
      <c r="A456" s="16"/>
      <c r="B456" s="25"/>
      <c r="C456" s="26"/>
      <c r="D456" s="16"/>
      <c r="E456" s="25"/>
      <c r="F456" s="25"/>
      <c r="G456" s="25"/>
      <c r="H456" s="26"/>
      <c r="I456" s="27" t="str">
        <f aca="false">IF(OR(C456="",H456=""),"",C456-H456)</f>
        <v/>
      </c>
      <c r="J456" s="8" t="str">
        <f aca="false">IF(C456="","",IF(H456="","WAITING",IF(ABS(C456-H456)&lt;0.005,"MATCHED","CHECK")))</f>
        <v/>
      </c>
      <c r="K456" s="27" t="str">
        <f aca="false">IF(OR(A456="",E456="",F456=""),"",SUMIFS('Sales Log'!$L$5:$L$1004,'Sales Log'!$B$5:$B$1004,A456,'Sales Log'!$A$5:$A$1004,"&gt;="&amp;E456,'Sales Log'!$A$5:$A$1004,"&lt;="&amp;F456,'Sales Log'!$R$5:$R$1004,IF(O456="EXAMPLE","EXAMPLE","&lt;&gt;EXAMPLE")))</f>
        <v/>
      </c>
      <c r="L456" s="16"/>
      <c r="M456" s="16"/>
      <c r="N456" s="16"/>
      <c r="O456" s="16"/>
    </row>
    <row r="457" customFormat="false" ht="15" hidden="false" customHeight="false" outlineLevel="0" collapsed="false">
      <c r="A457" s="16"/>
      <c r="B457" s="25"/>
      <c r="C457" s="26"/>
      <c r="D457" s="16"/>
      <c r="E457" s="25"/>
      <c r="F457" s="25"/>
      <c r="G457" s="25"/>
      <c r="H457" s="26"/>
      <c r="I457" s="27" t="str">
        <f aca="false">IF(OR(C457="",H457=""),"",C457-H457)</f>
        <v/>
      </c>
      <c r="J457" s="8" t="str">
        <f aca="false">IF(C457="","",IF(H457="","WAITING",IF(ABS(C457-H457)&lt;0.005,"MATCHED","CHECK")))</f>
        <v/>
      </c>
      <c r="K457" s="27" t="str">
        <f aca="false">IF(OR(A457="",E457="",F457=""),"",SUMIFS('Sales Log'!$L$5:$L$1004,'Sales Log'!$B$5:$B$1004,A457,'Sales Log'!$A$5:$A$1004,"&gt;="&amp;E457,'Sales Log'!$A$5:$A$1004,"&lt;="&amp;F457,'Sales Log'!$R$5:$R$1004,IF(O457="EXAMPLE","EXAMPLE","&lt;&gt;EXAMPLE")))</f>
        <v/>
      </c>
      <c r="L457" s="16"/>
      <c r="M457" s="16"/>
      <c r="N457" s="16"/>
      <c r="O457" s="16"/>
    </row>
    <row r="458" customFormat="false" ht="15" hidden="false" customHeight="false" outlineLevel="0" collapsed="false">
      <c r="A458" s="16"/>
      <c r="B458" s="25"/>
      <c r="C458" s="26"/>
      <c r="D458" s="16"/>
      <c r="E458" s="25"/>
      <c r="F458" s="25"/>
      <c r="G458" s="25"/>
      <c r="H458" s="26"/>
      <c r="I458" s="27" t="str">
        <f aca="false">IF(OR(C458="",H458=""),"",C458-H458)</f>
        <v/>
      </c>
      <c r="J458" s="8" t="str">
        <f aca="false">IF(C458="","",IF(H458="","WAITING",IF(ABS(C458-H458)&lt;0.005,"MATCHED","CHECK")))</f>
        <v/>
      </c>
      <c r="K458" s="27" t="str">
        <f aca="false">IF(OR(A458="",E458="",F458=""),"",SUMIFS('Sales Log'!$L$5:$L$1004,'Sales Log'!$B$5:$B$1004,A458,'Sales Log'!$A$5:$A$1004,"&gt;="&amp;E458,'Sales Log'!$A$5:$A$1004,"&lt;="&amp;F458,'Sales Log'!$R$5:$R$1004,IF(O458="EXAMPLE","EXAMPLE","&lt;&gt;EXAMPLE")))</f>
        <v/>
      </c>
      <c r="L458" s="16"/>
      <c r="M458" s="16"/>
      <c r="N458" s="16"/>
      <c r="O458" s="16"/>
    </row>
    <row r="459" customFormat="false" ht="15" hidden="false" customHeight="false" outlineLevel="0" collapsed="false">
      <c r="A459" s="16"/>
      <c r="B459" s="25"/>
      <c r="C459" s="26"/>
      <c r="D459" s="16"/>
      <c r="E459" s="25"/>
      <c r="F459" s="25"/>
      <c r="G459" s="25"/>
      <c r="H459" s="26"/>
      <c r="I459" s="27" t="str">
        <f aca="false">IF(OR(C459="",H459=""),"",C459-H459)</f>
        <v/>
      </c>
      <c r="J459" s="8" t="str">
        <f aca="false">IF(C459="","",IF(H459="","WAITING",IF(ABS(C459-H459)&lt;0.005,"MATCHED","CHECK")))</f>
        <v/>
      </c>
      <c r="K459" s="27" t="str">
        <f aca="false">IF(OR(A459="",E459="",F459=""),"",SUMIFS('Sales Log'!$L$5:$L$1004,'Sales Log'!$B$5:$B$1004,A459,'Sales Log'!$A$5:$A$1004,"&gt;="&amp;E459,'Sales Log'!$A$5:$A$1004,"&lt;="&amp;F459,'Sales Log'!$R$5:$R$1004,IF(O459="EXAMPLE","EXAMPLE","&lt;&gt;EXAMPLE")))</f>
        <v/>
      </c>
      <c r="L459" s="16"/>
      <c r="M459" s="16"/>
      <c r="N459" s="16"/>
      <c r="O459" s="16"/>
    </row>
    <row r="460" customFormat="false" ht="15" hidden="false" customHeight="false" outlineLevel="0" collapsed="false">
      <c r="A460" s="16"/>
      <c r="B460" s="25"/>
      <c r="C460" s="26"/>
      <c r="D460" s="16"/>
      <c r="E460" s="25"/>
      <c r="F460" s="25"/>
      <c r="G460" s="25"/>
      <c r="H460" s="26"/>
      <c r="I460" s="27" t="str">
        <f aca="false">IF(OR(C460="",H460=""),"",C460-H460)</f>
        <v/>
      </c>
      <c r="J460" s="8" t="str">
        <f aca="false">IF(C460="","",IF(H460="","WAITING",IF(ABS(C460-H460)&lt;0.005,"MATCHED","CHECK")))</f>
        <v/>
      </c>
      <c r="K460" s="27" t="str">
        <f aca="false">IF(OR(A460="",E460="",F460=""),"",SUMIFS('Sales Log'!$L$5:$L$1004,'Sales Log'!$B$5:$B$1004,A460,'Sales Log'!$A$5:$A$1004,"&gt;="&amp;E460,'Sales Log'!$A$5:$A$1004,"&lt;="&amp;F460,'Sales Log'!$R$5:$R$1004,IF(O460="EXAMPLE","EXAMPLE","&lt;&gt;EXAMPLE")))</f>
        <v/>
      </c>
      <c r="L460" s="16"/>
      <c r="M460" s="16"/>
      <c r="N460" s="16"/>
      <c r="O460" s="16"/>
    </row>
    <row r="461" customFormat="false" ht="15" hidden="false" customHeight="false" outlineLevel="0" collapsed="false">
      <c r="A461" s="16"/>
      <c r="B461" s="25"/>
      <c r="C461" s="26"/>
      <c r="D461" s="16"/>
      <c r="E461" s="25"/>
      <c r="F461" s="25"/>
      <c r="G461" s="25"/>
      <c r="H461" s="26"/>
      <c r="I461" s="27" t="str">
        <f aca="false">IF(OR(C461="",H461=""),"",C461-H461)</f>
        <v/>
      </c>
      <c r="J461" s="8" t="str">
        <f aca="false">IF(C461="","",IF(H461="","WAITING",IF(ABS(C461-H461)&lt;0.005,"MATCHED","CHECK")))</f>
        <v/>
      </c>
      <c r="K461" s="27" t="str">
        <f aca="false">IF(OR(A461="",E461="",F461=""),"",SUMIFS('Sales Log'!$L$5:$L$1004,'Sales Log'!$B$5:$B$1004,A461,'Sales Log'!$A$5:$A$1004,"&gt;="&amp;E461,'Sales Log'!$A$5:$A$1004,"&lt;="&amp;F461,'Sales Log'!$R$5:$R$1004,IF(O461="EXAMPLE","EXAMPLE","&lt;&gt;EXAMPLE")))</f>
        <v/>
      </c>
      <c r="L461" s="16"/>
      <c r="M461" s="16"/>
      <c r="N461" s="16"/>
      <c r="O461" s="16"/>
    </row>
    <row r="462" customFormat="false" ht="15" hidden="false" customHeight="false" outlineLevel="0" collapsed="false">
      <c r="A462" s="16"/>
      <c r="B462" s="25"/>
      <c r="C462" s="26"/>
      <c r="D462" s="16"/>
      <c r="E462" s="25"/>
      <c r="F462" s="25"/>
      <c r="G462" s="25"/>
      <c r="H462" s="26"/>
      <c r="I462" s="27" t="str">
        <f aca="false">IF(OR(C462="",H462=""),"",C462-H462)</f>
        <v/>
      </c>
      <c r="J462" s="8" t="str">
        <f aca="false">IF(C462="","",IF(H462="","WAITING",IF(ABS(C462-H462)&lt;0.005,"MATCHED","CHECK")))</f>
        <v/>
      </c>
      <c r="K462" s="27" t="str">
        <f aca="false">IF(OR(A462="",E462="",F462=""),"",SUMIFS('Sales Log'!$L$5:$L$1004,'Sales Log'!$B$5:$B$1004,A462,'Sales Log'!$A$5:$A$1004,"&gt;="&amp;E462,'Sales Log'!$A$5:$A$1004,"&lt;="&amp;F462,'Sales Log'!$R$5:$R$1004,IF(O462="EXAMPLE","EXAMPLE","&lt;&gt;EXAMPLE")))</f>
        <v/>
      </c>
      <c r="L462" s="16"/>
      <c r="M462" s="16"/>
      <c r="N462" s="16"/>
      <c r="O462" s="16"/>
    </row>
    <row r="463" customFormat="false" ht="15" hidden="false" customHeight="false" outlineLevel="0" collapsed="false">
      <c r="A463" s="16"/>
      <c r="B463" s="25"/>
      <c r="C463" s="26"/>
      <c r="D463" s="16"/>
      <c r="E463" s="25"/>
      <c r="F463" s="25"/>
      <c r="G463" s="25"/>
      <c r="H463" s="26"/>
      <c r="I463" s="27" t="str">
        <f aca="false">IF(OR(C463="",H463=""),"",C463-H463)</f>
        <v/>
      </c>
      <c r="J463" s="8" t="str">
        <f aca="false">IF(C463="","",IF(H463="","WAITING",IF(ABS(C463-H463)&lt;0.005,"MATCHED","CHECK")))</f>
        <v/>
      </c>
      <c r="K463" s="27" t="str">
        <f aca="false">IF(OR(A463="",E463="",F463=""),"",SUMIFS('Sales Log'!$L$5:$L$1004,'Sales Log'!$B$5:$B$1004,A463,'Sales Log'!$A$5:$A$1004,"&gt;="&amp;E463,'Sales Log'!$A$5:$A$1004,"&lt;="&amp;F463,'Sales Log'!$R$5:$R$1004,IF(O463="EXAMPLE","EXAMPLE","&lt;&gt;EXAMPLE")))</f>
        <v/>
      </c>
      <c r="L463" s="16"/>
      <c r="M463" s="16"/>
      <c r="N463" s="16"/>
      <c r="O463" s="16"/>
    </row>
    <row r="464" customFormat="false" ht="15" hidden="false" customHeight="false" outlineLevel="0" collapsed="false">
      <c r="A464" s="16"/>
      <c r="B464" s="25"/>
      <c r="C464" s="26"/>
      <c r="D464" s="16"/>
      <c r="E464" s="25"/>
      <c r="F464" s="25"/>
      <c r="G464" s="25"/>
      <c r="H464" s="26"/>
      <c r="I464" s="27" t="str">
        <f aca="false">IF(OR(C464="",H464=""),"",C464-H464)</f>
        <v/>
      </c>
      <c r="J464" s="8" t="str">
        <f aca="false">IF(C464="","",IF(H464="","WAITING",IF(ABS(C464-H464)&lt;0.005,"MATCHED","CHECK")))</f>
        <v/>
      </c>
      <c r="K464" s="27" t="str">
        <f aca="false">IF(OR(A464="",E464="",F464=""),"",SUMIFS('Sales Log'!$L$5:$L$1004,'Sales Log'!$B$5:$B$1004,A464,'Sales Log'!$A$5:$A$1004,"&gt;="&amp;E464,'Sales Log'!$A$5:$A$1004,"&lt;="&amp;F464,'Sales Log'!$R$5:$R$1004,IF(O464="EXAMPLE","EXAMPLE","&lt;&gt;EXAMPLE")))</f>
        <v/>
      </c>
      <c r="L464" s="16"/>
      <c r="M464" s="16"/>
      <c r="N464" s="16"/>
      <c r="O464" s="16"/>
    </row>
    <row r="465" customFormat="false" ht="15" hidden="false" customHeight="false" outlineLevel="0" collapsed="false">
      <c r="A465" s="16"/>
      <c r="B465" s="25"/>
      <c r="C465" s="26"/>
      <c r="D465" s="16"/>
      <c r="E465" s="25"/>
      <c r="F465" s="25"/>
      <c r="G465" s="25"/>
      <c r="H465" s="26"/>
      <c r="I465" s="27" t="str">
        <f aca="false">IF(OR(C465="",H465=""),"",C465-H465)</f>
        <v/>
      </c>
      <c r="J465" s="8" t="str">
        <f aca="false">IF(C465="","",IF(H465="","WAITING",IF(ABS(C465-H465)&lt;0.005,"MATCHED","CHECK")))</f>
        <v/>
      </c>
      <c r="K465" s="27" t="str">
        <f aca="false">IF(OR(A465="",E465="",F465=""),"",SUMIFS('Sales Log'!$L$5:$L$1004,'Sales Log'!$B$5:$B$1004,A465,'Sales Log'!$A$5:$A$1004,"&gt;="&amp;E465,'Sales Log'!$A$5:$A$1004,"&lt;="&amp;F465,'Sales Log'!$R$5:$R$1004,IF(O465="EXAMPLE","EXAMPLE","&lt;&gt;EXAMPLE")))</f>
        <v/>
      </c>
      <c r="L465" s="16"/>
      <c r="M465" s="16"/>
      <c r="N465" s="16"/>
      <c r="O465" s="16"/>
    </row>
    <row r="466" customFormat="false" ht="15" hidden="false" customHeight="false" outlineLevel="0" collapsed="false">
      <c r="A466" s="16"/>
      <c r="B466" s="25"/>
      <c r="C466" s="26"/>
      <c r="D466" s="16"/>
      <c r="E466" s="25"/>
      <c r="F466" s="25"/>
      <c r="G466" s="25"/>
      <c r="H466" s="26"/>
      <c r="I466" s="27" t="str">
        <f aca="false">IF(OR(C466="",H466=""),"",C466-H466)</f>
        <v/>
      </c>
      <c r="J466" s="8" t="str">
        <f aca="false">IF(C466="","",IF(H466="","WAITING",IF(ABS(C466-H466)&lt;0.005,"MATCHED","CHECK")))</f>
        <v/>
      </c>
      <c r="K466" s="27" t="str">
        <f aca="false">IF(OR(A466="",E466="",F466=""),"",SUMIFS('Sales Log'!$L$5:$L$1004,'Sales Log'!$B$5:$B$1004,A466,'Sales Log'!$A$5:$A$1004,"&gt;="&amp;E466,'Sales Log'!$A$5:$A$1004,"&lt;="&amp;F466,'Sales Log'!$R$5:$R$1004,IF(O466="EXAMPLE","EXAMPLE","&lt;&gt;EXAMPLE")))</f>
        <v/>
      </c>
      <c r="L466" s="16"/>
      <c r="M466" s="16"/>
      <c r="N466" s="16"/>
      <c r="O466" s="16"/>
    </row>
    <row r="467" customFormat="false" ht="15" hidden="false" customHeight="false" outlineLevel="0" collapsed="false">
      <c r="A467" s="16"/>
      <c r="B467" s="25"/>
      <c r="C467" s="26"/>
      <c r="D467" s="16"/>
      <c r="E467" s="25"/>
      <c r="F467" s="25"/>
      <c r="G467" s="25"/>
      <c r="H467" s="26"/>
      <c r="I467" s="27" t="str">
        <f aca="false">IF(OR(C467="",H467=""),"",C467-H467)</f>
        <v/>
      </c>
      <c r="J467" s="8" t="str">
        <f aca="false">IF(C467="","",IF(H467="","WAITING",IF(ABS(C467-H467)&lt;0.005,"MATCHED","CHECK")))</f>
        <v/>
      </c>
      <c r="K467" s="27" t="str">
        <f aca="false">IF(OR(A467="",E467="",F467=""),"",SUMIFS('Sales Log'!$L$5:$L$1004,'Sales Log'!$B$5:$B$1004,A467,'Sales Log'!$A$5:$A$1004,"&gt;="&amp;E467,'Sales Log'!$A$5:$A$1004,"&lt;="&amp;F467,'Sales Log'!$R$5:$R$1004,IF(O467="EXAMPLE","EXAMPLE","&lt;&gt;EXAMPLE")))</f>
        <v/>
      </c>
      <c r="L467" s="16"/>
      <c r="M467" s="16"/>
      <c r="N467" s="16"/>
      <c r="O467" s="16"/>
    </row>
    <row r="468" customFormat="false" ht="15" hidden="false" customHeight="false" outlineLevel="0" collapsed="false">
      <c r="A468" s="16"/>
      <c r="B468" s="25"/>
      <c r="C468" s="26"/>
      <c r="D468" s="16"/>
      <c r="E468" s="25"/>
      <c r="F468" s="25"/>
      <c r="G468" s="25"/>
      <c r="H468" s="26"/>
      <c r="I468" s="27" t="str">
        <f aca="false">IF(OR(C468="",H468=""),"",C468-H468)</f>
        <v/>
      </c>
      <c r="J468" s="8" t="str">
        <f aca="false">IF(C468="","",IF(H468="","WAITING",IF(ABS(C468-H468)&lt;0.005,"MATCHED","CHECK")))</f>
        <v/>
      </c>
      <c r="K468" s="27" t="str">
        <f aca="false">IF(OR(A468="",E468="",F468=""),"",SUMIFS('Sales Log'!$L$5:$L$1004,'Sales Log'!$B$5:$B$1004,A468,'Sales Log'!$A$5:$A$1004,"&gt;="&amp;E468,'Sales Log'!$A$5:$A$1004,"&lt;="&amp;F468,'Sales Log'!$R$5:$R$1004,IF(O468="EXAMPLE","EXAMPLE","&lt;&gt;EXAMPLE")))</f>
        <v/>
      </c>
      <c r="L468" s="16"/>
      <c r="M468" s="16"/>
      <c r="N468" s="16"/>
      <c r="O468" s="16"/>
    </row>
    <row r="469" customFormat="false" ht="15" hidden="false" customHeight="false" outlineLevel="0" collapsed="false">
      <c r="A469" s="16"/>
      <c r="B469" s="25"/>
      <c r="C469" s="26"/>
      <c r="D469" s="16"/>
      <c r="E469" s="25"/>
      <c r="F469" s="25"/>
      <c r="G469" s="25"/>
      <c r="H469" s="26"/>
      <c r="I469" s="27" t="str">
        <f aca="false">IF(OR(C469="",H469=""),"",C469-H469)</f>
        <v/>
      </c>
      <c r="J469" s="8" t="str">
        <f aca="false">IF(C469="","",IF(H469="","WAITING",IF(ABS(C469-H469)&lt;0.005,"MATCHED","CHECK")))</f>
        <v/>
      </c>
      <c r="K469" s="27" t="str">
        <f aca="false">IF(OR(A469="",E469="",F469=""),"",SUMIFS('Sales Log'!$L$5:$L$1004,'Sales Log'!$B$5:$B$1004,A469,'Sales Log'!$A$5:$A$1004,"&gt;="&amp;E469,'Sales Log'!$A$5:$A$1004,"&lt;="&amp;F469,'Sales Log'!$R$5:$R$1004,IF(O469="EXAMPLE","EXAMPLE","&lt;&gt;EXAMPLE")))</f>
        <v/>
      </c>
      <c r="L469" s="16"/>
      <c r="M469" s="16"/>
      <c r="N469" s="16"/>
      <c r="O469" s="16"/>
    </row>
    <row r="470" customFormat="false" ht="15" hidden="false" customHeight="false" outlineLevel="0" collapsed="false">
      <c r="A470" s="16"/>
      <c r="B470" s="25"/>
      <c r="C470" s="26"/>
      <c r="D470" s="16"/>
      <c r="E470" s="25"/>
      <c r="F470" s="25"/>
      <c r="G470" s="25"/>
      <c r="H470" s="26"/>
      <c r="I470" s="27" t="str">
        <f aca="false">IF(OR(C470="",H470=""),"",C470-H470)</f>
        <v/>
      </c>
      <c r="J470" s="8" t="str">
        <f aca="false">IF(C470="","",IF(H470="","WAITING",IF(ABS(C470-H470)&lt;0.005,"MATCHED","CHECK")))</f>
        <v/>
      </c>
      <c r="K470" s="27" t="str">
        <f aca="false">IF(OR(A470="",E470="",F470=""),"",SUMIFS('Sales Log'!$L$5:$L$1004,'Sales Log'!$B$5:$B$1004,A470,'Sales Log'!$A$5:$A$1004,"&gt;="&amp;E470,'Sales Log'!$A$5:$A$1004,"&lt;="&amp;F470,'Sales Log'!$R$5:$R$1004,IF(O470="EXAMPLE","EXAMPLE","&lt;&gt;EXAMPLE")))</f>
        <v/>
      </c>
      <c r="L470" s="16"/>
      <c r="M470" s="16"/>
      <c r="N470" s="16"/>
      <c r="O470" s="16"/>
    </row>
    <row r="471" customFormat="false" ht="15" hidden="false" customHeight="false" outlineLevel="0" collapsed="false">
      <c r="A471" s="16"/>
      <c r="B471" s="25"/>
      <c r="C471" s="26"/>
      <c r="D471" s="16"/>
      <c r="E471" s="25"/>
      <c r="F471" s="25"/>
      <c r="G471" s="25"/>
      <c r="H471" s="26"/>
      <c r="I471" s="27" t="str">
        <f aca="false">IF(OR(C471="",H471=""),"",C471-H471)</f>
        <v/>
      </c>
      <c r="J471" s="8" t="str">
        <f aca="false">IF(C471="","",IF(H471="","WAITING",IF(ABS(C471-H471)&lt;0.005,"MATCHED","CHECK")))</f>
        <v/>
      </c>
      <c r="K471" s="27" t="str">
        <f aca="false">IF(OR(A471="",E471="",F471=""),"",SUMIFS('Sales Log'!$L$5:$L$1004,'Sales Log'!$B$5:$B$1004,A471,'Sales Log'!$A$5:$A$1004,"&gt;="&amp;E471,'Sales Log'!$A$5:$A$1004,"&lt;="&amp;F471,'Sales Log'!$R$5:$R$1004,IF(O471="EXAMPLE","EXAMPLE","&lt;&gt;EXAMPLE")))</f>
        <v/>
      </c>
      <c r="L471" s="16"/>
      <c r="M471" s="16"/>
      <c r="N471" s="16"/>
      <c r="O471" s="16"/>
    </row>
    <row r="472" customFormat="false" ht="15" hidden="false" customHeight="false" outlineLevel="0" collapsed="false">
      <c r="A472" s="16"/>
      <c r="B472" s="25"/>
      <c r="C472" s="26"/>
      <c r="D472" s="16"/>
      <c r="E472" s="25"/>
      <c r="F472" s="25"/>
      <c r="G472" s="25"/>
      <c r="H472" s="26"/>
      <c r="I472" s="27" t="str">
        <f aca="false">IF(OR(C472="",H472=""),"",C472-H472)</f>
        <v/>
      </c>
      <c r="J472" s="8" t="str">
        <f aca="false">IF(C472="","",IF(H472="","WAITING",IF(ABS(C472-H472)&lt;0.005,"MATCHED","CHECK")))</f>
        <v/>
      </c>
      <c r="K472" s="27" t="str">
        <f aca="false">IF(OR(A472="",E472="",F472=""),"",SUMIFS('Sales Log'!$L$5:$L$1004,'Sales Log'!$B$5:$B$1004,A472,'Sales Log'!$A$5:$A$1004,"&gt;="&amp;E472,'Sales Log'!$A$5:$A$1004,"&lt;="&amp;F472,'Sales Log'!$R$5:$R$1004,IF(O472="EXAMPLE","EXAMPLE","&lt;&gt;EXAMPLE")))</f>
        <v/>
      </c>
      <c r="L472" s="16"/>
      <c r="M472" s="16"/>
      <c r="N472" s="16"/>
      <c r="O472" s="16"/>
    </row>
    <row r="473" customFormat="false" ht="15" hidden="false" customHeight="false" outlineLevel="0" collapsed="false">
      <c r="A473" s="16"/>
      <c r="B473" s="25"/>
      <c r="C473" s="26"/>
      <c r="D473" s="16"/>
      <c r="E473" s="25"/>
      <c r="F473" s="25"/>
      <c r="G473" s="25"/>
      <c r="H473" s="26"/>
      <c r="I473" s="27" t="str">
        <f aca="false">IF(OR(C473="",H473=""),"",C473-H473)</f>
        <v/>
      </c>
      <c r="J473" s="8" t="str">
        <f aca="false">IF(C473="","",IF(H473="","WAITING",IF(ABS(C473-H473)&lt;0.005,"MATCHED","CHECK")))</f>
        <v/>
      </c>
      <c r="K473" s="27" t="str">
        <f aca="false">IF(OR(A473="",E473="",F473=""),"",SUMIFS('Sales Log'!$L$5:$L$1004,'Sales Log'!$B$5:$B$1004,A473,'Sales Log'!$A$5:$A$1004,"&gt;="&amp;E473,'Sales Log'!$A$5:$A$1004,"&lt;="&amp;F473,'Sales Log'!$R$5:$R$1004,IF(O473="EXAMPLE","EXAMPLE","&lt;&gt;EXAMPLE")))</f>
        <v/>
      </c>
      <c r="L473" s="16"/>
      <c r="M473" s="16"/>
      <c r="N473" s="16"/>
      <c r="O473" s="16"/>
    </row>
    <row r="474" customFormat="false" ht="15" hidden="false" customHeight="false" outlineLevel="0" collapsed="false">
      <c r="A474" s="16"/>
      <c r="B474" s="25"/>
      <c r="C474" s="26"/>
      <c r="D474" s="16"/>
      <c r="E474" s="25"/>
      <c r="F474" s="25"/>
      <c r="G474" s="25"/>
      <c r="H474" s="26"/>
      <c r="I474" s="27" t="str">
        <f aca="false">IF(OR(C474="",H474=""),"",C474-H474)</f>
        <v/>
      </c>
      <c r="J474" s="8" t="str">
        <f aca="false">IF(C474="","",IF(H474="","WAITING",IF(ABS(C474-H474)&lt;0.005,"MATCHED","CHECK")))</f>
        <v/>
      </c>
      <c r="K474" s="27" t="str">
        <f aca="false">IF(OR(A474="",E474="",F474=""),"",SUMIFS('Sales Log'!$L$5:$L$1004,'Sales Log'!$B$5:$B$1004,A474,'Sales Log'!$A$5:$A$1004,"&gt;="&amp;E474,'Sales Log'!$A$5:$A$1004,"&lt;="&amp;F474,'Sales Log'!$R$5:$R$1004,IF(O474="EXAMPLE","EXAMPLE","&lt;&gt;EXAMPLE")))</f>
        <v/>
      </c>
      <c r="L474" s="16"/>
      <c r="M474" s="16"/>
      <c r="N474" s="16"/>
      <c r="O474" s="16"/>
    </row>
    <row r="475" customFormat="false" ht="15" hidden="false" customHeight="false" outlineLevel="0" collapsed="false">
      <c r="A475" s="16"/>
      <c r="B475" s="25"/>
      <c r="C475" s="26"/>
      <c r="D475" s="16"/>
      <c r="E475" s="25"/>
      <c r="F475" s="25"/>
      <c r="G475" s="25"/>
      <c r="H475" s="26"/>
      <c r="I475" s="27" t="str">
        <f aca="false">IF(OR(C475="",H475=""),"",C475-H475)</f>
        <v/>
      </c>
      <c r="J475" s="8" t="str">
        <f aca="false">IF(C475="","",IF(H475="","WAITING",IF(ABS(C475-H475)&lt;0.005,"MATCHED","CHECK")))</f>
        <v/>
      </c>
      <c r="K475" s="27" t="str">
        <f aca="false">IF(OR(A475="",E475="",F475=""),"",SUMIFS('Sales Log'!$L$5:$L$1004,'Sales Log'!$B$5:$B$1004,A475,'Sales Log'!$A$5:$A$1004,"&gt;="&amp;E475,'Sales Log'!$A$5:$A$1004,"&lt;="&amp;F475,'Sales Log'!$R$5:$R$1004,IF(O475="EXAMPLE","EXAMPLE","&lt;&gt;EXAMPLE")))</f>
        <v/>
      </c>
      <c r="L475" s="16"/>
      <c r="M475" s="16"/>
      <c r="N475" s="16"/>
      <c r="O475" s="16"/>
    </row>
    <row r="476" customFormat="false" ht="15" hidden="false" customHeight="false" outlineLevel="0" collapsed="false">
      <c r="A476" s="16"/>
      <c r="B476" s="25"/>
      <c r="C476" s="26"/>
      <c r="D476" s="16"/>
      <c r="E476" s="25"/>
      <c r="F476" s="25"/>
      <c r="G476" s="25"/>
      <c r="H476" s="26"/>
      <c r="I476" s="27" t="str">
        <f aca="false">IF(OR(C476="",H476=""),"",C476-H476)</f>
        <v/>
      </c>
      <c r="J476" s="8" t="str">
        <f aca="false">IF(C476="","",IF(H476="","WAITING",IF(ABS(C476-H476)&lt;0.005,"MATCHED","CHECK")))</f>
        <v/>
      </c>
      <c r="K476" s="27" t="str">
        <f aca="false">IF(OR(A476="",E476="",F476=""),"",SUMIFS('Sales Log'!$L$5:$L$1004,'Sales Log'!$B$5:$B$1004,A476,'Sales Log'!$A$5:$A$1004,"&gt;="&amp;E476,'Sales Log'!$A$5:$A$1004,"&lt;="&amp;F476,'Sales Log'!$R$5:$R$1004,IF(O476="EXAMPLE","EXAMPLE","&lt;&gt;EXAMPLE")))</f>
        <v/>
      </c>
      <c r="L476" s="16"/>
      <c r="M476" s="16"/>
      <c r="N476" s="16"/>
      <c r="O476" s="16"/>
    </row>
    <row r="477" customFormat="false" ht="15" hidden="false" customHeight="false" outlineLevel="0" collapsed="false">
      <c r="A477" s="16"/>
      <c r="B477" s="25"/>
      <c r="C477" s="26"/>
      <c r="D477" s="16"/>
      <c r="E477" s="25"/>
      <c r="F477" s="25"/>
      <c r="G477" s="25"/>
      <c r="H477" s="26"/>
      <c r="I477" s="27" t="str">
        <f aca="false">IF(OR(C477="",H477=""),"",C477-H477)</f>
        <v/>
      </c>
      <c r="J477" s="8" t="str">
        <f aca="false">IF(C477="","",IF(H477="","WAITING",IF(ABS(C477-H477)&lt;0.005,"MATCHED","CHECK")))</f>
        <v/>
      </c>
      <c r="K477" s="27" t="str">
        <f aca="false">IF(OR(A477="",E477="",F477=""),"",SUMIFS('Sales Log'!$L$5:$L$1004,'Sales Log'!$B$5:$B$1004,A477,'Sales Log'!$A$5:$A$1004,"&gt;="&amp;E477,'Sales Log'!$A$5:$A$1004,"&lt;="&amp;F477,'Sales Log'!$R$5:$R$1004,IF(O477="EXAMPLE","EXAMPLE","&lt;&gt;EXAMPLE")))</f>
        <v/>
      </c>
      <c r="L477" s="16"/>
      <c r="M477" s="16"/>
      <c r="N477" s="16"/>
      <c r="O477" s="16"/>
    </row>
    <row r="478" customFormat="false" ht="15" hidden="false" customHeight="false" outlineLevel="0" collapsed="false">
      <c r="A478" s="16"/>
      <c r="B478" s="25"/>
      <c r="C478" s="26"/>
      <c r="D478" s="16"/>
      <c r="E478" s="25"/>
      <c r="F478" s="25"/>
      <c r="G478" s="25"/>
      <c r="H478" s="26"/>
      <c r="I478" s="27" t="str">
        <f aca="false">IF(OR(C478="",H478=""),"",C478-H478)</f>
        <v/>
      </c>
      <c r="J478" s="8" t="str">
        <f aca="false">IF(C478="","",IF(H478="","WAITING",IF(ABS(C478-H478)&lt;0.005,"MATCHED","CHECK")))</f>
        <v/>
      </c>
      <c r="K478" s="27" t="str">
        <f aca="false">IF(OR(A478="",E478="",F478=""),"",SUMIFS('Sales Log'!$L$5:$L$1004,'Sales Log'!$B$5:$B$1004,A478,'Sales Log'!$A$5:$A$1004,"&gt;="&amp;E478,'Sales Log'!$A$5:$A$1004,"&lt;="&amp;F478,'Sales Log'!$R$5:$R$1004,IF(O478="EXAMPLE","EXAMPLE","&lt;&gt;EXAMPLE")))</f>
        <v/>
      </c>
      <c r="L478" s="16"/>
      <c r="M478" s="16"/>
      <c r="N478" s="16"/>
      <c r="O478" s="16"/>
    </row>
    <row r="479" customFormat="false" ht="15" hidden="false" customHeight="false" outlineLevel="0" collapsed="false">
      <c r="A479" s="16"/>
      <c r="B479" s="25"/>
      <c r="C479" s="26"/>
      <c r="D479" s="16"/>
      <c r="E479" s="25"/>
      <c r="F479" s="25"/>
      <c r="G479" s="25"/>
      <c r="H479" s="26"/>
      <c r="I479" s="27" t="str">
        <f aca="false">IF(OR(C479="",H479=""),"",C479-H479)</f>
        <v/>
      </c>
      <c r="J479" s="8" t="str">
        <f aca="false">IF(C479="","",IF(H479="","WAITING",IF(ABS(C479-H479)&lt;0.005,"MATCHED","CHECK")))</f>
        <v/>
      </c>
      <c r="K479" s="27" t="str">
        <f aca="false">IF(OR(A479="",E479="",F479=""),"",SUMIFS('Sales Log'!$L$5:$L$1004,'Sales Log'!$B$5:$B$1004,A479,'Sales Log'!$A$5:$A$1004,"&gt;="&amp;E479,'Sales Log'!$A$5:$A$1004,"&lt;="&amp;F479,'Sales Log'!$R$5:$R$1004,IF(O479="EXAMPLE","EXAMPLE","&lt;&gt;EXAMPLE")))</f>
        <v/>
      </c>
      <c r="L479" s="16"/>
      <c r="M479" s="16"/>
      <c r="N479" s="16"/>
      <c r="O479" s="16"/>
    </row>
    <row r="480" customFormat="false" ht="15" hidden="false" customHeight="false" outlineLevel="0" collapsed="false">
      <c r="A480" s="16"/>
      <c r="B480" s="25"/>
      <c r="C480" s="26"/>
      <c r="D480" s="16"/>
      <c r="E480" s="25"/>
      <c r="F480" s="25"/>
      <c r="G480" s="25"/>
      <c r="H480" s="26"/>
      <c r="I480" s="27" t="str">
        <f aca="false">IF(OR(C480="",H480=""),"",C480-H480)</f>
        <v/>
      </c>
      <c r="J480" s="8" t="str">
        <f aca="false">IF(C480="","",IF(H480="","WAITING",IF(ABS(C480-H480)&lt;0.005,"MATCHED","CHECK")))</f>
        <v/>
      </c>
      <c r="K480" s="27" t="str">
        <f aca="false">IF(OR(A480="",E480="",F480=""),"",SUMIFS('Sales Log'!$L$5:$L$1004,'Sales Log'!$B$5:$B$1004,A480,'Sales Log'!$A$5:$A$1004,"&gt;="&amp;E480,'Sales Log'!$A$5:$A$1004,"&lt;="&amp;F480,'Sales Log'!$R$5:$R$1004,IF(O480="EXAMPLE","EXAMPLE","&lt;&gt;EXAMPLE")))</f>
        <v/>
      </c>
      <c r="L480" s="16"/>
      <c r="M480" s="16"/>
      <c r="N480" s="16"/>
      <c r="O480" s="16"/>
    </row>
    <row r="481" customFormat="false" ht="15" hidden="false" customHeight="false" outlineLevel="0" collapsed="false">
      <c r="A481" s="16"/>
      <c r="B481" s="25"/>
      <c r="C481" s="26"/>
      <c r="D481" s="16"/>
      <c r="E481" s="25"/>
      <c r="F481" s="25"/>
      <c r="G481" s="25"/>
      <c r="H481" s="26"/>
      <c r="I481" s="27" t="str">
        <f aca="false">IF(OR(C481="",H481=""),"",C481-H481)</f>
        <v/>
      </c>
      <c r="J481" s="8" t="str">
        <f aca="false">IF(C481="","",IF(H481="","WAITING",IF(ABS(C481-H481)&lt;0.005,"MATCHED","CHECK")))</f>
        <v/>
      </c>
      <c r="K481" s="27" t="str">
        <f aca="false">IF(OR(A481="",E481="",F481=""),"",SUMIFS('Sales Log'!$L$5:$L$1004,'Sales Log'!$B$5:$B$1004,A481,'Sales Log'!$A$5:$A$1004,"&gt;="&amp;E481,'Sales Log'!$A$5:$A$1004,"&lt;="&amp;F481,'Sales Log'!$R$5:$R$1004,IF(O481="EXAMPLE","EXAMPLE","&lt;&gt;EXAMPLE")))</f>
        <v/>
      </c>
      <c r="L481" s="16"/>
      <c r="M481" s="16"/>
      <c r="N481" s="16"/>
      <c r="O481" s="16"/>
    </row>
    <row r="482" customFormat="false" ht="15" hidden="false" customHeight="false" outlineLevel="0" collapsed="false">
      <c r="A482" s="16"/>
      <c r="B482" s="25"/>
      <c r="C482" s="26"/>
      <c r="D482" s="16"/>
      <c r="E482" s="25"/>
      <c r="F482" s="25"/>
      <c r="G482" s="25"/>
      <c r="H482" s="26"/>
      <c r="I482" s="27" t="str">
        <f aca="false">IF(OR(C482="",H482=""),"",C482-H482)</f>
        <v/>
      </c>
      <c r="J482" s="8" t="str">
        <f aca="false">IF(C482="","",IF(H482="","WAITING",IF(ABS(C482-H482)&lt;0.005,"MATCHED","CHECK")))</f>
        <v/>
      </c>
      <c r="K482" s="27" t="str">
        <f aca="false">IF(OR(A482="",E482="",F482=""),"",SUMIFS('Sales Log'!$L$5:$L$1004,'Sales Log'!$B$5:$B$1004,A482,'Sales Log'!$A$5:$A$1004,"&gt;="&amp;E482,'Sales Log'!$A$5:$A$1004,"&lt;="&amp;F482,'Sales Log'!$R$5:$R$1004,IF(O482="EXAMPLE","EXAMPLE","&lt;&gt;EXAMPLE")))</f>
        <v/>
      </c>
      <c r="L482" s="16"/>
      <c r="M482" s="16"/>
      <c r="N482" s="16"/>
      <c r="O482" s="16"/>
    </row>
    <row r="483" customFormat="false" ht="15" hidden="false" customHeight="false" outlineLevel="0" collapsed="false">
      <c r="A483" s="16"/>
      <c r="B483" s="25"/>
      <c r="C483" s="26"/>
      <c r="D483" s="16"/>
      <c r="E483" s="25"/>
      <c r="F483" s="25"/>
      <c r="G483" s="25"/>
      <c r="H483" s="26"/>
      <c r="I483" s="27" t="str">
        <f aca="false">IF(OR(C483="",H483=""),"",C483-H483)</f>
        <v/>
      </c>
      <c r="J483" s="8" t="str">
        <f aca="false">IF(C483="","",IF(H483="","WAITING",IF(ABS(C483-H483)&lt;0.005,"MATCHED","CHECK")))</f>
        <v/>
      </c>
      <c r="K483" s="27" t="str">
        <f aca="false">IF(OR(A483="",E483="",F483=""),"",SUMIFS('Sales Log'!$L$5:$L$1004,'Sales Log'!$B$5:$B$1004,A483,'Sales Log'!$A$5:$A$1004,"&gt;="&amp;E483,'Sales Log'!$A$5:$A$1004,"&lt;="&amp;F483,'Sales Log'!$R$5:$R$1004,IF(O483="EXAMPLE","EXAMPLE","&lt;&gt;EXAMPLE")))</f>
        <v/>
      </c>
      <c r="L483" s="16"/>
      <c r="M483" s="16"/>
      <c r="N483" s="16"/>
      <c r="O483" s="16"/>
    </row>
    <row r="484" customFormat="false" ht="15" hidden="false" customHeight="false" outlineLevel="0" collapsed="false">
      <c r="A484" s="16"/>
      <c r="B484" s="25"/>
      <c r="C484" s="26"/>
      <c r="D484" s="16"/>
      <c r="E484" s="25"/>
      <c r="F484" s="25"/>
      <c r="G484" s="25"/>
      <c r="H484" s="26"/>
      <c r="I484" s="27" t="str">
        <f aca="false">IF(OR(C484="",H484=""),"",C484-H484)</f>
        <v/>
      </c>
      <c r="J484" s="8" t="str">
        <f aca="false">IF(C484="","",IF(H484="","WAITING",IF(ABS(C484-H484)&lt;0.005,"MATCHED","CHECK")))</f>
        <v/>
      </c>
      <c r="K484" s="27" t="str">
        <f aca="false">IF(OR(A484="",E484="",F484=""),"",SUMIFS('Sales Log'!$L$5:$L$1004,'Sales Log'!$B$5:$B$1004,A484,'Sales Log'!$A$5:$A$1004,"&gt;="&amp;E484,'Sales Log'!$A$5:$A$1004,"&lt;="&amp;F484,'Sales Log'!$R$5:$R$1004,IF(O484="EXAMPLE","EXAMPLE","&lt;&gt;EXAMPLE")))</f>
        <v/>
      </c>
      <c r="L484" s="16"/>
      <c r="M484" s="16"/>
      <c r="N484" s="16"/>
      <c r="O484" s="16"/>
    </row>
    <row r="485" customFormat="false" ht="15" hidden="false" customHeight="false" outlineLevel="0" collapsed="false">
      <c r="A485" s="16"/>
      <c r="B485" s="25"/>
      <c r="C485" s="26"/>
      <c r="D485" s="16"/>
      <c r="E485" s="25"/>
      <c r="F485" s="25"/>
      <c r="G485" s="25"/>
      <c r="H485" s="26"/>
      <c r="I485" s="27" t="str">
        <f aca="false">IF(OR(C485="",H485=""),"",C485-H485)</f>
        <v/>
      </c>
      <c r="J485" s="8" t="str">
        <f aca="false">IF(C485="","",IF(H485="","WAITING",IF(ABS(C485-H485)&lt;0.005,"MATCHED","CHECK")))</f>
        <v/>
      </c>
      <c r="K485" s="27" t="str">
        <f aca="false">IF(OR(A485="",E485="",F485=""),"",SUMIFS('Sales Log'!$L$5:$L$1004,'Sales Log'!$B$5:$B$1004,A485,'Sales Log'!$A$5:$A$1004,"&gt;="&amp;E485,'Sales Log'!$A$5:$A$1004,"&lt;="&amp;F485,'Sales Log'!$R$5:$R$1004,IF(O485="EXAMPLE","EXAMPLE","&lt;&gt;EXAMPLE")))</f>
        <v/>
      </c>
      <c r="L485" s="16"/>
      <c r="M485" s="16"/>
      <c r="N485" s="16"/>
      <c r="O485" s="16"/>
    </row>
    <row r="486" customFormat="false" ht="15" hidden="false" customHeight="false" outlineLevel="0" collapsed="false">
      <c r="A486" s="16"/>
      <c r="B486" s="25"/>
      <c r="C486" s="26"/>
      <c r="D486" s="16"/>
      <c r="E486" s="25"/>
      <c r="F486" s="25"/>
      <c r="G486" s="25"/>
      <c r="H486" s="26"/>
      <c r="I486" s="27" t="str">
        <f aca="false">IF(OR(C486="",H486=""),"",C486-H486)</f>
        <v/>
      </c>
      <c r="J486" s="8" t="str">
        <f aca="false">IF(C486="","",IF(H486="","WAITING",IF(ABS(C486-H486)&lt;0.005,"MATCHED","CHECK")))</f>
        <v/>
      </c>
      <c r="K486" s="27" t="str">
        <f aca="false">IF(OR(A486="",E486="",F486=""),"",SUMIFS('Sales Log'!$L$5:$L$1004,'Sales Log'!$B$5:$B$1004,A486,'Sales Log'!$A$5:$A$1004,"&gt;="&amp;E486,'Sales Log'!$A$5:$A$1004,"&lt;="&amp;F486,'Sales Log'!$R$5:$R$1004,IF(O486="EXAMPLE","EXAMPLE","&lt;&gt;EXAMPLE")))</f>
        <v/>
      </c>
      <c r="L486" s="16"/>
      <c r="M486" s="16"/>
      <c r="N486" s="16"/>
      <c r="O486" s="16"/>
    </row>
    <row r="487" customFormat="false" ht="15" hidden="false" customHeight="false" outlineLevel="0" collapsed="false">
      <c r="A487" s="16"/>
      <c r="B487" s="25"/>
      <c r="C487" s="26"/>
      <c r="D487" s="16"/>
      <c r="E487" s="25"/>
      <c r="F487" s="25"/>
      <c r="G487" s="25"/>
      <c r="H487" s="26"/>
      <c r="I487" s="27" t="str">
        <f aca="false">IF(OR(C487="",H487=""),"",C487-H487)</f>
        <v/>
      </c>
      <c r="J487" s="8" t="str">
        <f aca="false">IF(C487="","",IF(H487="","WAITING",IF(ABS(C487-H487)&lt;0.005,"MATCHED","CHECK")))</f>
        <v/>
      </c>
      <c r="K487" s="27" t="str">
        <f aca="false">IF(OR(A487="",E487="",F487=""),"",SUMIFS('Sales Log'!$L$5:$L$1004,'Sales Log'!$B$5:$B$1004,A487,'Sales Log'!$A$5:$A$1004,"&gt;="&amp;E487,'Sales Log'!$A$5:$A$1004,"&lt;="&amp;F487,'Sales Log'!$R$5:$R$1004,IF(O487="EXAMPLE","EXAMPLE","&lt;&gt;EXAMPLE")))</f>
        <v/>
      </c>
      <c r="L487" s="16"/>
      <c r="M487" s="16"/>
      <c r="N487" s="16"/>
      <c r="O487" s="16"/>
    </row>
    <row r="488" customFormat="false" ht="15" hidden="false" customHeight="false" outlineLevel="0" collapsed="false">
      <c r="A488" s="16"/>
      <c r="B488" s="25"/>
      <c r="C488" s="26"/>
      <c r="D488" s="16"/>
      <c r="E488" s="25"/>
      <c r="F488" s="25"/>
      <c r="G488" s="25"/>
      <c r="H488" s="26"/>
      <c r="I488" s="27" t="str">
        <f aca="false">IF(OR(C488="",H488=""),"",C488-H488)</f>
        <v/>
      </c>
      <c r="J488" s="8" t="str">
        <f aca="false">IF(C488="","",IF(H488="","WAITING",IF(ABS(C488-H488)&lt;0.005,"MATCHED","CHECK")))</f>
        <v/>
      </c>
      <c r="K488" s="27" t="str">
        <f aca="false">IF(OR(A488="",E488="",F488=""),"",SUMIFS('Sales Log'!$L$5:$L$1004,'Sales Log'!$B$5:$B$1004,A488,'Sales Log'!$A$5:$A$1004,"&gt;="&amp;E488,'Sales Log'!$A$5:$A$1004,"&lt;="&amp;F488,'Sales Log'!$R$5:$R$1004,IF(O488="EXAMPLE","EXAMPLE","&lt;&gt;EXAMPLE")))</f>
        <v/>
      </c>
      <c r="L488" s="16"/>
      <c r="M488" s="16"/>
      <c r="N488" s="16"/>
      <c r="O488" s="16"/>
    </row>
    <row r="489" customFormat="false" ht="15" hidden="false" customHeight="false" outlineLevel="0" collapsed="false">
      <c r="A489" s="16"/>
      <c r="B489" s="25"/>
      <c r="C489" s="26"/>
      <c r="D489" s="16"/>
      <c r="E489" s="25"/>
      <c r="F489" s="25"/>
      <c r="G489" s="25"/>
      <c r="H489" s="26"/>
      <c r="I489" s="27" t="str">
        <f aca="false">IF(OR(C489="",H489=""),"",C489-H489)</f>
        <v/>
      </c>
      <c r="J489" s="8" t="str">
        <f aca="false">IF(C489="","",IF(H489="","WAITING",IF(ABS(C489-H489)&lt;0.005,"MATCHED","CHECK")))</f>
        <v/>
      </c>
      <c r="K489" s="27" t="str">
        <f aca="false">IF(OR(A489="",E489="",F489=""),"",SUMIFS('Sales Log'!$L$5:$L$1004,'Sales Log'!$B$5:$B$1004,A489,'Sales Log'!$A$5:$A$1004,"&gt;="&amp;E489,'Sales Log'!$A$5:$A$1004,"&lt;="&amp;F489,'Sales Log'!$R$5:$R$1004,IF(O489="EXAMPLE","EXAMPLE","&lt;&gt;EXAMPLE")))</f>
        <v/>
      </c>
      <c r="L489" s="16"/>
      <c r="M489" s="16"/>
      <c r="N489" s="16"/>
      <c r="O489" s="16"/>
    </row>
    <row r="490" customFormat="false" ht="15" hidden="false" customHeight="false" outlineLevel="0" collapsed="false">
      <c r="A490" s="16"/>
      <c r="B490" s="25"/>
      <c r="C490" s="26"/>
      <c r="D490" s="16"/>
      <c r="E490" s="25"/>
      <c r="F490" s="25"/>
      <c r="G490" s="25"/>
      <c r="H490" s="26"/>
      <c r="I490" s="27" t="str">
        <f aca="false">IF(OR(C490="",H490=""),"",C490-H490)</f>
        <v/>
      </c>
      <c r="J490" s="8" t="str">
        <f aca="false">IF(C490="","",IF(H490="","WAITING",IF(ABS(C490-H490)&lt;0.005,"MATCHED","CHECK")))</f>
        <v/>
      </c>
      <c r="K490" s="27" t="str">
        <f aca="false">IF(OR(A490="",E490="",F490=""),"",SUMIFS('Sales Log'!$L$5:$L$1004,'Sales Log'!$B$5:$B$1004,A490,'Sales Log'!$A$5:$A$1004,"&gt;="&amp;E490,'Sales Log'!$A$5:$A$1004,"&lt;="&amp;F490,'Sales Log'!$R$5:$R$1004,IF(O490="EXAMPLE","EXAMPLE","&lt;&gt;EXAMPLE")))</f>
        <v/>
      </c>
      <c r="L490" s="16"/>
      <c r="M490" s="16"/>
      <c r="N490" s="16"/>
      <c r="O490" s="16"/>
    </row>
    <row r="491" customFormat="false" ht="15" hidden="false" customHeight="false" outlineLevel="0" collapsed="false">
      <c r="A491" s="16"/>
      <c r="B491" s="25"/>
      <c r="C491" s="26"/>
      <c r="D491" s="16"/>
      <c r="E491" s="25"/>
      <c r="F491" s="25"/>
      <c r="G491" s="25"/>
      <c r="H491" s="26"/>
      <c r="I491" s="27" t="str">
        <f aca="false">IF(OR(C491="",H491=""),"",C491-H491)</f>
        <v/>
      </c>
      <c r="J491" s="8" t="str">
        <f aca="false">IF(C491="","",IF(H491="","WAITING",IF(ABS(C491-H491)&lt;0.005,"MATCHED","CHECK")))</f>
        <v/>
      </c>
      <c r="K491" s="27" t="str">
        <f aca="false">IF(OR(A491="",E491="",F491=""),"",SUMIFS('Sales Log'!$L$5:$L$1004,'Sales Log'!$B$5:$B$1004,A491,'Sales Log'!$A$5:$A$1004,"&gt;="&amp;E491,'Sales Log'!$A$5:$A$1004,"&lt;="&amp;F491,'Sales Log'!$R$5:$R$1004,IF(O491="EXAMPLE","EXAMPLE","&lt;&gt;EXAMPLE")))</f>
        <v/>
      </c>
      <c r="L491" s="16"/>
      <c r="M491" s="16"/>
      <c r="N491" s="16"/>
      <c r="O491" s="16"/>
    </row>
    <row r="492" customFormat="false" ht="15" hidden="false" customHeight="false" outlineLevel="0" collapsed="false">
      <c r="A492" s="16"/>
      <c r="B492" s="25"/>
      <c r="C492" s="26"/>
      <c r="D492" s="16"/>
      <c r="E492" s="25"/>
      <c r="F492" s="25"/>
      <c r="G492" s="25"/>
      <c r="H492" s="26"/>
      <c r="I492" s="27" t="str">
        <f aca="false">IF(OR(C492="",H492=""),"",C492-H492)</f>
        <v/>
      </c>
      <c r="J492" s="8" t="str">
        <f aca="false">IF(C492="","",IF(H492="","WAITING",IF(ABS(C492-H492)&lt;0.005,"MATCHED","CHECK")))</f>
        <v/>
      </c>
      <c r="K492" s="27" t="str">
        <f aca="false">IF(OR(A492="",E492="",F492=""),"",SUMIFS('Sales Log'!$L$5:$L$1004,'Sales Log'!$B$5:$B$1004,A492,'Sales Log'!$A$5:$A$1004,"&gt;="&amp;E492,'Sales Log'!$A$5:$A$1004,"&lt;="&amp;F492,'Sales Log'!$R$5:$R$1004,IF(O492="EXAMPLE","EXAMPLE","&lt;&gt;EXAMPLE")))</f>
        <v/>
      </c>
      <c r="L492" s="16"/>
      <c r="M492" s="16"/>
      <c r="N492" s="16"/>
      <c r="O492" s="16"/>
    </row>
    <row r="493" customFormat="false" ht="15" hidden="false" customHeight="false" outlineLevel="0" collapsed="false">
      <c r="A493" s="16"/>
      <c r="B493" s="25"/>
      <c r="C493" s="26"/>
      <c r="D493" s="16"/>
      <c r="E493" s="25"/>
      <c r="F493" s="25"/>
      <c r="G493" s="25"/>
      <c r="H493" s="26"/>
      <c r="I493" s="27" t="str">
        <f aca="false">IF(OR(C493="",H493=""),"",C493-H493)</f>
        <v/>
      </c>
      <c r="J493" s="8" t="str">
        <f aca="false">IF(C493="","",IF(H493="","WAITING",IF(ABS(C493-H493)&lt;0.005,"MATCHED","CHECK")))</f>
        <v/>
      </c>
      <c r="K493" s="27" t="str">
        <f aca="false">IF(OR(A493="",E493="",F493=""),"",SUMIFS('Sales Log'!$L$5:$L$1004,'Sales Log'!$B$5:$B$1004,A493,'Sales Log'!$A$5:$A$1004,"&gt;="&amp;E493,'Sales Log'!$A$5:$A$1004,"&lt;="&amp;F493,'Sales Log'!$R$5:$R$1004,IF(O493="EXAMPLE","EXAMPLE","&lt;&gt;EXAMPLE")))</f>
        <v/>
      </c>
      <c r="L493" s="16"/>
      <c r="M493" s="16"/>
      <c r="N493" s="16"/>
      <c r="O493" s="16"/>
    </row>
    <row r="494" customFormat="false" ht="15" hidden="false" customHeight="false" outlineLevel="0" collapsed="false">
      <c r="A494" s="16"/>
      <c r="B494" s="25"/>
      <c r="C494" s="26"/>
      <c r="D494" s="16"/>
      <c r="E494" s="25"/>
      <c r="F494" s="25"/>
      <c r="G494" s="25"/>
      <c r="H494" s="26"/>
      <c r="I494" s="27" t="str">
        <f aca="false">IF(OR(C494="",H494=""),"",C494-H494)</f>
        <v/>
      </c>
      <c r="J494" s="8" t="str">
        <f aca="false">IF(C494="","",IF(H494="","WAITING",IF(ABS(C494-H494)&lt;0.005,"MATCHED","CHECK")))</f>
        <v/>
      </c>
      <c r="K494" s="27" t="str">
        <f aca="false">IF(OR(A494="",E494="",F494=""),"",SUMIFS('Sales Log'!$L$5:$L$1004,'Sales Log'!$B$5:$B$1004,A494,'Sales Log'!$A$5:$A$1004,"&gt;="&amp;E494,'Sales Log'!$A$5:$A$1004,"&lt;="&amp;F494,'Sales Log'!$R$5:$R$1004,IF(O494="EXAMPLE","EXAMPLE","&lt;&gt;EXAMPLE")))</f>
        <v/>
      </c>
      <c r="L494" s="16"/>
      <c r="M494" s="16"/>
      <c r="N494" s="16"/>
      <c r="O494" s="16"/>
    </row>
    <row r="495" customFormat="false" ht="15" hidden="false" customHeight="false" outlineLevel="0" collapsed="false">
      <c r="A495" s="16"/>
      <c r="B495" s="25"/>
      <c r="C495" s="26"/>
      <c r="D495" s="16"/>
      <c r="E495" s="25"/>
      <c r="F495" s="25"/>
      <c r="G495" s="25"/>
      <c r="H495" s="26"/>
      <c r="I495" s="27" t="str">
        <f aca="false">IF(OR(C495="",H495=""),"",C495-H495)</f>
        <v/>
      </c>
      <c r="J495" s="8" t="str">
        <f aca="false">IF(C495="","",IF(H495="","WAITING",IF(ABS(C495-H495)&lt;0.005,"MATCHED","CHECK")))</f>
        <v/>
      </c>
      <c r="K495" s="27" t="str">
        <f aca="false">IF(OR(A495="",E495="",F495=""),"",SUMIFS('Sales Log'!$L$5:$L$1004,'Sales Log'!$B$5:$B$1004,A495,'Sales Log'!$A$5:$A$1004,"&gt;="&amp;E495,'Sales Log'!$A$5:$A$1004,"&lt;="&amp;F495,'Sales Log'!$R$5:$R$1004,IF(O495="EXAMPLE","EXAMPLE","&lt;&gt;EXAMPLE")))</f>
        <v/>
      </c>
      <c r="L495" s="16"/>
      <c r="M495" s="16"/>
      <c r="N495" s="16"/>
      <c r="O495" s="16"/>
    </row>
    <row r="496" customFormat="false" ht="15" hidden="false" customHeight="false" outlineLevel="0" collapsed="false">
      <c r="A496" s="16"/>
      <c r="B496" s="25"/>
      <c r="C496" s="26"/>
      <c r="D496" s="16"/>
      <c r="E496" s="25"/>
      <c r="F496" s="25"/>
      <c r="G496" s="25"/>
      <c r="H496" s="26"/>
      <c r="I496" s="27" t="str">
        <f aca="false">IF(OR(C496="",H496=""),"",C496-H496)</f>
        <v/>
      </c>
      <c r="J496" s="8" t="str">
        <f aca="false">IF(C496="","",IF(H496="","WAITING",IF(ABS(C496-H496)&lt;0.005,"MATCHED","CHECK")))</f>
        <v/>
      </c>
      <c r="K496" s="27" t="str">
        <f aca="false">IF(OR(A496="",E496="",F496=""),"",SUMIFS('Sales Log'!$L$5:$L$1004,'Sales Log'!$B$5:$B$1004,A496,'Sales Log'!$A$5:$A$1004,"&gt;="&amp;E496,'Sales Log'!$A$5:$A$1004,"&lt;="&amp;F496,'Sales Log'!$R$5:$R$1004,IF(O496="EXAMPLE","EXAMPLE","&lt;&gt;EXAMPLE")))</f>
        <v/>
      </c>
      <c r="L496" s="16"/>
      <c r="M496" s="16"/>
      <c r="N496" s="16"/>
      <c r="O496" s="16"/>
    </row>
    <row r="497" customFormat="false" ht="15" hidden="false" customHeight="false" outlineLevel="0" collapsed="false">
      <c r="A497" s="16"/>
      <c r="B497" s="25"/>
      <c r="C497" s="26"/>
      <c r="D497" s="16"/>
      <c r="E497" s="25"/>
      <c r="F497" s="25"/>
      <c r="G497" s="25"/>
      <c r="H497" s="26"/>
      <c r="I497" s="27" t="str">
        <f aca="false">IF(OR(C497="",H497=""),"",C497-H497)</f>
        <v/>
      </c>
      <c r="J497" s="8" t="str">
        <f aca="false">IF(C497="","",IF(H497="","WAITING",IF(ABS(C497-H497)&lt;0.005,"MATCHED","CHECK")))</f>
        <v/>
      </c>
      <c r="K497" s="27" t="str">
        <f aca="false">IF(OR(A497="",E497="",F497=""),"",SUMIFS('Sales Log'!$L$5:$L$1004,'Sales Log'!$B$5:$B$1004,A497,'Sales Log'!$A$5:$A$1004,"&gt;="&amp;E497,'Sales Log'!$A$5:$A$1004,"&lt;="&amp;F497,'Sales Log'!$R$5:$R$1004,IF(O497="EXAMPLE","EXAMPLE","&lt;&gt;EXAMPLE")))</f>
        <v/>
      </c>
      <c r="L497" s="16"/>
      <c r="M497" s="16"/>
      <c r="N497" s="16"/>
      <c r="O497" s="16"/>
    </row>
    <row r="498" customFormat="false" ht="15" hidden="false" customHeight="false" outlineLevel="0" collapsed="false">
      <c r="A498" s="16"/>
      <c r="B498" s="25"/>
      <c r="C498" s="26"/>
      <c r="D498" s="16"/>
      <c r="E498" s="25"/>
      <c r="F498" s="25"/>
      <c r="G498" s="25"/>
      <c r="H498" s="26"/>
      <c r="I498" s="27" t="str">
        <f aca="false">IF(OR(C498="",H498=""),"",C498-H498)</f>
        <v/>
      </c>
      <c r="J498" s="8" t="str">
        <f aca="false">IF(C498="","",IF(H498="","WAITING",IF(ABS(C498-H498)&lt;0.005,"MATCHED","CHECK")))</f>
        <v/>
      </c>
      <c r="K498" s="27" t="str">
        <f aca="false">IF(OR(A498="",E498="",F498=""),"",SUMIFS('Sales Log'!$L$5:$L$1004,'Sales Log'!$B$5:$B$1004,A498,'Sales Log'!$A$5:$A$1004,"&gt;="&amp;E498,'Sales Log'!$A$5:$A$1004,"&lt;="&amp;F498,'Sales Log'!$R$5:$R$1004,IF(O498="EXAMPLE","EXAMPLE","&lt;&gt;EXAMPLE")))</f>
        <v/>
      </c>
      <c r="L498" s="16"/>
      <c r="M498" s="16"/>
      <c r="N498" s="16"/>
      <c r="O498" s="16"/>
    </row>
    <row r="499" customFormat="false" ht="15" hidden="false" customHeight="false" outlineLevel="0" collapsed="false">
      <c r="A499" s="16"/>
      <c r="B499" s="25"/>
      <c r="C499" s="26"/>
      <c r="D499" s="16"/>
      <c r="E499" s="25"/>
      <c r="F499" s="25"/>
      <c r="G499" s="25"/>
      <c r="H499" s="26"/>
      <c r="I499" s="27" t="str">
        <f aca="false">IF(OR(C499="",H499=""),"",C499-H499)</f>
        <v/>
      </c>
      <c r="J499" s="8" t="str">
        <f aca="false">IF(C499="","",IF(H499="","WAITING",IF(ABS(C499-H499)&lt;0.005,"MATCHED","CHECK")))</f>
        <v/>
      </c>
      <c r="K499" s="27" t="str">
        <f aca="false">IF(OR(A499="",E499="",F499=""),"",SUMIFS('Sales Log'!$L$5:$L$1004,'Sales Log'!$B$5:$B$1004,A499,'Sales Log'!$A$5:$A$1004,"&gt;="&amp;E499,'Sales Log'!$A$5:$A$1004,"&lt;="&amp;F499,'Sales Log'!$R$5:$R$1004,IF(O499="EXAMPLE","EXAMPLE","&lt;&gt;EXAMPLE")))</f>
        <v/>
      </c>
      <c r="L499" s="16"/>
      <c r="M499" s="16"/>
      <c r="N499" s="16"/>
      <c r="O499" s="16"/>
    </row>
    <row r="500" customFormat="false" ht="15" hidden="false" customHeight="false" outlineLevel="0" collapsed="false">
      <c r="A500" s="16"/>
      <c r="B500" s="25"/>
      <c r="C500" s="26"/>
      <c r="D500" s="16"/>
      <c r="E500" s="25"/>
      <c r="F500" s="25"/>
      <c r="G500" s="25"/>
      <c r="H500" s="26"/>
      <c r="I500" s="27" t="str">
        <f aca="false">IF(OR(C500="",H500=""),"",C500-H500)</f>
        <v/>
      </c>
      <c r="J500" s="8" t="str">
        <f aca="false">IF(C500="","",IF(H500="","WAITING",IF(ABS(C500-H500)&lt;0.005,"MATCHED","CHECK")))</f>
        <v/>
      </c>
      <c r="K500" s="27" t="str">
        <f aca="false">IF(OR(A500="",E500="",F500=""),"",SUMIFS('Sales Log'!$L$5:$L$1004,'Sales Log'!$B$5:$B$1004,A500,'Sales Log'!$A$5:$A$1004,"&gt;="&amp;E500,'Sales Log'!$A$5:$A$1004,"&lt;="&amp;F500,'Sales Log'!$R$5:$R$1004,IF(O500="EXAMPLE","EXAMPLE","&lt;&gt;EXAMPLE")))</f>
        <v/>
      </c>
      <c r="L500" s="16"/>
      <c r="M500" s="16"/>
      <c r="N500" s="16"/>
      <c r="O500" s="16"/>
    </row>
    <row r="501" customFormat="false" ht="15" hidden="false" customHeight="false" outlineLevel="0" collapsed="false">
      <c r="A501" s="16"/>
      <c r="B501" s="25"/>
      <c r="C501" s="26"/>
      <c r="D501" s="16"/>
      <c r="E501" s="25"/>
      <c r="F501" s="25"/>
      <c r="G501" s="25"/>
      <c r="H501" s="26"/>
      <c r="I501" s="27" t="str">
        <f aca="false">IF(OR(C501="",H501=""),"",C501-H501)</f>
        <v/>
      </c>
      <c r="J501" s="8" t="str">
        <f aca="false">IF(C501="","",IF(H501="","WAITING",IF(ABS(C501-H501)&lt;0.005,"MATCHED","CHECK")))</f>
        <v/>
      </c>
      <c r="K501" s="27" t="str">
        <f aca="false">IF(OR(A501="",E501="",F501=""),"",SUMIFS('Sales Log'!$L$5:$L$1004,'Sales Log'!$B$5:$B$1004,A501,'Sales Log'!$A$5:$A$1004,"&gt;="&amp;E501,'Sales Log'!$A$5:$A$1004,"&lt;="&amp;F501,'Sales Log'!$R$5:$R$1004,IF(O501="EXAMPLE","EXAMPLE","&lt;&gt;EXAMPLE")))</f>
        <v/>
      </c>
      <c r="L501" s="16"/>
      <c r="M501" s="16"/>
      <c r="N501" s="16"/>
      <c r="O501" s="16"/>
    </row>
    <row r="502" customFormat="false" ht="15" hidden="false" customHeight="false" outlineLevel="0" collapsed="false">
      <c r="A502" s="16"/>
      <c r="B502" s="25"/>
      <c r="C502" s="26"/>
      <c r="D502" s="16"/>
      <c r="E502" s="25"/>
      <c r="F502" s="25"/>
      <c r="G502" s="25"/>
      <c r="H502" s="26"/>
      <c r="I502" s="27" t="str">
        <f aca="false">IF(OR(C502="",H502=""),"",C502-H502)</f>
        <v/>
      </c>
      <c r="J502" s="8" t="str">
        <f aca="false">IF(C502="","",IF(H502="","WAITING",IF(ABS(C502-H502)&lt;0.005,"MATCHED","CHECK")))</f>
        <v/>
      </c>
      <c r="K502" s="27" t="str">
        <f aca="false">IF(OR(A502="",E502="",F502=""),"",SUMIFS('Sales Log'!$L$5:$L$1004,'Sales Log'!$B$5:$B$1004,A502,'Sales Log'!$A$5:$A$1004,"&gt;="&amp;E502,'Sales Log'!$A$5:$A$1004,"&lt;="&amp;F502,'Sales Log'!$R$5:$R$1004,IF(O502="EXAMPLE","EXAMPLE","&lt;&gt;EXAMPLE")))</f>
        <v/>
      </c>
      <c r="L502" s="16"/>
      <c r="M502" s="16"/>
      <c r="N502" s="16"/>
      <c r="O502" s="16"/>
    </row>
    <row r="503" customFormat="false" ht="15" hidden="false" customHeight="false" outlineLevel="0" collapsed="false">
      <c r="A503" s="16"/>
      <c r="B503" s="25"/>
      <c r="C503" s="26"/>
      <c r="D503" s="16"/>
      <c r="E503" s="25"/>
      <c r="F503" s="25"/>
      <c r="G503" s="25"/>
      <c r="H503" s="26"/>
      <c r="I503" s="27" t="str">
        <f aca="false">IF(OR(C503="",H503=""),"",C503-H503)</f>
        <v/>
      </c>
      <c r="J503" s="8" t="str">
        <f aca="false">IF(C503="","",IF(H503="","WAITING",IF(ABS(C503-H503)&lt;0.005,"MATCHED","CHECK")))</f>
        <v/>
      </c>
      <c r="K503" s="27" t="str">
        <f aca="false">IF(OR(A503="",E503="",F503=""),"",SUMIFS('Sales Log'!$L$5:$L$1004,'Sales Log'!$B$5:$B$1004,A503,'Sales Log'!$A$5:$A$1004,"&gt;="&amp;E503,'Sales Log'!$A$5:$A$1004,"&lt;="&amp;F503,'Sales Log'!$R$5:$R$1004,IF(O503="EXAMPLE","EXAMPLE","&lt;&gt;EXAMPLE")))</f>
        <v/>
      </c>
      <c r="L503" s="16"/>
      <c r="M503" s="16"/>
      <c r="N503" s="16"/>
      <c r="O503" s="16"/>
    </row>
    <row r="504" customFormat="false" ht="15" hidden="false" customHeight="false" outlineLevel="0" collapsed="false">
      <c r="A504" s="16"/>
      <c r="B504" s="25"/>
      <c r="C504" s="26"/>
      <c r="D504" s="16"/>
      <c r="E504" s="25"/>
      <c r="F504" s="25"/>
      <c r="G504" s="25"/>
      <c r="H504" s="26"/>
      <c r="I504" s="27" t="str">
        <f aca="false">IF(OR(C504="",H504=""),"",C504-H504)</f>
        <v/>
      </c>
      <c r="J504" s="8" t="str">
        <f aca="false">IF(C504="","",IF(H504="","WAITING",IF(ABS(C504-H504)&lt;0.005,"MATCHED","CHECK")))</f>
        <v/>
      </c>
      <c r="K504" s="27" t="str">
        <f aca="false">IF(OR(A504="",E504="",F504=""),"",SUMIFS('Sales Log'!$L$5:$L$1004,'Sales Log'!$B$5:$B$1004,A504,'Sales Log'!$A$5:$A$1004,"&gt;="&amp;E504,'Sales Log'!$A$5:$A$1004,"&lt;="&amp;F504,'Sales Log'!$R$5:$R$1004,IF(O504="EXAMPLE","EXAMPLE","&lt;&gt;EXAMPLE")))</f>
        <v/>
      </c>
      <c r="L504" s="16"/>
      <c r="M504" s="16"/>
      <c r="N504" s="16"/>
      <c r="O504" s="16"/>
    </row>
  </sheetData>
  <autoFilter ref="A4:O504"/>
  <mergeCells count="1">
    <mergeCell ref="A2:J2"/>
  </mergeCells>
  <conditionalFormatting sqref="J5:J504">
    <cfRule type="expression" priority="2" aboveAverage="0" equalAverage="0" bottom="0" percent="0" rank="0" text="" dxfId="9">
      <formula>$J5="MATCHED"</formula>
    </cfRule>
    <cfRule type="expression" priority="3" aboveAverage="0" equalAverage="0" bottom="0" percent="0" rank="0" text="" dxfId="10">
      <formula>$J5="CHECK"</formula>
    </cfRule>
    <cfRule type="expression" priority="4" aboveAverage="0" equalAverage="0" bottom="0" percent="0" rank="0" text="" dxfId="11">
      <formula>$J5="WAITING"</formula>
    </cfRule>
  </conditionalFormatting>
  <dataValidations count="2">
    <dataValidation allowBlank="true" error="Pick a value from the list." errorStyle="stop" errorTitle="Not on the list" operator="between" showDropDown="false" showErrorMessage="true" showInputMessage="false" sqref="A5:A504" type="list">
      <formula1>ChannelList</formula1>
      <formula2>0</formula2>
    </dataValidation>
    <dataValidation allowBlank="true" error="Pick a value from the list." errorStyle="stop" errorTitle="Not on the list" operator="between" showDropDown="false" showErrorMessage="true" showInputMessage="false" sqref="L5:L504"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940"/>
    <pageSetUpPr fitToPage="true"/>
  </sheetPr>
  <dimension ref="A1:N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13" min="2" style="0" width="11.5"/>
    <col collapsed="false" customWidth="true" hidden="false" outlineLevel="0" max="14" min="14" style="0" width="13"/>
  </cols>
  <sheetData>
    <row r="1" customFormat="false" ht="24" hidden="false" customHeight="true" outlineLevel="0" collapsed="false">
      <c r="A1" s="1" t="s">
        <v>40</v>
      </c>
    </row>
    <row r="2" customFormat="false" ht="42" hidden="false" customHeight="true" outlineLevel="0" collapsed="false">
      <c r="A2" s="11" t="s">
        <v>562</v>
      </c>
      <c r="B2" s="11"/>
      <c r="C2" s="11"/>
      <c r="D2" s="11"/>
      <c r="E2" s="11"/>
      <c r="F2" s="11"/>
      <c r="G2" s="11"/>
      <c r="H2" s="11"/>
      <c r="I2" s="11"/>
      <c r="J2" s="11"/>
      <c r="K2" s="11"/>
      <c r="L2" s="11"/>
      <c r="M2" s="11"/>
      <c r="N2" s="11"/>
    </row>
    <row r="3" customFormat="false" ht="15" hidden="false" customHeight="false" outlineLevel="0" collapsed="false">
      <c r="A3" s="9" t="s">
        <v>563</v>
      </c>
      <c r="B3" s="6" t="n">
        <v>2026</v>
      </c>
    </row>
    <row r="5" customFormat="false" ht="15" hidden="false" customHeight="false" outlineLevel="0" collapsed="false">
      <c r="A5" s="3" t="s">
        <v>564</v>
      </c>
    </row>
    <row r="6" customFormat="false" ht="21.75" hidden="false" customHeight="true" outlineLevel="0" collapsed="false">
      <c r="A6" s="12" t="s">
        <v>349</v>
      </c>
      <c r="B6" s="29" t="n">
        <f aca="false">DATE($B$3,1,1)</f>
        <v>46023</v>
      </c>
      <c r="C6" s="29" t="n">
        <f aca="false">DATE($B$3,2,1)</f>
        <v>46054</v>
      </c>
      <c r="D6" s="29" t="n">
        <f aca="false">DATE($B$3,3,1)</f>
        <v>46082</v>
      </c>
      <c r="E6" s="29" t="n">
        <f aca="false">DATE($B$3,4,1)</f>
        <v>46113</v>
      </c>
      <c r="F6" s="29" t="n">
        <f aca="false">DATE($B$3,5,1)</f>
        <v>46143</v>
      </c>
      <c r="G6" s="29" t="n">
        <f aca="false">DATE($B$3,6,1)</f>
        <v>46174</v>
      </c>
      <c r="H6" s="29" t="n">
        <f aca="false">DATE($B$3,7,1)</f>
        <v>46204</v>
      </c>
      <c r="I6" s="29" t="n">
        <f aca="false">DATE($B$3,8,1)</f>
        <v>46235</v>
      </c>
      <c r="J6" s="29" t="n">
        <f aca="false">DATE($B$3,9,1)</f>
        <v>46266</v>
      </c>
      <c r="K6" s="29" t="n">
        <f aca="false">DATE($B$3,10,1)</f>
        <v>46296</v>
      </c>
      <c r="L6" s="29" t="n">
        <f aca="false">DATE($B$3,11,1)</f>
        <v>46327</v>
      </c>
      <c r="M6" s="29" t="n">
        <f aca="false">DATE($B$3,12,1)</f>
        <v>46357</v>
      </c>
      <c r="N6" s="12" t="s">
        <v>565</v>
      </c>
    </row>
    <row r="7" customFormat="false" ht="15" hidden="false" customHeight="false" outlineLevel="0" collapsed="false">
      <c r="A7" s="30" t="str">
        <f aca="false">'Chart of Accounts'!$A$66</f>
        <v>Amazon KDP</v>
      </c>
      <c r="B7" s="26" t="n">
        <f aca="false">SUMIFS('Sales Log'!$G$5:$G$1004,'Sales Log'!$A$5:$A$1004,"&gt;="&amp;B$6,'Sales Log'!$A$5:$A$1004,"&lt;"&amp;DATE(YEAR(B$6),MONTH(B$6)+1,1),'Sales Log'!$B$5:$B$1004,$A7,'Sales Log'!$R$5:$R$1004,"&lt;&gt;EXAMPLE")</f>
        <v>0</v>
      </c>
      <c r="C7" s="26" t="n">
        <f aca="false">SUMIFS('Sales Log'!$G$5:$G$1004,'Sales Log'!$A$5:$A$1004,"&gt;="&amp;C$6,'Sales Log'!$A$5:$A$1004,"&lt;"&amp;DATE(YEAR(C$6),MONTH(C$6)+1,1),'Sales Log'!$B$5:$B$1004,$A7,'Sales Log'!$R$5:$R$1004,"&lt;&gt;EXAMPLE")</f>
        <v>0</v>
      </c>
      <c r="D7" s="26" t="n">
        <f aca="false">SUMIFS('Sales Log'!$G$5:$G$1004,'Sales Log'!$A$5:$A$1004,"&gt;="&amp;D$6,'Sales Log'!$A$5:$A$1004,"&lt;"&amp;DATE(YEAR(D$6),MONTH(D$6)+1,1),'Sales Log'!$B$5:$B$1004,$A7,'Sales Log'!$R$5:$R$1004,"&lt;&gt;EXAMPLE")</f>
        <v>0</v>
      </c>
      <c r="E7" s="26" t="n">
        <f aca="false">SUMIFS('Sales Log'!$G$5:$G$1004,'Sales Log'!$A$5:$A$1004,"&gt;="&amp;E$6,'Sales Log'!$A$5:$A$1004,"&lt;"&amp;DATE(YEAR(E$6),MONTH(E$6)+1,1),'Sales Log'!$B$5:$B$1004,$A7,'Sales Log'!$R$5:$R$1004,"&lt;&gt;EXAMPLE")</f>
        <v>0</v>
      </c>
      <c r="F7" s="26" t="n">
        <f aca="false">SUMIFS('Sales Log'!$G$5:$G$1004,'Sales Log'!$A$5:$A$1004,"&gt;="&amp;F$6,'Sales Log'!$A$5:$A$1004,"&lt;"&amp;DATE(YEAR(F$6),MONTH(F$6)+1,1),'Sales Log'!$B$5:$B$1004,$A7,'Sales Log'!$R$5:$R$1004,"&lt;&gt;EXAMPLE")</f>
        <v>0</v>
      </c>
      <c r="G7" s="26" t="n">
        <f aca="false">SUMIFS('Sales Log'!$G$5:$G$1004,'Sales Log'!$A$5:$A$1004,"&gt;="&amp;G$6,'Sales Log'!$A$5:$A$1004,"&lt;"&amp;DATE(YEAR(G$6),MONTH(G$6)+1,1),'Sales Log'!$B$5:$B$1004,$A7,'Sales Log'!$R$5:$R$1004,"&lt;&gt;EXAMPLE")</f>
        <v>0</v>
      </c>
      <c r="H7" s="26" t="n">
        <f aca="false">SUMIFS('Sales Log'!$G$5:$G$1004,'Sales Log'!$A$5:$A$1004,"&gt;="&amp;H$6,'Sales Log'!$A$5:$A$1004,"&lt;"&amp;DATE(YEAR(H$6),MONTH(H$6)+1,1),'Sales Log'!$B$5:$B$1004,$A7,'Sales Log'!$R$5:$R$1004,"&lt;&gt;EXAMPLE")</f>
        <v>0</v>
      </c>
      <c r="I7" s="26" t="n">
        <f aca="false">SUMIFS('Sales Log'!$G$5:$G$1004,'Sales Log'!$A$5:$A$1004,"&gt;="&amp;I$6,'Sales Log'!$A$5:$A$1004,"&lt;"&amp;DATE(YEAR(I$6),MONTH(I$6)+1,1),'Sales Log'!$B$5:$B$1004,$A7,'Sales Log'!$R$5:$R$1004,"&lt;&gt;EXAMPLE")</f>
        <v>0</v>
      </c>
      <c r="J7" s="26" t="n">
        <f aca="false">SUMIFS('Sales Log'!$G$5:$G$1004,'Sales Log'!$A$5:$A$1004,"&gt;="&amp;J$6,'Sales Log'!$A$5:$A$1004,"&lt;"&amp;DATE(YEAR(J$6),MONTH(J$6)+1,1),'Sales Log'!$B$5:$B$1004,$A7,'Sales Log'!$R$5:$R$1004,"&lt;&gt;EXAMPLE")</f>
        <v>0</v>
      </c>
      <c r="K7" s="26" t="n">
        <f aca="false">SUMIFS('Sales Log'!$G$5:$G$1004,'Sales Log'!$A$5:$A$1004,"&gt;="&amp;K$6,'Sales Log'!$A$5:$A$1004,"&lt;"&amp;DATE(YEAR(K$6),MONTH(K$6)+1,1),'Sales Log'!$B$5:$B$1004,$A7,'Sales Log'!$R$5:$R$1004,"&lt;&gt;EXAMPLE")</f>
        <v>0</v>
      </c>
      <c r="L7" s="26" t="n">
        <f aca="false">SUMIFS('Sales Log'!$G$5:$G$1004,'Sales Log'!$A$5:$A$1004,"&gt;="&amp;L$6,'Sales Log'!$A$5:$A$1004,"&lt;"&amp;DATE(YEAR(L$6),MONTH(L$6)+1,1),'Sales Log'!$B$5:$B$1004,$A7,'Sales Log'!$R$5:$R$1004,"&lt;&gt;EXAMPLE")</f>
        <v>0</v>
      </c>
      <c r="M7" s="26" t="n">
        <f aca="false">SUMIFS('Sales Log'!$G$5:$G$1004,'Sales Log'!$A$5:$A$1004,"&gt;="&amp;M$6,'Sales Log'!$A$5:$A$1004,"&lt;"&amp;DATE(YEAR(M$6),MONTH(M$6)+1,1),'Sales Log'!$B$5:$B$1004,$A7,'Sales Log'!$R$5:$R$1004,"&lt;&gt;EXAMPLE")</f>
        <v>0</v>
      </c>
      <c r="N7" s="31" t="n">
        <f aca="false">SUM(B7:M7)</f>
        <v>0</v>
      </c>
    </row>
    <row r="8" customFormat="false" ht="15" hidden="false" customHeight="false" outlineLevel="0" collapsed="false">
      <c r="A8" s="30" t="str">
        <f aca="false">'Chart of Accounts'!$A$67</f>
        <v>IngramSpark</v>
      </c>
      <c r="B8" s="26" t="n">
        <f aca="false">SUMIFS('Sales Log'!$G$5:$G$1004,'Sales Log'!$A$5:$A$1004,"&gt;="&amp;B$6,'Sales Log'!$A$5:$A$1004,"&lt;"&amp;DATE(YEAR(B$6),MONTH(B$6)+1,1),'Sales Log'!$B$5:$B$1004,$A8,'Sales Log'!$R$5:$R$1004,"&lt;&gt;EXAMPLE")</f>
        <v>0</v>
      </c>
      <c r="C8" s="26" t="n">
        <f aca="false">SUMIFS('Sales Log'!$G$5:$G$1004,'Sales Log'!$A$5:$A$1004,"&gt;="&amp;C$6,'Sales Log'!$A$5:$A$1004,"&lt;"&amp;DATE(YEAR(C$6),MONTH(C$6)+1,1),'Sales Log'!$B$5:$B$1004,$A8,'Sales Log'!$R$5:$R$1004,"&lt;&gt;EXAMPLE")</f>
        <v>0</v>
      </c>
      <c r="D8" s="26" t="n">
        <f aca="false">SUMIFS('Sales Log'!$G$5:$G$1004,'Sales Log'!$A$5:$A$1004,"&gt;="&amp;D$6,'Sales Log'!$A$5:$A$1004,"&lt;"&amp;DATE(YEAR(D$6),MONTH(D$6)+1,1),'Sales Log'!$B$5:$B$1004,$A8,'Sales Log'!$R$5:$R$1004,"&lt;&gt;EXAMPLE")</f>
        <v>0</v>
      </c>
      <c r="E8" s="26" t="n">
        <f aca="false">SUMIFS('Sales Log'!$G$5:$G$1004,'Sales Log'!$A$5:$A$1004,"&gt;="&amp;E$6,'Sales Log'!$A$5:$A$1004,"&lt;"&amp;DATE(YEAR(E$6),MONTH(E$6)+1,1),'Sales Log'!$B$5:$B$1004,$A8,'Sales Log'!$R$5:$R$1004,"&lt;&gt;EXAMPLE")</f>
        <v>0</v>
      </c>
      <c r="F8" s="26" t="n">
        <f aca="false">SUMIFS('Sales Log'!$G$5:$G$1004,'Sales Log'!$A$5:$A$1004,"&gt;="&amp;F$6,'Sales Log'!$A$5:$A$1004,"&lt;"&amp;DATE(YEAR(F$6),MONTH(F$6)+1,1),'Sales Log'!$B$5:$B$1004,$A8,'Sales Log'!$R$5:$R$1004,"&lt;&gt;EXAMPLE")</f>
        <v>0</v>
      </c>
      <c r="G8" s="26" t="n">
        <f aca="false">SUMIFS('Sales Log'!$G$5:$G$1004,'Sales Log'!$A$5:$A$1004,"&gt;="&amp;G$6,'Sales Log'!$A$5:$A$1004,"&lt;"&amp;DATE(YEAR(G$6),MONTH(G$6)+1,1),'Sales Log'!$B$5:$B$1004,$A8,'Sales Log'!$R$5:$R$1004,"&lt;&gt;EXAMPLE")</f>
        <v>0</v>
      </c>
      <c r="H8" s="26" t="n">
        <f aca="false">SUMIFS('Sales Log'!$G$5:$G$1004,'Sales Log'!$A$5:$A$1004,"&gt;="&amp;H$6,'Sales Log'!$A$5:$A$1004,"&lt;"&amp;DATE(YEAR(H$6),MONTH(H$6)+1,1),'Sales Log'!$B$5:$B$1004,$A8,'Sales Log'!$R$5:$R$1004,"&lt;&gt;EXAMPLE")</f>
        <v>0</v>
      </c>
      <c r="I8" s="26" t="n">
        <f aca="false">SUMIFS('Sales Log'!$G$5:$G$1004,'Sales Log'!$A$5:$A$1004,"&gt;="&amp;I$6,'Sales Log'!$A$5:$A$1004,"&lt;"&amp;DATE(YEAR(I$6),MONTH(I$6)+1,1),'Sales Log'!$B$5:$B$1004,$A8,'Sales Log'!$R$5:$R$1004,"&lt;&gt;EXAMPLE")</f>
        <v>0</v>
      </c>
      <c r="J8" s="26" t="n">
        <f aca="false">SUMIFS('Sales Log'!$G$5:$G$1004,'Sales Log'!$A$5:$A$1004,"&gt;="&amp;J$6,'Sales Log'!$A$5:$A$1004,"&lt;"&amp;DATE(YEAR(J$6),MONTH(J$6)+1,1),'Sales Log'!$B$5:$B$1004,$A8,'Sales Log'!$R$5:$R$1004,"&lt;&gt;EXAMPLE")</f>
        <v>0</v>
      </c>
      <c r="K8" s="26" t="n">
        <f aca="false">SUMIFS('Sales Log'!$G$5:$G$1004,'Sales Log'!$A$5:$A$1004,"&gt;="&amp;K$6,'Sales Log'!$A$5:$A$1004,"&lt;"&amp;DATE(YEAR(K$6),MONTH(K$6)+1,1),'Sales Log'!$B$5:$B$1004,$A8,'Sales Log'!$R$5:$R$1004,"&lt;&gt;EXAMPLE")</f>
        <v>0</v>
      </c>
      <c r="L8" s="26" t="n">
        <f aca="false">SUMIFS('Sales Log'!$G$5:$G$1004,'Sales Log'!$A$5:$A$1004,"&gt;="&amp;L$6,'Sales Log'!$A$5:$A$1004,"&lt;"&amp;DATE(YEAR(L$6),MONTH(L$6)+1,1),'Sales Log'!$B$5:$B$1004,$A8,'Sales Log'!$R$5:$R$1004,"&lt;&gt;EXAMPLE")</f>
        <v>0</v>
      </c>
      <c r="M8" s="26" t="n">
        <f aca="false">SUMIFS('Sales Log'!$G$5:$G$1004,'Sales Log'!$A$5:$A$1004,"&gt;="&amp;M$6,'Sales Log'!$A$5:$A$1004,"&lt;"&amp;DATE(YEAR(M$6),MONTH(M$6)+1,1),'Sales Log'!$B$5:$B$1004,$A8,'Sales Log'!$R$5:$R$1004,"&lt;&gt;EXAMPLE")</f>
        <v>0</v>
      </c>
      <c r="N8" s="31" t="n">
        <f aca="false">SUM(B8:M8)</f>
        <v>0</v>
      </c>
    </row>
    <row r="9" customFormat="false" ht="15" hidden="false" customHeight="false" outlineLevel="0" collapsed="false">
      <c r="A9" s="30" t="str">
        <f aca="false">'Chart of Accounts'!$A$68</f>
        <v>Etsy</v>
      </c>
      <c r="B9" s="26" t="n">
        <f aca="false">SUMIFS('Sales Log'!$G$5:$G$1004,'Sales Log'!$A$5:$A$1004,"&gt;="&amp;B$6,'Sales Log'!$A$5:$A$1004,"&lt;"&amp;DATE(YEAR(B$6),MONTH(B$6)+1,1),'Sales Log'!$B$5:$B$1004,$A9,'Sales Log'!$R$5:$R$1004,"&lt;&gt;EXAMPLE")</f>
        <v>0</v>
      </c>
      <c r="C9" s="26" t="n">
        <f aca="false">SUMIFS('Sales Log'!$G$5:$G$1004,'Sales Log'!$A$5:$A$1004,"&gt;="&amp;C$6,'Sales Log'!$A$5:$A$1004,"&lt;"&amp;DATE(YEAR(C$6),MONTH(C$6)+1,1),'Sales Log'!$B$5:$B$1004,$A9,'Sales Log'!$R$5:$R$1004,"&lt;&gt;EXAMPLE")</f>
        <v>0</v>
      </c>
      <c r="D9" s="26" t="n">
        <f aca="false">SUMIFS('Sales Log'!$G$5:$G$1004,'Sales Log'!$A$5:$A$1004,"&gt;="&amp;D$6,'Sales Log'!$A$5:$A$1004,"&lt;"&amp;DATE(YEAR(D$6),MONTH(D$6)+1,1),'Sales Log'!$B$5:$B$1004,$A9,'Sales Log'!$R$5:$R$1004,"&lt;&gt;EXAMPLE")</f>
        <v>0</v>
      </c>
      <c r="E9" s="26" t="n">
        <f aca="false">SUMIFS('Sales Log'!$G$5:$G$1004,'Sales Log'!$A$5:$A$1004,"&gt;="&amp;E$6,'Sales Log'!$A$5:$A$1004,"&lt;"&amp;DATE(YEAR(E$6),MONTH(E$6)+1,1),'Sales Log'!$B$5:$B$1004,$A9,'Sales Log'!$R$5:$R$1004,"&lt;&gt;EXAMPLE")</f>
        <v>0</v>
      </c>
      <c r="F9" s="26" t="n">
        <f aca="false">SUMIFS('Sales Log'!$G$5:$G$1004,'Sales Log'!$A$5:$A$1004,"&gt;="&amp;F$6,'Sales Log'!$A$5:$A$1004,"&lt;"&amp;DATE(YEAR(F$6),MONTH(F$6)+1,1),'Sales Log'!$B$5:$B$1004,$A9,'Sales Log'!$R$5:$R$1004,"&lt;&gt;EXAMPLE")</f>
        <v>0</v>
      </c>
      <c r="G9" s="26" t="n">
        <f aca="false">SUMIFS('Sales Log'!$G$5:$G$1004,'Sales Log'!$A$5:$A$1004,"&gt;="&amp;G$6,'Sales Log'!$A$5:$A$1004,"&lt;"&amp;DATE(YEAR(G$6),MONTH(G$6)+1,1),'Sales Log'!$B$5:$B$1004,$A9,'Sales Log'!$R$5:$R$1004,"&lt;&gt;EXAMPLE")</f>
        <v>0</v>
      </c>
      <c r="H9" s="26" t="n">
        <f aca="false">SUMIFS('Sales Log'!$G$5:$G$1004,'Sales Log'!$A$5:$A$1004,"&gt;="&amp;H$6,'Sales Log'!$A$5:$A$1004,"&lt;"&amp;DATE(YEAR(H$6),MONTH(H$6)+1,1),'Sales Log'!$B$5:$B$1004,$A9,'Sales Log'!$R$5:$R$1004,"&lt;&gt;EXAMPLE")</f>
        <v>0</v>
      </c>
      <c r="I9" s="26" t="n">
        <f aca="false">SUMIFS('Sales Log'!$G$5:$G$1004,'Sales Log'!$A$5:$A$1004,"&gt;="&amp;I$6,'Sales Log'!$A$5:$A$1004,"&lt;"&amp;DATE(YEAR(I$6),MONTH(I$6)+1,1),'Sales Log'!$B$5:$B$1004,$A9,'Sales Log'!$R$5:$R$1004,"&lt;&gt;EXAMPLE")</f>
        <v>0</v>
      </c>
      <c r="J9" s="26" t="n">
        <f aca="false">SUMIFS('Sales Log'!$G$5:$G$1004,'Sales Log'!$A$5:$A$1004,"&gt;="&amp;J$6,'Sales Log'!$A$5:$A$1004,"&lt;"&amp;DATE(YEAR(J$6),MONTH(J$6)+1,1),'Sales Log'!$B$5:$B$1004,$A9,'Sales Log'!$R$5:$R$1004,"&lt;&gt;EXAMPLE")</f>
        <v>0</v>
      </c>
      <c r="K9" s="26" t="n">
        <f aca="false">SUMIFS('Sales Log'!$G$5:$G$1004,'Sales Log'!$A$5:$A$1004,"&gt;="&amp;K$6,'Sales Log'!$A$5:$A$1004,"&lt;"&amp;DATE(YEAR(K$6),MONTH(K$6)+1,1),'Sales Log'!$B$5:$B$1004,$A9,'Sales Log'!$R$5:$R$1004,"&lt;&gt;EXAMPLE")</f>
        <v>0</v>
      </c>
      <c r="L9" s="26" t="n">
        <f aca="false">SUMIFS('Sales Log'!$G$5:$G$1004,'Sales Log'!$A$5:$A$1004,"&gt;="&amp;L$6,'Sales Log'!$A$5:$A$1004,"&lt;"&amp;DATE(YEAR(L$6),MONTH(L$6)+1,1),'Sales Log'!$B$5:$B$1004,$A9,'Sales Log'!$R$5:$R$1004,"&lt;&gt;EXAMPLE")</f>
        <v>0</v>
      </c>
      <c r="M9" s="26" t="n">
        <f aca="false">SUMIFS('Sales Log'!$G$5:$G$1004,'Sales Log'!$A$5:$A$1004,"&gt;="&amp;M$6,'Sales Log'!$A$5:$A$1004,"&lt;"&amp;DATE(YEAR(M$6),MONTH(M$6)+1,1),'Sales Log'!$B$5:$B$1004,$A9,'Sales Log'!$R$5:$R$1004,"&lt;&gt;EXAMPLE")</f>
        <v>0</v>
      </c>
      <c r="N9" s="31" t="n">
        <f aca="false">SUM(B9:M9)</f>
        <v>0</v>
      </c>
    </row>
    <row r="10" customFormat="false" ht="15" hidden="false" customHeight="false" outlineLevel="0" collapsed="false">
      <c r="A10" s="30" t="str">
        <f aca="false">'Chart of Accounts'!$A$69</f>
        <v>Teachers Pay Teachers</v>
      </c>
      <c r="B10" s="26" t="n">
        <f aca="false">SUMIFS('Sales Log'!$G$5:$G$1004,'Sales Log'!$A$5:$A$1004,"&gt;="&amp;B$6,'Sales Log'!$A$5:$A$1004,"&lt;"&amp;DATE(YEAR(B$6),MONTH(B$6)+1,1),'Sales Log'!$B$5:$B$1004,$A10,'Sales Log'!$R$5:$R$1004,"&lt;&gt;EXAMPLE")</f>
        <v>0</v>
      </c>
      <c r="C10" s="26" t="n">
        <f aca="false">SUMIFS('Sales Log'!$G$5:$G$1004,'Sales Log'!$A$5:$A$1004,"&gt;="&amp;C$6,'Sales Log'!$A$5:$A$1004,"&lt;"&amp;DATE(YEAR(C$6),MONTH(C$6)+1,1),'Sales Log'!$B$5:$B$1004,$A10,'Sales Log'!$R$5:$R$1004,"&lt;&gt;EXAMPLE")</f>
        <v>0</v>
      </c>
      <c r="D10" s="26" t="n">
        <f aca="false">SUMIFS('Sales Log'!$G$5:$G$1004,'Sales Log'!$A$5:$A$1004,"&gt;="&amp;D$6,'Sales Log'!$A$5:$A$1004,"&lt;"&amp;DATE(YEAR(D$6),MONTH(D$6)+1,1),'Sales Log'!$B$5:$B$1004,$A10,'Sales Log'!$R$5:$R$1004,"&lt;&gt;EXAMPLE")</f>
        <v>0</v>
      </c>
      <c r="E10" s="26" t="n">
        <f aca="false">SUMIFS('Sales Log'!$G$5:$G$1004,'Sales Log'!$A$5:$A$1004,"&gt;="&amp;E$6,'Sales Log'!$A$5:$A$1004,"&lt;"&amp;DATE(YEAR(E$6),MONTH(E$6)+1,1),'Sales Log'!$B$5:$B$1004,$A10,'Sales Log'!$R$5:$R$1004,"&lt;&gt;EXAMPLE")</f>
        <v>0</v>
      </c>
      <c r="F10" s="26" t="n">
        <f aca="false">SUMIFS('Sales Log'!$G$5:$G$1004,'Sales Log'!$A$5:$A$1004,"&gt;="&amp;F$6,'Sales Log'!$A$5:$A$1004,"&lt;"&amp;DATE(YEAR(F$6),MONTH(F$6)+1,1),'Sales Log'!$B$5:$B$1004,$A10,'Sales Log'!$R$5:$R$1004,"&lt;&gt;EXAMPLE")</f>
        <v>0</v>
      </c>
      <c r="G10" s="26" t="n">
        <f aca="false">SUMIFS('Sales Log'!$G$5:$G$1004,'Sales Log'!$A$5:$A$1004,"&gt;="&amp;G$6,'Sales Log'!$A$5:$A$1004,"&lt;"&amp;DATE(YEAR(G$6),MONTH(G$6)+1,1),'Sales Log'!$B$5:$B$1004,$A10,'Sales Log'!$R$5:$R$1004,"&lt;&gt;EXAMPLE")</f>
        <v>0</v>
      </c>
      <c r="H10" s="26" t="n">
        <f aca="false">SUMIFS('Sales Log'!$G$5:$G$1004,'Sales Log'!$A$5:$A$1004,"&gt;="&amp;H$6,'Sales Log'!$A$5:$A$1004,"&lt;"&amp;DATE(YEAR(H$6),MONTH(H$6)+1,1),'Sales Log'!$B$5:$B$1004,$A10,'Sales Log'!$R$5:$R$1004,"&lt;&gt;EXAMPLE")</f>
        <v>0</v>
      </c>
      <c r="I10" s="26" t="n">
        <f aca="false">SUMIFS('Sales Log'!$G$5:$G$1004,'Sales Log'!$A$5:$A$1004,"&gt;="&amp;I$6,'Sales Log'!$A$5:$A$1004,"&lt;"&amp;DATE(YEAR(I$6),MONTH(I$6)+1,1),'Sales Log'!$B$5:$B$1004,$A10,'Sales Log'!$R$5:$R$1004,"&lt;&gt;EXAMPLE")</f>
        <v>0</v>
      </c>
      <c r="J10" s="26" t="n">
        <f aca="false">SUMIFS('Sales Log'!$G$5:$G$1004,'Sales Log'!$A$5:$A$1004,"&gt;="&amp;J$6,'Sales Log'!$A$5:$A$1004,"&lt;"&amp;DATE(YEAR(J$6),MONTH(J$6)+1,1),'Sales Log'!$B$5:$B$1004,$A10,'Sales Log'!$R$5:$R$1004,"&lt;&gt;EXAMPLE")</f>
        <v>0</v>
      </c>
      <c r="K10" s="26" t="n">
        <f aca="false">SUMIFS('Sales Log'!$G$5:$G$1004,'Sales Log'!$A$5:$A$1004,"&gt;="&amp;K$6,'Sales Log'!$A$5:$A$1004,"&lt;"&amp;DATE(YEAR(K$6),MONTH(K$6)+1,1),'Sales Log'!$B$5:$B$1004,$A10,'Sales Log'!$R$5:$R$1004,"&lt;&gt;EXAMPLE")</f>
        <v>0</v>
      </c>
      <c r="L10" s="26" t="n">
        <f aca="false">SUMIFS('Sales Log'!$G$5:$G$1004,'Sales Log'!$A$5:$A$1004,"&gt;="&amp;L$6,'Sales Log'!$A$5:$A$1004,"&lt;"&amp;DATE(YEAR(L$6),MONTH(L$6)+1,1),'Sales Log'!$B$5:$B$1004,$A10,'Sales Log'!$R$5:$R$1004,"&lt;&gt;EXAMPLE")</f>
        <v>0</v>
      </c>
      <c r="M10" s="26" t="n">
        <f aca="false">SUMIFS('Sales Log'!$G$5:$G$1004,'Sales Log'!$A$5:$A$1004,"&gt;="&amp;M$6,'Sales Log'!$A$5:$A$1004,"&lt;"&amp;DATE(YEAR(M$6),MONTH(M$6)+1,1),'Sales Log'!$B$5:$B$1004,$A10,'Sales Log'!$R$5:$R$1004,"&lt;&gt;EXAMPLE")</f>
        <v>0</v>
      </c>
      <c r="N10" s="31" t="n">
        <f aca="false">SUM(B10:M10)</f>
        <v>0</v>
      </c>
    </row>
    <row r="11" customFormat="false" ht="15" hidden="false" customHeight="false" outlineLevel="0" collapsed="false">
      <c r="A11" s="30" t="str">
        <f aca="false">'Chart of Accounts'!$A$70</f>
        <v>TikTok Shop</v>
      </c>
      <c r="B11" s="26" t="n">
        <f aca="false">SUMIFS('Sales Log'!$G$5:$G$1004,'Sales Log'!$A$5:$A$1004,"&gt;="&amp;B$6,'Sales Log'!$A$5:$A$1004,"&lt;"&amp;DATE(YEAR(B$6),MONTH(B$6)+1,1),'Sales Log'!$B$5:$B$1004,$A11,'Sales Log'!$R$5:$R$1004,"&lt;&gt;EXAMPLE")</f>
        <v>0</v>
      </c>
      <c r="C11" s="26" t="n">
        <f aca="false">SUMIFS('Sales Log'!$G$5:$G$1004,'Sales Log'!$A$5:$A$1004,"&gt;="&amp;C$6,'Sales Log'!$A$5:$A$1004,"&lt;"&amp;DATE(YEAR(C$6),MONTH(C$6)+1,1),'Sales Log'!$B$5:$B$1004,$A11,'Sales Log'!$R$5:$R$1004,"&lt;&gt;EXAMPLE")</f>
        <v>0</v>
      </c>
      <c r="D11" s="26" t="n">
        <f aca="false">SUMIFS('Sales Log'!$G$5:$G$1004,'Sales Log'!$A$5:$A$1004,"&gt;="&amp;D$6,'Sales Log'!$A$5:$A$1004,"&lt;"&amp;DATE(YEAR(D$6),MONTH(D$6)+1,1),'Sales Log'!$B$5:$B$1004,$A11,'Sales Log'!$R$5:$R$1004,"&lt;&gt;EXAMPLE")</f>
        <v>0</v>
      </c>
      <c r="E11" s="26" t="n">
        <f aca="false">SUMIFS('Sales Log'!$G$5:$G$1004,'Sales Log'!$A$5:$A$1004,"&gt;="&amp;E$6,'Sales Log'!$A$5:$A$1004,"&lt;"&amp;DATE(YEAR(E$6),MONTH(E$6)+1,1),'Sales Log'!$B$5:$B$1004,$A11,'Sales Log'!$R$5:$R$1004,"&lt;&gt;EXAMPLE")</f>
        <v>0</v>
      </c>
      <c r="F11" s="26" t="n">
        <f aca="false">SUMIFS('Sales Log'!$G$5:$G$1004,'Sales Log'!$A$5:$A$1004,"&gt;="&amp;F$6,'Sales Log'!$A$5:$A$1004,"&lt;"&amp;DATE(YEAR(F$6),MONTH(F$6)+1,1),'Sales Log'!$B$5:$B$1004,$A11,'Sales Log'!$R$5:$R$1004,"&lt;&gt;EXAMPLE")</f>
        <v>0</v>
      </c>
      <c r="G11" s="26" t="n">
        <f aca="false">SUMIFS('Sales Log'!$G$5:$G$1004,'Sales Log'!$A$5:$A$1004,"&gt;="&amp;G$6,'Sales Log'!$A$5:$A$1004,"&lt;"&amp;DATE(YEAR(G$6),MONTH(G$6)+1,1),'Sales Log'!$B$5:$B$1004,$A11,'Sales Log'!$R$5:$R$1004,"&lt;&gt;EXAMPLE")</f>
        <v>0</v>
      </c>
      <c r="H11" s="26" t="n">
        <f aca="false">SUMIFS('Sales Log'!$G$5:$G$1004,'Sales Log'!$A$5:$A$1004,"&gt;="&amp;H$6,'Sales Log'!$A$5:$A$1004,"&lt;"&amp;DATE(YEAR(H$6),MONTH(H$6)+1,1),'Sales Log'!$B$5:$B$1004,$A11,'Sales Log'!$R$5:$R$1004,"&lt;&gt;EXAMPLE")</f>
        <v>0</v>
      </c>
      <c r="I11" s="26" t="n">
        <f aca="false">SUMIFS('Sales Log'!$G$5:$G$1004,'Sales Log'!$A$5:$A$1004,"&gt;="&amp;I$6,'Sales Log'!$A$5:$A$1004,"&lt;"&amp;DATE(YEAR(I$6),MONTH(I$6)+1,1),'Sales Log'!$B$5:$B$1004,$A11,'Sales Log'!$R$5:$R$1004,"&lt;&gt;EXAMPLE")</f>
        <v>0</v>
      </c>
      <c r="J11" s="26" t="n">
        <f aca="false">SUMIFS('Sales Log'!$G$5:$G$1004,'Sales Log'!$A$5:$A$1004,"&gt;="&amp;J$6,'Sales Log'!$A$5:$A$1004,"&lt;"&amp;DATE(YEAR(J$6),MONTH(J$6)+1,1),'Sales Log'!$B$5:$B$1004,$A11,'Sales Log'!$R$5:$R$1004,"&lt;&gt;EXAMPLE")</f>
        <v>0</v>
      </c>
      <c r="K11" s="26" t="n">
        <f aca="false">SUMIFS('Sales Log'!$G$5:$G$1004,'Sales Log'!$A$5:$A$1004,"&gt;="&amp;K$6,'Sales Log'!$A$5:$A$1004,"&lt;"&amp;DATE(YEAR(K$6),MONTH(K$6)+1,1),'Sales Log'!$B$5:$B$1004,$A11,'Sales Log'!$R$5:$R$1004,"&lt;&gt;EXAMPLE")</f>
        <v>0</v>
      </c>
      <c r="L11" s="26" t="n">
        <f aca="false">SUMIFS('Sales Log'!$G$5:$G$1004,'Sales Log'!$A$5:$A$1004,"&gt;="&amp;L$6,'Sales Log'!$A$5:$A$1004,"&lt;"&amp;DATE(YEAR(L$6),MONTH(L$6)+1,1),'Sales Log'!$B$5:$B$1004,$A11,'Sales Log'!$R$5:$R$1004,"&lt;&gt;EXAMPLE")</f>
        <v>0</v>
      </c>
      <c r="M11" s="26" t="n">
        <f aca="false">SUMIFS('Sales Log'!$G$5:$G$1004,'Sales Log'!$A$5:$A$1004,"&gt;="&amp;M$6,'Sales Log'!$A$5:$A$1004,"&lt;"&amp;DATE(YEAR(M$6),MONTH(M$6)+1,1),'Sales Log'!$B$5:$B$1004,$A11,'Sales Log'!$R$5:$R$1004,"&lt;&gt;EXAMPLE")</f>
        <v>0</v>
      </c>
      <c r="N11" s="31" t="n">
        <f aca="false">SUM(B11:M11)</f>
        <v>0</v>
      </c>
    </row>
    <row r="12" customFormat="false" ht="15" hidden="false" customHeight="false" outlineLevel="0" collapsed="false">
      <c r="A12" s="30" t="str">
        <f aca="false">'Chart of Accounts'!$A$71</f>
        <v>Shopify (website store)</v>
      </c>
      <c r="B12" s="26" t="n">
        <f aca="false">SUMIFS('Sales Log'!$G$5:$G$1004,'Sales Log'!$A$5:$A$1004,"&gt;="&amp;B$6,'Sales Log'!$A$5:$A$1004,"&lt;"&amp;DATE(YEAR(B$6),MONTH(B$6)+1,1),'Sales Log'!$B$5:$B$1004,$A12,'Sales Log'!$R$5:$R$1004,"&lt;&gt;EXAMPLE")</f>
        <v>0</v>
      </c>
      <c r="C12" s="26" t="n">
        <f aca="false">SUMIFS('Sales Log'!$G$5:$G$1004,'Sales Log'!$A$5:$A$1004,"&gt;="&amp;C$6,'Sales Log'!$A$5:$A$1004,"&lt;"&amp;DATE(YEAR(C$6),MONTH(C$6)+1,1),'Sales Log'!$B$5:$B$1004,$A12,'Sales Log'!$R$5:$R$1004,"&lt;&gt;EXAMPLE")</f>
        <v>0</v>
      </c>
      <c r="D12" s="26" t="n">
        <f aca="false">SUMIFS('Sales Log'!$G$5:$G$1004,'Sales Log'!$A$5:$A$1004,"&gt;="&amp;D$6,'Sales Log'!$A$5:$A$1004,"&lt;"&amp;DATE(YEAR(D$6),MONTH(D$6)+1,1),'Sales Log'!$B$5:$B$1004,$A12,'Sales Log'!$R$5:$R$1004,"&lt;&gt;EXAMPLE")</f>
        <v>0</v>
      </c>
      <c r="E12" s="26" t="n">
        <f aca="false">SUMIFS('Sales Log'!$G$5:$G$1004,'Sales Log'!$A$5:$A$1004,"&gt;="&amp;E$6,'Sales Log'!$A$5:$A$1004,"&lt;"&amp;DATE(YEAR(E$6),MONTH(E$6)+1,1),'Sales Log'!$B$5:$B$1004,$A12,'Sales Log'!$R$5:$R$1004,"&lt;&gt;EXAMPLE")</f>
        <v>0</v>
      </c>
      <c r="F12" s="26" t="n">
        <f aca="false">SUMIFS('Sales Log'!$G$5:$G$1004,'Sales Log'!$A$5:$A$1004,"&gt;="&amp;F$6,'Sales Log'!$A$5:$A$1004,"&lt;"&amp;DATE(YEAR(F$6),MONTH(F$6)+1,1),'Sales Log'!$B$5:$B$1004,$A12,'Sales Log'!$R$5:$R$1004,"&lt;&gt;EXAMPLE")</f>
        <v>0</v>
      </c>
      <c r="G12" s="26" t="n">
        <f aca="false">SUMIFS('Sales Log'!$G$5:$G$1004,'Sales Log'!$A$5:$A$1004,"&gt;="&amp;G$6,'Sales Log'!$A$5:$A$1004,"&lt;"&amp;DATE(YEAR(G$6),MONTH(G$6)+1,1),'Sales Log'!$B$5:$B$1004,$A12,'Sales Log'!$R$5:$R$1004,"&lt;&gt;EXAMPLE")</f>
        <v>0</v>
      </c>
      <c r="H12" s="26" t="n">
        <f aca="false">SUMIFS('Sales Log'!$G$5:$G$1004,'Sales Log'!$A$5:$A$1004,"&gt;="&amp;H$6,'Sales Log'!$A$5:$A$1004,"&lt;"&amp;DATE(YEAR(H$6),MONTH(H$6)+1,1),'Sales Log'!$B$5:$B$1004,$A12,'Sales Log'!$R$5:$R$1004,"&lt;&gt;EXAMPLE")</f>
        <v>0</v>
      </c>
      <c r="I12" s="26" t="n">
        <f aca="false">SUMIFS('Sales Log'!$G$5:$G$1004,'Sales Log'!$A$5:$A$1004,"&gt;="&amp;I$6,'Sales Log'!$A$5:$A$1004,"&lt;"&amp;DATE(YEAR(I$6),MONTH(I$6)+1,1),'Sales Log'!$B$5:$B$1004,$A12,'Sales Log'!$R$5:$R$1004,"&lt;&gt;EXAMPLE")</f>
        <v>0</v>
      </c>
      <c r="J12" s="26" t="n">
        <f aca="false">SUMIFS('Sales Log'!$G$5:$G$1004,'Sales Log'!$A$5:$A$1004,"&gt;="&amp;J$6,'Sales Log'!$A$5:$A$1004,"&lt;"&amp;DATE(YEAR(J$6),MONTH(J$6)+1,1),'Sales Log'!$B$5:$B$1004,$A12,'Sales Log'!$R$5:$R$1004,"&lt;&gt;EXAMPLE")</f>
        <v>0</v>
      </c>
      <c r="K12" s="26" t="n">
        <f aca="false">SUMIFS('Sales Log'!$G$5:$G$1004,'Sales Log'!$A$5:$A$1004,"&gt;="&amp;K$6,'Sales Log'!$A$5:$A$1004,"&lt;"&amp;DATE(YEAR(K$6),MONTH(K$6)+1,1),'Sales Log'!$B$5:$B$1004,$A12,'Sales Log'!$R$5:$R$1004,"&lt;&gt;EXAMPLE")</f>
        <v>0</v>
      </c>
      <c r="L12" s="26" t="n">
        <f aca="false">SUMIFS('Sales Log'!$G$5:$G$1004,'Sales Log'!$A$5:$A$1004,"&gt;="&amp;L$6,'Sales Log'!$A$5:$A$1004,"&lt;"&amp;DATE(YEAR(L$6),MONTH(L$6)+1,1),'Sales Log'!$B$5:$B$1004,$A12,'Sales Log'!$R$5:$R$1004,"&lt;&gt;EXAMPLE")</f>
        <v>0</v>
      </c>
      <c r="M12" s="26" t="n">
        <f aca="false">SUMIFS('Sales Log'!$G$5:$G$1004,'Sales Log'!$A$5:$A$1004,"&gt;="&amp;M$6,'Sales Log'!$A$5:$A$1004,"&lt;"&amp;DATE(YEAR(M$6),MONTH(M$6)+1,1),'Sales Log'!$B$5:$B$1004,$A12,'Sales Log'!$R$5:$R$1004,"&lt;&gt;EXAMPLE")</f>
        <v>0</v>
      </c>
      <c r="N12" s="31" t="n">
        <f aca="false">SUM(B12:M12)</f>
        <v>0</v>
      </c>
    </row>
    <row r="13" customFormat="false" ht="15" hidden="false" customHeight="false" outlineLevel="0" collapsed="false">
      <c r="A13" s="30" t="str">
        <f aca="false">'Chart of Accounts'!$A$72</f>
        <v>Stripe (website &amp; invoices)</v>
      </c>
      <c r="B13" s="26" t="n">
        <f aca="false">SUMIFS('Sales Log'!$G$5:$G$1004,'Sales Log'!$A$5:$A$1004,"&gt;="&amp;B$6,'Sales Log'!$A$5:$A$1004,"&lt;"&amp;DATE(YEAR(B$6),MONTH(B$6)+1,1),'Sales Log'!$B$5:$B$1004,$A13,'Sales Log'!$R$5:$R$1004,"&lt;&gt;EXAMPLE")</f>
        <v>0</v>
      </c>
      <c r="C13" s="26" t="n">
        <f aca="false">SUMIFS('Sales Log'!$G$5:$G$1004,'Sales Log'!$A$5:$A$1004,"&gt;="&amp;C$6,'Sales Log'!$A$5:$A$1004,"&lt;"&amp;DATE(YEAR(C$6),MONTH(C$6)+1,1),'Sales Log'!$B$5:$B$1004,$A13,'Sales Log'!$R$5:$R$1004,"&lt;&gt;EXAMPLE")</f>
        <v>0</v>
      </c>
      <c r="D13" s="26" t="n">
        <f aca="false">SUMIFS('Sales Log'!$G$5:$G$1004,'Sales Log'!$A$5:$A$1004,"&gt;="&amp;D$6,'Sales Log'!$A$5:$A$1004,"&lt;"&amp;DATE(YEAR(D$6),MONTH(D$6)+1,1),'Sales Log'!$B$5:$B$1004,$A13,'Sales Log'!$R$5:$R$1004,"&lt;&gt;EXAMPLE")</f>
        <v>0</v>
      </c>
      <c r="E13" s="26" t="n">
        <f aca="false">SUMIFS('Sales Log'!$G$5:$G$1004,'Sales Log'!$A$5:$A$1004,"&gt;="&amp;E$6,'Sales Log'!$A$5:$A$1004,"&lt;"&amp;DATE(YEAR(E$6),MONTH(E$6)+1,1),'Sales Log'!$B$5:$B$1004,$A13,'Sales Log'!$R$5:$R$1004,"&lt;&gt;EXAMPLE")</f>
        <v>0</v>
      </c>
      <c r="F13" s="26" t="n">
        <f aca="false">SUMIFS('Sales Log'!$G$5:$G$1004,'Sales Log'!$A$5:$A$1004,"&gt;="&amp;F$6,'Sales Log'!$A$5:$A$1004,"&lt;"&amp;DATE(YEAR(F$6),MONTH(F$6)+1,1),'Sales Log'!$B$5:$B$1004,$A13,'Sales Log'!$R$5:$R$1004,"&lt;&gt;EXAMPLE")</f>
        <v>0</v>
      </c>
      <c r="G13" s="26" t="n">
        <f aca="false">SUMIFS('Sales Log'!$G$5:$G$1004,'Sales Log'!$A$5:$A$1004,"&gt;="&amp;G$6,'Sales Log'!$A$5:$A$1004,"&lt;"&amp;DATE(YEAR(G$6),MONTH(G$6)+1,1),'Sales Log'!$B$5:$B$1004,$A13,'Sales Log'!$R$5:$R$1004,"&lt;&gt;EXAMPLE")</f>
        <v>0</v>
      </c>
      <c r="H13" s="26" t="n">
        <f aca="false">SUMIFS('Sales Log'!$G$5:$G$1004,'Sales Log'!$A$5:$A$1004,"&gt;="&amp;H$6,'Sales Log'!$A$5:$A$1004,"&lt;"&amp;DATE(YEAR(H$6),MONTH(H$6)+1,1),'Sales Log'!$B$5:$B$1004,$A13,'Sales Log'!$R$5:$R$1004,"&lt;&gt;EXAMPLE")</f>
        <v>0</v>
      </c>
      <c r="I13" s="26" t="n">
        <f aca="false">SUMIFS('Sales Log'!$G$5:$G$1004,'Sales Log'!$A$5:$A$1004,"&gt;="&amp;I$6,'Sales Log'!$A$5:$A$1004,"&lt;"&amp;DATE(YEAR(I$6),MONTH(I$6)+1,1),'Sales Log'!$B$5:$B$1004,$A13,'Sales Log'!$R$5:$R$1004,"&lt;&gt;EXAMPLE")</f>
        <v>0</v>
      </c>
      <c r="J13" s="26" t="n">
        <f aca="false">SUMIFS('Sales Log'!$G$5:$G$1004,'Sales Log'!$A$5:$A$1004,"&gt;="&amp;J$6,'Sales Log'!$A$5:$A$1004,"&lt;"&amp;DATE(YEAR(J$6),MONTH(J$6)+1,1),'Sales Log'!$B$5:$B$1004,$A13,'Sales Log'!$R$5:$R$1004,"&lt;&gt;EXAMPLE")</f>
        <v>0</v>
      </c>
      <c r="K13" s="26" t="n">
        <f aca="false">SUMIFS('Sales Log'!$G$5:$G$1004,'Sales Log'!$A$5:$A$1004,"&gt;="&amp;K$6,'Sales Log'!$A$5:$A$1004,"&lt;"&amp;DATE(YEAR(K$6),MONTH(K$6)+1,1),'Sales Log'!$B$5:$B$1004,$A13,'Sales Log'!$R$5:$R$1004,"&lt;&gt;EXAMPLE")</f>
        <v>0</v>
      </c>
      <c r="L13" s="26" t="n">
        <f aca="false">SUMIFS('Sales Log'!$G$5:$G$1004,'Sales Log'!$A$5:$A$1004,"&gt;="&amp;L$6,'Sales Log'!$A$5:$A$1004,"&lt;"&amp;DATE(YEAR(L$6),MONTH(L$6)+1,1),'Sales Log'!$B$5:$B$1004,$A13,'Sales Log'!$R$5:$R$1004,"&lt;&gt;EXAMPLE")</f>
        <v>0</v>
      </c>
      <c r="M13" s="26" t="n">
        <f aca="false">SUMIFS('Sales Log'!$G$5:$G$1004,'Sales Log'!$A$5:$A$1004,"&gt;="&amp;M$6,'Sales Log'!$A$5:$A$1004,"&lt;"&amp;DATE(YEAR(M$6),MONTH(M$6)+1,1),'Sales Log'!$B$5:$B$1004,$A13,'Sales Log'!$R$5:$R$1004,"&lt;&gt;EXAMPLE")</f>
        <v>0</v>
      </c>
      <c r="N13" s="31" t="n">
        <f aca="false">SUM(B13:M13)</f>
        <v>0</v>
      </c>
    </row>
    <row r="14" customFormat="false" ht="15" hidden="false" customHeight="false" outlineLevel="0" collapsed="false">
      <c r="A14" s="30" t="str">
        <f aca="false">'Chart of Accounts'!$A$73</f>
        <v>PayPal Business</v>
      </c>
      <c r="B14" s="26" t="n">
        <f aca="false">SUMIFS('Sales Log'!$G$5:$G$1004,'Sales Log'!$A$5:$A$1004,"&gt;="&amp;B$6,'Sales Log'!$A$5:$A$1004,"&lt;"&amp;DATE(YEAR(B$6),MONTH(B$6)+1,1),'Sales Log'!$B$5:$B$1004,$A14,'Sales Log'!$R$5:$R$1004,"&lt;&gt;EXAMPLE")</f>
        <v>0</v>
      </c>
      <c r="C14" s="26" t="n">
        <f aca="false">SUMIFS('Sales Log'!$G$5:$G$1004,'Sales Log'!$A$5:$A$1004,"&gt;="&amp;C$6,'Sales Log'!$A$5:$A$1004,"&lt;"&amp;DATE(YEAR(C$6),MONTH(C$6)+1,1),'Sales Log'!$B$5:$B$1004,$A14,'Sales Log'!$R$5:$R$1004,"&lt;&gt;EXAMPLE")</f>
        <v>0</v>
      </c>
      <c r="D14" s="26" t="n">
        <f aca="false">SUMIFS('Sales Log'!$G$5:$G$1004,'Sales Log'!$A$5:$A$1004,"&gt;="&amp;D$6,'Sales Log'!$A$5:$A$1004,"&lt;"&amp;DATE(YEAR(D$6),MONTH(D$6)+1,1),'Sales Log'!$B$5:$B$1004,$A14,'Sales Log'!$R$5:$R$1004,"&lt;&gt;EXAMPLE")</f>
        <v>0</v>
      </c>
      <c r="E14" s="26" t="n">
        <f aca="false">SUMIFS('Sales Log'!$G$5:$G$1004,'Sales Log'!$A$5:$A$1004,"&gt;="&amp;E$6,'Sales Log'!$A$5:$A$1004,"&lt;"&amp;DATE(YEAR(E$6),MONTH(E$6)+1,1),'Sales Log'!$B$5:$B$1004,$A14,'Sales Log'!$R$5:$R$1004,"&lt;&gt;EXAMPLE")</f>
        <v>0</v>
      </c>
      <c r="F14" s="26" t="n">
        <f aca="false">SUMIFS('Sales Log'!$G$5:$G$1004,'Sales Log'!$A$5:$A$1004,"&gt;="&amp;F$6,'Sales Log'!$A$5:$A$1004,"&lt;"&amp;DATE(YEAR(F$6),MONTH(F$6)+1,1),'Sales Log'!$B$5:$B$1004,$A14,'Sales Log'!$R$5:$R$1004,"&lt;&gt;EXAMPLE")</f>
        <v>0</v>
      </c>
      <c r="G14" s="26" t="n">
        <f aca="false">SUMIFS('Sales Log'!$G$5:$G$1004,'Sales Log'!$A$5:$A$1004,"&gt;="&amp;G$6,'Sales Log'!$A$5:$A$1004,"&lt;"&amp;DATE(YEAR(G$6),MONTH(G$6)+1,1),'Sales Log'!$B$5:$B$1004,$A14,'Sales Log'!$R$5:$R$1004,"&lt;&gt;EXAMPLE")</f>
        <v>0</v>
      </c>
      <c r="H14" s="26" t="n">
        <f aca="false">SUMIFS('Sales Log'!$G$5:$G$1004,'Sales Log'!$A$5:$A$1004,"&gt;="&amp;H$6,'Sales Log'!$A$5:$A$1004,"&lt;"&amp;DATE(YEAR(H$6),MONTH(H$6)+1,1),'Sales Log'!$B$5:$B$1004,$A14,'Sales Log'!$R$5:$R$1004,"&lt;&gt;EXAMPLE")</f>
        <v>0</v>
      </c>
      <c r="I14" s="26" t="n">
        <f aca="false">SUMIFS('Sales Log'!$G$5:$G$1004,'Sales Log'!$A$5:$A$1004,"&gt;="&amp;I$6,'Sales Log'!$A$5:$A$1004,"&lt;"&amp;DATE(YEAR(I$6),MONTH(I$6)+1,1),'Sales Log'!$B$5:$B$1004,$A14,'Sales Log'!$R$5:$R$1004,"&lt;&gt;EXAMPLE")</f>
        <v>0</v>
      </c>
      <c r="J14" s="26" t="n">
        <f aca="false">SUMIFS('Sales Log'!$G$5:$G$1004,'Sales Log'!$A$5:$A$1004,"&gt;="&amp;J$6,'Sales Log'!$A$5:$A$1004,"&lt;"&amp;DATE(YEAR(J$6),MONTH(J$6)+1,1),'Sales Log'!$B$5:$B$1004,$A14,'Sales Log'!$R$5:$R$1004,"&lt;&gt;EXAMPLE")</f>
        <v>0</v>
      </c>
      <c r="K14" s="26" t="n">
        <f aca="false">SUMIFS('Sales Log'!$G$5:$G$1004,'Sales Log'!$A$5:$A$1004,"&gt;="&amp;K$6,'Sales Log'!$A$5:$A$1004,"&lt;"&amp;DATE(YEAR(K$6),MONTH(K$6)+1,1),'Sales Log'!$B$5:$B$1004,$A14,'Sales Log'!$R$5:$R$1004,"&lt;&gt;EXAMPLE")</f>
        <v>0</v>
      </c>
      <c r="L14" s="26" t="n">
        <f aca="false">SUMIFS('Sales Log'!$G$5:$G$1004,'Sales Log'!$A$5:$A$1004,"&gt;="&amp;L$6,'Sales Log'!$A$5:$A$1004,"&lt;"&amp;DATE(YEAR(L$6),MONTH(L$6)+1,1),'Sales Log'!$B$5:$B$1004,$A14,'Sales Log'!$R$5:$R$1004,"&lt;&gt;EXAMPLE")</f>
        <v>0</v>
      </c>
      <c r="M14" s="26" t="n">
        <f aca="false">SUMIFS('Sales Log'!$G$5:$G$1004,'Sales Log'!$A$5:$A$1004,"&gt;="&amp;M$6,'Sales Log'!$A$5:$A$1004,"&lt;"&amp;DATE(YEAR(M$6),MONTH(M$6)+1,1),'Sales Log'!$B$5:$B$1004,$A14,'Sales Log'!$R$5:$R$1004,"&lt;&gt;EXAMPLE")</f>
        <v>0</v>
      </c>
      <c r="N14" s="31" t="n">
        <f aca="false">SUM(B14:M14)</f>
        <v>0</v>
      </c>
    </row>
    <row r="15" customFormat="false" ht="15" hidden="false" customHeight="false" outlineLevel="0" collapsed="false">
      <c r="A15" s="30" t="str">
        <f aca="false">'Chart of Accounts'!$A$74</f>
        <v>Meta shop (FB/IG)</v>
      </c>
      <c r="B15" s="26" t="n">
        <f aca="false">SUMIFS('Sales Log'!$G$5:$G$1004,'Sales Log'!$A$5:$A$1004,"&gt;="&amp;B$6,'Sales Log'!$A$5:$A$1004,"&lt;"&amp;DATE(YEAR(B$6),MONTH(B$6)+1,1),'Sales Log'!$B$5:$B$1004,$A15,'Sales Log'!$R$5:$R$1004,"&lt;&gt;EXAMPLE")</f>
        <v>0</v>
      </c>
      <c r="C15" s="26" t="n">
        <f aca="false">SUMIFS('Sales Log'!$G$5:$G$1004,'Sales Log'!$A$5:$A$1004,"&gt;="&amp;C$6,'Sales Log'!$A$5:$A$1004,"&lt;"&amp;DATE(YEAR(C$6),MONTH(C$6)+1,1),'Sales Log'!$B$5:$B$1004,$A15,'Sales Log'!$R$5:$R$1004,"&lt;&gt;EXAMPLE")</f>
        <v>0</v>
      </c>
      <c r="D15" s="26" t="n">
        <f aca="false">SUMIFS('Sales Log'!$G$5:$G$1004,'Sales Log'!$A$5:$A$1004,"&gt;="&amp;D$6,'Sales Log'!$A$5:$A$1004,"&lt;"&amp;DATE(YEAR(D$6),MONTH(D$6)+1,1),'Sales Log'!$B$5:$B$1004,$A15,'Sales Log'!$R$5:$R$1004,"&lt;&gt;EXAMPLE")</f>
        <v>0</v>
      </c>
      <c r="E15" s="26" t="n">
        <f aca="false">SUMIFS('Sales Log'!$G$5:$G$1004,'Sales Log'!$A$5:$A$1004,"&gt;="&amp;E$6,'Sales Log'!$A$5:$A$1004,"&lt;"&amp;DATE(YEAR(E$6),MONTH(E$6)+1,1),'Sales Log'!$B$5:$B$1004,$A15,'Sales Log'!$R$5:$R$1004,"&lt;&gt;EXAMPLE")</f>
        <v>0</v>
      </c>
      <c r="F15" s="26" t="n">
        <f aca="false">SUMIFS('Sales Log'!$G$5:$G$1004,'Sales Log'!$A$5:$A$1004,"&gt;="&amp;F$6,'Sales Log'!$A$5:$A$1004,"&lt;"&amp;DATE(YEAR(F$6),MONTH(F$6)+1,1),'Sales Log'!$B$5:$B$1004,$A15,'Sales Log'!$R$5:$R$1004,"&lt;&gt;EXAMPLE")</f>
        <v>0</v>
      </c>
      <c r="G15" s="26" t="n">
        <f aca="false">SUMIFS('Sales Log'!$G$5:$G$1004,'Sales Log'!$A$5:$A$1004,"&gt;="&amp;G$6,'Sales Log'!$A$5:$A$1004,"&lt;"&amp;DATE(YEAR(G$6),MONTH(G$6)+1,1),'Sales Log'!$B$5:$B$1004,$A15,'Sales Log'!$R$5:$R$1004,"&lt;&gt;EXAMPLE")</f>
        <v>0</v>
      </c>
      <c r="H15" s="26" t="n">
        <f aca="false">SUMIFS('Sales Log'!$G$5:$G$1004,'Sales Log'!$A$5:$A$1004,"&gt;="&amp;H$6,'Sales Log'!$A$5:$A$1004,"&lt;"&amp;DATE(YEAR(H$6),MONTH(H$6)+1,1),'Sales Log'!$B$5:$B$1004,$A15,'Sales Log'!$R$5:$R$1004,"&lt;&gt;EXAMPLE")</f>
        <v>0</v>
      </c>
      <c r="I15" s="26" t="n">
        <f aca="false">SUMIFS('Sales Log'!$G$5:$G$1004,'Sales Log'!$A$5:$A$1004,"&gt;="&amp;I$6,'Sales Log'!$A$5:$A$1004,"&lt;"&amp;DATE(YEAR(I$6),MONTH(I$6)+1,1),'Sales Log'!$B$5:$B$1004,$A15,'Sales Log'!$R$5:$R$1004,"&lt;&gt;EXAMPLE")</f>
        <v>0</v>
      </c>
      <c r="J15" s="26" t="n">
        <f aca="false">SUMIFS('Sales Log'!$G$5:$G$1004,'Sales Log'!$A$5:$A$1004,"&gt;="&amp;J$6,'Sales Log'!$A$5:$A$1004,"&lt;"&amp;DATE(YEAR(J$6),MONTH(J$6)+1,1),'Sales Log'!$B$5:$B$1004,$A15,'Sales Log'!$R$5:$R$1004,"&lt;&gt;EXAMPLE")</f>
        <v>0</v>
      </c>
      <c r="K15" s="26" t="n">
        <f aca="false">SUMIFS('Sales Log'!$G$5:$G$1004,'Sales Log'!$A$5:$A$1004,"&gt;="&amp;K$6,'Sales Log'!$A$5:$A$1004,"&lt;"&amp;DATE(YEAR(K$6),MONTH(K$6)+1,1),'Sales Log'!$B$5:$B$1004,$A15,'Sales Log'!$R$5:$R$1004,"&lt;&gt;EXAMPLE")</f>
        <v>0</v>
      </c>
      <c r="L15" s="26" t="n">
        <f aca="false">SUMIFS('Sales Log'!$G$5:$G$1004,'Sales Log'!$A$5:$A$1004,"&gt;="&amp;L$6,'Sales Log'!$A$5:$A$1004,"&lt;"&amp;DATE(YEAR(L$6),MONTH(L$6)+1,1),'Sales Log'!$B$5:$B$1004,$A15,'Sales Log'!$R$5:$R$1004,"&lt;&gt;EXAMPLE")</f>
        <v>0</v>
      </c>
      <c r="M15" s="26" t="n">
        <f aca="false">SUMIFS('Sales Log'!$G$5:$G$1004,'Sales Log'!$A$5:$A$1004,"&gt;="&amp;M$6,'Sales Log'!$A$5:$A$1004,"&lt;"&amp;DATE(YEAR(M$6),MONTH(M$6)+1,1),'Sales Log'!$B$5:$B$1004,$A15,'Sales Log'!$R$5:$R$1004,"&lt;&gt;EXAMPLE")</f>
        <v>0</v>
      </c>
      <c r="N15" s="31" t="n">
        <f aca="false">SUM(B15:M15)</f>
        <v>0</v>
      </c>
    </row>
    <row r="16" customFormat="false" ht="15" hidden="false" customHeight="false" outlineLevel="0" collapsed="false">
      <c r="A16" s="30" t="str">
        <f aca="false">'Chart of Accounts'!$A$75</f>
        <v>Faire (wholesale)</v>
      </c>
      <c r="B16" s="26" t="n">
        <f aca="false">SUMIFS('Sales Log'!$G$5:$G$1004,'Sales Log'!$A$5:$A$1004,"&gt;="&amp;B$6,'Sales Log'!$A$5:$A$1004,"&lt;"&amp;DATE(YEAR(B$6),MONTH(B$6)+1,1),'Sales Log'!$B$5:$B$1004,$A16,'Sales Log'!$R$5:$R$1004,"&lt;&gt;EXAMPLE")</f>
        <v>0</v>
      </c>
      <c r="C16" s="26" t="n">
        <f aca="false">SUMIFS('Sales Log'!$G$5:$G$1004,'Sales Log'!$A$5:$A$1004,"&gt;="&amp;C$6,'Sales Log'!$A$5:$A$1004,"&lt;"&amp;DATE(YEAR(C$6),MONTH(C$6)+1,1),'Sales Log'!$B$5:$B$1004,$A16,'Sales Log'!$R$5:$R$1004,"&lt;&gt;EXAMPLE")</f>
        <v>0</v>
      </c>
      <c r="D16" s="26" t="n">
        <f aca="false">SUMIFS('Sales Log'!$G$5:$G$1004,'Sales Log'!$A$5:$A$1004,"&gt;="&amp;D$6,'Sales Log'!$A$5:$A$1004,"&lt;"&amp;DATE(YEAR(D$6),MONTH(D$6)+1,1),'Sales Log'!$B$5:$B$1004,$A16,'Sales Log'!$R$5:$R$1004,"&lt;&gt;EXAMPLE")</f>
        <v>0</v>
      </c>
      <c r="E16" s="26" t="n">
        <f aca="false">SUMIFS('Sales Log'!$G$5:$G$1004,'Sales Log'!$A$5:$A$1004,"&gt;="&amp;E$6,'Sales Log'!$A$5:$A$1004,"&lt;"&amp;DATE(YEAR(E$6),MONTH(E$6)+1,1),'Sales Log'!$B$5:$B$1004,$A16,'Sales Log'!$R$5:$R$1004,"&lt;&gt;EXAMPLE")</f>
        <v>0</v>
      </c>
      <c r="F16" s="26" t="n">
        <f aca="false">SUMIFS('Sales Log'!$G$5:$G$1004,'Sales Log'!$A$5:$A$1004,"&gt;="&amp;F$6,'Sales Log'!$A$5:$A$1004,"&lt;"&amp;DATE(YEAR(F$6),MONTH(F$6)+1,1),'Sales Log'!$B$5:$B$1004,$A16,'Sales Log'!$R$5:$R$1004,"&lt;&gt;EXAMPLE")</f>
        <v>0</v>
      </c>
      <c r="G16" s="26" t="n">
        <f aca="false">SUMIFS('Sales Log'!$G$5:$G$1004,'Sales Log'!$A$5:$A$1004,"&gt;="&amp;G$6,'Sales Log'!$A$5:$A$1004,"&lt;"&amp;DATE(YEAR(G$6),MONTH(G$6)+1,1),'Sales Log'!$B$5:$B$1004,$A16,'Sales Log'!$R$5:$R$1004,"&lt;&gt;EXAMPLE")</f>
        <v>0</v>
      </c>
      <c r="H16" s="26" t="n">
        <f aca="false">SUMIFS('Sales Log'!$G$5:$G$1004,'Sales Log'!$A$5:$A$1004,"&gt;="&amp;H$6,'Sales Log'!$A$5:$A$1004,"&lt;"&amp;DATE(YEAR(H$6),MONTH(H$6)+1,1),'Sales Log'!$B$5:$B$1004,$A16,'Sales Log'!$R$5:$R$1004,"&lt;&gt;EXAMPLE")</f>
        <v>0</v>
      </c>
      <c r="I16" s="26" t="n">
        <f aca="false">SUMIFS('Sales Log'!$G$5:$G$1004,'Sales Log'!$A$5:$A$1004,"&gt;="&amp;I$6,'Sales Log'!$A$5:$A$1004,"&lt;"&amp;DATE(YEAR(I$6),MONTH(I$6)+1,1),'Sales Log'!$B$5:$B$1004,$A16,'Sales Log'!$R$5:$R$1004,"&lt;&gt;EXAMPLE")</f>
        <v>0</v>
      </c>
      <c r="J16" s="26" t="n">
        <f aca="false">SUMIFS('Sales Log'!$G$5:$G$1004,'Sales Log'!$A$5:$A$1004,"&gt;="&amp;J$6,'Sales Log'!$A$5:$A$1004,"&lt;"&amp;DATE(YEAR(J$6),MONTH(J$6)+1,1),'Sales Log'!$B$5:$B$1004,$A16,'Sales Log'!$R$5:$R$1004,"&lt;&gt;EXAMPLE")</f>
        <v>0</v>
      </c>
      <c r="K16" s="26" t="n">
        <f aca="false">SUMIFS('Sales Log'!$G$5:$G$1004,'Sales Log'!$A$5:$A$1004,"&gt;="&amp;K$6,'Sales Log'!$A$5:$A$1004,"&lt;"&amp;DATE(YEAR(K$6),MONTH(K$6)+1,1),'Sales Log'!$B$5:$B$1004,$A16,'Sales Log'!$R$5:$R$1004,"&lt;&gt;EXAMPLE")</f>
        <v>0</v>
      </c>
      <c r="L16" s="26" t="n">
        <f aca="false">SUMIFS('Sales Log'!$G$5:$G$1004,'Sales Log'!$A$5:$A$1004,"&gt;="&amp;L$6,'Sales Log'!$A$5:$A$1004,"&lt;"&amp;DATE(YEAR(L$6),MONTH(L$6)+1,1),'Sales Log'!$B$5:$B$1004,$A16,'Sales Log'!$R$5:$R$1004,"&lt;&gt;EXAMPLE")</f>
        <v>0</v>
      </c>
      <c r="M16" s="26" t="n">
        <f aca="false">SUMIFS('Sales Log'!$G$5:$G$1004,'Sales Log'!$A$5:$A$1004,"&gt;="&amp;M$6,'Sales Log'!$A$5:$A$1004,"&lt;"&amp;DATE(YEAR(M$6),MONTH(M$6)+1,1),'Sales Log'!$B$5:$B$1004,$A16,'Sales Log'!$R$5:$R$1004,"&lt;&gt;EXAMPLE")</f>
        <v>0</v>
      </c>
      <c r="N16" s="31" t="n">
        <f aca="false">SUM(B16:M16)</f>
        <v>0</v>
      </c>
    </row>
    <row r="17" customFormat="false" ht="15" hidden="false" customHeight="false" outlineLevel="0" collapsed="false">
      <c r="A17" s="30" t="str">
        <f aca="false">'Chart of Accounts'!$A$76</f>
        <v>Merchant of record</v>
      </c>
      <c r="B17" s="26" t="n">
        <f aca="false">SUMIFS('Sales Log'!$G$5:$G$1004,'Sales Log'!$A$5:$A$1004,"&gt;="&amp;B$6,'Sales Log'!$A$5:$A$1004,"&lt;"&amp;DATE(YEAR(B$6),MONTH(B$6)+1,1),'Sales Log'!$B$5:$B$1004,$A17,'Sales Log'!$R$5:$R$1004,"&lt;&gt;EXAMPLE")</f>
        <v>0</v>
      </c>
      <c r="C17" s="26" t="n">
        <f aca="false">SUMIFS('Sales Log'!$G$5:$G$1004,'Sales Log'!$A$5:$A$1004,"&gt;="&amp;C$6,'Sales Log'!$A$5:$A$1004,"&lt;"&amp;DATE(YEAR(C$6),MONTH(C$6)+1,1),'Sales Log'!$B$5:$B$1004,$A17,'Sales Log'!$R$5:$R$1004,"&lt;&gt;EXAMPLE")</f>
        <v>0</v>
      </c>
      <c r="D17" s="26" t="n">
        <f aca="false">SUMIFS('Sales Log'!$G$5:$G$1004,'Sales Log'!$A$5:$A$1004,"&gt;="&amp;D$6,'Sales Log'!$A$5:$A$1004,"&lt;"&amp;DATE(YEAR(D$6),MONTH(D$6)+1,1),'Sales Log'!$B$5:$B$1004,$A17,'Sales Log'!$R$5:$R$1004,"&lt;&gt;EXAMPLE")</f>
        <v>0</v>
      </c>
      <c r="E17" s="26" t="n">
        <f aca="false">SUMIFS('Sales Log'!$G$5:$G$1004,'Sales Log'!$A$5:$A$1004,"&gt;="&amp;E$6,'Sales Log'!$A$5:$A$1004,"&lt;"&amp;DATE(YEAR(E$6),MONTH(E$6)+1,1),'Sales Log'!$B$5:$B$1004,$A17,'Sales Log'!$R$5:$R$1004,"&lt;&gt;EXAMPLE")</f>
        <v>0</v>
      </c>
      <c r="F17" s="26" t="n">
        <f aca="false">SUMIFS('Sales Log'!$G$5:$G$1004,'Sales Log'!$A$5:$A$1004,"&gt;="&amp;F$6,'Sales Log'!$A$5:$A$1004,"&lt;"&amp;DATE(YEAR(F$6),MONTH(F$6)+1,1),'Sales Log'!$B$5:$B$1004,$A17,'Sales Log'!$R$5:$R$1004,"&lt;&gt;EXAMPLE")</f>
        <v>0</v>
      </c>
      <c r="G17" s="26" t="n">
        <f aca="false">SUMIFS('Sales Log'!$G$5:$G$1004,'Sales Log'!$A$5:$A$1004,"&gt;="&amp;G$6,'Sales Log'!$A$5:$A$1004,"&lt;"&amp;DATE(YEAR(G$6),MONTH(G$6)+1,1),'Sales Log'!$B$5:$B$1004,$A17,'Sales Log'!$R$5:$R$1004,"&lt;&gt;EXAMPLE")</f>
        <v>0</v>
      </c>
      <c r="H17" s="26" t="n">
        <f aca="false">SUMIFS('Sales Log'!$G$5:$G$1004,'Sales Log'!$A$5:$A$1004,"&gt;="&amp;H$6,'Sales Log'!$A$5:$A$1004,"&lt;"&amp;DATE(YEAR(H$6),MONTH(H$6)+1,1),'Sales Log'!$B$5:$B$1004,$A17,'Sales Log'!$R$5:$R$1004,"&lt;&gt;EXAMPLE")</f>
        <v>0</v>
      </c>
      <c r="I17" s="26" t="n">
        <f aca="false">SUMIFS('Sales Log'!$G$5:$G$1004,'Sales Log'!$A$5:$A$1004,"&gt;="&amp;I$6,'Sales Log'!$A$5:$A$1004,"&lt;"&amp;DATE(YEAR(I$6),MONTH(I$6)+1,1),'Sales Log'!$B$5:$B$1004,$A17,'Sales Log'!$R$5:$R$1004,"&lt;&gt;EXAMPLE")</f>
        <v>0</v>
      </c>
      <c r="J17" s="26" t="n">
        <f aca="false">SUMIFS('Sales Log'!$G$5:$G$1004,'Sales Log'!$A$5:$A$1004,"&gt;="&amp;J$6,'Sales Log'!$A$5:$A$1004,"&lt;"&amp;DATE(YEAR(J$6),MONTH(J$6)+1,1),'Sales Log'!$B$5:$B$1004,$A17,'Sales Log'!$R$5:$R$1004,"&lt;&gt;EXAMPLE")</f>
        <v>0</v>
      </c>
      <c r="K17" s="26" t="n">
        <f aca="false">SUMIFS('Sales Log'!$G$5:$G$1004,'Sales Log'!$A$5:$A$1004,"&gt;="&amp;K$6,'Sales Log'!$A$5:$A$1004,"&lt;"&amp;DATE(YEAR(K$6),MONTH(K$6)+1,1),'Sales Log'!$B$5:$B$1004,$A17,'Sales Log'!$R$5:$R$1004,"&lt;&gt;EXAMPLE")</f>
        <v>0</v>
      </c>
      <c r="L17" s="26" t="n">
        <f aca="false">SUMIFS('Sales Log'!$G$5:$G$1004,'Sales Log'!$A$5:$A$1004,"&gt;="&amp;L$6,'Sales Log'!$A$5:$A$1004,"&lt;"&amp;DATE(YEAR(L$6),MONTH(L$6)+1,1),'Sales Log'!$B$5:$B$1004,$A17,'Sales Log'!$R$5:$R$1004,"&lt;&gt;EXAMPLE")</f>
        <v>0</v>
      </c>
      <c r="M17" s="26" t="n">
        <f aca="false">SUMIFS('Sales Log'!$G$5:$G$1004,'Sales Log'!$A$5:$A$1004,"&gt;="&amp;M$6,'Sales Log'!$A$5:$A$1004,"&lt;"&amp;DATE(YEAR(M$6),MONTH(M$6)+1,1),'Sales Log'!$B$5:$B$1004,$A17,'Sales Log'!$R$5:$R$1004,"&lt;&gt;EXAMPLE")</f>
        <v>0</v>
      </c>
      <c r="N17" s="31" t="n">
        <f aca="false">SUM(B17:M17)</f>
        <v>0</v>
      </c>
    </row>
    <row r="18" customFormat="false" ht="15" hidden="false" customHeight="false" outlineLevel="0" collapsed="false">
      <c r="A18" s="30" t="str">
        <f aca="false">'Chart of Accounts'!$A$77</f>
        <v>Amazon Associates</v>
      </c>
      <c r="B18" s="26" t="n">
        <f aca="false">SUMIFS('Sales Log'!$G$5:$G$1004,'Sales Log'!$A$5:$A$1004,"&gt;="&amp;B$6,'Sales Log'!$A$5:$A$1004,"&lt;"&amp;DATE(YEAR(B$6),MONTH(B$6)+1,1),'Sales Log'!$B$5:$B$1004,$A18,'Sales Log'!$R$5:$R$1004,"&lt;&gt;EXAMPLE")</f>
        <v>0</v>
      </c>
      <c r="C18" s="26" t="n">
        <f aca="false">SUMIFS('Sales Log'!$G$5:$G$1004,'Sales Log'!$A$5:$A$1004,"&gt;="&amp;C$6,'Sales Log'!$A$5:$A$1004,"&lt;"&amp;DATE(YEAR(C$6),MONTH(C$6)+1,1),'Sales Log'!$B$5:$B$1004,$A18,'Sales Log'!$R$5:$R$1004,"&lt;&gt;EXAMPLE")</f>
        <v>0</v>
      </c>
      <c r="D18" s="26" t="n">
        <f aca="false">SUMIFS('Sales Log'!$G$5:$G$1004,'Sales Log'!$A$5:$A$1004,"&gt;="&amp;D$6,'Sales Log'!$A$5:$A$1004,"&lt;"&amp;DATE(YEAR(D$6),MONTH(D$6)+1,1),'Sales Log'!$B$5:$B$1004,$A18,'Sales Log'!$R$5:$R$1004,"&lt;&gt;EXAMPLE")</f>
        <v>0</v>
      </c>
      <c r="E18" s="26" t="n">
        <f aca="false">SUMIFS('Sales Log'!$G$5:$G$1004,'Sales Log'!$A$5:$A$1004,"&gt;="&amp;E$6,'Sales Log'!$A$5:$A$1004,"&lt;"&amp;DATE(YEAR(E$6),MONTH(E$6)+1,1),'Sales Log'!$B$5:$B$1004,$A18,'Sales Log'!$R$5:$R$1004,"&lt;&gt;EXAMPLE")</f>
        <v>0</v>
      </c>
      <c r="F18" s="26" t="n">
        <f aca="false">SUMIFS('Sales Log'!$G$5:$G$1004,'Sales Log'!$A$5:$A$1004,"&gt;="&amp;F$6,'Sales Log'!$A$5:$A$1004,"&lt;"&amp;DATE(YEAR(F$6),MONTH(F$6)+1,1),'Sales Log'!$B$5:$B$1004,$A18,'Sales Log'!$R$5:$R$1004,"&lt;&gt;EXAMPLE")</f>
        <v>0</v>
      </c>
      <c r="G18" s="26" t="n">
        <f aca="false">SUMIFS('Sales Log'!$G$5:$G$1004,'Sales Log'!$A$5:$A$1004,"&gt;="&amp;G$6,'Sales Log'!$A$5:$A$1004,"&lt;"&amp;DATE(YEAR(G$6),MONTH(G$6)+1,1),'Sales Log'!$B$5:$B$1004,$A18,'Sales Log'!$R$5:$R$1004,"&lt;&gt;EXAMPLE")</f>
        <v>0</v>
      </c>
      <c r="H18" s="26" t="n">
        <f aca="false">SUMIFS('Sales Log'!$G$5:$G$1004,'Sales Log'!$A$5:$A$1004,"&gt;="&amp;H$6,'Sales Log'!$A$5:$A$1004,"&lt;"&amp;DATE(YEAR(H$6),MONTH(H$6)+1,1),'Sales Log'!$B$5:$B$1004,$A18,'Sales Log'!$R$5:$R$1004,"&lt;&gt;EXAMPLE")</f>
        <v>0</v>
      </c>
      <c r="I18" s="26" t="n">
        <f aca="false">SUMIFS('Sales Log'!$G$5:$G$1004,'Sales Log'!$A$5:$A$1004,"&gt;="&amp;I$6,'Sales Log'!$A$5:$A$1004,"&lt;"&amp;DATE(YEAR(I$6),MONTH(I$6)+1,1),'Sales Log'!$B$5:$B$1004,$A18,'Sales Log'!$R$5:$R$1004,"&lt;&gt;EXAMPLE")</f>
        <v>0</v>
      </c>
      <c r="J18" s="26" t="n">
        <f aca="false">SUMIFS('Sales Log'!$G$5:$G$1004,'Sales Log'!$A$5:$A$1004,"&gt;="&amp;J$6,'Sales Log'!$A$5:$A$1004,"&lt;"&amp;DATE(YEAR(J$6),MONTH(J$6)+1,1),'Sales Log'!$B$5:$B$1004,$A18,'Sales Log'!$R$5:$R$1004,"&lt;&gt;EXAMPLE")</f>
        <v>0</v>
      </c>
      <c r="K18" s="26" t="n">
        <f aca="false">SUMIFS('Sales Log'!$G$5:$G$1004,'Sales Log'!$A$5:$A$1004,"&gt;="&amp;K$6,'Sales Log'!$A$5:$A$1004,"&lt;"&amp;DATE(YEAR(K$6),MONTH(K$6)+1,1),'Sales Log'!$B$5:$B$1004,$A18,'Sales Log'!$R$5:$R$1004,"&lt;&gt;EXAMPLE")</f>
        <v>0</v>
      </c>
      <c r="L18" s="26" t="n">
        <f aca="false">SUMIFS('Sales Log'!$G$5:$G$1004,'Sales Log'!$A$5:$A$1004,"&gt;="&amp;L$6,'Sales Log'!$A$5:$A$1004,"&lt;"&amp;DATE(YEAR(L$6),MONTH(L$6)+1,1),'Sales Log'!$B$5:$B$1004,$A18,'Sales Log'!$R$5:$R$1004,"&lt;&gt;EXAMPLE")</f>
        <v>0</v>
      </c>
      <c r="M18" s="26" t="n">
        <f aca="false">SUMIFS('Sales Log'!$G$5:$G$1004,'Sales Log'!$A$5:$A$1004,"&gt;="&amp;M$6,'Sales Log'!$A$5:$A$1004,"&lt;"&amp;DATE(YEAR(M$6),MONTH(M$6)+1,1),'Sales Log'!$B$5:$B$1004,$A18,'Sales Log'!$R$5:$R$1004,"&lt;&gt;EXAMPLE")</f>
        <v>0</v>
      </c>
      <c r="N18" s="31" t="n">
        <f aca="false">SUM(B18:M18)</f>
        <v>0</v>
      </c>
    </row>
    <row r="19" customFormat="false" ht="15" hidden="false" customHeight="false" outlineLevel="0" collapsed="false">
      <c r="A19" s="30" t="str">
        <f aca="false">'Chart of Accounts'!$A$78</f>
        <v>Bookshop.org</v>
      </c>
      <c r="B19" s="26" t="n">
        <f aca="false">SUMIFS('Sales Log'!$G$5:$G$1004,'Sales Log'!$A$5:$A$1004,"&gt;="&amp;B$6,'Sales Log'!$A$5:$A$1004,"&lt;"&amp;DATE(YEAR(B$6),MONTH(B$6)+1,1),'Sales Log'!$B$5:$B$1004,$A19,'Sales Log'!$R$5:$R$1004,"&lt;&gt;EXAMPLE")</f>
        <v>0</v>
      </c>
      <c r="C19" s="26" t="n">
        <f aca="false">SUMIFS('Sales Log'!$G$5:$G$1004,'Sales Log'!$A$5:$A$1004,"&gt;="&amp;C$6,'Sales Log'!$A$5:$A$1004,"&lt;"&amp;DATE(YEAR(C$6),MONTH(C$6)+1,1),'Sales Log'!$B$5:$B$1004,$A19,'Sales Log'!$R$5:$R$1004,"&lt;&gt;EXAMPLE")</f>
        <v>0</v>
      </c>
      <c r="D19" s="26" t="n">
        <f aca="false">SUMIFS('Sales Log'!$G$5:$G$1004,'Sales Log'!$A$5:$A$1004,"&gt;="&amp;D$6,'Sales Log'!$A$5:$A$1004,"&lt;"&amp;DATE(YEAR(D$6),MONTH(D$6)+1,1),'Sales Log'!$B$5:$B$1004,$A19,'Sales Log'!$R$5:$R$1004,"&lt;&gt;EXAMPLE")</f>
        <v>0</v>
      </c>
      <c r="E19" s="26" t="n">
        <f aca="false">SUMIFS('Sales Log'!$G$5:$G$1004,'Sales Log'!$A$5:$A$1004,"&gt;="&amp;E$6,'Sales Log'!$A$5:$A$1004,"&lt;"&amp;DATE(YEAR(E$6),MONTH(E$6)+1,1),'Sales Log'!$B$5:$B$1004,$A19,'Sales Log'!$R$5:$R$1004,"&lt;&gt;EXAMPLE")</f>
        <v>0</v>
      </c>
      <c r="F19" s="26" t="n">
        <f aca="false">SUMIFS('Sales Log'!$G$5:$G$1004,'Sales Log'!$A$5:$A$1004,"&gt;="&amp;F$6,'Sales Log'!$A$5:$A$1004,"&lt;"&amp;DATE(YEAR(F$6),MONTH(F$6)+1,1),'Sales Log'!$B$5:$B$1004,$A19,'Sales Log'!$R$5:$R$1004,"&lt;&gt;EXAMPLE")</f>
        <v>0</v>
      </c>
      <c r="G19" s="26" t="n">
        <f aca="false">SUMIFS('Sales Log'!$G$5:$G$1004,'Sales Log'!$A$5:$A$1004,"&gt;="&amp;G$6,'Sales Log'!$A$5:$A$1004,"&lt;"&amp;DATE(YEAR(G$6),MONTH(G$6)+1,1),'Sales Log'!$B$5:$B$1004,$A19,'Sales Log'!$R$5:$R$1004,"&lt;&gt;EXAMPLE")</f>
        <v>0</v>
      </c>
      <c r="H19" s="26" t="n">
        <f aca="false">SUMIFS('Sales Log'!$G$5:$G$1004,'Sales Log'!$A$5:$A$1004,"&gt;="&amp;H$6,'Sales Log'!$A$5:$A$1004,"&lt;"&amp;DATE(YEAR(H$6),MONTH(H$6)+1,1),'Sales Log'!$B$5:$B$1004,$A19,'Sales Log'!$R$5:$R$1004,"&lt;&gt;EXAMPLE")</f>
        <v>0</v>
      </c>
      <c r="I19" s="26" t="n">
        <f aca="false">SUMIFS('Sales Log'!$G$5:$G$1004,'Sales Log'!$A$5:$A$1004,"&gt;="&amp;I$6,'Sales Log'!$A$5:$A$1004,"&lt;"&amp;DATE(YEAR(I$6),MONTH(I$6)+1,1),'Sales Log'!$B$5:$B$1004,$A19,'Sales Log'!$R$5:$R$1004,"&lt;&gt;EXAMPLE")</f>
        <v>0</v>
      </c>
      <c r="J19" s="26" t="n">
        <f aca="false">SUMIFS('Sales Log'!$G$5:$G$1004,'Sales Log'!$A$5:$A$1004,"&gt;="&amp;J$6,'Sales Log'!$A$5:$A$1004,"&lt;"&amp;DATE(YEAR(J$6),MONTH(J$6)+1,1),'Sales Log'!$B$5:$B$1004,$A19,'Sales Log'!$R$5:$R$1004,"&lt;&gt;EXAMPLE")</f>
        <v>0</v>
      </c>
      <c r="K19" s="26" t="n">
        <f aca="false">SUMIFS('Sales Log'!$G$5:$G$1004,'Sales Log'!$A$5:$A$1004,"&gt;="&amp;K$6,'Sales Log'!$A$5:$A$1004,"&lt;"&amp;DATE(YEAR(K$6),MONTH(K$6)+1,1),'Sales Log'!$B$5:$B$1004,$A19,'Sales Log'!$R$5:$R$1004,"&lt;&gt;EXAMPLE")</f>
        <v>0</v>
      </c>
      <c r="L19" s="26" t="n">
        <f aca="false">SUMIFS('Sales Log'!$G$5:$G$1004,'Sales Log'!$A$5:$A$1004,"&gt;="&amp;L$6,'Sales Log'!$A$5:$A$1004,"&lt;"&amp;DATE(YEAR(L$6),MONTH(L$6)+1,1),'Sales Log'!$B$5:$B$1004,$A19,'Sales Log'!$R$5:$R$1004,"&lt;&gt;EXAMPLE")</f>
        <v>0</v>
      </c>
      <c r="M19" s="26" t="n">
        <f aca="false">SUMIFS('Sales Log'!$G$5:$G$1004,'Sales Log'!$A$5:$A$1004,"&gt;="&amp;M$6,'Sales Log'!$A$5:$A$1004,"&lt;"&amp;DATE(YEAR(M$6),MONTH(M$6)+1,1),'Sales Log'!$B$5:$B$1004,$A19,'Sales Log'!$R$5:$R$1004,"&lt;&gt;EXAMPLE")</f>
        <v>0</v>
      </c>
      <c r="N19" s="31" t="n">
        <f aca="false">SUM(B19:M19)</f>
        <v>0</v>
      </c>
    </row>
    <row r="20" customFormat="false" ht="15" hidden="false" customHeight="false" outlineLevel="0" collapsed="false">
      <c r="A20" s="30" t="str">
        <f aca="false">'Chart of Accounts'!$A$79</f>
        <v>Direct (check / ACH / cash)</v>
      </c>
      <c r="B20" s="26" t="n">
        <f aca="false">SUMIFS('Sales Log'!$G$5:$G$1004,'Sales Log'!$A$5:$A$1004,"&gt;="&amp;B$6,'Sales Log'!$A$5:$A$1004,"&lt;"&amp;DATE(YEAR(B$6),MONTH(B$6)+1,1),'Sales Log'!$B$5:$B$1004,$A20,'Sales Log'!$R$5:$R$1004,"&lt;&gt;EXAMPLE")</f>
        <v>0</v>
      </c>
      <c r="C20" s="26" t="n">
        <f aca="false">SUMIFS('Sales Log'!$G$5:$G$1004,'Sales Log'!$A$5:$A$1004,"&gt;="&amp;C$6,'Sales Log'!$A$5:$A$1004,"&lt;"&amp;DATE(YEAR(C$6),MONTH(C$6)+1,1),'Sales Log'!$B$5:$B$1004,$A20,'Sales Log'!$R$5:$R$1004,"&lt;&gt;EXAMPLE")</f>
        <v>0</v>
      </c>
      <c r="D20" s="26" t="n">
        <f aca="false">SUMIFS('Sales Log'!$G$5:$G$1004,'Sales Log'!$A$5:$A$1004,"&gt;="&amp;D$6,'Sales Log'!$A$5:$A$1004,"&lt;"&amp;DATE(YEAR(D$6),MONTH(D$6)+1,1),'Sales Log'!$B$5:$B$1004,$A20,'Sales Log'!$R$5:$R$1004,"&lt;&gt;EXAMPLE")</f>
        <v>0</v>
      </c>
      <c r="E20" s="26" t="n">
        <f aca="false">SUMIFS('Sales Log'!$G$5:$G$1004,'Sales Log'!$A$5:$A$1004,"&gt;="&amp;E$6,'Sales Log'!$A$5:$A$1004,"&lt;"&amp;DATE(YEAR(E$6),MONTH(E$6)+1,1),'Sales Log'!$B$5:$B$1004,$A20,'Sales Log'!$R$5:$R$1004,"&lt;&gt;EXAMPLE")</f>
        <v>0</v>
      </c>
      <c r="F20" s="26" t="n">
        <f aca="false">SUMIFS('Sales Log'!$G$5:$G$1004,'Sales Log'!$A$5:$A$1004,"&gt;="&amp;F$6,'Sales Log'!$A$5:$A$1004,"&lt;"&amp;DATE(YEAR(F$6),MONTH(F$6)+1,1),'Sales Log'!$B$5:$B$1004,$A20,'Sales Log'!$R$5:$R$1004,"&lt;&gt;EXAMPLE")</f>
        <v>0</v>
      </c>
      <c r="G20" s="26" t="n">
        <f aca="false">SUMIFS('Sales Log'!$G$5:$G$1004,'Sales Log'!$A$5:$A$1004,"&gt;="&amp;G$6,'Sales Log'!$A$5:$A$1004,"&lt;"&amp;DATE(YEAR(G$6),MONTH(G$6)+1,1),'Sales Log'!$B$5:$B$1004,$A20,'Sales Log'!$R$5:$R$1004,"&lt;&gt;EXAMPLE")</f>
        <v>0</v>
      </c>
      <c r="H20" s="26" t="n">
        <f aca="false">SUMIFS('Sales Log'!$G$5:$G$1004,'Sales Log'!$A$5:$A$1004,"&gt;="&amp;H$6,'Sales Log'!$A$5:$A$1004,"&lt;"&amp;DATE(YEAR(H$6),MONTH(H$6)+1,1),'Sales Log'!$B$5:$B$1004,$A20,'Sales Log'!$R$5:$R$1004,"&lt;&gt;EXAMPLE")</f>
        <v>0</v>
      </c>
      <c r="I20" s="26" t="n">
        <f aca="false">SUMIFS('Sales Log'!$G$5:$G$1004,'Sales Log'!$A$5:$A$1004,"&gt;="&amp;I$6,'Sales Log'!$A$5:$A$1004,"&lt;"&amp;DATE(YEAR(I$6),MONTH(I$6)+1,1),'Sales Log'!$B$5:$B$1004,$A20,'Sales Log'!$R$5:$R$1004,"&lt;&gt;EXAMPLE")</f>
        <v>0</v>
      </c>
      <c r="J20" s="26" t="n">
        <f aca="false">SUMIFS('Sales Log'!$G$5:$G$1004,'Sales Log'!$A$5:$A$1004,"&gt;="&amp;J$6,'Sales Log'!$A$5:$A$1004,"&lt;"&amp;DATE(YEAR(J$6),MONTH(J$6)+1,1),'Sales Log'!$B$5:$B$1004,$A20,'Sales Log'!$R$5:$R$1004,"&lt;&gt;EXAMPLE")</f>
        <v>0</v>
      </c>
      <c r="K20" s="26" t="n">
        <f aca="false">SUMIFS('Sales Log'!$G$5:$G$1004,'Sales Log'!$A$5:$A$1004,"&gt;="&amp;K$6,'Sales Log'!$A$5:$A$1004,"&lt;"&amp;DATE(YEAR(K$6),MONTH(K$6)+1,1),'Sales Log'!$B$5:$B$1004,$A20,'Sales Log'!$R$5:$R$1004,"&lt;&gt;EXAMPLE")</f>
        <v>0</v>
      </c>
      <c r="L20" s="26" t="n">
        <f aca="false">SUMIFS('Sales Log'!$G$5:$G$1004,'Sales Log'!$A$5:$A$1004,"&gt;="&amp;L$6,'Sales Log'!$A$5:$A$1004,"&lt;"&amp;DATE(YEAR(L$6),MONTH(L$6)+1,1),'Sales Log'!$B$5:$B$1004,$A20,'Sales Log'!$R$5:$R$1004,"&lt;&gt;EXAMPLE")</f>
        <v>0</v>
      </c>
      <c r="M20" s="26" t="n">
        <f aca="false">SUMIFS('Sales Log'!$G$5:$G$1004,'Sales Log'!$A$5:$A$1004,"&gt;="&amp;M$6,'Sales Log'!$A$5:$A$1004,"&lt;"&amp;DATE(YEAR(M$6),MONTH(M$6)+1,1),'Sales Log'!$B$5:$B$1004,$A20,'Sales Log'!$R$5:$R$1004,"&lt;&gt;EXAMPLE")</f>
        <v>0</v>
      </c>
      <c r="N20" s="31" t="n">
        <f aca="false">SUM(B20:M20)</f>
        <v>0</v>
      </c>
    </row>
    <row r="21" customFormat="false" ht="15" hidden="false" customHeight="false" outlineLevel="0" collapsed="false">
      <c r="A21" s="32" t="s">
        <v>565</v>
      </c>
      <c r="B21" s="33" t="n">
        <f aca="false">SUM(B7:B20)</f>
        <v>0</v>
      </c>
      <c r="C21" s="33" t="n">
        <f aca="false">SUM(C7:C20)</f>
        <v>0</v>
      </c>
      <c r="D21" s="33" t="n">
        <f aca="false">SUM(D7:D20)</f>
        <v>0</v>
      </c>
      <c r="E21" s="33" t="n">
        <f aca="false">SUM(E7:E20)</f>
        <v>0</v>
      </c>
      <c r="F21" s="33" t="n">
        <f aca="false">SUM(F7:F20)</f>
        <v>0</v>
      </c>
      <c r="G21" s="33" t="n">
        <f aca="false">SUM(G7:G20)</f>
        <v>0</v>
      </c>
      <c r="H21" s="33" t="n">
        <f aca="false">SUM(H7:H20)</f>
        <v>0</v>
      </c>
      <c r="I21" s="33" t="n">
        <f aca="false">SUM(I7:I20)</f>
        <v>0</v>
      </c>
      <c r="J21" s="33" t="n">
        <f aca="false">SUM(J7:J20)</f>
        <v>0</v>
      </c>
      <c r="K21" s="33" t="n">
        <f aca="false">SUM(K7:K20)</f>
        <v>0</v>
      </c>
      <c r="L21" s="33" t="n">
        <f aca="false">SUM(L7:L20)</f>
        <v>0</v>
      </c>
      <c r="M21" s="33" t="n">
        <f aca="false">SUM(M7:M20)</f>
        <v>0</v>
      </c>
      <c r="N21" s="33" t="n">
        <f aca="false">SUM(N7:N20)</f>
        <v>0</v>
      </c>
    </row>
    <row r="24" customFormat="false" ht="15" hidden="false" customHeight="false" outlineLevel="0" collapsed="false">
      <c r="A24" s="3" t="s">
        <v>566</v>
      </c>
    </row>
    <row r="25" customFormat="false" ht="21.75" hidden="false" customHeight="true" outlineLevel="0" collapsed="false">
      <c r="A25" s="12" t="s">
        <v>349</v>
      </c>
      <c r="B25" s="29" t="n">
        <f aca="false">DATE($B$3,1,1)</f>
        <v>46023</v>
      </c>
      <c r="C25" s="29" t="n">
        <f aca="false">DATE($B$3,2,1)</f>
        <v>46054</v>
      </c>
      <c r="D25" s="29" t="n">
        <f aca="false">DATE($B$3,3,1)</f>
        <v>46082</v>
      </c>
      <c r="E25" s="29" t="n">
        <f aca="false">DATE($B$3,4,1)</f>
        <v>46113</v>
      </c>
      <c r="F25" s="29" t="n">
        <f aca="false">DATE($B$3,5,1)</f>
        <v>46143</v>
      </c>
      <c r="G25" s="29" t="n">
        <f aca="false">DATE($B$3,6,1)</f>
        <v>46174</v>
      </c>
      <c r="H25" s="29" t="n">
        <f aca="false">DATE($B$3,7,1)</f>
        <v>46204</v>
      </c>
      <c r="I25" s="29" t="n">
        <f aca="false">DATE($B$3,8,1)</f>
        <v>46235</v>
      </c>
      <c r="J25" s="29" t="n">
        <f aca="false">DATE($B$3,9,1)</f>
        <v>46266</v>
      </c>
      <c r="K25" s="29" t="n">
        <f aca="false">DATE($B$3,10,1)</f>
        <v>46296</v>
      </c>
      <c r="L25" s="29" t="n">
        <f aca="false">DATE($B$3,11,1)</f>
        <v>46327</v>
      </c>
      <c r="M25" s="29" t="n">
        <f aca="false">DATE($B$3,12,1)</f>
        <v>46357</v>
      </c>
      <c r="N25" s="12" t="s">
        <v>565</v>
      </c>
    </row>
    <row r="26" customFormat="false" ht="15" hidden="false" customHeight="false" outlineLevel="0" collapsed="false">
      <c r="A26" s="30" t="str">
        <f aca="false">'Chart of Accounts'!$A$66</f>
        <v>Amazon KDP</v>
      </c>
      <c r="B26" s="26" t="n">
        <f aca="false">SUMIFS('Sales Log'!$H$5:$H$1004,'Sales Log'!$A$5:$A$1004,"&gt;="&amp;B$25,'Sales Log'!$A$5:$A$1004,"&lt;"&amp;DATE(YEAR(B$25),MONTH(B$25)+1,1),'Sales Log'!$B$5:$B$1004,$A26,'Sales Log'!$R$5:$R$1004,"&lt;&gt;EXAMPLE")</f>
        <v>0</v>
      </c>
      <c r="C26" s="26" t="n">
        <f aca="false">SUMIFS('Sales Log'!$H$5:$H$1004,'Sales Log'!$A$5:$A$1004,"&gt;="&amp;C$25,'Sales Log'!$A$5:$A$1004,"&lt;"&amp;DATE(YEAR(C$25),MONTH(C$25)+1,1),'Sales Log'!$B$5:$B$1004,$A26,'Sales Log'!$R$5:$R$1004,"&lt;&gt;EXAMPLE")</f>
        <v>0</v>
      </c>
      <c r="D26" s="26" t="n">
        <f aca="false">SUMIFS('Sales Log'!$H$5:$H$1004,'Sales Log'!$A$5:$A$1004,"&gt;="&amp;D$25,'Sales Log'!$A$5:$A$1004,"&lt;"&amp;DATE(YEAR(D$25),MONTH(D$25)+1,1),'Sales Log'!$B$5:$B$1004,$A26,'Sales Log'!$R$5:$R$1004,"&lt;&gt;EXAMPLE")</f>
        <v>0</v>
      </c>
      <c r="E26" s="26" t="n">
        <f aca="false">SUMIFS('Sales Log'!$H$5:$H$1004,'Sales Log'!$A$5:$A$1004,"&gt;="&amp;E$25,'Sales Log'!$A$5:$A$1004,"&lt;"&amp;DATE(YEAR(E$25),MONTH(E$25)+1,1),'Sales Log'!$B$5:$B$1004,$A26,'Sales Log'!$R$5:$R$1004,"&lt;&gt;EXAMPLE")</f>
        <v>0</v>
      </c>
      <c r="F26" s="26" t="n">
        <f aca="false">SUMIFS('Sales Log'!$H$5:$H$1004,'Sales Log'!$A$5:$A$1004,"&gt;="&amp;F$25,'Sales Log'!$A$5:$A$1004,"&lt;"&amp;DATE(YEAR(F$25),MONTH(F$25)+1,1),'Sales Log'!$B$5:$B$1004,$A26,'Sales Log'!$R$5:$R$1004,"&lt;&gt;EXAMPLE")</f>
        <v>0</v>
      </c>
      <c r="G26" s="26" t="n">
        <f aca="false">SUMIFS('Sales Log'!$H$5:$H$1004,'Sales Log'!$A$5:$A$1004,"&gt;="&amp;G$25,'Sales Log'!$A$5:$A$1004,"&lt;"&amp;DATE(YEAR(G$25),MONTH(G$25)+1,1),'Sales Log'!$B$5:$B$1004,$A26,'Sales Log'!$R$5:$R$1004,"&lt;&gt;EXAMPLE")</f>
        <v>0</v>
      </c>
      <c r="H26" s="26" t="n">
        <f aca="false">SUMIFS('Sales Log'!$H$5:$H$1004,'Sales Log'!$A$5:$A$1004,"&gt;="&amp;H$25,'Sales Log'!$A$5:$A$1004,"&lt;"&amp;DATE(YEAR(H$25),MONTH(H$25)+1,1),'Sales Log'!$B$5:$B$1004,$A26,'Sales Log'!$R$5:$R$1004,"&lt;&gt;EXAMPLE")</f>
        <v>0</v>
      </c>
      <c r="I26" s="26" t="n">
        <f aca="false">SUMIFS('Sales Log'!$H$5:$H$1004,'Sales Log'!$A$5:$A$1004,"&gt;="&amp;I$25,'Sales Log'!$A$5:$A$1004,"&lt;"&amp;DATE(YEAR(I$25),MONTH(I$25)+1,1),'Sales Log'!$B$5:$B$1004,$A26,'Sales Log'!$R$5:$R$1004,"&lt;&gt;EXAMPLE")</f>
        <v>0</v>
      </c>
      <c r="J26" s="26" t="n">
        <f aca="false">SUMIFS('Sales Log'!$H$5:$H$1004,'Sales Log'!$A$5:$A$1004,"&gt;="&amp;J$25,'Sales Log'!$A$5:$A$1004,"&lt;"&amp;DATE(YEAR(J$25),MONTH(J$25)+1,1),'Sales Log'!$B$5:$B$1004,$A26,'Sales Log'!$R$5:$R$1004,"&lt;&gt;EXAMPLE")</f>
        <v>0</v>
      </c>
      <c r="K26" s="26" t="n">
        <f aca="false">SUMIFS('Sales Log'!$H$5:$H$1004,'Sales Log'!$A$5:$A$1004,"&gt;="&amp;K$25,'Sales Log'!$A$5:$A$1004,"&lt;"&amp;DATE(YEAR(K$25),MONTH(K$25)+1,1),'Sales Log'!$B$5:$B$1004,$A26,'Sales Log'!$R$5:$R$1004,"&lt;&gt;EXAMPLE")</f>
        <v>0</v>
      </c>
      <c r="L26" s="26" t="n">
        <f aca="false">SUMIFS('Sales Log'!$H$5:$H$1004,'Sales Log'!$A$5:$A$1004,"&gt;="&amp;L$25,'Sales Log'!$A$5:$A$1004,"&lt;"&amp;DATE(YEAR(L$25),MONTH(L$25)+1,1),'Sales Log'!$B$5:$B$1004,$A26,'Sales Log'!$R$5:$R$1004,"&lt;&gt;EXAMPLE")</f>
        <v>0</v>
      </c>
      <c r="M26" s="26" t="n">
        <f aca="false">SUMIFS('Sales Log'!$H$5:$H$1004,'Sales Log'!$A$5:$A$1004,"&gt;="&amp;M$25,'Sales Log'!$A$5:$A$1004,"&lt;"&amp;DATE(YEAR(M$25),MONTH(M$25)+1,1),'Sales Log'!$B$5:$B$1004,$A26,'Sales Log'!$R$5:$R$1004,"&lt;&gt;EXAMPLE")</f>
        <v>0</v>
      </c>
      <c r="N26" s="31" t="n">
        <f aca="false">SUM(B26:M26)</f>
        <v>0</v>
      </c>
    </row>
    <row r="27" customFormat="false" ht="15" hidden="false" customHeight="false" outlineLevel="0" collapsed="false">
      <c r="A27" s="30" t="str">
        <f aca="false">'Chart of Accounts'!$A$67</f>
        <v>IngramSpark</v>
      </c>
      <c r="B27" s="26" t="n">
        <f aca="false">SUMIFS('Sales Log'!$H$5:$H$1004,'Sales Log'!$A$5:$A$1004,"&gt;="&amp;B$25,'Sales Log'!$A$5:$A$1004,"&lt;"&amp;DATE(YEAR(B$25),MONTH(B$25)+1,1),'Sales Log'!$B$5:$B$1004,$A27,'Sales Log'!$R$5:$R$1004,"&lt;&gt;EXAMPLE")</f>
        <v>0</v>
      </c>
      <c r="C27" s="26" t="n">
        <f aca="false">SUMIFS('Sales Log'!$H$5:$H$1004,'Sales Log'!$A$5:$A$1004,"&gt;="&amp;C$25,'Sales Log'!$A$5:$A$1004,"&lt;"&amp;DATE(YEAR(C$25),MONTH(C$25)+1,1),'Sales Log'!$B$5:$B$1004,$A27,'Sales Log'!$R$5:$R$1004,"&lt;&gt;EXAMPLE")</f>
        <v>0</v>
      </c>
      <c r="D27" s="26" t="n">
        <f aca="false">SUMIFS('Sales Log'!$H$5:$H$1004,'Sales Log'!$A$5:$A$1004,"&gt;="&amp;D$25,'Sales Log'!$A$5:$A$1004,"&lt;"&amp;DATE(YEAR(D$25),MONTH(D$25)+1,1),'Sales Log'!$B$5:$B$1004,$A27,'Sales Log'!$R$5:$R$1004,"&lt;&gt;EXAMPLE")</f>
        <v>0</v>
      </c>
      <c r="E27" s="26" t="n">
        <f aca="false">SUMIFS('Sales Log'!$H$5:$H$1004,'Sales Log'!$A$5:$A$1004,"&gt;="&amp;E$25,'Sales Log'!$A$5:$A$1004,"&lt;"&amp;DATE(YEAR(E$25),MONTH(E$25)+1,1),'Sales Log'!$B$5:$B$1004,$A27,'Sales Log'!$R$5:$R$1004,"&lt;&gt;EXAMPLE")</f>
        <v>0</v>
      </c>
      <c r="F27" s="26" t="n">
        <f aca="false">SUMIFS('Sales Log'!$H$5:$H$1004,'Sales Log'!$A$5:$A$1004,"&gt;="&amp;F$25,'Sales Log'!$A$5:$A$1004,"&lt;"&amp;DATE(YEAR(F$25),MONTH(F$25)+1,1),'Sales Log'!$B$5:$B$1004,$A27,'Sales Log'!$R$5:$R$1004,"&lt;&gt;EXAMPLE")</f>
        <v>0</v>
      </c>
      <c r="G27" s="26" t="n">
        <f aca="false">SUMIFS('Sales Log'!$H$5:$H$1004,'Sales Log'!$A$5:$A$1004,"&gt;="&amp;G$25,'Sales Log'!$A$5:$A$1004,"&lt;"&amp;DATE(YEAR(G$25),MONTH(G$25)+1,1),'Sales Log'!$B$5:$B$1004,$A27,'Sales Log'!$R$5:$R$1004,"&lt;&gt;EXAMPLE")</f>
        <v>0</v>
      </c>
      <c r="H27" s="26" t="n">
        <f aca="false">SUMIFS('Sales Log'!$H$5:$H$1004,'Sales Log'!$A$5:$A$1004,"&gt;="&amp;H$25,'Sales Log'!$A$5:$A$1004,"&lt;"&amp;DATE(YEAR(H$25),MONTH(H$25)+1,1),'Sales Log'!$B$5:$B$1004,$A27,'Sales Log'!$R$5:$R$1004,"&lt;&gt;EXAMPLE")</f>
        <v>0</v>
      </c>
      <c r="I27" s="26" t="n">
        <f aca="false">SUMIFS('Sales Log'!$H$5:$H$1004,'Sales Log'!$A$5:$A$1004,"&gt;="&amp;I$25,'Sales Log'!$A$5:$A$1004,"&lt;"&amp;DATE(YEAR(I$25),MONTH(I$25)+1,1),'Sales Log'!$B$5:$B$1004,$A27,'Sales Log'!$R$5:$R$1004,"&lt;&gt;EXAMPLE")</f>
        <v>0</v>
      </c>
      <c r="J27" s="26" t="n">
        <f aca="false">SUMIFS('Sales Log'!$H$5:$H$1004,'Sales Log'!$A$5:$A$1004,"&gt;="&amp;J$25,'Sales Log'!$A$5:$A$1004,"&lt;"&amp;DATE(YEAR(J$25),MONTH(J$25)+1,1),'Sales Log'!$B$5:$B$1004,$A27,'Sales Log'!$R$5:$R$1004,"&lt;&gt;EXAMPLE")</f>
        <v>0</v>
      </c>
      <c r="K27" s="26" t="n">
        <f aca="false">SUMIFS('Sales Log'!$H$5:$H$1004,'Sales Log'!$A$5:$A$1004,"&gt;="&amp;K$25,'Sales Log'!$A$5:$A$1004,"&lt;"&amp;DATE(YEAR(K$25),MONTH(K$25)+1,1),'Sales Log'!$B$5:$B$1004,$A27,'Sales Log'!$R$5:$R$1004,"&lt;&gt;EXAMPLE")</f>
        <v>0</v>
      </c>
      <c r="L27" s="26" t="n">
        <f aca="false">SUMIFS('Sales Log'!$H$5:$H$1004,'Sales Log'!$A$5:$A$1004,"&gt;="&amp;L$25,'Sales Log'!$A$5:$A$1004,"&lt;"&amp;DATE(YEAR(L$25),MONTH(L$25)+1,1),'Sales Log'!$B$5:$B$1004,$A27,'Sales Log'!$R$5:$R$1004,"&lt;&gt;EXAMPLE")</f>
        <v>0</v>
      </c>
      <c r="M27" s="26" t="n">
        <f aca="false">SUMIFS('Sales Log'!$H$5:$H$1004,'Sales Log'!$A$5:$A$1004,"&gt;="&amp;M$25,'Sales Log'!$A$5:$A$1004,"&lt;"&amp;DATE(YEAR(M$25),MONTH(M$25)+1,1),'Sales Log'!$B$5:$B$1004,$A27,'Sales Log'!$R$5:$R$1004,"&lt;&gt;EXAMPLE")</f>
        <v>0</v>
      </c>
      <c r="N27" s="31" t="n">
        <f aca="false">SUM(B27:M27)</f>
        <v>0</v>
      </c>
    </row>
    <row r="28" customFormat="false" ht="15" hidden="false" customHeight="false" outlineLevel="0" collapsed="false">
      <c r="A28" s="30" t="str">
        <f aca="false">'Chart of Accounts'!$A$68</f>
        <v>Etsy</v>
      </c>
      <c r="B28" s="26" t="n">
        <f aca="false">SUMIFS('Sales Log'!$H$5:$H$1004,'Sales Log'!$A$5:$A$1004,"&gt;="&amp;B$25,'Sales Log'!$A$5:$A$1004,"&lt;"&amp;DATE(YEAR(B$25),MONTH(B$25)+1,1),'Sales Log'!$B$5:$B$1004,$A28,'Sales Log'!$R$5:$R$1004,"&lt;&gt;EXAMPLE")</f>
        <v>0</v>
      </c>
      <c r="C28" s="26" t="n">
        <f aca="false">SUMIFS('Sales Log'!$H$5:$H$1004,'Sales Log'!$A$5:$A$1004,"&gt;="&amp;C$25,'Sales Log'!$A$5:$A$1004,"&lt;"&amp;DATE(YEAR(C$25),MONTH(C$25)+1,1),'Sales Log'!$B$5:$B$1004,$A28,'Sales Log'!$R$5:$R$1004,"&lt;&gt;EXAMPLE")</f>
        <v>0</v>
      </c>
      <c r="D28" s="26" t="n">
        <f aca="false">SUMIFS('Sales Log'!$H$5:$H$1004,'Sales Log'!$A$5:$A$1004,"&gt;="&amp;D$25,'Sales Log'!$A$5:$A$1004,"&lt;"&amp;DATE(YEAR(D$25),MONTH(D$25)+1,1),'Sales Log'!$B$5:$B$1004,$A28,'Sales Log'!$R$5:$R$1004,"&lt;&gt;EXAMPLE")</f>
        <v>0</v>
      </c>
      <c r="E28" s="26" t="n">
        <f aca="false">SUMIFS('Sales Log'!$H$5:$H$1004,'Sales Log'!$A$5:$A$1004,"&gt;="&amp;E$25,'Sales Log'!$A$5:$A$1004,"&lt;"&amp;DATE(YEAR(E$25),MONTH(E$25)+1,1),'Sales Log'!$B$5:$B$1004,$A28,'Sales Log'!$R$5:$R$1004,"&lt;&gt;EXAMPLE")</f>
        <v>0</v>
      </c>
      <c r="F28" s="26" t="n">
        <f aca="false">SUMIFS('Sales Log'!$H$5:$H$1004,'Sales Log'!$A$5:$A$1004,"&gt;="&amp;F$25,'Sales Log'!$A$5:$A$1004,"&lt;"&amp;DATE(YEAR(F$25),MONTH(F$25)+1,1),'Sales Log'!$B$5:$B$1004,$A28,'Sales Log'!$R$5:$R$1004,"&lt;&gt;EXAMPLE")</f>
        <v>0</v>
      </c>
      <c r="G28" s="26" t="n">
        <f aca="false">SUMIFS('Sales Log'!$H$5:$H$1004,'Sales Log'!$A$5:$A$1004,"&gt;="&amp;G$25,'Sales Log'!$A$5:$A$1004,"&lt;"&amp;DATE(YEAR(G$25),MONTH(G$25)+1,1),'Sales Log'!$B$5:$B$1004,$A28,'Sales Log'!$R$5:$R$1004,"&lt;&gt;EXAMPLE")</f>
        <v>0</v>
      </c>
      <c r="H28" s="26" t="n">
        <f aca="false">SUMIFS('Sales Log'!$H$5:$H$1004,'Sales Log'!$A$5:$A$1004,"&gt;="&amp;H$25,'Sales Log'!$A$5:$A$1004,"&lt;"&amp;DATE(YEAR(H$25),MONTH(H$25)+1,1),'Sales Log'!$B$5:$B$1004,$A28,'Sales Log'!$R$5:$R$1004,"&lt;&gt;EXAMPLE")</f>
        <v>0</v>
      </c>
      <c r="I28" s="26" t="n">
        <f aca="false">SUMIFS('Sales Log'!$H$5:$H$1004,'Sales Log'!$A$5:$A$1004,"&gt;="&amp;I$25,'Sales Log'!$A$5:$A$1004,"&lt;"&amp;DATE(YEAR(I$25),MONTH(I$25)+1,1),'Sales Log'!$B$5:$B$1004,$A28,'Sales Log'!$R$5:$R$1004,"&lt;&gt;EXAMPLE")</f>
        <v>0</v>
      </c>
      <c r="J28" s="26" t="n">
        <f aca="false">SUMIFS('Sales Log'!$H$5:$H$1004,'Sales Log'!$A$5:$A$1004,"&gt;="&amp;J$25,'Sales Log'!$A$5:$A$1004,"&lt;"&amp;DATE(YEAR(J$25),MONTH(J$25)+1,1),'Sales Log'!$B$5:$B$1004,$A28,'Sales Log'!$R$5:$R$1004,"&lt;&gt;EXAMPLE")</f>
        <v>0</v>
      </c>
      <c r="K28" s="26" t="n">
        <f aca="false">SUMIFS('Sales Log'!$H$5:$H$1004,'Sales Log'!$A$5:$A$1004,"&gt;="&amp;K$25,'Sales Log'!$A$5:$A$1004,"&lt;"&amp;DATE(YEAR(K$25),MONTH(K$25)+1,1),'Sales Log'!$B$5:$B$1004,$A28,'Sales Log'!$R$5:$R$1004,"&lt;&gt;EXAMPLE")</f>
        <v>0</v>
      </c>
      <c r="L28" s="26" t="n">
        <f aca="false">SUMIFS('Sales Log'!$H$5:$H$1004,'Sales Log'!$A$5:$A$1004,"&gt;="&amp;L$25,'Sales Log'!$A$5:$A$1004,"&lt;"&amp;DATE(YEAR(L$25),MONTH(L$25)+1,1),'Sales Log'!$B$5:$B$1004,$A28,'Sales Log'!$R$5:$R$1004,"&lt;&gt;EXAMPLE")</f>
        <v>0</v>
      </c>
      <c r="M28" s="26" t="n">
        <f aca="false">SUMIFS('Sales Log'!$H$5:$H$1004,'Sales Log'!$A$5:$A$1004,"&gt;="&amp;M$25,'Sales Log'!$A$5:$A$1004,"&lt;"&amp;DATE(YEAR(M$25),MONTH(M$25)+1,1),'Sales Log'!$B$5:$B$1004,$A28,'Sales Log'!$R$5:$R$1004,"&lt;&gt;EXAMPLE")</f>
        <v>0</v>
      </c>
      <c r="N28" s="31" t="n">
        <f aca="false">SUM(B28:M28)</f>
        <v>0</v>
      </c>
    </row>
    <row r="29" customFormat="false" ht="15" hidden="false" customHeight="false" outlineLevel="0" collapsed="false">
      <c r="A29" s="30" t="str">
        <f aca="false">'Chart of Accounts'!$A$69</f>
        <v>Teachers Pay Teachers</v>
      </c>
      <c r="B29" s="26" t="n">
        <f aca="false">SUMIFS('Sales Log'!$H$5:$H$1004,'Sales Log'!$A$5:$A$1004,"&gt;="&amp;B$25,'Sales Log'!$A$5:$A$1004,"&lt;"&amp;DATE(YEAR(B$25),MONTH(B$25)+1,1),'Sales Log'!$B$5:$B$1004,$A29,'Sales Log'!$R$5:$R$1004,"&lt;&gt;EXAMPLE")</f>
        <v>0</v>
      </c>
      <c r="C29" s="26" t="n">
        <f aca="false">SUMIFS('Sales Log'!$H$5:$H$1004,'Sales Log'!$A$5:$A$1004,"&gt;="&amp;C$25,'Sales Log'!$A$5:$A$1004,"&lt;"&amp;DATE(YEAR(C$25),MONTH(C$25)+1,1),'Sales Log'!$B$5:$B$1004,$A29,'Sales Log'!$R$5:$R$1004,"&lt;&gt;EXAMPLE")</f>
        <v>0</v>
      </c>
      <c r="D29" s="26" t="n">
        <f aca="false">SUMIFS('Sales Log'!$H$5:$H$1004,'Sales Log'!$A$5:$A$1004,"&gt;="&amp;D$25,'Sales Log'!$A$5:$A$1004,"&lt;"&amp;DATE(YEAR(D$25),MONTH(D$25)+1,1),'Sales Log'!$B$5:$B$1004,$A29,'Sales Log'!$R$5:$R$1004,"&lt;&gt;EXAMPLE")</f>
        <v>0</v>
      </c>
      <c r="E29" s="26" t="n">
        <f aca="false">SUMIFS('Sales Log'!$H$5:$H$1004,'Sales Log'!$A$5:$A$1004,"&gt;="&amp;E$25,'Sales Log'!$A$5:$A$1004,"&lt;"&amp;DATE(YEAR(E$25),MONTH(E$25)+1,1),'Sales Log'!$B$5:$B$1004,$A29,'Sales Log'!$R$5:$R$1004,"&lt;&gt;EXAMPLE")</f>
        <v>0</v>
      </c>
      <c r="F29" s="26" t="n">
        <f aca="false">SUMIFS('Sales Log'!$H$5:$H$1004,'Sales Log'!$A$5:$A$1004,"&gt;="&amp;F$25,'Sales Log'!$A$5:$A$1004,"&lt;"&amp;DATE(YEAR(F$25),MONTH(F$25)+1,1),'Sales Log'!$B$5:$B$1004,$A29,'Sales Log'!$R$5:$R$1004,"&lt;&gt;EXAMPLE")</f>
        <v>0</v>
      </c>
      <c r="G29" s="26" t="n">
        <f aca="false">SUMIFS('Sales Log'!$H$5:$H$1004,'Sales Log'!$A$5:$A$1004,"&gt;="&amp;G$25,'Sales Log'!$A$5:$A$1004,"&lt;"&amp;DATE(YEAR(G$25),MONTH(G$25)+1,1),'Sales Log'!$B$5:$B$1004,$A29,'Sales Log'!$R$5:$R$1004,"&lt;&gt;EXAMPLE")</f>
        <v>0</v>
      </c>
      <c r="H29" s="26" t="n">
        <f aca="false">SUMIFS('Sales Log'!$H$5:$H$1004,'Sales Log'!$A$5:$A$1004,"&gt;="&amp;H$25,'Sales Log'!$A$5:$A$1004,"&lt;"&amp;DATE(YEAR(H$25),MONTH(H$25)+1,1),'Sales Log'!$B$5:$B$1004,$A29,'Sales Log'!$R$5:$R$1004,"&lt;&gt;EXAMPLE")</f>
        <v>0</v>
      </c>
      <c r="I29" s="26" t="n">
        <f aca="false">SUMIFS('Sales Log'!$H$5:$H$1004,'Sales Log'!$A$5:$A$1004,"&gt;="&amp;I$25,'Sales Log'!$A$5:$A$1004,"&lt;"&amp;DATE(YEAR(I$25),MONTH(I$25)+1,1),'Sales Log'!$B$5:$B$1004,$A29,'Sales Log'!$R$5:$R$1004,"&lt;&gt;EXAMPLE")</f>
        <v>0</v>
      </c>
      <c r="J29" s="26" t="n">
        <f aca="false">SUMIFS('Sales Log'!$H$5:$H$1004,'Sales Log'!$A$5:$A$1004,"&gt;="&amp;J$25,'Sales Log'!$A$5:$A$1004,"&lt;"&amp;DATE(YEAR(J$25),MONTH(J$25)+1,1),'Sales Log'!$B$5:$B$1004,$A29,'Sales Log'!$R$5:$R$1004,"&lt;&gt;EXAMPLE")</f>
        <v>0</v>
      </c>
      <c r="K29" s="26" t="n">
        <f aca="false">SUMIFS('Sales Log'!$H$5:$H$1004,'Sales Log'!$A$5:$A$1004,"&gt;="&amp;K$25,'Sales Log'!$A$5:$A$1004,"&lt;"&amp;DATE(YEAR(K$25),MONTH(K$25)+1,1),'Sales Log'!$B$5:$B$1004,$A29,'Sales Log'!$R$5:$R$1004,"&lt;&gt;EXAMPLE")</f>
        <v>0</v>
      </c>
      <c r="L29" s="26" t="n">
        <f aca="false">SUMIFS('Sales Log'!$H$5:$H$1004,'Sales Log'!$A$5:$A$1004,"&gt;="&amp;L$25,'Sales Log'!$A$5:$A$1004,"&lt;"&amp;DATE(YEAR(L$25),MONTH(L$25)+1,1),'Sales Log'!$B$5:$B$1004,$A29,'Sales Log'!$R$5:$R$1004,"&lt;&gt;EXAMPLE")</f>
        <v>0</v>
      </c>
      <c r="M29" s="26" t="n">
        <f aca="false">SUMIFS('Sales Log'!$H$5:$H$1004,'Sales Log'!$A$5:$A$1004,"&gt;="&amp;M$25,'Sales Log'!$A$5:$A$1004,"&lt;"&amp;DATE(YEAR(M$25),MONTH(M$25)+1,1),'Sales Log'!$B$5:$B$1004,$A29,'Sales Log'!$R$5:$R$1004,"&lt;&gt;EXAMPLE")</f>
        <v>0</v>
      </c>
      <c r="N29" s="31" t="n">
        <f aca="false">SUM(B29:M29)</f>
        <v>0</v>
      </c>
    </row>
    <row r="30" customFormat="false" ht="15" hidden="false" customHeight="false" outlineLevel="0" collapsed="false">
      <c r="A30" s="30" t="str">
        <f aca="false">'Chart of Accounts'!$A$70</f>
        <v>TikTok Shop</v>
      </c>
      <c r="B30" s="26" t="n">
        <f aca="false">SUMIFS('Sales Log'!$H$5:$H$1004,'Sales Log'!$A$5:$A$1004,"&gt;="&amp;B$25,'Sales Log'!$A$5:$A$1004,"&lt;"&amp;DATE(YEAR(B$25),MONTH(B$25)+1,1),'Sales Log'!$B$5:$B$1004,$A30,'Sales Log'!$R$5:$R$1004,"&lt;&gt;EXAMPLE")</f>
        <v>0</v>
      </c>
      <c r="C30" s="26" t="n">
        <f aca="false">SUMIFS('Sales Log'!$H$5:$H$1004,'Sales Log'!$A$5:$A$1004,"&gt;="&amp;C$25,'Sales Log'!$A$5:$A$1004,"&lt;"&amp;DATE(YEAR(C$25),MONTH(C$25)+1,1),'Sales Log'!$B$5:$B$1004,$A30,'Sales Log'!$R$5:$R$1004,"&lt;&gt;EXAMPLE")</f>
        <v>0</v>
      </c>
      <c r="D30" s="26" t="n">
        <f aca="false">SUMIFS('Sales Log'!$H$5:$H$1004,'Sales Log'!$A$5:$A$1004,"&gt;="&amp;D$25,'Sales Log'!$A$5:$A$1004,"&lt;"&amp;DATE(YEAR(D$25),MONTH(D$25)+1,1),'Sales Log'!$B$5:$B$1004,$A30,'Sales Log'!$R$5:$R$1004,"&lt;&gt;EXAMPLE")</f>
        <v>0</v>
      </c>
      <c r="E30" s="26" t="n">
        <f aca="false">SUMIFS('Sales Log'!$H$5:$H$1004,'Sales Log'!$A$5:$A$1004,"&gt;="&amp;E$25,'Sales Log'!$A$5:$A$1004,"&lt;"&amp;DATE(YEAR(E$25),MONTH(E$25)+1,1),'Sales Log'!$B$5:$B$1004,$A30,'Sales Log'!$R$5:$R$1004,"&lt;&gt;EXAMPLE")</f>
        <v>0</v>
      </c>
      <c r="F30" s="26" t="n">
        <f aca="false">SUMIFS('Sales Log'!$H$5:$H$1004,'Sales Log'!$A$5:$A$1004,"&gt;="&amp;F$25,'Sales Log'!$A$5:$A$1004,"&lt;"&amp;DATE(YEAR(F$25),MONTH(F$25)+1,1),'Sales Log'!$B$5:$B$1004,$A30,'Sales Log'!$R$5:$R$1004,"&lt;&gt;EXAMPLE")</f>
        <v>0</v>
      </c>
      <c r="G30" s="26" t="n">
        <f aca="false">SUMIFS('Sales Log'!$H$5:$H$1004,'Sales Log'!$A$5:$A$1004,"&gt;="&amp;G$25,'Sales Log'!$A$5:$A$1004,"&lt;"&amp;DATE(YEAR(G$25),MONTH(G$25)+1,1),'Sales Log'!$B$5:$B$1004,$A30,'Sales Log'!$R$5:$R$1004,"&lt;&gt;EXAMPLE")</f>
        <v>0</v>
      </c>
      <c r="H30" s="26" t="n">
        <f aca="false">SUMIFS('Sales Log'!$H$5:$H$1004,'Sales Log'!$A$5:$A$1004,"&gt;="&amp;H$25,'Sales Log'!$A$5:$A$1004,"&lt;"&amp;DATE(YEAR(H$25),MONTH(H$25)+1,1),'Sales Log'!$B$5:$B$1004,$A30,'Sales Log'!$R$5:$R$1004,"&lt;&gt;EXAMPLE")</f>
        <v>0</v>
      </c>
      <c r="I30" s="26" t="n">
        <f aca="false">SUMIFS('Sales Log'!$H$5:$H$1004,'Sales Log'!$A$5:$A$1004,"&gt;="&amp;I$25,'Sales Log'!$A$5:$A$1004,"&lt;"&amp;DATE(YEAR(I$25),MONTH(I$25)+1,1),'Sales Log'!$B$5:$B$1004,$A30,'Sales Log'!$R$5:$R$1004,"&lt;&gt;EXAMPLE")</f>
        <v>0</v>
      </c>
      <c r="J30" s="26" t="n">
        <f aca="false">SUMIFS('Sales Log'!$H$5:$H$1004,'Sales Log'!$A$5:$A$1004,"&gt;="&amp;J$25,'Sales Log'!$A$5:$A$1004,"&lt;"&amp;DATE(YEAR(J$25),MONTH(J$25)+1,1),'Sales Log'!$B$5:$B$1004,$A30,'Sales Log'!$R$5:$R$1004,"&lt;&gt;EXAMPLE")</f>
        <v>0</v>
      </c>
      <c r="K30" s="26" t="n">
        <f aca="false">SUMIFS('Sales Log'!$H$5:$H$1004,'Sales Log'!$A$5:$A$1004,"&gt;="&amp;K$25,'Sales Log'!$A$5:$A$1004,"&lt;"&amp;DATE(YEAR(K$25),MONTH(K$25)+1,1),'Sales Log'!$B$5:$B$1004,$A30,'Sales Log'!$R$5:$R$1004,"&lt;&gt;EXAMPLE")</f>
        <v>0</v>
      </c>
      <c r="L30" s="26" t="n">
        <f aca="false">SUMIFS('Sales Log'!$H$5:$H$1004,'Sales Log'!$A$5:$A$1004,"&gt;="&amp;L$25,'Sales Log'!$A$5:$A$1004,"&lt;"&amp;DATE(YEAR(L$25),MONTH(L$25)+1,1),'Sales Log'!$B$5:$B$1004,$A30,'Sales Log'!$R$5:$R$1004,"&lt;&gt;EXAMPLE")</f>
        <v>0</v>
      </c>
      <c r="M30" s="26" t="n">
        <f aca="false">SUMIFS('Sales Log'!$H$5:$H$1004,'Sales Log'!$A$5:$A$1004,"&gt;="&amp;M$25,'Sales Log'!$A$5:$A$1004,"&lt;"&amp;DATE(YEAR(M$25),MONTH(M$25)+1,1),'Sales Log'!$B$5:$B$1004,$A30,'Sales Log'!$R$5:$R$1004,"&lt;&gt;EXAMPLE")</f>
        <v>0</v>
      </c>
      <c r="N30" s="31" t="n">
        <f aca="false">SUM(B30:M30)</f>
        <v>0</v>
      </c>
    </row>
    <row r="31" customFormat="false" ht="15" hidden="false" customHeight="false" outlineLevel="0" collapsed="false">
      <c r="A31" s="30" t="str">
        <f aca="false">'Chart of Accounts'!$A$71</f>
        <v>Shopify (website store)</v>
      </c>
      <c r="B31" s="26" t="n">
        <f aca="false">SUMIFS('Sales Log'!$H$5:$H$1004,'Sales Log'!$A$5:$A$1004,"&gt;="&amp;B$25,'Sales Log'!$A$5:$A$1004,"&lt;"&amp;DATE(YEAR(B$25),MONTH(B$25)+1,1),'Sales Log'!$B$5:$B$1004,$A31,'Sales Log'!$R$5:$R$1004,"&lt;&gt;EXAMPLE")</f>
        <v>0</v>
      </c>
      <c r="C31" s="26" t="n">
        <f aca="false">SUMIFS('Sales Log'!$H$5:$H$1004,'Sales Log'!$A$5:$A$1004,"&gt;="&amp;C$25,'Sales Log'!$A$5:$A$1004,"&lt;"&amp;DATE(YEAR(C$25),MONTH(C$25)+1,1),'Sales Log'!$B$5:$B$1004,$A31,'Sales Log'!$R$5:$R$1004,"&lt;&gt;EXAMPLE")</f>
        <v>0</v>
      </c>
      <c r="D31" s="26" t="n">
        <f aca="false">SUMIFS('Sales Log'!$H$5:$H$1004,'Sales Log'!$A$5:$A$1004,"&gt;="&amp;D$25,'Sales Log'!$A$5:$A$1004,"&lt;"&amp;DATE(YEAR(D$25),MONTH(D$25)+1,1),'Sales Log'!$B$5:$B$1004,$A31,'Sales Log'!$R$5:$R$1004,"&lt;&gt;EXAMPLE")</f>
        <v>0</v>
      </c>
      <c r="E31" s="26" t="n">
        <f aca="false">SUMIFS('Sales Log'!$H$5:$H$1004,'Sales Log'!$A$5:$A$1004,"&gt;="&amp;E$25,'Sales Log'!$A$5:$A$1004,"&lt;"&amp;DATE(YEAR(E$25),MONTH(E$25)+1,1),'Sales Log'!$B$5:$B$1004,$A31,'Sales Log'!$R$5:$R$1004,"&lt;&gt;EXAMPLE")</f>
        <v>0</v>
      </c>
      <c r="F31" s="26" t="n">
        <f aca="false">SUMIFS('Sales Log'!$H$5:$H$1004,'Sales Log'!$A$5:$A$1004,"&gt;="&amp;F$25,'Sales Log'!$A$5:$A$1004,"&lt;"&amp;DATE(YEAR(F$25),MONTH(F$25)+1,1),'Sales Log'!$B$5:$B$1004,$A31,'Sales Log'!$R$5:$R$1004,"&lt;&gt;EXAMPLE")</f>
        <v>0</v>
      </c>
      <c r="G31" s="26" t="n">
        <f aca="false">SUMIFS('Sales Log'!$H$5:$H$1004,'Sales Log'!$A$5:$A$1004,"&gt;="&amp;G$25,'Sales Log'!$A$5:$A$1004,"&lt;"&amp;DATE(YEAR(G$25),MONTH(G$25)+1,1),'Sales Log'!$B$5:$B$1004,$A31,'Sales Log'!$R$5:$R$1004,"&lt;&gt;EXAMPLE")</f>
        <v>0</v>
      </c>
      <c r="H31" s="26" t="n">
        <f aca="false">SUMIFS('Sales Log'!$H$5:$H$1004,'Sales Log'!$A$5:$A$1004,"&gt;="&amp;H$25,'Sales Log'!$A$5:$A$1004,"&lt;"&amp;DATE(YEAR(H$25),MONTH(H$25)+1,1),'Sales Log'!$B$5:$B$1004,$A31,'Sales Log'!$R$5:$R$1004,"&lt;&gt;EXAMPLE")</f>
        <v>0</v>
      </c>
      <c r="I31" s="26" t="n">
        <f aca="false">SUMIFS('Sales Log'!$H$5:$H$1004,'Sales Log'!$A$5:$A$1004,"&gt;="&amp;I$25,'Sales Log'!$A$5:$A$1004,"&lt;"&amp;DATE(YEAR(I$25),MONTH(I$25)+1,1),'Sales Log'!$B$5:$B$1004,$A31,'Sales Log'!$R$5:$R$1004,"&lt;&gt;EXAMPLE")</f>
        <v>0</v>
      </c>
      <c r="J31" s="26" t="n">
        <f aca="false">SUMIFS('Sales Log'!$H$5:$H$1004,'Sales Log'!$A$5:$A$1004,"&gt;="&amp;J$25,'Sales Log'!$A$5:$A$1004,"&lt;"&amp;DATE(YEAR(J$25),MONTH(J$25)+1,1),'Sales Log'!$B$5:$B$1004,$A31,'Sales Log'!$R$5:$R$1004,"&lt;&gt;EXAMPLE")</f>
        <v>0</v>
      </c>
      <c r="K31" s="26" t="n">
        <f aca="false">SUMIFS('Sales Log'!$H$5:$H$1004,'Sales Log'!$A$5:$A$1004,"&gt;="&amp;K$25,'Sales Log'!$A$5:$A$1004,"&lt;"&amp;DATE(YEAR(K$25),MONTH(K$25)+1,1),'Sales Log'!$B$5:$B$1004,$A31,'Sales Log'!$R$5:$R$1004,"&lt;&gt;EXAMPLE")</f>
        <v>0</v>
      </c>
      <c r="L31" s="26" t="n">
        <f aca="false">SUMIFS('Sales Log'!$H$5:$H$1004,'Sales Log'!$A$5:$A$1004,"&gt;="&amp;L$25,'Sales Log'!$A$5:$A$1004,"&lt;"&amp;DATE(YEAR(L$25),MONTH(L$25)+1,1),'Sales Log'!$B$5:$B$1004,$A31,'Sales Log'!$R$5:$R$1004,"&lt;&gt;EXAMPLE")</f>
        <v>0</v>
      </c>
      <c r="M31" s="26" t="n">
        <f aca="false">SUMIFS('Sales Log'!$H$5:$H$1004,'Sales Log'!$A$5:$A$1004,"&gt;="&amp;M$25,'Sales Log'!$A$5:$A$1004,"&lt;"&amp;DATE(YEAR(M$25),MONTH(M$25)+1,1),'Sales Log'!$B$5:$B$1004,$A31,'Sales Log'!$R$5:$R$1004,"&lt;&gt;EXAMPLE")</f>
        <v>0</v>
      </c>
      <c r="N31" s="31" t="n">
        <f aca="false">SUM(B31:M31)</f>
        <v>0</v>
      </c>
    </row>
    <row r="32" customFormat="false" ht="15" hidden="false" customHeight="false" outlineLevel="0" collapsed="false">
      <c r="A32" s="30" t="str">
        <f aca="false">'Chart of Accounts'!$A$72</f>
        <v>Stripe (website &amp; invoices)</v>
      </c>
      <c r="B32" s="26" t="n">
        <f aca="false">SUMIFS('Sales Log'!$H$5:$H$1004,'Sales Log'!$A$5:$A$1004,"&gt;="&amp;B$25,'Sales Log'!$A$5:$A$1004,"&lt;"&amp;DATE(YEAR(B$25),MONTH(B$25)+1,1),'Sales Log'!$B$5:$B$1004,$A32,'Sales Log'!$R$5:$R$1004,"&lt;&gt;EXAMPLE")</f>
        <v>0</v>
      </c>
      <c r="C32" s="26" t="n">
        <f aca="false">SUMIFS('Sales Log'!$H$5:$H$1004,'Sales Log'!$A$5:$A$1004,"&gt;="&amp;C$25,'Sales Log'!$A$5:$A$1004,"&lt;"&amp;DATE(YEAR(C$25),MONTH(C$25)+1,1),'Sales Log'!$B$5:$B$1004,$A32,'Sales Log'!$R$5:$R$1004,"&lt;&gt;EXAMPLE")</f>
        <v>0</v>
      </c>
      <c r="D32" s="26" t="n">
        <f aca="false">SUMIFS('Sales Log'!$H$5:$H$1004,'Sales Log'!$A$5:$A$1004,"&gt;="&amp;D$25,'Sales Log'!$A$5:$A$1004,"&lt;"&amp;DATE(YEAR(D$25),MONTH(D$25)+1,1),'Sales Log'!$B$5:$B$1004,$A32,'Sales Log'!$R$5:$R$1004,"&lt;&gt;EXAMPLE")</f>
        <v>0</v>
      </c>
      <c r="E32" s="26" t="n">
        <f aca="false">SUMIFS('Sales Log'!$H$5:$H$1004,'Sales Log'!$A$5:$A$1004,"&gt;="&amp;E$25,'Sales Log'!$A$5:$A$1004,"&lt;"&amp;DATE(YEAR(E$25),MONTH(E$25)+1,1),'Sales Log'!$B$5:$B$1004,$A32,'Sales Log'!$R$5:$R$1004,"&lt;&gt;EXAMPLE")</f>
        <v>0</v>
      </c>
      <c r="F32" s="26" t="n">
        <f aca="false">SUMIFS('Sales Log'!$H$5:$H$1004,'Sales Log'!$A$5:$A$1004,"&gt;="&amp;F$25,'Sales Log'!$A$5:$A$1004,"&lt;"&amp;DATE(YEAR(F$25),MONTH(F$25)+1,1),'Sales Log'!$B$5:$B$1004,$A32,'Sales Log'!$R$5:$R$1004,"&lt;&gt;EXAMPLE")</f>
        <v>0</v>
      </c>
      <c r="G32" s="26" t="n">
        <f aca="false">SUMIFS('Sales Log'!$H$5:$H$1004,'Sales Log'!$A$5:$A$1004,"&gt;="&amp;G$25,'Sales Log'!$A$5:$A$1004,"&lt;"&amp;DATE(YEAR(G$25),MONTH(G$25)+1,1),'Sales Log'!$B$5:$B$1004,$A32,'Sales Log'!$R$5:$R$1004,"&lt;&gt;EXAMPLE")</f>
        <v>0</v>
      </c>
      <c r="H32" s="26" t="n">
        <f aca="false">SUMIFS('Sales Log'!$H$5:$H$1004,'Sales Log'!$A$5:$A$1004,"&gt;="&amp;H$25,'Sales Log'!$A$5:$A$1004,"&lt;"&amp;DATE(YEAR(H$25),MONTH(H$25)+1,1),'Sales Log'!$B$5:$B$1004,$A32,'Sales Log'!$R$5:$R$1004,"&lt;&gt;EXAMPLE")</f>
        <v>0</v>
      </c>
      <c r="I32" s="26" t="n">
        <f aca="false">SUMIFS('Sales Log'!$H$5:$H$1004,'Sales Log'!$A$5:$A$1004,"&gt;="&amp;I$25,'Sales Log'!$A$5:$A$1004,"&lt;"&amp;DATE(YEAR(I$25),MONTH(I$25)+1,1),'Sales Log'!$B$5:$B$1004,$A32,'Sales Log'!$R$5:$R$1004,"&lt;&gt;EXAMPLE")</f>
        <v>0</v>
      </c>
      <c r="J32" s="26" t="n">
        <f aca="false">SUMIFS('Sales Log'!$H$5:$H$1004,'Sales Log'!$A$5:$A$1004,"&gt;="&amp;J$25,'Sales Log'!$A$5:$A$1004,"&lt;"&amp;DATE(YEAR(J$25),MONTH(J$25)+1,1),'Sales Log'!$B$5:$B$1004,$A32,'Sales Log'!$R$5:$R$1004,"&lt;&gt;EXAMPLE")</f>
        <v>0</v>
      </c>
      <c r="K32" s="26" t="n">
        <f aca="false">SUMIFS('Sales Log'!$H$5:$H$1004,'Sales Log'!$A$5:$A$1004,"&gt;="&amp;K$25,'Sales Log'!$A$5:$A$1004,"&lt;"&amp;DATE(YEAR(K$25),MONTH(K$25)+1,1),'Sales Log'!$B$5:$B$1004,$A32,'Sales Log'!$R$5:$R$1004,"&lt;&gt;EXAMPLE")</f>
        <v>0</v>
      </c>
      <c r="L32" s="26" t="n">
        <f aca="false">SUMIFS('Sales Log'!$H$5:$H$1004,'Sales Log'!$A$5:$A$1004,"&gt;="&amp;L$25,'Sales Log'!$A$5:$A$1004,"&lt;"&amp;DATE(YEAR(L$25),MONTH(L$25)+1,1),'Sales Log'!$B$5:$B$1004,$A32,'Sales Log'!$R$5:$R$1004,"&lt;&gt;EXAMPLE")</f>
        <v>0</v>
      </c>
      <c r="M32" s="26" t="n">
        <f aca="false">SUMIFS('Sales Log'!$H$5:$H$1004,'Sales Log'!$A$5:$A$1004,"&gt;="&amp;M$25,'Sales Log'!$A$5:$A$1004,"&lt;"&amp;DATE(YEAR(M$25),MONTH(M$25)+1,1),'Sales Log'!$B$5:$B$1004,$A32,'Sales Log'!$R$5:$R$1004,"&lt;&gt;EXAMPLE")</f>
        <v>0</v>
      </c>
      <c r="N32" s="31" t="n">
        <f aca="false">SUM(B32:M32)</f>
        <v>0</v>
      </c>
    </row>
    <row r="33" customFormat="false" ht="15" hidden="false" customHeight="false" outlineLevel="0" collapsed="false">
      <c r="A33" s="30" t="str">
        <f aca="false">'Chart of Accounts'!$A$73</f>
        <v>PayPal Business</v>
      </c>
      <c r="B33" s="26" t="n">
        <f aca="false">SUMIFS('Sales Log'!$H$5:$H$1004,'Sales Log'!$A$5:$A$1004,"&gt;="&amp;B$25,'Sales Log'!$A$5:$A$1004,"&lt;"&amp;DATE(YEAR(B$25),MONTH(B$25)+1,1),'Sales Log'!$B$5:$B$1004,$A33,'Sales Log'!$R$5:$R$1004,"&lt;&gt;EXAMPLE")</f>
        <v>0</v>
      </c>
      <c r="C33" s="26" t="n">
        <f aca="false">SUMIFS('Sales Log'!$H$5:$H$1004,'Sales Log'!$A$5:$A$1004,"&gt;="&amp;C$25,'Sales Log'!$A$5:$A$1004,"&lt;"&amp;DATE(YEAR(C$25),MONTH(C$25)+1,1),'Sales Log'!$B$5:$B$1004,$A33,'Sales Log'!$R$5:$R$1004,"&lt;&gt;EXAMPLE")</f>
        <v>0</v>
      </c>
      <c r="D33" s="26" t="n">
        <f aca="false">SUMIFS('Sales Log'!$H$5:$H$1004,'Sales Log'!$A$5:$A$1004,"&gt;="&amp;D$25,'Sales Log'!$A$5:$A$1004,"&lt;"&amp;DATE(YEAR(D$25),MONTH(D$25)+1,1),'Sales Log'!$B$5:$B$1004,$A33,'Sales Log'!$R$5:$R$1004,"&lt;&gt;EXAMPLE")</f>
        <v>0</v>
      </c>
      <c r="E33" s="26" t="n">
        <f aca="false">SUMIFS('Sales Log'!$H$5:$H$1004,'Sales Log'!$A$5:$A$1004,"&gt;="&amp;E$25,'Sales Log'!$A$5:$A$1004,"&lt;"&amp;DATE(YEAR(E$25),MONTH(E$25)+1,1),'Sales Log'!$B$5:$B$1004,$A33,'Sales Log'!$R$5:$R$1004,"&lt;&gt;EXAMPLE")</f>
        <v>0</v>
      </c>
      <c r="F33" s="26" t="n">
        <f aca="false">SUMIFS('Sales Log'!$H$5:$H$1004,'Sales Log'!$A$5:$A$1004,"&gt;="&amp;F$25,'Sales Log'!$A$5:$A$1004,"&lt;"&amp;DATE(YEAR(F$25),MONTH(F$25)+1,1),'Sales Log'!$B$5:$B$1004,$A33,'Sales Log'!$R$5:$R$1004,"&lt;&gt;EXAMPLE")</f>
        <v>0</v>
      </c>
      <c r="G33" s="26" t="n">
        <f aca="false">SUMIFS('Sales Log'!$H$5:$H$1004,'Sales Log'!$A$5:$A$1004,"&gt;="&amp;G$25,'Sales Log'!$A$5:$A$1004,"&lt;"&amp;DATE(YEAR(G$25),MONTH(G$25)+1,1),'Sales Log'!$B$5:$B$1004,$A33,'Sales Log'!$R$5:$R$1004,"&lt;&gt;EXAMPLE")</f>
        <v>0</v>
      </c>
      <c r="H33" s="26" t="n">
        <f aca="false">SUMIFS('Sales Log'!$H$5:$H$1004,'Sales Log'!$A$5:$A$1004,"&gt;="&amp;H$25,'Sales Log'!$A$5:$A$1004,"&lt;"&amp;DATE(YEAR(H$25),MONTH(H$25)+1,1),'Sales Log'!$B$5:$B$1004,$A33,'Sales Log'!$R$5:$R$1004,"&lt;&gt;EXAMPLE")</f>
        <v>0</v>
      </c>
      <c r="I33" s="26" t="n">
        <f aca="false">SUMIFS('Sales Log'!$H$5:$H$1004,'Sales Log'!$A$5:$A$1004,"&gt;="&amp;I$25,'Sales Log'!$A$5:$A$1004,"&lt;"&amp;DATE(YEAR(I$25),MONTH(I$25)+1,1),'Sales Log'!$B$5:$B$1004,$A33,'Sales Log'!$R$5:$R$1004,"&lt;&gt;EXAMPLE")</f>
        <v>0</v>
      </c>
      <c r="J33" s="26" t="n">
        <f aca="false">SUMIFS('Sales Log'!$H$5:$H$1004,'Sales Log'!$A$5:$A$1004,"&gt;="&amp;J$25,'Sales Log'!$A$5:$A$1004,"&lt;"&amp;DATE(YEAR(J$25),MONTH(J$25)+1,1),'Sales Log'!$B$5:$B$1004,$A33,'Sales Log'!$R$5:$R$1004,"&lt;&gt;EXAMPLE")</f>
        <v>0</v>
      </c>
      <c r="K33" s="26" t="n">
        <f aca="false">SUMIFS('Sales Log'!$H$5:$H$1004,'Sales Log'!$A$5:$A$1004,"&gt;="&amp;K$25,'Sales Log'!$A$5:$A$1004,"&lt;"&amp;DATE(YEAR(K$25),MONTH(K$25)+1,1),'Sales Log'!$B$5:$B$1004,$A33,'Sales Log'!$R$5:$R$1004,"&lt;&gt;EXAMPLE")</f>
        <v>0</v>
      </c>
      <c r="L33" s="26" t="n">
        <f aca="false">SUMIFS('Sales Log'!$H$5:$H$1004,'Sales Log'!$A$5:$A$1004,"&gt;="&amp;L$25,'Sales Log'!$A$5:$A$1004,"&lt;"&amp;DATE(YEAR(L$25),MONTH(L$25)+1,1),'Sales Log'!$B$5:$B$1004,$A33,'Sales Log'!$R$5:$R$1004,"&lt;&gt;EXAMPLE")</f>
        <v>0</v>
      </c>
      <c r="M33" s="26" t="n">
        <f aca="false">SUMIFS('Sales Log'!$H$5:$H$1004,'Sales Log'!$A$5:$A$1004,"&gt;="&amp;M$25,'Sales Log'!$A$5:$A$1004,"&lt;"&amp;DATE(YEAR(M$25),MONTH(M$25)+1,1),'Sales Log'!$B$5:$B$1004,$A33,'Sales Log'!$R$5:$R$1004,"&lt;&gt;EXAMPLE")</f>
        <v>0</v>
      </c>
      <c r="N33" s="31" t="n">
        <f aca="false">SUM(B33:M33)</f>
        <v>0</v>
      </c>
    </row>
    <row r="34" customFormat="false" ht="15" hidden="false" customHeight="false" outlineLevel="0" collapsed="false">
      <c r="A34" s="30" t="str">
        <f aca="false">'Chart of Accounts'!$A$74</f>
        <v>Meta shop (FB/IG)</v>
      </c>
      <c r="B34" s="26" t="n">
        <f aca="false">SUMIFS('Sales Log'!$H$5:$H$1004,'Sales Log'!$A$5:$A$1004,"&gt;="&amp;B$25,'Sales Log'!$A$5:$A$1004,"&lt;"&amp;DATE(YEAR(B$25),MONTH(B$25)+1,1),'Sales Log'!$B$5:$B$1004,$A34,'Sales Log'!$R$5:$R$1004,"&lt;&gt;EXAMPLE")</f>
        <v>0</v>
      </c>
      <c r="C34" s="26" t="n">
        <f aca="false">SUMIFS('Sales Log'!$H$5:$H$1004,'Sales Log'!$A$5:$A$1004,"&gt;="&amp;C$25,'Sales Log'!$A$5:$A$1004,"&lt;"&amp;DATE(YEAR(C$25),MONTH(C$25)+1,1),'Sales Log'!$B$5:$B$1004,$A34,'Sales Log'!$R$5:$R$1004,"&lt;&gt;EXAMPLE")</f>
        <v>0</v>
      </c>
      <c r="D34" s="26" t="n">
        <f aca="false">SUMIFS('Sales Log'!$H$5:$H$1004,'Sales Log'!$A$5:$A$1004,"&gt;="&amp;D$25,'Sales Log'!$A$5:$A$1004,"&lt;"&amp;DATE(YEAR(D$25),MONTH(D$25)+1,1),'Sales Log'!$B$5:$B$1004,$A34,'Sales Log'!$R$5:$R$1004,"&lt;&gt;EXAMPLE")</f>
        <v>0</v>
      </c>
      <c r="E34" s="26" t="n">
        <f aca="false">SUMIFS('Sales Log'!$H$5:$H$1004,'Sales Log'!$A$5:$A$1004,"&gt;="&amp;E$25,'Sales Log'!$A$5:$A$1004,"&lt;"&amp;DATE(YEAR(E$25),MONTH(E$25)+1,1),'Sales Log'!$B$5:$B$1004,$A34,'Sales Log'!$R$5:$R$1004,"&lt;&gt;EXAMPLE")</f>
        <v>0</v>
      </c>
      <c r="F34" s="26" t="n">
        <f aca="false">SUMIFS('Sales Log'!$H$5:$H$1004,'Sales Log'!$A$5:$A$1004,"&gt;="&amp;F$25,'Sales Log'!$A$5:$A$1004,"&lt;"&amp;DATE(YEAR(F$25),MONTH(F$25)+1,1),'Sales Log'!$B$5:$B$1004,$A34,'Sales Log'!$R$5:$R$1004,"&lt;&gt;EXAMPLE")</f>
        <v>0</v>
      </c>
      <c r="G34" s="26" t="n">
        <f aca="false">SUMIFS('Sales Log'!$H$5:$H$1004,'Sales Log'!$A$5:$A$1004,"&gt;="&amp;G$25,'Sales Log'!$A$5:$A$1004,"&lt;"&amp;DATE(YEAR(G$25),MONTH(G$25)+1,1),'Sales Log'!$B$5:$B$1004,$A34,'Sales Log'!$R$5:$R$1004,"&lt;&gt;EXAMPLE")</f>
        <v>0</v>
      </c>
      <c r="H34" s="26" t="n">
        <f aca="false">SUMIFS('Sales Log'!$H$5:$H$1004,'Sales Log'!$A$5:$A$1004,"&gt;="&amp;H$25,'Sales Log'!$A$5:$A$1004,"&lt;"&amp;DATE(YEAR(H$25),MONTH(H$25)+1,1),'Sales Log'!$B$5:$B$1004,$A34,'Sales Log'!$R$5:$R$1004,"&lt;&gt;EXAMPLE")</f>
        <v>0</v>
      </c>
      <c r="I34" s="26" t="n">
        <f aca="false">SUMIFS('Sales Log'!$H$5:$H$1004,'Sales Log'!$A$5:$A$1004,"&gt;="&amp;I$25,'Sales Log'!$A$5:$A$1004,"&lt;"&amp;DATE(YEAR(I$25),MONTH(I$25)+1,1),'Sales Log'!$B$5:$B$1004,$A34,'Sales Log'!$R$5:$R$1004,"&lt;&gt;EXAMPLE")</f>
        <v>0</v>
      </c>
      <c r="J34" s="26" t="n">
        <f aca="false">SUMIFS('Sales Log'!$H$5:$H$1004,'Sales Log'!$A$5:$A$1004,"&gt;="&amp;J$25,'Sales Log'!$A$5:$A$1004,"&lt;"&amp;DATE(YEAR(J$25),MONTH(J$25)+1,1),'Sales Log'!$B$5:$B$1004,$A34,'Sales Log'!$R$5:$R$1004,"&lt;&gt;EXAMPLE")</f>
        <v>0</v>
      </c>
      <c r="K34" s="26" t="n">
        <f aca="false">SUMIFS('Sales Log'!$H$5:$H$1004,'Sales Log'!$A$5:$A$1004,"&gt;="&amp;K$25,'Sales Log'!$A$5:$A$1004,"&lt;"&amp;DATE(YEAR(K$25),MONTH(K$25)+1,1),'Sales Log'!$B$5:$B$1004,$A34,'Sales Log'!$R$5:$R$1004,"&lt;&gt;EXAMPLE")</f>
        <v>0</v>
      </c>
      <c r="L34" s="26" t="n">
        <f aca="false">SUMIFS('Sales Log'!$H$5:$H$1004,'Sales Log'!$A$5:$A$1004,"&gt;="&amp;L$25,'Sales Log'!$A$5:$A$1004,"&lt;"&amp;DATE(YEAR(L$25),MONTH(L$25)+1,1),'Sales Log'!$B$5:$B$1004,$A34,'Sales Log'!$R$5:$R$1004,"&lt;&gt;EXAMPLE")</f>
        <v>0</v>
      </c>
      <c r="M34" s="26" t="n">
        <f aca="false">SUMIFS('Sales Log'!$H$5:$H$1004,'Sales Log'!$A$5:$A$1004,"&gt;="&amp;M$25,'Sales Log'!$A$5:$A$1004,"&lt;"&amp;DATE(YEAR(M$25),MONTH(M$25)+1,1),'Sales Log'!$B$5:$B$1004,$A34,'Sales Log'!$R$5:$R$1004,"&lt;&gt;EXAMPLE")</f>
        <v>0</v>
      </c>
      <c r="N34" s="31" t="n">
        <f aca="false">SUM(B34:M34)</f>
        <v>0</v>
      </c>
    </row>
    <row r="35" customFormat="false" ht="15" hidden="false" customHeight="false" outlineLevel="0" collapsed="false">
      <c r="A35" s="30" t="str">
        <f aca="false">'Chart of Accounts'!$A$75</f>
        <v>Faire (wholesale)</v>
      </c>
      <c r="B35" s="26" t="n">
        <f aca="false">SUMIFS('Sales Log'!$H$5:$H$1004,'Sales Log'!$A$5:$A$1004,"&gt;="&amp;B$25,'Sales Log'!$A$5:$A$1004,"&lt;"&amp;DATE(YEAR(B$25),MONTH(B$25)+1,1),'Sales Log'!$B$5:$B$1004,$A35,'Sales Log'!$R$5:$R$1004,"&lt;&gt;EXAMPLE")</f>
        <v>0</v>
      </c>
      <c r="C35" s="26" t="n">
        <f aca="false">SUMIFS('Sales Log'!$H$5:$H$1004,'Sales Log'!$A$5:$A$1004,"&gt;="&amp;C$25,'Sales Log'!$A$5:$A$1004,"&lt;"&amp;DATE(YEAR(C$25),MONTH(C$25)+1,1),'Sales Log'!$B$5:$B$1004,$A35,'Sales Log'!$R$5:$R$1004,"&lt;&gt;EXAMPLE")</f>
        <v>0</v>
      </c>
      <c r="D35" s="26" t="n">
        <f aca="false">SUMIFS('Sales Log'!$H$5:$H$1004,'Sales Log'!$A$5:$A$1004,"&gt;="&amp;D$25,'Sales Log'!$A$5:$A$1004,"&lt;"&amp;DATE(YEAR(D$25),MONTH(D$25)+1,1),'Sales Log'!$B$5:$B$1004,$A35,'Sales Log'!$R$5:$R$1004,"&lt;&gt;EXAMPLE")</f>
        <v>0</v>
      </c>
      <c r="E35" s="26" t="n">
        <f aca="false">SUMIFS('Sales Log'!$H$5:$H$1004,'Sales Log'!$A$5:$A$1004,"&gt;="&amp;E$25,'Sales Log'!$A$5:$A$1004,"&lt;"&amp;DATE(YEAR(E$25),MONTH(E$25)+1,1),'Sales Log'!$B$5:$B$1004,$A35,'Sales Log'!$R$5:$R$1004,"&lt;&gt;EXAMPLE")</f>
        <v>0</v>
      </c>
      <c r="F35" s="26" t="n">
        <f aca="false">SUMIFS('Sales Log'!$H$5:$H$1004,'Sales Log'!$A$5:$A$1004,"&gt;="&amp;F$25,'Sales Log'!$A$5:$A$1004,"&lt;"&amp;DATE(YEAR(F$25),MONTH(F$25)+1,1),'Sales Log'!$B$5:$B$1004,$A35,'Sales Log'!$R$5:$R$1004,"&lt;&gt;EXAMPLE")</f>
        <v>0</v>
      </c>
      <c r="G35" s="26" t="n">
        <f aca="false">SUMIFS('Sales Log'!$H$5:$H$1004,'Sales Log'!$A$5:$A$1004,"&gt;="&amp;G$25,'Sales Log'!$A$5:$A$1004,"&lt;"&amp;DATE(YEAR(G$25),MONTH(G$25)+1,1),'Sales Log'!$B$5:$B$1004,$A35,'Sales Log'!$R$5:$R$1004,"&lt;&gt;EXAMPLE")</f>
        <v>0</v>
      </c>
      <c r="H35" s="26" t="n">
        <f aca="false">SUMIFS('Sales Log'!$H$5:$H$1004,'Sales Log'!$A$5:$A$1004,"&gt;="&amp;H$25,'Sales Log'!$A$5:$A$1004,"&lt;"&amp;DATE(YEAR(H$25),MONTH(H$25)+1,1),'Sales Log'!$B$5:$B$1004,$A35,'Sales Log'!$R$5:$R$1004,"&lt;&gt;EXAMPLE")</f>
        <v>0</v>
      </c>
      <c r="I35" s="26" t="n">
        <f aca="false">SUMIFS('Sales Log'!$H$5:$H$1004,'Sales Log'!$A$5:$A$1004,"&gt;="&amp;I$25,'Sales Log'!$A$5:$A$1004,"&lt;"&amp;DATE(YEAR(I$25),MONTH(I$25)+1,1),'Sales Log'!$B$5:$B$1004,$A35,'Sales Log'!$R$5:$R$1004,"&lt;&gt;EXAMPLE")</f>
        <v>0</v>
      </c>
      <c r="J35" s="26" t="n">
        <f aca="false">SUMIFS('Sales Log'!$H$5:$H$1004,'Sales Log'!$A$5:$A$1004,"&gt;="&amp;J$25,'Sales Log'!$A$5:$A$1004,"&lt;"&amp;DATE(YEAR(J$25),MONTH(J$25)+1,1),'Sales Log'!$B$5:$B$1004,$A35,'Sales Log'!$R$5:$R$1004,"&lt;&gt;EXAMPLE")</f>
        <v>0</v>
      </c>
      <c r="K35" s="26" t="n">
        <f aca="false">SUMIFS('Sales Log'!$H$5:$H$1004,'Sales Log'!$A$5:$A$1004,"&gt;="&amp;K$25,'Sales Log'!$A$5:$A$1004,"&lt;"&amp;DATE(YEAR(K$25),MONTH(K$25)+1,1),'Sales Log'!$B$5:$B$1004,$A35,'Sales Log'!$R$5:$R$1004,"&lt;&gt;EXAMPLE")</f>
        <v>0</v>
      </c>
      <c r="L35" s="26" t="n">
        <f aca="false">SUMIFS('Sales Log'!$H$5:$H$1004,'Sales Log'!$A$5:$A$1004,"&gt;="&amp;L$25,'Sales Log'!$A$5:$A$1004,"&lt;"&amp;DATE(YEAR(L$25),MONTH(L$25)+1,1),'Sales Log'!$B$5:$B$1004,$A35,'Sales Log'!$R$5:$R$1004,"&lt;&gt;EXAMPLE")</f>
        <v>0</v>
      </c>
      <c r="M35" s="26" t="n">
        <f aca="false">SUMIFS('Sales Log'!$H$5:$H$1004,'Sales Log'!$A$5:$A$1004,"&gt;="&amp;M$25,'Sales Log'!$A$5:$A$1004,"&lt;"&amp;DATE(YEAR(M$25),MONTH(M$25)+1,1),'Sales Log'!$B$5:$B$1004,$A35,'Sales Log'!$R$5:$R$1004,"&lt;&gt;EXAMPLE")</f>
        <v>0</v>
      </c>
      <c r="N35" s="31" t="n">
        <f aca="false">SUM(B35:M35)</f>
        <v>0</v>
      </c>
    </row>
    <row r="36" customFormat="false" ht="15" hidden="false" customHeight="false" outlineLevel="0" collapsed="false">
      <c r="A36" s="30" t="str">
        <f aca="false">'Chart of Accounts'!$A$76</f>
        <v>Merchant of record</v>
      </c>
      <c r="B36" s="26" t="n">
        <f aca="false">SUMIFS('Sales Log'!$H$5:$H$1004,'Sales Log'!$A$5:$A$1004,"&gt;="&amp;B$25,'Sales Log'!$A$5:$A$1004,"&lt;"&amp;DATE(YEAR(B$25),MONTH(B$25)+1,1),'Sales Log'!$B$5:$B$1004,$A36,'Sales Log'!$R$5:$R$1004,"&lt;&gt;EXAMPLE")</f>
        <v>0</v>
      </c>
      <c r="C36" s="26" t="n">
        <f aca="false">SUMIFS('Sales Log'!$H$5:$H$1004,'Sales Log'!$A$5:$A$1004,"&gt;="&amp;C$25,'Sales Log'!$A$5:$A$1004,"&lt;"&amp;DATE(YEAR(C$25),MONTH(C$25)+1,1),'Sales Log'!$B$5:$B$1004,$A36,'Sales Log'!$R$5:$R$1004,"&lt;&gt;EXAMPLE")</f>
        <v>0</v>
      </c>
      <c r="D36" s="26" t="n">
        <f aca="false">SUMIFS('Sales Log'!$H$5:$H$1004,'Sales Log'!$A$5:$A$1004,"&gt;="&amp;D$25,'Sales Log'!$A$5:$A$1004,"&lt;"&amp;DATE(YEAR(D$25),MONTH(D$25)+1,1),'Sales Log'!$B$5:$B$1004,$A36,'Sales Log'!$R$5:$R$1004,"&lt;&gt;EXAMPLE")</f>
        <v>0</v>
      </c>
      <c r="E36" s="26" t="n">
        <f aca="false">SUMIFS('Sales Log'!$H$5:$H$1004,'Sales Log'!$A$5:$A$1004,"&gt;="&amp;E$25,'Sales Log'!$A$5:$A$1004,"&lt;"&amp;DATE(YEAR(E$25),MONTH(E$25)+1,1),'Sales Log'!$B$5:$B$1004,$A36,'Sales Log'!$R$5:$R$1004,"&lt;&gt;EXAMPLE")</f>
        <v>0</v>
      </c>
      <c r="F36" s="26" t="n">
        <f aca="false">SUMIFS('Sales Log'!$H$5:$H$1004,'Sales Log'!$A$5:$A$1004,"&gt;="&amp;F$25,'Sales Log'!$A$5:$A$1004,"&lt;"&amp;DATE(YEAR(F$25),MONTH(F$25)+1,1),'Sales Log'!$B$5:$B$1004,$A36,'Sales Log'!$R$5:$R$1004,"&lt;&gt;EXAMPLE")</f>
        <v>0</v>
      </c>
      <c r="G36" s="26" t="n">
        <f aca="false">SUMIFS('Sales Log'!$H$5:$H$1004,'Sales Log'!$A$5:$A$1004,"&gt;="&amp;G$25,'Sales Log'!$A$5:$A$1004,"&lt;"&amp;DATE(YEAR(G$25),MONTH(G$25)+1,1),'Sales Log'!$B$5:$B$1004,$A36,'Sales Log'!$R$5:$R$1004,"&lt;&gt;EXAMPLE")</f>
        <v>0</v>
      </c>
      <c r="H36" s="26" t="n">
        <f aca="false">SUMIFS('Sales Log'!$H$5:$H$1004,'Sales Log'!$A$5:$A$1004,"&gt;="&amp;H$25,'Sales Log'!$A$5:$A$1004,"&lt;"&amp;DATE(YEAR(H$25),MONTH(H$25)+1,1),'Sales Log'!$B$5:$B$1004,$A36,'Sales Log'!$R$5:$R$1004,"&lt;&gt;EXAMPLE")</f>
        <v>0</v>
      </c>
      <c r="I36" s="26" t="n">
        <f aca="false">SUMIFS('Sales Log'!$H$5:$H$1004,'Sales Log'!$A$5:$A$1004,"&gt;="&amp;I$25,'Sales Log'!$A$5:$A$1004,"&lt;"&amp;DATE(YEAR(I$25),MONTH(I$25)+1,1),'Sales Log'!$B$5:$B$1004,$A36,'Sales Log'!$R$5:$R$1004,"&lt;&gt;EXAMPLE")</f>
        <v>0</v>
      </c>
      <c r="J36" s="26" t="n">
        <f aca="false">SUMIFS('Sales Log'!$H$5:$H$1004,'Sales Log'!$A$5:$A$1004,"&gt;="&amp;J$25,'Sales Log'!$A$5:$A$1004,"&lt;"&amp;DATE(YEAR(J$25),MONTH(J$25)+1,1),'Sales Log'!$B$5:$B$1004,$A36,'Sales Log'!$R$5:$R$1004,"&lt;&gt;EXAMPLE")</f>
        <v>0</v>
      </c>
      <c r="K36" s="26" t="n">
        <f aca="false">SUMIFS('Sales Log'!$H$5:$H$1004,'Sales Log'!$A$5:$A$1004,"&gt;="&amp;K$25,'Sales Log'!$A$5:$A$1004,"&lt;"&amp;DATE(YEAR(K$25),MONTH(K$25)+1,1),'Sales Log'!$B$5:$B$1004,$A36,'Sales Log'!$R$5:$R$1004,"&lt;&gt;EXAMPLE")</f>
        <v>0</v>
      </c>
      <c r="L36" s="26" t="n">
        <f aca="false">SUMIFS('Sales Log'!$H$5:$H$1004,'Sales Log'!$A$5:$A$1004,"&gt;="&amp;L$25,'Sales Log'!$A$5:$A$1004,"&lt;"&amp;DATE(YEAR(L$25),MONTH(L$25)+1,1),'Sales Log'!$B$5:$B$1004,$A36,'Sales Log'!$R$5:$R$1004,"&lt;&gt;EXAMPLE")</f>
        <v>0</v>
      </c>
      <c r="M36" s="26" t="n">
        <f aca="false">SUMIFS('Sales Log'!$H$5:$H$1004,'Sales Log'!$A$5:$A$1004,"&gt;="&amp;M$25,'Sales Log'!$A$5:$A$1004,"&lt;"&amp;DATE(YEAR(M$25),MONTH(M$25)+1,1),'Sales Log'!$B$5:$B$1004,$A36,'Sales Log'!$R$5:$R$1004,"&lt;&gt;EXAMPLE")</f>
        <v>0</v>
      </c>
      <c r="N36" s="31" t="n">
        <f aca="false">SUM(B36:M36)</f>
        <v>0</v>
      </c>
    </row>
    <row r="37" customFormat="false" ht="15" hidden="false" customHeight="false" outlineLevel="0" collapsed="false">
      <c r="A37" s="30" t="str">
        <f aca="false">'Chart of Accounts'!$A$77</f>
        <v>Amazon Associates</v>
      </c>
      <c r="B37" s="26" t="n">
        <f aca="false">SUMIFS('Sales Log'!$H$5:$H$1004,'Sales Log'!$A$5:$A$1004,"&gt;="&amp;B$25,'Sales Log'!$A$5:$A$1004,"&lt;"&amp;DATE(YEAR(B$25),MONTH(B$25)+1,1),'Sales Log'!$B$5:$B$1004,$A37,'Sales Log'!$R$5:$R$1004,"&lt;&gt;EXAMPLE")</f>
        <v>0</v>
      </c>
      <c r="C37" s="26" t="n">
        <f aca="false">SUMIFS('Sales Log'!$H$5:$H$1004,'Sales Log'!$A$5:$A$1004,"&gt;="&amp;C$25,'Sales Log'!$A$5:$A$1004,"&lt;"&amp;DATE(YEAR(C$25),MONTH(C$25)+1,1),'Sales Log'!$B$5:$B$1004,$A37,'Sales Log'!$R$5:$R$1004,"&lt;&gt;EXAMPLE")</f>
        <v>0</v>
      </c>
      <c r="D37" s="26" t="n">
        <f aca="false">SUMIFS('Sales Log'!$H$5:$H$1004,'Sales Log'!$A$5:$A$1004,"&gt;="&amp;D$25,'Sales Log'!$A$5:$A$1004,"&lt;"&amp;DATE(YEAR(D$25),MONTH(D$25)+1,1),'Sales Log'!$B$5:$B$1004,$A37,'Sales Log'!$R$5:$R$1004,"&lt;&gt;EXAMPLE")</f>
        <v>0</v>
      </c>
      <c r="E37" s="26" t="n">
        <f aca="false">SUMIFS('Sales Log'!$H$5:$H$1004,'Sales Log'!$A$5:$A$1004,"&gt;="&amp;E$25,'Sales Log'!$A$5:$A$1004,"&lt;"&amp;DATE(YEAR(E$25),MONTH(E$25)+1,1),'Sales Log'!$B$5:$B$1004,$A37,'Sales Log'!$R$5:$R$1004,"&lt;&gt;EXAMPLE")</f>
        <v>0</v>
      </c>
      <c r="F37" s="26" t="n">
        <f aca="false">SUMIFS('Sales Log'!$H$5:$H$1004,'Sales Log'!$A$5:$A$1004,"&gt;="&amp;F$25,'Sales Log'!$A$5:$A$1004,"&lt;"&amp;DATE(YEAR(F$25),MONTH(F$25)+1,1),'Sales Log'!$B$5:$B$1004,$A37,'Sales Log'!$R$5:$R$1004,"&lt;&gt;EXAMPLE")</f>
        <v>0</v>
      </c>
      <c r="G37" s="26" t="n">
        <f aca="false">SUMIFS('Sales Log'!$H$5:$H$1004,'Sales Log'!$A$5:$A$1004,"&gt;="&amp;G$25,'Sales Log'!$A$5:$A$1004,"&lt;"&amp;DATE(YEAR(G$25),MONTH(G$25)+1,1),'Sales Log'!$B$5:$B$1004,$A37,'Sales Log'!$R$5:$R$1004,"&lt;&gt;EXAMPLE")</f>
        <v>0</v>
      </c>
      <c r="H37" s="26" t="n">
        <f aca="false">SUMIFS('Sales Log'!$H$5:$H$1004,'Sales Log'!$A$5:$A$1004,"&gt;="&amp;H$25,'Sales Log'!$A$5:$A$1004,"&lt;"&amp;DATE(YEAR(H$25),MONTH(H$25)+1,1),'Sales Log'!$B$5:$B$1004,$A37,'Sales Log'!$R$5:$R$1004,"&lt;&gt;EXAMPLE")</f>
        <v>0</v>
      </c>
      <c r="I37" s="26" t="n">
        <f aca="false">SUMIFS('Sales Log'!$H$5:$H$1004,'Sales Log'!$A$5:$A$1004,"&gt;="&amp;I$25,'Sales Log'!$A$5:$A$1004,"&lt;"&amp;DATE(YEAR(I$25),MONTH(I$25)+1,1),'Sales Log'!$B$5:$B$1004,$A37,'Sales Log'!$R$5:$R$1004,"&lt;&gt;EXAMPLE")</f>
        <v>0</v>
      </c>
      <c r="J37" s="26" t="n">
        <f aca="false">SUMIFS('Sales Log'!$H$5:$H$1004,'Sales Log'!$A$5:$A$1004,"&gt;="&amp;J$25,'Sales Log'!$A$5:$A$1004,"&lt;"&amp;DATE(YEAR(J$25),MONTH(J$25)+1,1),'Sales Log'!$B$5:$B$1004,$A37,'Sales Log'!$R$5:$R$1004,"&lt;&gt;EXAMPLE")</f>
        <v>0</v>
      </c>
      <c r="K37" s="26" t="n">
        <f aca="false">SUMIFS('Sales Log'!$H$5:$H$1004,'Sales Log'!$A$5:$A$1004,"&gt;="&amp;K$25,'Sales Log'!$A$5:$A$1004,"&lt;"&amp;DATE(YEAR(K$25),MONTH(K$25)+1,1),'Sales Log'!$B$5:$B$1004,$A37,'Sales Log'!$R$5:$R$1004,"&lt;&gt;EXAMPLE")</f>
        <v>0</v>
      </c>
      <c r="L37" s="26" t="n">
        <f aca="false">SUMIFS('Sales Log'!$H$5:$H$1004,'Sales Log'!$A$5:$A$1004,"&gt;="&amp;L$25,'Sales Log'!$A$5:$A$1004,"&lt;"&amp;DATE(YEAR(L$25),MONTH(L$25)+1,1),'Sales Log'!$B$5:$B$1004,$A37,'Sales Log'!$R$5:$R$1004,"&lt;&gt;EXAMPLE")</f>
        <v>0</v>
      </c>
      <c r="M37" s="26" t="n">
        <f aca="false">SUMIFS('Sales Log'!$H$5:$H$1004,'Sales Log'!$A$5:$A$1004,"&gt;="&amp;M$25,'Sales Log'!$A$5:$A$1004,"&lt;"&amp;DATE(YEAR(M$25),MONTH(M$25)+1,1),'Sales Log'!$B$5:$B$1004,$A37,'Sales Log'!$R$5:$R$1004,"&lt;&gt;EXAMPLE")</f>
        <v>0</v>
      </c>
      <c r="N37" s="31" t="n">
        <f aca="false">SUM(B37:M37)</f>
        <v>0</v>
      </c>
    </row>
    <row r="38" customFormat="false" ht="15" hidden="false" customHeight="false" outlineLevel="0" collapsed="false">
      <c r="A38" s="30" t="str">
        <f aca="false">'Chart of Accounts'!$A$78</f>
        <v>Bookshop.org</v>
      </c>
      <c r="B38" s="26" t="n">
        <f aca="false">SUMIFS('Sales Log'!$H$5:$H$1004,'Sales Log'!$A$5:$A$1004,"&gt;="&amp;B$25,'Sales Log'!$A$5:$A$1004,"&lt;"&amp;DATE(YEAR(B$25),MONTH(B$25)+1,1),'Sales Log'!$B$5:$B$1004,$A38,'Sales Log'!$R$5:$R$1004,"&lt;&gt;EXAMPLE")</f>
        <v>0</v>
      </c>
      <c r="C38" s="26" t="n">
        <f aca="false">SUMIFS('Sales Log'!$H$5:$H$1004,'Sales Log'!$A$5:$A$1004,"&gt;="&amp;C$25,'Sales Log'!$A$5:$A$1004,"&lt;"&amp;DATE(YEAR(C$25),MONTH(C$25)+1,1),'Sales Log'!$B$5:$B$1004,$A38,'Sales Log'!$R$5:$R$1004,"&lt;&gt;EXAMPLE")</f>
        <v>0</v>
      </c>
      <c r="D38" s="26" t="n">
        <f aca="false">SUMIFS('Sales Log'!$H$5:$H$1004,'Sales Log'!$A$5:$A$1004,"&gt;="&amp;D$25,'Sales Log'!$A$5:$A$1004,"&lt;"&amp;DATE(YEAR(D$25),MONTH(D$25)+1,1),'Sales Log'!$B$5:$B$1004,$A38,'Sales Log'!$R$5:$R$1004,"&lt;&gt;EXAMPLE")</f>
        <v>0</v>
      </c>
      <c r="E38" s="26" t="n">
        <f aca="false">SUMIFS('Sales Log'!$H$5:$H$1004,'Sales Log'!$A$5:$A$1004,"&gt;="&amp;E$25,'Sales Log'!$A$5:$A$1004,"&lt;"&amp;DATE(YEAR(E$25),MONTH(E$25)+1,1),'Sales Log'!$B$5:$B$1004,$A38,'Sales Log'!$R$5:$R$1004,"&lt;&gt;EXAMPLE")</f>
        <v>0</v>
      </c>
      <c r="F38" s="26" t="n">
        <f aca="false">SUMIFS('Sales Log'!$H$5:$H$1004,'Sales Log'!$A$5:$A$1004,"&gt;="&amp;F$25,'Sales Log'!$A$5:$A$1004,"&lt;"&amp;DATE(YEAR(F$25),MONTH(F$25)+1,1),'Sales Log'!$B$5:$B$1004,$A38,'Sales Log'!$R$5:$R$1004,"&lt;&gt;EXAMPLE")</f>
        <v>0</v>
      </c>
      <c r="G38" s="26" t="n">
        <f aca="false">SUMIFS('Sales Log'!$H$5:$H$1004,'Sales Log'!$A$5:$A$1004,"&gt;="&amp;G$25,'Sales Log'!$A$5:$A$1004,"&lt;"&amp;DATE(YEAR(G$25),MONTH(G$25)+1,1),'Sales Log'!$B$5:$B$1004,$A38,'Sales Log'!$R$5:$R$1004,"&lt;&gt;EXAMPLE")</f>
        <v>0</v>
      </c>
      <c r="H38" s="26" t="n">
        <f aca="false">SUMIFS('Sales Log'!$H$5:$H$1004,'Sales Log'!$A$5:$A$1004,"&gt;="&amp;H$25,'Sales Log'!$A$5:$A$1004,"&lt;"&amp;DATE(YEAR(H$25),MONTH(H$25)+1,1),'Sales Log'!$B$5:$B$1004,$A38,'Sales Log'!$R$5:$R$1004,"&lt;&gt;EXAMPLE")</f>
        <v>0</v>
      </c>
      <c r="I38" s="26" t="n">
        <f aca="false">SUMIFS('Sales Log'!$H$5:$H$1004,'Sales Log'!$A$5:$A$1004,"&gt;="&amp;I$25,'Sales Log'!$A$5:$A$1004,"&lt;"&amp;DATE(YEAR(I$25),MONTH(I$25)+1,1),'Sales Log'!$B$5:$B$1004,$A38,'Sales Log'!$R$5:$R$1004,"&lt;&gt;EXAMPLE")</f>
        <v>0</v>
      </c>
      <c r="J38" s="26" t="n">
        <f aca="false">SUMIFS('Sales Log'!$H$5:$H$1004,'Sales Log'!$A$5:$A$1004,"&gt;="&amp;J$25,'Sales Log'!$A$5:$A$1004,"&lt;"&amp;DATE(YEAR(J$25),MONTH(J$25)+1,1),'Sales Log'!$B$5:$B$1004,$A38,'Sales Log'!$R$5:$R$1004,"&lt;&gt;EXAMPLE")</f>
        <v>0</v>
      </c>
      <c r="K38" s="26" t="n">
        <f aca="false">SUMIFS('Sales Log'!$H$5:$H$1004,'Sales Log'!$A$5:$A$1004,"&gt;="&amp;K$25,'Sales Log'!$A$5:$A$1004,"&lt;"&amp;DATE(YEAR(K$25),MONTH(K$25)+1,1),'Sales Log'!$B$5:$B$1004,$A38,'Sales Log'!$R$5:$R$1004,"&lt;&gt;EXAMPLE")</f>
        <v>0</v>
      </c>
      <c r="L38" s="26" t="n">
        <f aca="false">SUMIFS('Sales Log'!$H$5:$H$1004,'Sales Log'!$A$5:$A$1004,"&gt;="&amp;L$25,'Sales Log'!$A$5:$A$1004,"&lt;"&amp;DATE(YEAR(L$25),MONTH(L$25)+1,1),'Sales Log'!$B$5:$B$1004,$A38,'Sales Log'!$R$5:$R$1004,"&lt;&gt;EXAMPLE")</f>
        <v>0</v>
      </c>
      <c r="M38" s="26" t="n">
        <f aca="false">SUMIFS('Sales Log'!$H$5:$H$1004,'Sales Log'!$A$5:$A$1004,"&gt;="&amp;M$25,'Sales Log'!$A$5:$A$1004,"&lt;"&amp;DATE(YEAR(M$25),MONTH(M$25)+1,1),'Sales Log'!$B$5:$B$1004,$A38,'Sales Log'!$R$5:$R$1004,"&lt;&gt;EXAMPLE")</f>
        <v>0</v>
      </c>
      <c r="N38" s="31" t="n">
        <f aca="false">SUM(B38:M38)</f>
        <v>0</v>
      </c>
    </row>
    <row r="39" customFormat="false" ht="15" hidden="false" customHeight="false" outlineLevel="0" collapsed="false">
      <c r="A39" s="30" t="str">
        <f aca="false">'Chart of Accounts'!$A$79</f>
        <v>Direct (check / ACH / cash)</v>
      </c>
      <c r="B39" s="26" t="n">
        <f aca="false">SUMIFS('Sales Log'!$H$5:$H$1004,'Sales Log'!$A$5:$A$1004,"&gt;="&amp;B$25,'Sales Log'!$A$5:$A$1004,"&lt;"&amp;DATE(YEAR(B$25),MONTH(B$25)+1,1),'Sales Log'!$B$5:$B$1004,$A39,'Sales Log'!$R$5:$R$1004,"&lt;&gt;EXAMPLE")</f>
        <v>0</v>
      </c>
      <c r="C39" s="26" t="n">
        <f aca="false">SUMIFS('Sales Log'!$H$5:$H$1004,'Sales Log'!$A$5:$A$1004,"&gt;="&amp;C$25,'Sales Log'!$A$5:$A$1004,"&lt;"&amp;DATE(YEAR(C$25),MONTH(C$25)+1,1),'Sales Log'!$B$5:$B$1004,$A39,'Sales Log'!$R$5:$R$1004,"&lt;&gt;EXAMPLE")</f>
        <v>0</v>
      </c>
      <c r="D39" s="26" t="n">
        <f aca="false">SUMIFS('Sales Log'!$H$5:$H$1004,'Sales Log'!$A$5:$A$1004,"&gt;="&amp;D$25,'Sales Log'!$A$5:$A$1004,"&lt;"&amp;DATE(YEAR(D$25),MONTH(D$25)+1,1),'Sales Log'!$B$5:$B$1004,$A39,'Sales Log'!$R$5:$R$1004,"&lt;&gt;EXAMPLE")</f>
        <v>0</v>
      </c>
      <c r="E39" s="26" t="n">
        <f aca="false">SUMIFS('Sales Log'!$H$5:$H$1004,'Sales Log'!$A$5:$A$1004,"&gt;="&amp;E$25,'Sales Log'!$A$5:$A$1004,"&lt;"&amp;DATE(YEAR(E$25),MONTH(E$25)+1,1),'Sales Log'!$B$5:$B$1004,$A39,'Sales Log'!$R$5:$R$1004,"&lt;&gt;EXAMPLE")</f>
        <v>0</v>
      </c>
      <c r="F39" s="26" t="n">
        <f aca="false">SUMIFS('Sales Log'!$H$5:$H$1004,'Sales Log'!$A$5:$A$1004,"&gt;="&amp;F$25,'Sales Log'!$A$5:$A$1004,"&lt;"&amp;DATE(YEAR(F$25),MONTH(F$25)+1,1),'Sales Log'!$B$5:$B$1004,$A39,'Sales Log'!$R$5:$R$1004,"&lt;&gt;EXAMPLE")</f>
        <v>0</v>
      </c>
      <c r="G39" s="26" t="n">
        <f aca="false">SUMIFS('Sales Log'!$H$5:$H$1004,'Sales Log'!$A$5:$A$1004,"&gt;="&amp;G$25,'Sales Log'!$A$5:$A$1004,"&lt;"&amp;DATE(YEAR(G$25),MONTH(G$25)+1,1),'Sales Log'!$B$5:$B$1004,$A39,'Sales Log'!$R$5:$R$1004,"&lt;&gt;EXAMPLE")</f>
        <v>0</v>
      </c>
      <c r="H39" s="26" t="n">
        <f aca="false">SUMIFS('Sales Log'!$H$5:$H$1004,'Sales Log'!$A$5:$A$1004,"&gt;="&amp;H$25,'Sales Log'!$A$5:$A$1004,"&lt;"&amp;DATE(YEAR(H$25),MONTH(H$25)+1,1),'Sales Log'!$B$5:$B$1004,$A39,'Sales Log'!$R$5:$R$1004,"&lt;&gt;EXAMPLE")</f>
        <v>0</v>
      </c>
      <c r="I39" s="26" t="n">
        <f aca="false">SUMIFS('Sales Log'!$H$5:$H$1004,'Sales Log'!$A$5:$A$1004,"&gt;="&amp;I$25,'Sales Log'!$A$5:$A$1004,"&lt;"&amp;DATE(YEAR(I$25),MONTH(I$25)+1,1),'Sales Log'!$B$5:$B$1004,$A39,'Sales Log'!$R$5:$R$1004,"&lt;&gt;EXAMPLE")</f>
        <v>0</v>
      </c>
      <c r="J39" s="26" t="n">
        <f aca="false">SUMIFS('Sales Log'!$H$5:$H$1004,'Sales Log'!$A$5:$A$1004,"&gt;="&amp;J$25,'Sales Log'!$A$5:$A$1004,"&lt;"&amp;DATE(YEAR(J$25),MONTH(J$25)+1,1),'Sales Log'!$B$5:$B$1004,$A39,'Sales Log'!$R$5:$R$1004,"&lt;&gt;EXAMPLE")</f>
        <v>0</v>
      </c>
      <c r="K39" s="26" t="n">
        <f aca="false">SUMIFS('Sales Log'!$H$5:$H$1004,'Sales Log'!$A$5:$A$1004,"&gt;="&amp;K$25,'Sales Log'!$A$5:$A$1004,"&lt;"&amp;DATE(YEAR(K$25),MONTH(K$25)+1,1),'Sales Log'!$B$5:$B$1004,$A39,'Sales Log'!$R$5:$R$1004,"&lt;&gt;EXAMPLE")</f>
        <v>0</v>
      </c>
      <c r="L39" s="26" t="n">
        <f aca="false">SUMIFS('Sales Log'!$H$5:$H$1004,'Sales Log'!$A$5:$A$1004,"&gt;="&amp;L$25,'Sales Log'!$A$5:$A$1004,"&lt;"&amp;DATE(YEAR(L$25),MONTH(L$25)+1,1),'Sales Log'!$B$5:$B$1004,$A39,'Sales Log'!$R$5:$R$1004,"&lt;&gt;EXAMPLE")</f>
        <v>0</v>
      </c>
      <c r="M39" s="26" t="n">
        <f aca="false">SUMIFS('Sales Log'!$H$5:$H$1004,'Sales Log'!$A$5:$A$1004,"&gt;="&amp;M$25,'Sales Log'!$A$5:$A$1004,"&lt;"&amp;DATE(YEAR(M$25),MONTH(M$25)+1,1),'Sales Log'!$B$5:$B$1004,$A39,'Sales Log'!$R$5:$R$1004,"&lt;&gt;EXAMPLE")</f>
        <v>0</v>
      </c>
      <c r="N39" s="31" t="n">
        <f aca="false">SUM(B39:M39)</f>
        <v>0</v>
      </c>
    </row>
    <row r="40" customFormat="false" ht="15" hidden="false" customHeight="false" outlineLevel="0" collapsed="false">
      <c r="A40" s="32" t="s">
        <v>565</v>
      </c>
      <c r="B40" s="33" t="n">
        <f aca="false">SUM(B26:B39)</f>
        <v>0</v>
      </c>
      <c r="C40" s="33" t="n">
        <f aca="false">SUM(C26:C39)</f>
        <v>0</v>
      </c>
      <c r="D40" s="33" t="n">
        <f aca="false">SUM(D26:D39)</f>
        <v>0</v>
      </c>
      <c r="E40" s="33" t="n">
        <f aca="false">SUM(E26:E39)</f>
        <v>0</v>
      </c>
      <c r="F40" s="33" t="n">
        <f aca="false">SUM(F26:F39)</f>
        <v>0</v>
      </c>
      <c r="G40" s="33" t="n">
        <f aca="false">SUM(G26:G39)</f>
        <v>0</v>
      </c>
      <c r="H40" s="33" t="n">
        <f aca="false">SUM(H26:H39)</f>
        <v>0</v>
      </c>
      <c r="I40" s="33" t="n">
        <f aca="false">SUM(I26:I39)</f>
        <v>0</v>
      </c>
      <c r="J40" s="33" t="n">
        <f aca="false">SUM(J26:J39)</f>
        <v>0</v>
      </c>
      <c r="K40" s="33" t="n">
        <f aca="false">SUM(K26:K39)</f>
        <v>0</v>
      </c>
      <c r="L40" s="33" t="n">
        <f aca="false">SUM(L26:L39)</f>
        <v>0</v>
      </c>
      <c r="M40" s="33" t="n">
        <f aca="false">SUM(M26:M39)</f>
        <v>0</v>
      </c>
      <c r="N40" s="33" t="n">
        <f aca="false">SUM(N26:N39)</f>
        <v>0</v>
      </c>
    </row>
    <row r="43" customFormat="false" ht="15" hidden="false" customHeight="false" outlineLevel="0" collapsed="false">
      <c r="A43" s="3" t="s">
        <v>567</v>
      </c>
    </row>
    <row r="44" customFormat="false" ht="21.75" hidden="false" customHeight="true" outlineLevel="0" collapsed="false">
      <c r="A44" s="12" t="s">
        <v>349</v>
      </c>
      <c r="B44" s="29" t="n">
        <f aca="false">DATE($B$3,1,1)</f>
        <v>46023</v>
      </c>
      <c r="C44" s="29" t="n">
        <f aca="false">DATE($B$3,2,1)</f>
        <v>46054</v>
      </c>
      <c r="D44" s="29" t="n">
        <f aca="false">DATE($B$3,3,1)</f>
        <v>46082</v>
      </c>
      <c r="E44" s="29" t="n">
        <f aca="false">DATE($B$3,4,1)</f>
        <v>46113</v>
      </c>
      <c r="F44" s="29" t="n">
        <f aca="false">DATE($B$3,5,1)</f>
        <v>46143</v>
      </c>
      <c r="G44" s="29" t="n">
        <f aca="false">DATE($B$3,6,1)</f>
        <v>46174</v>
      </c>
      <c r="H44" s="29" t="n">
        <f aca="false">DATE($B$3,7,1)</f>
        <v>46204</v>
      </c>
      <c r="I44" s="29" t="n">
        <f aca="false">DATE($B$3,8,1)</f>
        <v>46235</v>
      </c>
      <c r="J44" s="29" t="n">
        <f aca="false">DATE($B$3,9,1)</f>
        <v>46266</v>
      </c>
      <c r="K44" s="29" t="n">
        <f aca="false">DATE($B$3,10,1)</f>
        <v>46296</v>
      </c>
      <c r="L44" s="29" t="n">
        <f aca="false">DATE($B$3,11,1)</f>
        <v>46327</v>
      </c>
      <c r="M44" s="29" t="n">
        <f aca="false">DATE($B$3,12,1)</f>
        <v>46357</v>
      </c>
      <c r="N44" s="12" t="s">
        <v>565</v>
      </c>
    </row>
    <row r="45" customFormat="false" ht="15" hidden="false" customHeight="false" outlineLevel="0" collapsed="false">
      <c r="A45" s="30" t="str">
        <f aca="false">'Chart of Accounts'!$A$66</f>
        <v>Amazon KDP</v>
      </c>
      <c r="B45" s="26" t="n">
        <f aca="false">SUMIFS('Sales Log'!$L$5:$L$1004,'Sales Log'!$A$5:$A$1004,"&gt;="&amp;B$44,'Sales Log'!$A$5:$A$1004,"&lt;"&amp;DATE(YEAR(B$44),MONTH(B$44)+1,1),'Sales Log'!$B$5:$B$1004,$A45,'Sales Log'!$R$5:$R$1004,"&lt;&gt;EXAMPLE")</f>
        <v>0</v>
      </c>
      <c r="C45" s="26" t="n">
        <f aca="false">SUMIFS('Sales Log'!$L$5:$L$1004,'Sales Log'!$A$5:$A$1004,"&gt;="&amp;C$44,'Sales Log'!$A$5:$A$1004,"&lt;"&amp;DATE(YEAR(C$44),MONTH(C$44)+1,1),'Sales Log'!$B$5:$B$1004,$A45,'Sales Log'!$R$5:$R$1004,"&lt;&gt;EXAMPLE")</f>
        <v>0</v>
      </c>
      <c r="D45" s="26" t="n">
        <f aca="false">SUMIFS('Sales Log'!$L$5:$L$1004,'Sales Log'!$A$5:$A$1004,"&gt;="&amp;D$44,'Sales Log'!$A$5:$A$1004,"&lt;"&amp;DATE(YEAR(D$44),MONTH(D$44)+1,1),'Sales Log'!$B$5:$B$1004,$A45,'Sales Log'!$R$5:$R$1004,"&lt;&gt;EXAMPLE")</f>
        <v>0</v>
      </c>
      <c r="E45" s="26" t="n">
        <f aca="false">SUMIFS('Sales Log'!$L$5:$L$1004,'Sales Log'!$A$5:$A$1004,"&gt;="&amp;E$44,'Sales Log'!$A$5:$A$1004,"&lt;"&amp;DATE(YEAR(E$44),MONTH(E$44)+1,1),'Sales Log'!$B$5:$B$1004,$A45,'Sales Log'!$R$5:$R$1004,"&lt;&gt;EXAMPLE")</f>
        <v>0</v>
      </c>
      <c r="F45" s="26" t="n">
        <f aca="false">SUMIFS('Sales Log'!$L$5:$L$1004,'Sales Log'!$A$5:$A$1004,"&gt;="&amp;F$44,'Sales Log'!$A$5:$A$1004,"&lt;"&amp;DATE(YEAR(F$44),MONTH(F$44)+1,1),'Sales Log'!$B$5:$B$1004,$A45,'Sales Log'!$R$5:$R$1004,"&lt;&gt;EXAMPLE")</f>
        <v>0</v>
      </c>
      <c r="G45" s="26" t="n">
        <f aca="false">SUMIFS('Sales Log'!$L$5:$L$1004,'Sales Log'!$A$5:$A$1004,"&gt;="&amp;G$44,'Sales Log'!$A$5:$A$1004,"&lt;"&amp;DATE(YEAR(G$44),MONTH(G$44)+1,1),'Sales Log'!$B$5:$B$1004,$A45,'Sales Log'!$R$5:$R$1004,"&lt;&gt;EXAMPLE")</f>
        <v>0</v>
      </c>
      <c r="H45" s="26" t="n">
        <f aca="false">SUMIFS('Sales Log'!$L$5:$L$1004,'Sales Log'!$A$5:$A$1004,"&gt;="&amp;H$44,'Sales Log'!$A$5:$A$1004,"&lt;"&amp;DATE(YEAR(H$44),MONTH(H$44)+1,1),'Sales Log'!$B$5:$B$1004,$A45,'Sales Log'!$R$5:$R$1004,"&lt;&gt;EXAMPLE")</f>
        <v>0</v>
      </c>
      <c r="I45" s="26" t="n">
        <f aca="false">SUMIFS('Sales Log'!$L$5:$L$1004,'Sales Log'!$A$5:$A$1004,"&gt;="&amp;I$44,'Sales Log'!$A$5:$A$1004,"&lt;"&amp;DATE(YEAR(I$44),MONTH(I$44)+1,1),'Sales Log'!$B$5:$B$1004,$A45,'Sales Log'!$R$5:$R$1004,"&lt;&gt;EXAMPLE")</f>
        <v>0</v>
      </c>
      <c r="J45" s="26" t="n">
        <f aca="false">SUMIFS('Sales Log'!$L$5:$L$1004,'Sales Log'!$A$5:$A$1004,"&gt;="&amp;J$44,'Sales Log'!$A$5:$A$1004,"&lt;"&amp;DATE(YEAR(J$44),MONTH(J$44)+1,1),'Sales Log'!$B$5:$B$1004,$A45,'Sales Log'!$R$5:$R$1004,"&lt;&gt;EXAMPLE")</f>
        <v>0</v>
      </c>
      <c r="K45" s="26" t="n">
        <f aca="false">SUMIFS('Sales Log'!$L$5:$L$1004,'Sales Log'!$A$5:$A$1004,"&gt;="&amp;K$44,'Sales Log'!$A$5:$A$1004,"&lt;"&amp;DATE(YEAR(K$44),MONTH(K$44)+1,1),'Sales Log'!$B$5:$B$1004,$A45,'Sales Log'!$R$5:$R$1004,"&lt;&gt;EXAMPLE")</f>
        <v>0</v>
      </c>
      <c r="L45" s="26" t="n">
        <f aca="false">SUMIFS('Sales Log'!$L$5:$L$1004,'Sales Log'!$A$5:$A$1004,"&gt;="&amp;L$44,'Sales Log'!$A$5:$A$1004,"&lt;"&amp;DATE(YEAR(L$44),MONTH(L$44)+1,1),'Sales Log'!$B$5:$B$1004,$A45,'Sales Log'!$R$5:$R$1004,"&lt;&gt;EXAMPLE")</f>
        <v>0</v>
      </c>
      <c r="M45" s="26" t="n">
        <f aca="false">SUMIFS('Sales Log'!$L$5:$L$1004,'Sales Log'!$A$5:$A$1004,"&gt;="&amp;M$44,'Sales Log'!$A$5:$A$1004,"&lt;"&amp;DATE(YEAR(M$44),MONTH(M$44)+1,1),'Sales Log'!$B$5:$B$1004,$A45,'Sales Log'!$R$5:$R$1004,"&lt;&gt;EXAMPLE")</f>
        <v>0</v>
      </c>
      <c r="N45" s="31" t="n">
        <f aca="false">SUM(B45:M45)</f>
        <v>0</v>
      </c>
    </row>
    <row r="46" customFormat="false" ht="15" hidden="false" customHeight="false" outlineLevel="0" collapsed="false">
      <c r="A46" s="30" t="str">
        <f aca="false">'Chart of Accounts'!$A$67</f>
        <v>IngramSpark</v>
      </c>
      <c r="B46" s="26" t="n">
        <f aca="false">SUMIFS('Sales Log'!$L$5:$L$1004,'Sales Log'!$A$5:$A$1004,"&gt;="&amp;B$44,'Sales Log'!$A$5:$A$1004,"&lt;"&amp;DATE(YEAR(B$44),MONTH(B$44)+1,1),'Sales Log'!$B$5:$B$1004,$A46,'Sales Log'!$R$5:$R$1004,"&lt;&gt;EXAMPLE")</f>
        <v>0</v>
      </c>
      <c r="C46" s="26" t="n">
        <f aca="false">SUMIFS('Sales Log'!$L$5:$L$1004,'Sales Log'!$A$5:$A$1004,"&gt;="&amp;C$44,'Sales Log'!$A$5:$A$1004,"&lt;"&amp;DATE(YEAR(C$44),MONTH(C$44)+1,1),'Sales Log'!$B$5:$B$1004,$A46,'Sales Log'!$R$5:$R$1004,"&lt;&gt;EXAMPLE")</f>
        <v>0</v>
      </c>
      <c r="D46" s="26" t="n">
        <f aca="false">SUMIFS('Sales Log'!$L$5:$L$1004,'Sales Log'!$A$5:$A$1004,"&gt;="&amp;D$44,'Sales Log'!$A$5:$A$1004,"&lt;"&amp;DATE(YEAR(D$44),MONTH(D$44)+1,1),'Sales Log'!$B$5:$B$1004,$A46,'Sales Log'!$R$5:$R$1004,"&lt;&gt;EXAMPLE")</f>
        <v>0</v>
      </c>
      <c r="E46" s="26" t="n">
        <f aca="false">SUMIFS('Sales Log'!$L$5:$L$1004,'Sales Log'!$A$5:$A$1004,"&gt;="&amp;E$44,'Sales Log'!$A$5:$A$1004,"&lt;"&amp;DATE(YEAR(E$44),MONTH(E$44)+1,1),'Sales Log'!$B$5:$B$1004,$A46,'Sales Log'!$R$5:$R$1004,"&lt;&gt;EXAMPLE")</f>
        <v>0</v>
      </c>
      <c r="F46" s="26" t="n">
        <f aca="false">SUMIFS('Sales Log'!$L$5:$L$1004,'Sales Log'!$A$5:$A$1004,"&gt;="&amp;F$44,'Sales Log'!$A$5:$A$1004,"&lt;"&amp;DATE(YEAR(F$44),MONTH(F$44)+1,1),'Sales Log'!$B$5:$B$1004,$A46,'Sales Log'!$R$5:$R$1004,"&lt;&gt;EXAMPLE")</f>
        <v>0</v>
      </c>
      <c r="G46" s="26" t="n">
        <f aca="false">SUMIFS('Sales Log'!$L$5:$L$1004,'Sales Log'!$A$5:$A$1004,"&gt;="&amp;G$44,'Sales Log'!$A$5:$A$1004,"&lt;"&amp;DATE(YEAR(G$44),MONTH(G$44)+1,1),'Sales Log'!$B$5:$B$1004,$A46,'Sales Log'!$R$5:$R$1004,"&lt;&gt;EXAMPLE")</f>
        <v>0</v>
      </c>
      <c r="H46" s="26" t="n">
        <f aca="false">SUMIFS('Sales Log'!$L$5:$L$1004,'Sales Log'!$A$5:$A$1004,"&gt;="&amp;H$44,'Sales Log'!$A$5:$A$1004,"&lt;"&amp;DATE(YEAR(H$44),MONTH(H$44)+1,1),'Sales Log'!$B$5:$B$1004,$A46,'Sales Log'!$R$5:$R$1004,"&lt;&gt;EXAMPLE")</f>
        <v>0</v>
      </c>
      <c r="I46" s="26" t="n">
        <f aca="false">SUMIFS('Sales Log'!$L$5:$L$1004,'Sales Log'!$A$5:$A$1004,"&gt;="&amp;I$44,'Sales Log'!$A$5:$A$1004,"&lt;"&amp;DATE(YEAR(I$44),MONTH(I$44)+1,1),'Sales Log'!$B$5:$B$1004,$A46,'Sales Log'!$R$5:$R$1004,"&lt;&gt;EXAMPLE")</f>
        <v>0</v>
      </c>
      <c r="J46" s="26" t="n">
        <f aca="false">SUMIFS('Sales Log'!$L$5:$L$1004,'Sales Log'!$A$5:$A$1004,"&gt;="&amp;J$44,'Sales Log'!$A$5:$A$1004,"&lt;"&amp;DATE(YEAR(J$44),MONTH(J$44)+1,1),'Sales Log'!$B$5:$B$1004,$A46,'Sales Log'!$R$5:$R$1004,"&lt;&gt;EXAMPLE")</f>
        <v>0</v>
      </c>
      <c r="K46" s="26" t="n">
        <f aca="false">SUMIFS('Sales Log'!$L$5:$L$1004,'Sales Log'!$A$5:$A$1004,"&gt;="&amp;K$44,'Sales Log'!$A$5:$A$1004,"&lt;"&amp;DATE(YEAR(K$44),MONTH(K$44)+1,1),'Sales Log'!$B$5:$B$1004,$A46,'Sales Log'!$R$5:$R$1004,"&lt;&gt;EXAMPLE")</f>
        <v>0</v>
      </c>
      <c r="L46" s="26" t="n">
        <f aca="false">SUMIFS('Sales Log'!$L$5:$L$1004,'Sales Log'!$A$5:$A$1004,"&gt;="&amp;L$44,'Sales Log'!$A$5:$A$1004,"&lt;"&amp;DATE(YEAR(L$44),MONTH(L$44)+1,1),'Sales Log'!$B$5:$B$1004,$A46,'Sales Log'!$R$5:$R$1004,"&lt;&gt;EXAMPLE")</f>
        <v>0</v>
      </c>
      <c r="M46" s="26" t="n">
        <f aca="false">SUMIFS('Sales Log'!$L$5:$L$1004,'Sales Log'!$A$5:$A$1004,"&gt;="&amp;M$44,'Sales Log'!$A$5:$A$1004,"&lt;"&amp;DATE(YEAR(M$44),MONTH(M$44)+1,1),'Sales Log'!$B$5:$B$1004,$A46,'Sales Log'!$R$5:$R$1004,"&lt;&gt;EXAMPLE")</f>
        <v>0</v>
      </c>
      <c r="N46" s="31" t="n">
        <f aca="false">SUM(B46:M46)</f>
        <v>0</v>
      </c>
    </row>
    <row r="47" customFormat="false" ht="15" hidden="false" customHeight="false" outlineLevel="0" collapsed="false">
      <c r="A47" s="30" t="str">
        <f aca="false">'Chart of Accounts'!$A$68</f>
        <v>Etsy</v>
      </c>
      <c r="B47" s="26" t="n">
        <f aca="false">SUMIFS('Sales Log'!$L$5:$L$1004,'Sales Log'!$A$5:$A$1004,"&gt;="&amp;B$44,'Sales Log'!$A$5:$A$1004,"&lt;"&amp;DATE(YEAR(B$44),MONTH(B$44)+1,1),'Sales Log'!$B$5:$B$1004,$A47,'Sales Log'!$R$5:$R$1004,"&lt;&gt;EXAMPLE")</f>
        <v>0</v>
      </c>
      <c r="C47" s="26" t="n">
        <f aca="false">SUMIFS('Sales Log'!$L$5:$L$1004,'Sales Log'!$A$5:$A$1004,"&gt;="&amp;C$44,'Sales Log'!$A$5:$A$1004,"&lt;"&amp;DATE(YEAR(C$44),MONTH(C$44)+1,1),'Sales Log'!$B$5:$B$1004,$A47,'Sales Log'!$R$5:$R$1004,"&lt;&gt;EXAMPLE")</f>
        <v>0</v>
      </c>
      <c r="D47" s="26" t="n">
        <f aca="false">SUMIFS('Sales Log'!$L$5:$L$1004,'Sales Log'!$A$5:$A$1004,"&gt;="&amp;D$44,'Sales Log'!$A$5:$A$1004,"&lt;"&amp;DATE(YEAR(D$44),MONTH(D$44)+1,1),'Sales Log'!$B$5:$B$1004,$A47,'Sales Log'!$R$5:$R$1004,"&lt;&gt;EXAMPLE")</f>
        <v>0</v>
      </c>
      <c r="E47" s="26" t="n">
        <f aca="false">SUMIFS('Sales Log'!$L$5:$L$1004,'Sales Log'!$A$5:$A$1004,"&gt;="&amp;E$44,'Sales Log'!$A$5:$A$1004,"&lt;"&amp;DATE(YEAR(E$44),MONTH(E$44)+1,1),'Sales Log'!$B$5:$B$1004,$A47,'Sales Log'!$R$5:$R$1004,"&lt;&gt;EXAMPLE")</f>
        <v>0</v>
      </c>
      <c r="F47" s="26" t="n">
        <f aca="false">SUMIFS('Sales Log'!$L$5:$L$1004,'Sales Log'!$A$5:$A$1004,"&gt;="&amp;F$44,'Sales Log'!$A$5:$A$1004,"&lt;"&amp;DATE(YEAR(F$44),MONTH(F$44)+1,1),'Sales Log'!$B$5:$B$1004,$A47,'Sales Log'!$R$5:$R$1004,"&lt;&gt;EXAMPLE")</f>
        <v>0</v>
      </c>
      <c r="G47" s="26" t="n">
        <f aca="false">SUMIFS('Sales Log'!$L$5:$L$1004,'Sales Log'!$A$5:$A$1004,"&gt;="&amp;G$44,'Sales Log'!$A$5:$A$1004,"&lt;"&amp;DATE(YEAR(G$44),MONTH(G$44)+1,1),'Sales Log'!$B$5:$B$1004,$A47,'Sales Log'!$R$5:$R$1004,"&lt;&gt;EXAMPLE")</f>
        <v>0</v>
      </c>
      <c r="H47" s="26" t="n">
        <f aca="false">SUMIFS('Sales Log'!$L$5:$L$1004,'Sales Log'!$A$5:$A$1004,"&gt;="&amp;H$44,'Sales Log'!$A$5:$A$1004,"&lt;"&amp;DATE(YEAR(H$44),MONTH(H$44)+1,1),'Sales Log'!$B$5:$B$1004,$A47,'Sales Log'!$R$5:$R$1004,"&lt;&gt;EXAMPLE")</f>
        <v>0</v>
      </c>
      <c r="I47" s="26" t="n">
        <f aca="false">SUMIFS('Sales Log'!$L$5:$L$1004,'Sales Log'!$A$5:$A$1004,"&gt;="&amp;I$44,'Sales Log'!$A$5:$A$1004,"&lt;"&amp;DATE(YEAR(I$44),MONTH(I$44)+1,1),'Sales Log'!$B$5:$B$1004,$A47,'Sales Log'!$R$5:$R$1004,"&lt;&gt;EXAMPLE")</f>
        <v>0</v>
      </c>
      <c r="J47" s="26" t="n">
        <f aca="false">SUMIFS('Sales Log'!$L$5:$L$1004,'Sales Log'!$A$5:$A$1004,"&gt;="&amp;J$44,'Sales Log'!$A$5:$A$1004,"&lt;"&amp;DATE(YEAR(J$44),MONTH(J$44)+1,1),'Sales Log'!$B$5:$B$1004,$A47,'Sales Log'!$R$5:$R$1004,"&lt;&gt;EXAMPLE")</f>
        <v>0</v>
      </c>
      <c r="K47" s="26" t="n">
        <f aca="false">SUMIFS('Sales Log'!$L$5:$L$1004,'Sales Log'!$A$5:$A$1004,"&gt;="&amp;K$44,'Sales Log'!$A$5:$A$1004,"&lt;"&amp;DATE(YEAR(K$44),MONTH(K$44)+1,1),'Sales Log'!$B$5:$B$1004,$A47,'Sales Log'!$R$5:$R$1004,"&lt;&gt;EXAMPLE")</f>
        <v>0</v>
      </c>
      <c r="L47" s="26" t="n">
        <f aca="false">SUMIFS('Sales Log'!$L$5:$L$1004,'Sales Log'!$A$5:$A$1004,"&gt;="&amp;L$44,'Sales Log'!$A$5:$A$1004,"&lt;"&amp;DATE(YEAR(L$44),MONTH(L$44)+1,1),'Sales Log'!$B$5:$B$1004,$A47,'Sales Log'!$R$5:$R$1004,"&lt;&gt;EXAMPLE")</f>
        <v>0</v>
      </c>
      <c r="M47" s="26" t="n">
        <f aca="false">SUMIFS('Sales Log'!$L$5:$L$1004,'Sales Log'!$A$5:$A$1004,"&gt;="&amp;M$44,'Sales Log'!$A$5:$A$1004,"&lt;"&amp;DATE(YEAR(M$44),MONTH(M$44)+1,1),'Sales Log'!$B$5:$B$1004,$A47,'Sales Log'!$R$5:$R$1004,"&lt;&gt;EXAMPLE")</f>
        <v>0</v>
      </c>
      <c r="N47" s="31" t="n">
        <f aca="false">SUM(B47:M47)</f>
        <v>0</v>
      </c>
    </row>
    <row r="48" customFormat="false" ht="15" hidden="false" customHeight="false" outlineLevel="0" collapsed="false">
      <c r="A48" s="30" t="str">
        <f aca="false">'Chart of Accounts'!$A$69</f>
        <v>Teachers Pay Teachers</v>
      </c>
      <c r="B48" s="26" t="n">
        <f aca="false">SUMIFS('Sales Log'!$L$5:$L$1004,'Sales Log'!$A$5:$A$1004,"&gt;="&amp;B$44,'Sales Log'!$A$5:$A$1004,"&lt;"&amp;DATE(YEAR(B$44),MONTH(B$44)+1,1),'Sales Log'!$B$5:$B$1004,$A48,'Sales Log'!$R$5:$R$1004,"&lt;&gt;EXAMPLE")</f>
        <v>0</v>
      </c>
      <c r="C48" s="26" t="n">
        <f aca="false">SUMIFS('Sales Log'!$L$5:$L$1004,'Sales Log'!$A$5:$A$1004,"&gt;="&amp;C$44,'Sales Log'!$A$5:$A$1004,"&lt;"&amp;DATE(YEAR(C$44),MONTH(C$44)+1,1),'Sales Log'!$B$5:$B$1004,$A48,'Sales Log'!$R$5:$R$1004,"&lt;&gt;EXAMPLE")</f>
        <v>0</v>
      </c>
      <c r="D48" s="26" t="n">
        <f aca="false">SUMIFS('Sales Log'!$L$5:$L$1004,'Sales Log'!$A$5:$A$1004,"&gt;="&amp;D$44,'Sales Log'!$A$5:$A$1004,"&lt;"&amp;DATE(YEAR(D$44),MONTH(D$44)+1,1),'Sales Log'!$B$5:$B$1004,$A48,'Sales Log'!$R$5:$R$1004,"&lt;&gt;EXAMPLE")</f>
        <v>0</v>
      </c>
      <c r="E48" s="26" t="n">
        <f aca="false">SUMIFS('Sales Log'!$L$5:$L$1004,'Sales Log'!$A$5:$A$1004,"&gt;="&amp;E$44,'Sales Log'!$A$5:$A$1004,"&lt;"&amp;DATE(YEAR(E$44),MONTH(E$44)+1,1),'Sales Log'!$B$5:$B$1004,$A48,'Sales Log'!$R$5:$R$1004,"&lt;&gt;EXAMPLE")</f>
        <v>0</v>
      </c>
      <c r="F48" s="26" t="n">
        <f aca="false">SUMIFS('Sales Log'!$L$5:$L$1004,'Sales Log'!$A$5:$A$1004,"&gt;="&amp;F$44,'Sales Log'!$A$5:$A$1004,"&lt;"&amp;DATE(YEAR(F$44),MONTH(F$44)+1,1),'Sales Log'!$B$5:$B$1004,$A48,'Sales Log'!$R$5:$R$1004,"&lt;&gt;EXAMPLE")</f>
        <v>0</v>
      </c>
      <c r="G48" s="26" t="n">
        <f aca="false">SUMIFS('Sales Log'!$L$5:$L$1004,'Sales Log'!$A$5:$A$1004,"&gt;="&amp;G$44,'Sales Log'!$A$5:$A$1004,"&lt;"&amp;DATE(YEAR(G$44),MONTH(G$44)+1,1),'Sales Log'!$B$5:$B$1004,$A48,'Sales Log'!$R$5:$R$1004,"&lt;&gt;EXAMPLE")</f>
        <v>0</v>
      </c>
      <c r="H48" s="26" t="n">
        <f aca="false">SUMIFS('Sales Log'!$L$5:$L$1004,'Sales Log'!$A$5:$A$1004,"&gt;="&amp;H$44,'Sales Log'!$A$5:$A$1004,"&lt;"&amp;DATE(YEAR(H$44),MONTH(H$44)+1,1),'Sales Log'!$B$5:$B$1004,$A48,'Sales Log'!$R$5:$R$1004,"&lt;&gt;EXAMPLE")</f>
        <v>0</v>
      </c>
      <c r="I48" s="26" t="n">
        <f aca="false">SUMIFS('Sales Log'!$L$5:$L$1004,'Sales Log'!$A$5:$A$1004,"&gt;="&amp;I$44,'Sales Log'!$A$5:$A$1004,"&lt;"&amp;DATE(YEAR(I$44),MONTH(I$44)+1,1),'Sales Log'!$B$5:$B$1004,$A48,'Sales Log'!$R$5:$R$1004,"&lt;&gt;EXAMPLE")</f>
        <v>0</v>
      </c>
      <c r="J48" s="26" t="n">
        <f aca="false">SUMIFS('Sales Log'!$L$5:$L$1004,'Sales Log'!$A$5:$A$1004,"&gt;="&amp;J$44,'Sales Log'!$A$5:$A$1004,"&lt;"&amp;DATE(YEAR(J$44),MONTH(J$44)+1,1),'Sales Log'!$B$5:$B$1004,$A48,'Sales Log'!$R$5:$R$1004,"&lt;&gt;EXAMPLE")</f>
        <v>0</v>
      </c>
      <c r="K48" s="26" t="n">
        <f aca="false">SUMIFS('Sales Log'!$L$5:$L$1004,'Sales Log'!$A$5:$A$1004,"&gt;="&amp;K$44,'Sales Log'!$A$5:$A$1004,"&lt;"&amp;DATE(YEAR(K$44),MONTH(K$44)+1,1),'Sales Log'!$B$5:$B$1004,$A48,'Sales Log'!$R$5:$R$1004,"&lt;&gt;EXAMPLE")</f>
        <v>0</v>
      </c>
      <c r="L48" s="26" t="n">
        <f aca="false">SUMIFS('Sales Log'!$L$5:$L$1004,'Sales Log'!$A$5:$A$1004,"&gt;="&amp;L$44,'Sales Log'!$A$5:$A$1004,"&lt;"&amp;DATE(YEAR(L$44),MONTH(L$44)+1,1),'Sales Log'!$B$5:$B$1004,$A48,'Sales Log'!$R$5:$R$1004,"&lt;&gt;EXAMPLE")</f>
        <v>0</v>
      </c>
      <c r="M48" s="26" t="n">
        <f aca="false">SUMIFS('Sales Log'!$L$5:$L$1004,'Sales Log'!$A$5:$A$1004,"&gt;="&amp;M$44,'Sales Log'!$A$5:$A$1004,"&lt;"&amp;DATE(YEAR(M$44),MONTH(M$44)+1,1),'Sales Log'!$B$5:$B$1004,$A48,'Sales Log'!$R$5:$R$1004,"&lt;&gt;EXAMPLE")</f>
        <v>0</v>
      </c>
      <c r="N48" s="31" t="n">
        <f aca="false">SUM(B48:M48)</f>
        <v>0</v>
      </c>
    </row>
    <row r="49" customFormat="false" ht="15" hidden="false" customHeight="false" outlineLevel="0" collapsed="false">
      <c r="A49" s="30" t="str">
        <f aca="false">'Chart of Accounts'!$A$70</f>
        <v>TikTok Shop</v>
      </c>
      <c r="B49" s="26" t="n">
        <f aca="false">SUMIFS('Sales Log'!$L$5:$L$1004,'Sales Log'!$A$5:$A$1004,"&gt;="&amp;B$44,'Sales Log'!$A$5:$A$1004,"&lt;"&amp;DATE(YEAR(B$44),MONTH(B$44)+1,1),'Sales Log'!$B$5:$B$1004,$A49,'Sales Log'!$R$5:$R$1004,"&lt;&gt;EXAMPLE")</f>
        <v>0</v>
      </c>
      <c r="C49" s="26" t="n">
        <f aca="false">SUMIFS('Sales Log'!$L$5:$L$1004,'Sales Log'!$A$5:$A$1004,"&gt;="&amp;C$44,'Sales Log'!$A$5:$A$1004,"&lt;"&amp;DATE(YEAR(C$44),MONTH(C$44)+1,1),'Sales Log'!$B$5:$B$1004,$A49,'Sales Log'!$R$5:$R$1004,"&lt;&gt;EXAMPLE")</f>
        <v>0</v>
      </c>
      <c r="D49" s="26" t="n">
        <f aca="false">SUMIFS('Sales Log'!$L$5:$L$1004,'Sales Log'!$A$5:$A$1004,"&gt;="&amp;D$44,'Sales Log'!$A$5:$A$1004,"&lt;"&amp;DATE(YEAR(D$44),MONTH(D$44)+1,1),'Sales Log'!$B$5:$B$1004,$A49,'Sales Log'!$R$5:$R$1004,"&lt;&gt;EXAMPLE")</f>
        <v>0</v>
      </c>
      <c r="E49" s="26" t="n">
        <f aca="false">SUMIFS('Sales Log'!$L$5:$L$1004,'Sales Log'!$A$5:$A$1004,"&gt;="&amp;E$44,'Sales Log'!$A$5:$A$1004,"&lt;"&amp;DATE(YEAR(E$44),MONTH(E$44)+1,1),'Sales Log'!$B$5:$B$1004,$A49,'Sales Log'!$R$5:$R$1004,"&lt;&gt;EXAMPLE")</f>
        <v>0</v>
      </c>
      <c r="F49" s="26" t="n">
        <f aca="false">SUMIFS('Sales Log'!$L$5:$L$1004,'Sales Log'!$A$5:$A$1004,"&gt;="&amp;F$44,'Sales Log'!$A$5:$A$1004,"&lt;"&amp;DATE(YEAR(F$44),MONTH(F$44)+1,1),'Sales Log'!$B$5:$B$1004,$A49,'Sales Log'!$R$5:$R$1004,"&lt;&gt;EXAMPLE")</f>
        <v>0</v>
      </c>
      <c r="G49" s="26" t="n">
        <f aca="false">SUMIFS('Sales Log'!$L$5:$L$1004,'Sales Log'!$A$5:$A$1004,"&gt;="&amp;G$44,'Sales Log'!$A$5:$A$1004,"&lt;"&amp;DATE(YEAR(G$44),MONTH(G$44)+1,1),'Sales Log'!$B$5:$B$1004,$A49,'Sales Log'!$R$5:$R$1004,"&lt;&gt;EXAMPLE")</f>
        <v>0</v>
      </c>
      <c r="H49" s="26" t="n">
        <f aca="false">SUMIFS('Sales Log'!$L$5:$L$1004,'Sales Log'!$A$5:$A$1004,"&gt;="&amp;H$44,'Sales Log'!$A$5:$A$1004,"&lt;"&amp;DATE(YEAR(H$44),MONTH(H$44)+1,1),'Sales Log'!$B$5:$B$1004,$A49,'Sales Log'!$R$5:$R$1004,"&lt;&gt;EXAMPLE")</f>
        <v>0</v>
      </c>
      <c r="I49" s="26" t="n">
        <f aca="false">SUMIFS('Sales Log'!$L$5:$L$1004,'Sales Log'!$A$5:$A$1004,"&gt;="&amp;I$44,'Sales Log'!$A$5:$A$1004,"&lt;"&amp;DATE(YEAR(I$44),MONTH(I$44)+1,1),'Sales Log'!$B$5:$B$1004,$A49,'Sales Log'!$R$5:$R$1004,"&lt;&gt;EXAMPLE")</f>
        <v>0</v>
      </c>
      <c r="J49" s="26" t="n">
        <f aca="false">SUMIFS('Sales Log'!$L$5:$L$1004,'Sales Log'!$A$5:$A$1004,"&gt;="&amp;J$44,'Sales Log'!$A$5:$A$1004,"&lt;"&amp;DATE(YEAR(J$44),MONTH(J$44)+1,1),'Sales Log'!$B$5:$B$1004,$A49,'Sales Log'!$R$5:$R$1004,"&lt;&gt;EXAMPLE")</f>
        <v>0</v>
      </c>
      <c r="K49" s="26" t="n">
        <f aca="false">SUMIFS('Sales Log'!$L$5:$L$1004,'Sales Log'!$A$5:$A$1004,"&gt;="&amp;K$44,'Sales Log'!$A$5:$A$1004,"&lt;"&amp;DATE(YEAR(K$44),MONTH(K$44)+1,1),'Sales Log'!$B$5:$B$1004,$A49,'Sales Log'!$R$5:$R$1004,"&lt;&gt;EXAMPLE")</f>
        <v>0</v>
      </c>
      <c r="L49" s="26" t="n">
        <f aca="false">SUMIFS('Sales Log'!$L$5:$L$1004,'Sales Log'!$A$5:$A$1004,"&gt;="&amp;L$44,'Sales Log'!$A$5:$A$1004,"&lt;"&amp;DATE(YEAR(L$44),MONTH(L$44)+1,1),'Sales Log'!$B$5:$B$1004,$A49,'Sales Log'!$R$5:$R$1004,"&lt;&gt;EXAMPLE")</f>
        <v>0</v>
      </c>
      <c r="M49" s="26" t="n">
        <f aca="false">SUMIFS('Sales Log'!$L$5:$L$1004,'Sales Log'!$A$5:$A$1004,"&gt;="&amp;M$44,'Sales Log'!$A$5:$A$1004,"&lt;"&amp;DATE(YEAR(M$44),MONTH(M$44)+1,1),'Sales Log'!$B$5:$B$1004,$A49,'Sales Log'!$R$5:$R$1004,"&lt;&gt;EXAMPLE")</f>
        <v>0</v>
      </c>
      <c r="N49" s="31" t="n">
        <f aca="false">SUM(B49:M49)</f>
        <v>0</v>
      </c>
    </row>
    <row r="50" customFormat="false" ht="15" hidden="false" customHeight="false" outlineLevel="0" collapsed="false">
      <c r="A50" s="30" t="str">
        <f aca="false">'Chart of Accounts'!$A$71</f>
        <v>Shopify (website store)</v>
      </c>
      <c r="B50" s="26" t="n">
        <f aca="false">SUMIFS('Sales Log'!$L$5:$L$1004,'Sales Log'!$A$5:$A$1004,"&gt;="&amp;B$44,'Sales Log'!$A$5:$A$1004,"&lt;"&amp;DATE(YEAR(B$44),MONTH(B$44)+1,1),'Sales Log'!$B$5:$B$1004,$A50,'Sales Log'!$R$5:$R$1004,"&lt;&gt;EXAMPLE")</f>
        <v>0</v>
      </c>
      <c r="C50" s="26" t="n">
        <f aca="false">SUMIFS('Sales Log'!$L$5:$L$1004,'Sales Log'!$A$5:$A$1004,"&gt;="&amp;C$44,'Sales Log'!$A$5:$A$1004,"&lt;"&amp;DATE(YEAR(C$44),MONTH(C$44)+1,1),'Sales Log'!$B$5:$B$1004,$A50,'Sales Log'!$R$5:$R$1004,"&lt;&gt;EXAMPLE")</f>
        <v>0</v>
      </c>
      <c r="D50" s="26" t="n">
        <f aca="false">SUMIFS('Sales Log'!$L$5:$L$1004,'Sales Log'!$A$5:$A$1004,"&gt;="&amp;D$44,'Sales Log'!$A$5:$A$1004,"&lt;"&amp;DATE(YEAR(D$44),MONTH(D$44)+1,1),'Sales Log'!$B$5:$B$1004,$A50,'Sales Log'!$R$5:$R$1004,"&lt;&gt;EXAMPLE")</f>
        <v>0</v>
      </c>
      <c r="E50" s="26" t="n">
        <f aca="false">SUMIFS('Sales Log'!$L$5:$L$1004,'Sales Log'!$A$5:$A$1004,"&gt;="&amp;E$44,'Sales Log'!$A$5:$A$1004,"&lt;"&amp;DATE(YEAR(E$44),MONTH(E$44)+1,1),'Sales Log'!$B$5:$B$1004,$A50,'Sales Log'!$R$5:$R$1004,"&lt;&gt;EXAMPLE")</f>
        <v>0</v>
      </c>
      <c r="F50" s="26" t="n">
        <f aca="false">SUMIFS('Sales Log'!$L$5:$L$1004,'Sales Log'!$A$5:$A$1004,"&gt;="&amp;F$44,'Sales Log'!$A$5:$A$1004,"&lt;"&amp;DATE(YEAR(F$44),MONTH(F$44)+1,1),'Sales Log'!$B$5:$B$1004,$A50,'Sales Log'!$R$5:$R$1004,"&lt;&gt;EXAMPLE")</f>
        <v>0</v>
      </c>
      <c r="G50" s="26" t="n">
        <f aca="false">SUMIFS('Sales Log'!$L$5:$L$1004,'Sales Log'!$A$5:$A$1004,"&gt;="&amp;G$44,'Sales Log'!$A$5:$A$1004,"&lt;"&amp;DATE(YEAR(G$44),MONTH(G$44)+1,1),'Sales Log'!$B$5:$B$1004,$A50,'Sales Log'!$R$5:$R$1004,"&lt;&gt;EXAMPLE")</f>
        <v>0</v>
      </c>
      <c r="H50" s="26" t="n">
        <f aca="false">SUMIFS('Sales Log'!$L$5:$L$1004,'Sales Log'!$A$5:$A$1004,"&gt;="&amp;H$44,'Sales Log'!$A$5:$A$1004,"&lt;"&amp;DATE(YEAR(H$44),MONTH(H$44)+1,1),'Sales Log'!$B$5:$B$1004,$A50,'Sales Log'!$R$5:$R$1004,"&lt;&gt;EXAMPLE")</f>
        <v>0</v>
      </c>
      <c r="I50" s="26" t="n">
        <f aca="false">SUMIFS('Sales Log'!$L$5:$L$1004,'Sales Log'!$A$5:$A$1004,"&gt;="&amp;I$44,'Sales Log'!$A$5:$A$1004,"&lt;"&amp;DATE(YEAR(I$44),MONTH(I$44)+1,1),'Sales Log'!$B$5:$B$1004,$A50,'Sales Log'!$R$5:$R$1004,"&lt;&gt;EXAMPLE")</f>
        <v>0</v>
      </c>
      <c r="J50" s="26" t="n">
        <f aca="false">SUMIFS('Sales Log'!$L$5:$L$1004,'Sales Log'!$A$5:$A$1004,"&gt;="&amp;J$44,'Sales Log'!$A$5:$A$1004,"&lt;"&amp;DATE(YEAR(J$44),MONTH(J$44)+1,1),'Sales Log'!$B$5:$B$1004,$A50,'Sales Log'!$R$5:$R$1004,"&lt;&gt;EXAMPLE")</f>
        <v>0</v>
      </c>
      <c r="K50" s="26" t="n">
        <f aca="false">SUMIFS('Sales Log'!$L$5:$L$1004,'Sales Log'!$A$5:$A$1004,"&gt;="&amp;K$44,'Sales Log'!$A$5:$A$1004,"&lt;"&amp;DATE(YEAR(K$44),MONTH(K$44)+1,1),'Sales Log'!$B$5:$B$1004,$A50,'Sales Log'!$R$5:$R$1004,"&lt;&gt;EXAMPLE")</f>
        <v>0</v>
      </c>
      <c r="L50" s="26" t="n">
        <f aca="false">SUMIFS('Sales Log'!$L$5:$L$1004,'Sales Log'!$A$5:$A$1004,"&gt;="&amp;L$44,'Sales Log'!$A$5:$A$1004,"&lt;"&amp;DATE(YEAR(L$44),MONTH(L$44)+1,1),'Sales Log'!$B$5:$B$1004,$A50,'Sales Log'!$R$5:$R$1004,"&lt;&gt;EXAMPLE")</f>
        <v>0</v>
      </c>
      <c r="M50" s="26" t="n">
        <f aca="false">SUMIFS('Sales Log'!$L$5:$L$1004,'Sales Log'!$A$5:$A$1004,"&gt;="&amp;M$44,'Sales Log'!$A$5:$A$1004,"&lt;"&amp;DATE(YEAR(M$44),MONTH(M$44)+1,1),'Sales Log'!$B$5:$B$1004,$A50,'Sales Log'!$R$5:$R$1004,"&lt;&gt;EXAMPLE")</f>
        <v>0</v>
      </c>
      <c r="N50" s="31" t="n">
        <f aca="false">SUM(B50:M50)</f>
        <v>0</v>
      </c>
    </row>
    <row r="51" customFormat="false" ht="15" hidden="false" customHeight="false" outlineLevel="0" collapsed="false">
      <c r="A51" s="30" t="str">
        <f aca="false">'Chart of Accounts'!$A$72</f>
        <v>Stripe (website &amp; invoices)</v>
      </c>
      <c r="B51" s="26" t="n">
        <f aca="false">SUMIFS('Sales Log'!$L$5:$L$1004,'Sales Log'!$A$5:$A$1004,"&gt;="&amp;B$44,'Sales Log'!$A$5:$A$1004,"&lt;"&amp;DATE(YEAR(B$44),MONTH(B$44)+1,1),'Sales Log'!$B$5:$B$1004,$A51,'Sales Log'!$R$5:$R$1004,"&lt;&gt;EXAMPLE")</f>
        <v>0</v>
      </c>
      <c r="C51" s="26" t="n">
        <f aca="false">SUMIFS('Sales Log'!$L$5:$L$1004,'Sales Log'!$A$5:$A$1004,"&gt;="&amp;C$44,'Sales Log'!$A$5:$A$1004,"&lt;"&amp;DATE(YEAR(C$44),MONTH(C$44)+1,1),'Sales Log'!$B$5:$B$1004,$A51,'Sales Log'!$R$5:$R$1004,"&lt;&gt;EXAMPLE")</f>
        <v>0</v>
      </c>
      <c r="D51" s="26" t="n">
        <f aca="false">SUMIFS('Sales Log'!$L$5:$L$1004,'Sales Log'!$A$5:$A$1004,"&gt;="&amp;D$44,'Sales Log'!$A$5:$A$1004,"&lt;"&amp;DATE(YEAR(D$44),MONTH(D$44)+1,1),'Sales Log'!$B$5:$B$1004,$A51,'Sales Log'!$R$5:$R$1004,"&lt;&gt;EXAMPLE")</f>
        <v>0</v>
      </c>
      <c r="E51" s="26" t="n">
        <f aca="false">SUMIFS('Sales Log'!$L$5:$L$1004,'Sales Log'!$A$5:$A$1004,"&gt;="&amp;E$44,'Sales Log'!$A$5:$A$1004,"&lt;"&amp;DATE(YEAR(E$44),MONTH(E$44)+1,1),'Sales Log'!$B$5:$B$1004,$A51,'Sales Log'!$R$5:$R$1004,"&lt;&gt;EXAMPLE")</f>
        <v>0</v>
      </c>
      <c r="F51" s="26" t="n">
        <f aca="false">SUMIFS('Sales Log'!$L$5:$L$1004,'Sales Log'!$A$5:$A$1004,"&gt;="&amp;F$44,'Sales Log'!$A$5:$A$1004,"&lt;"&amp;DATE(YEAR(F$44),MONTH(F$44)+1,1),'Sales Log'!$B$5:$B$1004,$A51,'Sales Log'!$R$5:$R$1004,"&lt;&gt;EXAMPLE")</f>
        <v>0</v>
      </c>
      <c r="G51" s="26" t="n">
        <f aca="false">SUMIFS('Sales Log'!$L$5:$L$1004,'Sales Log'!$A$5:$A$1004,"&gt;="&amp;G$44,'Sales Log'!$A$5:$A$1004,"&lt;"&amp;DATE(YEAR(G$44),MONTH(G$44)+1,1),'Sales Log'!$B$5:$B$1004,$A51,'Sales Log'!$R$5:$R$1004,"&lt;&gt;EXAMPLE")</f>
        <v>0</v>
      </c>
      <c r="H51" s="26" t="n">
        <f aca="false">SUMIFS('Sales Log'!$L$5:$L$1004,'Sales Log'!$A$5:$A$1004,"&gt;="&amp;H$44,'Sales Log'!$A$5:$A$1004,"&lt;"&amp;DATE(YEAR(H$44),MONTH(H$44)+1,1),'Sales Log'!$B$5:$B$1004,$A51,'Sales Log'!$R$5:$R$1004,"&lt;&gt;EXAMPLE")</f>
        <v>0</v>
      </c>
      <c r="I51" s="26" t="n">
        <f aca="false">SUMIFS('Sales Log'!$L$5:$L$1004,'Sales Log'!$A$5:$A$1004,"&gt;="&amp;I$44,'Sales Log'!$A$5:$A$1004,"&lt;"&amp;DATE(YEAR(I$44),MONTH(I$44)+1,1),'Sales Log'!$B$5:$B$1004,$A51,'Sales Log'!$R$5:$R$1004,"&lt;&gt;EXAMPLE")</f>
        <v>0</v>
      </c>
      <c r="J51" s="26" t="n">
        <f aca="false">SUMIFS('Sales Log'!$L$5:$L$1004,'Sales Log'!$A$5:$A$1004,"&gt;="&amp;J$44,'Sales Log'!$A$5:$A$1004,"&lt;"&amp;DATE(YEAR(J$44),MONTH(J$44)+1,1),'Sales Log'!$B$5:$B$1004,$A51,'Sales Log'!$R$5:$R$1004,"&lt;&gt;EXAMPLE")</f>
        <v>0</v>
      </c>
      <c r="K51" s="26" t="n">
        <f aca="false">SUMIFS('Sales Log'!$L$5:$L$1004,'Sales Log'!$A$5:$A$1004,"&gt;="&amp;K$44,'Sales Log'!$A$5:$A$1004,"&lt;"&amp;DATE(YEAR(K$44),MONTH(K$44)+1,1),'Sales Log'!$B$5:$B$1004,$A51,'Sales Log'!$R$5:$R$1004,"&lt;&gt;EXAMPLE")</f>
        <v>0</v>
      </c>
      <c r="L51" s="26" t="n">
        <f aca="false">SUMIFS('Sales Log'!$L$5:$L$1004,'Sales Log'!$A$5:$A$1004,"&gt;="&amp;L$44,'Sales Log'!$A$5:$A$1004,"&lt;"&amp;DATE(YEAR(L$44),MONTH(L$44)+1,1),'Sales Log'!$B$5:$B$1004,$A51,'Sales Log'!$R$5:$R$1004,"&lt;&gt;EXAMPLE")</f>
        <v>0</v>
      </c>
      <c r="M51" s="26" t="n">
        <f aca="false">SUMIFS('Sales Log'!$L$5:$L$1004,'Sales Log'!$A$5:$A$1004,"&gt;="&amp;M$44,'Sales Log'!$A$5:$A$1004,"&lt;"&amp;DATE(YEAR(M$44),MONTH(M$44)+1,1),'Sales Log'!$B$5:$B$1004,$A51,'Sales Log'!$R$5:$R$1004,"&lt;&gt;EXAMPLE")</f>
        <v>0</v>
      </c>
      <c r="N51" s="31" t="n">
        <f aca="false">SUM(B51:M51)</f>
        <v>0</v>
      </c>
    </row>
    <row r="52" customFormat="false" ht="15" hidden="false" customHeight="false" outlineLevel="0" collapsed="false">
      <c r="A52" s="30" t="str">
        <f aca="false">'Chart of Accounts'!$A$73</f>
        <v>PayPal Business</v>
      </c>
      <c r="B52" s="26" t="n">
        <f aca="false">SUMIFS('Sales Log'!$L$5:$L$1004,'Sales Log'!$A$5:$A$1004,"&gt;="&amp;B$44,'Sales Log'!$A$5:$A$1004,"&lt;"&amp;DATE(YEAR(B$44),MONTH(B$44)+1,1),'Sales Log'!$B$5:$B$1004,$A52,'Sales Log'!$R$5:$R$1004,"&lt;&gt;EXAMPLE")</f>
        <v>0</v>
      </c>
      <c r="C52" s="26" t="n">
        <f aca="false">SUMIFS('Sales Log'!$L$5:$L$1004,'Sales Log'!$A$5:$A$1004,"&gt;="&amp;C$44,'Sales Log'!$A$5:$A$1004,"&lt;"&amp;DATE(YEAR(C$44),MONTH(C$44)+1,1),'Sales Log'!$B$5:$B$1004,$A52,'Sales Log'!$R$5:$R$1004,"&lt;&gt;EXAMPLE")</f>
        <v>0</v>
      </c>
      <c r="D52" s="26" t="n">
        <f aca="false">SUMIFS('Sales Log'!$L$5:$L$1004,'Sales Log'!$A$5:$A$1004,"&gt;="&amp;D$44,'Sales Log'!$A$5:$A$1004,"&lt;"&amp;DATE(YEAR(D$44),MONTH(D$44)+1,1),'Sales Log'!$B$5:$B$1004,$A52,'Sales Log'!$R$5:$R$1004,"&lt;&gt;EXAMPLE")</f>
        <v>0</v>
      </c>
      <c r="E52" s="26" t="n">
        <f aca="false">SUMIFS('Sales Log'!$L$5:$L$1004,'Sales Log'!$A$5:$A$1004,"&gt;="&amp;E$44,'Sales Log'!$A$5:$A$1004,"&lt;"&amp;DATE(YEAR(E$44),MONTH(E$44)+1,1),'Sales Log'!$B$5:$B$1004,$A52,'Sales Log'!$R$5:$R$1004,"&lt;&gt;EXAMPLE")</f>
        <v>0</v>
      </c>
      <c r="F52" s="26" t="n">
        <f aca="false">SUMIFS('Sales Log'!$L$5:$L$1004,'Sales Log'!$A$5:$A$1004,"&gt;="&amp;F$44,'Sales Log'!$A$5:$A$1004,"&lt;"&amp;DATE(YEAR(F$44),MONTH(F$44)+1,1),'Sales Log'!$B$5:$B$1004,$A52,'Sales Log'!$R$5:$R$1004,"&lt;&gt;EXAMPLE")</f>
        <v>0</v>
      </c>
      <c r="G52" s="26" t="n">
        <f aca="false">SUMIFS('Sales Log'!$L$5:$L$1004,'Sales Log'!$A$5:$A$1004,"&gt;="&amp;G$44,'Sales Log'!$A$5:$A$1004,"&lt;"&amp;DATE(YEAR(G$44),MONTH(G$44)+1,1),'Sales Log'!$B$5:$B$1004,$A52,'Sales Log'!$R$5:$R$1004,"&lt;&gt;EXAMPLE")</f>
        <v>0</v>
      </c>
      <c r="H52" s="26" t="n">
        <f aca="false">SUMIFS('Sales Log'!$L$5:$L$1004,'Sales Log'!$A$5:$A$1004,"&gt;="&amp;H$44,'Sales Log'!$A$5:$A$1004,"&lt;"&amp;DATE(YEAR(H$44),MONTH(H$44)+1,1),'Sales Log'!$B$5:$B$1004,$A52,'Sales Log'!$R$5:$R$1004,"&lt;&gt;EXAMPLE")</f>
        <v>0</v>
      </c>
      <c r="I52" s="26" t="n">
        <f aca="false">SUMIFS('Sales Log'!$L$5:$L$1004,'Sales Log'!$A$5:$A$1004,"&gt;="&amp;I$44,'Sales Log'!$A$5:$A$1004,"&lt;"&amp;DATE(YEAR(I$44),MONTH(I$44)+1,1),'Sales Log'!$B$5:$B$1004,$A52,'Sales Log'!$R$5:$R$1004,"&lt;&gt;EXAMPLE")</f>
        <v>0</v>
      </c>
      <c r="J52" s="26" t="n">
        <f aca="false">SUMIFS('Sales Log'!$L$5:$L$1004,'Sales Log'!$A$5:$A$1004,"&gt;="&amp;J$44,'Sales Log'!$A$5:$A$1004,"&lt;"&amp;DATE(YEAR(J$44),MONTH(J$44)+1,1),'Sales Log'!$B$5:$B$1004,$A52,'Sales Log'!$R$5:$R$1004,"&lt;&gt;EXAMPLE")</f>
        <v>0</v>
      </c>
      <c r="K52" s="26" t="n">
        <f aca="false">SUMIFS('Sales Log'!$L$5:$L$1004,'Sales Log'!$A$5:$A$1004,"&gt;="&amp;K$44,'Sales Log'!$A$5:$A$1004,"&lt;"&amp;DATE(YEAR(K$44),MONTH(K$44)+1,1),'Sales Log'!$B$5:$B$1004,$A52,'Sales Log'!$R$5:$R$1004,"&lt;&gt;EXAMPLE")</f>
        <v>0</v>
      </c>
      <c r="L52" s="26" t="n">
        <f aca="false">SUMIFS('Sales Log'!$L$5:$L$1004,'Sales Log'!$A$5:$A$1004,"&gt;="&amp;L$44,'Sales Log'!$A$5:$A$1004,"&lt;"&amp;DATE(YEAR(L$44),MONTH(L$44)+1,1),'Sales Log'!$B$5:$B$1004,$A52,'Sales Log'!$R$5:$R$1004,"&lt;&gt;EXAMPLE")</f>
        <v>0</v>
      </c>
      <c r="M52" s="26" t="n">
        <f aca="false">SUMIFS('Sales Log'!$L$5:$L$1004,'Sales Log'!$A$5:$A$1004,"&gt;="&amp;M$44,'Sales Log'!$A$5:$A$1004,"&lt;"&amp;DATE(YEAR(M$44),MONTH(M$44)+1,1),'Sales Log'!$B$5:$B$1004,$A52,'Sales Log'!$R$5:$R$1004,"&lt;&gt;EXAMPLE")</f>
        <v>0</v>
      </c>
      <c r="N52" s="31" t="n">
        <f aca="false">SUM(B52:M52)</f>
        <v>0</v>
      </c>
    </row>
    <row r="53" customFormat="false" ht="15" hidden="false" customHeight="false" outlineLevel="0" collapsed="false">
      <c r="A53" s="30" t="str">
        <f aca="false">'Chart of Accounts'!$A$74</f>
        <v>Meta shop (FB/IG)</v>
      </c>
      <c r="B53" s="26" t="n">
        <f aca="false">SUMIFS('Sales Log'!$L$5:$L$1004,'Sales Log'!$A$5:$A$1004,"&gt;="&amp;B$44,'Sales Log'!$A$5:$A$1004,"&lt;"&amp;DATE(YEAR(B$44),MONTH(B$44)+1,1),'Sales Log'!$B$5:$B$1004,$A53,'Sales Log'!$R$5:$R$1004,"&lt;&gt;EXAMPLE")</f>
        <v>0</v>
      </c>
      <c r="C53" s="26" t="n">
        <f aca="false">SUMIFS('Sales Log'!$L$5:$L$1004,'Sales Log'!$A$5:$A$1004,"&gt;="&amp;C$44,'Sales Log'!$A$5:$A$1004,"&lt;"&amp;DATE(YEAR(C$44),MONTH(C$44)+1,1),'Sales Log'!$B$5:$B$1004,$A53,'Sales Log'!$R$5:$R$1004,"&lt;&gt;EXAMPLE")</f>
        <v>0</v>
      </c>
      <c r="D53" s="26" t="n">
        <f aca="false">SUMIFS('Sales Log'!$L$5:$L$1004,'Sales Log'!$A$5:$A$1004,"&gt;="&amp;D$44,'Sales Log'!$A$5:$A$1004,"&lt;"&amp;DATE(YEAR(D$44),MONTH(D$44)+1,1),'Sales Log'!$B$5:$B$1004,$A53,'Sales Log'!$R$5:$R$1004,"&lt;&gt;EXAMPLE")</f>
        <v>0</v>
      </c>
      <c r="E53" s="26" t="n">
        <f aca="false">SUMIFS('Sales Log'!$L$5:$L$1004,'Sales Log'!$A$5:$A$1004,"&gt;="&amp;E$44,'Sales Log'!$A$5:$A$1004,"&lt;"&amp;DATE(YEAR(E$44),MONTH(E$44)+1,1),'Sales Log'!$B$5:$B$1004,$A53,'Sales Log'!$R$5:$R$1004,"&lt;&gt;EXAMPLE")</f>
        <v>0</v>
      </c>
      <c r="F53" s="26" t="n">
        <f aca="false">SUMIFS('Sales Log'!$L$5:$L$1004,'Sales Log'!$A$5:$A$1004,"&gt;="&amp;F$44,'Sales Log'!$A$5:$A$1004,"&lt;"&amp;DATE(YEAR(F$44),MONTH(F$44)+1,1),'Sales Log'!$B$5:$B$1004,$A53,'Sales Log'!$R$5:$R$1004,"&lt;&gt;EXAMPLE")</f>
        <v>0</v>
      </c>
      <c r="G53" s="26" t="n">
        <f aca="false">SUMIFS('Sales Log'!$L$5:$L$1004,'Sales Log'!$A$5:$A$1004,"&gt;="&amp;G$44,'Sales Log'!$A$5:$A$1004,"&lt;"&amp;DATE(YEAR(G$44),MONTH(G$44)+1,1),'Sales Log'!$B$5:$B$1004,$A53,'Sales Log'!$R$5:$R$1004,"&lt;&gt;EXAMPLE")</f>
        <v>0</v>
      </c>
      <c r="H53" s="26" t="n">
        <f aca="false">SUMIFS('Sales Log'!$L$5:$L$1004,'Sales Log'!$A$5:$A$1004,"&gt;="&amp;H$44,'Sales Log'!$A$5:$A$1004,"&lt;"&amp;DATE(YEAR(H$44),MONTH(H$44)+1,1),'Sales Log'!$B$5:$B$1004,$A53,'Sales Log'!$R$5:$R$1004,"&lt;&gt;EXAMPLE")</f>
        <v>0</v>
      </c>
      <c r="I53" s="26" t="n">
        <f aca="false">SUMIFS('Sales Log'!$L$5:$L$1004,'Sales Log'!$A$5:$A$1004,"&gt;="&amp;I$44,'Sales Log'!$A$5:$A$1004,"&lt;"&amp;DATE(YEAR(I$44),MONTH(I$44)+1,1),'Sales Log'!$B$5:$B$1004,$A53,'Sales Log'!$R$5:$R$1004,"&lt;&gt;EXAMPLE")</f>
        <v>0</v>
      </c>
      <c r="J53" s="26" t="n">
        <f aca="false">SUMIFS('Sales Log'!$L$5:$L$1004,'Sales Log'!$A$5:$A$1004,"&gt;="&amp;J$44,'Sales Log'!$A$5:$A$1004,"&lt;"&amp;DATE(YEAR(J$44),MONTH(J$44)+1,1),'Sales Log'!$B$5:$B$1004,$A53,'Sales Log'!$R$5:$R$1004,"&lt;&gt;EXAMPLE")</f>
        <v>0</v>
      </c>
      <c r="K53" s="26" t="n">
        <f aca="false">SUMIFS('Sales Log'!$L$5:$L$1004,'Sales Log'!$A$5:$A$1004,"&gt;="&amp;K$44,'Sales Log'!$A$5:$A$1004,"&lt;"&amp;DATE(YEAR(K$44),MONTH(K$44)+1,1),'Sales Log'!$B$5:$B$1004,$A53,'Sales Log'!$R$5:$R$1004,"&lt;&gt;EXAMPLE")</f>
        <v>0</v>
      </c>
      <c r="L53" s="26" t="n">
        <f aca="false">SUMIFS('Sales Log'!$L$5:$L$1004,'Sales Log'!$A$5:$A$1004,"&gt;="&amp;L$44,'Sales Log'!$A$5:$A$1004,"&lt;"&amp;DATE(YEAR(L$44),MONTH(L$44)+1,1),'Sales Log'!$B$5:$B$1004,$A53,'Sales Log'!$R$5:$R$1004,"&lt;&gt;EXAMPLE")</f>
        <v>0</v>
      </c>
      <c r="M53" s="26" t="n">
        <f aca="false">SUMIFS('Sales Log'!$L$5:$L$1004,'Sales Log'!$A$5:$A$1004,"&gt;="&amp;M$44,'Sales Log'!$A$5:$A$1004,"&lt;"&amp;DATE(YEAR(M$44),MONTH(M$44)+1,1),'Sales Log'!$B$5:$B$1004,$A53,'Sales Log'!$R$5:$R$1004,"&lt;&gt;EXAMPLE")</f>
        <v>0</v>
      </c>
      <c r="N53" s="31" t="n">
        <f aca="false">SUM(B53:M53)</f>
        <v>0</v>
      </c>
    </row>
    <row r="54" customFormat="false" ht="15" hidden="false" customHeight="false" outlineLevel="0" collapsed="false">
      <c r="A54" s="30" t="str">
        <f aca="false">'Chart of Accounts'!$A$75</f>
        <v>Faire (wholesale)</v>
      </c>
      <c r="B54" s="26" t="n">
        <f aca="false">SUMIFS('Sales Log'!$L$5:$L$1004,'Sales Log'!$A$5:$A$1004,"&gt;="&amp;B$44,'Sales Log'!$A$5:$A$1004,"&lt;"&amp;DATE(YEAR(B$44),MONTH(B$44)+1,1),'Sales Log'!$B$5:$B$1004,$A54,'Sales Log'!$R$5:$R$1004,"&lt;&gt;EXAMPLE")</f>
        <v>0</v>
      </c>
      <c r="C54" s="26" t="n">
        <f aca="false">SUMIFS('Sales Log'!$L$5:$L$1004,'Sales Log'!$A$5:$A$1004,"&gt;="&amp;C$44,'Sales Log'!$A$5:$A$1004,"&lt;"&amp;DATE(YEAR(C$44),MONTH(C$44)+1,1),'Sales Log'!$B$5:$B$1004,$A54,'Sales Log'!$R$5:$R$1004,"&lt;&gt;EXAMPLE")</f>
        <v>0</v>
      </c>
      <c r="D54" s="26" t="n">
        <f aca="false">SUMIFS('Sales Log'!$L$5:$L$1004,'Sales Log'!$A$5:$A$1004,"&gt;="&amp;D$44,'Sales Log'!$A$5:$A$1004,"&lt;"&amp;DATE(YEAR(D$44),MONTH(D$44)+1,1),'Sales Log'!$B$5:$B$1004,$A54,'Sales Log'!$R$5:$R$1004,"&lt;&gt;EXAMPLE")</f>
        <v>0</v>
      </c>
      <c r="E54" s="26" t="n">
        <f aca="false">SUMIFS('Sales Log'!$L$5:$L$1004,'Sales Log'!$A$5:$A$1004,"&gt;="&amp;E$44,'Sales Log'!$A$5:$A$1004,"&lt;"&amp;DATE(YEAR(E$44),MONTH(E$44)+1,1),'Sales Log'!$B$5:$B$1004,$A54,'Sales Log'!$R$5:$R$1004,"&lt;&gt;EXAMPLE")</f>
        <v>0</v>
      </c>
      <c r="F54" s="26" t="n">
        <f aca="false">SUMIFS('Sales Log'!$L$5:$L$1004,'Sales Log'!$A$5:$A$1004,"&gt;="&amp;F$44,'Sales Log'!$A$5:$A$1004,"&lt;"&amp;DATE(YEAR(F$44),MONTH(F$44)+1,1),'Sales Log'!$B$5:$B$1004,$A54,'Sales Log'!$R$5:$R$1004,"&lt;&gt;EXAMPLE")</f>
        <v>0</v>
      </c>
      <c r="G54" s="26" t="n">
        <f aca="false">SUMIFS('Sales Log'!$L$5:$L$1004,'Sales Log'!$A$5:$A$1004,"&gt;="&amp;G$44,'Sales Log'!$A$5:$A$1004,"&lt;"&amp;DATE(YEAR(G$44),MONTH(G$44)+1,1),'Sales Log'!$B$5:$B$1004,$A54,'Sales Log'!$R$5:$R$1004,"&lt;&gt;EXAMPLE")</f>
        <v>0</v>
      </c>
      <c r="H54" s="26" t="n">
        <f aca="false">SUMIFS('Sales Log'!$L$5:$L$1004,'Sales Log'!$A$5:$A$1004,"&gt;="&amp;H$44,'Sales Log'!$A$5:$A$1004,"&lt;"&amp;DATE(YEAR(H$44),MONTH(H$44)+1,1),'Sales Log'!$B$5:$B$1004,$A54,'Sales Log'!$R$5:$R$1004,"&lt;&gt;EXAMPLE")</f>
        <v>0</v>
      </c>
      <c r="I54" s="26" t="n">
        <f aca="false">SUMIFS('Sales Log'!$L$5:$L$1004,'Sales Log'!$A$5:$A$1004,"&gt;="&amp;I$44,'Sales Log'!$A$5:$A$1004,"&lt;"&amp;DATE(YEAR(I$44),MONTH(I$44)+1,1),'Sales Log'!$B$5:$B$1004,$A54,'Sales Log'!$R$5:$R$1004,"&lt;&gt;EXAMPLE")</f>
        <v>0</v>
      </c>
      <c r="J54" s="26" t="n">
        <f aca="false">SUMIFS('Sales Log'!$L$5:$L$1004,'Sales Log'!$A$5:$A$1004,"&gt;="&amp;J$44,'Sales Log'!$A$5:$A$1004,"&lt;"&amp;DATE(YEAR(J$44),MONTH(J$44)+1,1),'Sales Log'!$B$5:$B$1004,$A54,'Sales Log'!$R$5:$R$1004,"&lt;&gt;EXAMPLE")</f>
        <v>0</v>
      </c>
      <c r="K54" s="26" t="n">
        <f aca="false">SUMIFS('Sales Log'!$L$5:$L$1004,'Sales Log'!$A$5:$A$1004,"&gt;="&amp;K$44,'Sales Log'!$A$5:$A$1004,"&lt;"&amp;DATE(YEAR(K$44),MONTH(K$44)+1,1),'Sales Log'!$B$5:$B$1004,$A54,'Sales Log'!$R$5:$R$1004,"&lt;&gt;EXAMPLE")</f>
        <v>0</v>
      </c>
      <c r="L54" s="26" t="n">
        <f aca="false">SUMIFS('Sales Log'!$L$5:$L$1004,'Sales Log'!$A$5:$A$1004,"&gt;="&amp;L$44,'Sales Log'!$A$5:$A$1004,"&lt;"&amp;DATE(YEAR(L$44),MONTH(L$44)+1,1),'Sales Log'!$B$5:$B$1004,$A54,'Sales Log'!$R$5:$R$1004,"&lt;&gt;EXAMPLE")</f>
        <v>0</v>
      </c>
      <c r="M54" s="26" t="n">
        <f aca="false">SUMIFS('Sales Log'!$L$5:$L$1004,'Sales Log'!$A$5:$A$1004,"&gt;="&amp;M$44,'Sales Log'!$A$5:$A$1004,"&lt;"&amp;DATE(YEAR(M$44),MONTH(M$44)+1,1),'Sales Log'!$B$5:$B$1004,$A54,'Sales Log'!$R$5:$R$1004,"&lt;&gt;EXAMPLE")</f>
        <v>0</v>
      </c>
      <c r="N54" s="31" t="n">
        <f aca="false">SUM(B54:M54)</f>
        <v>0</v>
      </c>
    </row>
    <row r="55" customFormat="false" ht="15" hidden="false" customHeight="false" outlineLevel="0" collapsed="false">
      <c r="A55" s="30" t="str">
        <f aca="false">'Chart of Accounts'!$A$76</f>
        <v>Merchant of record</v>
      </c>
      <c r="B55" s="26" t="n">
        <f aca="false">SUMIFS('Sales Log'!$L$5:$L$1004,'Sales Log'!$A$5:$A$1004,"&gt;="&amp;B$44,'Sales Log'!$A$5:$A$1004,"&lt;"&amp;DATE(YEAR(B$44),MONTH(B$44)+1,1),'Sales Log'!$B$5:$B$1004,$A55,'Sales Log'!$R$5:$R$1004,"&lt;&gt;EXAMPLE")</f>
        <v>0</v>
      </c>
      <c r="C55" s="26" t="n">
        <f aca="false">SUMIFS('Sales Log'!$L$5:$L$1004,'Sales Log'!$A$5:$A$1004,"&gt;="&amp;C$44,'Sales Log'!$A$5:$A$1004,"&lt;"&amp;DATE(YEAR(C$44),MONTH(C$44)+1,1),'Sales Log'!$B$5:$B$1004,$A55,'Sales Log'!$R$5:$R$1004,"&lt;&gt;EXAMPLE")</f>
        <v>0</v>
      </c>
      <c r="D55" s="26" t="n">
        <f aca="false">SUMIFS('Sales Log'!$L$5:$L$1004,'Sales Log'!$A$5:$A$1004,"&gt;="&amp;D$44,'Sales Log'!$A$5:$A$1004,"&lt;"&amp;DATE(YEAR(D$44),MONTH(D$44)+1,1),'Sales Log'!$B$5:$B$1004,$A55,'Sales Log'!$R$5:$R$1004,"&lt;&gt;EXAMPLE")</f>
        <v>0</v>
      </c>
      <c r="E55" s="26" t="n">
        <f aca="false">SUMIFS('Sales Log'!$L$5:$L$1004,'Sales Log'!$A$5:$A$1004,"&gt;="&amp;E$44,'Sales Log'!$A$5:$A$1004,"&lt;"&amp;DATE(YEAR(E$44),MONTH(E$44)+1,1),'Sales Log'!$B$5:$B$1004,$A55,'Sales Log'!$R$5:$R$1004,"&lt;&gt;EXAMPLE")</f>
        <v>0</v>
      </c>
      <c r="F55" s="26" t="n">
        <f aca="false">SUMIFS('Sales Log'!$L$5:$L$1004,'Sales Log'!$A$5:$A$1004,"&gt;="&amp;F$44,'Sales Log'!$A$5:$A$1004,"&lt;"&amp;DATE(YEAR(F$44),MONTH(F$44)+1,1),'Sales Log'!$B$5:$B$1004,$A55,'Sales Log'!$R$5:$R$1004,"&lt;&gt;EXAMPLE")</f>
        <v>0</v>
      </c>
      <c r="G55" s="26" t="n">
        <f aca="false">SUMIFS('Sales Log'!$L$5:$L$1004,'Sales Log'!$A$5:$A$1004,"&gt;="&amp;G$44,'Sales Log'!$A$5:$A$1004,"&lt;"&amp;DATE(YEAR(G$44),MONTH(G$44)+1,1),'Sales Log'!$B$5:$B$1004,$A55,'Sales Log'!$R$5:$R$1004,"&lt;&gt;EXAMPLE")</f>
        <v>0</v>
      </c>
      <c r="H55" s="26" t="n">
        <f aca="false">SUMIFS('Sales Log'!$L$5:$L$1004,'Sales Log'!$A$5:$A$1004,"&gt;="&amp;H$44,'Sales Log'!$A$5:$A$1004,"&lt;"&amp;DATE(YEAR(H$44),MONTH(H$44)+1,1),'Sales Log'!$B$5:$B$1004,$A55,'Sales Log'!$R$5:$R$1004,"&lt;&gt;EXAMPLE")</f>
        <v>0</v>
      </c>
      <c r="I55" s="26" t="n">
        <f aca="false">SUMIFS('Sales Log'!$L$5:$L$1004,'Sales Log'!$A$5:$A$1004,"&gt;="&amp;I$44,'Sales Log'!$A$5:$A$1004,"&lt;"&amp;DATE(YEAR(I$44),MONTH(I$44)+1,1),'Sales Log'!$B$5:$B$1004,$A55,'Sales Log'!$R$5:$R$1004,"&lt;&gt;EXAMPLE")</f>
        <v>0</v>
      </c>
      <c r="J55" s="26" t="n">
        <f aca="false">SUMIFS('Sales Log'!$L$5:$L$1004,'Sales Log'!$A$5:$A$1004,"&gt;="&amp;J$44,'Sales Log'!$A$5:$A$1004,"&lt;"&amp;DATE(YEAR(J$44),MONTH(J$44)+1,1),'Sales Log'!$B$5:$B$1004,$A55,'Sales Log'!$R$5:$R$1004,"&lt;&gt;EXAMPLE")</f>
        <v>0</v>
      </c>
      <c r="K55" s="26" t="n">
        <f aca="false">SUMIFS('Sales Log'!$L$5:$L$1004,'Sales Log'!$A$5:$A$1004,"&gt;="&amp;K$44,'Sales Log'!$A$5:$A$1004,"&lt;"&amp;DATE(YEAR(K$44),MONTH(K$44)+1,1),'Sales Log'!$B$5:$B$1004,$A55,'Sales Log'!$R$5:$R$1004,"&lt;&gt;EXAMPLE")</f>
        <v>0</v>
      </c>
      <c r="L55" s="26" t="n">
        <f aca="false">SUMIFS('Sales Log'!$L$5:$L$1004,'Sales Log'!$A$5:$A$1004,"&gt;="&amp;L$44,'Sales Log'!$A$5:$A$1004,"&lt;"&amp;DATE(YEAR(L$44),MONTH(L$44)+1,1),'Sales Log'!$B$5:$B$1004,$A55,'Sales Log'!$R$5:$R$1004,"&lt;&gt;EXAMPLE")</f>
        <v>0</v>
      </c>
      <c r="M55" s="26" t="n">
        <f aca="false">SUMIFS('Sales Log'!$L$5:$L$1004,'Sales Log'!$A$5:$A$1004,"&gt;="&amp;M$44,'Sales Log'!$A$5:$A$1004,"&lt;"&amp;DATE(YEAR(M$44),MONTH(M$44)+1,1),'Sales Log'!$B$5:$B$1004,$A55,'Sales Log'!$R$5:$R$1004,"&lt;&gt;EXAMPLE")</f>
        <v>0</v>
      </c>
      <c r="N55" s="31" t="n">
        <f aca="false">SUM(B55:M55)</f>
        <v>0</v>
      </c>
    </row>
    <row r="56" customFormat="false" ht="15" hidden="false" customHeight="false" outlineLevel="0" collapsed="false">
      <c r="A56" s="30" t="str">
        <f aca="false">'Chart of Accounts'!$A$77</f>
        <v>Amazon Associates</v>
      </c>
      <c r="B56" s="26" t="n">
        <f aca="false">SUMIFS('Sales Log'!$L$5:$L$1004,'Sales Log'!$A$5:$A$1004,"&gt;="&amp;B$44,'Sales Log'!$A$5:$A$1004,"&lt;"&amp;DATE(YEAR(B$44),MONTH(B$44)+1,1),'Sales Log'!$B$5:$B$1004,$A56,'Sales Log'!$R$5:$R$1004,"&lt;&gt;EXAMPLE")</f>
        <v>0</v>
      </c>
      <c r="C56" s="26" t="n">
        <f aca="false">SUMIFS('Sales Log'!$L$5:$L$1004,'Sales Log'!$A$5:$A$1004,"&gt;="&amp;C$44,'Sales Log'!$A$5:$A$1004,"&lt;"&amp;DATE(YEAR(C$44),MONTH(C$44)+1,1),'Sales Log'!$B$5:$B$1004,$A56,'Sales Log'!$R$5:$R$1004,"&lt;&gt;EXAMPLE")</f>
        <v>0</v>
      </c>
      <c r="D56" s="26" t="n">
        <f aca="false">SUMIFS('Sales Log'!$L$5:$L$1004,'Sales Log'!$A$5:$A$1004,"&gt;="&amp;D$44,'Sales Log'!$A$5:$A$1004,"&lt;"&amp;DATE(YEAR(D$44),MONTH(D$44)+1,1),'Sales Log'!$B$5:$B$1004,$A56,'Sales Log'!$R$5:$R$1004,"&lt;&gt;EXAMPLE")</f>
        <v>0</v>
      </c>
      <c r="E56" s="26" t="n">
        <f aca="false">SUMIFS('Sales Log'!$L$5:$L$1004,'Sales Log'!$A$5:$A$1004,"&gt;="&amp;E$44,'Sales Log'!$A$5:$A$1004,"&lt;"&amp;DATE(YEAR(E$44),MONTH(E$44)+1,1),'Sales Log'!$B$5:$B$1004,$A56,'Sales Log'!$R$5:$R$1004,"&lt;&gt;EXAMPLE")</f>
        <v>0</v>
      </c>
      <c r="F56" s="26" t="n">
        <f aca="false">SUMIFS('Sales Log'!$L$5:$L$1004,'Sales Log'!$A$5:$A$1004,"&gt;="&amp;F$44,'Sales Log'!$A$5:$A$1004,"&lt;"&amp;DATE(YEAR(F$44),MONTH(F$44)+1,1),'Sales Log'!$B$5:$B$1004,$A56,'Sales Log'!$R$5:$R$1004,"&lt;&gt;EXAMPLE")</f>
        <v>0</v>
      </c>
      <c r="G56" s="26" t="n">
        <f aca="false">SUMIFS('Sales Log'!$L$5:$L$1004,'Sales Log'!$A$5:$A$1004,"&gt;="&amp;G$44,'Sales Log'!$A$5:$A$1004,"&lt;"&amp;DATE(YEAR(G$44),MONTH(G$44)+1,1),'Sales Log'!$B$5:$B$1004,$A56,'Sales Log'!$R$5:$R$1004,"&lt;&gt;EXAMPLE")</f>
        <v>0</v>
      </c>
      <c r="H56" s="26" t="n">
        <f aca="false">SUMIFS('Sales Log'!$L$5:$L$1004,'Sales Log'!$A$5:$A$1004,"&gt;="&amp;H$44,'Sales Log'!$A$5:$A$1004,"&lt;"&amp;DATE(YEAR(H$44),MONTH(H$44)+1,1),'Sales Log'!$B$5:$B$1004,$A56,'Sales Log'!$R$5:$R$1004,"&lt;&gt;EXAMPLE")</f>
        <v>0</v>
      </c>
      <c r="I56" s="26" t="n">
        <f aca="false">SUMIFS('Sales Log'!$L$5:$L$1004,'Sales Log'!$A$5:$A$1004,"&gt;="&amp;I$44,'Sales Log'!$A$5:$A$1004,"&lt;"&amp;DATE(YEAR(I$44),MONTH(I$44)+1,1),'Sales Log'!$B$5:$B$1004,$A56,'Sales Log'!$R$5:$R$1004,"&lt;&gt;EXAMPLE")</f>
        <v>0</v>
      </c>
      <c r="J56" s="26" t="n">
        <f aca="false">SUMIFS('Sales Log'!$L$5:$L$1004,'Sales Log'!$A$5:$A$1004,"&gt;="&amp;J$44,'Sales Log'!$A$5:$A$1004,"&lt;"&amp;DATE(YEAR(J$44),MONTH(J$44)+1,1),'Sales Log'!$B$5:$B$1004,$A56,'Sales Log'!$R$5:$R$1004,"&lt;&gt;EXAMPLE")</f>
        <v>0</v>
      </c>
      <c r="K56" s="26" t="n">
        <f aca="false">SUMIFS('Sales Log'!$L$5:$L$1004,'Sales Log'!$A$5:$A$1004,"&gt;="&amp;K$44,'Sales Log'!$A$5:$A$1004,"&lt;"&amp;DATE(YEAR(K$44),MONTH(K$44)+1,1),'Sales Log'!$B$5:$B$1004,$A56,'Sales Log'!$R$5:$R$1004,"&lt;&gt;EXAMPLE")</f>
        <v>0</v>
      </c>
      <c r="L56" s="26" t="n">
        <f aca="false">SUMIFS('Sales Log'!$L$5:$L$1004,'Sales Log'!$A$5:$A$1004,"&gt;="&amp;L$44,'Sales Log'!$A$5:$A$1004,"&lt;"&amp;DATE(YEAR(L$44),MONTH(L$44)+1,1),'Sales Log'!$B$5:$B$1004,$A56,'Sales Log'!$R$5:$R$1004,"&lt;&gt;EXAMPLE")</f>
        <v>0</v>
      </c>
      <c r="M56" s="26" t="n">
        <f aca="false">SUMIFS('Sales Log'!$L$5:$L$1004,'Sales Log'!$A$5:$A$1004,"&gt;="&amp;M$44,'Sales Log'!$A$5:$A$1004,"&lt;"&amp;DATE(YEAR(M$44),MONTH(M$44)+1,1),'Sales Log'!$B$5:$B$1004,$A56,'Sales Log'!$R$5:$R$1004,"&lt;&gt;EXAMPLE")</f>
        <v>0</v>
      </c>
      <c r="N56" s="31" t="n">
        <f aca="false">SUM(B56:M56)</f>
        <v>0</v>
      </c>
    </row>
    <row r="57" customFormat="false" ht="15" hidden="false" customHeight="false" outlineLevel="0" collapsed="false">
      <c r="A57" s="30" t="str">
        <f aca="false">'Chart of Accounts'!$A$78</f>
        <v>Bookshop.org</v>
      </c>
      <c r="B57" s="26" t="n">
        <f aca="false">SUMIFS('Sales Log'!$L$5:$L$1004,'Sales Log'!$A$5:$A$1004,"&gt;="&amp;B$44,'Sales Log'!$A$5:$A$1004,"&lt;"&amp;DATE(YEAR(B$44),MONTH(B$44)+1,1),'Sales Log'!$B$5:$B$1004,$A57,'Sales Log'!$R$5:$R$1004,"&lt;&gt;EXAMPLE")</f>
        <v>0</v>
      </c>
      <c r="C57" s="26" t="n">
        <f aca="false">SUMIFS('Sales Log'!$L$5:$L$1004,'Sales Log'!$A$5:$A$1004,"&gt;="&amp;C$44,'Sales Log'!$A$5:$A$1004,"&lt;"&amp;DATE(YEAR(C$44),MONTH(C$44)+1,1),'Sales Log'!$B$5:$B$1004,$A57,'Sales Log'!$R$5:$R$1004,"&lt;&gt;EXAMPLE")</f>
        <v>0</v>
      </c>
      <c r="D57" s="26" t="n">
        <f aca="false">SUMIFS('Sales Log'!$L$5:$L$1004,'Sales Log'!$A$5:$A$1004,"&gt;="&amp;D$44,'Sales Log'!$A$5:$A$1004,"&lt;"&amp;DATE(YEAR(D$44),MONTH(D$44)+1,1),'Sales Log'!$B$5:$B$1004,$A57,'Sales Log'!$R$5:$R$1004,"&lt;&gt;EXAMPLE")</f>
        <v>0</v>
      </c>
      <c r="E57" s="26" t="n">
        <f aca="false">SUMIFS('Sales Log'!$L$5:$L$1004,'Sales Log'!$A$5:$A$1004,"&gt;="&amp;E$44,'Sales Log'!$A$5:$A$1004,"&lt;"&amp;DATE(YEAR(E$44),MONTH(E$44)+1,1),'Sales Log'!$B$5:$B$1004,$A57,'Sales Log'!$R$5:$R$1004,"&lt;&gt;EXAMPLE")</f>
        <v>0</v>
      </c>
      <c r="F57" s="26" t="n">
        <f aca="false">SUMIFS('Sales Log'!$L$5:$L$1004,'Sales Log'!$A$5:$A$1004,"&gt;="&amp;F$44,'Sales Log'!$A$5:$A$1004,"&lt;"&amp;DATE(YEAR(F$44),MONTH(F$44)+1,1),'Sales Log'!$B$5:$B$1004,$A57,'Sales Log'!$R$5:$R$1004,"&lt;&gt;EXAMPLE")</f>
        <v>0</v>
      </c>
      <c r="G57" s="26" t="n">
        <f aca="false">SUMIFS('Sales Log'!$L$5:$L$1004,'Sales Log'!$A$5:$A$1004,"&gt;="&amp;G$44,'Sales Log'!$A$5:$A$1004,"&lt;"&amp;DATE(YEAR(G$44),MONTH(G$44)+1,1),'Sales Log'!$B$5:$B$1004,$A57,'Sales Log'!$R$5:$R$1004,"&lt;&gt;EXAMPLE")</f>
        <v>0</v>
      </c>
      <c r="H57" s="26" t="n">
        <f aca="false">SUMIFS('Sales Log'!$L$5:$L$1004,'Sales Log'!$A$5:$A$1004,"&gt;="&amp;H$44,'Sales Log'!$A$5:$A$1004,"&lt;"&amp;DATE(YEAR(H$44),MONTH(H$44)+1,1),'Sales Log'!$B$5:$B$1004,$A57,'Sales Log'!$R$5:$R$1004,"&lt;&gt;EXAMPLE")</f>
        <v>0</v>
      </c>
      <c r="I57" s="26" t="n">
        <f aca="false">SUMIFS('Sales Log'!$L$5:$L$1004,'Sales Log'!$A$5:$A$1004,"&gt;="&amp;I$44,'Sales Log'!$A$5:$A$1004,"&lt;"&amp;DATE(YEAR(I$44),MONTH(I$44)+1,1),'Sales Log'!$B$5:$B$1004,$A57,'Sales Log'!$R$5:$R$1004,"&lt;&gt;EXAMPLE")</f>
        <v>0</v>
      </c>
      <c r="J57" s="26" t="n">
        <f aca="false">SUMIFS('Sales Log'!$L$5:$L$1004,'Sales Log'!$A$5:$A$1004,"&gt;="&amp;J$44,'Sales Log'!$A$5:$A$1004,"&lt;"&amp;DATE(YEAR(J$44),MONTH(J$44)+1,1),'Sales Log'!$B$5:$B$1004,$A57,'Sales Log'!$R$5:$R$1004,"&lt;&gt;EXAMPLE")</f>
        <v>0</v>
      </c>
      <c r="K57" s="26" t="n">
        <f aca="false">SUMIFS('Sales Log'!$L$5:$L$1004,'Sales Log'!$A$5:$A$1004,"&gt;="&amp;K$44,'Sales Log'!$A$5:$A$1004,"&lt;"&amp;DATE(YEAR(K$44),MONTH(K$44)+1,1),'Sales Log'!$B$5:$B$1004,$A57,'Sales Log'!$R$5:$R$1004,"&lt;&gt;EXAMPLE")</f>
        <v>0</v>
      </c>
      <c r="L57" s="26" t="n">
        <f aca="false">SUMIFS('Sales Log'!$L$5:$L$1004,'Sales Log'!$A$5:$A$1004,"&gt;="&amp;L$44,'Sales Log'!$A$5:$A$1004,"&lt;"&amp;DATE(YEAR(L$44),MONTH(L$44)+1,1),'Sales Log'!$B$5:$B$1004,$A57,'Sales Log'!$R$5:$R$1004,"&lt;&gt;EXAMPLE")</f>
        <v>0</v>
      </c>
      <c r="M57" s="26" t="n">
        <f aca="false">SUMIFS('Sales Log'!$L$5:$L$1004,'Sales Log'!$A$5:$A$1004,"&gt;="&amp;M$44,'Sales Log'!$A$5:$A$1004,"&lt;"&amp;DATE(YEAR(M$44),MONTH(M$44)+1,1),'Sales Log'!$B$5:$B$1004,$A57,'Sales Log'!$R$5:$R$1004,"&lt;&gt;EXAMPLE")</f>
        <v>0</v>
      </c>
      <c r="N57" s="31" t="n">
        <f aca="false">SUM(B57:M57)</f>
        <v>0</v>
      </c>
    </row>
    <row r="58" customFormat="false" ht="15" hidden="false" customHeight="false" outlineLevel="0" collapsed="false">
      <c r="A58" s="30" t="str">
        <f aca="false">'Chart of Accounts'!$A$79</f>
        <v>Direct (check / ACH / cash)</v>
      </c>
      <c r="B58" s="26" t="n">
        <f aca="false">SUMIFS('Sales Log'!$L$5:$L$1004,'Sales Log'!$A$5:$A$1004,"&gt;="&amp;B$44,'Sales Log'!$A$5:$A$1004,"&lt;"&amp;DATE(YEAR(B$44),MONTH(B$44)+1,1),'Sales Log'!$B$5:$B$1004,$A58,'Sales Log'!$R$5:$R$1004,"&lt;&gt;EXAMPLE")</f>
        <v>0</v>
      </c>
      <c r="C58" s="26" t="n">
        <f aca="false">SUMIFS('Sales Log'!$L$5:$L$1004,'Sales Log'!$A$5:$A$1004,"&gt;="&amp;C$44,'Sales Log'!$A$5:$A$1004,"&lt;"&amp;DATE(YEAR(C$44),MONTH(C$44)+1,1),'Sales Log'!$B$5:$B$1004,$A58,'Sales Log'!$R$5:$R$1004,"&lt;&gt;EXAMPLE")</f>
        <v>0</v>
      </c>
      <c r="D58" s="26" t="n">
        <f aca="false">SUMIFS('Sales Log'!$L$5:$L$1004,'Sales Log'!$A$5:$A$1004,"&gt;="&amp;D$44,'Sales Log'!$A$5:$A$1004,"&lt;"&amp;DATE(YEAR(D$44),MONTH(D$44)+1,1),'Sales Log'!$B$5:$B$1004,$A58,'Sales Log'!$R$5:$R$1004,"&lt;&gt;EXAMPLE")</f>
        <v>0</v>
      </c>
      <c r="E58" s="26" t="n">
        <f aca="false">SUMIFS('Sales Log'!$L$5:$L$1004,'Sales Log'!$A$5:$A$1004,"&gt;="&amp;E$44,'Sales Log'!$A$5:$A$1004,"&lt;"&amp;DATE(YEAR(E$44),MONTH(E$44)+1,1),'Sales Log'!$B$5:$B$1004,$A58,'Sales Log'!$R$5:$R$1004,"&lt;&gt;EXAMPLE")</f>
        <v>0</v>
      </c>
      <c r="F58" s="26" t="n">
        <f aca="false">SUMIFS('Sales Log'!$L$5:$L$1004,'Sales Log'!$A$5:$A$1004,"&gt;="&amp;F$44,'Sales Log'!$A$5:$A$1004,"&lt;"&amp;DATE(YEAR(F$44),MONTH(F$44)+1,1),'Sales Log'!$B$5:$B$1004,$A58,'Sales Log'!$R$5:$R$1004,"&lt;&gt;EXAMPLE")</f>
        <v>0</v>
      </c>
      <c r="G58" s="26" t="n">
        <f aca="false">SUMIFS('Sales Log'!$L$5:$L$1004,'Sales Log'!$A$5:$A$1004,"&gt;="&amp;G$44,'Sales Log'!$A$5:$A$1004,"&lt;"&amp;DATE(YEAR(G$44),MONTH(G$44)+1,1),'Sales Log'!$B$5:$B$1004,$A58,'Sales Log'!$R$5:$R$1004,"&lt;&gt;EXAMPLE")</f>
        <v>0</v>
      </c>
      <c r="H58" s="26" t="n">
        <f aca="false">SUMIFS('Sales Log'!$L$5:$L$1004,'Sales Log'!$A$5:$A$1004,"&gt;="&amp;H$44,'Sales Log'!$A$5:$A$1004,"&lt;"&amp;DATE(YEAR(H$44),MONTH(H$44)+1,1),'Sales Log'!$B$5:$B$1004,$A58,'Sales Log'!$R$5:$R$1004,"&lt;&gt;EXAMPLE")</f>
        <v>0</v>
      </c>
      <c r="I58" s="26" t="n">
        <f aca="false">SUMIFS('Sales Log'!$L$5:$L$1004,'Sales Log'!$A$5:$A$1004,"&gt;="&amp;I$44,'Sales Log'!$A$5:$A$1004,"&lt;"&amp;DATE(YEAR(I$44),MONTH(I$44)+1,1),'Sales Log'!$B$5:$B$1004,$A58,'Sales Log'!$R$5:$R$1004,"&lt;&gt;EXAMPLE")</f>
        <v>0</v>
      </c>
      <c r="J58" s="26" t="n">
        <f aca="false">SUMIFS('Sales Log'!$L$5:$L$1004,'Sales Log'!$A$5:$A$1004,"&gt;="&amp;J$44,'Sales Log'!$A$5:$A$1004,"&lt;"&amp;DATE(YEAR(J$44),MONTH(J$44)+1,1),'Sales Log'!$B$5:$B$1004,$A58,'Sales Log'!$R$5:$R$1004,"&lt;&gt;EXAMPLE")</f>
        <v>0</v>
      </c>
      <c r="K58" s="26" t="n">
        <f aca="false">SUMIFS('Sales Log'!$L$5:$L$1004,'Sales Log'!$A$5:$A$1004,"&gt;="&amp;K$44,'Sales Log'!$A$5:$A$1004,"&lt;"&amp;DATE(YEAR(K$44),MONTH(K$44)+1,1),'Sales Log'!$B$5:$B$1004,$A58,'Sales Log'!$R$5:$R$1004,"&lt;&gt;EXAMPLE")</f>
        <v>0</v>
      </c>
      <c r="L58" s="26" t="n">
        <f aca="false">SUMIFS('Sales Log'!$L$5:$L$1004,'Sales Log'!$A$5:$A$1004,"&gt;="&amp;L$44,'Sales Log'!$A$5:$A$1004,"&lt;"&amp;DATE(YEAR(L$44),MONTH(L$44)+1,1),'Sales Log'!$B$5:$B$1004,$A58,'Sales Log'!$R$5:$R$1004,"&lt;&gt;EXAMPLE")</f>
        <v>0</v>
      </c>
      <c r="M58" s="26" t="n">
        <f aca="false">SUMIFS('Sales Log'!$L$5:$L$1004,'Sales Log'!$A$5:$A$1004,"&gt;="&amp;M$44,'Sales Log'!$A$5:$A$1004,"&lt;"&amp;DATE(YEAR(M$44),MONTH(M$44)+1,1),'Sales Log'!$B$5:$B$1004,$A58,'Sales Log'!$R$5:$R$1004,"&lt;&gt;EXAMPLE")</f>
        <v>0</v>
      </c>
      <c r="N58" s="31" t="n">
        <f aca="false">SUM(B58:M58)</f>
        <v>0</v>
      </c>
    </row>
    <row r="59" customFormat="false" ht="15" hidden="false" customHeight="false" outlineLevel="0" collapsed="false">
      <c r="A59" s="32" t="s">
        <v>565</v>
      </c>
      <c r="B59" s="33" t="n">
        <f aca="false">SUM(B45:B58)</f>
        <v>0</v>
      </c>
      <c r="C59" s="33" t="n">
        <f aca="false">SUM(C45:C58)</f>
        <v>0</v>
      </c>
      <c r="D59" s="33" t="n">
        <f aca="false">SUM(D45:D58)</f>
        <v>0</v>
      </c>
      <c r="E59" s="33" t="n">
        <f aca="false">SUM(E45:E58)</f>
        <v>0</v>
      </c>
      <c r="F59" s="33" t="n">
        <f aca="false">SUM(F45:F58)</f>
        <v>0</v>
      </c>
      <c r="G59" s="33" t="n">
        <f aca="false">SUM(G45:G58)</f>
        <v>0</v>
      </c>
      <c r="H59" s="33" t="n">
        <f aca="false">SUM(H45:H58)</f>
        <v>0</v>
      </c>
      <c r="I59" s="33" t="n">
        <f aca="false">SUM(I45:I58)</f>
        <v>0</v>
      </c>
      <c r="J59" s="33" t="n">
        <f aca="false">SUM(J45:J58)</f>
        <v>0</v>
      </c>
      <c r="K59" s="33" t="n">
        <f aca="false">SUM(K45:K58)</f>
        <v>0</v>
      </c>
      <c r="L59" s="33" t="n">
        <f aca="false">SUM(L45:L58)</f>
        <v>0</v>
      </c>
      <c r="M59" s="33" t="n">
        <f aca="false">SUM(M45:M58)</f>
        <v>0</v>
      </c>
      <c r="N59" s="33" t="n">
        <f aca="false">SUM(N45:N58)</f>
        <v>0</v>
      </c>
    </row>
    <row r="62" customFormat="false" ht="15" hidden="false" customHeight="false" outlineLevel="0" collapsed="false">
      <c r="A62" s="3" t="s">
        <v>568</v>
      </c>
      <c r="D62" s="2" t="s">
        <v>569</v>
      </c>
    </row>
    <row r="63" customFormat="false" ht="21.75" hidden="false" customHeight="true" outlineLevel="0" collapsed="false">
      <c r="A63" s="12" t="s">
        <v>349</v>
      </c>
      <c r="B63" s="29" t="n">
        <f aca="false">DATE($B$3,1,1)</f>
        <v>46023</v>
      </c>
      <c r="C63" s="29" t="n">
        <f aca="false">DATE($B$3,2,1)</f>
        <v>46054</v>
      </c>
      <c r="D63" s="29" t="n">
        <f aca="false">DATE($B$3,3,1)</f>
        <v>46082</v>
      </c>
      <c r="E63" s="29" t="n">
        <f aca="false">DATE($B$3,4,1)</f>
        <v>46113</v>
      </c>
      <c r="F63" s="29" t="n">
        <f aca="false">DATE($B$3,5,1)</f>
        <v>46143</v>
      </c>
      <c r="G63" s="29" t="n">
        <f aca="false">DATE($B$3,6,1)</f>
        <v>46174</v>
      </c>
      <c r="H63" s="29" t="n">
        <f aca="false">DATE($B$3,7,1)</f>
        <v>46204</v>
      </c>
      <c r="I63" s="29" t="n">
        <f aca="false">DATE($B$3,8,1)</f>
        <v>46235</v>
      </c>
      <c r="J63" s="29" t="n">
        <f aca="false">DATE($B$3,9,1)</f>
        <v>46266</v>
      </c>
      <c r="K63" s="29" t="n">
        <f aca="false">DATE($B$3,10,1)</f>
        <v>46296</v>
      </c>
      <c r="L63" s="29" t="n">
        <f aca="false">DATE($B$3,11,1)</f>
        <v>46327</v>
      </c>
      <c r="M63" s="29" t="n">
        <f aca="false">DATE($B$3,12,1)</f>
        <v>46357</v>
      </c>
      <c r="N63" s="12" t="s">
        <v>565</v>
      </c>
    </row>
    <row r="64" customFormat="false" ht="15" hidden="false" customHeight="false" outlineLevel="0" collapsed="false">
      <c r="A64" s="30" t="str">
        <f aca="false">'Chart of Accounts'!$A$66</f>
        <v>Amazon KDP</v>
      </c>
      <c r="B64" s="26" t="n">
        <f aca="false">SUMIFS('Payouts Reconciliation'!$C$5:$C$504,'Payouts Reconciliation'!$B$5:$B$504,"&gt;="&amp;B$63,'Payouts Reconciliation'!$B$5:$B$504,"&lt;"&amp;DATE(YEAR(B$63),MONTH(B$63)+1,1),'Payouts Reconciliation'!$A$5:$A$504,$A64,'Payouts Reconciliation'!$O$5:$O$504,"&lt;&gt;EXAMPLE")</f>
        <v>0</v>
      </c>
      <c r="C64" s="26" t="n">
        <f aca="false">SUMIFS('Payouts Reconciliation'!$C$5:$C$504,'Payouts Reconciliation'!$B$5:$B$504,"&gt;="&amp;C$63,'Payouts Reconciliation'!$B$5:$B$504,"&lt;"&amp;DATE(YEAR(C$63),MONTH(C$63)+1,1),'Payouts Reconciliation'!$A$5:$A$504,$A64,'Payouts Reconciliation'!$O$5:$O$504,"&lt;&gt;EXAMPLE")</f>
        <v>0</v>
      </c>
      <c r="D64" s="26" t="n">
        <f aca="false">SUMIFS('Payouts Reconciliation'!$C$5:$C$504,'Payouts Reconciliation'!$B$5:$B$504,"&gt;="&amp;D$63,'Payouts Reconciliation'!$B$5:$B$504,"&lt;"&amp;DATE(YEAR(D$63),MONTH(D$63)+1,1),'Payouts Reconciliation'!$A$5:$A$504,$A64,'Payouts Reconciliation'!$O$5:$O$504,"&lt;&gt;EXAMPLE")</f>
        <v>0</v>
      </c>
      <c r="E64" s="26" t="n">
        <f aca="false">SUMIFS('Payouts Reconciliation'!$C$5:$C$504,'Payouts Reconciliation'!$B$5:$B$504,"&gt;="&amp;E$63,'Payouts Reconciliation'!$B$5:$B$504,"&lt;"&amp;DATE(YEAR(E$63),MONTH(E$63)+1,1),'Payouts Reconciliation'!$A$5:$A$504,$A64,'Payouts Reconciliation'!$O$5:$O$504,"&lt;&gt;EXAMPLE")</f>
        <v>0</v>
      </c>
      <c r="F64" s="26" t="n">
        <f aca="false">SUMIFS('Payouts Reconciliation'!$C$5:$C$504,'Payouts Reconciliation'!$B$5:$B$504,"&gt;="&amp;F$63,'Payouts Reconciliation'!$B$5:$B$504,"&lt;"&amp;DATE(YEAR(F$63),MONTH(F$63)+1,1),'Payouts Reconciliation'!$A$5:$A$504,$A64,'Payouts Reconciliation'!$O$5:$O$504,"&lt;&gt;EXAMPLE")</f>
        <v>0</v>
      </c>
      <c r="G64" s="26" t="n">
        <f aca="false">SUMIFS('Payouts Reconciliation'!$C$5:$C$504,'Payouts Reconciliation'!$B$5:$B$504,"&gt;="&amp;G$63,'Payouts Reconciliation'!$B$5:$B$504,"&lt;"&amp;DATE(YEAR(G$63),MONTH(G$63)+1,1),'Payouts Reconciliation'!$A$5:$A$504,$A64,'Payouts Reconciliation'!$O$5:$O$504,"&lt;&gt;EXAMPLE")</f>
        <v>0</v>
      </c>
      <c r="H64" s="26" t="n">
        <f aca="false">SUMIFS('Payouts Reconciliation'!$C$5:$C$504,'Payouts Reconciliation'!$B$5:$B$504,"&gt;="&amp;H$63,'Payouts Reconciliation'!$B$5:$B$504,"&lt;"&amp;DATE(YEAR(H$63),MONTH(H$63)+1,1),'Payouts Reconciliation'!$A$5:$A$504,$A64,'Payouts Reconciliation'!$O$5:$O$504,"&lt;&gt;EXAMPLE")</f>
        <v>0</v>
      </c>
      <c r="I64" s="26" t="n">
        <f aca="false">SUMIFS('Payouts Reconciliation'!$C$5:$C$504,'Payouts Reconciliation'!$B$5:$B$504,"&gt;="&amp;I$63,'Payouts Reconciliation'!$B$5:$B$504,"&lt;"&amp;DATE(YEAR(I$63),MONTH(I$63)+1,1),'Payouts Reconciliation'!$A$5:$A$504,$A64,'Payouts Reconciliation'!$O$5:$O$504,"&lt;&gt;EXAMPLE")</f>
        <v>0</v>
      </c>
      <c r="J64" s="26" t="n">
        <f aca="false">SUMIFS('Payouts Reconciliation'!$C$5:$C$504,'Payouts Reconciliation'!$B$5:$B$504,"&gt;="&amp;J$63,'Payouts Reconciliation'!$B$5:$B$504,"&lt;"&amp;DATE(YEAR(J$63),MONTH(J$63)+1,1),'Payouts Reconciliation'!$A$5:$A$504,$A64,'Payouts Reconciliation'!$O$5:$O$504,"&lt;&gt;EXAMPLE")</f>
        <v>0</v>
      </c>
      <c r="K64" s="26" t="n">
        <f aca="false">SUMIFS('Payouts Reconciliation'!$C$5:$C$504,'Payouts Reconciliation'!$B$5:$B$504,"&gt;="&amp;K$63,'Payouts Reconciliation'!$B$5:$B$504,"&lt;"&amp;DATE(YEAR(K$63),MONTH(K$63)+1,1),'Payouts Reconciliation'!$A$5:$A$504,$A64,'Payouts Reconciliation'!$O$5:$O$504,"&lt;&gt;EXAMPLE")</f>
        <v>0</v>
      </c>
      <c r="L64" s="26" t="n">
        <f aca="false">SUMIFS('Payouts Reconciliation'!$C$5:$C$504,'Payouts Reconciliation'!$B$5:$B$504,"&gt;="&amp;L$63,'Payouts Reconciliation'!$B$5:$B$504,"&lt;"&amp;DATE(YEAR(L$63),MONTH(L$63)+1,1),'Payouts Reconciliation'!$A$5:$A$504,$A64,'Payouts Reconciliation'!$O$5:$O$504,"&lt;&gt;EXAMPLE")</f>
        <v>0</v>
      </c>
      <c r="M64" s="26" t="n">
        <f aca="false">SUMIFS('Payouts Reconciliation'!$C$5:$C$504,'Payouts Reconciliation'!$B$5:$B$504,"&gt;="&amp;M$63,'Payouts Reconciliation'!$B$5:$B$504,"&lt;"&amp;DATE(YEAR(M$63),MONTH(M$63)+1,1),'Payouts Reconciliation'!$A$5:$A$504,$A64,'Payouts Reconciliation'!$O$5:$O$504,"&lt;&gt;EXAMPLE")</f>
        <v>0</v>
      </c>
      <c r="N64" s="31" t="n">
        <f aca="false">SUM(B64:M64)</f>
        <v>0</v>
      </c>
    </row>
    <row r="65" customFormat="false" ht="15" hidden="false" customHeight="false" outlineLevel="0" collapsed="false">
      <c r="A65" s="30" t="str">
        <f aca="false">'Chart of Accounts'!$A$67</f>
        <v>IngramSpark</v>
      </c>
      <c r="B65" s="26" t="n">
        <f aca="false">SUMIFS('Payouts Reconciliation'!$C$5:$C$504,'Payouts Reconciliation'!$B$5:$B$504,"&gt;="&amp;B$63,'Payouts Reconciliation'!$B$5:$B$504,"&lt;"&amp;DATE(YEAR(B$63),MONTH(B$63)+1,1),'Payouts Reconciliation'!$A$5:$A$504,$A65,'Payouts Reconciliation'!$O$5:$O$504,"&lt;&gt;EXAMPLE")</f>
        <v>0</v>
      </c>
      <c r="C65" s="26" t="n">
        <f aca="false">SUMIFS('Payouts Reconciliation'!$C$5:$C$504,'Payouts Reconciliation'!$B$5:$B$504,"&gt;="&amp;C$63,'Payouts Reconciliation'!$B$5:$B$504,"&lt;"&amp;DATE(YEAR(C$63),MONTH(C$63)+1,1),'Payouts Reconciliation'!$A$5:$A$504,$A65,'Payouts Reconciliation'!$O$5:$O$504,"&lt;&gt;EXAMPLE")</f>
        <v>0</v>
      </c>
      <c r="D65" s="26" t="n">
        <f aca="false">SUMIFS('Payouts Reconciliation'!$C$5:$C$504,'Payouts Reconciliation'!$B$5:$B$504,"&gt;="&amp;D$63,'Payouts Reconciliation'!$B$5:$B$504,"&lt;"&amp;DATE(YEAR(D$63),MONTH(D$63)+1,1),'Payouts Reconciliation'!$A$5:$A$504,$A65,'Payouts Reconciliation'!$O$5:$O$504,"&lt;&gt;EXAMPLE")</f>
        <v>0</v>
      </c>
      <c r="E65" s="26" t="n">
        <f aca="false">SUMIFS('Payouts Reconciliation'!$C$5:$C$504,'Payouts Reconciliation'!$B$5:$B$504,"&gt;="&amp;E$63,'Payouts Reconciliation'!$B$5:$B$504,"&lt;"&amp;DATE(YEAR(E$63),MONTH(E$63)+1,1),'Payouts Reconciliation'!$A$5:$A$504,$A65,'Payouts Reconciliation'!$O$5:$O$504,"&lt;&gt;EXAMPLE")</f>
        <v>0</v>
      </c>
      <c r="F65" s="26" t="n">
        <f aca="false">SUMIFS('Payouts Reconciliation'!$C$5:$C$504,'Payouts Reconciliation'!$B$5:$B$504,"&gt;="&amp;F$63,'Payouts Reconciliation'!$B$5:$B$504,"&lt;"&amp;DATE(YEAR(F$63),MONTH(F$63)+1,1),'Payouts Reconciliation'!$A$5:$A$504,$A65,'Payouts Reconciliation'!$O$5:$O$504,"&lt;&gt;EXAMPLE")</f>
        <v>0</v>
      </c>
      <c r="G65" s="26" t="n">
        <f aca="false">SUMIFS('Payouts Reconciliation'!$C$5:$C$504,'Payouts Reconciliation'!$B$5:$B$504,"&gt;="&amp;G$63,'Payouts Reconciliation'!$B$5:$B$504,"&lt;"&amp;DATE(YEAR(G$63),MONTH(G$63)+1,1),'Payouts Reconciliation'!$A$5:$A$504,$A65,'Payouts Reconciliation'!$O$5:$O$504,"&lt;&gt;EXAMPLE")</f>
        <v>0</v>
      </c>
      <c r="H65" s="26" t="n">
        <f aca="false">SUMIFS('Payouts Reconciliation'!$C$5:$C$504,'Payouts Reconciliation'!$B$5:$B$504,"&gt;="&amp;H$63,'Payouts Reconciliation'!$B$5:$B$504,"&lt;"&amp;DATE(YEAR(H$63),MONTH(H$63)+1,1),'Payouts Reconciliation'!$A$5:$A$504,$A65,'Payouts Reconciliation'!$O$5:$O$504,"&lt;&gt;EXAMPLE")</f>
        <v>0</v>
      </c>
      <c r="I65" s="26" t="n">
        <f aca="false">SUMIFS('Payouts Reconciliation'!$C$5:$C$504,'Payouts Reconciliation'!$B$5:$B$504,"&gt;="&amp;I$63,'Payouts Reconciliation'!$B$5:$B$504,"&lt;"&amp;DATE(YEAR(I$63),MONTH(I$63)+1,1),'Payouts Reconciliation'!$A$5:$A$504,$A65,'Payouts Reconciliation'!$O$5:$O$504,"&lt;&gt;EXAMPLE")</f>
        <v>0</v>
      </c>
      <c r="J65" s="26" t="n">
        <f aca="false">SUMIFS('Payouts Reconciliation'!$C$5:$C$504,'Payouts Reconciliation'!$B$5:$B$504,"&gt;="&amp;J$63,'Payouts Reconciliation'!$B$5:$B$504,"&lt;"&amp;DATE(YEAR(J$63),MONTH(J$63)+1,1),'Payouts Reconciliation'!$A$5:$A$504,$A65,'Payouts Reconciliation'!$O$5:$O$504,"&lt;&gt;EXAMPLE")</f>
        <v>0</v>
      </c>
      <c r="K65" s="26" t="n">
        <f aca="false">SUMIFS('Payouts Reconciliation'!$C$5:$C$504,'Payouts Reconciliation'!$B$5:$B$504,"&gt;="&amp;K$63,'Payouts Reconciliation'!$B$5:$B$504,"&lt;"&amp;DATE(YEAR(K$63),MONTH(K$63)+1,1),'Payouts Reconciliation'!$A$5:$A$504,$A65,'Payouts Reconciliation'!$O$5:$O$504,"&lt;&gt;EXAMPLE")</f>
        <v>0</v>
      </c>
      <c r="L65" s="26" t="n">
        <f aca="false">SUMIFS('Payouts Reconciliation'!$C$5:$C$504,'Payouts Reconciliation'!$B$5:$B$504,"&gt;="&amp;L$63,'Payouts Reconciliation'!$B$5:$B$504,"&lt;"&amp;DATE(YEAR(L$63),MONTH(L$63)+1,1),'Payouts Reconciliation'!$A$5:$A$504,$A65,'Payouts Reconciliation'!$O$5:$O$504,"&lt;&gt;EXAMPLE")</f>
        <v>0</v>
      </c>
      <c r="M65" s="26" t="n">
        <f aca="false">SUMIFS('Payouts Reconciliation'!$C$5:$C$504,'Payouts Reconciliation'!$B$5:$B$504,"&gt;="&amp;M$63,'Payouts Reconciliation'!$B$5:$B$504,"&lt;"&amp;DATE(YEAR(M$63),MONTH(M$63)+1,1),'Payouts Reconciliation'!$A$5:$A$504,$A65,'Payouts Reconciliation'!$O$5:$O$504,"&lt;&gt;EXAMPLE")</f>
        <v>0</v>
      </c>
      <c r="N65" s="31" t="n">
        <f aca="false">SUM(B65:M65)</f>
        <v>0</v>
      </c>
    </row>
    <row r="66" customFormat="false" ht="15" hidden="false" customHeight="false" outlineLevel="0" collapsed="false">
      <c r="A66" s="30" t="str">
        <f aca="false">'Chart of Accounts'!$A$68</f>
        <v>Etsy</v>
      </c>
      <c r="B66" s="26" t="n">
        <f aca="false">SUMIFS('Payouts Reconciliation'!$C$5:$C$504,'Payouts Reconciliation'!$B$5:$B$504,"&gt;="&amp;B$63,'Payouts Reconciliation'!$B$5:$B$504,"&lt;"&amp;DATE(YEAR(B$63),MONTH(B$63)+1,1),'Payouts Reconciliation'!$A$5:$A$504,$A66,'Payouts Reconciliation'!$O$5:$O$504,"&lt;&gt;EXAMPLE")</f>
        <v>0</v>
      </c>
      <c r="C66" s="26" t="n">
        <f aca="false">SUMIFS('Payouts Reconciliation'!$C$5:$C$504,'Payouts Reconciliation'!$B$5:$B$504,"&gt;="&amp;C$63,'Payouts Reconciliation'!$B$5:$B$504,"&lt;"&amp;DATE(YEAR(C$63),MONTH(C$63)+1,1),'Payouts Reconciliation'!$A$5:$A$504,$A66,'Payouts Reconciliation'!$O$5:$O$504,"&lt;&gt;EXAMPLE")</f>
        <v>0</v>
      </c>
      <c r="D66" s="26" t="n">
        <f aca="false">SUMIFS('Payouts Reconciliation'!$C$5:$C$504,'Payouts Reconciliation'!$B$5:$B$504,"&gt;="&amp;D$63,'Payouts Reconciliation'!$B$5:$B$504,"&lt;"&amp;DATE(YEAR(D$63),MONTH(D$63)+1,1),'Payouts Reconciliation'!$A$5:$A$504,$A66,'Payouts Reconciliation'!$O$5:$O$504,"&lt;&gt;EXAMPLE")</f>
        <v>0</v>
      </c>
      <c r="E66" s="26" t="n">
        <f aca="false">SUMIFS('Payouts Reconciliation'!$C$5:$C$504,'Payouts Reconciliation'!$B$5:$B$504,"&gt;="&amp;E$63,'Payouts Reconciliation'!$B$5:$B$504,"&lt;"&amp;DATE(YEAR(E$63),MONTH(E$63)+1,1),'Payouts Reconciliation'!$A$5:$A$504,$A66,'Payouts Reconciliation'!$O$5:$O$504,"&lt;&gt;EXAMPLE")</f>
        <v>0</v>
      </c>
      <c r="F66" s="26" t="n">
        <f aca="false">SUMIFS('Payouts Reconciliation'!$C$5:$C$504,'Payouts Reconciliation'!$B$5:$B$504,"&gt;="&amp;F$63,'Payouts Reconciliation'!$B$5:$B$504,"&lt;"&amp;DATE(YEAR(F$63),MONTH(F$63)+1,1),'Payouts Reconciliation'!$A$5:$A$504,$A66,'Payouts Reconciliation'!$O$5:$O$504,"&lt;&gt;EXAMPLE")</f>
        <v>0</v>
      </c>
      <c r="G66" s="26" t="n">
        <f aca="false">SUMIFS('Payouts Reconciliation'!$C$5:$C$504,'Payouts Reconciliation'!$B$5:$B$504,"&gt;="&amp;G$63,'Payouts Reconciliation'!$B$5:$B$504,"&lt;"&amp;DATE(YEAR(G$63),MONTH(G$63)+1,1),'Payouts Reconciliation'!$A$5:$A$504,$A66,'Payouts Reconciliation'!$O$5:$O$504,"&lt;&gt;EXAMPLE")</f>
        <v>0</v>
      </c>
      <c r="H66" s="26" t="n">
        <f aca="false">SUMIFS('Payouts Reconciliation'!$C$5:$C$504,'Payouts Reconciliation'!$B$5:$B$504,"&gt;="&amp;H$63,'Payouts Reconciliation'!$B$5:$B$504,"&lt;"&amp;DATE(YEAR(H$63),MONTH(H$63)+1,1),'Payouts Reconciliation'!$A$5:$A$504,$A66,'Payouts Reconciliation'!$O$5:$O$504,"&lt;&gt;EXAMPLE")</f>
        <v>0</v>
      </c>
      <c r="I66" s="26" t="n">
        <f aca="false">SUMIFS('Payouts Reconciliation'!$C$5:$C$504,'Payouts Reconciliation'!$B$5:$B$504,"&gt;="&amp;I$63,'Payouts Reconciliation'!$B$5:$B$504,"&lt;"&amp;DATE(YEAR(I$63),MONTH(I$63)+1,1),'Payouts Reconciliation'!$A$5:$A$504,$A66,'Payouts Reconciliation'!$O$5:$O$504,"&lt;&gt;EXAMPLE")</f>
        <v>0</v>
      </c>
      <c r="J66" s="26" t="n">
        <f aca="false">SUMIFS('Payouts Reconciliation'!$C$5:$C$504,'Payouts Reconciliation'!$B$5:$B$504,"&gt;="&amp;J$63,'Payouts Reconciliation'!$B$5:$B$504,"&lt;"&amp;DATE(YEAR(J$63),MONTH(J$63)+1,1),'Payouts Reconciliation'!$A$5:$A$504,$A66,'Payouts Reconciliation'!$O$5:$O$504,"&lt;&gt;EXAMPLE")</f>
        <v>0</v>
      </c>
      <c r="K66" s="26" t="n">
        <f aca="false">SUMIFS('Payouts Reconciliation'!$C$5:$C$504,'Payouts Reconciliation'!$B$5:$B$504,"&gt;="&amp;K$63,'Payouts Reconciliation'!$B$5:$B$504,"&lt;"&amp;DATE(YEAR(K$63),MONTH(K$63)+1,1),'Payouts Reconciliation'!$A$5:$A$504,$A66,'Payouts Reconciliation'!$O$5:$O$504,"&lt;&gt;EXAMPLE")</f>
        <v>0</v>
      </c>
      <c r="L66" s="26" t="n">
        <f aca="false">SUMIFS('Payouts Reconciliation'!$C$5:$C$504,'Payouts Reconciliation'!$B$5:$B$504,"&gt;="&amp;L$63,'Payouts Reconciliation'!$B$5:$B$504,"&lt;"&amp;DATE(YEAR(L$63),MONTH(L$63)+1,1),'Payouts Reconciliation'!$A$5:$A$504,$A66,'Payouts Reconciliation'!$O$5:$O$504,"&lt;&gt;EXAMPLE")</f>
        <v>0</v>
      </c>
      <c r="M66" s="26" t="n">
        <f aca="false">SUMIFS('Payouts Reconciliation'!$C$5:$C$504,'Payouts Reconciliation'!$B$5:$B$504,"&gt;="&amp;M$63,'Payouts Reconciliation'!$B$5:$B$504,"&lt;"&amp;DATE(YEAR(M$63),MONTH(M$63)+1,1),'Payouts Reconciliation'!$A$5:$A$504,$A66,'Payouts Reconciliation'!$O$5:$O$504,"&lt;&gt;EXAMPLE")</f>
        <v>0</v>
      </c>
      <c r="N66" s="31" t="n">
        <f aca="false">SUM(B66:M66)</f>
        <v>0</v>
      </c>
    </row>
    <row r="67" customFormat="false" ht="15" hidden="false" customHeight="false" outlineLevel="0" collapsed="false">
      <c r="A67" s="30" t="str">
        <f aca="false">'Chart of Accounts'!$A$69</f>
        <v>Teachers Pay Teachers</v>
      </c>
      <c r="B67" s="26" t="n">
        <f aca="false">SUMIFS('Payouts Reconciliation'!$C$5:$C$504,'Payouts Reconciliation'!$B$5:$B$504,"&gt;="&amp;B$63,'Payouts Reconciliation'!$B$5:$B$504,"&lt;"&amp;DATE(YEAR(B$63),MONTH(B$63)+1,1),'Payouts Reconciliation'!$A$5:$A$504,$A67,'Payouts Reconciliation'!$O$5:$O$504,"&lt;&gt;EXAMPLE")</f>
        <v>0</v>
      </c>
      <c r="C67" s="26" t="n">
        <f aca="false">SUMIFS('Payouts Reconciliation'!$C$5:$C$504,'Payouts Reconciliation'!$B$5:$B$504,"&gt;="&amp;C$63,'Payouts Reconciliation'!$B$5:$B$504,"&lt;"&amp;DATE(YEAR(C$63),MONTH(C$63)+1,1),'Payouts Reconciliation'!$A$5:$A$504,$A67,'Payouts Reconciliation'!$O$5:$O$504,"&lt;&gt;EXAMPLE")</f>
        <v>0</v>
      </c>
      <c r="D67" s="26" t="n">
        <f aca="false">SUMIFS('Payouts Reconciliation'!$C$5:$C$504,'Payouts Reconciliation'!$B$5:$B$504,"&gt;="&amp;D$63,'Payouts Reconciliation'!$B$5:$B$504,"&lt;"&amp;DATE(YEAR(D$63),MONTH(D$63)+1,1),'Payouts Reconciliation'!$A$5:$A$504,$A67,'Payouts Reconciliation'!$O$5:$O$504,"&lt;&gt;EXAMPLE")</f>
        <v>0</v>
      </c>
      <c r="E67" s="26" t="n">
        <f aca="false">SUMIFS('Payouts Reconciliation'!$C$5:$C$504,'Payouts Reconciliation'!$B$5:$B$504,"&gt;="&amp;E$63,'Payouts Reconciliation'!$B$5:$B$504,"&lt;"&amp;DATE(YEAR(E$63),MONTH(E$63)+1,1),'Payouts Reconciliation'!$A$5:$A$504,$A67,'Payouts Reconciliation'!$O$5:$O$504,"&lt;&gt;EXAMPLE")</f>
        <v>0</v>
      </c>
      <c r="F67" s="26" t="n">
        <f aca="false">SUMIFS('Payouts Reconciliation'!$C$5:$C$504,'Payouts Reconciliation'!$B$5:$B$504,"&gt;="&amp;F$63,'Payouts Reconciliation'!$B$5:$B$504,"&lt;"&amp;DATE(YEAR(F$63),MONTH(F$63)+1,1),'Payouts Reconciliation'!$A$5:$A$504,$A67,'Payouts Reconciliation'!$O$5:$O$504,"&lt;&gt;EXAMPLE")</f>
        <v>0</v>
      </c>
      <c r="G67" s="26" t="n">
        <f aca="false">SUMIFS('Payouts Reconciliation'!$C$5:$C$504,'Payouts Reconciliation'!$B$5:$B$504,"&gt;="&amp;G$63,'Payouts Reconciliation'!$B$5:$B$504,"&lt;"&amp;DATE(YEAR(G$63),MONTH(G$63)+1,1),'Payouts Reconciliation'!$A$5:$A$504,$A67,'Payouts Reconciliation'!$O$5:$O$504,"&lt;&gt;EXAMPLE")</f>
        <v>0</v>
      </c>
      <c r="H67" s="26" t="n">
        <f aca="false">SUMIFS('Payouts Reconciliation'!$C$5:$C$504,'Payouts Reconciliation'!$B$5:$B$504,"&gt;="&amp;H$63,'Payouts Reconciliation'!$B$5:$B$504,"&lt;"&amp;DATE(YEAR(H$63),MONTH(H$63)+1,1),'Payouts Reconciliation'!$A$5:$A$504,$A67,'Payouts Reconciliation'!$O$5:$O$504,"&lt;&gt;EXAMPLE")</f>
        <v>0</v>
      </c>
      <c r="I67" s="26" t="n">
        <f aca="false">SUMIFS('Payouts Reconciliation'!$C$5:$C$504,'Payouts Reconciliation'!$B$5:$B$504,"&gt;="&amp;I$63,'Payouts Reconciliation'!$B$5:$B$504,"&lt;"&amp;DATE(YEAR(I$63),MONTH(I$63)+1,1),'Payouts Reconciliation'!$A$5:$A$504,$A67,'Payouts Reconciliation'!$O$5:$O$504,"&lt;&gt;EXAMPLE")</f>
        <v>0</v>
      </c>
      <c r="J67" s="26" t="n">
        <f aca="false">SUMIFS('Payouts Reconciliation'!$C$5:$C$504,'Payouts Reconciliation'!$B$5:$B$504,"&gt;="&amp;J$63,'Payouts Reconciliation'!$B$5:$B$504,"&lt;"&amp;DATE(YEAR(J$63),MONTH(J$63)+1,1),'Payouts Reconciliation'!$A$5:$A$504,$A67,'Payouts Reconciliation'!$O$5:$O$504,"&lt;&gt;EXAMPLE")</f>
        <v>0</v>
      </c>
      <c r="K67" s="26" t="n">
        <f aca="false">SUMIFS('Payouts Reconciliation'!$C$5:$C$504,'Payouts Reconciliation'!$B$5:$B$504,"&gt;="&amp;K$63,'Payouts Reconciliation'!$B$5:$B$504,"&lt;"&amp;DATE(YEAR(K$63),MONTH(K$63)+1,1),'Payouts Reconciliation'!$A$5:$A$504,$A67,'Payouts Reconciliation'!$O$5:$O$504,"&lt;&gt;EXAMPLE")</f>
        <v>0</v>
      </c>
      <c r="L67" s="26" t="n">
        <f aca="false">SUMIFS('Payouts Reconciliation'!$C$5:$C$504,'Payouts Reconciliation'!$B$5:$B$504,"&gt;="&amp;L$63,'Payouts Reconciliation'!$B$5:$B$504,"&lt;"&amp;DATE(YEAR(L$63),MONTH(L$63)+1,1),'Payouts Reconciliation'!$A$5:$A$504,$A67,'Payouts Reconciliation'!$O$5:$O$504,"&lt;&gt;EXAMPLE")</f>
        <v>0</v>
      </c>
      <c r="M67" s="26" t="n">
        <f aca="false">SUMIFS('Payouts Reconciliation'!$C$5:$C$504,'Payouts Reconciliation'!$B$5:$B$504,"&gt;="&amp;M$63,'Payouts Reconciliation'!$B$5:$B$504,"&lt;"&amp;DATE(YEAR(M$63),MONTH(M$63)+1,1),'Payouts Reconciliation'!$A$5:$A$504,$A67,'Payouts Reconciliation'!$O$5:$O$504,"&lt;&gt;EXAMPLE")</f>
        <v>0</v>
      </c>
      <c r="N67" s="31" t="n">
        <f aca="false">SUM(B67:M67)</f>
        <v>0</v>
      </c>
    </row>
    <row r="68" customFormat="false" ht="15" hidden="false" customHeight="false" outlineLevel="0" collapsed="false">
      <c r="A68" s="30" t="str">
        <f aca="false">'Chart of Accounts'!$A$70</f>
        <v>TikTok Shop</v>
      </c>
      <c r="B68" s="26" t="n">
        <f aca="false">SUMIFS('Payouts Reconciliation'!$C$5:$C$504,'Payouts Reconciliation'!$B$5:$B$504,"&gt;="&amp;B$63,'Payouts Reconciliation'!$B$5:$B$504,"&lt;"&amp;DATE(YEAR(B$63),MONTH(B$63)+1,1),'Payouts Reconciliation'!$A$5:$A$504,$A68,'Payouts Reconciliation'!$O$5:$O$504,"&lt;&gt;EXAMPLE")</f>
        <v>0</v>
      </c>
      <c r="C68" s="26" t="n">
        <f aca="false">SUMIFS('Payouts Reconciliation'!$C$5:$C$504,'Payouts Reconciliation'!$B$5:$B$504,"&gt;="&amp;C$63,'Payouts Reconciliation'!$B$5:$B$504,"&lt;"&amp;DATE(YEAR(C$63),MONTH(C$63)+1,1),'Payouts Reconciliation'!$A$5:$A$504,$A68,'Payouts Reconciliation'!$O$5:$O$504,"&lt;&gt;EXAMPLE")</f>
        <v>0</v>
      </c>
      <c r="D68" s="26" t="n">
        <f aca="false">SUMIFS('Payouts Reconciliation'!$C$5:$C$504,'Payouts Reconciliation'!$B$5:$B$504,"&gt;="&amp;D$63,'Payouts Reconciliation'!$B$5:$B$504,"&lt;"&amp;DATE(YEAR(D$63),MONTH(D$63)+1,1),'Payouts Reconciliation'!$A$5:$A$504,$A68,'Payouts Reconciliation'!$O$5:$O$504,"&lt;&gt;EXAMPLE")</f>
        <v>0</v>
      </c>
      <c r="E68" s="26" t="n">
        <f aca="false">SUMIFS('Payouts Reconciliation'!$C$5:$C$504,'Payouts Reconciliation'!$B$5:$B$504,"&gt;="&amp;E$63,'Payouts Reconciliation'!$B$5:$B$504,"&lt;"&amp;DATE(YEAR(E$63),MONTH(E$63)+1,1),'Payouts Reconciliation'!$A$5:$A$504,$A68,'Payouts Reconciliation'!$O$5:$O$504,"&lt;&gt;EXAMPLE")</f>
        <v>0</v>
      </c>
      <c r="F68" s="26" t="n">
        <f aca="false">SUMIFS('Payouts Reconciliation'!$C$5:$C$504,'Payouts Reconciliation'!$B$5:$B$504,"&gt;="&amp;F$63,'Payouts Reconciliation'!$B$5:$B$504,"&lt;"&amp;DATE(YEAR(F$63),MONTH(F$63)+1,1),'Payouts Reconciliation'!$A$5:$A$504,$A68,'Payouts Reconciliation'!$O$5:$O$504,"&lt;&gt;EXAMPLE")</f>
        <v>0</v>
      </c>
      <c r="G68" s="26" t="n">
        <f aca="false">SUMIFS('Payouts Reconciliation'!$C$5:$C$504,'Payouts Reconciliation'!$B$5:$B$504,"&gt;="&amp;G$63,'Payouts Reconciliation'!$B$5:$B$504,"&lt;"&amp;DATE(YEAR(G$63),MONTH(G$63)+1,1),'Payouts Reconciliation'!$A$5:$A$504,$A68,'Payouts Reconciliation'!$O$5:$O$504,"&lt;&gt;EXAMPLE")</f>
        <v>0</v>
      </c>
      <c r="H68" s="26" t="n">
        <f aca="false">SUMIFS('Payouts Reconciliation'!$C$5:$C$504,'Payouts Reconciliation'!$B$5:$B$504,"&gt;="&amp;H$63,'Payouts Reconciliation'!$B$5:$B$504,"&lt;"&amp;DATE(YEAR(H$63),MONTH(H$63)+1,1),'Payouts Reconciliation'!$A$5:$A$504,$A68,'Payouts Reconciliation'!$O$5:$O$504,"&lt;&gt;EXAMPLE")</f>
        <v>0</v>
      </c>
      <c r="I68" s="26" t="n">
        <f aca="false">SUMIFS('Payouts Reconciliation'!$C$5:$C$504,'Payouts Reconciliation'!$B$5:$B$504,"&gt;="&amp;I$63,'Payouts Reconciliation'!$B$5:$B$504,"&lt;"&amp;DATE(YEAR(I$63),MONTH(I$63)+1,1),'Payouts Reconciliation'!$A$5:$A$504,$A68,'Payouts Reconciliation'!$O$5:$O$504,"&lt;&gt;EXAMPLE")</f>
        <v>0</v>
      </c>
      <c r="J68" s="26" t="n">
        <f aca="false">SUMIFS('Payouts Reconciliation'!$C$5:$C$504,'Payouts Reconciliation'!$B$5:$B$504,"&gt;="&amp;J$63,'Payouts Reconciliation'!$B$5:$B$504,"&lt;"&amp;DATE(YEAR(J$63),MONTH(J$63)+1,1),'Payouts Reconciliation'!$A$5:$A$504,$A68,'Payouts Reconciliation'!$O$5:$O$504,"&lt;&gt;EXAMPLE")</f>
        <v>0</v>
      </c>
      <c r="K68" s="26" t="n">
        <f aca="false">SUMIFS('Payouts Reconciliation'!$C$5:$C$504,'Payouts Reconciliation'!$B$5:$B$504,"&gt;="&amp;K$63,'Payouts Reconciliation'!$B$5:$B$504,"&lt;"&amp;DATE(YEAR(K$63),MONTH(K$63)+1,1),'Payouts Reconciliation'!$A$5:$A$504,$A68,'Payouts Reconciliation'!$O$5:$O$504,"&lt;&gt;EXAMPLE")</f>
        <v>0</v>
      </c>
      <c r="L68" s="26" t="n">
        <f aca="false">SUMIFS('Payouts Reconciliation'!$C$5:$C$504,'Payouts Reconciliation'!$B$5:$B$504,"&gt;="&amp;L$63,'Payouts Reconciliation'!$B$5:$B$504,"&lt;"&amp;DATE(YEAR(L$63),MONTH(L$63)+1,1),'Payouts Reconciliation'!$A$5:$A$504,$A68,'Payouts Reconciliation'!$O$5:$O$504,"&lt;&gt;EXAMPLE")</f>
        <v>0</v>
      </c>
      <c r="M68" s="26" t="n">
        <f aca="false">SUMIFS('Payouts Reconciliation'!$C$5:$C$504,'Payouts Reconciliation'!$B$5:$B$504,"&gt;="&amp;M$63,'Payouts Reconciliation'!$B$5:$B$504,"&lt;"&amp;DATE(YEAR(M$63),MONTH(M$63)+1,1),'Payouts Reconciliation'!$A$5:$A$504,$A68,'Payouts Reconciliation'!$O$5:$O$504,"&lt;&gt;EXAMPLE")</f>
        <v>0</v>
      </c>
      <c r="N68" s="31" t="n">
        <f aca="false">SUM(B68:M68)</f>
        <v>0</v>
      </c>
    </row>
    <row r="69" customFormat="false" ht="15" hidden="false" customHeight="false" outlineLevel="0" collapsed="false">
      <c r="A69" s="30" t="str">
        <f aca="false">'Chart of Accounts'!$A$71</f>
        <v>Shopify (website store)</v>
      </c>
      <c r="B69" s="26" t="n">
        <f aca="false">SUMIFS('Payouts Reconciliation'!$C$5:$C$504,'Payouts Reconciliation'!$B$5:$B$504,"&gt;="&amp;B$63,'Payouts Reconciliation'!$B$5:$B$504,"&lt;"&amp;DATE(YEAR(B$63),MONTH(B$63)+1,1),'Payouts Reconciliation'!$A$5:$A$504,$A69,'Payouts Reconciliation'!$O$5:$O$504,"&lt;&gt;EXAMPLE")</f>
        <v>0</v>
      </c>
      <c r="C69" s="26" t="n">
        <f aca="false">SUMIFS('Payouts Reconciliation'!$C$5:$C$504,'Payouts Reconciliation'!$B$5:$B$504,"&gt;="&amp;C$63,'Payouts Reconciliation'!$B$5:$B$504,"&lt;"&amp;DATE(YEAR(C$63),MONTH(C$63)+1,1),'Payouts Reconciliation'!$A$5:$A$504,$A69,'Payouts Reconciliation'!$O$5:$O$504,"&lt;&gt;EXAMPLE")</f>
        <v>0</v>
      </c>
      <c r="D69" s="26" t="n">
        <f aca="false">SUMIFS('Payouts Reconciliation'!$C$5:$C$504,'Payouts Reconciliation'!$B$5:$B$504,"&gt;="&amp;D$63,'Payouts Reconciliation'!$B$5:$B$504,"&lt;"&amp;DATE(YEAR(D$63),MONTH(D$63)+1,1),'Payouts Reconciliation'!$A$5:$A$504,$A69,'Payouts Reconciliation'!$O$5:$O$504,"&lt;&gt;EXAMPLE")</f>
        <v>0</v>
      </c>
      <c r="E69" s="26" t="n">
        <f aca="false">SUMIFS('Payouts Reconciliation'!$C$5:$C$504,'Payouts Reconciliation'!$B$5:$B$504,"&gt;="&amp;E$63,'Payouts Reconciliation'!$B$5:$B$504,"&lt;"&amp;DATE(YEAR(E$63),MONTH(E$63)+1,1),'Payouts Reconciliation'!$A$5:$A$504,$A69,'Payouts Reconciliation'!$O$5:$O$504,"&lt;&gt;EXAMPLE")</f>
        <v>0</v>
      </c>
      <c r="F69" s="26" t="n">
        <f aca="false">SUMIFS('Payouts Reconciliation'!$C$5:$C$504,'Payouts Reconciliation'!$B$5:$B$504,"&gt;="&amp;F$63,'Payouts Reconciliation'!$B$5:$B$504,"&lt;"&amp;DATE(YEAR(F$63),MONTH(F$63)+1,1),'Payouts Reconciliation'!$A$5:$A$504,$A69,'Payouts Reconciliation'!$O$5:$O$504,"&lt;&gt;EXAMPLE")</f>
        <v>0</v>
      </c>
      <c r="G69" s="26" t="n">
        <f aca="false">SUMIFS('Payouts Reconciliation'!$C$5:$C$504,'Payouts Reconciliation'!$B$5:$B$504,"&gt;="&amp;G$63,'Payouts Reconciliation'!$B$5:$B$504,"&lt;"&amp;DATE(YEAR(G$63),MONTH(G$63)+1,1),'Payouts Reconciliation'!$A$5:$A$504,$A69,'Payouts Reconciliation'!$O$5:$O$504,"&lt;&gt;EXAMPLE")</f>
        <v>0</v>
      </c>
      <c r="H69" s="26" t="n">
        <f aca="false">SUMIFS('Payouts Reconciliation'!$C$5:$C$504,'Payouts Reconciliation'!$B$5:$B$504,"&gt;="&amp;H$63,'Payouts Reconciliation'!$B$5:$B$504,"&lt;"&amp;DATE(YEAR(H$63),MONTH(H$63)+1,1),'Payouts Reconciliation'!$A$5:$A$504,$A69,'Payouts Reconciliation'!$O$5:$O$504,"&lt;&gt;EXAMPLE")</f>
        <v>0</v>
      </c>
      <c r="I69" s="26" t="n">
        <f aca="false">SUMIFS('Payouts Reconciliation'!$C$5:$C$504,'Payouts Reconciliation'!$B$5:$B$504,"&gt;="&amp;I$63,'Payouts Reconciliation'!$B$5:$B$504,"&lt;"&amp;DATE(YEAR(I$63),MONTH(I$63)+1,1),'Payouts Reconciliation'!$A$5:$A$504,$A69,'Payouts Reconciliation'!$O$5:$O$504,"&lt;&gt;EXAMPLE")</f>
        <v>0</v>
      </c>
      <c r="J69" s="26" t="n">
        <f aca="false">SUMIFS('Payouts Reconciliation'!$C$5:$C$504,'Payouts Reconciliation'!$B$5:$B$504,"&gt;="&amp;J$63,'Payouts Reconciliation'!$B$5:$B$504,"&lt;"&amp;DATE(YEAR(J$63),MONTH(J$63)+1,1),'Payouts Reconciliation'!$A$5:$A$504,$A69,'Payouts Reconciliation'!$O$5:$O$504,"&lt;&gt;EXAMPLE")</f>
        <v>0</v>
      </c>
      <c r="K69" s="26" t="n">
        <f aca="false">SUMIFS('Payouts Reconciliation'!$C$5:$C$504,'Payouts Reconciliation'!$B$5:$B$504,"&gt;="&amp;K$63,'Payouts Reconciliation'!$B$5:$B$504,"&lt;"&amp;DATE(YEAR(K$63),MONTH(K$63)+1,1),'Payouts Reconciliation'!$A$5:$A$504,$A69,'Payouts Reconciliation'!$O$5:$O$504,"&lt;&gt;EXAMPLE")</f>
        <v>0</v>
      </c>
      <c r="L69" s="26" t="n">
        <f aca="false">SUMIFS('Payouts Reconciliation'!$C$5:$C$504,'Payouts Reconciliation'!$B$5:$B$504,"&gt;="&amp;L$63,'Payouts Reconciliation'!$B$5:$B$504,"&lt;"&amp;DATE(YEAR(L$63),MONTH(L$63)+1,1),'Payouts Reconciliation'!$A$5:$A$504,$A69,'Payouts Reconciliation'!$O$5:$O$504,"&lt;&gt;EXAMPLE")</f>
        <v>0</v>
      </c>
      <c r="M69" s="26" t="n">
        <f aca="false">SUMIFS('Payouts Reconciliation'!$C$5:$C$504,'Payouts Reconciliation'!$B$5:$B$504,"&gt;="&amp;M$63,'Payouts Reconciliation'!$B$5:$B$504,"&lt;"&amp;DATE(YEAR(M$63),MONTH(M$63)+1,1),'Payouts Reconciliation'!$A$5:$A$504,$A69,'Payouts Reconciliation'!$O$5:$O$504,"&lt;&gt;EXAMPLE")</f>
        <v>0</v>
      </c>
      <c r="N69" s="31" t="n">
        <f aca="false">SUM(B69:M69)</f>
        <v>0</v>
      </c>
    </row>
    <row r="70" customFormat="false" ht="15" hidden="false" customHeight="false" outlineLevel="0" collapsed="false">
      <c r="A70" s="30" t="str">
        <f aca="false">'Chart of Accounts'!$A$72</f>
        <v>Stripe (website &amp; invoices)</v>
      </c>
      <c r="B70" s="26" t="n">
        <f aca="false">SUMIFS('Payouts Reconciliation'!$C$5:$C$504,'Payouts Reconciliation'!$B$5:$B$504,"&gt;="&amp;B$63,'Payouts Reconciliation'!$B$5:$B$504,"&lt;"&amp;DATE(YEAR(B$63),MONTH(B$63)+1,1),'Payouts Reconciliation'!$A$5:$A$504,$A70,'Payouts Reconciliation'!$O$5:$O$504,"&lt;&gt;EXAMPLE")</f>
        <v>0</v>
      </c>
      <c r="C70" s="26" t="n">
        <f aca="false">SUMIFS('Payouts Reconciliation'!$C$5:$C$504,'Payouts Reconciliation'!$B$5:$B$504,"&gt;="&amp;C$63,'Payouts Reconciliation'!$B$5:$B$504,"&lt;"&amp;DATE(YEAR(C$63),MONTH(C$63)+1,1),'Payouts Reconciliation'!$A$5:$A$504,$A70,'Payouts Reconciliation'!$O$5:$O$504,"&lt;&gt;EXAMPLE")</f>
        <v>0</v>
      </c>
      <c r="D70" s="26" t="n">
        <f aca="false">SUMIFS('Payouts Reconciliation'!$C$5:$C$504,'Payouts Reconciliation'!$B$5:$B$504,"&gt;="&amp;D$63,'Payouts Reconciliation'!$B$5:$B$504,"&lt;"&amp;DATE(YEAR(D$63),MONTH(D$63)+1,1),'Payouts Reconciliation'!$A$5:$A$504,$A70,'Payouts Reconciliation'!$O$5:$O$504,"&lt;&gt;EXAMPLE")</f>
        <v>0</v>
      </c>
      <c r="E70" s="26" t="n">
        <f aca="false">SUMIFS('Payouts Reconciliation'!$C$5:$C$504,'Payouts Reconciliation'!$B$5:$B$504,"&gt;="&amp;E$63,'Payouts Reconciliation'!$B$5:$B$504,"&lt;"&amp;DATE(YEAR(E$63),MONTH(E$63)+1,1),'Payouts Reconciliation'!$A$5:$A$504,$A70,'Payouts Reconciliation'!$O$5:$O$504,"&lt;&gt;EXAMPLE")</f>
        <v>0</v>
      </c>
      <c r="F70" s="26" t="n">
        <f aca="false">SUMIFS('Payouts Reconciliation'!$C$5:$C$504,'Payouts Reconciliation'!$B$5:$B$504,"&gt;="&amp;F$63,'Payouts Reconciliation'!$B$5:$B$504,"&lt;"&amp;DATE(YEAR(F$63),MONTH(F$63)+1,1),'Payouts Reconciliation'!$A$5:$A$504,$A70,'Payouts Reconciliation'!$O$5:$O$504,"&lt;&gt;EXAMPLE")</f>
        <v>0</v>
      </c>
      <c r="G70" s="26" t="n">
        <f aca="false">SUMIFS('Payouts Reconciliation'!$C$5:$C$504,'Payouts Reconciliation'!$B$5:$B$504,"&gt;="&amp;G$63,'Payouts Reconciliation'!$B$5:$B$504,"&lt;"&amp;DATE(YEAR(G$63),MONTH(G$63)+1,1),'Payouts Reconciliation'!$A$5:$A$504,$A70,'Payouts Reconciliation'!$O$5:$O$504,"&lt;&gt;EXAMPLE")</f>
        <v>0</v>
      </c>
      <c r="H70" s="26" t="n">
        <f aca="false">SUMIFS('Payouts Reconciliation'!$C$5:$C$504,'Payouts Reconciliation'!$B$5:$B$504,"&gt;="&amp;H$63,'Payouts Reconciliation'!$B$5:$B$504,"&lt;"&amp;DATE(YEAR(H$63),MONTH(H$63)+1,1),'Payouts Reconciliation'!$A$5:$A$504,$A70,'Payouts Reconciliation'!$O$5:$O$504,"&lt;&gt;EXAMPLE")</f>
        <v>0</v>
      </c>
      <c r="I70" s="26" t="n">
        <f aca="false">SUMIFS('Payouts Reconciliation'!$C$5:$C$504,'Payouts Reconciliation'!$B$5:$B$504,"&gt;="&amp;I$63,'Payouts Reconciliation'!$B$5:$B$504,"&lt;"&amp;DATE(YEAR(I$63),MONTH(I$63)+1,1),'Payouts Reconciliation'!$A$5:$A$504,$A70,'Payouts Reconciliation'!$O$5:$O$504,"&lt;&gt;EXAMPLE")</f>
        <v>0</v>
      </c>
      <c r="J70" s="26" t="n">
        <f aca="false">SUMIFS('Payouts Reconciliation'!$C$5:$C$504,'Payouts Reconciliation'!$B$5:$B$504,"&gt;="&amp;J$63,'Payouts Reconciliation'!$B$5:$B$504,"&lt;"&amp;DATE(YEAR(J$63),MONTH(J$63)+1,1),'Payouts Reconciliation'!$A$5:$A$504,$A70,'Payouts Reconciliation'!$O$5:$O$504,"&lt;&gt;EXAMPLE")</f>
        <v>0</v>
      </c>
      <c r="K70" s="26" t="n">
        <f aca="false">SUMIFS('Payouts Reconciliation'!$C$5:$C$504,'Payouts Reconciliation'!$B$5:$B$504,"&gt;="&amp;K$63,'Payouts Reconciliation'!$B$5:$B$504,"&lt;"&amp;DATE(YEAR(K$63),MONTH(K$63)+1,1),'Payouts Reconciliation'!$A$5:$A$504,$A70,'Payouts Reconciliation'!$O$5:$O$504,"&lt;&gt;EXAMPLE")</f>
        <v>0</v>
      </c>
      <c r="L70" s="26" t="n">
        <f aca="false">SUMIFS('Payouts Reconciliation'!$C$5:$C$504,'Payouts Reconciliation'!$B$5:$B$504,"&gt;="&amp;L$63,'Payouts Reconciliation'!$B$5:$B$504,"&lt;"&amp;DATE(YEAR(L$63),MONTH(L$63)+1,1),'Payouts Reconciliation'!$A$5:$A$504,$A70,'Payouts Reconciliation'!$O$5:$O$504,"&lt;&gt;EXAMPLE")</f>
        <v>0</v>
      </c>
      <c r="M70" s="26" t="n">
        <f aca="false">SUMIFS('Payouts Reconciliation'!$C$5:$C$504,'Payouts Reconciliation'!$B$5:$B$504,"&gt;="&amp;M$63,'Payouts Reconciliation'!$B$5:$B$504,"&lt;"&amp;DATE(YEAR(M$63),MONTH(M$63)+1,1),'Payouts Reconciliation'!$A$5:$A$504,$A70,'Payouts Reconciliation'!$O$5:$O$504,"&lt;&gt;EXAMPLE")</f>
        <v>0</v>
      </c>
      <c r="N70" s="31" t="n">
        <f aca="false">SUM(B70:M70)</f>
        <v>0</v>
      </c>
    </row>
    <row r="71" customFormat="false" ht="15" hidden="false" customHeight="false" outlineLevel="0" collapsed="false">
      <c r="A71" s="30" t="str">
        <f aca="false">'Chart of Accounts'!$A$73</f>
        <v>PayPal Business</v>
      </c>
      <c r="B71" s="26" t="n">
        <f aca="false">SUMIFS('Payouts Reconciliation'!$C$5:$C$504,'Payouts Reconciliation'!$B$5:$B$504,"&gt;="&amp;B$63,'Payouts Reconciliation'!$B$5:$B$504,"&lt;"&amp;DATE(YEAR(B$63),MONTH(B$63)+1,1),'Payouts Reconciliation'!$A$5:$A$504,$A71,'Payouts Reconciliation'!$O$5:$O$504,"&lt;&gt;EXAMPLE")</f>
        <v>0</v>
      </c>
      <c r="C71" s="26" t="n">
        <f aca="false">SUMIFS('Payouts Reconciliation'!$C$5:$C$504,'Payouts Reconciliation'!$B$5:$B$504,"&gt;="&amp;C$63,'Payouts Reconciliation'!$B$5:$B$504,"&lt;"&amp;DATE(YEAR(C$63),MONTH(C$63)+1,1),'Payouts Reconciliation'!$A$5:$A$504,$A71,'Payouts Reconciliation'!$O$5:$O$504,"&lt;&gt;EXAMPLE")</f>
        <v>0</v>
      </c>
      <c r="D71" s="26" t="n">
        <f aca="false">SUMIFS('Payouts Reconciliation'!$C$5:$C$504,'Payouts Reconciliation'!$B$5:$B$504,"&gt;="&amp;D$63,'Payouts Reconciliation'!$B$5:$B$504,"&lt;"&amp;DATE(YEAR(D$63),MONTH(D$63)+1,1),'Payouts Reconciliation'!$A$5:$A$504,$A71,'Payouts Reconciliation'!$O$5:$O$504,"&lt;&gt;EXAMPLE")</f>
        <v>0</v>
      </c>
      <c r="E71" s="26" t="n">
        <f aca="false">SUMIFS('Payouts Reconciliation'!$C$5:$C$504,'Payouts Reconciliation'!$B$5:$B$504,"&gt;="&amp;E$63,'Payouts Reconciliation'!$B$5:$B$504,"&lt;"&amp;DATE(YEAR(E$63),MONTH(E$63)+1,1),'Payouts Reconciliation'!$A$5:$A$504,$A71,'Payouts Reconciliation'!$O$5:$O$504,"&lt;&gt;EXAMPLE")</f>
        <v>0</v>
      </c>
      <c r="F71" s="26" t="n">
        <f aca="false">SUMIFS('Payouts Reconciliation'!$C$5:$C$504,'Payouts Reconciliation'!$B$5:$B$504,"&gt;="&amp;F$63,'Payouts Reconciliation'!$B$5:$B$504,"&lt;"&amp;DATE(YEAR(F$63),MONTH(F$63)+1,1),'Payouts Reconciliation'!$A$5:$A$504,$A71,'Payouts Reconciliation'!$O$5:$O$504,"&lt;&gt;EXAMPLE")</f>
        <v>0</v>
      </c>
      <c r="G71" s="26" t="n">
        <f aca="false">SUMIFS('Payouts Reconciliation'!$C$5:$C$504,'Payouts Reconciliation'!$B$5:$B$504,"&gt;="&amp;G$63,'Payouts Reconciliation'!$B$5:$B$504,"&lt;"&amp;DATE(YEAR(G$63),MONTH(G$63)+1,1),'Payouts Reconciliation'!$A$5:$A$504,$A71,'Payouts Reconciliation'!$O$5:$O$504,"&lt;&gt;EXAMPLE")</f>
        <v>0</v>
      </c>
      <c r="H71" s="26" t="n">
        <f aca="false">SUMIFS('Payouts Reconciliation'!$C$5:$C$504,'Payouts Reconciliation'!$B$5:$B$504,"&gt;="&amp;H$63,'Payouts Reconciliation'!$B$5:$B$504,"&lt;"&amp;DATE(YEAR(H$63),MONTH(H$63)+1,1),'Payouts Reconciliation'!$A$5:$A$504,$A71,'Payouts Reconciliation'!$O$5:$O$504,"&lt;&gt;EXAMPLE")</f>
        <v>0</v>
      </c>
      <c r="I71" s="26" t="n">
        <f aca="false">SUMIFS('Payouts Reconciliation'!$C$5:$C$504,'Payouts Reconciliation'!$B$5:$B$504,"&gt;="&amp;I$63,'Payouts Reconciliation'!$B$5:$B$504,"&lt;"&amp;DATE(YEAR(I$63),MONTH(I$63)+1,1),'Payouts Reconciliation'!$A$5:$A$504,$A71,'Payouts Reconciliation'!$O$5:$O$504,"&lt;&gt;EXAMPLE")</f>
        <v>0</v>
      </c>
      <c r="J71" s="26" t="n">
        <f aca="false">SUMIFS('Payouts Reconciliation'!$C$5:$C$504,'Payouts Reconciliation'!$B$5:$B$504,"&gt;="&amp;J$63,'Payouts Reconciliation'!$B$5:$B$504,"&lt;"&amp;DATE(YEAR(J$63),MONTH(J$63)+1,1),'Payouts Reconciliation'!$A$5:$A$504,$A71,'Payouts Reconciliation'!$O$5:$O$504,"&lt;&gt;EXAMPLE")</f>
        <v>0</v>
      </c>
      <c r="K71" s="26" t="n">
        <f aca="false">SUMIFS('Payouts Reconciliation'!$C$5:$C$504,'Payouts Reconciliation'!$B$5:$B$504,"&gt;="&amp;K$63,'Payouts Reconciliation'!$B$5:$B$504,"&lt;"&amp;DATE(YEAR(K$63),MONTH(K$63)+1,1),'Payouts Reconciliation'!$A$5:$A$504,$A71,'Payouts Reconciliation'!$O$5:$O$504,"&lt;&gt;EXAMPLE")</f>
        <v>0</v>
      </c>
      <c r="L71" s="26" t="n">
        <f aca="false">SUMIFS('Payouts Reconciliation'!$C$5:$C$504,'Payouts Reconciliation'!$B$5:$B$504,"&gt;="&amp;L$63,'Payouts Reconciliation'!$B$5:$B$504,"&lt;"&amp;DATE(YEAR(L$63),MONTH(L$63)+1,1),'Payouts Reconciliation'!$A$5:$A$504,$A71,'Payouts Reconciliation'!$O$5:$O$504,"&lt;&gt;EXAMPLE")</f>
        <v>0</v>
      </c>
      <c r="M71" s="26" t="n">
        <f aca="false">SUMIFS('Payouts Reconciliation'!$C$5:$C$504,'Payouts Reconciliation'!$B$5:$B$504,"&gt;="&amp;M$63,'Payouts Reconciliation'!$B$5:$B$504,"&lt;"&amp;DATE(YEAR(M$63),MONTH(M$63)+1,1),'Payouts Reconciliation'!$A$5:$A$504,$A71,'Payouts Reconciliation'!$O$5:$O$504,"&lt;&gt;EXAMPLE")</f>
        <v>0</v>
      </c>
      <c r="N71" s="31" t="n">
        <f aca="false">SUM(B71:M71)</f>
        <v>0</v>
      </c>
    </row>
    <row r="72" customFormat="false" ht="15" hidden="false" customHeight="false" outlineLevel="0" collapsed="false">
      <c r="A72" s="30" t="str">
        <f aca="false">'Chart of Accounts'!$A$74</f>
        <v>Meta shop (FB/IG)</v>
      </c>
      <c r="B72" s="26" t="n">
        <f aca="false">SUMIFS('Payouts Reconciliation'!$C$5:$C$504,'Payouts Reconciliation'!$B$5:$B$504,"&gt;="&amp;B$63,'Payouts Reconciliation'!$B$5:$B$504,"&lt;"&amp;DATE(YEAR(B$63),MONTH(B$63)+1,1),'Payouts Reconciliation'!$A$5:$A$504,$A72,'Payouts Reconciliation'!$O$5:$O$504,"&lt;&gt;EXAMPLE")</f>
        <v>0</v>
      </c>
      <c r="C72" s="26" t="n">
        <f aca="false">SUMIFS('Payouts Reconciliation'!$C$5:$C$504,'Payouts Reconciliation'!$B$5:$B$504,"&gt;="&amp;C$63,'Payouts Reconciliation'!$B$5:$B$504,"&lt;"&amp;DATE(YEAR(C$63),MONTH(C$63)+1,1),'Payouts Reconciliation'!$A$5:$A$504,$A72,'Payouts Reconciliation'!$O$5:$O$504,"&lt;&gt;EXAMPLE")</f>
        <v>0</v>
      </c>
      <c r="D72" s="26" t="n">
        <f aca="false">SUMIFS('Payouts Reconciliation'!$C$5:$C$504,'Payouts Reconciliation'!$B$5:$B$504,"&gt;="&amp;D$63,'Payouts Reconciliation'!$B$5:$B$504,"&lt;"&amp;DATE(YEAR(D$63),MONTH(D$63)+1,1),'Payouts Reconciliation'!$A$5:$A$504,$A72,'Payouts Reconciliation'!$O$5:$O$504,"&lt;&gt;EXAMPLE")</f>
        <v>0</v>
      </c>
      <c r="E72" s="26" t="n">
        <f aca="false">SUMIFS('Payouts Reconciliation'!$C$5:$C$504,'Payouts Reconciliation'!$B$5:$B$504,"&gt;="&amp;E$63,'Payouts Reconciliation'!$B$5:$B$504,"&lt;"&amp;DATE(YEAR(E$63),MONTH(E$63)+1,1),'Payouts Reconciliation'!$A$5:$A$504,$A72,'Payouts Reconciliation'!$O$5:$O$504,"&lt;&gt;EXAMPLE")</f>
        <v>0</v>
      </c>
      <c r="F72" s="26" t="n">
        <f aca="false">SUMIFS('Payouts Reconciliation'!$C$5:$C$504,'Payouts Reconciliation'!$B$5:$B$504,"&gt;="&amp;F$63,'Payouts Reconciliation'!$B$5:$B$504,"&lt;"&amp;DATE(YEAR(F$63),MONTH(F$63)+1,1),'Payouts Reconciliation'!$A$5:$A$504,$A72,'Payouts Reconciliation'!$O$5:$O$504,"&lt;&gt;EXAMPLE")</f>
        <v>0</v>
      </c>
      <c r="G72" s="26" t="n">
        <f aca="false">SUMIFS('Payouts Reconciliation'!$C$5:$C$504,'Payouts Reconciliation'!$B$5:$B$504,"&gt;="&amp;G$63,'Payouts Reconciliation'!$B$5:$B$504,"&lt;"&amp;DATE(YEAR(G$63),MONTH(G$63)+1,1),'Payouts Reconciliation'!$A$5:$A$504,$A72,'Payouts Reconciliation'!$O$5:$O$504,"&lt;&gt;EXAMPLE")</f>
        <v>0</v>
      </c>
      <c r="H72" s="26" t="n">
        <f aca="false">SUMIFS('Payouts Reconciliation'!$C$5:$C$504,'Payouts Reconciliation'!$B$5:$B$504,"&gt;="&amp;H$63,'Payouts Reconciliation'!$B$5:$B$504,"&lt;"&amp;DATE(YEAR(H$63),MONTH(H$63)+1,1),'Payouts Reconciliation'!$A$5:$A$504,$A72,'Payouts Reconciliation'!$O$5:$O$504,"&lt;&gt;EXAMPLE")</f>
        <v>0</v>
      </c>
      <c r="I72" s="26" t="n">
        <f aca="false">SUMIFS('Payouts Reconciliation'!$C$5:$C$504,'Payouts Reconciliation'!$B$5:$B$504,"&gt;="&amp;I$63,'Payouts Reconciliation'!$B$5:$B$504,"&lt;"&amp;DATE(YEAR(I$63),MONTH(I$63)+1,1),'Payouts Reconciliation'!$A$5:$A$504,$A72,'Payouts Reconciliation'!$O$5:$O$504,"&lt;&gt;EXAMPLE")</f>
        <v>0</v>
      </c>
      <c r="J72" s="26" t="n">
        <f aca="false">SUMIFS('Payouts Reconciliation'!$C$5:$C$504,'Payouts Reconciliation'!$B$5:$B$504,"&gt;="&amp;J$63,'Payouts Reconciliation'!$B$5:$B$504,"&lt;"&amp;DATE(YEAR(J$63),MONTH(J$63)+1,1),'Payouts Reconciliation'!$A$5:$A$504,$A72,'Payouts Reconciliation'!$O$5:$O$504,"&lt;&gt;EXAMPLE")</f>
        <v>0</v>
      </c>
      <c r="K72" s="26" t="n">
        <f aca="false">SUMIFS('Payouts Reconciliation'!$C$5:$C$504,'Payouts Reconciliation'!$B$5:$B$504,"&gt;="&amp;K$63,'Payouts Reconciliation'!$B$5:$B$504,"&lt;"&amp;DATE(YEAR(K$63),MONTH(K$63)+1,1),'Payouts Reconciliation'!$A$5:$A$504,$A72,'Payouts Reconciliation'!$O$5:$O$504,"&lt;&gt;EXAMPLE")</f>
        <v>0</v>
      </c>
      <c r="L72" s="26" t="n">
        <f aca="false">SUMIFS('Payouts Reconciliation'!$C$5:$C$504,'Payouts Reconciliation'!$B$5:$B$504,"&gt;="&amp;L$63,'Payouts Reconciliation'!$B$5:$B$504,"&lt;"&amp;DATE(YEAR(L$63),MONTH(L$63)+1,1),'Payouts Reconciliation'!$A$5:$A$504,$A72,'Payouts Reconciliation'!$O$5:$O$504,"&lt;&gt;EXAMPLE")</f>
        <v>0</v>
      </c>
      <c r="M72" s="26" t="n">
        <f aca="false">SUMIFS('Payouts Reconciliation'!$C$5:$C$504,'Payouts Reconciliation'!$B$5:$B$504,"&gt;="&amp;M$63,'Payouts Reconciliation'!$B$5:$B$504,"&lt;"&amp;DATE(YEAR(M$63),MONTH(M$63)+1,1),'Payouts Reconciliation'!$A$5:$A$504,$A72,'Payouts Reconciliation'!$O$5:$O$504,"&lt;&gt;EXAMPLE")</f>
        <v>0</v>
      </c>
      <c r="N72" s="31" t="n">
        <f aca="false">SUM(B72:M72)</f>
        <v>0</v>
      </c>
    </row>
    <row r="73" customFormat="false" ht="15" hidden="false" customHeight="false" outlineLevel="0" collapsed="false">
      <c r="A73" s="30" t="str">
        <f aca="false">'Chart of Accounts'!$A$75</f>
        <v>Faire (wholesale)</v>
      </c>
      <c r="B73" s="26" t="n">
        <f aca="false">SUMIFS('Payouts Reconciliation'!$C$5:$C$504,'Payouts Reconciliation'!$B$5:$B$504,"&gt;="&amp;B$63,'Payouts Reconciliation'!$B$5:$B$504,"&lt;"&amp;DATE(YEAR(B$63),MONTH(B$63)+1,1),'Payouts Reconciliation'!$A$5:$A$504,$A73,'Payouts Reconciliation'!$O$5:$O$504,"&lt;&gt;EXAMPLE")</f>
        <v>0</v>
      </c>
      <c r="C73" s="26" t="n">
        <f aca="false">SUMIFS('Payouts Reconciliation'!$C$5:$C$504,'Payouts Reconciliation'!$B$5:$B$504,"&gt;="&amp;C$63,'Payouts Reconciliation'!$B$5:$B$504,"&lt;"&amp;DATE(YEAR(C$63),MONTH(C$63)+1,1),'Payouts Reconciliation'!$A$5:$A$504,$A73,'Payouts Reconciliation'!$O$5:$O$504,"&lt;&gt;EXAMPLE")</f>
        <v>0</v>
      </c>
      <c r="D73" s="26" t="n">
        <f aca="false">SUMIFS('Payouts Reconciliation'!$C$5:$C$504,'Payouts Reconciliation'!$B$5:$B$504,"&gt;="&amp;D$63,'Payouts Reconciliation'!$B$5:$B$504,"&lt;"&amp;DATE(YEAR(D$63),MONTH(D$63)+1,1),'Payouts Reconciliation'!$A$5:$A$504,$A73,'Payouts Reconciliation'!$O$5:$O$504,"&lt;&gt;EXAMPLE")</f>
        <v>0</v>
      </c>
      <c r="E73" s="26" t="n">
        <f aca="false">SUMIFS('Payouts Reconciliation'!$C$5:$C$504,'Payouts Reconciliation'!$B$5:$B$504,"&gt;="&amp;E$63,'Payouts Reconciliation'!$B$5:$B$504,"&lt;"&amp;DATE(YEAR(E$63),MONTH(E$63)+1,1),'Payouts Reconciliation'!$A$5:$A$504,$A73,'Payouts Reconciliation'!$O$5:$O$504,"&lt;&gt;EXAMPLE")</f>
        <v>0</v>
      </c>
      <c r="F73" s="26" t="n">
        <f aca="false">SUMIFS('Payouts Reconciliation'!$C$5:$C$504,'Payouts Reconciliation'!$B$5:$B$504,"&gt;="&amp;F$63,'Payouts Reconciliation'!$B$5:$B$504,"&lt;"&amp;DATE(YEAR(F$63),MONTH(F$63)+1,1),'Payouts Reconciliation'!$A$5:$A$504,$A73,'Payouts Reconciliation'!$O$5:$O$504,"&lt;&gt;EXAMPLE")</f>
        <v>0</v>
      </c>
      <c r="G73" s="26" t="n">
        <f aca="false">SUMIFS('Payouts Reconciliation'!$C$5:$C$504,'Payouts Reconciliation'!$B$5:$B$504,"&gt;="&amp;G$63,'Payouts Reconciliation'!$B$5:$B$504,"&lt;"&amp;DATE(YEAR(G$63),MONTH(G$63)+1,1),'Payouts Reconciliation'!$A$5:$A$504,$A73,'Payouts Reconciliation'!$O$5:$O$504,"&lt;&gt;EXAMPLE")</f>
        <v>0</v>
      </c>
      <c r="H73" s="26" t="n">
        <f aca="false">SUMIFS('Payouts Reconciliation'!$C$5:$C$504,'Payouts Reconciliation'!$B$5:$B$504,"&gt;="&amp;H$63,'Payouts Reconciliation'!$B$5:$B$504,"&lt;"&amp;DATE(YEAR(H$63),MONTH(H$63)+1,1),'Payouts Reconciliation'!$A$5:$A$504,$A73,'Payouts Reconciliation'!$O$5:$O$504,"&lt;&gt;EXAMPLE")</f>
        <v>0</v>
      </c>
      <c r="I73" s="26" t="n">
        <f aca="false">SUMIFS('Payouts Reconciliation'!$C$5:$C$504,'Payouts Reconciliation'!$B$5:$B$504,"&gt;="&amp;I$63,'Payouts Reconciliation'!$B$5:$B$504,"&lt;"&amp;DATE(YEAR(I$63),MONTH(I$63)+1,1),'Payouts Reconciliation'!$A$5:$A$504,$A73,'Payouts Reconciliation'!$O$5:$O$504,"&lt;&gt;EXAMPLE")</f>
        <v>0</v>
      </c>
      <c r="J73" s="26" t="n">
        <f aca="false">SUMIFS('Payouts Reconciliation'!$C$5:$C$504,'Payouts Reconciliation'!$B$5:$B$504,"&gt;="&amp;J$63,'Payouts Reconciliation'!$B$5:$B$504,"&lt;"&amp;DATE(YEAR(J$63),MONTH(J$63)+1,1),'Payouts Reconciliation'!$A$5:$A$504,$A73,'Payouts Reconciliation'!$O$5:$O$504,"&lt;&gt;EXAMPLE")</f>
        <v>0</v>
      </c>
      <c r="K73" s="26" t="n">
        <f aca="false">SUMIFS('Payouts Reconciliation'!$C$5:$C$504,'Payouts Reconciliation'!$B$5:$B$504,"&gt;="&amp;K$63,'Payouts Reconciliation'!$B$5:$B$504,"&lt;"&amp;DATE(YEAR(K$63),MONTH(K$63)+1,1),'Payouts Reconciliation'!$A$5:$A$504,$A73,'Payouts Reconciliation'!$O$5:$O$504,"&lt;&gt;EXAMPLE")</f>
        <v>0</v>
      </c>
      <c r="L73" s="26" t="n">
        <f aca="false">SUMIFS('Payouts Reconciliation'!$C$5:$C$504,'Payouts Reconciliation'!$B$5:$B$504,"&gt;="&amp;L$63,'Payouts Reconciliation'!$B$5:$B$504,"&lt;"&amp;DATE(YEAR(L$63),MONTH(L$63)+1,1),'Payouts Reconciliation'!$A$5:$A$504,$A73,'Payouts Reconciliation'!$O$5:$O$504,"&lt;&gt;EXAMPLE")</f>
        <v>0</v>
      </c>
      <c r="M73" s="26" t="n">
        <f aca="false">SUMIFS('Payouts Reconciliation'!$C$5:$C$504,'Payouts Reconciliation'!$B$5:$B$504,"&gt;="&amp;M$63,'Payouts Reconciliation'!$B$5:$B$504,"&lt;"&amp;DATE(YEAR(M$63),MONTH(M$63)+1,1),'Payouts Reconciliation'!$A$5:$A$504,$A73,'Payouts Reconciliation'!$O$5:$O$504,"&lt;&gt;EXAMPLE")</f>
        <v>0</v>
      </c>
      <c r="N73" s="31" t="n">
        <f aca="false">SUM(B73:M73)</f>
        <v>0</v>
      </c>
    </row>
    <row r="74" customFormat="false" ht="15" hidden="false" customHeight="false" outlineLevel="0" collapsed="false">
      <c r="A74" s="30" t="str">
        <f aca="false">'Chart of Accounts'!$A$76</f>
        <v>Merchant of record</v>
      </c>
      <c r="B74" s="26" t="n">
        <f aca="false">SUMIFS('Payouts Reconciliation'!$C$5:$C$504,'Payouts Reconciliation'!$B$5:$B$504,"&gt;="&amp;B$63,'Payouts Reconciliation'!$B$5:$B$504,"&lt;"&amp;DATE(YEAR(B$63),MONTH(B$63)+1,1),'Payouts Reconciliation'!$A$5:$A$504,$A74,'Payouts Reconciliation'!$O$5:$O$504,"&lt;&gt;EXAMPLE")</f>
        <v>0</v>
      </c>
      <c r="C74" s="26" t="n">
        <f aca="false">SUMIFS('Payouts Reconciliation'!$C$5:$C$504,'Payouts Reconciliation'!$B$5:$B$504,"&gt;="&amp;C$63,'Payouts Reconciliation'!$B$5:$B$504,"&lt;"&amp;DATE(YEAR(C$63),MONTH(C$63)+1,1),'Payouts Reconciliation'!$A$5:$A$504,$A74,'Payouts Reconciliation'!$O$5:$O$504,"&lt;&gt;EXAMPLE")</f>
        <v>0</v>
      </c>
      <c r="D74" s="26" t="n">
        <f aca="false">SUMIFS('Payouts Reconciliation'!$C$5:$C$504,'Payouts Reconciliation'!$B$5:$B$504,"&gt;="&amp;D$63,'Payouts Reconciliation'!$B$5:$B$504,"&lt;"&amp;DATE(YEAR(D$63),MONTH(D$63)+1,1),'Payouts Reconciliation'!$A$5:$A$504,$A74,'Payouts Reconciliation'!$O$5:$O$504,"&lt;&gt;EXAMPLE")</f>
        <v>0</v>
      </c>
      <c r="E74" s="26" t="n">
        <f aca="false">SUMIFS('Payouts Reconciliation'!$C$5:$C$504,'Payouts Reconciliation'!$B$5:$B$504,"&gt;="&amp;E$63,'Payouts Reconciliation'!$B$5:$B$504,"&lt;"&amp;DATE(YEAR(E$63),MONTH(E$63)+1,1),'Payouts Reconciliation'!$A$5:$A$504,$A74,'Payouts Reconciliation'!$O$5:$O$504,"&lt;&gt;EXAMPLE")</f>
        <v>0</v>
      </c>
      <c r="F74" s="26" t="n">
        <f aca="false">SUMIFS('Payouts Reconciliation'!$C$5:$C$504,'Payouts Reconciliation'!$B$5:$B$504,"&gt;="&amp;F$63,'Payouts Reconciliation'!$B$5:$B$504,"&lt;"&amp;DATE(YEAR(F$63),MONTH(F$63)+1,1),'Payouts Reconciliation'!$A$5:$A$504,$A74,'Payouts Reconciliation'!$O$5:$O$504,"&lt;&gt;EXAMPLE")</f>
        <v>0</v>
      </c>
      <c r="G74" s="26" t="n">
        <f aca="false">SUMIFS('Payouts Reconciliation'!$C$5:$C$504,'Payouts Reconciliation'!$B$5:$B$504,"&gt;="&amp;G$63,'Payouts Reconciliation'!$B$5:$B$504,"&lt;"&amp;DATE(YEAR(G$63),MONTH(G$63)+1,1),'Payouts Reconciliation'!$A$5:$A$504,$A74,'Payouts Reconciliation'!$O$5:$O$504,"&lt;&gt;EXAMPLE")</f>
        <v>0</v>
      </c>
      <c r="H74" s="26" t="n">
        <f aca="false">SUMIFS('Payouts Reconciliation'!$C$5:$C$504,'Payouts Reconciliation'!$B$5:$B$504,"&gt;="&amp;H$63,'Payouts Reconciliation'!$B$5:$B$504,"&lt;"&amp;DATE(YEAR(H$63),MONTH(H$63)+1,1),'Payouts Reconciliation'!$A$5:$A$504,$A74,'Payouts Reconciliation'!$O$5:$O$504,"&lt;&gt;EXAMPLE")</f>
        <v>0</v>
      </c>
      <c r="I74" s="26" t="n">
        <f aca="false">SUMIFS('Payouts Reconciliation'!$C$5:$C$504,'Payouts Reconciliation'!$B$5:$B$504,"&gt;="&amp;I$63,'Payouts Reconciliation'!$B$5:$B$504,"&lt;"&amp;DATE(YEAR(I$63),MONTH(I$63)+1,1),'Payouts Reconciliation'!$A$5:$A$504,$A74,'Payouts Reconciliation'!$O$5:$O$504,"&lt;&gt;EXAMPLE")</f>
        <v>0</v>
      </c>
      <c r="J74" s="26" t="n">
        <f aca="false">SUMIFS('Payouts Reconciliation'!$C$5:$C$504,'Payouts Reconciliation'!$B$5:$B$504,"&gt;="&amp;J$63,'Payouts Reconciliation'!$B$5:$B$504,"&lt;"&amp;DATE(YEAR(J$63),MONTH(J$63)+1,1),'Payouts Reconciliation'!$A$5:$A$504,$A74,'Payouts Reconciliation'!$O$5:$O$504,"&lt;&gt;EXAMPLE")</f>
        <v>0</v>
      </c>
      <c r="K74" s="26" t="n">
        <f aca="false">SUMIFS('Payouts Reconciliation'!$C$5:$C$504,'Payouts Reconciliation'!$B$5:$B$504,"&gt;="&amp;K$63,'Payouts Reconciliation'!$B$5:$B$504,"&lt;"&amp;DATE(YEAR(K$63),MONTH(K$63)+1,1),'Payouts Reconciliation'!$A$5:$A$504,$A74,'Payouts Reconciliation'!$O$5:$O$504,"&lt;&gt;EXAMPLE")</f>
        <v>0</v>
      </c>
      <c r="L74" s="26" t="n">
        <f aca="false">SUMIFS('Payouts Reconciliation'!$C$5:$C$504,'Payouts Reconciliation'!$B$5:$B$504,"&gt;="&amp;L$63,'Payouts Reconciliation'!$B$5:$B$504,"&lt;"&amp;DATE(YEAR(L$63),MONTH(L$63)+1,1),'Payouts Reconciliation'!$A$5:$A$504,$A74,'Payouts Reconciliation'!$O$5:$O$504,"&lt;&gt;EXAMPLE")</f>
        <v>0</v>
      </c>
      <c r="M74" s="26" t="n">
        <f aca="false">SUMIFS('Payouts Reconciliation'!$C$5:$C$504,'Payouts Reconciliation'!$B$5:$B$504,"&gt;="&amp;M$63,'Payouts Reconciliation'!$B$5:$B$504,"&lt;"&amp;DATE(YEAR(M$63),MONTH(M$63)+1,1),'Payouts Reconciliation'!$A$5:$A$504,$A74,'Payouts Reconciliation'!$O$5:$O$504,"&lt;&gt;EXAMPLE")</f>
        <v>0</v>
      </c>
      <c r="N74" s="31" t="n">
        <f aca="false">SUM(B74:M74)</f>
        <v>0</v>
      </c>
    </row>
    <row r="75" customFormat="false" ht="15" hidden="false" customHeight="false" outlineLevel="0" collapsed="false">
      <c r="A75" s="30" t="str">
        <f aca="false">'Chart of Accounts'!$A$77</f>
        <v>Amazon Associates</v>
      </c>
      <c r="B75" s="26" t="n">
        <f aca="false">SUMIFS('Payouts Reconciliation'!$C$5:$C$504,'Payouts Reconciliation'!$B$5:$B$504,"&gt;="&amp;B$63,'Payouts Reconciliation'!$B$5:$B$504,"&lt;"&amp;DATE(YEAR(B$63),MONTH(B$63)+1,1),'Payouts Reconciliation'!$A$5:$A$504,$A75,'Payouts Reconciliation'!$O$5:$O$504,"&lt;&gt;EXAMPLE")</f>
        <v>0</v>
      </c>
      <c r="C75" s="26" t="n">
        <f aca="false">SUMIFS('Payouts Reconciliation'!$C$5:$C$504,'Payouts Reconciliation'!$B$5:$B$504,"&gt;="&amp;C$63,'Payouts Reconciliation'!$B$5:$B$504,"&lt;"&amp;DATE(YEAR(C$63),MONTH(C$63)+1,1),'Payouts Reconciliation'!$A$5:$A$504,$A75,'Payouts Reconciliation'!$O$5:$O$504,"&lt;&gt;EXAMPLE")</f>
        <v>0</v>
      </c>
      <c r="D75" s="26" t="n">
        <f aca="false">SUMIFS('Payouts Reconciliation'!$C$5:$C$504,'Payouts Reconciliation'!$B$5:$B$504,"&gt;="&amp;D$63,'Payouts Reconciliation'!$B$5:$B$504,"&lt;"&amp;DATE(YEAR(D$63),MONTH(D$63)+1,1),'Payouts Reconciliation'!$A$5:$A$504,$A75,'Payouts Reconciliation'!$O$5:$O$504,"&lt;&gt;EXAMPLE")</f>
        <v>0</v>
      </c>
      <c r="E75" s="26" t="n">
        <f aca="false">SUMIFS('Payouts Reconciliation'!$C$5:$C$504,'Payouts Reconciliation'!$B$5:$B$504,"&gt;="&amp;E$63,'Payouts Reconciliation'!$B$5:$B$504,"&lt;"&amp;DATE(YEAR(E$63),MONTH(E$63)+1,1),'Payouts Reconciliation'!$A$5:$A$504,$A75,'Payouts Reconciliation'!$O$5:$O$504,"&lt;&gt;EXAMPLE")</f>
        <v>0</v>
      </c>
      <c r="F75" s="26" t="n">
        <f aca="false">SUMIFS('Payouts Reconciliation'!$C$5:$C$504,'Payouts Reconciliation'!$B$5:$B$504,"&gt;="&amp;F$63,'Payouts Reconciliation'!$B$5:$B$504,"&lt;"&amp;DATE(YEAR(F$63),MONTH(F$63)+1,1),'Payouts Reconciliation'!$A$5:$A$504,$A75,'Payouts Reconciliation'!$O$5:$O$504,"&lt;&gt;EXAMPLE")</f>
        <v>0</v>
      </c>
      <c r="G75" s="26" t="n">
        <f aca="false">SUMIFS('Payouts Reconciliation'!$C$5:$C$504,'Payouts Reconciliation'!$B$5:$B$504,"&gt;="&amp;G$63,'Payouts Reconciliation'!$B$5:$B$504,"&lt;"&amp;DATE(YEAR(G$63),MONTH(G$63)+1,1),'Payouts Reconciliation'!$A$5:$A$504,$A75,'Payouts Reconciliation'!$O$5:$O$504,"&lt;&gt;EXAMPLE")</f>
        <v>0</v>
      </c>
      <c r="H75" s="26" t="n">
        <f aca="false">SUMIFS('Payouts Reconciliation'!$C$5:$C$504,'Payouts Reconciliation'!$B$5:$B$504,"&gt;="&amp;H$63,'Payouts Reconciliation'!$B$5:$B$504,"&lt;"&amp;DATE(YEAR(H$63),MONTH(H$63)+1,1),'Payouts Reconciliation'!$A$5:$A$504,$A75,'Payouts Reconciliation'!$O$5:$O$504,"&lt;&gt;EXAMPLE")</f>
        <v>0</v>
      </c>
      <c r="I75" s="26" t="n">
        <f aca="false">SUMIFS('Payouts Reconciliation'!$C$5:$C$504,'Payouts Reconciliation'!$B$5:$B$504,"&gt;="&amp;I$63,'Payouts Reconciliation'!$B$5:$B$504,"&lt;"&amp;DATE(YEAR(I$63),MONTH(I$63)+1,1),'Payouts Reconciliation'!$A$5:$A$504,$A75,'Payouts Reconciliation'!$O$5:$O$504,"&lt;&gt;EXAMPLE")</f>
        <v>0</v>
      </c>
      <c r="J75" s="26" t="n">
        <f aca="false">SUMIFS('Payouts Reconciliation'!$C$5:$C$504,'Payouts Reconciliation'!$B$5:$B$504,"&gt;="&amp;J$63,'Payouts Reconciliation'!$B$5:$B$504,"&lt;"&amp;DATE(YEAR(J$63),MONTH(J$63)+1,1),'Payouts Reconciliation'!$A$5:$A$504,$A75,'Payouts Reconciliation'!$O$5:$O$504,"&lt;&gt;EXAMPLE")</f>
        <v>0</v>
      </c>
      <c r="K75" s="26" t="n">
        <f aca="false">SUMIFS('Payouts Reconciliation'!$C$5:$C$504,'Payouts Reconciliation'!$B$5:$B$504,"&gt;="&amp;K$63,'Payouts Reconciliation'!$B$5:$B$504,"&lt;"&amp;DATE(YEAR(K$63),MONTH(K$63)+1,1),'Payouts Reconciliation'!$A$5:$A$504,$A75,'Payouts Reconciliation'!$O$5:$O$504,"&lt;&gt;EXAMPLE")</f>
        <v>0</v>
      </c>
      <c r="L75" s="26" t="n">
        <f aca="false">SUMIFS('Payouts Reconciliation'!$C$5:$C$504,'Payouts Reconciliation'!$B$5:$B$504,"&gt;="&amp;L$63,'Payouts Reconciliation'!$B$5:$B$504,"&lt;"&amp;DATE(YEAR(L$63),MONTH(L$63)+1,1),'Payouts Reconciliation'!$A$5:$A$504,$A75,'Payouts Reconciliation'!$O$5:$O$504,"&lt;&gt;EXAMPLE")</f>
        <v>0</v>
      </c>
      <c r="M75" s="26" t="n">
        <f aca="false">SUMIFS('Payouts Reconciliation'!$C$5:$C$504,'Payouts Reconciliation'!$B$5:$B$504,"&gt;="&amp;M$63,'Payouts Reconciliation'!$B$5:$B$504,"&lt;"&amp;DATE(YEAR(M$63),MONTH(M$63)+1,1),'Payouts Reconciliation'!$A$5:$A$504,$A75,'Payouts Reconciliation'!$O$5:$O$504,"&lt;&gt;EXAMPLE")</f>
        <v>0</v>
      </c>
      <c r="N75" s="31" t="n">
        <f aca="false">SUM(B75:M75)</f>
        <v>0</v>
      </c>
    </row>
    <row r="76" customFormat="false" ht="15" hidden="false" customHeight="false" outlineLevel="0" collapsed="false">
      <c r="A76" s="30" t="str">
        <f aca="false">'Chart of Accounts'!$A$78</f>
        <v>Bookshop.org</v>
      </c>
      <c r="B76" s="26" t="n">
        <f aca="false">SUMIFS('Payouts Reconciliation'!$C$5:$C$504,'Payouts Reconciliation'!$B$5:$B$504,"&gt;="&amp;B$63,'Payouts Reconciliation'!$B$5:$B$504,"&lt;"&amp;DATE(YEAR(B$63),MONTH(B$63)+1,1),'Payouts Reconciliation'!$A$5:$A$504,$A76,'Payouts Reconciliation'!$O$5:$O$504,"&lt;&gt;EXAMPLE")</f>
        <v>0</v>
      </c>
      <c r="C76" s="26" t="n">
        <f aca="false">SUMIFS('Payouts Reconciliation'!$C$5:$C$504,'Payouts Reconciliation'!$B$5:$B$504,"&gt;="&amp;C$63,'Payouts Reconciliation'!$B$5:$B$504,"&lt;"&amp;DATE(YEAR(C$63),MONTH(C$63)+1,1),'Payouts Reconciliation'!$A$5:$A$504,$A76,'Payouts Reconciliation'!$O$5:$O$504,"&lt;&gt;EXAMPLE")</f>
        <v>0</v>
      </c>
      <c r="D76" s="26" t="n">
        <f aca="false">SUMIFS('Payouts Reconciliation'!$C$5:$C$504,'Payouts Reconciliation'!$B$5:$B$504,"&gt;="&amp;D$63,'Payouts Reconciliation'!$B$5:$B$504,"&lt;"&amp;DATE(YEAR(D$63),MONTH(D$63)+1,1),'Payouts Reconciliation'!$A$5:$A$504,$A76,'Payouts Reconciliation'!$O$5:$O$504,"&lt;&gt;EXAMPLE")</f>
        <v>0</v>
      </c>
      <c r="E76" s="26" t="n">
        <f aca="false">SUMIFS('Payouts Reconciliation'!$C$5:$C$504,'Payouts Reconciliation'!$B$5:$B$504,"&gt;="&amp;E$63,'Payouts Reconciliation'!$B$5:$B$504,"&lt;"&amp;DATE(YEAR(E$63),MONTH(E$63)+1,1),'Payouts Reconciliation'!$A$5:$A$504,$A76,'Payouts Reconciliation'!$O$5:$O$504,"&lt;&gt;EXAMPLE")</f>
        <v>0</v>
      </c>
      <c r="F76" s="26" t="n">
        <f aca="false">SUMIFS('Payouts Reconciliation'!$C$5:$C$504,'Payouts Reconciliation'!$B$5:$B$504,"&gt;="&amp;F$63,'Payouts Reconciliation'!$B$5:$B$504,"&lt;"&amp;DATE(YEAR(F$63),MONTH(F$63)+1,1),'Payouts Reconciliation'!$A$5:$A$504,$A76,'Payouts Reconciliation'!$O$5:$O$504,"&lt;&gt;EXAMPLE")</f>
        <v>0</v>
      </c>
      <c r="G76" s="26" t="n">
        <f aca="false">SUMIFS('Payouts Reconciliation'!$C$5:$C$504,'Payouts Reconciliation'!$B$5:$B$504,"&gt;="&amp;G$63,'Payouts Reconciliation'!$B$5:$B$504,"&lt;"&amp;DATE(YEAR(G$63),MONTH(G$63)+1,1),'Payouts Reconciliation'!$A$5:$A$504,$A76,'Payouts Reconciliation'!$O$5:$O$504,"&lt;&gt;EXAMPLE")</f>
        <v>0</v>
      </c>
      <c r="H76" s="26" t="n">
        <f aca="false">SUMIFS('Payouts Reconciliation'!$C$5:$C$504,'Payouts Reconciliation'!$B$5:$B$504,"&gt;="&amp;H$63,'Payouts Reconciliation'!$B$5:$B$504,"&lt;"&amp;DATE(YEAR(H$63),MONTH(H$63)+1,1),'Payouts Reconciliation'!$A$5:$A$504,$A76,'Payouts Reconciliation'!$O$5:$O$504,"&lt;&gt;EXAMPLE")</f>
        <v>0</v>
      </c>
      <c r="I76" s="26" t="n">
        <f aca="false">SUMIFS('Payouts Reconciliation'!$C$5:$C$504,'Payouts Reconciliation'!$B$5:$B$504,"&gt;="&amp;I$63,'Payouts Reconciliation'!$B$5:$B$504,"&lt;"&amp;DATE(YEAR(I$63),MONTH(I$63)+1,1),'Payouts Reconciliation'!$A$5:$A$504,$A76,'Payouts Reconciliation'!$O$5:$O$504,"&lt;&gt;EXAMPLE")</f>
        <v>0</v>
      </c>
      <c r="J76" s="26" t="n">
        <f aca="false">SUMIFS('Payouts Reconciliation'!$C$5:$C$504,'Payouts Reconciliation'!$B$5:$B$504,"&gt;="&amp;J$63,'Payouts Reconciliation'!$B$5:$B$504,"&lt;"&amp;DATE(YEAR(J$63),MONTH(J$63)+1,1),'Payouts Reconciliation'!$A$5:$A$504,$A76,'Payouts Reconciliation'!$O$5:$O$504,"&lt;&gt;EXAMPLE")</f>
        <v>0</v>
      </c>
      <c r="K76" s="26" t="n">
        <f aca="false">SUMIFS('Payouts Reconciliation'!$C$5:$C$504,'Payouts Reconciliation'!$B$5:$B$504,"&gt;="&amp;K$63,'Payouts Reconciliation'!$B$5:$B$504,"&lt;"&amp;DATE(YEAR(K$63),MONTH(K$63)+1,1),'Payouts Reconciliation'!$A$5:$A$504,$A76,'Payouts Reconciliation'!$O$5:$O$504,"&lt;&gt;EXAMPLE")</f>
        <v>0</v>
      </c>
      <c r="L76" s="26" t="n">
        <f aca="false">SUMIFS('Payouts Reconciliation'!$C$5:$C$504,'Payouts Reconciliation'!$B$5:$B$504,"&gt;="&amp;L$63,'Payouts Reconciliation'!$B$5:$B$504,"&lt;"&amp;DATE(YEAR(L$63),MONTH(L$63)+1,1),'Payouts Reconciliation'!$A$5:$A$504,$A76,'Payouts Reconciliation'!$O$5:$O$504,"&lt;&gt;EXAMPLE")</f>
        <v>0</v>
      </c>
      <c r="M76" s="26" t="n">
        <f aca="false">SUMIFS('Payouts Reconciliation'!$C$5:$C$504,'Payouts Reconciliation'!$B$5:$B$504,"&gt;="&amp;M$63,'Payouts Reconciliation'!$B$5:$B$504,"&lt;"&amp;DATE(YEAR(M$63),MONTH(M$63)+1,1),'Payouts Reconciliation'!$A$5:$A$504,$A76,'Payouts Reconciliation'!$O$5:$O$504,"&lt;&gt;EXAMPLE")</f>
        <v>0</v>
      </c>
      <c r="N76" s="31" t="n">
        <f aca="false">SUM(B76:M76)</f>
        <v>0</v>
      </c>
    </row>
    <row r="77" customFormat="false" ht="15" hidden="false" customHeight="false" outlineLevel="0" collapsed="false">
      <c r="A77" s="30" t="str">
        <f aca="false">'Chart of Accounts'!$A$79</f>
        <v>Direct (check / ACH / cash)</v>
      </c>
      <c r="B77" s="26" t="n">
        <f aca="false">SUMIFS('Payouts Reconciliation'!$C$5:$C$504,'Payouts Reconciliation'!$B$5:$B$504,"&gt;="&amp;B$63,'Payouts Reconciliation'!$B$5:$B$504,"&lt;"&amp;DATE(YEAR(B$63),MONTH(B$63)+1,1),'Payouts Reconciliation'!$A$5:$A$504,$A77,'Payouts Reconciliation'!$O$5:$O$504,"&lt;&gt;EXAMPLE")</f>
        <v>0</v>
      </c>
      <c r="C77" s="26" t="n">
        <f aca="false">SUMIFS('Payouts Reconciliation'!$C$5:$C$504,'Payouts Reconciliation'!$B$5:$B$504,"&gt;="&amp;C$63,'Payouts Reconciliation'!$B$5:$B$504,"&lt;"&amp;DATE(YEAR(C$63),MONTH(C$63)+1,1),'Payouts Reconciliation'!$A$5:$A$504,$A77,'Payouts Reconciliation'!$O$5:$O$504,"&lt;&gt;EXAMPLE")</f>
        <v>0</v>
      </c>
      <c r="D77" s="26" t="n">
        <f aca="false">SUMIFS('Payouts Reconciliation'!$C$5:$C$504,'Payouts Reconciliation'!$B$5:$B$504,"&gt;="&amp;D$63,'Payouts Reconciliation'!$B$5:$B$504,"&lt;"&amp;DATE(YEAR(D$63),MONTH(D$63)+1,1),'Payouts Reconciliation'!$A$5:$A$504,$A77,'Payouts Reconciliation'!$O$5:$O$504,"&lt;&gt;EXAMPLE")</f>
        <v>0</v>
      </c>
      <c r="E77" s="26" t="n">
        <f aca="false">SUMIFS('Payouts Reconciliation'!$C$5:$C$504,'Payouts Reconciliation'!$B$5:$B$504,"&gt;="&amp;E$63,'Payouts Reconciliation'!$B$5:$B$504,"&lt;"&amp;DATE(YEAR(E$63),MONTH(E$63)+1,1),'Payouts Reconciliation'!$A$5:$A$504,$A77,'Payouts Reconciliation'!$O$5:$O$504,"&lt;&gt;EXAMPLE")</f>
        <v>0</v>
      </c>
      <c r="F77" s="26" t="n">
        <f aca="false">SUMIFS('Payouts Reconciliation'!$C$5:$C$504,'Payouts Reconciliation'!$B$5:$B$504,"&gt;="&amp;F$63,'Payouts Reconciliation'!$B$5:$B$504,"&lt;"&amp;DATE(YEAR(F$63),MONTH(F$63)+1,1),'Payouts Reconciliation'!$A$5:$A$504,$A77,'Payouts Reconciliation'!$O$5:$O$504,"&lt;&gt;EXAMPLE")</f>
        <v>0</v>
      </c>
      <c r="G77" s="26" t="n">
        <f aca="false">SUMIFS('Payouts Reconciliation'!$C$5:$C$504,'Payouts Reconciliation'!$B$5:$B$504,"&gt;="&amp;G$63,'Payouts Reconciliation'!$B$5:$B$504,"&lt;"&amp;DATE(YEAR(G$63),MONTH(G$63)+1,1),'Payouts Reconciliation'!$A$5:$A$504,$A77,'Payouts Reconciliation'!$O$5:$O$504,"&lt;&gt;EXAMPLE")</f>
        <v>0</v>
      </c>
      <c r="H77" s="26" t="n">
        <f aca="false">SUMIFS('Payouts Reconciliation'!$C$5:$C$504,'Payouts Reconciliation'!$B$5:$B$504,"&gt;="&amp;H$63,'Payouts Reconciliation'!$B$5:$B$504,"&lt;"&amp;DATE(YEAR(H$63),MONTH(H$63)+1,1),'Payouts Reconciliation'!$A$5:$A$504,$A77,'Payouts Reconciliation'!$O$5:$O$504,"&lt;&gt;EXAMPLE")</f>
        <v>0</v>
      </c>
      <c r="I77" s="26" t="n">
        <f aca="false">SUMIFS('Payouts Reconciliation'!$C$5:$C$504,'Payouts Reconciliation'!$B$5:$B$504,"&gt;="&amp;I$63,'Payouts Reconciliation'!$B$5:$B$504,"&lt;"&amp;DATE(YEAR(I$63),MONTH(I$63)+1,1),'Payouts Reconciliation'!$A$5:$A$504,$A77,'Payouts Reconciliation'!$O$5:$O$504,"&lt;&gt;EXAMPLE")</f>
        <v>0</v>
      </c>
      <c r="J77" s="26" t="n">
        <f aca="false">SUMIFS('Payouts Reconciliation'!$C$5:$C$504,'Payouts Reconciliation'!$B$5:$B$504,"&gt;="&amp;J$63,'Payouts Reconciliation'!$B$5:$B$504,"&lt;"&amp;DATE(YEAR(J$63),MONTH(J$63)+1,1),'Payouts Reconciliation'!$A$5:$A$504,$A77,'Payouts Reconciliation'!$O$5:$O$504,"&lt;&gt;EXAMPLE")</f>
        <v>0</v>
      </c>
      <c r="K77" s="26" t="n">
        <f aca="false">SUMIFS('Payouts Reconciliation'!$C$5:$C$504,'Payouts Reconciliation'!$B$5:$B$504,"&gt;="&amp;K$63,'Payouts Reconciliation'!$B$5:$B$504,"&lt;"&amp;DATE(YEAR(K$63),MONTH(K$63)+1,1),'Payouts Reconciliation'!$A$5:$A$504,$A77,'Payouts Reconciliation'!$O$5:$O$504,"&lt;&gt;EXAMPLE")</f>
        <v>0</v>
      </c>
      <c r="L77" s="26" t="n">
        <f aca="false">SUMIFS('Payouts Reconciliation'!$C$5:$C$504,'Payouts Reconciliation'!$B$5:$B$504,"&gt;="&amp;L$63,'Payouts Reconciliation'!$B$5:$B$504,"&lt;"&amp;DATE(YEAR(L$63),MONTH(L$63)+1,1),'Payouts Reconciliation'!$A$5:$A$504,$A77,'Payouts Reconciliation'!$O$5:$O$504,"&lt;&gt;EXAMPLE")</f>
        <v>0</v>
      </c>
      <c r="M77" s="26" t="n">
        <f aca="false">SUMIFS('Payouts Reconciliation'!$C$5:$C$504,'Payouts Reconciliation'!$B$5:$B$504,"&gt;="&amp;M$63,'Payouts Reconciliation'!$B$5:$B$504,"&lt;"&amp;DATE(YEAR(M$63),MONTH(M$63)+1,1),'Payouts Reconciliation'!$A$5:$A$504,$A77,'Payouts Reconciliation'!$O$5:$O$504,"&lt;&gt;EXAMPLE")</f>
        <v>0</v>
      </c>
      <c r="N77" s="31" t="n">
        <f aca="false">SUM(B77:M77)</f>
        <v>0</v>
      </c>
    </row>
    <row r="78" customFormat="false" ht="15" hidden="false" customHeight="false" outlineLevel="0" collapsed="false">
      <c r="A78" s="32" t="s">
        <v>565</v>
      </c>
      <c r="B78" s="33" t="n">
        <f aca="false">SUM(B64:B77)</f>
        <v>0</v>
      </c>
      <c r="C78" s="33" t="n">
        <f aca="false">SUM(C64:C77)</f>
        <v>0</v>
      </c>
      <c r="D78" s="33" t="n">
        <f aca="false">SUM(D64:D77)</f>
        <v>0</v>
      </c>
      <c r="E78" s="33" t="n">
        <f aca="false">SUM(E64:E77)</f>
        <v>0</v>
      </c>
      <c r="F78" s="33" t="n">
        <f aca="false">SUM(F64:F77)</f>
        <v>0</v>
      </c>
      <c r="G78" s="33" t="n">
        <f aca="false">SUM(G64:G77)</f>
        <v>0</v>
      </c>
      <c r="H78" s="33" t="n">
        <f aca="false">SUM(H64:H77)</f>
        <v>0</v>
      </c>
      <c r="I78" s="33" t="n">
        <f aca="false">SUM(I64:I77)</f>
        <v>0</v>
      </c>
      <c r="J78" s="33" t="n">
        <f aca="false">SUM(J64:J77)</f>
        <v>0</v>
      </c>
      <c r="K78" s="33" t="n">
        <f aca="false">SUM(K64:K77)</f>
        <v>0</v>
      </c>
      <c r="L78" s="33" t="n">
        <f aca="false">SUM(L64:L77)</f>
        <v>0</v>
      </c>
      <c r="M78" s="33" t="n">
        <f aca="false">SUM(M64:M77)</f>
        <v>0</v>
      </c>
      <c r="N78" s="33" t="n">
        <f aca="false">SUM(N64:N77)</f>
        <v>0</v>
      </c>
    </row>
    <row r="81" customFormat="false" ht="15" hidden="false" customHeight="false" outlineLevel="0" collapsed="false">
      <c r="A81" s="3" t="s">
        <v>570</v>
      </c>
    </row>
    <row r="82" customFormat="false" ht="21.75" hidden="false" customHeight="true" outlineLevel="0" collapsed="false">
      <c r="A82" s="12" t="s">
        <v>571</v>
      </c>
      <c r="B82" s="29" t="n">
        <f aca="false">DATE($B$3,1,1)</f>
        <v>46023</v>
      </c>
      <c r="C82" s="29" t="n">
        <f aca="false">DATE($B$3,2,1)</f>
        <v>46054</v>
      </c>
      <c r="D82" s="29" t="n">
        <f aca="false">DATE($B$3,3,1)</f>
        <v>46082</v>
      </c>
      <c r="E82" s="29" t="n">
        <f aca="false">DATE($B$3,4,1)</f>
        <v>46113</v>
      </c>
      <c r="F82" s="29" t="n">
        <f aca="false">DATE($B$3,5,1)</f>
        <v>46143</v>
      </c>
      <c r="G82" s="29" t="n">
        <f aca="false">DATE($B$3,6,1)</f>
        <v>46174</v>
      </c>
      <c r="H82" s="29" t="n">
        <f aca="false">DATE($B$3,7,1)</f>
        <v>46204</v>
      </c>
      <c r="I82" s="29" t="n">
        <f aca="false">DATE($B$3,8,1)</f>
        <v>46235</v>
      </c>
      <c r="J82" s="29" t="n">
        <f aca="false">DATE($B$3,9,1)</f>
        <v>46266</v>
      </c>
      <c r="K82" s="29" t="n">
        <f aca="false">DATE($B$3,10,1)</f>
        <v>46296</v>
      </c>
      <c r="L82" s="29" t="n">
        <f aca="false">DATE($B$3,11,1)</f>
        <v>46327</v>
      </c>
      <c r="M82" s="29" t="n">
        <f aca="false">DATE($B$3,12,1)</f>
        <v>46357</v>
      </c>
      <c r="N82" s="12" t="s">
        <v>565</v>
      </c>
    </row>
    <row r="83" customFormat="false" ht="15" hidden="false" customHeight="false" outlineLevel="0" collapsed="false">
      <c r="A83" s="30" t="s">
        <v>572</v>
      </c>
      <c r="B83" s="26" t="n">
        <f aca="false">SUMIFS('Sales Log'!$G$5:$G$1004,'Sales Log'!$A$5:$A$1004,"&gt;="&amp;B$82,'Sales Log'!$A$5:$A$1004,"&lt;"&amp;DATE(YEAR(B$82),MONTH(B$82)+1,1),'Sales Log'!$R$5:$R$1004,"&lt;&gt;EXAMPLE")+SUMIFS('Sales Log'!$I$5:$I$1004,'Sales Log'!$A$5:$A$1004,"&gt;="&amp;B$82,'Sales Log'!$A$5:$A$1004,"&lt;"&amp;DATE(YEAR(B$82),MONTH(B$82)+1,1),'Sales Log'!$R$5:$R$1004,"&lt;&gt;EXAMPLE")</f>
        <v>0</v>
      </c>
      <c r="C83" s="26" t="n">
        <f aca="false">SUMIFS('Sales Log'!$G$5:$G$1004,'Sales Log'!$A$5:$A$1004,"&gt;="&amp;C$82,'Sales Log'!$A$5:$A$1004,"&lt;"&amp;DATE(YEAR(C$82),MONTH(C$82)+1,1),'Sales Log'!$R$5:$R$1004,"&lt;&gt;EXAMPLE")+SUMIFS('Sales Log'!$I$5:$I$1004,'Sales Log'!$A$5:$A$1004,"&gt;="&amp;C$82,'Sales Log'!$A$5:$A$1004,"&lt;"&amp;DATE(YEAR(C$82),MONTH(C$82)+1,1),'Sales Log'!$R$5:$R$1004,"&lt;&gt;EXAMPLE")</f>
        <v>0</v>
      </c>
      <c r="D83" s="26" t="n">
        <f aca="false">SUMIFS('Sales Log'!$G$5:$G$1004,'Sales Log'!$A$5:$A$1004,"&gt;="&amp;D$82,'Sales Log'!$A$5:$A$1004,"&lt;"&amp;DATE(YEAR(D$82),MONTH(D$82)+1,1),'Sales Log'!$R$5:$R$1004,"&lt;&gt;EXAMPLE")+SUMIFS('Sales Log'!$I$5:$I$1004,'Sales Log'!$A$5:$A$1004,"&gt;="&amp;D$82,'Sales Log'!$A$5:$A$1004,"&lt;"&amp;DATE(YEAR(D$82),MONTH(D$82)+1,1),'Sales Log'!$R$5:$R$1004,"&lt;&gt;EXAMPLE")</f>
        <v>0</v>
      </c>
      <c r="E83" s="26" t="n">
        <f aca="false">SUMIFS('Sales Log'!$G$5:$G$1004,'Sales Log'!$A$5:$A$1004,"&gt;="&amp;E$82,'Sales Log'!$A$5:$A$1004,"&lt;"&amp;DATE(YEAR(E$82),MONTH(E$82)+1,1),'Sales Log'!$R$5:$R$1004,"&lt;&gt;EXAMPLE")+SUMIFS('Sales Log'!$I$5:$I$1004,'Sales Log'!$A$5:$A$1004,"&gt;="&amp;E$82,'Sales Log'!$A$5:$A$1004,"&lt;"&amp;DATE(YEAR(E$82),MONTH(E$82)+1,1),'Sales Log'!$R$5:$R$1004,"&lt;&gt;EXAMPLE")</f>
        <v>0</v>
      </c>
      <c r="F83" s="26" t="n">
        <f aca="false">SUMIFS('Sales Log'!$G$5:$G$1004,'Sales Log'!$A$5:$A$1004,"&gt;="&amp;F$82,'Sales Log'!$A$5:$A$1004,"&lt;"&amp;DATE(YEAR(F$82),MONTH(F$82)+1,1),'Sales Log'!$R$5:$R$1004,"&lt;&gt;EXAMPLE")+SUMIFS('Sales Log'!$I$5:$I$1004,'Sales Log'!$A$5:$A$1004,"&gt;="&amp;F$82,'Sales Log'!$A$5:$A$1004,"&lt;"&amp;DATE(YEAR(F$82),MONTH(F$82)+1,1),'Sales Log'!$R$5:$R$1004,"&lt;&gt;EXAMPLE")</f>
        <v>0</v>
      </c>
      <c r="G83" s="26" t="n">
        <f aca="false">SUMIFS('Sales Log'!$G$5:$G$1004,'Sales Log'!$A$5:$A$1004,"&gt;="&amp;G$82,'Sales Log'!$A$5:$A$1004,"&lt;"&amp;DATE(YEAR(G$82),MONTH(G$82)+1,1),'Sales Log'!$R$5:$R$1004,"&lt;&gt;EXAMPLE")+SUMIFS('Sales Log'!$I$5:$I$1004,'Sales Log'!$A$5:$A$1004,"&gt;="&amp;G$82,'Sales Log'!$A$5:$A$1004,"&lt;"&amp;DATE(YEAR(G$82),MONTH(G$82)+1,1),'Sales Log'!$R$5:$R$1004,"&lt;&gt;EXAMPLE")</f>
        <v>0</v>
      </c>
      <c r="H83" s="26" t="n">
        <f aca="false">SUMIFS('Sales Log'!$G$5:$G$1004,'Sales Log'!$A$5:$A$1004,"&gt;="&amp;H$82,'Sales Log'!$A$5:$A$1004,"&lt;"&amp;DATE(YEAR(H$82),MONTH(H$82)+1,1),'Sales Log'!$R$5:$R$1004,"&lt;&gt;EXAMPLE")+SUMIFS('Sales Log'!$I$5:$I$1004,'Sales Log'!$A$5:$A$1004,"&gt;="&amp;H$82,'Sales Log'!$A$5:$A$1004,"&lt;"&amp;DATE(YEAR(H$82),MONTH(H$82)+1,1),'Sales Log'!$R$5:$R$1004,"&lt;&gt;EXAMPLE")</f>
        <v>0</v>
      </c>
      <c r="I83" s="26" t="n">
        <f aca="false">SUMIFS('Sales Log'!$G$5:$G$1004,'Sales Log'!$A$5:$A$1004,"&gt;="&amp;I$82,'Sales Log'!$A$5:$A$1004,"&lt;"&amp;DATE(YEAR(I$82),MONTH(I$82)+1,1),'Sales Log'!$R$5:$R$1004,"&lt;&gt;EXAMPLE")+SUMIFS('Sales Log'!$I$5:$I$1004,'Sales Log'!$A$5:$A$1004,"&gt;="&amp;I$82,'Sales Log'!$A$5:$A$1004,"&lt;"&amp;DATE(YEAR(I$82),MONTH(I$82)+1,1),'Sales Log'!$R$5:$R$1004,"&lt;&gt;EXAMPLE")</f>
        <v>0</v>
      </c>
      <c r="J83" s="26" t="n">
        <f aca="false">SUMIFS('Sales Log'!$G$5:$G$1004,'Sales Log'!$A$5:$A$1004,"&gt;="&amp;J$82,'Sales Log'!$A$5:$A$1004,"&lt;"&amp;DATE(YEAR(J$82),MONTH(J$82)+1,1),'Sales Log'!$R$5:$R$1004,"&lt;&gt;EXAMPLE")+SUMIFS('Sales Log'!$I$5:$I$1004,'Sales Log'!$A$5:$A$1004,"&gt;="&amp;J$82,'Sales Log'!$A$5:$A$1004,"&lt;"&amp;DATE(YEAR(J$82),MONTH(J$82)+1,1),'Sales Log'!$R$5:$R$1004,"&lt;&gt;EXAMPLE")</f>
        <v>0</v>
      </c>
      <c r="K83" s="26" t="n">
        <f aca="false">SUMIFS('Sales Log'!$G$5:$G$1004,'Sales Log'!$A$5:$A$1004,"&gt;="&amp;K$82,'Sales Log'!$A$5:$A$1004,"&lt;"&amp;DATE(YEAR(K$82),MONTH(K$82)+1,1),'Sales Log'!$R$5:$R$1004,"&lt;&gt;EXAMPLE")+SUMIFS('Sales Log'!$I$5:$I$1004,'Sales Log'!$A$5:$A$1004,"&gt;="&amp;K$82,'Sales Log'!$A$5:$A$1004,"&lt;"&amp;DATE(YEAR(K$82),MONTH(K$82)+1,1),'Sales Log'!$R$5:$R$1004,"&lt;&gt;EXAMPLE")</f>
        <v>0</v>
      </c>
      <c r="L83" s="26" t="n">
        <f aca="false">SUMIFS('Sales Log'!$G$5:$G$1004,'Sales Log'!$A$5:$A$1004,"&gt;="&amp;L$82,'Sales Log'!$A$5:$A$1004,"&lt;"&amp;DATE(YEAR(L$82),MONTH(L$82)+1,1),'Sales Log'!$R$5:$R$1004,"&lt;&gt;EXAMPLE")+SUMIFS('Sales Log'!$I$5:$I$1004,'Sales Log'!$A$5:$A$1004,"&gt;="&amp;L$82,'Sales Log'!$A$5:$A$1004,"&lt;"&amp;DATE(YEAR(L$82),MONTH(L$82)+1,1),'Sales Log'!$R$5:$R$1004,"&lt;&gt;EXAMPLE")</f>
        <v>0</v>
      </c>
      <c r="M83" s="26" t="n">
        <f aca="false">SUMIFS('Sales Log'!$G$5:$G$1004,'Sales Log'!$A$5:$A$1004,"&gt;="&amp;M$82,'Sales Log'!$A$5:$A$1004,"&lt;"&amp;DATE(YEAR(M$82),MONTH(M$82)+1,1),'Sales Log'!$R$5:$R$1004,"&lt;&gt;EXAMPLE")+SUMIFS('Sales Log'!$I$5:$I$1004,'Sales Log'!$A$5:$A$1004,"&gt;="&amp;M$82,'Sales Log'!$A$5:$A$1004,"&lt;"&amp;DATE(YEAR(M$82),MONTH(M$82)+1,1),'Sales Log'!$R$5:$R$1004,"&lt;&gt;EXAMPLE")</f>
        <v>0</v>
      </c>
      <c r="N83" s="26" t="n">
        <f aca="false">SUM(B83:M83)</f>
        <v>0</v>
      </c>
    </row>
    <row r="84" customFormat="false" ht="15" hidden="false" customHeight="false" outlineLevel="0" collapsed="false">
      <c r="A84" s="30" t="s">
        <v>491</v>
      </c>
      <c r="B84" s="26" t="n">
        <f aca="false">SUMIFS('Sales Log'!$H$5:$H$1004,'Sales Log'!$A$5:$A$1004,"&gt;="&amp;B$82,'Sales Log'!$A$5:$A$1004,"&lt;"&amp;DATE(YEAR(B$82),MONTH(B$82)+1,1),'Sales Log'!$R$5:$R$1004,"&lt;&gt;EXAMPLE")</f>
        <v>0</v>
      </c>
      <c r="C84" s="26" t="n">
        <f aca="false">SUMIFS('Sales Log'!$H$5:$H$1004,'Sales Log'!$A$5:$A$1004,"&gt;="&amp;C$82,'Sales Log'!$A$5:$A$1004,"&lt;"&amp;DATE(YEAR(C$82),MONTH(C$82)+1,1),'Sales Log'!$R$5:$R$1004,"&lt;&gt;EXAMPLE")</f>
        <v>0</v>
      </c>
      <c r="D84" s="26" t="n">
        <f aca="false">SUMIFS('Sales Log'!$H$5:$H$1004,'Sales Log'!$A$5:$A$1004,"&gt;="&amp;D$82,'Sales Log'!$A$5:$A$1004,"&lt;"&amp;DATE(YEAR(D$82),MONTH(D$82)+1,1),'Sales Log'!$R$5:$R$1004,"&lt;&gt;EXAMPLE")</f>
        <v>0</v>
      </c>
      <c r="E84" s="26" t="n">
        <f aca="false">SUMIFS('Sales Log'!$H$5:$H$1004,'Sales Log'!$A$5:$A$1004,"&gt;="&amp;E$82,'Sales Log'!$A$5:$A$1004,"&lt;"&amp;DATE(YEAR(E$82),MONTH(E$82)+1,1),'Sales Log'!$R$5:$R$1004,"&lt;&gt;EXAMPLE")</f>
        <v>0</v>
      </c>
      <c r="F84" s="26" t="n">
        <f aca="false">SUMIFS('Sales Log'!$H$5:$H$1004,'Sales Log'!$A$5:$A$1004,"&gt;="&amp;F$82,'Sales Log'!$A$5:$A$1004,"&lt;"&amp;DATE(YEAR(F$82),MONTH(F$82)+1,1),'Sales Log'!$R$5:$R$1004,"&lt;&gt;EXAMPLE")</f>
        <v>0</v>
      </c>
      <c r="G84" s="26" t="n">
        <f aca="false">SUMIFS('Sales Log'!$H$5:$H$1004,'Sales Log'!$A$5:$A$1004,"&gt;="&amp;G$82,'Sales Log'!$A$5:$A$1004,"&lt;"&amp;DATE(YEAR(G$82),MONTH(G$82)+1,1),'Sales Log'!$R$5:$R$1004,"&lt;&gt;EXAMPLE")</f>
        <v>0</v>
      </c>
      <c r="H84" s="26" t="n">
        <f aca="false">SUMIFS('Sales Log'!$H$5:$H$1004,'Sales Log'!$A$5:$A$1004,"&gt;="&amp;H$82,'Sales Log'!$A$5:$A$1004,"&lt;"&amp;DATE(YEAR(H$82),MONTH(H$82)+1,1),'Sales Log'!$R$5:$R$1004,"&lt;&gt;EXAMPLE")</f>
        <v>0</v>
      </c>
      <c r="I84" s="26" t="n">
        <f aca="false">SUMIFS('Sales Log'!$H$5:$H$1004,'Sales Log'!$A$5:$A$1004,"&gt;="&amp;I$82,'Sales Log'!$A$5:$A$1004,"&lt;"&amp;DATE(YEAR(I$82),MONTH(I$82)+1,1),'Sales Log'!$R$5:$R$1004,"&lt;&gt;EXAMPLE")</f>
        <v>0</v>
      </c>
      <c r="J84" s="26" t="n">
        <f aca="false">SUMIFS('Sales Log'!$H$5:$H$1004,'Sales Log'!$A$5:$A$1004,"&gt;="&amp;J$82,'Sales Log'!$A$5:$A$1004,"&lt;"&amp;DATE(YEAR(J$82),MONTH(J$82)+1,1),'Sales Log'!$R$5:$R$1004,"&lt;&gt;EXAMPLE")</f>
        <v>0</v>
      </c>
      <c r="K84" s="26" t="n">
        <f aca="false">SUMIFS('Sales Log'!$H$5:$H$1004,'Sales Log'!$A$5:$A$1004,"&gt;="&amp;K$82,'Sales Log'!$A$5:$A$1004,"&lt;"&amp;DATE(YEAR(K$82),MONTH(K$82)+1,1),'Sales Log'!$R$5:$R$1004,"&lt;&gt;EXAMPLE")</f>
        <v>0</v>
      </c>
      <c r="L84" s="26" t="n">
        <f aca="false">SUMIFS('Sales Log'!$H$5:$H$1004,'Sales Log'!$A$5:$A$1004,"&gt;="&amp;L$82,'Sales Log'!$A$5:$A$1004,"&lt;"&amp;DATE(YEAR(L$82),MONTH(L$82)+1,1),'Sales Log'!$R$5:$R$1004,"&lt;&gt;EXAMPLE")</f>
        <v>0</v>
      </c>
      <c r="M84" s="26" t="n">
        <f aca="false">SUMIFS('Sales Log'!$H$5:$H$1004,'Sales Log'!$A$5:$A$1004,"&gt;="&amp;M$82,'Sales Log'!$A$5:$A$1004,"&lt;"&amp;DATE(YEAR(M$82),MONTH(M$82)+1,1),'Sales Log'!$R$5:$R$1004,"&lt;&gt;EXAMPLE")</f>
        <v>0</v>
      </c>
      <c r="N84" s="26" t="n">
        <f aca="false">SUM(B84:M84)</f>
        <v>0</v>
      </c>
    </row>
    <row r="85" customFormat="false" ht="15" hidden="false" customHeight="false" outlineLevel="0" collapsed="false">
      <c r="A85" s="30" t="s">
        <v>573</v>
      </c>
      <c r="B85" s="26" t="n">
        <f aca="false">SUMIFS(Expenses!$D$5:$D$1004,Expenses!$A$5:$A$1004,"&gt;="&amp;B$82,Expenses!$A$5:$A$1004,"&lt;"&amp;DATE(YEAR(B$82),MONTH(B$82)+1,1),Expenses!$C$5:$C$1004,"&lt;&gt;"&amp;'Chart of Accounts'!$H$5,Expenses!$K$5:$K$1004,"&lt;&gt;EXAMPLE")</f>
        <v>0</v>
      </c>
      <c r="C85" s="26" t="n">
        <f aca="false">SUMIFS(Expenses!$D$5:$D$1004,Expenses!$A$5:$A$1004,"&gt;="&amp;C$82,Expenses!$A$5:$A$1004,"&lt;"&amp;DATE(YEAR(C$82),MONTH(C$82)+1,1),Expenses!$C$5:$C$1004,"&lt;&gt;"&amp;'Chart of Accounts'!$H$5,Expenses!$K$5:$K$1004,"&lt;&gt;EXAMPLE")</f>
        <v>0</v>
      </c>
      <c r="D85" s="26" t="n">
        <f aca="false">SUMIFS(Expenses!$D$5:$D$1004,Expenses!$A$5:$A$1004,"&gt;="&amp;D$82,Expenses!$A$5:$A$1004,"&lt;"&amp;DATE(YEAR(D$82),MONTH(D$82)+1,1),Expenses!$C$5:$C$1004,"&lt;&gt;"&amp;'Chart of Accounts'!$H$5,Expenses!$K$5:$K$1004,"&lt;&gt;EXAMPLE")</f>
        <v>0</v>
      </c>
      <c r="E85" s="26" t="n">
        <f aca="false">SUMIFS(Expenses!$D$5:$D$1004,Expenses!$A$5:$A$1004,"&gt;="&amp;E$82,Expenses!$A$5:$A$1004,"&lt;"&amp;DATE(YEAR(E$82),MONTH(E$82)+1,1),Expenses!$C$5:$C$1004,"&lt;&gt;"&amp;'Chart of Accounts'!$H$5,Expenses!$K$5:$K$1004,"&lt;&gt;EXAMPLE")</f>
        <v>0</v>
      </c>
      <c r="F85" s="26" t="n">
        <f aca="false">SUMIFS(Expenses!$D$5:$D$1004,Expenses!$A$5:$A$1004,"&gt;="&amp;F$82,Expenses!$A$5:$A$1004,"&lt;"&amp;DATE(YEAR(F$82),MONTH(F$82)+1,1),Expenses!$C$5:$C$1004,"&lt;&gt;"&amp;'Chart of Accounts'!$H$5,Expenses!$K$5:$K$1004,"&lt;&gt;EXAMPLE")</f>
        <v>0</v>
      </c>
      <c r="G85" s="26" t="n">
        <f aca="false">SUMIFS(Expenses!$D$5:$D$1004,Expenses!$A$5:$A$1004,"&gt;="&amp;G$82,Expenses!$A$5:$A$1004,"&lt;"&amp;DATE(YEAR(G$82),MONTH(G$82)+1,1),Expenses!$C$5:$C$1004,"&lt;&gt;"&amp;'Chart of Accounts'!$H$5,Expenses!$K$5:$K$1004,"&lt;&gt;EXAMPLE")</f>
        <v>0</v>
      </c>
      <c r="H85" s="26" t="n">
        <f aca="false">SUMIFS(Expenses!$D$5:$D$1004,Expenses!$A$5:$A$1004,"&gt;="&amp;H$82,Expenses!$A$5:$A$1004,"&lt;"&amp;DATE(YEAR(H$82),MONTH(H$82)+1,1),Expenses!$C$5:$C$1004,"&lt;&gt;"&amp;'Chart of Accounts'!$H$5,Expenses!$K$5:$K$1004,"&lt;&gt;EXAMPLE")</f>
        <v>0</v>
      </c>
      <c r="I85" s="26" t="n">
        <f aca="false">SUMIFS(Expenses!$D$5:$D$1004,Expenses!$A$5:$A$1004,"&gt;="&amp;I$82,Expenses!$A$5:$A$1004,"&lt;"&amp;DATE(YEAR(I$82),MONTH(I$82)+1,1),Expenses!$C$5:$C$1004,"&lt;&gt;"&amp;'Chart of Accounts'!$H$5,Expenses!$K$5:$K$1004,"&lt;&gt;EXAMPLE")</f>
        <v>0</v>
      </c>
      <c r="J85" s="26" t="n">
        <f aca="false">SUMIFS(Expenses!$D$5:$D$1004,Expenses!$A$5:$A$1004,"&gt;="&amp;J$82,Expenses!$A$5:$A$1004,"&lt;"&amp;DATE(YEAR(J$82),MONTH(J$82)+1,1),Expenses!$C$5:$C$1004,"&lt;&gt;"&amp;'Chart of Accounts'!$H$5,Expenses!$K$5:$K$1004,"&lt;&gt;EXAMPLE")</f>
        <v>0</v>
      </c>
      <c r="K85" s="26" t="n">
        <f aca="false">SUMIFS(Expenses!$D$5:$D$1004,Expenses!$A$5:$A$1004,"&gt;="&amp;K$82,Expenses!$A$5:$A$1004,"&lt;"&amp;DATE(YEAR(K$82),MONTH(K$82)+1,1),Expenses!$C$5:$C$1004,"&lt;&gt;"&amp;'Chart of Accounts'!$H$5,Expenses!$K$5:$K$1004,"&lt;&gt;EXAMPLE")</f>
        <v>0</v>
      </c>
      <c r="L85" s="26" t="n">
        <f aca="false">SUMIFS(Expenses!$D$5:$D$1004,Expenses!$A$5:$A$1004,"&gt;="&amp;L$82,Expenses!$A$5:$A$1004,"&lt;"&amp;DATE(YEAR(L$82),MONTH(L$82)+1,1),Expenses!$C$5:$C$1004,"&lt;&gt;"&amp;'Chart of Accounts'!$H$5,Expenses!$K$5:$K$1004,"&lt;&gt;EXAMPLE")</f>
        <v>0</v>
      </c>
      <c r="M85" s="26" t="n">
        <f aca="false">SUMIFS(Expenses!$D$5:$D$1004,Expenses!$A$5:$A$1004,"&gt;="&amp;M$82,Expenses!$A$5:$A$1004,"&lt;"&amp;DATE(YEAR(M$82),MONTH(M$82)+1,1),Expenses!$C$5:$C$1004,"&lt;&gt;"&amp;'Chart of Accounts'!$H$5,Expenses!$K$5:$K$1004,"&lt;&gt;EXAMPLE")</f>
        <v>0</v>
      </c>
      <c r="N85" s="26" t="n">
        <f aca="false">SUM(B85:M85)</f>
        <v>0</v>
      </c>
    </row>
    <row r="86" customFormat="false" ht="15" hidden="false" customHeight="false" outlineLevel="0" collapsed="false">
      <c r="A86" s="30" t="s">
        <v>574</v>
      </c>
      <c r="B86" s="26" t="n">
        <f aca="false">SUMIFS(Expenses!$D$5:$D$1004,Expenses!$A$5:$A$1004,"&gt;="&amp;B$82,Expenses!$A$5:$A$1004,"&lt;"&amp;DATE(YEAR(B$82),MONTH(B$82)+1,1),Expenses!$C$5:$C$1004,'Chart of Accounts'!$H$5,Expenses!$K$5:$K$1004,"&lt;&gt;EXAMPLE")</f>
        <v>0</v>
      </c>
      <c r="C86" s="26" t="n">
        <f aca="false">SUMIFS(Expenses!$D$5:$D$1004,Expenses!$A$5:$A$1004,"&gt;="&amp;C$82,Expenses!$A$5:$A$1004,"&lt;"&amp;DATE(YEAR(C$82),MONTH(C$82)+1,1),Expenses!$C$5:$C$1004,'Chart of Accounts'!$H$5,Expenses!$K$5:$K$1004,"&lt;&gt;EXAMPLE")</f>
        <v>0</v>
      </c>
      <c r="D86" s="26" t="n">
        <f aca="false">SUMIFS(Expenses!$D$5:$D$1004,Expenses!$A$5:$A$1004,"&gt;="&amp;D$82,Expenses!$A$5:$A$1004,"&lt;"&amp;DATE(YEAR(D$82),MONTH(D$82)+1,1),Expenses!$C$5:$C$1004,'Chart of Accounts'!$H$5,Expenses!$K$5:$K$1004,"&lt;&gt;EXAMPLE")</f>
        <v>0</v>
      </c>
      <c r="E86" s="26" t="n">
        <f aca="false">SUMIFS(Expenses!$D$5:$D$1004,Expenses!$A$5:$A$1004,"&gt;="&amp;E$82,Expenses!$A$5:$A$1004,"&lt;"&amp;DATE(YEAR(E$82),MONTH(E$82)+1,1),Expenses!$C$5:$C$1004,'Chart of Accounts'!$H$5,Expenses!$K$5:$K$1004,"&lt;&gt;EXAMPLE")</f>
        <v>0</v>
      </c>
      <c r="F86" s="26" t="n">
        <f aca="false">SUMIFS(Expenses!$D$5:$D$1004,Expenses!$A$5:$A$1004,"&gt;="&amp;F$82,Expenses!$A$5:$A$1004,"&lt;"&amp;DATE(YEAR(F$82),MONTH(F$82)+1,1),Expenses!$C$5:$C$1004,'Chart of Accounts'!$H$5,Expenses!$K$5:$K$1004,"&lt;&gt;EXAMPLE")</f>
        <v>0</v>
      </c>
      <c r="G86" s="26" t="n">
        <f aca="false">SUMIFS(Expenses!$D$5:$D$1004,Expenses!$A$5:$A$1004,"&gt;="&amp;G$82,Expenses!$A$5:$A$1004,"&lt;"&amp;DATE(YEAR(G$82),MONTH(G$82)+1,1),Expenses!$C$5:$C$1004,'Chart of Accounts'!$H$5,Expenses!$K$5:$K$1004,"&lt;&gt;EXAMPLE")</f>
        <v>0</v>
      </c>
      <c r="H86" s="26" t="n">
        <f aca="false">SUMIFS(Expenses!$D$5:$D$1004,Expenses!$A$5:$A$1004,"&gt;="&amp;H$82,Expenses!$A$5:$A$1004,"&lt;"&amp;DATE(YEAR(H$82),MONTH(H$82)+1,1),Expenses!$C$5:$C$1004,'Chart of Accounts'!$H$5,Expenses!$K$5:$K$1004,"&lt;&gt;EXAMPLE")</f>
        <v>0</v>
      </c>
      <c r="I86" s="26" t="n">
        <f aca="false">SUMIFS(Expenses!$D$5:$D$1004,Expenses!$A$5:$A$1004,"&gt;="&amp;I$82,Expenses!$A$5:$A$1004,"&lt;"&amp;DATE(YEAR(I$82),MONTH(I$82)+1,1),Expenses!$C$5:$C$1004,'Chart of Accounts'!$H$5,Expenses!$K$5:$K$1004,"&lt;&gt;EXAMPLE")</f>
        <v>0</v>
      </c>
      <c r="J86" s="26" t="n">
        <f aca="false">SUMIFS(Expenses!$D$5:$D$1004,Expenses!$A$5:$A$1004,"&gt;="&amp;J$82,Expenses!$A$5:$A$1004,"&lt;"&amp;DATE(YEAR(J$82),MONTH(J$82)+1,1),Expenses!$C$5:$C$1004,'Chart of Accounts'!$H$5,Expenses!$K$5:$K$1004,"&lt;&gt;EXAMPLE")</f>
        <v>0</v>
      </c>
      <c r="K86" s="26" t="n">
        <f aca="false">SUMIFS(Expenses!$D$5:$D$1004,Expenses!$A$5:$A$1004,"&gt;="&amp;K$82,Expenses!$A$5:$A$1004,"&lt;"&amp;DATE(YEAR(K$82),MONTH(K$82)+1,1),Expenses!$C$5:$C$1004,'Chart of Accounts'!$H$5,Expenses!$K$5:$K$1004,"&lt;&gt;EXAMPLE")</f>
        <v>0</v>
      </c>
      <c r="L86" s="26" t="n">
        <f aca="false">SUMIFS(Expenses!$D$5:$D$1004,Expenses!$A$5:$A$1004,"&gt;="&amp;L$82,Expenses!$A$5:$A$1004,"&lt;"&amp;DATE(YEAR(L$82),MONTH(L$82)+1,1),Expenses!$C$5:$C$1004,'Chart of Accounts'!$H$5,Expenses!$K$5:$K$1004,"&lt;&gt;EXAMPLE")</f>
        <v>0</v>
      </c>
      <c r="M86" s="26" t="n">
        <f aca="false">SUMIFS(Expenses!$D$5:$D$1004,Expenses!$A$5:$A$1004,"&gt;="&amp;M$82,Expenses!$A$5:$A$1004,"&lt;"&amp;DATE(YEAR(M$82),MONTH(M$82)+1,1),Expenses!$C$5:$C$1004,'Chart of Accounts'!$H$5,Expenses!$K$5:$K$1004,"&lt;&gt;EXAMPLE")</f>
        <v>0</v>
      </c>
      <c r="N86" s="26" t="n">
        <f aca="false">SUM(B86:M86)</f>
        <v>0</v>
      </c>
    </row>
    <row r="87" customFormat="false" ht="15" hidden="false" customHeight="false" outlineLevel="0" collapsed="false">
      <c r="A87" s="30" t="s">
        <v>575</v>
      </c>
      <c r="B87" s="26" t="n">
        <f aca="false">SUMIFS('Sales Log'!$J$5:$J$1004,'Sales Log'!$A$5:$A$1004,"&gt;="&amp;B$82,'Sales Log'!$A$5:$A$1004,"&lt;"&amp;DATE(YEAR(B$82),MONTH(B$82)+1,1),'Sales Log'!$K$5:$K$1004,"N",'Sales Log'!$M$5:$M$1004,"MD",'Sales Log'!$R$5:$R$1004,"&lt;&gt;EXAMPLE")</f>
        <v>0</v>
      </c>
      <c r="C87" s="26" t="n">
        <f aca="false">SUMIFS('Sales Log'!$J$5:$J$1004,'Sales Log'!$A$5:$A$1004,"&gt;="&amp;C$82,'Sales Log'!$A$5:$A$1004,"&lt;"&amp;DATE(YEAR(C$82),MONTH(C$82)+1,1),'Sales Log'!$K$5:$K$1004,"N",'Sales Log'!$M$5:$M$1004,"MD",'Sales Log'!$R$5:$R$1004,"&lt;&gt;EXAMPLE")</f>
        <v>0</v>
      </c>
      <c r="D87" s="26" t="n">
        <f aca="false">SUMIFS('Sales Log'!$J$5:$J$1004,'Sales Log'!$A$5:$A$1004,"&gt;="&amp;D$82,'Sales Log'!$A$5:$A$1004,"&lt;"&amp;DATE(YEAR(D$82),MONTH(D$82)+1,1),'Sales Log'!$K$5:$K$1004,"N",'Sales Log'!$M$5:$M$1004,"MD",'Sales Log'!$R$5:$R$1004,"&lt;&gt;EXAMPLE")</f>
        <v>0</v>
      </c>
      <c r="E87" s="26" t="n">
        <f aca="false">SUMIFS('Sales Log'!$J$5:$J$1004,'Sales Log'!$A$5:$A$1004,"&gt;="&amp;E$82,'Sales Log'!$A$5:$A$1004,"&lt;"&amp;DATE(YEAR(E$82),MONTH(E$82)+1,1),'Sales Log'!$K$5:$K$1004,"N",'Sales Log'!$M$5:$M$1004,"MD",'Sales Log'!$R$5:$R$1004,"&lt;&gt;EXAMPLE")</f>
        <v>0</v>
      </c>
      <c r="F87" s="26" t="n">
        <f aca="false">SUMIFS('Sales Log'!$J$5:$J$1004,'Sales Log'!$A$5:$A$1004,"&gt;="&amp;F$82,'Sales Log'!$A$5:$A$1004,"&lt;"&amp;DATE(YEAR(F$82),MONTH(F$82)+1,1),'Sales Log'!$K$5:$K$1004,"N",'Sales Log'!$M$5:$M$1004,"MD",'Sales Log'!$R$5:$R$1004,"&lt;&gt;EXAMPLE")</f>
        <v>0</v>
      </c>
      <c r="G87" s="26" t="n">
        <f aca="false">SUMIFS('Sales Log'!$J$5:$J$1004,'Sales Log'!$A$5:$A$1004,"&gt;="&amp;G$82,'Sales Log'!$A$5:$A$1004,"&lt;"&amp;DATE(YEAR(G$82),MONTH(G$82)+1,1),'Sales Log'!$K$5:$K$1004,"N",'Sales Log'!$M$5:$M$1004,"MD",'Sales Log'!$R$5:$R$1004,"&lt;&gt;EXAMPLE")</f>
        <v>0</v>
      </c>
      <c r="H87" s="26" t="n">
        <f aca="false">SUMIFS('Sales Log'!$J$5:$J$1004,'Sales Log'!$A$5:$A$1004,"&gt;="&amp;H$82,'Sales Log'!$A$5:$A$1004,"&lt;"&amp;DATE(YEAR(H$82),MONTH(H$82)+1,1),'Sales Log'!$K$5:$K$1004,"N",'Sales Log'!$M$5:$M$1004,"MD",'Sales Log'!$R$5:$R$1004,"&lt;&gt;EXAMPLE")</f>
        <v>0</v>
      </c>
      <c r="I87" s="26" t="n">
        <f aca="false">SUMIFS('Sales Log'!$J$5:$J$1004,'Sales Log'!$A$5:$A$1004,"&gt;="&amp;I$82,'Sales Log'!$A$5:$A$1004,"&lt;"&amp;DATE(YEAR(I$82),MONTH(I$82)+1,1),'Sales Log'!$K$5:$K$1004,"N",'Sales Log'!$M$5:$M$1004,"MD",'Sales Log'!$R$5:$R$1004,"&lt;&gt;EXAMPLE")</f>
        <v>0</v>
      </c>
      <c r="J87" s="26" t="n">
        <f aca="false">SUMIFS('Sales Log'!$J$5:$J$1004,'Sales Log'!$A$5:$A$1004,"&gt;="&amp;J$82,'Sales Log'!$A$5:$A$1004,"&lt;"&amp;DATE(YEAR(J$82),MONTH(J$82)+1,1),'Sales Log'!$K$5:$K$1004,"N",'Sales Log'!$M$5:$M$1004,"MD",'Sales Log'!$R$5:$R$1004,"&lt;&gt;EXAMPLE")</f>
        <v>0</v>
      </c>
      <c r="K87" s="26" t="n">
        <f aca="false">SUMIFS('Sales Log'!$J$5:$J$1004,'Sales Log'!$A$5:$A$1004,"&gt;="&amp;K$82,'Sales Log'!$A$5:$A$1004,"&lt;"&amp;DATE(YEAR(K$82),MONTH(K$82)+1,1),'Sales Log'!$K$5:$K$1004,"N",'Sales Log'!$M$5:$M$1004,"MD",'Sales Log'!$R$5:$R$1004,"&lt;&gt;EXAMPLE")</f>
        <v>0</v>
      </c>
      <c r="L87" s="26" t="n">
        <f aca="false">SUMIFS('Sales Log'!$J$5:$J$1004,'Sales Log'!$A$5:$A$1004,"&gt;="&amp;L$82,'Sales Log'!$A$5:$A$1004,"&lt;"&amp;DATE(YEAR(L$82),MONTH(L$82)+1,1),'Sales Log'!$K$5:$K$1004,"N",'Sales Log'!$M$5:$M$1004,"MD",'Sales Log'!$R$5:$R$1004,"&lt;&gt;EXAMPLE")</f>
        <v>0</v>
      </c>
      <c r="M87" s="26" t="n">
        <f aca="false">SUMIFS('Sales Log'!$J$5:$J$1004,'Sales Log'!$A$5:$A$1004,"&gt;="&amp;M$82,'Sales Log'!$A$5:$A$1004,"&lt;"&amp;DATE(YEAR(M$82),MONTH(M$82)+1,1),'Sales Log'!$K$5:$K$1004,"N",'Sales Log'!$M$5:$M$1004,"MD",'Sales Log'!$R$5:$R$1004,"&lt;&gt;EXAMPLE")</f>
        <v>0</v>
      </c>
      <c r="N87" s="26" t="n">
        <f aca="false">SUM(B87:M87)</f>
        <v>0</v>
      </c>
    </row>
    <row r="88" customFormat="false" ht="15" hidden="false" customHeight="false" outlineLevel="0" collapsed="false">
      <c r="A88" s="32" t="s">
        <v>576</v>
      </c>
      <c r="B88" s="33" t="n">
        <f aca="false">B83-B84-B85</f>
        <v>0</v>
      </c>
      <c r="C88" s="33" t="n">
        <f aca="false">C83-C84-C85</f>
        <v>0</v>
      </c>
      <c r="D88" s="33" t="n">
        <f aca="false">D83-D84-D85</f>
        <v>0</v>
      </c>
      <c r="E88" s="33" t="n">
        <f aca="false">E83-E84-E85</f>
        <v>0</v>
      </c>
      <c r="F88" s="33" t="n">
        <f aca="false">F83-F84-F85</f>
        <v>0</v>
      </c>
      <c r="G88" s="33" t="n">
        <f aca="false">G83-G84-G85</f>
        <v>0</v>
      </c>
      <c r="H88" s="33" t="n">
        <f aca="false">H83-H84-H85</f>
        <v>0</v>
      </c>
      <c r="I88" s="33" t="n">
        <f aca="false">I83-I84-I85</f>
        <v>0</v>
      </c>
      <c r="J88" s="33" t="n">
        <f aca="false">J83-J84-J85</f>
        <v>0</v>
      </c>
      <c r="K88" s="33" t="n">
        <f aca="false">K83-K84-K85</f>
        <v>0</v>
      </c>
      <c r="L88" s="33" t="n">
        <f aca="false">L83-L84-L85</f>
        <v>0</v>
      </c>
      <c r="M88" s="33" t="n">
        <f aca="false">M83-M84-M85</f>
        <v>0</v>
      </c>
      <c r="N88" s="33" t="n">
        <f aca="false">N83-N84-N85</f>
        <v>0</v>
      </c>
    </row>
    <row r="89" customFormat="false" ht="15" hidden="false" customHeight="false" outlineLevel="0" collapsed="false">
      <c r="A89" s="2" t="s">
        <v>577</v>
      </c>
    </row>
  </sheetData>
  <mergeCells count="1">
    <mergeCell ref="A2:N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940"/>
    <pageSetUpPr fitToPage="true"/>
  </sheetPr>
  <dimension ref="A1:O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4" min="3" style="0" width="14"/>
    <col collapsed="false" customWidth="true" hidden="false" outlineLevel="0" max="5" min="5" style="0" width="13"/>
    <col collapsed="false" customWidth="true" hidden="false" outlineLevel="0" max="7" min="6" style="0" width="14"/>
    <col collapsed="false" customWidth="true" hidden="false" outlineLevel="0" max="8" min="8" style="0" width="17"/>
    <col collapsed="false" customWidth="true" hidden="false" outlineLevel="0" max="9" min="9" style="0" width="15"/>
    <col collapsed="false" customWidth="true" hidden="false" outlineLevel="0" max="10" min="10" style="0" width="14"/>
    <col collapsed="false" customWidth="true" hidden="false" outlineLevel="0" max="11" min="11" style="0" width="12"/>
    <col collapsed="false" customWidth="true" hidden="false" outlineLevel="0" max="12" min="12" style="0" width="16"/>
    <col collapsed="false" customWidth="true" hidden="false" outlineLevel="0" max="14" min="13" style="0" width="12"/>
    <col collapsed="false" customWidth="true" hidden="false" outlineLevel="0" max="15" min="15" style="0" width="30"/>
  </cols>
  <sheetData>
    <row r="1" customFormat="false" ht="24" hidden="false" customHeight="true" outlineLevel="0" collapsed="false">
      <c r="A1" s="1" t="s">
        <v>578</v>
      </c>
    </row>
    <row r="2" customFormat="false" ht="42" hidden="false" customHeight="true" outlineLevel="0" collapsed="false">
      <c r="A2" s="11" t="s">
        <v>579</v>
      </c>
      <c r="B2" s="11"/>
      <c r="C2" s="11"/>
      <c r="D2" s="11"/>
      <c r="E2" s="11"/>
      <c r="F2" s="11"/>
      <c r="G2" s="11"/>
      <c r="H2" s="11"/>
      <c r="I2" s="11"/>
      <c r="J2" s="11"/>
      <c r="K2" s="11"/>
      <c r="L2" s="11"/>
      <c r="M2" s="11"/>
      <c r="N2" s="11"/>
      <c r="O2" s="11"/>
    </row>
    <row r="4" customFormat="false" ht="15" hidden="false" customHeight="false" outlineLevel="0" collapsed="false">
      <c r="A4" s="9" t="s">
        <v>563</v>
      </c>
      <c r="B4" s="16" t="n">
        <f aca="false">'Channel Summary'!$B$3</f>
        <v>2026</v>
      </c>
      <c r="C4" s="34" t="s">
        <v>580</v>
      </c>
    </row>
    <row r="5" customFormat="false" ht="15" hidden="false" customHeight="false" outlineLevel="0" collapsed="false">
      <c r="A5" s="9" t="s">
        <v>581</v>
      </c>
      <c r="B5" s="35" t="n">
        <v>0.06</v>
      </c>
      <c r="C5" s="34" t="s">
        <v>582</v>
      </c>
    </row>
    <row r="6" customFormat="false" ht="15" hidden="false" customHeight="false" outlineLevel="0" collapsed="false">
      <c r="A6" s="9" t="s">
        <v>583</v>
      </c>
      <c r="B6" s="6"/>
      <c r="C6" s="34" t="s">
        <v>584</v>
      </c>
    </row>
    <row r="8" customFormat="false" ht="51.75" hidden="false" customHeight="true" outlineLevel="0" collapsed="false">
      <c r="A8" s="12" t="s">
        <v>585</v>
      </c>
      <c r="B8" s="12" t="s">
        <v>548</v>
      </c>
      <c r="C8" s="12" t="s">
        <v>586</v>
      </c>
      <c r="D8" s="12" t="s">
        <v>587</v>
      </c>
      <c r="E8" s="12" t="s">
        <v>588</v>
      </c>
      <c r="F8" s="12" t="s">
        <v>589</v>
      </c>
      <c r="G8" s="12" t="s">
        <v>590</v>
      </c>
      <c r="H8" s="12" t="s">
        <v>591</v>
      </c>
      <c r="I8" s="12" t="s">
        <v>592</v>
      </c>
      <c r="J8" s="12" t="s">
        <v>593</v>
      </c>
      <c r="K8" s="12" t="s">
        <v>594</v>
      </c>
      <c r="L8" s="12" t="s">
        <v>595</v>
      </c>
      <c r="M8" s="12" t="s">
        <v>596</v>
      </c>
      <c r="N8" s="12" t="s">
        <v>597</v>
      </c>
      <c r="O8" s="12" t="s">
        <v>500</v>
      </c>
    </row>
    <row r="9" customFormat="false" ht="15" hidden="false" customHeight="false" outlineLevel="0" collapsed="false">
      <c r="A9" s="36" t="n">
        <f aca="false">DATE($B$4,1,1)</f>
        <v>46023</v>
      </c>
      <c r="B9" s="25" t="n">
        <f aca="false">DATE($B$4,2,0)</f>
        <v>46053</v>
      </c>
      <c r="C9" s="26" t="n">
        <f aca="false">SUMIFS('Sales Log'!$G$5:$G$1004,'Sales Log'!$A$5:$A$1004,"&gt;="&amp;$A9,'Sales Log'!$A$5:$A$1004,"&lt;="&amp;$B9,'Sales Log'!$M$5:$M$1004,"MD",'Sales Log'!$K$5:$K$1004,"N",'Sales Log'!$N$5:$N$1004,"Y",'Sales Log'!$R$5:$R$1004,"&lt;&gt;EXAMPLE")</f>
        <v>0</v>
      </c>
      <c r="D9" s="26" t="n">
        <f aca="false">SUMIFS('Sales Log'!$J$5:$J$1004,'Sales Log'!$A$5:$A$1004,"&gt;="&amp;$A9,'Sales Log'!$A$5:$A$1004,"&lt;="&amp;$B9,'Sales Log'!$M$5:$M$1004,"MD",'Sales Log'!$K$5:$K$1004,"N",'Sales Log'!$R$5:$R$1004,"&lt;&gt;EXAMPLE")</f>
        <v>0</v>
      </c>
      <c r="E9" s="26" t="n">
        <f aca="false">ROUND(C9*$B$5,2)</f>
        <v>0</v>
      </c>
      <c r="F9" s="26" t="n">
        <f aca="false">D9-E9</f>
        <v>0</v>
      </c>
      <c r="G9" s="26" t="n">
        <f aca="false">SUMIFS('Sales Log'!$G$5:$G$1004,'Sales Log'!$A$5:$A$1004,"&gt;="&amp;$A9,'Sales Log'!$A$5:$A$1004,"&lt;="&amp;$B9,'Sales Log'!$M$5:$M$1004,"MD",'Sales Log'!$K$5:$K$1004,"N",'Sales Log'!$N$5:$N$1004,"N",'Sales Log'!$R$5:$R$1004,"&lt;&gt;EXAMPLE")</f>
        <v>0</v>
      </c>
      <c r="H9" s="26" t="n">
        <f aca="false">SUMIFS('Sales Log'!$G$5:$G$1004,'Sales Log'!$A$5:$A$1004,"&gt;="&amp;$A9,'Sales Log'!$A$5:$A$1004,"&lt;="&amp;$B9,'Sales Log'!$M$5:$M$1004,"MD",'Sales Log'!$K$5:$K$1004,"Y",'Sales Log'!$R$5:$R$1004,"&lt;&gt;EXAMPLE")</f>
        <v>0</v>
      </c>
      <c r="I9" s="26" t="n">
        <f aca="false">SUMIFS('Sales Log'!$J$5:$J$1004,'Sales Log'!$A$5:$A$1004,"&gt;="&amp;$A9,'Sales Log'!$A$5:$A$1004,"&lt;="&amp;$B9,'Sales Log'!$M$5:$M$1004,"MD",'Sales Log'!$K$5:$K$1004,"Y",'Sales Log'!$R$5:$R$1004,"&lt;&gt;EXAMPLE")</f>
        <v>0</v>
      </c>
      <c r="J9" s="25" t="n">
        <f aca="false">DATE($B$4,2,20)</f>
        <v>46073</v>
      </c>
      <c r="K9" s="37"/>
      <c r="L9" s="6"/>
      <c r="M9" s="38"/>
      <c r="N9" s="6"/>
      <c r="O9" s="6"/>
    </row>
    <row r="10" customFormat="false" ht="15" hidden="false" customHeight="false" outlineLevel="0" collapsed="false">
      <c r="A10" s="36" t="n">
        <f aca="false">DATE($B$4,2,1)</f>
        <v>46054</v>
      </c>
      <c r="B10" s="25" t="n">
        <f aca="false">DATE($B$4,3,0)</f>
        <v>46081</v>
      </c>
      <c r="C10" s="26" t="n">
        <f aca="false">SUMIFS('Sales Log'!$G$5:$G$1004,'Sales Log'!$A$5:$A$1004,"&gt;="&amp;$A10,'Sales Log'!$A$5:$A$1004,"&lt;="&amp;$B10,'Sales Log'!$M$5:$M$1004,"MD",'Sales Log'!$K$5:$K$1004,"N",'Sales Log'!$N$5:$N$1004,"Y",'Sales Log'!$R$5:$R$1004,"&lt;&gt;EXAMPLE")</f>
        <v>0</v>
      </c>
      <c r="D10" s="26" t="n">
        <f aca="false">SUMIFS('Sales Log'!$J$5:$J$1004,'Sales Log'!$A$5:$A$1004,"&gt;="&amp;$A10,'Sales Log'!$A$5:$A$1004,"&lt;="&amp;$B10,'Sales Log'!$M$5:$M$1004,"MD",'Sales Log'!$K$5:$K$1004,"N",'Sales Log'!$R$5:$R$1004,"&lt;&gt;EXAMPLE")</f>
        <v>0</v>
      </c>
      <c r="E10" s="26" t="n">
        <f aca="false">ROUND(C10*$B$5,2)</f>
        <v>0</v>
      </c>
      <c r="F10" s="26" t="n">
        <f aca="false">D10-E10</f>
        <v>0</v>
      </c>
      <c r="G10" s="26" t="n">
        <f aca="false">SUMIFS('Sales Log'!$G$5:$G$1004,'Sales Log'!$A$5:$A$1004,"&gt;="&amp;$A10,'Sales Log'!$A$5:$A$1004,"&lt;="&amp;$B10,'Sales Log'!$M$5:$M$1004,"MD",'Sales Log'!$K$5:$K$1004,"N",'Sales Log'!$N$5:$N$1004,"N",'Sales Log'!$R$5:$R$1004,"&lt;&gt;EXAMPLE")</f>
        <v>0</v>
      </c>
      <c r="H10" s="26" t="n">
        <f aca="false">SUMIFS('Sales Log'!$G$5:$G$1004,'Sales Log'!$A$5:$A$1004,"&gt;="&amp;$A10,'Sales Log'!$A$5:$A$1004,"&lt;="&amp;$B10,'Sales Log'!$M$5:$M$1004,"MD",'Sales Log'!$K$5:$K$1004,"Y",'Sales Log'!$R$5:$R$1004,"&lt;&gt;EXAMPLE")</f>
        <v>0</v>
      </c>
      <c r="I10" s="26" t="n">
        <f aca="false">SUMIFS('Sales Log'!$J$5:$J$1004,'Sales Log'!$A$5:$A$1004,"&gt;="&amp;$A10,'Sales Log'!$A$5:$A$1004,"&lt;="&amp;$B10,'Sales Log'!$M$5:$M$1004,"MD",'Sales Log'!$K$5:$K$1004,"Y",'Sales Log'!$R$5:$R$1004,"&lt;&gt;EXAMPLE")</f>
        <v>0</v>
      </c>
      <c r="J10" s="25" t="n">
        <f aca="false">DATE($B$4,3,20)</f>
        <v>46101</v>
      </c>
      <c r="K10" s="37"/>
      <c r="L10" s="6"/>
      <c r="M10" s="38"/>
      <c r="N10" s="6"/>
      <c r="O10" s="6"/>
    </row>
    <row r="11" customFormat="false" ht="15" hidden="false" customHeight="false" outlineLevel="0" collapsed="false">
      <c r="A11" s="36" t="n">
        <f aca="false">DATE($B$4,3,1)</f>
        <v>46082</v>
      </c>
      <c r="B11" s="25" t="n">
        <f aca="false">DATE($B$4,4,0)</f>
        <v>46112</v>
      </c>
      <c r="C11" s="26" t="n">
        <f aca="false">SUMIFS('Sales Log'!$G$5:$G$1004,'Sales Log'!$A$5:$A$1004,"&gt;="&amp;$A11,'Sales Log'!$A$5:$A$1004,"&lt;="&amp;$B11,'Sales Log'!$M$5:$M$1004,"MD",'Sales Log'!$K$5:$K$1004,"N",'Sales Log'!$N$5:$N$1004,"Y",'Sales Log'!$R$5:$R$1004,"&lt;&gt;EXAMPLE")</f>
        <v>0</v>
      </c>
      <c r="D11" s="26" t="n">
        <f aca="false">SUMIFS('Sales Log'!$J$5:$J$1004,'Sales Log'!$A$5:$A$1004,"&gt;="&amp;$A11,'Sales Log'!$A$5:$A$1004,"&lt;="&amp;$B11,'Sales Log'!$M$5:$M$1004,"MD",'Sales Log'!$K$5:$K$1004,"N",'Sales Log'!$R$5:$R$1004,"&lt;&gt;EXAMPLE")</f>
        <v>0</v>
      </c>
      <c r="E11" s="26" t="n">
        <f aca="false">ROUND(C11*$B$5,2)</f>
        <v>0</v>
      </c>
      <c r="F11" s="26" t="n">
        <f aca="false">D11-E11</f>
        <v>0</v>
      </c>
      <c r="G11" s="26" t="n">
        <f aca="false">SUMIFS('Sales Log'!$G$5:$G$1004,'Sales Log'!$A$5:$A$1004,"&gt;="&amp;$A11,'Sales Log'!$A$5:$A$1004,"&lt;="&amp;$B11,'Sales Log'!$M$5:$M$1004,"MD",'Sales Log'!$K$5:$K$1004,"N",'Sales Log'!$N$5:$N$1004,"N",'Sales Log'!$R$5:$R$1004,"&lt;&gt;EXAMPLE")</f>
        <v>0</v>
      </c>
      <c r="H11" s="26" t="n">
        <f aca="false">SUMIFS('Sales Log'!$G$5:$G$1004,'Sales Log'!$A$5:$A$1004,"&gt;="&amp;$A11,'Sales Log'!$A$5:$A$1004,"&lt;="&amp;$B11,'Sales Log'!$M$5:$M$1004,"MD",'Sales Log'!$K$5:$K$1004,"Y",'Sales Log'!$R$5:$R$1004,"&lt;&gt;EXAMPLE")</f>
        <v>0</v>
      </c>
      <c r="I11" s="26" t="n">
        <f aca="false">SUMIFS('Sales Log'!$J$5:$J$1004,'Sales Log'!$A$5:$A$1004,"&gt;="&amp;$A11,'Sales Log'!$A$5:$A$1004,"&lt;="&amp;$B11,'Sales Log'!$M$5:$M$1004,"MD",'Sales Log'!$K$5:$K$1004,"Y",'Sales Log'!$R$5:$R$1004,"&lt;&gt;EXAMPLE")</f>
        <v>0</v>
      </c>
      <c r="J11" s="25" t="n">
        <f aca="false">DATE($B$4,4,20)</f>
        <v>46132</v>
      </c>
      <c r="K11" s="37"/>
      <c r="L11" s="6"/>
      <c r="M11" s="38"/>
      <c r="N11" s="6"/>
      <c r="O11" s="6"/>
    </row>
    <row r="12" customFormat="false" ht="15" hidden="false" customHeight="false" outlineLevel="0" collapsed="false">
      <c r="A12" s="36" t="n">
        <f aca="false">DATE($B$4,4,1)</f>
        <v>46113</v>
      </c>
      <c r="B12" s="25" t="n">
        <f aca="false">DATE($B$4,5,0)</f>
        <v>46142</v>
      </c>
      <c r="C12" s="26" t="n">
        <f aca="false">SUMIFS('Sales Log'!$G$5:$G$1004,'Sales Log'!$A$5:$A$1004,"&gt;="&amp;$A12,'Sales Log'!$A$5:$A$1004,"&lt;="&amp;$B12,'Sales Log'!$M$5:$M$1004,"MD",'Sales Log'!$K$5:$K$1004,"N",'Sales Log'!$N$5:$N$1004,"Y",'Sales Log'!$R$5:$R$1004,"&lt;&gt;EXAMPLE")</f>
        <v>0</v>
      </c>
      <c r="D12" s="26" t="n">
        <f aca="false">SUMIFS('Sales Log'!$J$5:$J$1004,'Sales Log'!$A$5:$A$1004,"&gt;="&amp;$A12,'Sales Log'!$A$5:$A$1004,"&lt;="&amp;$B12,'Sales Log'!$M$5:$M$1004,"MD",'Sales Log'!$K$5:$K$1004,"N",'Sales Log'!$R$5:$R$1004,"&lt;&gt;EXAMPLE")</f>
        <v>0</v>
      </c>
      <c r="E12" s="26" t="n">
        <f aca="false">ROUND(C12*$B$5,2)</f>
        <v>0</v>
      </c>
      <c r="F12" s="26" t="n">
        <f aca="false">D12-E12</f>
        <v>0</v>
      </c>
      <c r="G12" s="26" t="n">
        <f aca="false">SUMIFS('Sales Log'!$G$5:$G$1004,'Sales Log'!$A$5:$A$1004,"&gt;="&amp;$A12,'Sales Log'!$A$5:$A$1004,"&lt;="&amp;$B12,'Sales Log'!$M$5:$M$1004,"MD",'Sales Log'!$K$5:$K$1004,"N",'Sales Log'!$N$5:$N$1004,"N",'Sales Log'!$R$5:$R$1004,"&lt;&gt;EXAMPLE")</f>
        <v>0</v>
      </c>
      <c r="H12" s="26" t="n">
        <f aca="false">SUMIFS('Sales Log'!$G$5:$G$1004,'Sales Log'!$A$5:$A$1004,"&gt;="&amp;$A12,'Sales Log'!$A$5:$A$1004,"&lt;="&amp;$B12,'Sales Log'!$M$5:$M$1004,"MD",'Sales Log'!$K$5:$K$1004,"Y",'Sales Log'!$R$5:$R$1004,"&lt;&gt;EXAMPLE")</f>
        <v>0</v>
      </c>
      <c r="I12" s="26" t="n">
        <f aca="false">SUMIFS('Sales Log'!$J$5:$J$1004,'Sales Log'!$A$5:$A$1004,"&gt;="&amp;$A12,'Sales Log'!$A$5:$A$1004,"&lt;="&amp;$B12,'Sales Log'!$M$5:$M$1004,"MD",'Sales Log'!$K$5:$K$1004,"Y",'Sales Log'!$R$5:$R$1004,"&lt;&gt;EXAMPLE")</f>
        <v>0</v>
      </c>
      <c r="J12" s="25" t="n">
        <f aca="false">DATE($B$4,5,20)</f>
        <v>46162</v>
      </c>
      <c r="K12" s="37"/>
      <c r="L12" s="6"/>
      <c r="M12" s="38"/>
      <c r="N12" s="6"/>
      <c r="O12" s="6"/>
    </row>
    <row r="13" customFormat="false" ht="15" hidden="false" customHeight="false" outlineLevel="0" collapsed="false">
      <c r="A13" s="36" t="n">
        <f aca="false">DATE($B$4,5,1)</f>
        <v>46143</v>
      </c>
      <c r="B13" s="25" t="n">
        <f aca="false">DATE($B$4,6,0)</f>
        <v>46173</v>
      </c>
      <c r="C13" s="26" t="n">
        <f aca="false">SUMIFS('Sales Log'!$G$5:$G$1004,'Sales Log'!$A$5:$A$1004,"&gt;="&amp;$A13,'Sales Log'!$A$5:$A$1004,"&lt;="&amp;$B13,'Sales Log'!$M$5:$M$1004,"MD",'Sales Log'!$K$5:$K$1004,"N",'Sales Log'!$N$5:$N$1004,"Y",'Sales Log'!$R$5:$R$1004,"&lt;&gt;EXAMPLE")</f>
        <v>0</v>
      </c>
      <c r="D13" s="26" t="n">
        <f aca="false">SUMIFS('Sales Log'!$J$5:$J$1004,'Sales Log'!$A$5:$A$1004,"&gt;="&amp;$A13,'Sales Log'!$A$5:$A$1004,"&lt;="&amp;$B13,'Sales Log'!$M$5:$M$1004,"MD",'Sales Log'!$K$5:$K$1004,"N",'Sales Log'!$R$5:$R$1004,"&lt;&gt;EXAMPLE")</f>
        <v>0</v>
      </c>
      <c r="E13" s="26" t="n">
        <f aca="false">ROUND(C13*$B$5,2)</f>
        <v>0</v>
      </c>
      <c r="F13" s="26" t="n">
        <f aca="false">D13-E13</f>
        <v>0</v>
      </c>
      <c r="G13" s="26" t="n">
        <f aca="false">SUMIFS('Sales Log'!$G$5:$G$1004,'Sales Log'!$A$5:$A$1004,"&gt;="&amp;$A13,'Sales Log'!$A$5:$A$1004,"&lt;="&amp;$B13,'Sales Log'!$M$5:$M$1004,"MD",'Sales Log'!$K$5:$K$1004,"N",'Sales Log'!$N$5:$N$1004,"N",'Sales Log'!$R$5:$R$1004,"&lt;&gt;EXAMPLE")</f>
        <v>0</v>
      </c>
      <c r="H13" s="26" t="n">
        <f aca="false">SUMIFS('Sales Log'!$G$5:$G$1004,'Sales Log'!$A$5:$A$1004,"&gt;="&amp;$A13,'Sales Log'!$A$5:$A$1004,"&lt;="&amp;$B13,'Sales Log'!$M$5:$M$1004,"MD",'Sales Log'!$K$5:$K$1004,"Y",'Sales Log'!$R$5:$R$1004,"&lt;&gt;EXAMPLE")</f>
        <v>0</v>
      </c>
      <c r="I13" s="26" t="n">
        <f aca="false">SUMIFS('Sales Log'!$J$5:$J$1004,'Sales Log'!$A$5:$A$1004,"&gt;="&amp;$A13,'Sales Log'!$A$5:$A$1004,"&lt;="&amp;$B13,'Sales Log'!$M$5:$M$1004,"MD",'Sales Log'!$K$5:$K$1004,"Y",'Sales Log'!$R$5:$R$1004,"&lt;&gt;EXAMPLE")</f>
        <v>0</v>
      </c>
      <c r="J13" s="25" t="n">
        <f aca="false">DATE($B$4,6,20)</f>
        <v>46193</v>
      </c>
      <c r="K13" s="37"/>
      <c r="L13" s="6"/>
      <c r="M13" s="38"/>
      <c r="N13" s="6"/>
      <c r="O13" s="6"/>
    </row>
    <row r="14" customFormat="false" ht="15" hidden="false" customHeight="false" outlineLevel="0" collapsed="false">
      <c r="A14" s="36" t="n">
        <f aca="false">DATE($B$4,6,1)</f>
        <v>46174</v>
      </c>
      <c r="B14" s="25" t="n">
        <f aca="false">DATE($B$4,7,0)</f>
        <v>46203</v>
      </c>
      <c r="C14" s="26" t="n">
        <f aca="false">SUMIFS('Sales Log'!$G$5:$G$1004,'Sales Log'!$A$5:$A$1004,"&gt;="&amp;$A14,'Sales Log'!$A$5:$A$1004,"&lt;="&amp;$B14,'Sales Log'!$M$5:$M$1004,"MD",'Sales Log'!$K$5:$K$1004,"N",'Sales Log'!$N$5:$N$1004,"Y",'Sales Log'!$R$5:$R$1004,"&lt;&gt;EXAMPLE")</f>
        <v>0</v>
      </c>
      <c r="D14" s="26" t="n">
        <f aca="false">SUMIFS('Sales Log'!$J$5:$J$1004,'Sales Log'!$A$5:$A$1004,"&gt;="&amp;$A14,'Sales Log'!$A$5:$A$1004,"&lt;="&amp;$B14,'Sales Log'!$M$5:$M$1004,"MD",'Sales Log'!$K$5:$K$1004,"N",'Sales Log'!$R$5:$R$1004,"&lt;&gt;EXAMPLE")</f>
        <v>0</v>
      </c>
      <c r="E14" s="26" t="n">
        <f aca="false">ROUND(C14*$B$5,2)</f>
        <v>0</v>
      </c>
      <c r="F14" s="26" t="n">
        <f aca="false">D14-E14</f>
        <v>0</v>
      </c>
      <c r="G14" s="26" t="n">
        <f aca="false">SUMIFS('Sales Log'!$G$5:$G$1004,'Sales Log'!$A$5:$A$1004,"&gt;="&amp;$A14,'Sales Log'!$A$5:$A$1004,"&lt;="&amp;$B14,'Sales Log'!$M$5:$M$1004,"MD",'Sales Log'!$K$5:$K$1004,"N",'Sales Log'!$N$5:$N$1004,"N",'Sales Log'!$R$5:$R$1004,"&lt;&gt;EXAMPLE")</f>
        <v>0</v>
      </c>
      <c r="H14" s="26" t="n">
        <f aca="false">SUMIFS('Sales Log'!$G$5:$G$1004,'Sales Log'!$A$5:$A$1004,"&gt;="&amp;$A14,'Sales Log'!$A$5:$A$1004,"&lt;="&amp;$B14,'Sales Log'!$M$5:$M$1004,"MD",'Sales Log'!$K$5:$K$1004,"Y",'Sales Log'!$R$5:$R$1004,"&lt;&gt;EXAMPLE")</f>
        <v>0</v>
      </c>
      <c r="I14" s="26" t="n">
        <f aca="false">SUMIFS('Sales Log'!$J$5:$J$1004,'Sales Log'!$A$5:$A$1004,"&gt;="&amp;$A14,'Sales Log'!$A$5:$A$1004,"&lt;="&amp;$B14,'Sales Log'!$M$5:$M$1004,"MD",'Sales Log'!$K$5:$K$1004,"Y",'Sales Log'!$R$5:$R$1004,"&lt;&gt;EXAMPLE")</f>
        <v>0</v>
      </c>
      <c r="J14" s="25" t="n">
        <f aca="false">DATE($B$4,7,20)</f>
        <v>46223</v>
      </c>
      <c r="K14" s="37"/>
      <c r="L14" s="6"/>
      <c r="M14" s="38"/>
      <c r="N14" s="6"/>
      <c r="O14" s="6"/>
    </row>
    <row r="15" customFormat="false" ht="15" hidden="false" customHeight="false" outlineLevel="0" collapsed="false">
      <c r="A15" s="36" t="n">
        <f aca="false">DATE($B$4,7,1)</f>
        <v>46204</v>
      </c>
      <c r="B15" s="25" t="n">
        <f aca="false">DATE($B$4,8,0)</f>
        <v>46234</v>
      </c>
      <c r="C15" s="26" t="n">
        <f aca="false">SUMIFS('Sales Log'!$G$5:$G$1004,'Sales Log'!$A$5:$A$1004,"&gt;="&amp;$A15,'Sales Log'!$A$5:$A$1004,"&lt;="&amp;$B15,'Sales Log'!$M$5:$M$1004,"MD",'Sales Log'!$K$5:$K$1004,"N",'Sales Log'!$N$5:$N$1004,"Y",'Sales Log'!$R$5:$R$1004,"&lt;&gt;EXAMPLE")</f>
        <v>0</v>
      </c>
      <c r="D15" s="26" t="n">
        <f aca="false">SUMIFS('Sales Log'!$J$5:$J$1004,'Sales Log'!$A$5:$A$1004,"&gt;="&amp;$A15,'Sales Log'!$A$5:$A$1004,"&lt;="&amp;$B15,'Sales Log'!$M$5:$M$1004,"MD",'Sales Log'!$K$5:$K$1004,"N",'Sales Log'!$R$5:$R$1004,"&lt;&gt;EXAMPLE")</f>
        <v>0</v>
      </c>
      <c r="E15" s="26" t="n">
        <f aca="false">ROUND(C15*$B$5,2)</f>
        <v>0</v>
      </c>
      <c r="F15" s="26" t="n">
        <f aca="false">D15-E15</f>
        <v>0</v>
      </c>
      <c r="G15" s="26" t="n">
        <f aca="false">SUMIFS('Sales Log'!$G$5:$G$1004,'Sales Log'!$A$5:$A$1004,"&gt;="&amp;$A15,'Sales Log'!$A$5:$A$1004,"&lt;="&amp;$B15,'Sales Log'!$M$5:$M$1004,"MD",'Sales Log'!$K$5:$K$1004,"N",'Sales Log'!$N$5:$N$1004,"N",'Sales Log'!$R$5:$R$1004,"&lt;&gt;EXAMPLE")</f>
        <v>0</v>
      </c>
      <c r="H15" s="26" t="n">
        <f aca="false">SUMIFS('Sales Log'!$G$5:$G$1004,'Sales Log'!$A$5:$A$1004,"&gt;="&amp;$A15,'Sales Log'!$A$5:$A$1004,"&lt;="&amp;$B15,'Sales Log'!$M$5:$M$1004,"MD",'Sales Log'!$K$5:$K$1004,"Y",'Sales Log'!$R$5:$R$1004,"&lt;&gt;EXAMPLE")</f>
        <v>0</v>
      </c>
      <c r="I15" s="26" t="n">
        <f aca="false">SUMIFS('Sales Log'!$J$5:$J$1004,'Sales Log'!$A$5:$A$1004,"&gt;="&amp;$A15,'Sales Log'!$A$5:$A$1004,"&lt;="&amp;$B15,'Sales Log'!$M$5:$M$1004,"MD",'Sales Log'!$K$5:$K$1004,"Y",'Sales Log'!$R$5:$R$1004,"&lt;&gt;EXAMPLE")</f>
        <v>0</v>
      </c>
      <c r="J15" s="25" t="n">
        <f aca="false">DATE($B$4,8,20)</f>
        <v>46254</v>
      </c>
      <c r="K15" s="37"/>
      <c r="L15" s="6"/>
      <c r="M15" s="38"/>
      <c r="N15" s="6"/>
      <c r="O15" s="6"/>
    </row>
    <row r="16" customFormat="false" ht="15" hidden="false" customHeight="false" outlineLevel="0" collapsed="false">
      <c r="A16" s="36" t="n">
        <f aca="false">DATE($B$4,8,1)</f>
        <v>46235</v>
      </c>
      <c r="B16" s="25" t="n">
        <f aca="false">DATE($B$4,9,0)</f>
        <v>46265</v>
      </c>
      <c r="C16" s="26" t="n">
        <f aca="false">SUMIFS('Sales Log'!$G$5:$G$1004,'Sales Log'!$A$5:$A$1004,"&gt;="&amp;$A16,'Sales Log'!$A$5:$A$1004,"&lt;="&amp;$B16,'Sales Log'!$M$5:$M$1004,"MD",'Sales Log'!$K$5:$K$1004,"N",'Sales Log'!$N$5:$N$1004,"Y",'Sales Log'!$R$5:$R$1004,"&lt;&gt;EXAMPLE")</f>
        <v>0</v>
      </c>
      <c r="D16" s="26" t="n">
        <f aca="false">SUMIFS('Sales Log'!$J$5:$J$1004,'Sales Log'!$A$5:$A$1004,"&gt;="&amp;$A16,'Sales Log'!$A$5:$A$1004,"&lt;="&amp;$B16,'Sales Log'!$M$5:$M$1004,"MD",'Sales Log'!$K$5:$K$1004,"N",'Sales Log'!$R$5:$R$1004,"&lt;&gt;EXAMPLE")</f>
        <v>0</v>
      </c>
      <c r="E16" s="26" t="n">
        <f aca="false">ROUND(C16*$B$5,2)</f>
        <v>0</v>
      </c>
      <c r="F16" s="26" t="n">
        <f aca="false">D16-E16</f>
        <v>0</v>
      </c>
      <c r="G16" s="26" t="n">
        <f aca="false">SUMIFS('Sales Log'!$G$5:$G$1004,'Sales Log'!$A$5:$A$1004,"&gt;="&amp;$A16,'Sales Log'!$A$5:$A$1004,"&lt;="&amp;$B16,'Sales Log'!$M$5:$M$1004,"MD",'Sales Log'!$K$5:$K$1004,"N",'Sales Log'!$N$5:$N$1004,"N",'Sales Log'!$R$5:$R$1004,"&lt;&gt;EXAMPLE")</f>
        <v>0</v>
      </c>
      <c r="H16" s="26" t="n">
        <f aca="false">SUMIFS('Sales Log'!$G$5:$G$1004,'Sales Log'!$A$5:$A$1004,"&gt;="&amp;$A16,'Sales Log'!$A$5:$A$1004,"&lt;="&amp;$B16,'Sales Log'!$M$5:$M$1004,"MD",'Sales Log'!$K$5:$K$1004,"Y",'Sales Log'!$R$5:$R$1004,"&lt;&gt;EXAMPLE")</f>
        <v>0</v>
      </c>
      <c r="I16" s="26" t="n">
        <f aca="false">SUMIFS('Sales Log'!$J$5:$J$1004,'Sales Log'!$A$5:$A$1004,"&gt;="&amp;$A16,'Sales Log'!$A$5:$A$1004,"&lt;="&amp;$B16,'Sales Log'!$M$5:$M$1004,"MD",'Sales Log'!$K$5:$K$1004,"Y",'Sales Log'!$R$5:$R$1004,"&lt;&gt;EXAMPLE")</f>
        <v>0</v>
      </c>
      <c r="J16" s="25" t="n">
        <f aca="false">DATE($B$4,9,20)</f>
        <v>46285</v>
      </c>
      <c r="K16" s="37"/>
      <c r="L16" s="6"/>
      <c r="M16" s="38"/>
      <c r="N16" s="6"/>
      <c r="O16" s="6"/>
    </row>
    <row r="17" customFormat="false" ht="15" hidden="false" customHeight="false" outlineLevel="0" collapsed="false">
      <c r="A17" s="36" t="n">
        <f aca="false">DATE($B$4,9,1)</f>
        <v>46266</v>
      </c>
      <c r="B17" s="25" t="n">
        <f aca="false">DATE($B$4,10,0)</f>
        <v>46295</v>
      </c>
      <c r="C17" s="26" t="n">
        <f aca="false">SUMIFS('Sales Log'!$G$5:$G$1004,'Sales Log'!$A$5:$A$1004,"&gt;="&amp;$A17,'Sales Log'!$A$5:$A$1004,"&lt;="&amp;$B17,'Sales Log'!$M$5:$M$1004,"MD",'Sales Log'!$K$5:$K$1004,"N",'Sales Log'!$N$5:$N$1004,"Y",'Sales Log'!$R$5:$R$1004,"&lt;&gt;EXAMPLE")</f>
        <v>0</v>
      </c>
      <c r="D17" s="26" t="n">
        <f aca="false">SUMIFS('Sales Log'!$J$5:$J$1004,'Sales Log'!$A$5:$A$1004,"&gt;="&amp;$A17,'Sales Log'!$A$5:$A$1004,"&lt;="&amp;$B17,'Sales Log'!$M$5:$M$1004,"MD",'Sales Log'!$K$5:$K$1004,"N",'Sales Log'!$R$5:$R$1004,"&lt;&gt;EXAMPLE")</f>
        <v>0</v>
      </c>
      <c r="E17" s="26" t="n">
        <f aca="false">ROUND(C17*$B$5,2)</f>
        <v>0</v>
      </c>
      <c r="F17" s="26" t="n">
        <f aca="false">D17-E17</f>
        <v>0</v>
      </c>
      <c r="G17" s="26" t="n">
        <f aca="false">SUMIFS('Sales Log'!$G$5:$G$1004,'Sales Log'!$A$5:$A$1004,"&gt;="&amp;$A17,'Sales Log'!$A$5:$A$1004,"&lt;="&amp;$B17,'Sales Log'!$M$5:$M$1004,"MD",'Sales Log'!$K$5:$K$1004,"N",'Sales Log'!$N$5:$N$1004,"N",'Sales Log'!$R$5:$R$1004,"&lt;&gt;EXAMPLE")</f>
        <v>0</v>
      </c>
      <c r="H17" s="26" t="n">
        <f aca="false">SUMIFS('Sales Log'!$G$5:$G$1004,'Sales Log'!$A$5:$A$1004,"&gt;="&amp;$A17,'Sales Log'!$A$5:$A$1004,"&lt;="&amp;$B17,'Sales Log'!$M$5:$M$1004,"MD",'Sales Log'!$K$5:$K$1004,"Y",'Sales Log'!$R$5:$R$1004,"&lt;&gt;EXAMPLE")</f>
        <v>0</v>
      </c>
      <c r="I17" s="26" t="n">
        <f aca="false">SUMIFS('Sales Log'!$J$5:$J$1004,'Sales Log'!$A$5:$A$1004,"&gt;="&amp;$A17,'Sales Log'!$A$5:$A$1004,"&lt;="&amp;$B17,'Sales Log'!$M$5:$M$1004,"MD",'Sales Log'!$K$5:$K$1004,"Y",'Sales Log'!$R$5:$R$1004,"&lt;&gt;EXAMPLE")</f>
        <v>0</v>
      </c>
      <c r="J17" s="25" t="n">
        <f aca="false">DATE($B$4,10,20)</f>
        <v>46315</v>
      </c>
      <c r="K17" s="37"/>
      <c r="L17" s="6"/>
      <c r="M17" s="38"/>
      <c r="N17" s="6"/>
      <c r="O17" s="6"/>
    </row>
    <row r="18" customFormat="false" ht="15" hidden="false" customHeight="false" outlineLevel="0" collapsed="false">
      <c r="A18" s="36" t="n">
        <f aca="false">DATE($B$4,10,1)</f>
        <v>46296</v>
      </c>
      <c r="B18" s="25" t="n">
        <f aca="false">DATE($B$4,11,0)</f>
        <v>46326</v>
      </c>
      <c r="C18" s="26" t="n">
        <f aca="false">SUMIFS('Sales Log'!$G$5:$G$1004,'Sales Log'!$A$5:$A$1004,"&gt;="&amp;$A18,'Sales Log'!$A$5:$A$1004,"&lt;="&amp;$B18,'Sales Log'!$M$5:$M$1004,"MD",'Sales Log'!$K$5:$K$1004,"N",'Sales Log'!$N$5:$N$1004,"Y",'Sales Log'!$R$5:$R$1004,"&lt;&gt;EXAMPLE")</f>
        <v>0</v>
      </c>
      <c r="D18" s="26" t="n">
        <f aca="false">SUMIFS('Sales Log'!$J$5:$J$1004,'Sales Log'!$A$5:$A$1004,"&gt;="&amp;$A18,'Sales Log'!$A$5:$A$1004,"&lt;="&amp;$B18,'Sales Log'!$M$5:$M$1004,"MD",'Sales Log'!$K$5:$K$1004,"N",'Sales Log'!$R$5:$R$1004,"&lt;&gt;EXAMPLE")</f>
        <v>0</v>
      </c>
      <c r="E18" s="26" t="n">
        <f aca="false">ROUND(C18*$B$5,2)</f>
        <v>0</v>
      </c>
      <c r="F18" s="26" t="n">
        <f aca="false">D18-E18</f>
        <v>0</v>
      </c>
      <c r="G18" s="26" t="n">
        <f aca="false">SUMIFS('Sales Log'!$G$5:$G$1004,'Sales Log'!$A$5:$A$1004,"&gt;="&amp;$A18,'Sales Log'!$A$5:$A$1004,"&lt;="&amp;$B18,'Sales Log'!$M$5:$M$1004,"MD",'Sales Log'!$K$5:$K$1004,"N",'Sales Log'!$N$5:$N$1004,"N",'Sales Log'!$R$5:$R$1004,"&lt;&gt;EXAMPLE")</f>
        <v>0</v>
      </c>
      <c r="H18" s="26" t="n">
        <f aca="false">SUMIFS('Sales Log'!$G$5:$G$1004,'Sales Log'!$A$5:$A$1004,"&gt;="&amp;$A18,'Sales Log'!$A$5:$A$1004,"&lt;="&amp;$B18,'Sales Log'!$M$5:$M$1004,"MD",'Sales Log'!$K$5:$K$1004,"Y",'Sales Log'!$R$5:$R$1004,"&lt;&gt;EXAMPLE")</f>
        <v>0</v>
      </c>
      <c r="I18" s="26" t="n">
        <f aca="false">SUMIFS('Sales Log'!$J$5:$J$1004,'Sales Log'!$A$5:$A$1004,"&gt;="&amp;$A18,'Sales Log'!$A$5:$A$1004,"&lt;="&amp;$B18,'Sales Log'!$M$5:$M$1004,"MD",'Sales Log'!$K$5:$K$1004,"Y",'Sales Log'!$R$5:$R$1004,"&lt;&gt;EXAMPLE")</f>
        <v>0</v>
      </c>
      <c r="J18" s="25" t="n">
        <f aca="false">DATE($B$4,11,20)</f>
        <v>46346</v>
      </c>
      <c r="K18" s="37"/>
      <c r="L18" s="6"/>
      <c r="M18" s="38"/>
      <c r="N18" s="6"/>
      <c r="O18" s="6"/>
    </row>
    <row r="19" customFormat="false" ht="15" hidden="false" customHeight="false" outlineLevel="0" collapsed="false">
      <c r="A19" s="36" t="n">
        <f aca="false">DATE($B$4,11,1)</f>
        <v>46327</v>
      </c>
      <c r="B19" s="25" t="n">
        <f aca="false">DATE($B$4,12,0)</f>
        <v>46356</v>
      </c>
      <c r="C19" s="26" t="n">
        <f aca="false">SUMIFS('Sales Log'!$G$5:$G$1004,'Sales Log'!$A$5:$A$1004,"&gt;="&amp;$A19,'Sales Log'!$A$5:$A$1004,"&lt;="&amp;$B19,'Sales Log'!$M$5:$M$1004,"MD",'Sales Log'!$K$5:$K$1004,"N",'Sales Log'!$N$5:$N$1004,"Y",'Sales Log'!$R$5:$R$1004,"&lt;&gt;EXAMPLE")</f>
        <v>0</v>
      </c>
      <c r="D19" s="26" t="n">
        <f aca="false">SUMIFS('Sales Log'!$J$5:$J$1004,'Sales Log'!$A$5:$A$1004,"&gt;="&amp;$A19,'Sales Log'!$A$5:$A$1004,"&lt;="&amp;$B19,'Sales Log'!$M$5:$M$1004,"MD",'Sales Log'!$K$5:$K$1004,"N",'Sales Log'!$R$5:$R$1004,"&lt;&gt;EXAMPLE")</f>
        <v>0</v>
      </c>
      <c r="E19" s="26" t="n">
        <f aca="false">ROUND(C19*$B$5,2)</f>
        <v>0</v>
      </c>
      <c r="F19" s="26" t="n">
        <f aca="false">D19-E19</f>
        <v>0</v>
      </c>
      <c r="G19" s="26" t="n">
        <f aca="false">SUMIFS('Sales Log'!$G$5:$G$1004,'Sales Log'!$A$5:$A$1004,"&gt;="&amp;$A19,'Sales Log'!$A$5:$A$1004,"&lt;="&amp;$B19,'Sales Log'!$M$5:$M$1004,"MD",'Sales Log'!$K$5:$K$1004,"N",'Sales Log'!$N$5:$N$1004,"N",'Sales Log'!$R$5:$R$1004,"&lt;&gt;EXAMPLE")</f>
        <v>0</v>
      </c>
      <c r="H19" s="26" t="n">
        <f aca="false">SUMIFS('Sales Log'!$G$5:$G$1004,'Sales Log'!$A$5:$A$1004,"&gt;="&amp;$A19,'Sales Log'!$A$5:$A$1004,"&lt;="&amp;$B19,'Sales Log'!$M$5:$M$1004,"MD",'Sales Log'!$K$5:$K$1004,"Y",'Sales Log'!$R$5:$R$1004,"&lt;&gt;EXAMPLE")</f>
        <v>0</v>
      </c>
      <c r="I19" s="26" t="n">
        <f aca="false">SUMIFS('Sales Log'!$J$5:$J$1004,'Sales Log'!$A$5:$A$1004,"&gt;="&amp;$A19,'Sales Log'!$A$5:$A$1004,"&lt;="&amp;$B19,'Sales Log'!$M$5:$M$1004,"MD",'Sales Log'!$K$5:$K$1004,"Y",'Sales Log'!$R$5:$R$1004,"&lt;&gt;EXAMPLE")</f>
        <v>0</v>
      </c>
      <c r="J19" s="25" t="n">
        <f aca="false">DATE($B$4,12,20)</f>
        <v>46376</v>
      </c>
      <c r="K19" s="37"/>
      <c r="L19" s="6"/>
      <c r="M19" s="38"/>
      <c r="N19" s="6"/>
      <c r="O19" s="6"/>
    </row>
    <row r="20" customFormat="false" ht="15" hidden="false" customHeight="false" outlineLevel="0" collapsed="false">
      <c r="A20" s="36" t="n">
        <f aca="false">DATE($B$4,12,1)</f>
        <v>46357</v>
      </c>
      <c r="B20" s="25" t="n">
        <f aca="false">DATE($B$4,13,0)</f>
        <v>46387</v>
      </c>
      <c r="C20" s="26" t="n">
        <f aca="false">SUMIFS('Sales Log'!$G$5:$G$1004,'Sales Log'!$A$5:$A$1004,"&gt;="&amp;$A20,'Sales Log'!$A$5:$A$1004,"&lt;="&amp;$B20,'Sales Log'!$M$5:$M$1004,"MD",'Sales Log'!$K$5:$K$1004,"N",'Sales Log'!$N$5:$N$1004,"Y",'Sales Log'!$R$5:$R$1004,"&lt;&gt;EXAMPLE")</f>
        <v>0</v>
      </c>
      <c r="D20" s="26" t="n">
        <f aca="false">SUMIFS('Sales Log'!$J$5:$J$1004,'Sales Log'!$A$5:$A$1004,"&gt;="&amp;$A20,'Sales Log'!$A$5:$A$1004,"&lt;="&amp;$B20,'Sales Log'!$M$5:$M$1004,"MD",'Sales Log'!$K$5:$K$1004,"N",'Sales Log'!$R$5:$R$1004,"&lt;&gt;EXAMPLE")</f>
        <v>0</v>
      </c>
      <c r="E20" s="26" t="n">
        <f aca="false">ROUND(C20*$B$5,2)</f>
        <v>0</v>
      </c>
      <c r="F20" s="26" t="n">
        <f aca="false">D20-E20</f>
        <v>0</v>
      </c>
      <c r="G20" s="26" t="n">
        <f aca="false">SUMIFS('Sales Log'!$G$5:$G$1004,'Sales Log'!$A$5:$A$1004,"&gt;="&amp;$A20,'Sales Log'!$A$5:$A$1004,"&lt;="&amp;$B20,'Sales Log'!$M$5:$M$1004,"MD",'Sales Log'!$K$5:$K$1004,"N",'Sales Log'!$N$5:$N$1004,"N",'Sales Log'!$R$5:$R$1004,"&lt;&gt;EXAMPLE")</f>
        <v>0</v>
      </c>
      <c r="H20" s="26" t="n">
        <f aca="false">SUMIFS('Sales Log'!$G$5:$G$1004,'Sales Log'!$A$5:$A$1004,"&gt;="&amp;$A20,'Sales Log'!$A$5:$A$1004,"&lt;="&amp;$B20,'Sales Log'!$M$5:$M$1004,"MD",'Sales Log'!$K$5:$K$1004,"Y",'Sales Log'!$R$5:$R$1004,"&lt;&gt;EXAMPLE")</f>
        <v>0</v>
      </c>
      <c r="I20" s="26" t="n">
        <f aca="false">SUMIFS('Sales Log'!$J$5:$J$1004,'Sales Log'!$A$5:$A$1004,"&gt;="&amp;$A20,'Sales Log'!$A$5:$A$1004,"&lt;="&amp;$B20,'Sales Log'!$M$5:$M$1004,"MD",'Sales Log'!$K$5:$K$1004,"Y",'Sales Log'!$R$5:$R$1004,"&lt;&gt;EXAMPLE")</f>
        <v>0</v>
      </c>
      <c r="J20" s="25" t="n">
        <f aca="false">DATE($B$4,13,20)</f>
        <v>46407</v>
      </c>
      <c r="K20" s="37"/>
      <c r="L20" s="6"/>
      <c r="M20" s="38"/>
      <c r="N20" s="6"/>
      <c r="O20" s="6"/>
    </row>
    <row r="21" customFormat="false" ht="15" hidden="false" customHeight="false" outlineLevel="0" collapsed="false">
      <c r="A21" s="32" t="s">
        <v>598</v>
      </c>
      <c r="B21" s="32"/>
      <c r="C21" s="33" t="n">
        <f aca="false">SUM(C9:C20)</f>
        <v>0</v>
      </c>
      <c r="D21" s="33" t="n">
        <f aca="false">SUM(D9:D20)</f>
        <v>0</v>
      </c>
      <c r="E21" s="33" t="n">
        <f aca="false">SUM(E9:E20)</f>
        <v>0</v>
      </c>
      <c r="F21" s="33" t="n">
        <f aca="false">SUM(F9:F20)</f>
        <v>0</v>
      </c>
      <c r="G21" s="33" t="n">
        <f aca="false">SUM(G9:G20)</f>
        <v>0</v>
      </c>
      <c r="H21" s="33" t="n">
        <f aca="false">SUM(H9:H20)</f>
        <v>0</v>
      </c>
      <c r="I21" s="33" t="n">
        <f aca="false">SUM(I9:I20)</f>
        <v>0</v>
      </c>
      <c r="J21" s="32"/>
      <c r="K21" s="39"/>
      <c r="L21" s="32"/>
      <c r="M21" s="33" t="n">
        <f aca="false">SUM(M9:M20)</f>
        <v>0</v>
      </c>
      <c r="N21" s="32"/>
      <c r="O21" s="32"/>
    </row>
    <row r="23" customFormat="false" ht="15" hidden="false" customHeight="false" outlineLevel="0" collapsed="false">
      <c r="A23" s="3" t="s">
        <v>599</v>
      </c>
    </row>
    <row r="24" customFormat="false" ht="39.75" hidden="false" customHeight="true" outlineLevel="0" collapsed="false">
      <c r="A24" s="12" t="s">
        <v>600</v>
      </c>
      <c r="B24" s="12" t="s">
        <v>548</v>
      </c>
      <c r="C24" s="12" t="s">
        <v>586</v>
      </c>
      <c r="D24" s="12" t="s">
        <v>587</v>
      </c>
      <c r="E24" s="12" t="s">
        <v>588</v>
      </c>
      <c r="F24" s="12" t="s">
        <v>551</v>
      </c>
      <c r="G24" s="12" t="s">
        <v>590</v>
      </c>
      <c r="H24" s="12" t="s">
        <v>601</v>
      </c>
      <c r="I24" s="12" t="s">
        <v>602</v>
      </c>
      <c r="J24" s="12" t="s">
        <v>603</v>
      </c>
      <c r="K24" s="12" t="s">
        <v>594</v>
      </c>
      <c r="L24" s="12" t="s">
        <v>595</v>
      </c>
      <c r="M24" s="12" t="s">
        <v>596</v>
      </c>
      <c r="N24" s="12" t="s">
        <v>597</v>
      </c>
      <c r="O24" s="12" t="s">
        <v>500</v>
      </c>
    </row>
    <row r="25" customFormat="false" ht="15" hidden="false" customHeight="false" outlineLevel="0" collapsed="false">
      <c r="A25" s="16" t="s">
        <v>604</v>
      </c>
      <c r="B25" s="25" t="n">
        <f aca="false">B11</f>
        <v>46112</v>
      </c>
      <c r="C25" s="26" t="n">
        <f aca="false">SUM(C9:C11)</f>
        <v>0</v>
      </c>
      <c r="D25" s="26" t="n">
        <f aca="false">SUM(D9:D11)</f>
        <v>0</v>
      </c>
      <c r="E25" s="26" t="n">
        <f aca="false">SUM(E9:E11)</f>
        <v>0</v>
      </c>
      <c r="F25" s="26" t="n">
        <f aca="false">SUM(F9:F11)</f>
        <v>0</v>
      </c>
      <c r="G25" s="26" t="n">
        <f aca="false">SUM(G9:G11)</f>
        <v>0</v>
      </c>
      <c r="H25" s="26" t="n">
        <f aca="false">SUM(H9:H11)</f>
        <v>0</v>
      </c>
      <c r="I25" s="26" t="n">
        <f aca="false">SUM(I9:I11)</f>
        <v>0</v>
      </c>
      <c r="J25" s="25" t="n">
        <f aca="false">DATE($B$4,4,20)</f>
        <v>46132</v>
      </c>
      <c r="K25" s="37"/>
      <c r="L25" s="6"/>
      <c r="M25" s="38"/>
      <c r="N25" s="6"/>
      <c r="O25" s="6"/>
    </row>
    <row r="26" customFormat="false" ht="15" hidden="false" customHeight="false" outlineLevel="0" collapsed="false">
      <c r="A26" s="16" t="s">
        <v>605</v>
      </c>
      <c r="B26" s="25" t="n">
        <f aca="false">B14</f>
        <v>46203</v>
      </c>
      <c r="C26" s="26" t="n">
        <f aca="false">SUM(C12:C14)</f>
        <v>0</v>
      </c>
      <c r="D26" s="26" t="n">
        <f aca="false">SUM(D12:D14)</f>
        <v>0</v>
      </c>
      <c r="E26" s="26" t="n">
        <f aca="false">SUM(E12:E14)</f>
        <v>0</v>
      </c>
      <c r="F26" s="26" t="n">
        <f aca="false">SUM(F12:F14)</f>
        <v>0</v>
      </c>
      <c r="G26" s="26" t="n">
        <f aca="false">SUM(G12:G14)</f>
        <v>0</v>
      </c>
      <c r="H26" s="26" t="n">
        <f aca="false">SUM(H12:H14)</f>
        <v>0</v>
      </c>
      <c r="I26" s="26" t="n">
        <f aca="false">SUM(I12:I14)</f>
        <v>0</v>
      </c>
      <c r="J26" s="25" t="n">
        <f aca="false">DATE($B$4,7,20)</f>
        <v>46223</v>
      </c>
      <c r="K26" s="37"/>
      <c r="L26" s="6"/>
      <c r="M26" s="38"/>
      <c r="N26" s="6"/>
      <c r="O26" s="6"/>
    </row>
    <row r="27" customFormat="false" ht="15" hidden="false" customHeight="false" outlineLevel="0" collapsed="false">
      <c r="A27" s="16" t="s">
        <v>606</v>
      </c>
      <c r="B27" s="25" t="n">
        <f aca="false">B17</f>
        <v>46295</v>
      </c>
      <c r="C27" s="26" t="n">
        <f aca="false">SUM(C15:C17)</f>
        <v>0</v>
      </c>
      <c r="D27" s="26" t="n">
        <f aca="false">SUM(D15:D17)</f>
        <v>0</v>
      </c>
      <c r="E27" s="26" t="n">
        <f aca="false">SUM(E15:E17)</f>
        <v>0</v>
      </c>
      <c r="F27" s="26" t="n">
        <f aca="false">SUM(F15:F17)</f>
        <v>0</v>
      </c>
      <c r="G27" s="26" t="n">
        <f aca="false">SUM(G15:G17)</f>
        <v>0</v>
      </c>
      <c r="H27" s="26" t="n">
        <f aca="false">SUM(H15:H17)</f>
        <v>0</v>
      </c>
      <c r="I27" s="26" t="n">
        <f aca="false">SUM(I15:I17)</f>
        <v>0</v>
      </c>
      <c r="J27" s="25" t="n">
        <f aca="false">DATE($B$4,10,20)</f>
        <v>46315</v>
      </c>
      <c r="K27" s="37"/>
      <c r="L27" s="6"/>
      <c r="M27" s="38"/>
      <c r="N27" s="6"/>
      <c r="O27" s="6"/>
    </row>
    <row r="28" customFormat="false" ht="15" hidden="false" customHeight="false" outlineLevel="0" collapsed="false">
      <c r="A28" s="16" t="s">
        <v>607</v>
      </c>
      <c r="B28" s="25" t="n">
        <f aca="false">B20</f>
        <v>46387</v>
      </c>
      <c r="C28" s="26" t="n">
        <f aca="false">SUM(C18:C20)</f>
        <v>0</v>
      </c>
      <c r="D28" s="26" t="n">
        <f aca="false">SUM(D18:D20)</f>
        <v>0</v>
      </c>
      <c r="E28" s="26" t="n">
        <f aca="false">SUM(E18:E20)</f>
        <v>0</v>
      </c>
      <c r="F28" s="26" t="n">
        <f aca="false">SUM(F18:F20)</f>
        <v>0</v>
      </c>
      <c r="G28" s="26" t="n">
        <f aca="false">SUM(G18:G20)</f>
        <v>0</v>
      </c>
      <c r="H28" s="26" t="n">
        <f aca="false">SUM(H18:H20)</f>
        <v>0</v>
      </c>
      <c r="I28" s="26" t="n">
        <f aca="false">SUM(I18:I20)</f>
        <v>0</v>
      </c>
      <c r="J28" s="25" t="n">
        <f aca="false">DATE($B$4,13,20)</f>
        <v>46407</v>
      </c>
      <c r="K28" s="37"/>
      <c r="L28" s="6"/>
      <c r="M28" s="38"/>
      <c r="N28" s="6"/>
      <c r="O28" s="6"/>
    </row>
    <row r="29" customFormat="false" ht="15" hidden="false" customHeight="false" outlineLevel="0" collapsed="false">
      <c r="A29" s="16" t="s">
        <v>608</v>
      </c>
      <c r="B29" s="25" t="n">
        <f aca="false">B20</f>
        <v>46387</v>
      </c>
      <c r="C29" s="26" t="n">
        <f aca="false">C21</f>
        <v>0</v>
      </c>
      <c r="D29" s="26" t="n">
        <f aca="false">D21</f>
        <v>0</v>
      </c>
      <c r="E29" s="26" t="n">
        <f aca="false">E21</f>
        <v>0</v>
      </c>
      <c r="F29" s="26" t="n">
        <f aca="false">F21</f>
        <v>0</v>
      </c>
      <c r="G29" s="26" t="n">
        <f aca="false">G21</f>
        <v>0</v>
      </c>
      <c r="H29" s="26" t="n">
        <f aca="false">H21</f>
        <v>0</v>
      </c>
      <c r="I29" s="26" t="n">
        <f aca="false">I21</f>
        <v>0</v>
      </c>
      <c r="J29" s="25" t="n">
        <f aca="false">DATE($B$4+1,1,20)</f>
        <v>46407</v>
      </c>
      <c r="K29" s="37"/>
      <c r="L29" s="6"/>
      <c r="M29" s="38"/>
      <c r="N29" s="6"/>
      <c r="O29" s="6"/>
    </row>
    <row r="31" customFormat="false" ht="15" hidden="false" customHeight="false" outlineLevel="0" collapsed="false">
      <c r="A31" s="9" t="s">
        <v>609</v>
      </c>
    </row>
    <row r="32" customFormat="false" ht="15" hidden="false" customHeight="false" outlineLevel="0" collapsed="false">
      <c r="A32" s="40" t="s">
        <v>610</v>
      </c>
    </row>
    <row r="33" customFormat="false" ht="15" hidden="false" customHeight="false" outlineLevel="0" collapsed="false">
      <c r="A33" s="40" t="s">
        <v>611</v>
      </c>
    </row>
    <row r="34" customFormat="false" ht="15" hidden="false" customHeight="false" outlineLevel="0" collapsed="false">
      <c r="A34" s="40" t="s">
        <v>612</v>
      </c>
    </row>
    <row r="35" customFormat="false" ht="15" hidden="false" customHeight="false" outlineLevel="0" collapsed="false">
      <c r="A35" s="40" t="s">
        <v>613</v>
      </c>
    </row>
    <row r="36" customFormat="false" ht="15" hidden="false" customHeight="false" outlineLevel="0" collapsed="false">
      <c r="A36" s="40" t="s">
        <v>614</v>
      </c>
    </row>
    <row r="37" customFormat="false" ht="15" hidden="false" customHeight="false" outlineLevel="0" collapsed="false">
      <c r="A37" s="40" t="s">
        <v>615</v>
      </c>
    </row>
  </sheetData>
  <mergeCells count="1">
    <mergeCell ref="A2:O2"/>
  </mergeCells>
  <conditionalFormatting sqref="F9:F21">
    <cfRule type="expression" priority="2" aboveAverage="0" equalAverage="0" bottom="0" percent="0" rank="0" text="" dxfId="12">
      <formula>ABS($F9)&gt;=0.01</formula>
    </cfRule>
  </conditionalFormatting>
  <dataValidations count="3">
    <dataValidation allowBlank="true" error="Pick a value from the list." errorStyle="stop" errorTitle="Not on the list" operator="between" showDropDown="false" showErrorMessage="true" showInputMessage="false" sqref="B6" type="list">
      <formula1>"Monthly,Quarterly,Annual"</formula1>
      <formula2>0</formula2>
    </dataValidation>
    <dataValidation allowBlank="true" error="Pick a value from the list." errorStyle="stop" errorTitle="Not on the list" operator="between" showDropDown="false" showErrorMessage="true" showInputMessage="false" sqref="N9:N20" type="list">
      <formula1>"Y,N"</formula1>
      <formula2>0</formula2>
    </dataValidation>
    <dataValidation allowBlank="true" error="Pick a value from the list." errorStyle="stop" errorTitle="Not on the list" operator="between" showDropDown="false" showErrorMessage="true" showInputMessage="false" sqref="N25:N2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940"/>
    <pageSetUpPr fitToPage="true"/>
  </sheetPr>
  <dimension ref="A1:T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3" min="2" style="0" width="11"/>
    <col collapsed="false" customWidth="true" hidden="false" outlineLevel="0" max="4" min="4" style="0" width="12"/>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10" min="9" style="0" width="13"/>
    <col collapsed="false" customWidth="true" hidden="false" outlineLevel="0" max="15" min="11" style="0" width="14"/>
    <col collapsed="false" customWidth="true" hidden="false" outlineLevel="0" max="16" min="16" style="0" width="12"/>
    <col collapsed="false" customWidth="true" hidden="false" outlineLevel="0" max="17" min="17" style="0" width="16"/>
    <col collapsed="false" customWidth="true" hidden="false" outlineLevel="0" max="18" min="18" style="0" width="14"/>
    <col collapsed="false" customWidth="true" hidden="false" outlineLevel="0" max="19" min="19" style="0" width="12"/>
    <col collapsed="false" customWidth="true" hidden="false" outlineLevel="0" max="20" min="20" style="0" width="30"/>
  </cols>
  <sheetData>
    <row r="1" customFormat="false" ht="24" hidden="false" customHeight="true" outlineLevel="0" collapsed="false">
      <c r="A1" s="1" t="s">
        <v>616</v>
      </c>
    </row>
    <row r="2" customFormat="false" ht="42" hidden="false" customHeight="true" outlineLevel="0" collapsed="false">
      <c r="A2" s="11" t="s">
        <v>617</v>
      </c>
      <c r="B2" s="11"/>
      <c r="C2" s="11"/>
      <c r="D2" s="11"/>
      <c r="E2" s="11"/>
      <c r="F2" s="11"/>
      <c r="G2" s="11"/>
      <c r="H2" s="11"/>
      <c r="I2" s="11"/>
      <c r="J2" s="11"/>
      <c r="K2" s="11"/>
      <c r="L2" s="11"/>
    </row>
    <row r="4" customFormat="false" ht="15" hidden="false" customHeight="false" outlineLevel="0" collapsed="false">
      <c r="A4" s="9" t="s">
        <v>563</v>
      </c>
      <c r="B4" s="41" t="n">
        <f aca="false">'Channel Summary'!$B$3</f>
        <v>2026</v>
      </c>
      <c r="C4" s="2" t="s">
        <v>580</v>
      </c>
    </row>
    <row r="5" customFormat="false" ht="15" hidden="false" customHeight="false" outlineLevel="0" collapsed="false">
      <c r="A5" s="9" t="s">
        <v>618</v>
      </c>
      <c r="B5" s="35" t="n">
        <v>0.9235</v>
      </c>
      <c r="C5" s="2" t="s">
        <v>619</v>
      </c>
    </row>
    <row r="6" customFormat="false" ht="15" hidden="false" customHeight="false" outlineLevel="0" collapsed="false">
      <c r="A6" s="9" t="s">
        <v>620</v>
      </c>
      <c r="B6" s="35" t="n">
        <v>0.153</v>
      </c>
      <c r="C6" s="2" t="s">
        <v>621</v>
      </c>
    </row>
    <row r="7" customFormat="false" ht="15" hidden="false" customHeight="false" outlineLevel="0" collapsed="false">
      <c r="A7" s="9" t="s">
        <v>622</v>
      </c>
      <c r="B7" s="38" t="n">
        <v>400</v>
      </c>
      <c r="C7" s="2" t="s">
        <v>623</v>
      </c>
    </row>
    <row r="8" customFormat="false" ht="15" hidden="false" customHeight="false" outlineLevel="0" collapsed="false">
      <c r="A8" s="9" t="s">
        <v>624</v>
      </c>
      <c r="B8" s="35" t="n">
        <v>0.25</v>
      </c>
      <c r="C8" s="2" t="s">
        <v>625</v>
      </c>
    </row>
    <row r="9" customFormat="false" ht="15" hidden="false" customHeight="false" outlineLevel="0" collapsed="false">
      <c r="A9" s="9" t="s">
        <v>626</v>
      </c>
      <c r="B9" s="35"/>
      <c r="C9" s="2" t="s">
        <v>627</v>
      </c>
    </row>
    <row r="11" customFormat="false" ht="51.75" hidden="false" customHeight="true" outlineLevel="0" collapsed="false">
      <c r="A11" s="12" t="s">
        <v>628</v>
      </c>
      <c r="B11" s="12" t="s">
        <v>547</v>
      </c>
      <c r="C11" s="12" t="s">
        <v>548</v>
      </c>
      <c r="D11" s="12" t="s">
        <v>629</v>
      </c>
      <c r="E11" s="12" t="s">
        <v>630</v>
      </c>
      <c r="F11" s="12" t="s">
        <v>491</v>
      </c>
      <c r="G11" s="12" t="s">
        <v>631</v>
      </c>
      <c r="H11" s="12" t="s">
        <v>632</v>
      </c>
      <c r="I11" s="12" t="s">
        <v>633</v>
      </c>
      <c r="J11" s="12" t="s">
        <v>634</v>
      </c>
      <c r="K11" s="12" t="s">
        <v>635</v>
      </c>
      <c r="L11" s="12" t="s">
        <v>636</v>
      </c>
      <c r="M11" s="12" t="s">
        <v>637</v>
      </c>
      <c r="N11" s="12" t="s">
        <v>638</v>
      </c>
      <c r="O11" s="12" t="s">
        <v>639</v>
      </c>
      <c r="P11" s="12" t="s">
        <v>640</v>
      </c>
      <c r="Q11" s="12" t="s">
        <v>641</v>
      </c>
      <c r="R11" s="12" t="s">
        <v>642</v>
      </c>
      <c r="S11" s="12" t="s">
        <v>643</v>
      </c>
      <c r="T11" s="12" t="s">
        <v>500</v>
      </c>
    </row>
    <row r="12" customFormat="false" ht="15" hidden="false" customHeight="false" outlineLevel="0" collapsed="false">
      <c r="A12" s="16" t="s">
        <v>604</v>
      </c>
      <c r="B12" s="25" t="n">
        <f aca="false">DATE($B$4,1,1)</f>
        <v>46023</v>
      </c>
      <c r="C12" s="25" t="n">
        <f aca="false">DATE($B$4,3,31)</f>
        <v>46112</v>
      </c>
      <c r="D12" s="37" t="n">
        <v>46127</v>
      </c>
      <c r="E12" s="26" t="n">
        <f aca="false">SUMIFS('Sales Log'!$G$5:$G$1004,'Sales Log'!$A$5:$A$1004,"&gt;="&amp;$B12,'Sales Log'!$A$5:$A$1004,"&lt;="&amp;$C12,'Sales Log'!$R$5:$R$1004,"&lt;&gt;EXAMPLE")+SUMIFS('Sales Log'!$I$5:$I$1004,'Sales Log'!$A$5:$A$1004,"&gt;="&amp;$B12,'Sales Log'!$A$5:$A$1004,"&lt;="&amp;$C12,'Sales Log'!$R$5:$R$1004,"&lt;&gt;EXAMPLE")</f>
        <v>0</v>
      </c>
      <c r="F12" s="26" t="n">
        <f aca="false">SUMIFS('Sales Log'!$H$5:$H$1004,'Sales Log'!$A$5:$A$1004,"&gt;="&amp;$B12,'Sales Log'!$A$5:$A$1004,"&lt;="&amp;$C12,'Sales Log'!$R$5:$R$1004,"&lt;&gt;EXAMPLE")</f>
        <v>0</v>
      </c>
      <c r="G12" s="26" t="n">
        <f aca="false">SUMIFS(Expenses!$D$5:$D$1004,Expenses!$A$5:$A$1004,"&gt;="&amp;$B12,Expenses!$A$5:$A$1004,"&lt;="&amp;$C12,Expenses!$C$5:$C$1004,"&lt;&gt;"&amp;'Chart of Accounts'!$H$5,Expenses!$K$5:$K$1004,"&lt;&gt;EXAMPLE")</f>
        <v>0</v>
      </c>
      <c r="H12" s="26" t="n">
        <f aca="false">SUMIFS('Mileage &amp; Event Log'!$I$6:$I$505,'Mileage &amp; Event Log'!$A$6:$A$505,"&gt;="&amp;$B12,'Mileage &amp; Event Log'!$A$6:$A$505,"&lt;="&amp;$C12,'Mileage &amp; Event Log'!$L$6:$L$505,"&lt;&gt;EXAMPLE")</f>
        <v>0</v>
      </c>
      <c r="I12" s="26" t="n">
        <f aca="false">E12-F12-G12-H12</f>
        <v>0</v>
      </c>
      <c r="J12" s="26" t="n">
        <f aca="false">SUM($I$12:I12)</f>
        <v>0</v>
      </c>
      <c r="K12" s="26" t="n">
        <f aca="false">IF(J12*$B$5&gt;=$B$7,ROUND(J12*$B$5*$B$6,2),0)</f>
        <v>0</v>
      </c>
      <c r="L12" s="26" t="n">
        <f aca="false">K12</f>
        <v>0</v>
      </c>
      <c r="M12" s="26" t="n">
        <f aca="false">ROUND(MAX(0,I12)*$B$9,2)</f>
        <v>0</v>
      </c>
      <c r="N12" s="26" t="n">
        <f aca="false">ROUND(MAX(0,I12)*$B$8,2)</f>
        <v>0</v>
      </c>
      <c r="O12" s="38"/>
      <c r="P12" s="37"/>
      <c r="Q12" s="6"/>
      <c r="R12" s="38"/>
      <c r="S12" s="37"/>
      <c r="T12" s="6"/>
    </row>
    <row r="13" customFormat="false" ht="15" hidden="false" customHeight="false" outlineLevel="0" collapsed="false">
      <c r="A13" s="16" t="s">
        <v>605</v>
      </c>
      <c r="B13" s="25" t="n">
        <f aca="false">DATE($B$4,4,1)</f>
        <v>46113</v>
      </c>
      <c r="C13" s="25" t="n">
        <f aca="false">DATE($B$4,5,31)</f>
        <v>46173</v>
      </c>
      <c r="D13" s="37" t="n">
        <v>46188</v>
      </c>
      <c r="E13" s="26" t="n">
        <f aca="false">SUMIFS('Sales Log'!$G$5:$G$1004,'Sales Log'!$A$5:$A$1004,"&gt;="&amp;$B13,'Sales Log'!$A$5:$A$1004,"&lt;="&amp;$C13,'Sales Log'!$R$5:$R$1004,"&lt;&gt;EXAMPLE")+SUMIFS('Sales Log'!$I$5:$I$1004,'Sales Log'!$A$5:$A$1004,"&gt;="&amp;$B13,'Sales Log'!$A$5:$A$1004,"&lt;="&amp;$C13,'Sales Log'!$R$5:$R$1004,"&lt;&gt;EXAMPLE")</f>
        <v>0</v>
      </c>
      <c r="F13" s="26" t="n">
        <f aca="false">SUMIFS('Sales Log'!$H$5:$H$1004,'Sales Log'!$A$5:$A$1004,"&gt;="&amp;$B13,'Sales Log'!$A$5:$A$1004,"&lt;="&amp;$C13,'Sales Log'!$R$5:$R$1004,"&lt;&gt;EXAMPLE")</f>
        <v>0</v>
      </c>
      <c r="G13" s="26" t="n">
        <f aca="false">SUMIFS(Expenses!$D$5:$D$1004,Expenses!$A$5:$A$1004,"&gt;="&amp;$B13,Expenses!$A$5:$A$1004,"&lt;="&amp;$C13,Expenses!$C$5:$C$1004,"&lt;&gt;"&amp;'Chart of Accounts'!$H$5,Expenses!$K$5:$K$1004,"&lt;&gt;EXAMPLE")</f>
        <v>0</v>
      </c>
      <c r="H13" s="26" t="n">
        <f aca="false">SUMIFS('Mileage &amp; Event Log'!$I$6:$I$505,'Mileage &amp; Event Log'!$A$6:$A$505,"&gt;="&amp;$B13,'Mileage &amp; Event Log'!$A$6:$A$505,"&lt;="&amp;$C13,'Mileage &amp; Event Log'!$L$6:$L$505,"&lt;&gt;EXAMPLE")</f>
        <v>0</v>
      </c>
      <c r="I13" s="26" t="n">
        <f aca="false">E13-F13-G13-H13</f>
        <v>0</v>
      </c>
      <c r="J13" s="26" t="n">
        <f aca="false">SUM($I$12:I13)</f>
        <v>0</v>
      </c>
      <c r="K13" s="26" t="n">
        <f aca="false">IF(J13*$B$5&gt;=$B$7,ROUND(J13*$B$5*$B$6,2),0)</f>
        <v>0</v>
      </c>
      <c r="L13" s="26" t="n">
        <f aca="false">K13-K12</f>
        <v>0</v>
      </c>
      <c r="M13" s="26" t="n">
        <f aca="false">ROUND(MAX(0,I13)*$B$9,2)</f>
        <v>0</v>
      </c>
      <c r="N13" s="26" t="n">
        <f aca="false">ROUND(MAX(0,I13)*$B$8,2)</f>
        <v>0</v>
      </c>
      <c r="O13" s="38"/>
      <c r="P13" s="37"/>
      <c r="Q13" s="6"/>
      <c r="R13" s="38"/>
      <c r="S13" s="37"/>
      <c r="T13" s="6"/>
    </row>
    <row r="14" customFormat="false" ht="15" hidden="false" customHeight="false" outlineLevel="0" collapsed="false">
      <c r="A14" s="16" t="s">
        <v>606</v>
      </c>
      <c r="B14" s="25" t="n">
        <f aca="false">DATE($B$4,6,1)</f>
        <v>46174</v>
      </c>
      <c r="C14" s="25" t="n">
        <f aca="false">DATE($B$4,8,31)</f>
        <v>46265</v>
      </c>
      <c r="D14" s="37" t="n">
        <v>46280</v>
      </c>
      <c r="E14" s="26" t="n">
        <f aca="false">SUMIFS('Sales Log'!$G$5:$G$1004,'Sales Log'!$A$5:$A$1004,"&gt;="&amp;$B14,'Sales Log'!$A$5:$A$1004,"&lt;="&amp;$C14,'Sales Log'!$R$5:$R$1004,"&lt;&gt;EXAMPLE")+SUMIFS('Sales Log'!$I$5:$I$1004,'Sales Log'!$A$5:$A$1004,"&gt;="&amp;$B14,'Sales Log'!$A$5:$A$1004,"&lt;="&amp;$C14,'Sales Log'!$R$5:$R$1004,"&lt;&gt;EXAMPLE")</f>
        <v>0</v>
      </c>
      <c r="F14" s="26" t="n">
        <f aca="false">SUMIFS('Sales Log'!$H$5:$H$1004,'Sales Log'!$A$5:$A$1004,"&gt;="&amp;$B14,'Sales Log'!$A$5:$A$1004,"&lt;="&amp;$C14,'Sales Log'!$R$5:$R$1004,"&lt;&gt;EXAMPLE")</f>
        <v>0</v>
      </c>
      <c r="G14" s="26" t="n">
        <f aca="false">SUMIFS(Expenses!$D$5:$D$1004,Expenses!$A$5:$A$1004,"&gt;="&amp;$B14,Expenses!$A$5:$A$1004,"&lt;="&amp;$C14,Expenses!$C$5:$C$1004,"&lt;&gt;"&amp;'Chart of Accounts'!$H$5,Expenses!$K$5:$K$1004,"&lt;&gt;EXAMPLE")</f>
        <v>0</v>
      </c>
      <c r="H14" s="26" t="n">
        <f aca="false">SUMIFS('Mileage &amp; Event Log'!$I$6:$I$505,'Mileage &amp; Event Log'!$A$6:$A$505,"&gt;="&amp;$B14,'Mileage &amp; Event Log'!$A$6:$A$505,"&lt;="&amp;$C14,'Mileage &amp; Event Log'!$L$6:$L$505,"&lt;&gt;EXAMPLE")</f>
        <v>0</v>
      </c>
      <c r="I14" s="26" t="n">
        <f aca="false">E14-F14-G14-H14</f>
        <v>0</v>
      </c>
      <c r="J14" s="26" t="n">
        <f aca="false">SUM($I$12:I14)</f>
        <v>0</v>
      </c>
      <c r="K14" s="26" t="n">
        <f aca="false">IF(J14*$B$5&gt;=$B$7,ROUND(J14*$B$5*$B$6,2),0)</f>
        <v>0</v>
      </c>
      <c r="L14" s="26" t="n">
        <f aca="false">K14-K13</f>
        <v>0</v>
      </c>
      <c r="M14" s="26" t="n">
        <f aca="false">ROUND(MAX(0,I14)*$B$9,2)</f>
        <v>0</v>
      </c>
      <c r="N14" s="26" t="n">
        <f aca="false">ROUND(MAX(0,I14)*$B$8,2)</f>
        <v>0</v>
      </c>
      <c r="O14" s="38"/>
      <c r="P14" s="37"/>
      <c r="Q14" s="6"/>
      <c r="R14" s="38"/>
      <c r="S14" s="37"/>
      <c r="T14" s="6"/>
    </row>
    <row r="15" customFormat="false" ht="15" hidden="false" customHeight="false" outlineLevel="0" collapsed="false">
      <c r="A15" s="16" t="s">
        <v>607</v>
      </c>
      <c r="B15" s="25" t="n">
        <f aca="false">DATE($B$4,9,1)</f>
        <v>46266</v>
      </c>
      <c r="C15" s="25" t="n">
        <f aca="false">DATE($B$4,12,31)</f>
        <v>46387</v>
      </c>
      <c r="D15" s="37" t="n">
        <v>46402</v>
      </c>
      <c r="E15" s="26" t="n">
        <f aca="false">SUMIFS('Sales Log'!$G$5:$G$1004,'Sales Log'!$A$5:$A$1004,"&gt;="&amp;$B15,'Sales Log'!$A$5:$A$1004,"&lt;="&amp;$C15,'Sales Log'!$R$5:$R$1004,"&lt;&gt;EXAMPLE")+SUMIFS('Sales Log'!$I$5:$I$1004,'Sales Log'!$A$5:$A$1004,"&gt;="&amp;$B15,'Sales Log'!$A$5:$A$1004,"&lt;="&amp;$C15,'Sales Log'!$R$5:$R$1004,"&lt;&gt;EXAMPLE")</f>
        <v>0</v>
      </c>
      <c r="F15" s="26" t="n">
        <f aca="false">SUMIFS('Sales Log'!$H$5:$H$1004,'Sales Log'!$A$5:$A$1004,"&gt;="&amp;$B15,'Sales Log'!$A$5:$A$1004,"&lt;="&amp;$C15,'Sales Log'!$R$5:$R$1004,"&lt;&gt;EXAMPLE")</f>
        <v>0</v>
      </c>
      <c r="G15" s="26" t="n">
        <f aca="false">SUMIFS(Expenses!$D$5:$D$1004,Expenses!$A$5:$A$1004,"&gt;="&amp;$B15,Expenses!$A$5:$A$1004,"&lt;="&amp;$C15,Expenses!$C$5:$C$1004,"&lt;&gt;"&amp;'Chart of Accounts'!$H$5,Expenses!$K$5:$K$1004,"&lt;&gt;EXAMPLE")</f>
        <v>0</v>
      </c>
      <c r="H15" s="26" t="n">
        <f aca="false">SUMIFS('Mileage &amp; Event Log'!$I$6:$I$505,'Mileage &amp; Event Log'!$A$6:$A$505,"&gt;="&amp;$B15,'Mileage &amp; Event Log'!$A$6:$A$505,"&lt;="&amp;$C15,'Mileage &amp; Event Log'!$L$6:$L$505,"&lt;&gt;EXAMPLE")</f>
        <v>0</v>
      </c>
      <c r="I15" s="26" t="n">
        <f aca="false">E15-F15-G15-H15</f>
        <v>0</v>
      </c>
      <c r="J15" s="26" t="n">
        <f aca="false">SUM($I$12:I15)</f>
        <v>0</v>
      </c>
      <c r="K15" s="26" t="n">
        <f aca="false">IF(J15*$B$5&gt;=$B$7,ROUND(J15*$B$5*$B$6,2),0)</f>
        <v>0</v>
      </c>
      <c r="L15" s="26" t="n">
        <f aca="false">K15-K14</f>
        <v>0</v>
      </c>
      <c r="M15" s="26" t="n">
        <f aca="false">ROUND(MAX(0,I15)*$B$9,2)</f>
        <v>0</v>
      </c>
      <c r="N15" s="26" t="n">
        <f aca="false">ROUND(MAX(0,I15)*$B$8,2)</f>
        <v>0</v>
      </c>
      <c r="O15" s="38"/>
      <c r="P15" s="37"/>
      <c r="Q15" s="6"/>
      <c r="R15" s="38"/>
      <c r="S15" s="37"/>
      <c r="T15" s="6"/>
    </row>
    <row r="16" customFormat="false" ht="15" hidden="false" customHeight="false" outlineLevel="0" collapsed="false">
      <c r="A16" s="32" t="s">
        <v>644</v>
      </c>
      <c r="B16" s="39"/>
      <c r="C16" s="39"/>
      <c r="D16" s="39"/>
      <c r="E16" s="33" t="n">
        <f aca="false">SUM(E12:E15)</f>
        <v>0</v>
      </c>
      <c r="F16" s="33" t="n">
        <f aca="false">SUM(F12:F15)</f>
        <v>0</v>
      </c>
      <c r="G16" s="33" t="n">
        <f aca="false">SUM(G12:G15)</f>
        <v>0</v>
      </c>
      <c r="H16" s="33" t="n">
        <f aca="false">SUM(H12:H15)</f>
        <v>0</v>
      </c>
      <c r="I16" s="33" t="n">
        <f aca="false">SUM(I12:I15)</f>
        <v>0</v>
      </c>
      <c r="J16" s="33"/>
      <c r="K16" s="33"/>
      <c r="L16" s="33" t="n">
        <f aca="false">SUM(L12:L15)</f>
        <v>0</v>
      </c>
      <c r="M16" s="33" t="n">
        <f aca="false">SUM(M12:M15)</f>
        <v>0</v>
      </c>
      <c r="N16" s="33" t="n">
        <f aca="false">SUM(N12:N15)</f>
        <v>0</v>
      </c>
      <c r="O16" s="33" t="n">
        <f aca="false">SUM(O12:O15)</f>
        <v>0</v>
      </c>
      <c r="P16" s="39"/>
      <c r="Q16" s="32"/>
      <c r="R16" s="33" t="n">
        <f aca="false">SUM(R12:R15)</f>
        <v>0</v>
      </c>
      <c r="S16" s="39"/>
      <c r="T16" s="32"/>
    </row>
    <row r="18" customFormat="false" ht="15" hidden="false" customHeight="false" outlineLevel="0" collapsed="false">
      <c r="A18" s="9" t="s">
        <v>645</v>
      </c>
    </row>
    <row r="19" customFormat="false" ht="15" hidden="false" customHeight="false" outlineLevel="0" collapsed="false">
      <c r="A19" s="40" t="s">
        <v>646</v>
      </c>
    </row>
    <row r="20" customFormat="false" ht="15" hidden="false" customHeight="false" outlineLevel="0" collapsed="false">
      <c r="A20" s="40" t="s">
        <v>647</v>
      </c>
    </row>
    <row r="21" customFormat="false" ht="15" hidden="false" customHeight="false" outlineLevel="0" collapsed="false">
      <c r="A21" s="40" t="s">
        <v>648</v>
      </c>
    </row>
    <row r="22" customFormat="false" ht="15" hidden="false" customHeight="false" outlineLevel="0" collapsed="false">
      <c r="A22" s="40" t="s">
        <v>649</v>
      </c>
    </row>
    <row r="23" customFormat="false" ht="15" hidden="false" customHeight="false" outlineLevel="0" collapsed="false">
      <c r="A23" s="40" t="s">
        <v>650</v>
      </c>
    </row>
  </sheetData>
  <mergeCells count="1">
    <mergeCell ref="A2:L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940"/>
    <pageSetUpPr fitToPage="true"/>
  </sheetPr>
  <dimension ref="A1:L5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44"/>
    <col collapsed="false" customWidth="true" hidden="false" outlineLevel="0" max="3" min="3" style="0" width="28"/>
    <col collapsed="false" customWidth="true" hidden="false" outlineLevel="0" max="4" min="4" style="0" width="16"/>
    <col collapsed="false" customWidth="true" hidden="false" outlineLevel="0" max="5" min="5" style="0" width="20"/>
    <col collapsed="false" customWidth="true" hidden="false" outlineLevel="0" max="8" min="6" style="0" width="10"/>
    <col collapsed="false" customWidth="true" hidden="false" outlineLevel="0" max="9" min="9" style="0" width="12"/>
    <col collapsed="false" customWidth="true" hidden="false" outlineLevel="0" max="10" min="10" style="0" width="26"/>
    <col collapsed="false" customWidth="true" hidden="false" outlineLevel="0" max="11" min="11" style="0" width="30"/>
    <col collapsed="false" customWidth="true" hidden="false" outlineLevel="0" max="12" min="12" style="0" width="10"/>
  </cols>
  <sheetData>
    <row r="1" customFormat="false" ht="24" hidden="false" customHeight="true" outlineLevel="0" collapsed="false">
      <c r="A1" s="1" t="s">
        <v>46</v>
      </c>
    </row>
    <row r="2" customFormat="false" ht="42" hidden="false" customHeight="true" outlineLevel="0" collapsed="false">
      <c r="A2" s="11" t="s">
        <v>651</v>
      </c>
      <c r="B2" s="11"/>
      <c r="C2" s="11"/>
      <c r="D2" s="11"/>
      <c r="E2" s="11"/>
      <c r="F2" s="11"/>
      <c r="G2" s="11"/>
      <c r="H2" s="11"/>
      <c r="I2" s="11"/>
      <c r="J2" s="11"/>
      <c r="K2" s="11"/>
      <c r="L2" s="11"/>
    </row>
    <row r="3" customFormat="false" ht="15" hidden="false" customHeight="false" outlineLevel="0" collapsed="false">
      <c r="A3" s="9" t="s">
        <v>652</v>
      </c>
      <c r="B3" s="42"/>
      <c r="D3" s="9" t="s">
        <v>653</v>
      </c>
      <c r="E3" s="43" t="n">
        <f aca="false">SUMIFS($H$6:$H$505,$L$6:$L$505,"&lt;&gt;EXAMPLE")</f>
        <v>0</v>
      </c>
      <c r="G3" s="9" t="s">
        <v>632</v>
      </c>
      <c r="H3" s="44" t="n">
        <f aca="false">SUMIFS($I$6:$I$505,$L$6:$L$505,"&lt;&gt;EXAMPLE")</f>
        <v>0</v>
      </c>
    </row>
    <row r="5" customFormat="false" ht="39.75" hidden="false" customHeight="true" outlineLevel="0" collapsed="false">
      <c r="A5" s="12" t="s">
        <v>485</v>
      </c>
      <c r="B5" s="12" t="s">
        <v>654</v>
      </c>
      <c r="C5" s="12" t="s">
        <v>655</v>
      </c>
      <c r="D5" s="12" t="s">
        <v>656</v>
      </c>
      <c r="E5" s="12" t="s">
        <v>657</v>
      </c>
      <c r="F5" s="12" t="s">
        <v>658</v>
      </c>
      <c r="G5" s="12" t="s">
        <v>659</v>
      </c>
      <c r="H5" s="12" t="s">
        <v>660</v>
      </c>
      <c r="I5" s="12" t="s">
        <v>632</v>
      </c>
      <c r="J5" s="12" t="s">
        <v>661</v>
      </c>
      <c r="K5" s="12" t="s">
        <v>500</v>
      </c>
      <c r="L5" s="12" t="s">
        <v>501</v>
      </c>
    </row>
    <row r="6" customFormat="false" ht="15" hidden="false" customHeight="false" outlineLevel="0" collapsed="false">
      <c r="A6" s="22" t="n">
        <v>46313</v>
      </c>
      <c r="B6" s="7" t="s">
        <v>662</v>
      </c>
      <c r="C6" s="7" t="s">
        <v>663</v>
      </c>
      <c r="D6" s="7" t="s">
        <v>664</v>
      </c>
      <c r="E6" s="7" t="s">
        <v>665</v>
      </c>
      <c r="F6" s="7" t="s">
        <v>505</v>
      </c>
      <c r="G6" s="45" t="n">
        <v>12</v>
      </c>
      <c r="H6" s="46" t="n">
        <f aca="false">IF(G6="","",IF(F6="Y",G6*2,G6))</f>
        <v>24</v>
      </c>
      <c r="I6" s="24" t="n">
        <f aca="false">IF(H6="","",H6*$B$3)</f>
        <v>0</v>
      </c>
      <c r="J6" s="7" t="s">
        <v>666</v>
      </c>
      <c r="K6" s="7" t="s">
        <v>667</v>
      </c>
      <c r="L6" s="7" t="s">
        <v>509</v>
      </c>
    </row>
    <row r="7" customFormat="false" ht="15" hidden="false" customHeight="false" outlineLevel="0" collapsed="false">
      <c r="A7" s="22" t="n">
        <v>46317</v>
      </c>
      <c r="B7" s="7" t="s">
        <v>668</v>
      </c>
      <c r="C7" s="7"/>
      <c r="D7" s="7" t="s">
        <v>664</v>
      </c>
      <c r="E7" s="7" t="s">
        <v>669</v>
      </c>
      <c r="F7" s="7" t="s">
        <v>505</v>
      </c>
      <c r="G7" s="45" t="n">
        <v>3.5</v>
      </c>
      <c r="H7" s="46" t="n">
        <f aca="false">IF(G7="","",IF(F7="Y",G7*2,G7))</f>
        <v>7</v>
      </c>
      <c r="I7" s="24" t="n">
        <f aca="false">IF(H7="","",H7*$B$3)</f>
        <v>0</v>
      </c>
      <c r="J7" s="7"/>
      <c r="K7" s="7" t="s">
        <v>509</v>
      </c>
      <c r="L7" s="7" t="s">
        <v>509</v>
      </c>
    </row>
    <row r="8" customFormat="false" ht="15" hidden="false" customHeight="false" outlineLevel="0" collapsed="false">
      <c r="A8" s="25"/>
      <c r="B8" s="16"/>
      <c r="C8" s="16"/>
      <c r="D8" s="16"/>
      <c r="E8" s="16"/>
      <c r="F8" s="16"/>
      <c r="G8" s="47"/>
      <c r="H8" s="48" t="str">
        <f aca="false">IF(G8="","",IF(F8="Y",G8*2,G8))</f>
        <v/>
      </c>
      <c r="I8" s="27" t="str">
        <f aca="false">IF(H8="","",H8*$B$3)</f>
        <v/>
      </c>
      <c r="J8" s="16"/>
      <c r="K8" s="16"/>
      <c r="L8" s="16"/>
    </row>
    <row r="9" customFormat="false" ht="15" hidden="false" customHeight="false" outlineLevel="0" collapsed="false">
      <c r="A9" s="25"/>
      <c r="B9" s="16"/>
      <c r="C9" s="16"/>
      <c r="D9" s="16"/>
      <c r="E9" s="16"/>
      <c r="F9" s="16"/>
      <c r="G9" s="47"/>
      <c r="H9" s="48" t="str">
        <f aca="false">IF(G9="","",IF(F9="Y",G9*2,G9))</f>
        <v/>
      </c>
      <c r="I9" s="27" t="str">
        <f aca="false">IF(H9="","",H9*$B$3)</f>
        <v/>
      </c>
      <c r="J9" s="16"/>
      <c r="K9" s="16"/>
      <c r="L9" s="16"/>
    </row>
    <row r="10" customFormat="false" ht="15" hidden="false" customHeight="false" outlineLevel="0" collapsed="false">
      <c r="A10" s="25"/>
      <c r="B10" s="16"/>
      <c r="C10" s="16"/>
      <c r="D10" s="16"/>
      <c r="E10" s="16"/>
      <c r="F10" s="16"/>
      <c r="G10" s="47"/>
      <c r="H10" s="48" t="str">
        <f aca="false">IF(G10="","",IF(F10="Y",G10*2,G10))</f>
        <v/>
      </c>
      <c r="I10" s="27" t="str">
        <f aca="false">IF(H10="","",H10*$B$3)</f>
        <v/>
      </c>
      <c r="J10" s="16"/>
      <c r="K10" s="16"/>
      <c r="L10" s="16"/>
    </row>
    <row r="11" customFormat="false" ht="15" hidden="false" customHeight="false" outlineLevel="0" collapsed="false">
      <c r="A11" s="25"/>
      <c r="B11" s="16"/>
      <c r="C11" s="16"/>
      <c r="D11" s="16"/>
      <c r="E11" s="16"/>
      <c r="F11" s="16"/>
      <c r="G11" s="47"/>
      <c r="H11" s="48" t="str">
        <f aca="false">IF(G11="","",IF(F11="Y",G11*2,G11))</f>
        <v/>
      </c>
      <c r="I11" s="27" t="str">
        <f aca="false">IF(H11="","",H11*$B$3)</f>
        <v/>
      </c>
      <c r="J11" s="16"/>
      <c r="K11" s="16"/>
      <c r="L11" s="16"/>
    </row>
    <row r="12" customFormat="false" ht="15" hidden="false" customHeight="false" outlineLevel="0" collapsed="false">
      <c r="A12" s="25"/>
      <c r="B12" s="16"/>
      <c r="C12" s="16"/>
      <c r="D12" s="16"/>
      <c r="E12" s="16"/>
      <c r="F12" s="16"/>
      <c r="G12" s="47"/>
      <c r="H12" s="48" t="str">
        <f aca="false">IF(G12="","",IF(F12="Y",G12*2,G12))</f>
        <v/>
      </c>
      <c r="I12" s="27" t="str">
        <f aca="false">IF(H12="","",H12*$B$3)</f>
        <v/>
      </c>
      <c r="J12" s="16"/>
      <c r="K12" s="16"/>
      <c r="L12" s="16"/>
    </row>
    <row r="13" customFormat="false" ht="15" hidden="false" customHeight="false" outlineLevel="0" collapsed="false">
      <c r="A13" s="25"/>
      <c r="B13" s="16"/>
      <c r="C13" s="16"/>
      <c r="D13" s="16"/>
      <c r="E13" s="16"/>
      <c r="F13" s="16"/>
      <c r="G13" s="47"/>
      <c r="H13" s="48" t="str">
        <f aca="false">IF(G13="","",IF(F13="Y",G13*2,G13))</f>
        <v/>
      </c>
      <c r="I13" s="27" t="str">
        <f aca="false">IF(H13="","",H13*$B$3)</f>
        <v/>
      </c>
      <c r="J13" s="16"/>
      <c r="K13" s="16"/>
      <c r="L13" s="16"/>
    </row>
    <row r="14" customFormat="false" ht="15" hidden="false" customHeight="false" outlineLevel="0" collapsed="false">
      <c r="A14" s="25"/>
      <c r="B14" s="16"/>
      <c r="C14" s="16"/>
      <c r="D14" s="16"/>
      <c r="E14" s="16"/>
      <c r="F14" s="16"/>
      <c r="G14" s="47"/>
      <c r="H14" s="48" t="str">
        <f aca="false">IF(G14="","",IF(F14="Y",G14*2,G14))</f>
        <v/>
      </c>
      <c r="I14" s="27" t="str">
        <f aca="false">IF(H14="","",H14*$B$3)</f>
        <v/>
      </c>
      <c r="J14" s="16"/>
      <c r="K14" s="16"/>
      <c r="L14" s="16"/>
    </row>
    <row r="15" customFormat="false" ht="15" hidden="false" customHeight="false" outlineLevel="0" collapsed="false">
      <c r="A15" s="25"/>
      <c r="B15" s="16"/>
      <c r="C15" s="16"/>
      <c r="D15" s="16"/>
      <c r="E15" s="16"/>
      <c r="F15" s="16"/>
      <c r="G15" s="47"/>
      <c r="H15" s="48" t="str">
        <f aca="false">IF(G15="","",IF(F15="Y",G15*2,G15))</f>
        <v/>
      </c>
      <c r="I15" s="27" t="str">
        <f aca="false">IF(H15="","",H15*$B$3)</f>
        <v/>
      </c>
      <c r="J15" s="16"/>
      <c r="K15" s="16"/>
      <c r="L15" s="16"/>
    </row>
    <row r="16" customFormat="false" ht="15" hidden="false" customHeight="false" outlineLevel="0" collapsed="false">
      <c r="A16" s="25"/>
      <c r="B16" s="16"/>
      <c r="C16" s="16"/>
      <c r="D16" s="16"/>
      <c r="E16" s="16"/>
      <c r="F16" s="16"/>
      <c r="G16" s="47"/>
      <c r="H16" s="48" t="str">
        <f aca="false">IF(G16="","",IF(F16="Y",G16*2,G16))</f>
        <v/>
      </c>
      <c r="I16" s="27" t="str">
        <f aca="false">IF(H16="","",H16*$B$3)</f>
        <v/>
      </c>
      <c r="J16" s="16"/>
      <c r="K16" s="16"/>
      <c r="L16" s="16"/>
    </row>
    <row r="17" customFormat="false" ht="15" hidden="false" customHeight="false" outlineLevel="0" collapsed="false">
      <c r="A17" s="25"/>
      <c r="B17" s="16"/>
      <c r="C17" s="16"/>
      <c r="D17" s="16"/>
      <c r="E17" s="16"/>
      <c r="F17" s="16"/>
      <c r="G17" s="47"/>
      <c r="H17" s="48" t="str">
        <f aca="false">IF(G17="","",IF(F17="Y",G17*2,G17))</f>
        <v/>
      </c>
      <c r="I17" s="27" t="str">
        <f aca="false">IF(H17="","",H17*$B$3)</f>
        <v/>
      </c>
      <c r="J17" s="16"/>
      <c r="K17" s="16"/>
      <c r="L17" s="16"/>
    </row>
    <row r="18" customFormat="false" ht="15" hidden="false" customHeight="false" outlineLevel="0" collapsed="false">
      <c r="A18" s="25"/>
      <c r="B18" s="16"/>
      <c r="C18" s="16"/>
      <c r="D18" s="16"/>
      <c r="E18" s="16"/>
      <c r="F18" s="16"/>
      <c r="G18" s="47"/>
      <c r="H18" s="48" t="str">
        <f aca="false">IF(G18="","",IF(F18="Y",G18*2,G18))</f>
        <v/>
      </c>
      <c r="I18" s="27" t="str">
        <f aca="false">IF(H18="","",H18*$B$3)</f>
        <v/>
      </c>
      <c r="J18" s="16"/>
      <c r="K18" s="16"/>
      <c r="L18" s="16"/>
    </row>
    <row r="19" customFormat="false" ht="15" hidden="false" customHeight="false" outlineLevel="0" collapsed="false">
      <c r="A19" s="25"/>
      <c r="B19" s="16"/>
      <c r="C19" s="16"/>
      <c r="D19" s="16"/>
      <c r="E19" s="16"/>
      <c r="F19" s="16"/>
      <c r="G19" s="47"/>
      <c r="H19" s="48" t="str">
        <f aca="false">IF(G19="","",IF(F19="Y",G19*2,G19))</f>
        <v/>
      </c>
      <c r="I19" s="27" t="str">
        <f aca="false">IF(H19="","",H19*$B$3)</f>
        <v/>
      </c>
      <c r="J19" s="16"/>
      <c r="K19" s="16"/>
      <c r="L19" s="16"/>
    </row>
    <row r="20" customFormat="false" ht="15" hidden="false" customHeight="false" outlineLevel="0" collapsed="false">
      <c r="A20" s="25"/>
      <c r="B20" s="16"/>
      <c r="C20" s="16"/>
      <c r="D20" s="16"/>
      <c r="E20" s="16"/>
      <c r="F20" s="16"/>
      <c r="G20" s="47"/>
      <c r="H20" s="48" t="str">
        <f aca="false">IF(G20="","",IF(F20="Y",G20*2,G20))</f>
        <v/>
      </c>
      <c r="I20" s="27" t="str">
        <f aca="false">IF(H20="","",H20*$B$3)</f>
        <v/>
      </c>
      <c r="J20" s="16"/>
      <c r="K20" s="16"/>
      <c r="L20" s="16"/>
    </row>
    <row r="21" customFormat="false" ht="15" hidden="false" customHeight="false" outlineLevel="0" collapsed="false">
      <c r="A21" s="25"/>
      <c r="B21" s="16"/>
      <c r="C21" s="16"/>
      <c r="D21" s="16"/>
      <c r="E21" s="16"/>
      <c r="F21" s="16"/>
      <c r="G21" s="47"/>
      <c r="H21" s="48" t="str">
        <f aca="false">IF(G21="","",IF(F21="Y",G21*2,G21))</f>
        <v/>
      </c>
      <c r="I21" s="27" t="str">
        <f aca="false">IF(H21="","",H21*$B$3)</f>
        <v/>
      </c>
      <c r="J21" s="16"/>
      <c r="K21" s="16"/>
      <c r="L21" s="16"/>
    </row>
    <row r="22" customFormat="false" ht="15" hidden="false" customHeight="false" outlineLevel="0" collapsed="false">
      <c r="A22" s="25"/>
      <c r="B22" s="16"/>
      <c r="C22" s="16"/>
      <c r="D22" s="16"/>
      <c r="E22" s="16"/>
      <c r="F22" s="16"/>
      <c r="G22" s="47"/>
      <c r="H22" s="48" t="str">
        <f aca="false">IF(G22="","",IF(F22="Y",G22*2,G22))</f>
        <v/>
      </c>
      <c r="I22" s="27" t="str">
        <f aca="false">IF(H22="","",H22*$B$3)</f>
        <v/>
      </c>
      <c r="J22" s="16"/>
      <c r="K22" s="16"/>
      <c r="L22" s="16"/>
    </row>
    <row r="23" customFormat="false" ht="15" hidden="false" customHeight="false" outlineLevel="0" collapsed="false">
      <c r="A23" s="25"/>
      <c r="B23" s="16"/>
      <c r="C23" s="16"/>
      <c r="D23" s="16"/>
      <c r="E23" s="16"/>
      <c r="F23" s="16"/>
      <c r="G23" s="47"/>
      <c r="H23" s="48" t="str">
        <f aca="false">IF(G23="","",IF(F23="Y",G23*2,G23))</f>
        <v/>
      </c>
      <c r="I23" s="27" t="str">
        <f aca="false">IF(H23="","",H23*$B$3)</f>
        <v/>
      </c>
      <c r="J23" s="16"/>
      <c r="K23" s="16"/>
      <c r="L23" s="16"/>
    </row>
    <row r="24" customFormat="false" ht="15" hidden="false" customHeight="false" outlineLevel="0" collapsed="false">
      <c r="A24" s="25"/>
      <c r="B24" s="16"/>
      <c r="C24" s="16"/>
      <c r="D24" s="16"/>
      <c r="E24" s="16"/>
      <c r="F24" s="16"/>
      <c r="G24" s="47"/>
      <c r="H24" s="48" t="str">
        <f aca="false">IF(G24="","",IF(F24="Y",G24*2,G24))</f>
        <v/>
      </c>
      <c r="I24" s="27" t="str">
        <f aca="false">IF(H24="","",H24*$B$3)</f>
        <v/>
      </c>
      <c r="J24" s="16"/>
      <c r="K24" s="16"/>
      <c r="L24" s="16"/>
    </row>
    <row r="25" customFormat="false" ht="15" hidden="false" customHeight="false" outlineLevel="0" collapsed="false">
      <c r="A25" s="25"/>
      <c r="B25" s="16"/>
      <c r="C25" s="16"/>
      <c r="D25" s="16"/>
      <c r="E25" s="16"/>
      <c r="F25" s="16"/>
      <c r="G25" s="47"/>
      <c r="H25" s="48" t="str">
        <f aca="false">IF(G25="","",IF(F25="Y",G25*2,G25))</f>
        <v/>
      </c>
      <c r="I25" s="27" t="str">
        <f aca="false">IF(H25="","",H25*$B$3)</f>
        <v/>
      </c>
      <c r="J25" s="16"/>
      <c r="K25" s="16"/>
      <c r="L25" s="16"/>
    </row>
    <row r="26" customFormat="false" ht="15" hidden="false" customHeight="false" outlineLevel="0" collapsed="false">
      <c r="A26" s="25"/>
      <c r="B26" s="16"/>
      <c r="C26" s="16"/>
      <c r="D26" s="16"/>
      <c r="E26" s="16"/>
      <c r="F26" s="16"/>
      <c r="G26" s="47"/>
      <c r="H26" s="48" t="str">
        <f aca="false">IF(G26="","",IF(F26="Y",G26*2,G26))</f>
        <v/>
      </c>
      <c r="I26" s="27" t="str">
        <f aca="false">IF(H26="","",H26*$B$3)</f>
        <v/>
      </c>
      <c r="J26" s="16"/>
      <c r="K26" s="16"/>
      <c r="L26" s="16"/>
    </row>
    <row r="27" customFormat="false" ht="15" hidden="false" customHeight="false" outlineLevel="0" collapsed="false">
      <c r="A27" s="25"/>
      <c r="B27" s="16"/>
      <c r="C27" s="16"/>
      <c r="D27" s="16"/>
      <c r="E27" s="16"/>
      <c r="F27" s="16"/>
      <c r="G27" s="47"/>
      <c r="H27" s="48" t="str">
        <f aca="false">IF(G27="","",IF(F27="Y",G27*2,G27))</f>
        <v/>
      </c>
      <c r="I27" s="27" t="str">
        <f aca="false">IF(H27="","",H27*$B$3)</f>
        <v/>
      </c>
      <c r="J27" s="16"/>
      <c r="K27" s="16"/>
      <c r="L27" s="16"/>
    </row>
    <row r="28" customFormat="false" ht="15" hidden="false" customHeight="false" outlineLevel="0" collapsed="false">
      <c r="A28" s="25"/>
      <c r="B28" s="16"/>
      <c r="C28" s="16"/>
      <c r="D28" s="16"/>
      <c r="E28" s="16"/>
      <c r="F28" s="16"/>
      <c r="G28" s="47"/>
      <c r="H28" s="48" t="str">
        <f aca="false">IF(G28="","",IF(F28="Y",G28*2,G28))</f>
        <v/>
      </c>
      <c r="I28" s="27" t="str">
        <f aca="false">IF(H28="","",H28*$B$3)</f>
        <v/>
      </c>
      <c r="J28" s="16"/>
      <c r="K28" s="16"/>
      <c r="L28" s="16"/>
    </row>
    <row r="29" customFormat="false" ht="15" hidden="false" customHeight="false" outlineLevel="0" collapsed="false">
      <c r="A29" s="25"/>
      <c r="B29" s="16"/>
      <c r="C29" s="16"/>
      <c r="D29" s="16"/>
      <c r="E29" s="16"/>
      <c r="F29" s="16"/>
      <c r="G29" s="47"/>
      <c r="H29" s="48" t="str">
        <f aca="false">IF(G29="","",IF(F29="Y",G29*2,G29))</f>
        <v/>
      </c>
      <c r="I29" s="27" t="str">
        <f aca="false">IF(H29="","",H29*$B$3)</f>
        <v/>
      </c>
      <c r="J29" s="16"/>
      <c r="K29" s="16"/>
      <c r="L29" s="16"/>
    </row>
    <row r="30" customFormat="false" ht="15" hidden="false" customHeight="false" outlineLevel="0" collapsed="false">
      <c r="A30" s="25"/>
      <c r="B30" s="16"/>
      <c r="C30" s="16"/>
      <c r="D30" s="16"/>
      <c r="E30" s="16"/>
      <c r="F30" s="16"/>
      <c r="G30" s="47"/>
      <c r="H30" s="48" t="str">
        <f aca="false">IF(G30="","",IF(F30="Y",G30*2,G30))</f>
        <v/>
      </c>
      <c r="I30" s="27" t="str">
        <f aca="false">IF(H30="","",H30*$B$3)</f>
        <v/>
      </c>
      <c r="J30" s="16"/>
      <c r="K30" s="16"/>
      <c r="L30" s="16"/>
    </row>
    <row r="31" customFormat="false" ht="15" hidden="false" customHeight="false" outlineLevel="0" collapsed="false">
      <c r="A31" s="25"/>
      <c r="B31" s="16"/>
      <c r="C31" s="16"/>
      <c r="D31" s="16"/>
      <c r="E31" s="16"/>
      <c r="F31" s="16"/>
      <c r="G31" s="47"/>
      <c r="H31" s="48" t="str">
        <f aca="false">IF(G31="","",IF(F31="Y",G31*2,G31))</f>
        <v/>
      </c>
      <c r="I31" s="27" t="str">
        <f aca="false">IF(H31="","",H31*$B$3)</f>
        <v/>
      </c>
      <c r="J31" s="16"/>
      <c r="K31" s="16"/>
      <c r="L31" s="16"/>
    </row>
    <row r="32" customFormat="false" ht="15" hidden="false" customHeight="false" outlineLevel="0" collapsed="false">
      <c r="A32" s="25"/>
      <c r="B32" s="16"/>
      <c r="C32" s="16"/>
      <c r="D32" s="16"/>
      <c r="E32" s="16"/>
      <c r="F32" s="16"/>
      <c r="G32" s="47"/>
      <c r="H32" s="48" t="str">
        <f aca="false">IF(G32="","",IF(F32="Y",G32*2,G32))</f>
        <v/>
      </c>
      <c r="I32" s="27" t="str">
        <f aca="false">IF(H32="","",H32*$B$3)</f>
        <v/>
      </c>
      <c r="J32" s="16"/>
      <c r="K32" s="16"/>
      <c r="L32" s="16"/>
    </row>
    <row r="33" customFormat="false" ht="15" hidden="false" customHeight="false" outlineLevel="0" collapsed="false">
      <c r="A33" s="25"/>
      <c r="B33" s="16"/>
      <c r="C33" s="16"/>
      <c r="D33" s="16"/>
      <c r="E33" s="16"/>
      <c r="F33" s="16"/>
      <c r="G33" s="47"/>
      <c r="H33" s="48" t="str">
        <f aca="false">IF(G33="","",IF(F33="Y",G33*2,G33))</f>
        <v/>
      </c>
      <c r="I33" s="27" t="str">
        <f aca="false">IF(H33="","",H33*$B$3)</f>
        <v/>
      </c>
      <c r="J33" s="16"/>
      <c r="K33" s="16"/>
      <c r="L33" s="16"/>
    </row>
    <row r="34" customFormat="false" ht="15" hidden="false" customHeight="false" outlineLevel="0" collapsed="false">
      <c r="A34" s="25"/>
      <c r="B34" s="16"/>
      <c r="C34" s="16"/>
      <c r="D34" s="16"/>
      <c r="E34" s="16"/>
      <c r="F34" s="16"/>
      <c r="G34" s="47"/>
      <c r="H34" s="48" t="str">
        <f aca="false">IF(G34="","",IF(F34="Y",G34*2,G34))</f>
        <v/>
      </c>
      <c r="I34" s="27" t="str">
        <f aca="false">IF(H34="","",H34*$B$3)</f>
        <v/>
      </c>
      <c r="J34" s="16"/>
      <c r="K34" s="16"/>
      <c r="L34" s="16"/>
    </row>
    <row r="35" customFormat="false" ht="15" hidden="false" customHeight="false" outlineLevel="0" collapsed="false">
      <c r="A35" s="25"/>
      <c r="B35" s="16"/>
      <c r="C35" s="16"/>
      <c r="D35" s="16"/>
      <c r="E35" s="16"/>
      <c r="F35" s="16"/>
      <c r="G35" s="47"/>
      <c r="H35" s="48" t="str">
        <f aca="false">IF(G35="","",IF(F35="Y",G35*2,G35))</f>
        <v/>
      </c>
      <c r="I35" s="27" t="str">
        <f aca="false">IF(H35="","",H35*$B$3)</f>
        <v/>
      </c>
      <c r="J35" s="16"/>
      <c r="K35" s="16"/>
      <c r="L35" s="16"/>
    </row>
    <row r="36" customFormat="false" ht="15" hidden="false" customHeight="false" outlineLevel="0" collapsed="false">
      <c r="A36" s="25"/>
      <c r="B36" s="16"/>
      <c r="C36" s="16"/>
      <c r="D36" s="16"/>
      <c r="E36" s="16"/>
      <c r="F36" s="16"/>
      <c r="G36" s="47"/>
      <c r="H36" s="48" t="str">
        <f aca="false">IF(G36="","",IF(F36="Y",G36*2,G36))</f>
        <v/>
      </c>
      <c r="I36" s="27" t="str">
        <f aca="false">IF(H36="","",H36*$B$3)</f>
        <v/>
      </c>
      <c r="J36" s="16"/>
      <c r="K36" s="16"/>
      <c r="L36" s="16"/>
    </row>
    <row r="37" customFormat="false" ht="15" hidden="false" customHeight="false" outlineLevel="0" collapsed="false">
      <c r="A37" s="25"/>
      <c r="B37" s="16"/>
      <c r="C37" s="16"/>
      <c r="D37" s="16"/>
      <c r="E37" s="16"/>
      <c r="F37" s="16"/>
      <c r="G37" s="47"/>
      <c r="H37" s="48" t="str">
        <f aca="false">IF(G37="","",IF(F37="Y",G37*2,G37))</f>
        <v/>
      </c>
      <c r="I37" s="27" t="str">
        <f aca="false">IF(H37="","",H37*$B$3)</f>
        <v/>
      </c>
      <c r="J37" s="16"/>
      <c r="K37" s="16"/>
      <c r="L37" s="16"/>
    </row>
    <row r="38" customFormat="false" ht="15" hidden="false" customHeight="false" outlineLevel="0" collapsed="false">
      <c r="A38" s="25"/>
      <c r="B38" s="16"/>
      <c r="C38" s="16"/>
      <c r="D38" s="16"/>
      <c r="E38" s="16"/>
      <c r="F38" s="16"/>
      <c r="G38" s="47"/>
      <c r="H38" s="48" t="str">
        <f aca="false">IF(G38="","",IF(F38="Y",G38*2,G38))</f>
        <v/>
      </c>
      <c r="I38" s="27" t="str">
        <f aca="false">IF(H38="","",H38*$B$3)</f>
        <v/>
      </c>
      <c r="J38" s="16"/>
      <c r="K38" s="16"/>
      <c r="L38" s="16"/>
    </row>
    <row r="39" customFormat="false" ht="15" hidden="false" customHeight="false" outlineLevel="0" collapsed="false">
      <c r="A39" s="25"/>
      <c r="B39" s="16"/>
      <c r="C39" s="16"/>
      <c r="D39" s="16"/>
      <c r="E39" s="16"/>
      <c r="F39" s="16"/>
      <c r="G39" s="47"/>
      <c r="H39" s="48" t="str">
        <f aca="false">IF(G39="","",IF(F39="Y",G39*2,G39))</f>
        <v/>
      </c>
      <c r="I39" s="27" t="str">
        <f aca="false">IF(H39="","",H39*$B$3)</f>
        <v/>
      </c>
      <c r="J39" s="16"/>
      <c r="K39" s="16"/>
      <c r="L39" s="16"/>
    </row>
    <row r="40" customFormat="false" ht="15" hidden="false" customHeight="false" outlineLevel="0" collapsed="false">
      <c r="A40" s="25"/>
      <c r="B40" s="16"/>
      <c r="C40" s="16"/>
      <c r="D40" s="16"/>
      <c r="E40" s="16"/>
      <c r="F40" s="16"/>
      <c r="G40" s="47"/>
      <c r="H40" s="48" t="str">
        <f aca="false">IF(G40="","",IF(F40="Y",G40*2,G40))</f>
        <v/>
      </c>
      <c r="I40" s="27" t="str">
        <f aca="false">IF(H40="","",H40*$B$3)</f>
        <v/>
      </c>
      <c r="J40" s="16"/>
      <c r="K40" s="16"/>
      <c r="L40" s="16"/>
    </row>
    <row r="41" customFormat="false" ht="15" hidden="false" customHeight="false" outlineLevel="0" collapsed="false">
      <c r="A41" s="25"/>
      <c r="B41" s="16"/>
      <c r="C41" s="16"/>
      <c r="D41" s="16"/>
      <c r="E41" s="16"/>
      <c r="F41" s="16"/>
      <c r="G41" s="47"/>
      <c r="H41" s="48" t="str">
        <f aca="false">IF(G41="","",IF(F41="Y",G41*2,G41))</f>
        <v/>
      </c>
      <c r="I41" s="27" t="str">
        <f aca="false">IF(H41="","",H41*$B$3)</f>
        <v/>
      </c>
      <c r="J41" s="16"/>
      <c r="K41" s="16"/>
      <c r="L41" s="16"/>
    </row>
    <row r="42" customFormat="false" ht="15" hidden="false" customHeight="false" outlineLevel="0" collapsed="false">
      <c r="A42" s="25"/>
      <c r="B42" s="16"/>
      <c r="C42" s="16"/>
      <c r="D42" s="16"/>
      <c r="E42" s="16"/>
      <c r="F42" s="16"/>
      <c r="G42" s="47"/>
      <c r="H42" s="48" t="str">
        <f aca="false">IF(G42="","",IF(F42="Y",G42*2,G42))</f>
        <v/>
      </c>
      <c r="I42" s="27" t="str">
        <f aca="false">IF(H42="","",H42*$B$3)</f>
        <v/>
      </c>
      <c r="J42" s="16"/>
      <c r="K42" s="16"/>
      <c r="L42" s="16"/>
    </row>
    <row r="43" customFormat="false" ht="15" hidden="false" customHeight="false" outlineLevel="0" collapsed="false">
      <c r="A43" s="25"/>
      <c r="B43" s="16"/>
      <c r="C43" s="16"/>
      <c r="D43" s="16"/>
      <c r="E43" s="16"/>
      <c r="F43" s="16"/>
      <c r="G43" s="47"/>
      <c r="H43" s="48" t="str">
        <f aca="false">IF(G43="","",IF(F43="Y",G43*2,G43))</f>
        <v/>
      </c>
      <c r="I43" s="27" t="str">
        <f aca="false">IF(H43="","",H43*$B$3)</f>
        <v/>
      </c>
      <c r="J43" s="16"/>
      <c r="K43" s="16"/>
      <c r="L43" s="16"/>
    </row>
    <row r="44" customFormat="false" ht="15" hidden="false" customHeight="false" outlineLevel="0" collapsed="false">
      <c r="A44" s="25"/>
      <c r="B44" s="16"/>
      <c r="C44" s="16"/>
      <c r="D44" s="16"/>
      <c r="E44" s="16"/>
      <c r="F44" s="16"/>
      <c r="G44" s="47"/>
      <c r="H44" s="48" t="str">
        <f aca="false">IF(G44="","",IF(F44="Y",G44*2,G44))</f>
        <v/>
      </c>
      <c r="I44" s="27" t="str">
        <f aca="false">IF(H44="","",H44*$B$3)</f>
        <v/>
      </c>
      <c r="J44" s="16"/>
      <c r="K44" s="16"/>
      <c r="L44" s="16"/>
    </row>
    <row r="45" customFormat="false" ht="15" hidden="false" customHeight="false" outlineLevel="0" collapsed="false">
      <c r="A45" s="25"/>
      <c r="B45" s="16"/>
      <c r="C45" s="16"/>
      <c r="D45" s="16"/>
      <c r="E45" s="16"/>
      <c r="F45" s="16"/>
      <c r="G45" s="47"/>
      <c r="H45" s="48" t="str">
        <f aca="false">IF(G45="","",IF(F45="Y",G45*2,G45))</f>
        <v/>
      </c>
      <c r="I45" s="27" t="str">
        <f aca="false">IF(H45="","",H45*$B$3)</f>
        <v/>
      </c>
      <c r="J45" s="16"/>
      <c r="K45" s="16"/>
      <c r="L45" s="16"/>
    </row>
    <row r="46" customFormat="false" ht="15" hidden="false" customHeight="false" outlineLevel="0" collapsed="false">
      <c r="A46" s="25"/>
      <c r="B46" s="16"/>
      <c r="C46" s="16"/>
      <c r="D46" s="16"/>
      <c r="E46" s="16"/>
      <c r="F46" s="16"/>
      <c r="G46" s="47"/>
      <c r="H46" s="48" t="str">
        <f aca="false">IF(G46="","",IF(F46="Y",G46*2,G46))</f>
        <v/>
      </c>
      <c r="I46" s="27" t="str">
        <f aca="false">IF(H46="","",H46*$B$3)</f>
        <v/>
      </c>
      <c r="J46" s="16"/>
      <c r="K46" s="16"/>
      <c r="L46" s="16"/>
    </row>
    <row r="47" customFormat="false" ht="15" hidden="false" customHeight="false" outlineLevel="0" collapsed="false">
      <c r="A47" s="25"/>
      <c r="B47" s="16"/>
      <c r="C47" s="16"/>
      <c r="D47" s="16"/>
      <c r="E47" s="16"/>
      <c r="F47" s="16"/>
      <c r="G47" s="47"/>
      <c r="H47" s="48" t="str">
        <f aca="false">IF(G47="","",IF(F47="Y",G47*2,G47))</f>
        <v/>
      </c>
      <c r="I47" s="27" t="str">
        <f aca="false">IF(H47="","",H47*$B$3)</f>
        <v/>
      </c>
      <c r="J47" s="16"/>
      <c r="K47" s="16"/>
      <c r="L47" s="16"/>
    </row>
    <row r="48" customFormat="false" ht="15" hidden="false" customHeight="false" outlineLevel="0" collapsed="false">
      <c r="A48" s="25"/>
      <c r="B48" s="16"/>
      <c r="C48" s="16"/>
      <c r="D48" s="16"/>
      <c r="E48" s="16"/>
      <c r="F48" s="16"/>
      <c r="G48" s="47"/>
      <c r="H48" s="48" t="str">
        <f aca="false">IF(G48="","",IF(F48="Y",G48*2,G48))</f>
        <v/>
      </c>
      <c r="I48" s="27" t="str">
        <f aca="false">IF(H48="","",H48*$B$3)</f>
        <v/>
      </c>
      <c r="J48" s="16"/>
      <c r="K48" s="16"/>
      <c r="L48" s="16"/>
    </row>
    <row r="49" customFormat="false" ht="15" hidden="false" customHeight="false" outlineLevel="0" collapsed="false">
      <c r="A49" s="25"/>
      <c r="B49" s="16"/>
      <c r="C49" s="16"/>
      <c r="D49" s="16"/>
      <c r="E49" s="16"/>
      <c r="F49" s="16"/>
      <c r="G49" s="47"/>
      <c r="H49" s="48" t="str">
        <f aca="false">IF(G49="","",IF(F49="Y",G49*2,G49))</f>
        <v/>
      </c>
      <c r="I49" s="27" t="str">
        <f aca="false">IF(H49="","",H49*$B$3)</f>
        <v/>
      </c>
      <c r="J49" s="16"/>
      <c r="K49" s="16"/>
      <c r="L49" s="16"/>
    </row>
    <row r="50" customFormat="false" ht="15" hidden="false" customHeight="false" outlineLevel="0" collapsed="false">
      <c r="A50" s="25"/>
      <c r="B50" s="16"/>
      <c r="C50" s="16"/>
      <c r="D50" s="16"/>
      <c r="E50" s="16"/>
      <c r="F50" s="16"/>
      <c r="G50" s="47"/>
      <c r="H50" s="48" t="str">
        <f aca="false">IF(G50="","",IF(F50="Y",G50*2,G50))</f>
        <v/>
      </c>
      <c r="I50" s="27" t="str">
        <f aca="false">IF(H50="","",H50*$B$3)</f>
        <v/>
      </c>
      <c r="J50" s="16"/>
      <c r="K50" s="16"/>
      <c r="L50" s="16"/>
    </row>
    <row r="51" customFormat="false" ht="15" hidden="false" customHeight="false" outlineLevel="0" collapsed="false">
      <c r="A51" s="25"/>
      <c r="B51" s="16"/>
      <c r="C51" s="16"/>
      <c r="D51" s="16"/>
      <c r="E51" s="16"/>
      <c r="F51" s="16"/>
      <c r="G51" s="47"/>
      <c r="H51" s="48" t="str">
        <f aca="false">IF(G51="","",IF(F51="Y",G51*2,G51))</f>
        <v/>
      </c>
      <c r="I51" s="27" t="str">
        <f aca="false">IF(H51="","",H51*$B$3)</f>
        <v/>
      </c>
      <c r="J51" s="16"/>
      <c r="K51" s="16"/>
      <c r="L51" s="16"/>
    </row>
    <row r="52" customFormat="false" ht="15" hidden="false" customHeight="false" outlineLevel="0" collapsed="false">
      <c r="A52" s="25"/>
      <c r="B52" s="16"/>
      <c r="C52" s="16"/>
      <c r="D52" s="16"/>
      <c r="E52" s="16"/>
      <c r="F52" s="16"/>
      <c r="G52" s="47"/>
      <c r="H52" s="48" t="str">
        <f aca="false">IF(G52="","",IF(F52="Y",G52*2,G52))</f>
        <v/>
      </c>
      <c r="I52" s="27" t="str">
        <f aca="false">IF(H52="","",H52*$B$3)</f>
        <v/>
      </c>
      <c r="J52" s="16"/>
      <c r="K52" s="16"/>
      <c r="L52" s="16"/>
    </row>
    <row r="53" customFormat="false" ht="15" hidden="false" customHeight="false" outlineLevel="0" collapsed="false">
      <c r="A53" s="25"/>
      <c r="B53" s="16"/>
      <c r="C53" s="16"/>
      <c r="D53" s="16"/>
      <c r="E53" s="16"/>
      <c r="F53" s="16"/>
      <c r="G53" s="47"/>
      <c r="H53" s="48" t="str">
        <f aca="false">IF(G53="","",IF(F53="Y",G53*2,G53))</f>
        <v/>
      </c>
      <c r="I53" s="27" t="str">
        <f aca="false">IF(H53="","",H53*$B$3)</f>
        <v/>
      </c>
      <c r="J53" s="16"/>
      <c r="K53" s="16"/>
      <c r="L53" s="16"/>
    </row>
    <row r="54" customFormat="false" ht="15" hidden="false" customHeight="false" outlineLevel="0" collapsed="false">
      <c r="A54" s="25"/>
      <c r="B54" s="16"/>
      <c r="C54" s="16"/>
      <c r="D54" s="16"/>
      <c r="E54" s="16"/>
      <c r="F54" s="16"/>
      <c r="G54" s="47"/>
      <c r="H54" s="48" t="str">
        <f aca="false">IF(G54="","",IF(F54="Y",G54*2,G54))</f>
        <v/>
      </c>
      <c r="I54" s="27" t="str">
        <f aca="false">IF(H54="","",H54*$B$3)</f>
        <v/>
      </c>
      <c r="J54" s="16"/>
      <c r="K54" s="16"/>
      <c r="L54" s="16"/>
    </row>
    <row r="55" customFormat="false" ht="15" hidden="false" customHeight="false" outlineLevel="0" collapsed="false">
      <c r="A55" s="25"/>
      <c r="B55" s="16"/>
      <c r="C55" s="16"/>
      <c r="D55" s="16"/>
      <c r="E55" s="16"/>
      <c r="F55" s="16"/>
      <c r="G55" s="47"/>
      <c r="H55" s="48" t="str">
        <f aca="false">IF(G55="","",IF(F55="Y",G55*2,G55))</f>
        <v/>
      </c>
      <c r="I55" s="27" t="str">
        <f aca="false">IF(H55="","",H55*$B$3)</f>
        <v/>
      </c>
      <c r="J55" s="16"/>
      <c r="K55" s="16"/>
      <c r="L55" s="16"/>
    </row>
    <row r="56" customFormat="false" ht="15" hidden="false" customHeight="false" outlineLevel="0" collapsed="false">
      <c r="A56" s="25"/>
      <c r="B56" s="16"/>
      <c r="C56" s="16"/>
      <c r="D56" s="16"/>
      <c r="E56" s="16"/>
      <c r="F56" s="16"/>
      <c r="G56" s="47"/>
      <c r="H56" s="48" t="str">
        <f aca="false">IF(G56="","",IF(F56="Y",G56*2,G56))</f>
        <v/>
      </c>
      <c r="I56" s="27" t="str">
        <f aca="false">IF(H56="","",H56*$B$3)</f>
        <v/>
      </c>
      <c r="J56" s="16"/>
      <c r="K56" s="16"/>
      <c r="L56" s="16"/>
    </row>
    <row r="57" customFormat="false" ht="15" hidden="false" customHeight="false" outlineLevel="0" collapsed="false">
      <c r="A57" s="25"/>
      <c r="B57" s="16"/>
      <c r="C57" s="16"/>
      <c r="D57" s="16"/>
      <c r="E57" s="16"/>
      <c r="F57" s="16"/>
      <c r="G57" s="47"/>
      <c r="H57" s="48" t="str">
        <f aca="false">IF(G57="","",IF(F57="Y",G57*2,G57))</f>
        <v/>
      </c>
      <c r="I57" s="27" t="str">
        <f aca="false">IF(H57="","",H57*$B$3)</f>
        <v/>
      </c>
      <c r="J57" s="16"/>
      <c r="K57" s="16"/>
      <c r="L57" s="16"/>
    </row>
    <row r="58" customFormat="false" ht="15" hidden="false" customHeight="false" outlineLevel="0" collapsed="false">
      <c r="A58" s="25"/>
      <c r="B58" s="16"/>
      <c r="C58" s="16"/>
      <c r="D58" s="16"/>
      <c r="E58" s="16"/>
      <c r="F58" s="16"/>
      <c r="G58" s="47"/>
      <c r="H58" s="48" t="str">
        <f aca="false">IF(G58="","",IF(F58="Y",G58*2,G58))</f>
        <v/>
      </c>
      <c r="I58" s="27" t="str">
        <f aca="false">IF(H58="","",H58*$B$3)</f>
        <v/>
      </c>
      <c r="J58" s="16"/>
      <c r="K58" s="16"/>
      <c r="L58" s="16"/>
    </row>
    <row r="59" customFormat="false" ht="15" hidden="false" customHeight="false" outlineLevel="0" collapsed="false">
      <c r="A59" s="25"/>
      <c r="B59" s="16"/>
      <c r="C59" s="16"/>
      <c r="D59" s="16"/>
      <c r="E59" s="16"/>
      <c r="F59" s="16"/>
      <c r="G59" s="47"/>
      <c r="H59" s="48" t="str">
        <f aca="false">IF(G59="","",IF(F59="Y",G59*2,G59))</f>
        <v/>
      </c>
      <c r="I59" s="27" t="str">
        <f aca="false">IF(H59="","",H59*$B$3)</f>
        <v/>
      </c>
      <c r="J59" s="16"/>
      <c r="K59" s="16"/>
      <c r="L59" s="16"/>
    </row>
    <row r="60" customFormat="false" ht="15" hidden="false" customHeight="false" outlineLevel="0" collapsed="false">
      <c r="A60" s="25"/>
      <c r="B60" s="16"/>
      <c r="C60" s="16"/>
      <c r="D60" s="16"/>
      <c r="E60" s="16"/>
      <c r="F60" s="16"/>
      <c r="G60" s="47"/>
      <c r="H60" s="48" t="str">
        <f aca="false">IF(G60="","",IF(F60="Y",G60*2,G60))</f>
        <v/>
      </c>
      <c r="I60" s="27" t="str">
        <f aca="false">IF(H60="","",H60*$B$3)</f>
        <v/>
      </c>
      <c r="J60" s="16"/>
      <c r="K60" s="16"/>
      <c r="L60" s="16"/>
    </row>
    <row r="61" customFormat="false" ht="15" hidden="false" customHeight="false" outlineLevel="0" collapsed="false">
      <c r="A61" s="25"/>
      <c r="B61" s="16"/>
      <c r="C61" s="16"/>
      <c r="D61" s="16"/>
      <c r="E61" s="16"/>
      <c r="F61" s="16"/>
      <c r="G61" s="47"/>
      <c r="H61" s="48" t="str">
        <f aca="false">IF(G61="","",IF(F61="Y",G61*2,G61))</f>
        <v/>
      </c>
      <c r="I61" s="27" t="str">
        <f aca="false">IF(H61="","",H61*$B$3)</f>
        <v/>
      </c>
      <c r="J61" s="16"/>
      <c r="K61" s="16"/>
      <c r="L61" s="16"/>
    </row>
    <row r="62" customFormat="false" ht="15" hidden="false" customHeight="false" outlineLevel="0" collapsed="false">
      <c r="A62" s="25"/>
      <c r="B62" s="16"/>
      <c r="C62" s="16"/>
      <c r="D62" s="16"/>
      <c r="E62" s="16"/>
      <c r="F62" s="16"/>
      <c r="G62" s="47"/>
      <c r="H62" s="48" t="str">
        <f aca="false">IF(G62="","",IF(F62="Y",G62*2,G62))</f>
        <v/>
      </c>
      <c r="I62" s="27" t="str">
        <f aca="false">IF(H62="","",H62*$B$3)</f>
        <v/>
      </c>
      <c r="J62" s="16"/>
      <c r="K62" s="16"/>
      <c r="L62" s="16"/>
    </row>
    <row r="63" customFormat="false" ht="15" hidden="false" customHeight="false" outlineLevel="0" collapsed="false">
      <c r="A63" s="25"/>
      <c r="B63" s="16"/>
      <c r="C63" s="16"/>
      <c r="D63" s="16"/>
      <c r="E63" s="16"/>
      <c r="F63" s="16"/>
      <c r="G63" s="47"/>
      <c r="H63" s="48" t="str">
        <f aca="false">IF(G63="","",IF(F63="Y",G63*2,G63))</f>
        <v/>
      </c>
      <c r="I63" s="27" t="str">
        <f aca="false">IF(H63="","",H63*$B$3)</f>
        <v/>
      </c>
      <c r="J63" s="16"/>
      <c r="K63" s="16"/>
      <c r="L63" s="16"/>
    </row>
    <row r="64" customFormat="false" ht="15" hidden="false" customHeight="false" outlineLevel="0" collapsed="false">
      <c r="A64" s="25"/>
      <c r="B64" s="16"/>
      <c r="C64" s="16"/>
      <c r="D64" s="16"/>
      <c r="E64" s="16"/>
      <c r="F64" s="16"/>
      <c r="G64" s="47"/>
      <c r="H64" s="48" t="str">
        <f aca="false">IF(G64="","",IF(F64="Y",G64*2,G64))</f>
        <v/>
      </c>
      <c r="I64" s="27" t="str">
        <f aca="false">IF(H64="","",H64*$B$3)</f>
        <v/>
      </c>
      <c r="J64" s="16"/>
      <c r="K64" s="16"/>
      <c r="L64" s="16"/>
    </row>
    <row r="65" customFormat="false" ht="15" hidden="false" customHeight="false" outlineLevel="0" collapsed="false">
      <c r="A65" s="25"/>
      <c r="B65" s="16"/>
      <c r="C65" s="16"/>
      <c r="D65" s="16"/>
      <c r="E65" s="16"/>
      <c r="F65" s="16"/>
      <c r="G65" s="47"/>
      <c r="H65" s="48" t="str">
        <f aca="false">IF(G65="","",IF(F65="Y",G65*2,G65))</f>
        <v/>
      </c>
      <c r="I65" s="27" t="str">
        <f aca="false">IF(H65="","",H65*$B$3)</f>
        <v/>
      </c>
      <c r="J65" s="16"/>
      <c r="K65" s="16"/>
      <c r="L65" s="16"/>
    </row>
    <row r="66" customFormat="false" ht="15" hidden="false" customHeight="false" outlineLevel="0" collapsed="false">
      <c r="A66" s="25"/>
      <c r="B66" s="16"/>
      <c r="C66" s="16"/>
      <c r="D66" s="16"/>
      <c r="E66" s="16"/>
      <c r="F66" s="16"/>
      <c r="G66" s="47"/>
      <c r="H66" s="48" t="str">
        <f aca="false">IF(G66="","",IF(F66="Y",G66*2,G66))</f>
        <v/>
      </c>
      <c r="I66" s="27" t="str">
        <f aca="false">IF(H66="","",H66*$B$3)</f>
        <v/>
      </c>
      <c r="J66" s="16"/>
      <c r="K66" s="16"/>
      <c r="L66" s="16"/>
    </row>
    <row r="67" customFormat="false" ht="15" hidden="false" customHeight="false" outlineLevel="0" collapsed="false">
      <c r="A67" s="25"/>
      <c r="B67" s="16"/>
      <c r="C67" s="16"/>
      <c r="D67" s="16"/>
      <c r="E67" s="16"/>
      <c r="F67" s="16"/>
      <c r="G67" s="47"/>
      <c r="H67" s="48" t="str">
        <f aca="false">IF(G67="","",IF(F67="Y",G67*2,G67))</f>
        <v/>
      </c>
      <c r="I67" s="27" t="str">
        <f aca="false">IF(H67="","",H67*$B$3)</f>
        <v/>
      </c>
      <c r="J67" s="16"/>
      <c r="K67" s="16"/>
      <c r="L67" s="16"/>
    </row>
    <row r="68" customFormat="false" ht="15" hidden="false" customHeight="false" outlineLevel="0" collapsed="false">
      <c r="A68" s="25"/>
      <c r="B68" s="16"/>
      <c r="C68" s="16"/>
      <c r="D68" s="16"/>
      <c r="E68" s="16"/>
      <c r="F68" s="16"/>
      <c r="G68" s="47"/>
      <c r="H68" s="48" t="str">
        <f aca="false">IF(G68="","",IF(F68="Y",G68*2,G68))</f>
        <v/>
      </c>
      <c r="I68" s="27" t="str">
        <f aca="false">IF(H68="","",H68*$B$3)</f>
        <v/>
      </c>
      <c r="J68" s="16"/>
      <c r="K68" s="16"/>
      <c r="L68" s="16"/>
    </row>
    <row r="69" customFormat="false" ht="15" hidden="false" customHeight="false" outlineLevel="0" collapsed="false">
      <c r="A69" s="25"/>
      <c r="B69" s="16"/>
      <c r="C69" s="16"/>
      <c r="D69" s="16"/>
      <c r="E69" s="16"/>
      <c r="F69" s="16"/>
      <c r="G69" s="47"/>
      <c r="H69" s="48" t="str">
        <f aca="false">IF(G69="","",IF(F69="Y",G69*2,G69))</f>
        <v/>
      </c>
      <c r="I69" s="27" t="str">
        <f aca="false">IF(H69="","",H69*$B$3)</f>
        <v/>
      </c>
      <c r="J69" s="16"/>
      <c r="K69" s="16"/>
      <c r="L69" s="16"/>
    </row>
    <row r="70" customFormat="false" ht="15" hidden="false" customHeight="false" outlineLevel="0" collapsed="false">
      <c r="A70" s="25"/>
      <c r="B70" s="16"/>
      <c r="C70" s="16"/>
      <c r="D70" s="16"/>
      <c r="E70" s="16"/>
      <c r="F70" s="16"/>
      <c r="G70" s="47"/>
      <c r="H70" s="48" t="str">
        <f aca="false">IF(G70="","",IF(F70="Y",G70*2,G70))</f>
        <v/>
      </c>
      <c r="I70" s="27" t="str">
        <f aca="false">IF(H70="","",H70*$B$3)</f>
        <v/>
      </c>
      <c r="J70" s="16"/>
      <c r="K70" s="16"/>
      <c r="L70" s="16"/>
    </row>
    <row r="71" customFormat="false" ht="15" hidden="false" customHeight="false" outlineLevel="0" collapsed="false">
      <c r="A71" s="25"/>
      <c r="B71" s="16"/>
      <c r="C71" s="16"/>
      <c r="D71" s="16"/>
      <c r="E71" s="16"/>
      <c r="F71" s="16"/>
      <c r="G71" s="47"/>
      <c r="H71" s="48" t="str">
        <f aca="false">IF(G71="","",IF(F71="Y",G71*2,G71))</f>
        <v/>
      </c>
      <c r="I71" s="27" t="str">
        <f aca="false">IF(H71="","",H71*$B$3)</f>
        <v/>
      </c>
      <c r="J71" s="16"/>
      <c r="K71" s="16"/>
      <c r="L71" s="16"/>
    </row>
    <row r="72" customFormat="false" ht="15" hidden="false" customHeight="false" outlineLevel="0" collapsed="false">
      <c r="A72" s="25"/>
      <c r="B72" s="16"/>
      <c r="C72" s="16"/>
      <c r="D72" s="16"/>
      <c r="E72" s="16"/>
      <c r="F72" s="16"/>
      <c r="G72" s="47"/>
      <c r="H72" s="48" t="str">
        <f aca="false">IF(G72="","",IF(F72="Y",G72*2,G72))</f>
        <v/>
      </c>
      <c r="I72" s="27" t="str">
        <f aca="false">IF(H72="","",H72*$B$3)</f>
        <v/>
      </c>
      <c r="J72" s="16"/>
      <c r="K72" s="16"/>
      <c r="L72" s="16"/>
    </row>
    <row r="73" customFormat="false" ht="15" hidden="false" customHeight="false" outlineLevel="0" collapsed="false">
      <c r="A73" s="25"/>
      <c r="B73" s="16"/>
      <c r="C73" s="16"/>
      <c r="D73" s="16"/>
      <c r="E73" s="16"/>
      <c r="F73" s="16"/>
      <c r="G73" s="47"/>
      <c r="H73" s="48" t="str">
        <f aca="false">IF(G73="","",IF(F73="Y",G73*2,G73))</f>
        <v/>
      </c>
      <c r="I73" s="27" t="str">
        <f aca="false">IF(H73="","",H73*$B$3)</f>
        <v/>
      </c>
      <c r="J73" s="16"/>
      <c r="K73" s="16"/>
      <c r="L73" s="16"/>
    </row>
    <row r="74" customFormat="false" ht="15" hidden="false" customHeight="false" outlineLevel="0" collapsed="false">
      <c r="A74" s="25"/>
      <c r="B74" s="16"/>
      <c r="C74" s="16"/>
      <c r="D74" s="16"/>
      <c r="E74" s="16"/>
      <c r="F74" s="16"/>
      <c r="G74" s="47"/>
      <c r="H74" s="48" t="str">
        <f aca="false">IF(G74="","",IF(F74="Y",G74*2,G74))</f>
        <v/>
      </c>
      <c r="I74" s="27" t="str">
        <f aca="false">IF(H74="","",H74*$B$3)</f>
        <v/>
      </c>
      <c r="J74" s="16"/>
      <c r="K74" s="16"/>
      <c r="L74" s="16"/>
    </row>
    <row r="75" customFormat="false" ht="15" hidden="false" customHeight="false" outlineLevel="0" collapsed="false">
      <c r="A75" s="25"/>
      <c r="B75" s="16"/>
      <c r="C75" s="16"/>
      <c r="D75" s="16"/>
      <c r="E75" s="16"/>
      <c r="F75" s="16"/>
      <c r="G75" s="47"/>
      <c r="H75" s="48" t="str">
        <f aca="false">IF(G75="","",IF(F75="Y",G75*2,G75))</f>
        <v/>
      </c>
      <c r="I75" s="27" t="str">
        <f aca="false">IF(H75="","",H75*$B$3)</f>
        <v/>
      </c>
      <c r="J75" s="16"/>
      <c r="K75" s="16"/>
      <c r="L75" s="16"/>
    </row>
    <row r="76" customFormat="false" ht="15" hidden="false" customHeight="false" outlineLevel="0" collapsed="false">
      <c r="A76" s="25"/>
      <c r="B76" s="16"/>
      <c r="C76" s="16"/>
      <c r="D76" s="16"/>
      <c r="E76" s="16"/>
      <c r="F76" s="16"/>
      <c r="G76" s="47"/>
      <c r="H76" s="48" t="str">
        <f aca="false">IF(G76="","",IF(F76="Y",G76*2,G76))</f>
        <v/>
      </c>
      <c r="I76" s="27" t="str">
        <f aca="false">IF(H76="","",H76*$B$3)</f>
        <v/>
      </c>
      <c r="J76" s="16"/>
      <c r="K76" s="16"/>
      <c r="L76" s="16"/>
    </row>
    <row r="77" customFormat="false" ht="15" hidden="false" customHeight="false" outlineLevel="0" collapsed="false">
      <c r="A77" s="25"/>
      <c r="B77" s="16"/>
      <c r="C77" s="16"/>
      <c r="D77" s="16"/>
      <c r="E77" s="16"/>
      <c r="F77" s="16"/>
      <c r="G77" s="47"/>
      <c r="H77" s="48" t="str">
        <f aca="false">IF(G77="","",IF(F77="Y",G77*2,G77))</f>
        <v/>
      </c>
      <c r="I77" s="27" t="str">
        <f aca="false">IF(H77="","",H77*$B$3)</f>
        <v/>
      </c>
      <c r="J77" s="16"/>
      <c r="K77" s="16"/>
      <c r="L77" s="16"/>
    </row>
    <row r="78" customFormat="false" ht="15" hidden="false" customHeight="false" outlineLevel="0" collapsed="false">
      <c r="A78" s="25"/>
      <c r="B78" s="16"/>
      <c r="C78" s="16"/>
      <c r="D78" s="16"/>
      <c r="E78" s="16"/>
      <c r="F78" s="16"/>
      <c r="G78" s="47"/>
      <c r="H78" s="48" t="str">
        <f aca="false">IF(G78="","",IF(F78="Y",G78*2,G78))</f>
        <v/>
      </c>
      <c r="I78" s="27" t="str">
        <f aca="false">IF(H78="","",H78*$B$3)</f>
        <v/>
      </c>
      <c r="J78" s="16"/>
      <c r="K78" s="16"/>
      <c r="L78" s="16"/>
    </row>
    <row r="79" customFormat="false" ht="15" hidden="false" customHeight="false" outlineLevel="0" collapsed="false">
      <c r="A79" s="25"/>
      <c r="B79" s="16"/>
      <c r="C79" s="16"/>
      <c r="D79" s="16"/>
      <c r="E79" s="16"/>
      <c r="F79" s="16"/>
      <c r="G79" s="47"/>
      <c r="H79" s="48" t="str">
        <f aca="false">IF(G79="","",IF(F79="Y",G79*2,G79))</f>
        <v/>
      </c>
      <c r="I79" s="27" t="str">
        <f aca="false">IF(H79="","",H79*$B$3)</f>
        <v/>
      </c>
      <c r="J79" s="16"/>
      <c r="K79" s="16"/>
      <c r="L79" s="16"/>
    </row>
    <row r="80" customFormat="false" ht="15" hidden="false" customHeight="false" outlineLevel="0" collapsed="false">
      <c r="A80" s="25"/>
      <c r="B80" s="16"/>
      <c r="C80" s="16"/>
      <c r="D80" s="16"/>
      <c r="E80" s="16"/>
      <c r="F80" s="16"/>
      <c r="G80" s="47"/>
      <c r="H80" s="48" t="str">
        <f aca="false">IF(G80="","",IF(F80="Y",G80*2,G80))</f>
        <v/>
      </c>
      <c r="I80" s="27" t="str">
        <f aca="false">IF(H80="","",H80*$B$3)</f>
        <v/>
      </c>
      <c r="J80" s="16"/>
      <c r="K80" s="16"/>
      <c r="L80" s="16"/>
    </row>
    <row r="81" customFormat="false" ht="15" hidden="false" customHeight="false" outlineLevel="0" collapsed="false">
      <c r="A81" s="25"/>
      <c r="B81" s="16"/>
      <c r="C81" s="16"/>
      <c r="D81" s="16"/>
      <c r="E81" s="16"/>
      <c r="F81" s="16"/>
      <c r="G81" s="47"/>
      <c r="H81" s="48" t="str">
        <f aca="false">IF(G81="","",IF(F81="Y",G81*2,G81))</f>
        <v/>
      </c>
      <c r="I81" s="27" t="str">
        <f aca="false">IF(H81="","",H81*$B$3)</f>
        <v/>
      </c>
      <c r="J81" s="16"/>
      <c r="K81" s="16"/>
      <c r="L81" s="16"/>
    </row>
    <row r="82" customFormat="false" ht="15" hidden="false" customHeight="false" outlineLevel="0" collapsed="false">
      <c r="A82" s="25"/>
      <c r="B82" s="16"/>
      <c r="C82" s="16"/>
      <c r="D82" s="16"/>
      <c r="E82" s="16"/>
      <c r="F82" s="16"/>
      <c r="G82" s="47"/>
      <c r="H82" s="48" t="str">
        <f aca="false">IF(G82="","",IF(F82="Y",G82*2,G82))</f>
        <v/>
      </c>
      <c r="I82" s="27" t="str">
        <f aca="false">IF(H82="","",H82*$B$3)</f>
        <v/>
      </c>
      <c r="J82" s="16"/>
      <c r="K82" s="16"/>
      <c r="L82" s="16"/>
    </row>
    <row r="83" customFormat="false" ht="15" hidden="false" customHeight="false" outlineLevel="0" collapsed="false">
      <c r="A83" s="25"/>
      <c r="B83" s="16"/>
      <c r="C83" s="16"/>
      <c r="D83" s="16"/>
      <c r="E83" s="16"/>
      <c r="F83" s="16"/>
      <c r="G83" s="47"/>
      <c r="H83" s="48" t="str">
        <f aca="false">IF(G83="","",IF(F83="Y",G83*2,G83))</f>
        <v/>
      </c>
      <c r="I83" s="27" t="str">
        <f aca="false">IF(H83="","",H83*$B$3)</f>
        <v/>
      </c>
      <c r="J83" s="16"/>
      <c r="K83" s="16"/>
      <c r="L83" s="16"/>
    </row>
    <row r="84" customFormat="false" ht="15" hidden="false" customHeight="false" outlineLevel="0" collapsed="false">
      <c r="A84" s="25"/>
      <c r="B84" s="16"/>
      <c r="C84" s="16"/>
      <c r="D84" s="16"/>
      <c r="E84" s="16"/>
      <c r="F84" s="16"/>
      <c r="G84" s="47"/>
      <c r="H84" s="48" t="str">
        <f aca="false">IF(G84="","",IF(F84="Y",G84*2,G84))</f>
        <v/>
      </c>
      <c r="I84" s="27" t="str">
        <f aca="false">IF(H84="","",H84*$B$3)</f>
        <v/>
      </c>
      <c r="J84" s="16"/>
      <c r="K84" s="16"/>
      <c r="L84" s="16"/>
    </row>
    <row r="85" customFormat="false" ht="15" hidden="false" customHeight="false" outlineLevel="0" collapsed="false">
      <c r="A85" s="25"/>
      <c r="B85" s="16"/>
      <c r="C85" s="16"/>
      <c r="D85" s="16"/>
      <c r="E85" s="16"/>
      <c r="F85" s="16"/>
      <c r="G85" s="47"/>
      <c r="H85" s="48" t="str">
        <f aca="false">IF(G85="","",IF(F85="Y",G85*2,G85))</f>
        <v/>
      </c>
      <c r="I85" s="27" t="str">
        <f aca="false">IF(H85="","",H85*$B$3)</f>
        <v/>
      </c>
      <c r="J85" s="16"/>
      <c r="K85" s="16"/>
      <c r="L85" s="16"/>
    </row>
    <row r="86" customFormat="false" ht="15" hidden="false" customHeight="false" outlineLevel="0" collapsed="false">
      <c r="A86" s="25"/>
      <c r="B86" s="16"/>
      <c r="C86" s="16"/>
      <c r="D86" s="16"/>
      <c r="E86" s="16"/>
      <c r="F86" s="16"/>
      <c r="G86" s="47"/>
      <c r="H86" s="48" t="str">
        <f aca="false">IF(G86="","",IF(F86="Y",G86*2,G86))</f>
        <v/>
      </c>
      <c r="I86" s="27" t="str">
        <f aca="false">IF(H86="","",H86*$B$3)</f>
        <v/>
      </c>
      <c r="J86" s="16"/>
      <c r="K86" s="16"/>
      <c r="L86" s="16"/>
    </row>
    <row r="87" customFormat="false" ht="15" hidden="false" customHeight="false" outlineLevel="0" collapsed="false">
      <c r="A87" s="25"/>
      <c r="B87" s="16"/>
      <c r="C87" s="16"/>
      <c r="D87" s="16"/>
      <c r="E87" s="16"/>
      <c r="F87" s="16"/>
      <c r="G87" s="47"/>
      <c r="H87" s="48" t="str">
        <f aca="false">IF(G87="","",IF(F87="Y",G87*2,G87))</f>
        <v/>
      </c>
      <c r="I87" s="27" t="str">
        <f aca="false">IF(H87="","",H87*$B$3)</f>
        <v/>
      </c>
      <c r="J87" s="16"/>
      <c r="K87" s="16"/>
      <c r="L87" s="16"/>
    </row>
    <row r="88" customFormat="false" ht="15" hidden="false" customHeight="false" outlineLevel="0" collapsed="false">
      <c r="A88" s="25"/>
      <c r="B88" s="16"/>
      <c r="C88" s="16"/>
      <c r="D88" s="16"/>
      <c r="E88" s="16"/>
      <c r="F88" s="16"/>
      <c r="G88" s="47"/>
      <c r="H88" s="48" t="str">
        <f aca="false">IF(G88="","",IF(F88="Y",G88*2,G88))</f>
        <v/>
      </c>
      <c r="I88" s="27" t="str">
        <f aca="false">IF(H88="","",H88*$B$3)</f>
        <v/>
      </c>
      <c r="J88" s="16"/>
      <c r="K88" s="16"/>
      <c r="L88" s="16"/>
    </row>
    <row r="89" customFormat="false" ht="15" hidden="false" customHeight="false" outlineLevel="0" collapsed="false">
      <c r="A89" s="25"/>
      <c r="B89" s="16"/>
      <c r="C89" s="16"/>
      <c r="D89" s="16"/>
      <c r="E89" s="16"/>
      <c r="F89" s="16"/>
      <c r="G89" s="47"/>
      <c r="H89" s="48" t="str">
        <f aca="false">IF(G89="","",IF(F89="Y",G89*2,G89))</f>
        <v/>
      </c>
      <c r="I89" s="27" t="str">
        <f aca="false">IF(H89="","",H89*$B$3)</f>
        <v/>
      </c>
      <c r="J89" s="16"/>
      <c r="K89" s="16"/>
      <c r="L89" s="16"/>
    </row>
    <row r="90" customFormat="false" ht="15" hidden="false" customHeight="false" outlineLevel="0" collapsed="false">
      <c r="A90" s="25"/>
      <c r="B90" s="16"/>
      <c r="C90" s="16"/>
      <c r="D90" s="16"/>
      <c r="E90" s="16"/>
      <c r="F90" s="16"/>
      <c r="G90" s="47"/>
      <c r="H90" s="48" t="str">
        <f aca="false">IF(G90="","",IF(F90="Y",G90*2,G90))</f>
        <v/>
      </c>
      <c r="I90" s="27" t="str">
        <f aca="false">IF(H90="","",H90*$B$3)</f>
        <v/>
      </c>
      <c r="J90" s="16"/>
      <c r="K90" s="16"/>
      <c r="L90" s="16"/>
    </row>
    <row r="91" customFormat="false" ht="15" hidden="false" customHeight="false" outlineLevel="0" collapsed="false">
      <c r="A91" s="25"/>
      <c r="B91" s="16"/>
      <c r="C91" s="16"/>
      <c r="D91" s="16"/>
      <c r="E91" s="16"/>
      <c r="F91" s="16"/>
      <c r="G91" s="47"/>
      <c r="H91" s="48" t="str">
        <f aca="false">IF(G91="","",IF(F91="Y",G91*2,G91))</f>
        <v/>
      </c>
      <c r="I91" s="27" t="str">
        <f aca="false">IF(H91="","",H91*$B$3)</f>
        <v/>
      </c>
      <c r="J91" s="16"/>
      <c r="K91" s="16"/>
      <c r="L91" s="16"/>
    </row>
    <row r="92" customFormat="false" ht="15" hidden="false" customHeight="false" outlineLevel="0" collapsed="false">
      <c r="A92" s="25"/>
      <c r="B92" s="16"/>
      <c r="C92" s="16"/>
      <c r="D92" s="16"/>
      <c r="E92" s="16"/>
      <c r="F92" s="16"/>
      <c r="G92" s="47"/>
      <c r="H92" s="48" t="str">
        <f aca="false">IF(G92="","",IF(F92="Y",G92*2,G92))</f>
        <v/>
      </c>
      <c r="I92" s="27" t="str">
        <f aca="false">IF(H92="","",H92*$B$3)</f>
        <v/>
      </c>
      <c r="J92" s="16"/>
      <c r="K92" s="16"/>
      <c r="L92" s="16"/>
    </row>
    <row r="93" customFormat="false" ht="15" hidden="false" customHeight="false" outlineLevel="0" collapsed="false">
      <c r="A93" s="25"/>
      <c r="B93" s="16"/>
      <c r="C93" s="16"/>
      <c r="D93" s="16"/>
      <c r="E93" s="16"/>
      <c r="F93" s="16"/>
      <c r="G93" s="47"/>
      <c r="H93" s="48" t="str">
        <f aca="false">IF(G93="","",IF(F93="Y",G93*2,G93))</f>
        <v/>
      </c>
      <c r="I93" s="27" t="str">
        <f aca="false">IF(H93="","",H93*$B$3)</f>
        <v/>
      </c>
      <c r="J93" s="16"/>
      <c r="K93" s="16"/>
      <c r="L93" s="16"/>
    </row>
    <row r="94" customFormat="false" ht="15" hidden="false" customHeight="false" outlineLevel="0" collapsed="false">
      <c r="A94" s="25"/>
      <c r="B94" s="16"/>
      <c r="C94" s="16"/>
      <c r="D94" s="16"/>
      <c r="E94" s="16"/>
      <c r="F94" s="16"/>
      <c r="G94" s="47"/>
      <c r="H94" s="48" t="str">
        <f aca="false">IF(G94="","",IF(F94="Y",G94*2,G94))</f>
        <v/>
      </c>
      <c r="I94" s="27" t="str">
        <f aca="false">IF(H94="","",H94*$B$3)</f>
        <v/>
      </c>
      <c r="J94" s="16"/>
      <c r="K94" s="16"/>
      <c r="L94" s="16"/>
    </row>
    <row r="95" customFormat="false" ht="15" hidden="false" customHeight="false" outlineLevel="0" collapsed="false">
      <c r="A95" s="25"/>
      <c r="B95" s="16"/>
      <c r="C95" s="16"/>
      <c r="D95" s="16"/>
      <c r="E95" s="16"/>
      <c r="F95" s="16"/>
      <c r="G95" s="47"/>
      <c r="H95" s="48" t="str">
        <f aca="false">IF(G95="","",IF(F95="Y",G95*2,G95))</f>
        <v/>
      </c>
      <c r="I95" s="27" t="str">
        <f aca="false">IF(H95="","",H95*$B$3)</f>
        <v/>
      </c>
      <c r="J95" s="16"/>
      <c r="K95" s="16"/>
      <c r="L95" s="16"/>
    </row>
    <row r="96" customFormat="false" ht="15" hidden="false" customHeight="false" outlineLevel="0" collapsed="false">
      <c r="A96" s="25"/>
      <c r="B96" s="16"/>
      <c r="C96" s="16"/>
      <c r="D96" s="16"/>
      <c r="E96" s="16"/>
      <c r="F96" s="16"/>
      <c r="G96" s="47"/>
      <c r="H96" s="48" t="str">
        <f aca="false">IF(G96="","",IF(F96="Y",G96*2,G96))</f>
        <v/>
      </c>
      <c r="I96" s="27" t="str">
        <f aca="false">IF(H96="","",H96*$B$3)</f>
        <v/>
      </c>
      <c r="J96" s="16"/>
      <c r="K96" s="16"/>
      <c r="L96" s="16"/>
    </row>
    <row r="97" customFormat="false" ht="15" hidden="false" customHeight="false" outlineLevel="0" collapsed="false">
      <c r="A97" s="25"/>
      <c r="B97" s="16"/>
      <c r="C97" s="16"/>
      <c r="D97" s="16"/>
      <c r="E97" s="16"/>
      <c r="F97" s="16"/>
      <c r="G97" s="47"/>
      <c r="H97" s="48" t="str">
        <f aca="false">IF(G97="","",IF(F97="Y",G97*2,G97))</f>
        <v/>
      </c>
      <c r="I97" s="27" t="str">
        <f aca="false">IF(H97="","",H97*$B$3)</f>
        <v/>
      </c>
      <c r="J97" s="16"/>
      <c r="K97" s="16"/>
      <c r="L97" s="16"/>
    </row>
    <row r="98" customFormat="false" ht="15" hidden="false" customHeight="false" outlineLevel="0" collapsed="false">
      <c r="A98" s="25"/>
      <c r="B98" s="16"/>
      <c r="C98" s="16"/>
      <c r="D98" s="16"/>
      <c r="E98" s="16"/>
      <c r="F98" s="16"/>
      <c r="G98" s="47"/>
      <c r="H98" s="48" t="str">
        <f aca="false">IF(G98="","",IF(F98="Y",G98*2,G98))</f>
        <v/>
      </c>
      <c r="I98" s="27" t="str">
        <f aca="false">IF(H98="","",H98*$B$3)</f>
        <v/>
      </c>
      <c r="J98" s="16"/>
      <c r="K98" s="16"/>
      <c r="L98" s="16"/>
    </row>
    <row r="99" customFormat="false" ht="15" hidden="false" customHeight="false" outlineLevel="0" collapsed="false">
      <c r="A99" s="25"/>
      <c r="B99" s="16"/>
      <c r="C99" s="16"/>
      <c r="D99" s="16"/>
      <c r="E99" s="16"/>
      <c r="F99" s="16"/>
      <c r="G99" s="47"/>
      <c r="H99" s="48" t="str">
        <f aca="false">IF(G99="","",IF(F99="Y",G99*2,G99))</f>
        <v/>
      </c>
      <c r="I99" s="27" t="str">
        <f aca="false">IF(H99="","",H99*$B$3)</f>
        <v/>
      </c>
      <c r="J99" s="16"/>
      <c r="K99" s="16"/>
      <c r="L99" s="16"/>
    </row>
    <row r="100" customFormat="false" ht="15" hidden="false" customHeight="false" outlineLevel="0" collapsed="false">
      <c r="A100" s="25"/>
      <c r="B100" s="16"/>
      <c r="C100" s="16"/>
      <c r="D100" s="16"/>
      <c r="E100" s="16"/>
      <c r="F100" s="16"/>
      <c r="G100" s="47"/>
      <c r="H100" s="48" t="str">
        <f aca="false">IF(G100="","",IF(F100="Y",G100*2,G100))</f>
        <v/>
      </c>
      <c r="I100" s="27" t="str">
        <f aca="false">IF(H100="","",H100*$B$3)</f>
        <v/>
      </c>
      <c r="J100" s="16"/>
      <c r="K100" s="16"/>
      <c r="L100" s="16"/>
    </row>
    <row r="101" customFormat="false" ht="15" hidden="false" customHeight="false" outlineLevel="0" collapsed="false">
      <c r="A101" s="25"/>
      <c r="B101" s="16"/>
      <c r="C101" s="16"/>
      <c r="D101" s="16"/>
      <c r="E101" s="16"/>
      <c r="F101" s="16"/>
      <c r="G101" s="47"/>
      <c r="H101" s="48" t="str">
        <f aca="false">IF(G101="","",IF(F101="Y",G101*2,G101))</f>
        <v/>
      </c>
      <c r="I101" s="27" t="str">
        <f aca="false">IF(H101="","",H101*$B$3)</f>
        <v/>
      </c>
      <c r="J101" s="16"/>
      <c r="K101" s="16"/>
      <c r="L101" s="16"/>
    </row>
    <row r="102" customFormat="false" ht="15" hidden="false" customHeight="false" outlineLevel="0" collapsed="false">
      <c r="A102" s="25"/>
      <c r="B102" s="16"/>
      <c r="C102" s="16"/>
      <c r="D102" s="16"/>
      <c r="E102" s="16"/>
      <c r="F102" s="16"/>
      <c r="G102" s="47"/>
      <c r="H102" s="48" t="str">
        <f aca="false">IF(G102="","",IF(F102="Y",G102*2,G102))</f>
        <v/>
      </c>
      <c r="I102" s="27" t="str">
        <f aca="false">IF(H102="","",H102*$B$3)</f>
        <v/>
      </c>
      <c r="J102" s="16"/>
      <c r="K102" s="16"/>
      <c r="L102" s="16"/>
    </row>
    <row r="103" customFormat="false" ht="15" hidden="false" customHeight="false" outlineLevel="0" collapsed="false">
      <c r="A103" s="25"/>
      <c r="B103" s="16"/>
      <c r="C103" s="16"/>
      <c r="D103" s="16"/>
      <c r="E103" s="16"/>
      <c r="F103" s="16"/>
      <c r="G103" s="47"/>
      <c r="H103" s="48" t="str">
        <f aca="false">IF(G103="","",IF(F103="Y",G103*2,G103))</f>
        <v/>
      </c>
      <c r="I103" s="27" t="str">
        <f aca="false">IF(H103="","",H103*$B$3)</f>
        <v/>
      </c>
      <c r="J103" s="16"/>
      <c r="K103" s="16"/>
      <c r="L103" s="16"/>
    </row>
    <row r="104" customFormat="false" ht="15" hidden="false" customHeight="false" outlineLevel="0" collapsed="false">
      <c r="A104" s="25"/>
      <c r="B104" s="16"/>
      <c r="C104" s="16"/>
      <c r="D104" s="16"/>
      <c r="E104" s="16"/>
      <c r="F104" s="16"/>
      <c r="G104" s="47"/>
      <c r="H104" s="48" t="str">
        <f aca="false">IF(G104="","",IF(F104="Y",G104*2,G104))</f>
        <v/>
      </c>
      <c r="I104" s="27" t="str">
        <f aca="false">IF(H104="","",H104*$B$3)</f>
        <v/>
      </c>
      <c r="J104" s="16"/>
      <c r="K104" s="16"/>
      <c r="L104" s="16"/>
    </row>
    <row r="105" customFormat="false" ht="15" hidden="false" customHeight="false" outlineLevel="0" collapsed="false">
      <c r="A105" s="25"/>
      <c r="B105" s="16"/>
      <c r="C105" s="16"/>
      <c r="D105" s="16"/>
      <c r="E105" s="16"/>
      <c r="F105" s="16"/>
      <c r="G105" s="47"/>
      <c r="H105" s="48" t="str">
        <f aca="false">IF(G105="","",IF(F105="Y",G105*2,G105))</f>
        <v/>
      </c>
      <c r="I105" s="27" t="str">
        <f aca="false">IF(H105="","",H105*$B$3)</f>
        <v/>
      </c>
      <c r="J105" s="16"/>
      <c r="K105" s="16"/>
      <c r="L105" s="16"/>
    </row>
    <row r="106" customFormat="false" ht="15" hidden="false" customHeight="false" outlineLevel="0" collapsed="false">
      <c r="A106" s="25"/>
      <c r="B106" s="16"/>
      <c r="C106" s="16"/>
      <c r="D106" s="16"/>
      <c r="E106" s="16"/>
      <c r="F106" s="16"/>
      <c r="G106" s="47"/>
      <c r="H106" s="48" t="str">
        <f aca="false">IF(G106="","",IF(F106="Y",G106*2,G106))</f>
        <v/>
      </c>
      <c r="I106" s="27" t="str">
        <f aca="false">IF(H106="","",H106*$B$3)</f>
        <v/>
      </c>
      <c r="J106" s="16"/>
      <c r="K106" s="16"/>
      <c r="L106" s="16"/>
    </row>
    <row r="107" customFormat="false" ht="15" hidden="false" customHeight="false" outlineLevel="0" collapsed="false">
      <c r="A107" s="25"/>
      <c r="B107" s="16"/>
      <c r="C107" s="16"/>
      <c r="D107" s="16"/>
      <c r="E107" s="16"/>
      <c r="F107" s="16"/>
      <c r="G107" s="47"/>
      <c r="H107" s="48" t="str">
        <f aca="false">IF(G107="","",IF(F107="Y",G107*2,G107))</f>
        <v/>
      </c>
      <c r="I107" s="27" t="str">
        <f aca="false">IF(H107="","",H107*$B$3)</f>
        <v/>
      </c>
      <c r="J107" s="16"/>
      <c r="K107" s="16"/>
      <c r="L107" s="16"/>
    </row>
    <row r="108" customFormat="false" ht="15" hidden="false" customHeight="false" outlineLevel="0" collapsed="false">
      <c r="A108" s="25"/>
      <c r="B108" s="16"/>
      <c r="C108" s="16"/>
      <c r="D108" s="16"/>
      <c r="E108" s="16"/>
      <c r="F108" s="16"/>
      <c r="G108" s="47"/>
      <c r="H108" s="48" t="str">
        <f aca="false">IF(G108="","",IF(F108="Y",G108*2,G108))</f>
        <v/>
      </c>
      <c r="I108" s="27" t="str">
        <f aca="false">IF(H108="","",H108*$B$3)</f>
        <v/>
      </c>
      <c r="J108" s="16"/>
      <c r="K108" s="16"/>
      <c r="L108" s="16"/>
    </row>
    <row r="109" customFormat="false" ht="15" hidden="false" customHeight="false" outlineLevel="0" collapsed="false">
      <c r="A109" s="25"/>
      <c r="B109" s="16"/>
      <c r="C109" s="16"/>
      <c r="D109" s="16"/>
      <c r="E109" s="16"/>
      <c r="F109" s="16"/>
      <c r="G109" s="47"/>
      <c r="H109" s="48" t="str">
        <f aca="false">IF(G109="","",IF(F109="Y",G109*2,G109))</f>
        <v/>
      </c>
      <c r="I109" s="27" t="str">
        <f aca="false">IF(H109="","",H109*$B$3)</f>
        <v/>
      </c>
      <c r="J109" s="16"/>
      <c r="K109" s="16"/>
      <c r="L109" s="16"/>
    </row>
    <row r="110" customFormat="false" ht="15" hidden="false" customHeight="false" outlineLevel="0" collapsed="false">
      <c r="A110" s="25"/>
      <c r="B110" s="16"/>
      <c r="C110" s="16"/>
      <c r="D110" s="16"/>
      <c r="E110" s="16"/>
      <c r="F110" s="16"/>
      <c r="G110" s="47"/>
      <c r="H110" s="48" t="str">
        <f aca="false">IF(G110="","",IF(F110="Y",G110*2,G110))</f>
        <v/>
      </c>
      <c r="I110" s="27" t="str">
        <f aca="false">IF(H110="","",H110*$B$3)</f>
        <v/>
      </c>
      <c r="J110" s="16"/>
      <c r="K110" s="16"/>
      <c r="L110" s="16"/>
    </row>
    <row r="111" customFormat="false" ht="15" hidden="false" customHeight="false" outlineLevel="0" collapsed="false">
      <c r="A111" s="25"/>
      <c r="B111" s="16"/>
      <c r="C111" s="16"/>
      <c r="D111" s="16"/>
      <c r="E111" s="16"/>
      <c r="F111" s="16"/>
      <c r="G111" s="47"/>
      <c r="H111" s="48" t="str">
        <f aca="false">IF(G111="","",IF(F111="Y",G111*2,G111))</f>
        <v/>
      </c>
      <c r="I111" s="27" t="str">
        <f aca="false">IF(H111="","",H111*$B$3)</f>
        <v/>
      </c>
      <c r="J111" s="16"/>
      <c r="K111" s="16"/>
      <c r="L111" s="16"/>
    </row>
    <row r="112" customFormat="false" ht="15" hidden="false" customHeight="false" outlineLevel="0" collapsed="false">
      <c r="A112" s="25"/>
      <c r="B112" s="16"/>
      <c r="C112" s="16"/>
      <c r="D112" s="16"/>
      <c r="E112" s="16"/>
      <c r="F112" s="16"/>
      <c r="G112" s="47"/>
      <c r="H112" s="48" t="str">
        <f aca="false">IF(G112="","",IF(F112="Y",G112*2,G112))</f>
        <v/>
      </c>
      <c r="I112" s="27" t="str">
        <f aca="false">IF(H112="","",H112*$B$3)</f>
        <v/>
      </c>
      <c r="J112" s="16"/>
      <c r="K112" s="16"/>
      <c r="L112" s="16"/>
    </row>
    <row r="113" customFormat="false" ht="15" hidden="false" customHeight="false" outlineLevel="0" collapsed="false">
      <c r="A113" s="25"/>
      <c r="B113" s="16"/>
      <c r="C113" s="16"/>
      <c r="D113" s="16"/>
      <c r="E113" s="16"/>
      <c r="F113" s="16"/>
      <c r="G113" s="47"/>
      <c r="H113" s="48" t="str">
        <f aca="false">IF(G113="","",IF(F113="Y",G113*2,G113))</f>
        <v/>
      </c>
      <c r="I113" s="27" t="str">
        <f aca="false">IF(H113="","",H113*$B$3)</f>
        <v/>
      </c>
      <c r="J113" s="16"/>
      <c r="K113" s="16"/>
      <c r="L113" s="16"/>
    </row>
    <row r="114" customFormat="false" ht="15" hidden="false" customHeight="false" outlineLevel="0" collapsed="false">
      <c r="A114" s="25"/>
      <c r="B114" s="16"/>
      <c r="C114" s="16"/>
      <c r="D114" s="16"/>
      <c r="E114" s="16"/>
      <c r="F114" s="16"/>
      <c r="G114" s="47"/>
      <c r="H114" s="48" t="str">
        <f aca="false">IF(G114="","",IF(F114="Y",G114*2,G114))</f>
        <v/>
      </c>
      <c r="I114" s="27" t="str">
        <f aca="false">IF(H114="","",H114*$B$3)</f>
        <v/>
      </c>
      <c r="J114" s="16"/>
      <c r="K114" s="16"/>
      <c r="L114" s="16"/>
    </row>
    <row r="115" customFormat="false" ht="15" hidden="false" customHeight="false" outlineLevel="0" collapsed="false">
      <c r="A115" s="25"/>
      <c r="B115" s="16"/>
      <c r="C115" s="16"/>
      <c r="D115" s="16"/>
      <c r="E115" s="16"/>
      <c r="F115" s="16"/>
      <c r="G115" s="47"/>
      <c r="H115" s="48" t="str">
        <f aca="false">IF(G115="","",IF(F115="Y",G115*2,G115))</f>
        <v/>
      </c>
      <c r="I115" s="27" t="str">
        <f aca="false">IF(H115="","",H115*$B$3)</f>
        <v/>
      </c>
      <c r="J115" s="16"/>
      <c r="K115" s="16"/>
      <c r="L115" s="16"/>
    </row>
    <row r="116" customFormat="false" ht="15" hidden="false" customHeight="false" outlineLevel="0" collapsed="false">
      <c r="A116" s="25"/>
      <c r="B116" s="16"/>
      <c r="C116" s="16"/>
      <c r="D116" s="16"/>
      <c r="E116" s="16"/>
      <c r="F116" s="16"/>
      <c r="G116" s="47"/>
      <c r="H116" s="48" t="str">
        <f aca="false">IF(G116="","",IF(F116="Y",G116*2,G116))</f>
        <v/>
      </c>
      <c r="I116" s="27" t="str">
        <f aca="false">IF(H116="","",H116*$B$3)</f>
        <v/>
      </c>
      <c r="J116" s="16"/>
      <c r="K116" s="16"/>
      <c r="L116" s="16"/>
    </row>
    <row r="117" customFormat="false" ht="15" hidden="false" customHeight="false" outlineLevel="0" collapsed="false">
      <c r="A117" s="25"/>
      <c r="B117" s="16"/>
      <c r="C117" s="16"/>
      <c r="D117" s="16"/>
      <c r="E117" s="16"/>
      <c r="F117" s="16"/>
      <c r="G117" s="47"/>
      <c r="H117" s="48" t="str">
        <f aca="false">IF(G117="","",IF(F117="Y",G117*2,G117))</f>
        <v/>
      </c>
      <c r="I117" s="27" t="str">
        <f aca="false">IF(H117="","",H117*$B$3)</f>
        <v/>
      </c>
      <c r="J117" s="16"/>
      <c r="K117" s="16"/>
      <c r="L117" s="16"/>
    </row>
    <row r="118" customFormat="false" ht="15" hidden="false" customHeight="false" outlineLevel="0" collapsed="false">
      <c r="A118" s="25"/>
      <c r="B118" s="16"/>
      <c r="C118" s="16"/>
      <c r="D118" s="16"/>
      <c r="E118" s="16"/>
      <c r="F118" s="16"/>
      <c r="G118" s="47"/>
      <c r="H118" s="48" t="str">
        <f aca="false">IF(G118="","",IF(F118="Y",G118*2,G118))</f>
        <v/>
      </c>
      <c r="I118" s="27" t="str">
        <f aca="false">IF(H118="","",H118*$B$3)</f>
        <v/>
      </c>
      <c r="J118" s="16"/>
      <c r="K118" s="16"/>
      <c r="L118" s="16"/>
    </row>
    <row r="119" customFormat="false" ht="15" hidden="false" customHeight="false" outlineLevel="0" collapsed="false">
      <c r="A119" s="25"/>
      <c r="B119" s="16"/>
      <c r="C119" s="16"/>
      <c r="D119" s="16"/>
      <c r="E119" s="16"/>
      <c r="F119" s="16"/>
      <c r="G119" s="47"/>
      <c r="H119" s="48" t="str">
        <f aca="false">IF(G119="","",IF(F119="Y",G119*2,G119))</f>
        <v/>
      </c>
      <c r="I119" s="27" t="str">
        <f aca="false">IF(H119="","",H119*$B$3)</f>
        <v/>
      </c>
      <c r="J119" s="16"/>
      <c r="K119" s="16"/>
      <c r="L119" s="16"/>
    </row>
    <row r="120" customFormat="false" ht="15" hidden="false" customHeight="false" outlineLevel="0" collapsed="false">
      <c r="A120" s="25"/>
      <c r="B120" s="16"/>
      <c r="C120" s="16"/>
      <c r="D120" s="16"/>
      <c r="E120" s="16"/>
      <c r="F120" s="16"/>
      <c r="G120" s="47"/>
      <c r="H120" s="48" t="str">
        <f aca="false">IF(G120="","",IF(F120="Y",G120*2,G120))</f>
        <v/>
      </c>
      <c r="I120" s="27" t="str">
        <f aca="false">IF(H120="","",H120*$B$3)</f>
        <v/>
      </c>
      <c r="J120" s="16"/>
      <c r="K120" s="16"/>
      <c r="L120" s="16"/>
    </row>
    <row r="121" customFormat="false" ht="15" hidden="false" customHeight="false" outlineLevel="0" collapsed="false">
      <c r="A121" s="25"/>
      <c r="B121" s="16"/>
      <c r="C121" s="16"/>
      <c r="D121" s="16"/>
      <c r="E121" s="16"/>
      <c r="F121" s="16"/>
      <c r="G121" s="47"/>
      <c r="H121" s="48" t="str">
        <f aca="false">IF(G121="","",IF(F121="Y",G121*2,G121))</f>
        <v/>
      </c>
      <c r="I121" s="27" t="str">
        <f aca="false">IF(H121="","",H121*$B$3)</f>
        <v/>
      </c>
      <c r="J121" s="16"/>
      <c r="K121" s="16"/>
      <c r="L121" s="16"/>
    </row>
    <row r="122" customFormat="false" ht="15" hidden="false" customHeight="false" outlineLevel="0" collapsed="false">
      <c r="A122" s="25"/>
      <c r="B122" s="16"/>
      <c r="C122" s="16"/>
      <c r="D122" s="16"/>
      <c r="E122" s="16"/>
      <c r="F122" s="16"/>
      <c r="G122" s="47"/>
      <c r="H122" s="48" t="str">
        <f aca="false">IF(G122="","",IF(F122="Y",G122*2,G122))</f>
        <v/>
      </c>
      <c r="I122" s="27" t="str">
        <f aca="false">IF(H122="","",H122*$B$3)</f>
        <v/>
      </c>
      <c r="J122" s="16"/>
      <c r="K122" s="16"/>
      <c r="L122" s="16"/>
    </row>
    <row r="123" customFormat="false" ht="15" hidden="false" customHeight="false" outlineLevel="0" collapsed="false">
      <c r="A123" s="25"/>
      <c r="B123" s="16"/>
      <c r="C123" s="16"/>
      <c r="D123" s="16"/>
      <c r="E123" s="16"/>
      <c r="F123" s="16"/>
      <c r="G123" s="47"/>
      <c r="H123" s="48" t="str">
        <f aca="false">IF(G123="","",IF(F123="Y",G123*2,G123))</f>
        <v/>
      </c>
      <c r="I123" s="27" t="str">
        <f aca="false">IF(H123="","",H123*$B$3)</f>
        <v/>
      </c>
      <c r="J123" s="16"/>
      <c r="K123" s="16"/>
      <c r="L123" s="16"/>
    </row>
    <row r="124" customFormat="false" ht="15" hidden="false" customHeight="false" outlineLevel="0" collapsed="false">
      <c r="A124" s="25"/>
      <c r="B124" s="16"/>
      <c r="C124" s="16"/>
      <c r="D124" s="16"/>
      <c r="E124" s="16"/>
      <c r="F124" s="16"/>
      <c r="G124" s="47"/>
      <c r="H124" s="48" t="str">
        <f aca="false">IF(G124="","",IF(F124="Y",G124*2,G124))</f>
        <v/>
      </c>
      <c r="I124" s="27" t="str">
        <f aca="false">IF(H124="","",H124*$B$3)</f>
        <v/>
      </c>
      <c r="J124" s="16"/>
      <c r="K124" s="16"/>
      <c r="L124" s="16"/>
    </row>
    <row r="125" customFormat="false" ht="15" hidden="false" customHeight="false" outlineLevel="0" collapsed="false">
      <c r="A125" s="25"/>
      <c r="B125" s="16"/>
      <c r="C125" s="16"/>
      <c r="D125" s="16"/>
      <c r="E125" s="16"/>
      <c r="F125" s="16"/>
      <c r="G125" s="47"/>
      <c r="H125" s="48" t="str">
        <f aca="false">IF(G125="","",IF(F125="Y",G125*2,G125))</f>
        <v/>
      </c>
      <c r="I125" s="27" t="str">
        <f aca="false">IF(H125="","",H125*$B$3)</f>
        <v/>
      </c>
      <c r="J125" s="16"/>
      <c r="K125" s="16"/>
      <c r="L125" s="16"/>
    </row>
    <row r="126" customFormat="false" ht="15" hidden="false" customHeight="false" outlineLevel="0" collapsed="false">
      <c r="A126" s="25"/>
      <c r="B126" s="16"/>
      <c r="C126" s="16"/>
      <c r="D126" s="16"/>
      <c r="E126" s="16"/>
      <c r="F126" s="16"/>
      <c r="G126" s="47"/>
      <c r="H126" s="48" t="str">
        <f aca="false">IF(G126="","",IF(F126="Y",G126*2,G126))</f>
        <v/>
      </c>
      <c r="I126" s="27" t="str">
        <f aca="false">IF(H126="","",H126*$B$3)</f>
        <v/>
      </c>
      <c r="J126" s="16"/>
      <c r="K126" s="16"/>
      <c r="L126" s="16"/>
    </row>
    <row r="127" customFormat="false" ht="15" hidden="false" customHeight="false" outlineLevel="0" collapsed="false">
      <c r="A127" s="25"/>
      <c r="B127" s="16"/>
      <c r="C127" s="16"/>
      <c r="D127" s="16"/>
      <c r="E127" s="16"/>
      <c r="F127" s="16"/>
      <c r="G127" s="47"/>
      <c r="H127" s="48" t="str">
        <f aca="false">IF(G127="","",IF(F127="Y",G127*2,G127))</f>
        <v/>
      </c>
      <c r="I127" s="27" t="str">
        <f aca="false">IF(H127="","",H127*$B$3)</f>
        <v/>
      </c>
      <c r="J127" s="16"/>
      <c r="K127" s="16"/>
      <c r="L127" s="16"/>
    </row>
    <row r="128" customFormat="false" ht="15" hidden="false" customHeight="false" outlineLevel="0" collapsed="false">
      <c r="A128" s="25"/>
      <c r="B128" s="16"/>
      <c r="C128" s="16"/>
      <c r="D128" s="16"/>
      <c r="E128" s="16"/>
      <c r="F128" s="16"/>
      <c r="G128" s="47"/>
      <c r="H128" s="48" t="str">
        <f aca="false">IF(G128="","",IF(F128="Y",G128*2,G128))</f>
        <v/>
      </c>
      <c r="I128" s="27" t="str">
        <f aca="false">IF(H128="","",H128*$B$3)</f>
        <v/>
      </c>
      <c r="J128" s="16"/>
      <c r="K128" s="16"/>
      <c r="L128" s="16"/>
    </row>
    <row r="129" customFormat="false" ht="15" hidden="false" customHeight="false" outlineLevel="0" collapsed="false">
      <c r="A129" s="25"/>
      <c r="B129" s="16"/>
      <c r="C129" s="16"/>
      <c r="D129" s="16"/>
      <c r="E129" s="16"/>
      <c r="F129" s="16"/>
      <c r="G129" s="47"/>
      <c r="H129" s="48" t="str">
        <f aca="false">IF(G129="","",IF(F129="Y",G129*2,G129))</f>
        <v/>
      </c>
      <c r="I129" s="27" t="str">
        <f aca="false">IF(H129="","",H129*$B$3)</f>
        <v/>
      </c>
      <c r="J129" s="16"/>
      <c r="K129" s="16"/>
      <c r="L129" s="16"/>
    </row>
    <row r="130" customFormat="false" ht="15" hidden="false" customHeight="false" outlineLevel="0" collapsed="false">
      <c r="A130" s="25"/>
      <c r="B130" s="16"/>
      <c r="C130" s="16"/>
      <c r="D130" s="16"/>
      <c r="E130" s="16"/>
      <c r="F130" s="16"/>
      <c r="G130" s="47"/>
      <c r="H130" s="48" t="str">
        <f aca="false">IF(G130="","",IF(F130="Y",G130*2,G130))</f>
        <v/>
      </c>
      <c r="I130" s="27" t="str">
        <f aca="false">IF(H130="","",H130*$B$3)</f>
        <v/>
      </c>
      <c r="J130" s="16"/>
      <c r="K130" s="16"/>
      <c r="L130" s="16"/>
    </row>
    <row r="131" customFormat="false" ht="15" hidden="false" customHeight="false" outlineLevel="0" collapsed="false">
      <c r="A131" s="25"/>
      <c r="B131" s="16"/>
      <c r="C131" s="16"/>
      <c r="D131" s="16"/>
      <c r="E131" s="16"/>
      <c r="F131" s="16"/>
      <c r="G131" s="47"/>
      <c r="H131" s="48" t="str">
        <f aca="false">IF(G131="","",IF(F131="Y",G131*2,G131))</f>
        <v/>
      </c>
      <c r="I131" s="27" t="str">
        <f aca="false">IF(H131="","",H131*$B$3)</f>
        <v/>
      </c>
      <c r="J131" s="16"/>
      <c r="K131" s="16"/>
      <c r="L131" s="16"/>
    </row>
    <row r="132" customFormat="false" ht="15" hidden="false" customHeight="false" outlineLevel="0" collapsed="false">
      <c r="A132" s="25"/>
      <c r="B132" s="16"/>
      <c r="C132" s="16"/>
      <c r="D132" s="16"/>
      <c r="E132" s="16"/>
      <c r="F132" s="16"/>
      <c r="G132" s="47"/>
      <c r="H132" s="48" t="str">
        <f aca="false">IF(G132="","",IF(F132="Y",G132*2,G132))</f>
        <v/>
      </c>
      <c r="I132" s="27" t="str">
        <f aca="false">IF(H132="","",H132*$B$3)</f>
        <v/>
      </c>
      <c r="J132" s="16"/>
      <c r="K132" s="16"/>
      <c r="L132" s="16"/>
    </row>
    <row r="133" customFormat="false" ht="15" hidden="false" customHeight="false" outlineLevel="0" collapsed="false">
      <c r="A133" s="25"/>
      <c r="B133" s="16"/>
      <c r="C133" s="16"/>
      <c r="D133" s="16"/>
      <c r="E133" s="16"/>
      <c r="F133" s="16"/>
      <c r="G133" s="47"/>
      <c r="H133" s="48" t="str">
        <f aca="false">IF(G133="","",IF(F133="Y",G133*2,G133))</f>
        <v/>
      </c>
      <c r="I133" s="27" t="str">
        <f aca="false">IF(H133="","",H133*$B$3)</f>
        <v/>
      </c>
      <c r="J133" s="16"/>
      <c r="K133" s="16"/>
      <c r="L133" s="16"/>
    </row>
    <row r="134" customFormat="false" ht="15" hidden="false" customHeight="false" outlineLevel="0" collapsed="false">
      <c r="A134" s="25"/>
      <c r="B134" s="16"/>
      <c r="C134" s="16"/>
      <c r="D134" s="16"/>
      <c r="E134" s="16"/>
      <c r="F134" s="16"/>
      <c r="G134" s="47"/>
      <c r="H134" s="48" t="str">
        <f aca="false">IF(G134="","",IF(F134="Y",G134*2,G134))</f>
        <v/>
      </c>
      <c r="I134" s="27" t="str">
        <f aca="false">IF(H134="","",H134*$B$3)</f>
        <v/>
      </c>
      <c r="J134" s="16"/>
      <c r="K134" s="16"/>
      <c r="L134" s="16"/>
    </row>
    <row r="135" customFormat="false" ht="15" hidden="false" customHeight="false" outlineLevel="0" collapsed="false">
      <c r="A135" s="25"/>
      <c r="B135" s="16"/>
      <c r="C135" s="16"/>
      <c r="D135" s="16"/>
      <c r="E135" s="16"/>
      <c r="F135" s="16"/>
      <c r="G135" s="47"/>
      <c r="H135" s="48" t="str">
        <f aca="false">IF(G135="","",IF(F135="Y",G135*2,G135))</f>
        <v/>
      </c>
      <c r="I135" s="27" t="str">
        <f aca="false">IF(H135="","",H135*$B$3)</f>
        <v/>
      </c>
      <c r="J135" s="16"/>
      <c r="K135" s="16"/>
      <c r="L135" s="16"/>
    </row>
    <row r="136" customFormat="false" ht="15" hidden="false" customHeight="false" outlineLevel="0" collapsed="false">
      <c r="A136" s="25"/>
      <c r="B136" s="16"/>
      <c r="C136" s="16"/>
      <c r="D136" s="16"/>
      <c r="E136" s="16"/>
      <c r="F136" s="16"/>
      <c r="G136" s="47"/>
      <c r="H136" s="48" t="str">
        <f aca="false">IF(G136="","",IF(F136="Y",G136*2,G136))</f>
        <v/>
      </c>
      <c r="I136" s="27" t="str">
        <f aca="false">IF(H136="","",H136*$B$3)</f>
        <v/>
      </c>
      <c r="J136" s="16"/>
      <c r="K136" s="16"/>
      <c r="L136" s="16"/>
    </row>
    <row r="137" customFormat="false" ht="15" hidden="false" customHeight="false" outlineLevel="0" collapsed="false">
      <c r="A137" s="25"/>
      <c r="B137" s="16"/>
      <c r="C137" s="16"/>
      <c r="D137" s="16"/>
      <c r="E137" s="16"/>
      <c r="F137" s="16"/>
      <c r="G137" s="47"/>
      <c r="H137" s="48" t="str">
        <f aca="false">IF(G137="","",IF(F137="Y",G137*2,G137))</f>
        <v/>
      </c>
      <c r="I137" s="27" t="str">
        <f aca="false">IF(H137="","",H137*$B$3)</f>
        <v/>
      </c>
      <c r="J137" s="16"/>
      <c r="K137" s="16"/>
      <c r="L137" s="16"/>
    </row>
    <row r="138" customFormat="false" ht="15" hidden="false" customHeight="false" outlineLevel="0" collapsed="false">
      <c r="A138" s="25"/>
      <c r="B138" s="16"/>
      <c r="C138" s="16"/>
      <c r="D138" s="16"/>
      <c r="E138" s="16"/>
      <c r="F138" s="16"/>
      <c r="G138" s="47"/>
      <c r="H138" s="48" t="str">
        <f aca="false">IF(G138="","",IF(F138="Y",G138*2,G138))</f>
        <v/>
      </c>
      <c r="I138" s="27" t="str">
        <f aca="false">IF(H138="","",H138*$B$3)</f>
        <v/>
      </c>
      <c r="J138" s="16"/>
      <c r="K138" s="16"/>
      <c r="L138" s="16"/>
    </row>
    <row r="139" customFormat="false" ht="15" hidden="false" customHeight="false" outlineLevel="0" collapsed="false">
      <c r="A139" s="25"/>
      <c r="B139" s="16"/>
      <c r="C139" s="16"/>
      <c r="D139" s="16"/>
      <c r="E139" s="16"/>
      <c r="F139" s="16"/>
      <c r="G139" s="47"/>
      <c r="H139" s="48" t="str">
        <f aca="false">IF(G139="","",IF(F139="Y",G139*2,G139))</f>
        <v/>
      </c>
      <c r="I139" s="27" t="str">
        <f aca="false">IF(H139="","",H139*$B$3)</f>
        <v/>
      </c>
      <c r="J139" s="16"/>
      <c r="K139" s="16"/>
      <c r="L139" s="16"/>
    </row>
    <row r="140" customFormat="false" ht="15" hidden="false" customHeight="false" outlineLevel="0" collapsed="false">
      <c r="A140" s="25"/>
      <c r="B140" s="16"/>
      <c r="C140" s="16"/>
      <c r="D140" s="16"/>
      <c r="E140" s="16"/>
      <c r="F140" s="16"/>
      <c r="G140" s="47"/>
      <c r="H140" s="48" t="str">
        <f aca="false">IF(G140="","",IF(F140="Y",G140*2,G140))</f>
        <v/>
      </c>
      <c r="I140" s="27" t="str">
        <f aca="false">IF(H140="","",H140*$B$3)</f>
        <v/>
      </c>
      <c r="J140" s="16"/>
      <c r="K140" s="16"/>
      <c r="L140" s="16"/>
    </row>
    <row r="141" customFormat="false" ht="15" hidden="false" customHeight="false" outlineLevel="0" collapsed="false">
      <c r="A141" s="25"/>
      <c r="B141" s="16"/>
      <c r="C141" s="16"/>
      <c r="D141" s="16"/>
      <c r="E141" s="16"/>
      <c r="F141" s="16"/>
      <c r="G141" s="47"/>
      <c r="H141" s="48" t="str">
        <f aca="false">IF(G141="","",IF(F141="Y",G141*2,G141))</f>
        <v/>
      </c>
      <c r="I141" s="27" t="str">
        <f aca="false">IF(H141="","",H141*$B$3)</f>
        <v/>
      </c>
      <c r="J141" s="16"/>
      <c r="K141" s="16"/>
      <c r="L141" s="16"/>
    </row>
    <row r="142" customFormat="false" ht="15" hidden="false" customHeight="false" outlineLevel="0" collapsed="false">
      <c r="A142" s="25"/>
      <c r="B142" s="16"/>
      <c r="C142" s="16"/>
      <c r="D142" s="16"/>
      <c r="E142" s="16"/>
      <c r="F142" s="16"/>
      <c r="G142" s="47"/>
      <c r="H142" s="48" t="str">
        <f aca="false">IF(G142="","",IF(F142="Y",G142*2,G142))</f>
        <v/>
      </c>
      <c r="I142" s="27" t="str">
        <f aca="false">IF(H142="","",H142*$B$3)</f>
        <v/>
      </c>
      <c r="J142" s="16"/>
      <c r="K142" s="16"/>
      <c r="L142" s="16"/>
    </row>
    <row r="143" customFormat="false" ht="15" hidden="false" customHeight="false" outlineLevel="0" collapsed="false">
      <c r="A143" s="25"/>
      <c r="B143" s="16"/>
      <c r="C143" s="16"/>
      <c r="D143" s="16"/>
      <c r="E143" s="16"/>
      <c r="F143" s="16"/>
      <c r="G143" s="47"/>
      <c r="H143" s="48" t="str">
        <f aca="false">IF(G143="","",IF(F143="Y",G143*2,G143))</f>
        <v/>
      </c>
      <c r="I143" s="27" t="str">
        <f aca="false">IF(H143="","",H143*$B$3)</f>
        <v/>
      </c>
      <c r="J143" s="16"/>
      <c r="K143" s="16"/>
      <c r="L143" s="16"/>
    </row>
    <row r="144" customFormat="false" ht="15" hidden="false" customHeight="false" outlineLevel="0" collapsed="false">
      <c r="A144" s="25"/>
      <c r="B144" s="16"/>
      <c r="C144" s="16"/>
      <c r="D144" s="16"/>
      <c r="E144" s="16"/>
      <c r="F144" s="16"/>
      <c r="G144" s="47"/>
      <c r="H144" s="48" t="str">
        <f aca="false">IF(G144="","",IF(F144="Y",G144*2,G144))</f>
        <v/>
      </c>
      <c r="I144" s="27" t="str">
        <f aca="false">IF(H144="","",H144*$B$3)</f>
        <v/>
      </c>
      <c r="J144" s="16"/>
      <c r="K144" s="16"/>
      <c r="L144" s="16"/>
    </row>
    <row r="145" customFormat="false" ht="15" hidden="false" customHeight="false" outlineLevel="0" collapsed="false">
      <c r="A145" s="25"/>
      <c r="B145" s="16"/>
      <c r="C145" s="16"/>
      <c r="D145" s="16"/>
      <c r="E145" s="16"/>
      <c r="F145" s="16"/>
      <c r="G145" s="47"/>
      <c r="H145" s="48" t="str">
        <f aca="false">IF(G145="","",IF(F145="Y",G145*2,G145))</f>
        <v/>
      </c>
      <c r="I145" s="27" t="str">
        <f aca="false">IF(H145="","",H145*$B$3)</f>
        <v/>
      </c>
      <c r="J145" s="16"/>
      <c r="K145" s="16"/>
      <c r="L145" s="16"/>
    </row>
    <row r="146" customFormat="false" ht="15" hidden="false" customHeight="false" outlineLevel="0" collapsed="false">
      <c r="A146" s="25"/>
      <c r="B146" s="16"/>
      <c r="C146" s="16"/>
      <c r="D146" s="16"/>
      <c r="E146" s="16"/>
      <c r="F146" s="16"/>
      <c r="G146" s="47"/>
      <c r="H146" s="48" t="str">
        <f aca="false">IF(G146="","",IF(F146="Y",G146*2,G146))</f>
        <v/>
      </c>
      <c r="I146" s="27" t="str">
        <f aca="false">IF(H146="","",H146*$B$3)</f>
        <v/>
      </c>
      <c r="J146" s="16"/>
      <c r="K146" s="16"/>
      <c r="L146" s="16"/>
    </row>
    <row r="147" customFormat="false" ht="15" hidden="false" customHeight="false" outlineLevel="0" collapsed="false">
      <c r="A147" s="25"/>
      <c r="B147" s="16"/>
      <c r="C147" s="16"/>
      <c r="D147" s="16"/>
      <c r="E147" s="16"/>
      <c r="F147" s="16"/>
      <c r="G147" s="47"/>
      <c r="H147" s="48" t="str">
        <f aca="false">IF(G147="","",IF(F147="Y",G147*2,G147))</f>
        <v/>
      </c>
      <c r="I147" s="27" t="str">
        <f aca="false">IF(H147="","",H147*$B$3)</f>
        <v/>
      </c>
      <c r="J147" s="16"/>
      <c r="K147" s="16"/>
      <c r="L147" s="16"/>
    </row>
    <row r="148" customFormat="false" ht="15" hidden="false" customHeight="false" outlineLevel="0" collapsed="false">
      <c r="A148" s="25"/>
      <c r="B148" s="16"/>
      <c r="C148" s="16"/>
      <c r="D148" s="16"/>
      <c r="E148" s="16"/>
      <c r="F148" s="16"/>
      <c r="G148" s="47"/>
      <c r="H148" s="48" t="str">
        <f aca="false">IF(G148="","",IF(F148="Y",G148*2,G148))</f>
        <v/>
      </c>
      <c r="I148" s="27" t="str">
        <f aca="false">IF(H148="","",H148*$B$3)</f>
        <v/>
      </c>
      <c r="J148" s="16"/>
      <c r="K148" s="16"/>
      <c r="L148" s="16"/>
    </row>
    <row r="149" customFormat="false" ht="15" hidden="false" customHeight="false" outlineLevel="0" collapsed="false">
      <c r="A149" s="25"/>
      <c r="B149" s="16"/>
      <c r="C149" s="16"/>
      <c r="D149" s="16"/>
      <c r="E149" s="16"/>
      <c r="F149" s="16"/>
      <c r="G149" s="47"/>
      <c r="H149" s="48" t="str">
        <f aca="false">IF(G149="","",IF(F149="Y",G149*2,G149))</f>
        <v/>
      </c>
      <c r="I149" s="27" t="str">
        <f aca="false">IF(H149="","",H149*$B$3)</f>
        <v/>
      </c>
      <c r="J149" s="16"/>
      <c r="K149" s="16"/>
      <c r="L149" s="16"/>
    </row>
    <row r="150" customFormat="false" ht="15" hidden="false" customHeight="false" outlineLevel="0" collapsed="false">
      <c r="A150" s="25"/>
      <c r="B150" s="16"/>
      <c r="C150" s="16"/>
      <c r="D150" s="16"/>
      <c r="E150" s="16"/>
      <c r="F150" s="16"/>
      <c r="G150" s="47"/>
      <c r="H150" s="48" t="str">
        <f aca="false">IF(G150="","",IF(F150="Y",G150*2,G150))</f>
        <v/>
      </c>
      <c r="I150" s="27" t="str">
        <f aca="false">IF(H150="","",H150*$B$3)</f>
        <v/>
      </c>
      <c r="J150" s="16"/>
      <c r="K150" s="16"/>
      <c r="L150" s="16"/>
    </row>
    <row r="151" customFormat="false" ht="15" hidden="false" customHeight="false" outlineLevel="0" collapsed="false">
      <c r="A151" s="25"/>
      <c r="B151" s="16"/>
      <c r="C151" s="16"/>
      <c r="D151" s="16"/>
      <c r="E151" s="16"/>
      <c r="F151" s="16"/>
      <c r="G151" s="47"/>
      <c r="H151" s="48" t="str">
        <f aca="false">IF(G151="","",IF(F151="Y",G151*2,G151))</f>
        <v/>
      </c>
      <c r="I151" s="27" t="str">
        <f aca="false">IF(H151="","",H151*$B$3)</f>
        <v/>
      </c>
      <c r="J151" s="16"/>
      <c r="K151" s="16"/>
      <c r="L151" s="16"/>
    </row>
    <row r="152" customFormat="false" ht="15" hidden="false" customHeight="false" outlineLevel="0" collapsed="false">
      <c r="A152" s="25"/>
      <c r="B152" s="16"/>
      <c r="C152" s="16"/>
      <c r="D152" s="16"/>
      <c r="E152" s="16"/>
      <c r="F152" s="16"/>
      <c r="G152" s="47"/>
      <c r="H152" s="48" t="str">
        <f aca="false">IF(G152="","",IF(F152="Y",G152*2,G152))</f>
        <v/>
      </c>
      <c r="I152" s="27" t="str">
        <f aca="false">IF(H152="","",H152*$B$3)</f>
        <v/>
      </c>
      <c r="J152" s="16"/>
      <c r="K152" s="16"/>
      <c r="L152" s="16"/>
    </row>
    <row r="153" customFormat="false" ht="15" hidden="false" customHeight="false" outlineLevel="0" collapsed="false">
      <c r="A153" s="25"/>
      <c r="B153" s="16"/>
      <c r="C153" s="16"/>
      <c r="D153" s="16"/>
      <c r="E153" s="16"/>
      <c r="F153" s="16"/>
      <c r="G153" s="47"/>
      <c r="H153" s="48" t="str">
        <f aca="false">IF(G153="","",IF(F153="Y",G153*2,G153))</f>
        <v/>
      </c>
      <c r="I153" s="27" t="str">
        <f aca="false">IF(H153="","",H153*$B$3)</f>
        <v/>
      </c>
      <c r="J153" s="16"/>
      <c r="K153" s="16"/>
      <c r="L153" s="16"/>
    </row>
    <row r="154" customFormat="false" ht="15" hidden="false" customHeight="false" outlineLevel="0" collapsed="false">
      <c r="A154" s="25"/>
      <c r="B154" s="16"/>
      <c r="C154" s="16"/>
      <c r="D154" s="16"/>
      <c r="E154" s="16"/>
      <c r="F154" s="16"/>
      <c r="G154" s="47"/>
      <c r="H154" s="48" t="str">
        <f aca="false">IF(G154="","",IF(F154="Y",G154*2,G154))</f>
        <v/>
      </c>
      <c r="I154" s="27" t="str">
        <f aca="false">IF(H154="","",H154*$B$3)</f>
        <v/>
      </c>
      <c r="J154" s="16"/>
      <c r="K154" s="16"/>
      <c r="L154" s="16"/>
    </row>
    <row r="155" customFormat="false" ht="15" hidden="false" customHeight="false" outlineLevel="0" collapsed="false">
      <c r="A155" s="25"/>
      <c r="B155" s="16"/>
      <c r="C155" s="16"/>
      <c r="D155" s="16"/>
      <c r="E155" s="16"/>
      <c r="F155" s="16"/>
      <c r="G155" s="47"/>
      <c r="H155" s="48" t="str">
        <f aca="false">IF(G155="","",IF(F155="Y",G155*2,G155))</f>
        <v/>
      </c>
      <c r="I155" s="27" t="str">
        <f aca="false">IF(H155="","",H155*$B$3)</f>
        <v/>
      </c>
      <c r="J155" s="16"/>
      <c r="K155" s="16"/>
      <c r="L155" s="16"/>
    </row>
    <row r="156" customFormat="false" ht="15" hidden="false" customHeight="false" outlineLevel="0" collapsed="false">
      <c r="A156" s="25"/>
      <c r="B156" s="16"/>
      <c r="C156" s="16"/>
      <c r="D156" s="16"/>
      <c r="E156" s="16"/>
      <c r="F156" s="16"/>
      <c r="G156" s="47"/>
      <c r="H156" s="48" t="str">
        <f aca="false">IF(G156="","",IF(F156="Y",G156*2,G156))</f>
        <v/>
      </c>
      <c r="I156" s="27" t="str">
        <f aca="false">IF(H156="","",H156*$B$3)</f>
        <v/>
      </c>
      <c r="J156" s="16"/>
      <c r="K156" s="16"/>
      <c r="L156" s="16"/>
    </row>
    <row r="157" customFormat="false" ht="15" hidden="false" customHeight="false" outlineLevel="0" collapsed="false">
      <c r="A157" s="25"/>
      <c r="B157" s="16"/>
      <c r="C157" s="16"/>
      <c r="D157" s="16"/>
      <c r="E157" s="16"/>
      <c r="F157" s="16"/>
      <c r="G157" s="47"/>
      <c r="H157" s="48" t="str">
        <f aca="false">IF(G157="","",IF(F157="Y",G157*2,G157))</f>
        <v/>
      </c>
      <c r="I157" s="27" t="str">
        <f aca="false">IF(H157="","",H157*$B$3)</f>
        <v/>
      </c>
      <c r="J157" s="16"/>
      <c r="K157" s="16"/>
      <c r="L157" s="16"/>
    </row>
    <row r="158" customFormat="false" ht="15" hidden="false" customHeight="false" outlineLevel="0" collapsed="false">
      <c r="A158" s="25"/>
      <c r="B158" s="16"/>
      <c r="C158" s="16"/>
      <c r="D158" s="16"/>
      <c r="E158" s="16"/>
      <c r="F158" s="16"/>
      <c r="G158" s="47"/>
      <c r="H158" s="48" t="str">
        <f aca="false">IF(G158="","",IF(F158="Y",G158*2,G158))</f>
        <v/>
      </c>
      <c r="I158" s="27" t="str">
        <f aca="false">IF(H158="","",H158*$B$3)</f>
        <v/>
      </c>
      <c r="J158" s="16"/>
      <c r="K158" s="16"/>
      <c r="L158" s="16"/>
    </row>
    <row r="159" customFormat="false" ht="15" hidden="false" customHeight="false" outlineLevel="0" collapsed="false">
      <c r="A159" s="25"/>
      <c r="B159" s="16"/>
      <c r="C159" s="16"/>
      <c r="D159" s="16"/>
      <c r="E159" s="16"/>
      <c r="F159" s="16"/>
      <c r="G159" s="47"/>
      <c r="H159" s="48" t="str">
        <f aca="false">IF(G159="","",IF(F159="Y",G159*2,G159))</f>
        <v/>
      </c>
      <c r="I159" s="27" t="str">
        <f aca="false">IF(H159="","",H159*$B$3)</f>
        <v/>
      </c>
      <c r="J159" s="16"/>
      <c r="K159" s="16"/>
      <c r="L159" s="16"/>
    </row>
    <row r="160" customFormat="false" ht="15" hidden="false" customHeight="false" outlineLevel="0" collapsed="false">
      <c r="A160" s="25"/>
      <c r="B160" s="16"/>
      <c r="C160" s="16"/>
      <c r="D160" s="16"/>
      <c r="E160" s="16"/>
      <c r="F160" s="16"/>
      <c r="G160" s="47"/>
      <c r="H160" s="48" t="str">
        <f aca="false">IF(G160="","",IF(F160="Y",G160*2,G160))</f>
        <v/>
      </c>
      <c r="I160" s="27" t="str">
        <f aca="false">IF(H160="","",H160*$B$3)</f>
        <v/>
      </c>
      <c r="J160" s="16"/>
      <c r="K160" s="16"/>
      <c r="L160" s="16"/>
    </row>
    <row r="161" customFormat="false" ht="15" hidden="false" customHeight="false" outlineLevel="0" collapsed="false">
      <c r="A161" s="25"/>
      <c r="B161" s="16"/>
      <c r="C161" s="16"/>
      <c r="D161" s="16"/>
      <c r="E161" s="16"/>
      <c r="F161" s="16"/>
      <c r="G161" s="47"/>
      <c r="H161" s="48" t="str">
        <f aca="false">IF(G161="","",IF(F161="Y",G161*2,G161))</f>
        <v/>
      </c>
      <c r="I161" s="27" t="str">
        <f aca="false">IF(H161="","",H161*$B$3)</f>
        <v/>
      </c>
      <c r="J161" s="16"/>
      <c r="K161" s="16"/>
      <c r="L161" s="16"/>
    </row>
    <row r="162" customFormat="false" ht="15" hidden="false" customHeight="false" outlineLevel="0" collapsed="false">
      <c r="A162" s="25"/>
      <c r="B162" s="16"/>
      <c r="C162" s="16"/>
      <c r="D162" s="16"/>
      <c r="E162" s="16"/>
      <c r="F162" s="16"/>
      <c r="G162" s="47"/>
      <c r="H162" s="48" t="str">
        <f aca="false">IF(G162="","",IF(F162="Y",G162*2,G162))</f>
        <v/>
      </c>
      <c r="I162" s="27" t="str">
        <f aca="false">IF(H162="","",H162*$B$3)</f>
        <v/>
      </c>
      <c r="J162" s="16"/>
      <c r="K162" s="16"/>
      <c r="L162" s="16"/>
    </row>
    <row r="163" customFormat="false" ht="15" hidden="false" customHeight="false" outlineLevel="0" collapsed="false">
      <c r="A163" s="25"/>
      <c r="B163" s="16"/>
      <c r="C163" s="16"/>
      <c r="D163" s="16"/>
      <c r="E163" s="16"/>
      <c r="F163" s="16"/>
      <c r="G163" s="47"/>
      <c r="H163" s="48" t="str">
        <f aca="false">IF(G163="","",IF(F163="Y",G163*2,G163))</f>
        <v/>
      </c>
      <c r="I163" s="27" t="str">
        <f aca="false">IF(H163="","",H163*$B$3)</f>
        <v/>
      </c>
      <c r="J163" s="16"/>
      <c r="K163" s="16"/>
      <c r="L163" s="16"/>
    </row>
    <row r="164" customFormat="false" ht="15" hidden="false" customHeight="false" outlineLevel="0" collapsed="false">
      <c r="A164" s="25"/>
      <c r="B164" s="16"/>
      <c r="C164" s="16"/>
      <c r="D164" s="16"/>
      <c r="E164" s="16"/>
      <c r="F164" s="16"/>
      <c r="G164" s="47"/>
      <c r="H164" s="48" t="str">
        <f aca="false">IF(G164="","",IF(F164="Y",G164*2,G164))</f>
        <v/>
      </c>
      <c r="I164" s="27" t="str">
        <f aca="false">IF(H164="","",H164*$B$3)</f>
        <v/>
      </c>
      <c r="J164" s="16"/>
      <c r="K164" s="16"/>
      <c r="L164" s="16"/>
    </row>
    <row r="165" customFormat="false" ht="15" hidden="false" customHeight="false" outlineLevel="0" collapsed="false">
      <c r="A165" s="25"/>
      <c r="B165" s="16"/>
      <c r="C165" s="16"/>
      <c r="D165" s="16"/>
      <c r="E165" s="16"/>
      <c r="F165" s="16"/>
      <c r="G165" s="47"/>
      <c r="H165" s="48" t="str">
        <f aca="false">IF(G165="","",IF(F165="Y",G165*2,G165))</f>
        <v/>
      </c>
      <c r="I165" s="27" t="str">
        <f aca="false">IF(H165="","",H165*$B$3)</f>
        <v/>
      </c>
      <c r="J165" s="16"/>
      <c r="K165" s="16"/>
      <c r="L165" s="16"/>
    </row>
    <row r="166" customFormat="false" ht="15" hidden="false" customHeight="false" outlineLevel="0" collapsed="false">
      <c r="A166" s="25"/>
      <c r="B166" s="16"/>
      <c r="C166" s="16"/>
      <c r="D166" s="16"/>
      <c r="E166" s="16"/>
      <c r="F166" s="16"/>
      <c r="G166" s="47"/>
      <c r="H166" s="48" t="str">
        <f aca="false">IF(G166="","",IF(F166="Y",G166*2,G166))</f>
        <v/>
      </c>
      <c r="I166" s="27" t="str">
        <f aca="false">IF(H166="","",H166*$B$3)</f>
        <v/>
      </c>
      <c r="J166" s="16"/>
      <c r="K166" s="16"/>
      <c r="L166" s="16"/>
    </row>
    <row r="167" customFormat="false" ht="15" hidden="false" customHeight="false" outlineLevel="0" collapsed="false">
      <c r="A167" s="25"/>
      <c r="B167" s="16"/>
      <c r="C167" s="16"/>
      <c r="D167" s="16"/>
      <c r="E167" s="16"/>
      <c r="F167" s="16"/>
      <c r="G167" s="47"/>
      <c r="H167" s="48" t="str">
        <f aca="false">IF(G167="","",IF(F167="Y",G167*2,G167))</f>
        <v/>
      </c>
      <c r="I167" s="27" t="str">
        <f aca="false">IF(H167="","",H167*$B$3)</f>
        <v/>
      </c>
      <c r="J167" s="16"/>
      <c r="K167" s="16"/>
      <c r="L167" s="16"/>
    </row>
    <row r="168" customFormat="false" ht="15" hidden="false" customHeight="false" outlineLevel="0" collapsed="false">
      <c r="A168" s="25"/>
      <c r="B168" s="16"/>
      <c r="C168" s="16"/>
      <c r="D168" s="16"/>
      <c r="E168" s="16"/>
      <c r="F168" s="16"/>
      <c r="G168" s="47"/>
      <c r="H168" s="48" t="str">
        <f aca="false">IF(G168="","",IF(F168="Y",G168*2,G168))</f>
        <v/>
      </c>
      <c r="I168" s="27" t="str">
        <f aca="false">IF(H168="","",H168*$B$3)</f>
        <v/>
      </c>
      <c r="J168" s="16"/>
      <c r="K168" s="16"/>
      <c r="L168" s="16"/>
    </row>
    <row r="169" customFormat="false" ht="15" hidden="false" customHeight="false" outlineLevel="0" collapsed="false">
      <c r="A169" s="25"/>
      <c r="B169" s="16"/>
      <c r="C169" s="16"/>
      <c r="D169" s="16"/>
      <c r="E169" s="16"/>
      <c r="F169" s="16"/>
      <c r="G169" s="47"/>
      <c r="H169" s="48" t="str">
        <f aca="false">IF(G169="","",IF(F169="Y",G169*2,G169))</f>
        <v/>
      </c>
      <c r="I169" s="27" t="str">
        <f aca="false">IF(H169="","",H169*$B$3)</f>
        <v/>
      </c>
      <c r="J169" s="16"/>
      <c r="K169" s="16"/>
      <c r="L169" s="16"/>
    </row>
    <row r="170" customFormat="false" ht="15" hidden="false" customHeight="false" outlineLevel="0" collapsed="false">
      <c r="A170" s="25"/>
      <c r="B170" s="16"/>
      <c r="C170" s="16"/>
      <c r="D170" s="16"/>
      <c r="E170" s="16"/>
      <c r="F170" s="16"/>
      <c r="G170" s="47"/>
      <c r="H170" s="48" t="str">
        <f aca="false">IF(G170="","",IF(F170="Y",G170*2,G170))</f>
        <v/>
      </c>
      <c r="I170" s="27" t="str">
        <f aca="false">IF(H170="","",H170*$B$3)</f>
        <v/>
      </c>
      <c r="J170" s="16"/>
      <c r="K170" s="16"/>
      <c r="L170" s="16"/>
    </row>
    <row r="171" customFormat="false" ht="15" hidden="false" customHeight="false" outlineLevel="0" collapsed="false">
      <c r="A171" s="25"/>
      <c r="B171" s="16"/>
      <c r="C171" s="16"/>
      <c r="D171" s="16"/>
      <c r="E171" s="16"/>
      <c r="F171" s="16"/>
      <c r="G171" s="47"/>
      <c r="H171" s="48" t="str">
        <f aca="false">IF(G171="","",IF(F171="Y",G171*2,G171))</f>
        <v/>
      </c>
      <c r="I171" s="27" t="str">
        <f aca="false">IF(H171="","",H171*$B$3)</f>
        <v/>
      </c>
      <c r="J171" s="16"/>
      <c r="K171" s="16"/>
      <c r="L171" s="16"/>
    </row>
    <row r="172" customFormat="false" ht="15" hidden="false" customHeight="false" outlineLevel="0" collapsed="false">
      <c r="A172" s="25"/>
      <c r="B172" s="16"/>
      <c r="C172" s="16"/>
      <c r="D172" s="16"/>
      <c r="E172" s="16"/>
      <c r="F172" s="16"/>
      <c r="G172" s="47"/>
      <c r="H172" s="48" t="str">
        <f aca="false">IF(G172="","",IF(F172="Y",G172*2,G172))</f>
        <v/>
      </c>
      <c r="I172" s="27" t="str">
        <f aca="false">IF(H172="","",H172*$B$3)</f>
        <v/>
      </c>
      <c r="J172" s="16"/>
      <c r="K172" s="16"/>
      <c r="L172" s="16"/>
    </row>
    <row r="173" customFormat="false" ht="15" hidden="false" customHeight="false" outlineLevel="0" collapsed="false">
      <c r="A173" s="25"/>
      <c r="B173" s="16"/>
      <c r="C173" s="16"/>
      <c r="D173" s="16"/>
      <c r="E173" s="16"/>
      <c r="F173" s="16"/>
      <c r="G173" s="47"/>
      <c r="H173" s="48" t="str">
        <f aca="false">IF(G173="","",IF(F173="Y",G173*2,G173))</f>
        <v/>
      </c>
      <c r="I173" s="27" t="str">
        <f aca="false">IF(H173="","",H173*$B$3)</f>
        <v/>
      </c>
      <c r="J173" s="16"/>
      <c r="K173" s="16"/>
      <c r="L173" s="16"/>
    </row>
    <row r="174" customFormat="false" ht="15" hidden="false" customHeight="false" outlineLevel="0" collapsed="false">
      <c r="A174" s="25"/>
      <c r="B174" s="16"/>
      <c r="C174" s="16"/>
      <c r="D174" s="16"/>
      <c r="E174" s="16"/>
      <c r="F174" s="16"/>
      <c r="G174" s="47"/>
      <c r="H174" s="48" t="str">
        <f aca="false">IF(G174="","",IF(F174="Y",G174*2,G174))</f>
        <v/>
      </c>
      <c r="I174" s="27" t="str">
        <f aca="false">IF(H174="","",H174*$B$3)</f>
        <v/>
      </c>
      <c r="J174" s="16"/>
      <c r="K174" s="16"/>
      <c r="L174" s="16"/>
    </row>
    <row r="175" customFormat="false" ht="15" hidden="false" customHeight="false" outlineLevel="0" collapsed="false">
      <c r="A175" s="25"/>
      <c r="B175" s="16"/>
      <c r="C175" s="16"/>
      <c r="D175" s="16"/>
      <c r="E175" s="16"/>
      <c r="F175" s="16"/>
      <c r="G175" s="47"/>
      <c r="H175" s="48" t="str">
        <f aca="false">IF(G175="","",IF(F175="Y",G175*2,G175))</f>
        <v/>
      </c>
      <c r="I175" s="27" t="str">
        <f aca="false">IF(H175="","",H175*$B$3)</f>
        <v/>
      </c>
      <c r="J175" s="16"/>
      <c r="K175" s="16"/>
      <c r="L175" s="16"/>
    </row>
    <row r="176" customFormat="false" ht="15" hidden="false" customHeight="false" outlineLevel="0" collapsed="false">
      <c r="A176" s="25"/>
      <c r="B176" s="16"/>
      <c r="C176" s="16"/>
      <c r="D176" s="16"/>
      <c r="E176" s="16"/>
      <c r="F176" s="16"/>
      <c r="G176" s="47"/>
      <c r="H176" s="48" t="str">
        <f aca="false">IF(G176="","",IF(F176="Y",G176*2,G176))</f>
        <v/>
      </c>
      <c r="I176" s="27" t="str">
        <f aca="false">IF(H176="","",H176*$B$3)</f>
        <v/>
      </c>
      <c r="J176" s="16"/>
      <c r="K176" s="16"/>
      <c r="L176" s="16"/>
    </row>
    <row r="177" customFormat="false" ht="15" hidden="false" customHeight="false" outlineLevel="0" collapsed="false">
      <c r="A177" s="25"/>
      <c r="B177" s="16"/>
      <c r="C177" s="16"/>
      <c r="D177" s="16"/>
      <c r="E177" s="16"/>
      <c r="F177" s="16"/>
      <c r="G177" s="47"/>
      <c r="H177" s="48" t="str">
        <f aca="false">IF(G177="","",IF(F177="Y",G177*2,G177))</f>
        <v/>
      </c>
      <c r="I177" s="27" t="str">
        <f aca="false">IF(H177="","",H177*$B$3)</f>
        <v/>
      </c>
      <c r="J177" s="16"/>
      <c r="K177" s="16"/>
      <c r="L177" s="16"/>
    </row>
    <row r="178" customFormat="false" ht="15" hidden="false" customHeight="false" outlineLevel="0" collapsed="false">
      <c r="A178" s="25"/>
      <c r="B178" s="16"/>
      <c r="C178" s="16"/>
      <c r="D178" s="16"/>
      <c r="E178" s="16"/>
      <c r="F178" s="16"/>
      <c r="G178" s="47"/>
      <c r="H178" s="48" t="str">
        <f aca="false">IF(G178="","",IF(F178="Y",G178*2,G178))</f>
        <v/>
      </c>
      <c r="I178" s="27" t="str">
        <f aca="false">IF(H178="","",H178*$B$3)</f>
        <v/>
      </c>
      <c r="J178" s="16"/>
      <c r="K178" s="16"/>
      <c r="L178" s="16"/>
    </row>
    <row r="179" customFormat="false" ht="15" hidden="false" customHeight="false" outlineLevel="0" collapsed="false">
      <c r="A179" s="25"/>
      <c r="B179" s="16"/>
      <c r="C179" s="16"/>
      <c r="D179" s="16"/>
      <c r="E179" s="16"/>
      <c r="F179" s="16"/>
      <c r="G179" s="47"/>
      <c r="H179" s="48" t="str">
        <f aca="false">IF(G179="","",IF(F179="Y",G179*2,G179))</f>
        <v/>
      </c>
      <c r="I179" s="27" t="str">
        <f aca="false">IF(H179="","",H179*$B$3)</f>
        <v/>
      </c>
      <c r="J179" s="16"/>
      <c r="K179" s="16"/>
      <c r="L179" s="16"/>
    </row>
    <row r="180" customFormat="false" ht="15" hidden="false" customHeight="false" outlineLevel="0" collapsed="false">
      <c r="A180" s="25"/>
      <c r="B180" s="16"/>
      <c r="C180" s="16"/>
      <c r="D180" s="16"/>
      <c r="E180" s="16"/>
      <c r="F180" s="16"/>
      <c r="G180" s="47"/>
      <c r="H180" s="48" t="str">
        <f aca="false">IF(G180="","",IF(F180="Y",G180*2,G180))</f>
        <v/>
      </c>
      <c r="I180" s="27" t="str">
        <f aca="false">IF(H180="","",H180*$B$3)</f>
        <v/>
      </c>
      <c r="J180" s="16"/>
      <c r="K180" s="16"/>
      <c r="L180" s="16"/>
    </row>
    <row r="181" customFormat="false" ht="15" hidden="false" customHeight="false" outlineLevel="0" collapsed="false">
      <c r="A181" s="25"/>
      <c r="B181" s="16"/>
      <c r="C181" s="16"/>
      <c r="D181" s="16"/>
      <c r="E181" s="16"/>
      <c r="F181" s="16"/>
      <c r="G181" s="47"/>
      <c r="H181" s="48" t="str">
        <f aca="false">IF(G181="","",IF(F181="Y",G181*2,G181))</f>
        <v/>
      </c>
      <c r="I181" s="27" t="str">
        <f aca="false">IF(H181="","",H181*$B$3)</f>
        <v/>
      </c>
      <c r="J181" s="16"/>
      <c r="K181" s="16"/>
      <c r="L181" s="16"/>
    </row>
    <row r="182" customFormat="false" ht="15" hidden="false" customHeight="false" outlineLevel="0" collapsed="false">
      <c r="A182" s="25"/>
      <c r="B182" s="16"/>
      <c r="C182" s="16"/>
      <c r="D182" s="16"/>
      <c r="E182" s="16"/>
      <c r="F182" s="16"/>
      <c r="G182" s="47"/>
      <c r="H182" s="48" t="str">
        <f aca="false">IF(G182="","",IF(F182="Y",G182*2,G182))</f>
        <v/>
      </c>
      <c r="I182" s="27" t="str">
        <f aca="false">IF(H182="","",H182*$B$3)</f>
        <v/>
      </c>
      <c r="J182" s="16"/>
      <c r="K182" s="16"/>
      <c r="L182" s="16"/>
    </row>
    <row r="183" customFormat="false" ht="15" hidden="false" customHeight="false" outlineLevel="0" collapsed="false">
      <c r="A183" s="25"/>
      <c r="B183" s="16"/>
      <c r="C183" s="16"/>
      <c r="D183" s="16"/>
      <c r="E183" s="16"/>
      <c r="F183" s="16"/>
      <c r="G183" s="47"/>
      <c r="H183" s="48" t="str">
        <f aca="false">IF(G183="","",IF(F183="Y",G183*2,G183))</f>
        <v/>
      </c>
      <c r="I183" s="27" t="str">
        <f aca="false">IF(H183="","",H183*$B$3)</f>
        <v/>
      </c>
      <c r="J183" s="16"/>
      <c r="K183" s="16"/>
      <c r="L183" s="16"/>
    </row>
    <row r="184" customFormat="false" ht="15" hidden="false" customHeight="false" outlineLevel="0" collapsed="false">
      <c r="A184" s="25"/>
      <c r="B184" s="16"/>
      <c r="C184" s="16"/>
      <c r="D184" s="16"/>
      <c r="E184" s="16"/>
      <c r="F184" s="16"/>
      <c r="G184" s="47"/>
      <c r="H184" s="48" t="str">
        <f aca="false">IF(G184="","",IF(F184="Y",G184*2,G184))</f>
        <v/>
      </c>
      <c r="I184" s="27" t="str">
        <f aca="false">IF(H184="","",H184*$B$3)</f>
        <v/>
      </c>
      <c r="J184" s="16"/>
      <c r="K184" s="16"/>
      <c r="L184" s="16"/>
    </row>
    <row r="185" customFormat="false" ht="15" hidden="false" customHeight="false" outlineLevel="0" collapsed="false">
      <c r="A185" s="25"/>
      <c r="B185" s="16"/>
      <c r="C185" s="16"/>
      <c r="D185" s="16"/>
      <c r="E185" s="16"/>
      <c r="F185" s="16"/>
      <c r="G185" s="47"/>
      <c r="H185" s="48" t="str">
        <f aca="false">IF(G185="","",IF(F185="Y",G185*2,G185))</f>
        <v/>
      </c>
      <c r="I185" s="27" t="str">
        <f aca="false">IF(H185="","",H185*$B$3)</f>
        <v/>
      </c>
      <c r="J185" s="16"/>
      <c r="K185" s="16"/>
      <c r="L185" s="16"/>
    </row>
    <row r="186" customFormat="false" ht="15" hidden="false" customHeight="false" outlineLevel="0" collapsed="false">
      <c r="A186" s="25"/>
      <c r="B186" s="16"/>
      <c r="C186" s="16"/>
      <c r="D186" s="16"/>
      <c r="E186" s="16"/>
      <c r="F186" s="16"/>
      <c r="G186" s="47"/>
      <c r="H186" s="48" t="str">
        <f aca="false">IF(G186="","",IF(F186="Y",G186*2,G186))</f>
        <v/>
      </c>
      <c r="I186" s="27" t="str">
        <f aca="false">IF(H186="","",H186*$B$3)</f>
        <v/>
      </c>
      <c r="J186" s="16"/>
      <c r="K186" s="16"/>
      <c r="L186" s="16"/>
    </row>
    <row r="187" customFormat="false" ht="15" hidden="false" customHeight="false" outlineLevel="0" collapsed="false">
      <c r="A187" s="25"/>
      <c r="B187" s="16"/>
      <c r="C187" s="16"/>
      <c r="D187" s="16"/>
      <c r="E187" s="16"/>
      <c r="F187" s="16"/>
      <c r="G187" s="47"/>
      <c r="H187" s="48" t="str">
        <f aca="false">IF(G187="","",IF(F187="Y",G187*2,G187))</f>
        <v/>
      </c>
      <c r="I187" s="27" t="str">
        <f aca="false">IF(H187="","",H187*$B$3)</f>
        <v/>
      </c>
      <c r="J187" s="16"/>
      <c r="K187" s="16"/>
      <c r="L187" s="16"/>
    </row>
    <row r="188" customFormat="false" ht="15" hidden="false" customHeight="false" outlineLevel="0" collapsed="false">
      <c r="A188" s="25"/>
      <c r="B188" s="16"/>
      <c r="C188" s="16"/>
      <c r="D188" s="16"/>
      <c r="E188" s="16"/>
      <c r="F188" s="16"/>
      <c r="G188" s="47"/>
      <c r="H188" s="48" t="str">
        <f aca="false">IF(G188="","",IF(F188="Y",G188*2,G188))</f>
        <v/>
      </c>
      <c r="I188" s="27" t="str">
        <f aca="false">IF(H188="","",H188*$B$3)</f>
        <v/>
      </c>
      <c r="J188" s="16"/>
      <c r="K188" s="16"/>
      <c r="L188" s="16"/>
    </row>
    <row r="189" customFormat="false" ht="15" hidden="false" customHeight="false" outlineLevel="0" collapsed="false">
      <c r="A189" s="25"/>
      <c r="B189" s="16"/>
      <c r="C189" s="16"/>
      <c r="D189" s="16"/>
      <c r="E189" s="16"/>
      <c r="F189" s="16"/>
      <c r="G189" s="47"/>
      <c r="H189" s="48" t="str">
        <f aca="false">IF(G189="","",IF(F189="Y",G189*2,G189))</f>
        <v/>
      </c>
      <c r="I189" s="27" t="str">
        <f aca="false">IF(H189="","",H189*$B$3)</f>
        <v/>
      </c>
      <c r="J189" s="16"/>
      <c r="K189" s="16"/>
      <c r="L189" s="16"/>
    </row>
    <row r="190" customFormat="false" ht="15" hidden="false" customHeight="false" outlineLevel="0" collapsed="false">
      <c r="A190" s="25"/>
      <c r="B190" s="16"/>
      <c r="C190" s="16"/>
      <c r="D190" s="16"/>
      <c r="E190" s="16"/>
      <c r="F190" s="16"/>
      <c r="G190" s="47"/>
      <c r="H190" s="48" t="str">
        <f aca="false">IF(G190="","",IF(F190="Y",G190*2,G190))</f>
        <v/>
      </c>
      <c r="I190" s="27" t="str">
        <f aca="false">IF(H190="","",H190*$B$3)</f>
        <v/>
      </c>
      <c r="J190" s="16"/>
      <c r="K190" s="16"/>
      <c r="L190" s="16"/>
    </row>
    <row r="191" customFormat="false" ht="15" hidden="false" customHeight="false" outlineLevel="0" collapsed="false">
      <c r="A191" s="25"/>
      <c r="B191" s="16"/>
      <c r="C191" s="16"/>
      <c r="D191" s="16"/>
      <c r="E191" s="16"/>
      <c r="F191" s="16"/>
      <c r="G191" s="47"/>
      <c r="H191" s="48" t="str">
        <f aca="false">IF(G191="","",IF(F191="Y",G191*2,G191))</f>
        <v/>
      </c>
      <c r="I191" s="27" t="str">
        <f aca="false">IF(H191="","",H191*$B$3)</f>
        <v/>
      </c>
      <c r="J191" s="16"/>
      <c r="K191" s="16"/>
      <c r="L191" s="16"/>
    </row>
    <row r="192" customFormat="false" ht="15" hidden="false" customHeight="false" outlineLevel="0" collapsed="false">
      <c r="A192" s="25"/>
      <c r="B192" s="16"/>
      <c r="C192" s="16"/>
      <c r="D192" s="16"/>
      <c r="E192" s="16"/>
      <c r="F192" s="16"/>
      <c r="G192" s="47"/>
      <c r="H192" s="48" t="str">
        <f aca="false">IF(G192="","",IF(F192="Y",G192*2,G192))</f>
        <v/>
      </c>
      <c r="I192" s="27" t="str">
        <f aca="false">IF(H192="","",H192*$B$3)</f>
        <v/>
      </c>
      <c r="J192" s="16"/>
      <c r="K192" s="16"/>
      <c r="L192" s="16"/>
    </row>
    <row r="193" customFormat="false" ht="15" hidden="false" customHeight="false" outlineLevel="0" collapsed="false">
      <c r="A193" s="25"/>
      <c r="B193" s="16"/>
      <c r="C193" s="16"/>
      <c r="D193" s="16"/>
      <c r="E193" s="16"/>
      <c r="F193" s="16"/>
      <c r="G193" s="47"/>
      <c r="H193" s="48" t="str">
        <f aca="false">IF(G193="","",IF(F193="Y",G193*2,G193))</f>
        <v/>
      </c>
      <c r="I193" s="27" t="str">
        <f aca="false">IF(H193="","",H193*$B$3)</f>
        <v/>
      </c>
      <c r="J193" s="16"/>
      <c r="K193" s="16"/>
      <c r="L193" s="16"/>
    </row>
    <row r="194" customFormat="false" ht="15" hidden="false" customHeight="false" outlineLevel="0" collapsed="false">
      <c r="A194" s="25"/>
      <c r="B194" s="16"/>
      <c r="C194" s="16"/>
      <c r="D194" s="16"/>
      <c r="E194" s="16"/>
      <c r="F194" s="16"/>
      <c r="G194" s="47"/>
      <c r="H194" s="48" t="str">
        <f aca="false">IF(G194="","",IF(F194="Y",G194*2,G194))</f>
        <v/>
      </c>
      <c r="I194" s="27" t="str">
        <f aca="false">IF(H194="","",H194*$B$3)</f>
        <v/>
      </c>
      <c r="J194" s="16"/>
      <c r="K194" s="16"/>
      <c r="L194" s="16"/>
    </row>
    <row r="195" customFormat="false" ht="15" hidden="false" customHeight="false" outlineLevel="0" collapsed="false">
      <c r="A195" s="25"/>
      <c r="B195" s="16"/>
      <c r="C195" s="16"/>
      <c r="D195" s="16"/>
      <c r="E195" s="16"/>
      <c r="F195" s="16"/>
      <c r="G195" s="47"/>
      <c r="H195" s="48" t="str">
        <f aca="false">IF(G195="","",IF(F195="Y",G195*2,G195))</f>
        <v/>
      </c>
      <c r="I195" s="27" t="str">
        <f aca="false">IF(H195="","",H195*$B$3)</f>
        <v/>
      </c>
      <c r="J195" s="16"/>
      <c r="K195" s="16"/>
      <c r="L195" s="16"/>
    </row>
    <row r="196" customFormat="false" ht="15" hidden="false" customHeight="false" outlineLevel="0" collapsed="false">
      <c r="A196" s="25"/>
      <c r="B196" s="16"/>
      <c r="C196" s="16"/>
      <c r="D196" s="16"/>
      <c r="E196" s="16"/>
      <c r="F196" s="16"/>
      <c r="G196" s="47"/>
      <c r="H196" s="48" t="str">
        <f aca="false">IF(G196="","",IF(F196="Y",G196*2,G196))</f>
        <v/>
      </c>
      <c r="I196" s="27" t="str">
        <f aca="false">IF(H196="","",H196*$B$3)</f>
        <v/>
      </c>
      <c r="J196" s="16"/>
      <c r="K196" s="16"/>
      <c r="L196" s="16"/>
    </row>
    <row r="197" customFormat="false" ht="15" hidden="false" customHeight="false" outlineLevel="0" collapsed="false">
      <c r="A197" s="25"/>
      <c r="B197" s="16"/>
      <c r="C197" s="16"/>
      <c r="D197" s="16"/>
      <c r="E197" s="16"/>
      <c r="F197" s="16"/>
      <c r="G197" s="47"/>
      <c r="H197" s="48" t="str">
        <f aca="false">IF(G197="","",IF(F197="Y",G197*2,G197))</f>
        <v/>
      </c>
      <c r="I197" s="27" t="str">
        <f aca="false">IF(H197="","",H197*$B$3)</f>
        <v/>
      </c>
      <c r="J197" s="16"/>
      <c r="K197" s="16"/>
      <c r="L197" s="16"/>
    </row>
    <row r="198" customFormat="false" ht="15" hidden="false" customHeight="false" outlineLevel="0" collapsed="false">
      <c r="A198" s="25"/>
      <c r="B198" s="16"/>
      <c r="C198" s="16"/>
      <c r="D198" s="16"/>
      <c r="E198" s="16"/>
      <c r="F198" s="16"/>
      <c r="G198" s="47"/>
      <c r="H198" s="48" t="str">
        <f aca="false">IF(G198="","",IF(F198="Y",G198*2,G198))</f>
        <v/>
      </c>
      <c r="I198" s="27" t="str">
        <f aca="false">IF(H198="","",H198*$B$3)</f>
        <v/>
      </c>
      <c r="J198" s="16"/>
      <c r="K198" s="16"/>
      <c r="L198" s="16"/>
    </row>
    <row r="199" customFormat="false" ht="15" hidden="false" customHeight="false" outlineLevel="0" collapsed="false">
      <c r="A199" s="25"/>
      <c r="B199" s="16"/>
      <c r="C199" s="16"/>
      <c r="D199" s="16"/>
      <c r="E199" s="16"/>
      <c r="F199" s="16"/>
      <c r="G199" s="47"/>
      <c r="H199" s="48" t="str">
        <f aca="false">IF(G199="","",IF(F199="Y",G199*2,G199))</f>
        <v/>
      </c>
      <c r="I199" s="27" t="str">
        <f aca="false">IF(H199="","",H199*$B$3)</f>
        <v/>
      </c>
      <c r="J199" s="16"/>
      <c r="K199" s="16"/>
      <c r="L199" s="16"/>
    </row>
    <row r="200" customFormat="false" ht="15" hidden="false" customHeight="false" outlineLevel="0" collapsed="false">
      <c r="A200" s="25"/>
      <c r="B200" s="16"/>
      <c r="C200" s="16"/>
      <c r="D200" s="16"/>
      <c r="E200" s="16"/>
      <c r="F200" s="16"/>
      <c r="G200" s="47"/>
      <c r="H200" s="48" t="str">
        <f aca="false">IF(G200="","",IF(F200="Y",G200*2,G200))</f>
        <v/>
      </c>
      <c r="I200" s="27" t="str">
        <f aca="false">IF(H200="","",H200*$B$3)</f>
        <v/>
      </c>
      <c r="J200" s="16"/>
      <c r="K200" s="16"/>
      <c r="L200" s="16"/>
    </row>
    <row r="201" customFormat="false" ht="15" hidden="false" customHeight="false" outlineLevel="0" collapsed="false">
      <c r="A201" s="25"/>
      <c r="B201" s="16"/>
      <c r="C201" s="16"/>
      <c r="D201" s="16"/>
      <c r="E201" s="16"/>
      <c r="F201" s="16"/>
      <c r="G201" s="47"/>
      <c r="H201" s="48" t="str">
        <f aca="false">IF(G201="","",IF(F201="Y",G201*2,G201))</f>
        <v/>
      </c>
      <c r="I201" s="27" t="str">
        <f aca="false">IF(H201="","",H201*$B$3)</f>
        <v/>
      </c>
      <c r="J201" s="16"/>
      <c r="K201" s="16"/>
      <c r="L201" s="16"/>
    </row>
    <row r="202" customFormat="false" ht="15" hidden="false" customHeight="false" outlineLevel="0" collapsed="false">
      <c r="A202" s="25"/>
      <c r="B202" s="16"/>
      <c r="C202" s="16"/>
      <c r="D202" s="16"/>
      <c r="E202" s="16"/>
      <c r="F202" s="16"/>
      <c r="G202" s="47"/>
      <c r="H202" s="48" t="str">
        <f aca="false">IF(G202="","",IF(F202="Y",G202*2,G202))</f>
        <v/>
      </c>
      <c r="I202" s="27" t="str">
        <f aca="false">IF(H202="","",H202*$B$3)</f>
        <v/>
      </c>
      <c r="J202" s="16"/>
      <c r="K202" s="16"/>
      <c r="L202" s="16"/>
    </row>
    <row r="203" customFormat="false" ht="15" hidden="false" customHeight="false" outlineLevel="0" collapsed="false">
      <c r="A203" s="25"/>
      <c r="B203" s="16"/>
      <c r="C203" s="16"/>
      <c r="D203" s="16"/>
      <c r="E203" s="16"/>
      <c r="F203" s="16"/>
      <c r="G203" s="47"/>
      <c r="H203" s="48" t="str">
        <f aca="false">IF(G203="","",IF(F203="Y",G203*2,G203))</f>
        <v/>
      </c>
      <c r="I203" s="27" t="str">
        <f aca="false">IF(H203="","",H203*$B$3)</f>
        <v/>
      </c>
      <c r="J203" s="16"/>
      <c r="K203" s="16"/>
      <c r="L203" s="16"/>
    </row>
    <row r="204" customFormat="false" ht="15" hidden="false" customHeight="false" outlineLevel="0" collapsed="false">
      <c r="A204" s="25"/>
      <c r="B204" s="16"/>
      <c r="C204" s="16"/>
      <c r="D204" s="16"/>
      <c r="E204" s="16"/>
      <c r="F204" s="16"/>
      <c r="G204" s="47"/>
      <c r="H204" s="48" t="str">
        <f aca="false">IF(G204="","",IF(F204="Y",G204*2,G204))</f>
        <v/>
      </c>
      <c r="I204" s="27" t="str">
        <f aca="false">IF(H204="","",H204*$B$3)</f>
        <v/>
      </c>
      <c r="J204" s="16"/>
      <c r="K204" s="16"/>
      <c r="L204" s="16"/>
    </row>
    <row r="205" customFormat="false" ht="15" hidden="false" customHeight="false" outlineLevel="0" collapsed="false">
      <c r="A205" s="25"/>
      <c r="B205" s="16"/>
      <c r="C205" s="16"/>
      <c r="D205" s="16"/>
      <c r="E205" s="16"/>
      <c r="F205" s="16"/>
      <c r="G205" s="47"/>
      <c r="H205" s="48" t="str">
        <f aca="false">IF(G205="","",IF(F205="Y",G205*2,G205))</f>
        <v/>
      </c>
      <c r="I205" s="27" t="str">
        <f aca="false">IF(H205="","",H205*$B$3)</f>
        <v/>
      </c>
      <c r="J205" s="16"/>
      <c r="K205" s="16"/>
      <c r="L205" s="16"/>
    </row>
    <row r="206" customFormat="false" ht="15" hidden="false" customHeight="false" outlineLevel="0" collapsed="false">
      <c r="A206" s="25"/>
      <c r="B206" s="16"/>
      <c r="C206" s="16"/>
      <c r="D206" s="16"/>
      <c r="E206" s="16"/>
      <c r="F206" s="16"/>
      <c r="G206" s="47"/>
      <c r="H206" s="48" t="str">
        <f aca="false">IF(G206="","",IF(F206="Y",G206*2,G206))</f>
        <v/>
      </c>
      <c r="I206" s="27" t="str">
        <f aca="false">IF(H206="","",H206*$B$3)</f>
        <v/>
      </c>
      <c r="J206" s="16"/>
      <c r="K206" s="16"/>
      <c r="L206" s="16"/>
    </row>
    <row r="207" customFormat="false" ht="15" hidden="false" customHeight="false" outlineLevel="0" collapsed="false">
      <c r="A207" s="25"/>
      <c r="B207" s="16"/>
      <c r="C207" s="16"/>
      <c r="D207" s="16"/>
      <c r="E207" s="16"/>
      <c r="F207" s="16"/>
      <c r="G207" s="47"/>
      <c r="H207" s="48" t="str">
        <f aca="false">IF(G207="","",IF(F207="Y",G207*2,G207))</f>
        <v/>
      </c>
      <c r="I207" s="27" t="str">
        <f aca="false">IF(H207="","",H207*$B$3)</f>
        <v/>
      </c>
      <c r="J207" s="16"/>
      <c r="K207" s="16"/>
      <c r="L207" s="16"/>
    </row>
    <row r="208" customFormat="false" ht="15" hidden="false" customHeight="false" outlineLevel="0" collapsed="false">
      <c r="A208" s="25"/>
      <c r="B208" s="16"/>
      <c r="C208" s="16"/>
      <c r="D208" s="16"/>
      <c r="E208" s="16"/>
      <c r="F208" s="16"/>
      <c r="G208" s="47"/>
      <c r="H208" s="48" t="str">
        <f aca="false">IF(G208="","",IF(F208="Y",G208*2,G208))</f>
        <v/>
      </c>
      <c r="I208" s="27" t="str">
        <f aca="false">IF(H208="","",H208*$B$3)</f>
        <v/>
      </c>
      <c r="J208" s="16"/>
      <c r="K208" s="16"/>
      <c r="L208" s="16"/>
    </row>
    <row r="209" customFormat="false" ht="15" hidden="false" customHeight="false" outlineLevel="0" collapsed="false">
      <c r="A209" s="25"/>
      <c r="B209" s="16"/>
      <c r="C209" s="16"/>
      <c r="D209" s="16"/>
      <c r="E209" s="16"/>
      <c r="F209" s="16"/>
      <c r="G209" s="47"/>
      <c r="H209" s="48" t="str">
        <f aca="false">IF(G209="","",IF(F209="Y",G209*2,G209))</f>
        <v/>
      </c>
      <c r="I209" s="27" t="str">
        <f aca="false">IF(H209="","",H209*$B$3)</f>
        <v/>
      </c>
      <c r="J209" s="16"/>
      <c r="K209" s="16"/>
      <c r="L209" s="16"/>
    </row>
    <row r="210" customFormat="false" ht="15" hidden="false" customHeight="false" outlineLevel="0" collapsed="false">
      <c r="A210" s="25"/>
      <c r="B210" s="16"/>
      <c r="C210" s="16"/>
      <c r="D210" s="16"/>
      <c r="E210" s="16"/>
      <c r="F210" s="16"/>
      <c r="G210" s="47"/>
      <c r="H210" s="48" t="str">
        <f aca="false">IF(G210="","",IF(F210="Y",G210*2,G210))</f>
        <v/>
      </c>
      <c r="I210" s="27" t="str">
        <f aca="false">IF(H210="","",H210*$B$3)</f>
        <v/>
      </c>
      <c r="J210" s="16"/>
      <c r="K210" s="16"/>
      <c r="L210" s="16"/>
    </row>
    <row r="211" customFormat="false" ht="15" hidden="false" customHeight="false" outlineLevel="0" collapsed="false">
      <c r="A211" s="25"/>
      <c r="B211" s="16"/>
      <c r="C211" s="16"/>
      <c r="D211" s="16"/>
      <c r="E211" s="16"/>
      <c r="F211" s="16"/>
      <c r="G211" s="47"/>
      <c r="H211" s="48" t="str">
        <f aca="false">IF(G211="","",IF(F211="Y",G211*2,G211))</f>
        <v/>
      </c>
      <c r="I211" s="27" t="str">
        <f aca="false">IF(H211="","",H211*$B$3)</f>
        <v/>
      </c>
      <c r="J211" s="16"/>
      <c r="K211" s="16"/>
      <c r="L211" s="16"/>
    </row>
    <row r="212" customFormat="false" ht="15" hidden="false" customHeight="false" outlineLevel="0" collapsed="false">
      <c r="A212" s="25"/>
      <c r="B212" s="16"/>
      <c r="C212" s="16"/>
      <c r="D212" s="16"/>
      <c r="E212" s="16"/>
      <c r="F212" s="16"/>
      <c r="G212" s="47"/>
      <c r="H212" s="48" t="str">
        <f aca="false">IF(G212="","",IF(F212="Y",G212*2,G212))</f>
        <v/>
      </c>
      <c r="I212" s="27" t="str">
        <f aca="false">IF(H212="","",H212*$B$3)</f>
        <v/>
      </c>
      <c r="J212" s="16"/>
      <c r="K212" s="16"/>
      <c r="L212" s="16"/>
    </row>
    <row r="213" customFormat="false" ht="15" hidden="false" customHeight="false" outlineLevel="0" collapsed="false">
      <c r="A213" s="25"/>
      <c r="B213" s="16"/>
      <c r="C213" s="16"/>
      <c r="D213" s="16"/>
      <c r="E213" s="16"/>
      <c r="F213" s="16"/>
      <c r="G213" s="47"/>
      <c r="H213" s="48" t="str">
        <f aca="false">IF(G213="","",IF(F213="Y",G213*2,G213))</f>
        <v/>
      </c>
      <c r="I213" s="27" t="str">
        <f aca="false">IF(H213="","",H213*$B$3)</f>
        <v/>
      </c>
      <c r="J213" s="16"/>
      <c r="K213" s="16"/>
      <c r="L213" s="16"/>
    </row>
    <row r="214" customFormat="false" ht="15" hidden="false" customHeight="false" outlineLevel="0" collapsed="false">
      <c r="A214" s="25"/>
      <c r="B214" s="16"/>
      <c r="C214" s="16"/>
      <c r="D214" s="16"/>
      <c r="E214" s="16"/>
      <c r="F214" s="16"/>
      <c r="G214" s="47"/>
      <c r="H214" s="48" t="str">
        <f aca="false">IF(G214="","",IF(F214="Y",G214*2,G214))</f>
        <v/>
      </c>
      <c r="I214" s="27" t="str">
        <f aca="false">IF(H214="","",H214*$B$3)</f>
        <v/>
      </c>
      <c r="J214" s="16"/>
      <c r="K214" s="16"/>
      <c r="L214" s="16"/>
    </row>
    <row r="215" customFormat="false" ht="15" hidden="false" customHeight="false" outlineLevel="0" collapsed="false">
      <c r="A215" s="25"/>
      <c r="B215" s="16"/>
      <c r="C215" s="16"/>
      <c r="D215" s="16"/>
      <c r="E215" s="16"/>
      <c r="F215" s="16"/>
      <c r="G215" s="47"/>
      <c r="H215" s="48" t="str">
        <f aca="false">IF(G215="","",IF(F215="Y",G215*2,G215))</f>
        <v/>
      </c>
      <c r="I215" s="27" t="str">
        <f aca="false">IF(H215="","",H215*$B$3)</f>
        <v/>
      </c>
      <c r="J215" s="16"/>
      <c r="K215" s="16"/>
      <c r="L215" s="16"/>
    </row>
    <row r="216" customFormat="false" ht="15" hidden="false" customHeight="false" outlineLevel="0" collapsed="false">
      <c r="A216" s="25"/>
      <c r="B216" s="16"/>
      <c r="C216" s="16"/>
      <c r="D216" s="16"/>
      <c r="E216" s="16"/>
      <c r="F216" s="16"/>
      <c r="G216" s="47"/>
      <c r="H216" s="48" t="str">
        <f aca="false">IF(G216="","",IF(F216="Y",G216*2,G216))</f>
        <v/>
      </c>
      <c r="I216" s="27" t="str">
        <f aca="false">IF(H216="","",H216*$B$3)</f>
        <v/>
      </c>
      <c r="J216" s="16"/>
      <c r="K216" s="16"/>
      <c r="L216" s="16"/>
    </row>
    <row r="217" customFormat="false" ht="15" hidden="false" customHeight="false" outlineLevel="0" collapsed="false">
      <c r="A217" s="25"/>
      <c r="B217" s="16"/>
      <c r="C217" s="16"/>
      <c r="D217" s="16"/>
      <c r="E217" s="16"/>
      <c r="F217" s="16"/>
      <c r="G217" s="47"/>
      <c r="H217" s="48" t="str">
        <f aca="false">IF(G217="","",IF(F217="Y",G217*2,G217))</f>
        <v/>
      </c>
      <c r="I217" s="27" t="str">
        <f aca="false">IF(H217="","",H217*$B$3)</f>
        <v/>
      </c>
      <c r="J217" s="16"/>
      <c r="K217" s="16"/>
      <c r="L217" s="16"/>
    </row>
    <row r="218" customFormat="false" ht="15" hidden="false" customHeight="false" outlineLevel="0" collapsed="false">
      <c r="A218" s="25"/>
      <c r="B218" s="16"/>
      <c r="C218" s="16"/>
      <c r="D218" s="16"/>
      <c r="E218" s="16"/>
      <c r="F218" s="16"/>
      <c r="G218" s="47"/>
      <c r="H218" s="48" t="str">
        <f aca="false">IF(G218="","",IF(F218="Y",G218*2,G218))</f>
        <v/>
      </c>
      <c r="I218" s="27" t="str">
        <f aca="false">IF(H218="","",H218*$B$3)</f>
        <v/>
      </c>
      <c r="J218" s="16"/>
      <c r="K218" s="16"/>
      <c r="L218" s="16"/>
    </row>
    <row r="219" customFormat="false" ht="15" hidden="false" customHeight="false" outlineLevel="0" collapsed="false">
      <c r="A219" s="25"/>
      <c r="B219" s="16"/>
      <c r="C219" s="16"/>
      <c r="D219" s="16"/>
      <c r="E219" s="16"/>
      <c r="F219" s="16"/>
      <c r="G219" s="47"/>
      <c r="H219" s="48" t="str">
        <f aca="false">IF(G219="","",IF(F219="Y",G219*2,G219))</f>
        <v/>
      </c>
      <c r="I219" s="27" t="str">
        <f aca="false">IF(H219="","",H219*$B$3)</f>
        <v/>
      </c>
      <c r="J219" s="16"/>
      <c r="K219" s="16"/>
      <c r="L219" s="16"/>
    </row>
    <row r="220" customFormat="false" ht="15" hidden="false" customHeight="false" outlineLevel="0" collapsed="false">
      <c r="A220" s="25"/>
      <c r="B220" s="16"/>
      <c r="C220" s="16"/>
      <c r="D220" s="16"/>
      <c r="E220" s="16"/>
      <c r="F220" s="16"/>
      <c r="G220" s="47"/>
      <c r="H220" s="48" t="str">
        <f aca="false">IF(G220="","",IF(F220="Y",G220*2,G220))</f>
        <v/>
      </c>
      <c r="I220" s="27" t="str">
        <f aca="false">IF(H220="","",H220*$B$3)</f>
        <v/>
      </c>
      <c r="J220" s="16"/>
      <c r="K220" s="16"/>
      <c r="L220" s="16"/>
    </row>
    <row r="221" customFormat="false" ht="15" hidden="false" customHeight="false" outlineLevel="0" collapsed="false">
      <c r="A221" s="25"/>
      <c r="B221" s="16"/>
      <c r="C221" s="16"/>
      <c r="D221" s="16"/>
      <c r="E221" s="16"/>
      <c r="F221" s="16"/>
      <c r="G221" s="47"/>
      <c r="H221" s="48" t="str">
        <f aca="false">IF(G221="","",IF(F221="Y",G221*2,G221))</f>
        <v/>
      </c>
      <c r="I221" s="27" t="str">
        <f aca="false">IF(H221="","",H221*$B$3)</f>
        <v/>
      </c>
      <c r="J221" s="16"/>
      <c r="K221" s="16"/>
      <c r="L221" s="16"/>
    </row>
    <row r="222" customFormat="false" ht="15" hidden="false" customHeight="false" outlineLevel="0" collapsed="false">
      <c r="A222" s="25"/>
      <c r="B222" s="16"/>
      <c r="C222" s="16"/>
      <c r="D222" s="16"/>
      <c r="E222" s="16"/>
      <c r="F222" s="16"/>
      <c r="G222" s="47"/>
      <c r="H222" s="48" t="str">
        <f aca="false">IF(G222="","",IF(F222="Y",G222*2,G222))</f>
        <v/>
      </c>
      <c r="I222" s="27" t="str">
        <f aca="false">IF(H222="","",H222*$B$3)</f>
        <v/>
      </c>
      <c r="J222" s="16"/>
      <c r="K222" s="16"/>
      <c r="L222" s="16"/>
    </row>
    <row r="223" customFormat="false" ht="15" hidden="false" customHeight="false" outlineLevel="0" collapsed="false">
      <c r="A223" s="25"/>
      <c r="B223" s="16"/>
      <c r="C223" s="16"/>
      <c r="D223" s="16"/>
      <c r="E223" s="16"/>
      <c r="F223" s="16"/>
      <c r="G223" s="47"/>
      <c r="H223" s="48" t="str">
        <f aca="false">IF(G223="","",IF(F223="Y",G223*2,G223))</f>
        <v/>
      </c>
      <c r="I223" s="27" t="str">
        <f aca="false">IF(H223="","",H223*$B$3)</f>
        <v/>
      </c>
      <c r="J223" s="16"/>
      <c r="K223" s="16"/>
      <c r="L223" s="16"/>
    </row>
    <row r="224" customFormat="false" ht="15" hidden="false" customHeight="false" outlineLevel="0" collapsed="false">
      <c r="A224" s="25"/>
      <c r="B224" s="16"/>
      <c r="C224" s="16"/>
      <c r="D224" s="16"/>
      <c r="E224" s="16"/>
      <c r="F224" s="16"/>
      <c r="G224" s="47"/>
      <c r="H224" s="48" t="str">
        <f aca="false">IF(G224="","",IF(F224="Y",G224*2,G224))</f>
        <v/>
      </c>
      <c r="I224" s="27" t="str">
        <f aca="false">IF(H224="","",H224*$B$3)</f>
        <v/>
      </c>
      <c r="J224" s="16"/>
      <c r="K224" s="16"/>
      <c r="L224" s="16"/>
    </row>
    <row r="225" customFormat="false" ht="15" hidden="false" customHeight="false" outlineLevel="0" collapsed="false">
      <c r="A225" s="25"/>
      <c r="B225" s="16"/>
      <c r="C225" s="16"/>
      <c r="D225" s="16"/>
      <c r="E225" s="16"/>
      <c r="F225" s="16"/>
      <c r="G225" s="47"/>
      <c r="H225" s="48" t="str">
        <f aca="false">IF(G225="","",IF(F225="Y",G225*2,G225))</f>
        <v/>
      </c>
      <c r="I225" s="27" t="str">
        <f aca="false">IF(H225="","",H225*$B$3)</f>
        <v/>
      </c>
      <c r="J225" s="16"/>
      <c r="K225" s="16"/>
      <c r="L225" s="16"/>
    </row>
    <row r="226" customFormat="false" ht="15" hidden="false" customHeight="false" outlineLevel="0" collapsed="false">
      <c r="A226" s="25"/>
      <c r="B226" s="16"/>
      <c r="C226" s="16"/>
      <c r="D226" s="16"/>
      <c r="E226" s="16"/>
      <c r="F226" s="16"/>
      <c r="G226" s="47"/>
      <c r="H226" s="48" t="str">
        <f aca="false">IF(G226="","",IF(F226="Y",G226*2,G226))</f>
        <v/>
      </c>
      <c r="I226" s="27" t="str">
        <f aca="false">IF(H226="","",H226*$B$3)</f>
        <v/>
      </c>
      <c r="J226" s="16"/>
      <c r="K226" s="16"/>
      <c r="L226" s="16"/>
    </row>
    <row r="227" customFormat="false" ht="15" hidden="false" customHeight="false" outlineLevel="0" collapsed="false">
      <c r="A227" s="25"/>
      <c r="B227" s="16"/>
      <c r="C227" s="16"/>
      <c r="D227" s="16"/>
      <c r="E227" s="16"/>
      <c r="F227" s="16"/>
      <c r="G227" s="47"/>
      <c r="H227" s="48" t="str">
        <f aca="false">IF(G227="","",IF(F227="Y",G227*2,G227))</f>
        <v/>
      </c>
      <c r="I227" s="27" t="str">
        <f aca="false">IF(H227="","",H227*$B$3)</f>
        <v/>
      </c>
      <c r="J227" s="16"/>
      <c r="K227" s="16"/>
      <c r="L227" s="16"/>
    </row>
    <row r="228" customFormat="false" ht="15" hidden="false" customHeight="false" outlineLevel="0" collapsed="false">
      <c r="A228" s="25"/>
      <c r="B228" s="16"/>
      <c r="C228" s="16"/>
      <c r="D228" s="16"/>
      <c r="E228" s="16"/>
      <c r="F228" s="16"/>
      <c r="G228" s="47"/>
      <c r="H228" s="48" t="str">
        <f aca="false">IF(G228="","",IF(F228="Y",G228*2,G228))</f>
        <v/>
      </c>
      <c r="I228" s="27" t="str">
        <f aca="false">IF(H228="","",H228*$B$3)</f>
        <v/>
      </c>
      <c r="J228" s="16"/>
      <c r="K228" s="16"/>
      <c r="L228" s="16"/>
    </row>
    <row r="229" customFormat="false" ht="15" hidden="false" customHeight="false" outlineLevel="0" collapsed="false">
      <c r="A229" s="25"/>
      <c r="B229" s="16"/>
      <c r="C229" s="16"/>
      <c r="D229" s="16"/>
      <c r="E229" s="16"/>
      <c r="F229" s="16"/>
      <c r="G229" s="47"/>
      <c r="H229" s="48" t="str">
        <f aca="false">IF(G229="","",IF(F229="Y",G229*2,G229))</f>
        <v/>
      </c>
      <c r="I229" s="27" t="str">
        <f aca="false">IF(H229="","",H229*$B$3)</f>
        <v/>
      </c>
      <c r="J229" s="16"/>
      <c r="K229" s="16"/>
      <c r="L229" s="16"/>
    </row>
    <row r="230" customFormat="false" ht="15" hidden="false" customHeight="false" outlineLevel="0" collapsed="false">
      <c r="A230" s="25"/>
      <c r="B230" s="16"/>
      <c r="C230" s="16"/>
      <c r="D230" s="16"/>
      <c r="E230" s="16"/>
      <c r="F230" s="16"/>
      <c r="G230" s="47"/>
      <c r="H230" s="48" t="str">
        <f aca="false">IF(G230="","",IF(F230="Y",G230*2,G230))</f>
        <v/>
      </c>
      <c r="I230" s="27" t="str">
        <f aca="false">IF(H230="","",H230*$B$3)</f>
        <v/>
      </c>
      <c r="J230" s="16"/>
      <c r="K230" s="16"/>
      <c r="L230" s="16"/>
    </row>
    <row r="231" customFormat="false" ht="15" hidden="false" customHeight="false" outlineLevel="0" collapsed="false">
      <c r="A231" s="25"/>
      <c r="B231" s="16"/>
      <c r="C231" s="16"/>
      <c r="D231" s="16"/>
      <c r="E231" s="16"/>
      <c r="F231" s="16"/>
      <c r="G231" s="47"/>
      <c r="H231" s="48" t="str">
        <f aca="false">IF(G231="","",IF(F231="Y",G231*2,G231))</f>
        <v/>
      </c>
      <c r="I231" s="27" t="str">
        <f aca="false">IF(H231="","",H231*$B$3)</f>
        <v/>
      </c>
      <c r="J231" s="16"/>
      <c r="K231" s="16"/>
      <c r="L231" s="16"/>
    </row>
    <row r="232" customFormat="false" ht="15" hidden="false" customHeight="false" outlineLevel="0" collapsed="false">
      <c r="A232" s="25"/>
      <c r="B232" s="16"/>
      <c r="C232" s="16"/>
      <c r="D232" s="16"/>
      <c r="E232" s="16"/>
      <c r="F232" s="16"/>
      <c r="G232" s="47"/>
      <c r="H232" s="48" t="str">
        <f aca="false">IF(G232="","",IF(F232="Y",G232*2,G232))</f>
        <v/>
      </c>
      <c r="I232" s="27" t="str">
        <f aca="false">IF(H232="","",H232*$B$3)</f>
        <v/>
      </c>
      <c r="J232" s="16"/>
      <c r="K232" s="16"/>
      <c r="L232" s="16"/>
    </row>
    <row r="233" customFormat="false" ht="15" hidden="false" customHeight="false" outlineLevel="0" collapsed="false">
      <c r="A233" s="25"/>
      <c r="B233" s="16"/>
      <c r="C233" s="16"/>
      <c r="D233" s="16"/>
      <c r="E233" s="16"/>
      <c r="F233" s="16"/>
      <c r="G233" s="47"/>
      <c r="H233" s="48" t="str">
        <f aca="false">IF(G233="","",IF(F233="Y",G233*2,G233))</f>
        <v/>
      </c>
      <c r="I233" s="27" t="str">
        <f aca="false">IF(H233="","",H233*$B$3)</f>
        <v/>
      </c>
      <c r="J233" s="16"/>
      <c r="K233" s="16"/>
      <c r="L233" s="16"/>
    </row>
    <row r="234" customFormat="false" ht="15" hidden="false" customHeight="false" outlineLevel="0" collapsed="false">
      <c r="A234" s="25"/>
      <c r="B234" s="16"/>
      <c r="C234" s="16"/>
      <c r="D234" s="16"/>
      <c r="E234" s="16"/>
      <c r="F234" s="16"/>
      <c r="G234" s="47"/>
      <c r="H234" s="48" t="str">
        <f aca="false">IF(G234="","",IF(F234="Y",G234*2,G234))</f>
        <v/>
      </c>
      <c r="I234" s="27" t="str">
        <f aca="false">IF(H234="","",H234*$B$3)</f>
        <v/>
      </c>
      <c r="J234" s="16"/>
      <c r="K234" s="16"/>
      <c r="L234" s="16"/>
    </row>
    <row r="235" customFormat="false" ht="15" hidden="false" customHeight="false" outlineLevel="0" collapsed="false">
      <c r="A235" s="25"/>
      <c r="B235" s="16"/>
      <c r="C235" s="16"/>
      <c r="D235" s="16"/>
      <c r="E235" s="16"/>
      <c r="F235" s="16"/>
      <c r="G235" s="47"/>
      <c r="H235" s="48" t="str">
        <f aca="false">IF(G235="","",IF(F235="Y",G235*2,G235))</f>
        <v/>
      </c>
      <c r="I235" s="27" t="str">
        <f aca="false">IF(H235="","",H235*$B$3)</f>
        <v/>
      </c>
      <c r="J235" s="16"/>
      <c r="K235" s="16"/>
      <c r="L235" s="16"/>
    </row>
    <row r="236" customFormat="false" ht="15" hidden="false" customHeight="false" outlineLevel="0" collapsed="false">
      <c r="A236" s="25"/>
      <c r="B236" s="16"/>
      <c r="C236" s="16"/>
      <c r="D236" s="16"/>
      <c r="E236" s="16"/>
      <c r="F236" s="16"/>
      <c r="G236" s="47"/>
      <c r="H236" s="48" t="str">
        <f aca="false">IF(G236="","",IF(F236="Y",G236*2,G236))</f>
        <v/>
      </c>
      <c r="I236" s="27" t="str">
        <f aca="false">IF(H236="","",H236*$B$3)</f>
        <v/>
      </c>
      <c r="J236" s="16"/>
      <c r="K236" s="16"/>
      <c r="L236" s="16"/>
    </row>
    <row r="237" customFormat="false" ht="15" hidden="false" customHeight="false" outlineLevel="0" collapsed="false">
      <c r="A237" s="25"/>
      <c r="B237" s="16"/>
      <c r="C237" s="16"/>
      <c r="D237" s="16"/>
      <c r="E237" s="16"/>
      <c r="F237" s="16"/>
      <c r="G237" s="47"/>
      <c r="H237" s="48" t="str">
        <f aca="false">IF(G237="","",IF(F237="Y",G237*2,G237))</f>
        <v/>
      </c>
      <c r="I237" s="27" t="str">
        <f aca="false">IF(H237="","",H237*$B$3)</f>
        <v/>
      </c>
      <c r="J237" s="16"/>
      <c r="K237" s="16"/>
      <c r="L237" s="16"/>
    </row>
    <row r="238" customFormat="false" ht="15" hidden="false" customHeight="false" outlineLevel="0" collapsed="false">
      <c r="A238" s="25"/>
      <c r="B238" s="16"/>
      <c r="C238" s="16"/>
      <c r="D238" s="16"/>
      <c r="E238" s="16"/>
      <c r="F238" s="16"/>
      <c r="G238" s="47"/>
      <c r="H238" s="48" t="str">
        <f aca="false">IF(G238="","",IF(F238="Y",G238*2,G238))</f>
        <v/>
      </c>
      <c r="I238" s="27" t="str">
        <f aca="false">IF(H238="","",H238*$B$3)</f>
        <v/>
      </c>
      <c r="J238" s="16"/>
      <c r="K238" s="16"/>
      <c r="L238" s="16"/>
    </row>
    <row r="239" customFormat="false" ht="15" hidden="false" customHeight="false" outlineLevel="0" collapsed="false">
      <c r="A239" s="25"/>
      <c r="B239" s="16"/>
      <c r="C239" s="16"/>
      <c r="D239" s="16"/>
      <c r="E239" s="16"/>
      <c r="F239" s="16"/>
      <c r="G239" s="47"/>
      <c r="H239" s="48" t="str">
        <f aca="false">IF(G239="","",IF(F239="Y",G239*2,G239))</f>
        <v/>
      </c>
      <c r="I239" s="27" t="str">
        <f aca="false">IF(H239="","",H239*$B$3)</f>
        <v/>
      </c>
      <c r="J239" s="16"/>
      <c r="K239" s="16"/>
      <c r="L239" s="16"/>
    </row>
    <row r="240" customFormat="false" ht="15" hidden="false" customHeight="false" outlineLevel="0" collapsed="false">
      <c r="A240" s="25"/>
      <c r="B240" s="16"/>
      <c r="C240" s="16"/>
      <c r="D240" s="16"/>
      <c r="E240" s="16"/>
      <c r="F240" s="16"/>
      <c r="G240" s="47"/>
      <c r="H240" s="48" t="str">
        <f aca="false">IF(G240="","",IF(F240="Y",G240*2,G240))</f>
        <v/>
      </c>
      <c r="I240" s="27" t="str">
        <f aca="false">IF(H240="","",H240*$B$3)</f>
        <v/>
      </c>
      <c r="J240" s="16"/>
      <c r="K240" s="16"/>
      <c r="L240" s="16"/>
    </row>
    <row r="241" customFormat="false" ht="15" hidden="false" customHeight="false" outlineLevel="0" collapsed="false">
      <c r="A241" s="25"/>
      <c r="B241" s="16"/>
      <c r="C241" s="16"/>
      <c r="D241" s="16"/>
      <c r="E241" s="16"/>
      <c r="F241" s="16"/>
      <c r="G241" s="47"/>
      <c r="H241" s="48" t="str">
        <f aca="false">IF(G241="","",IF(F241="Y",G241*2,G241))</f>
        <v/>
      </c>
      <c r="I241" s="27" t="str">
        <f aca="false">IF(H241="","",H241*$B$3)</f>
        <v/>
      </c>
      <c r="J241" s="16"/>
      <c r="K241" s="16"/>
      <c r="L241" s="16"/>
    </row>
    <row r="242" customFormat="false" ht="15" hidden="false" customHeight="false" outlineLevel="0" collapsed="false">
      <c r="A242" s="25"/>
      <c r="B242" s="16"/>
      <c r="C242" s="16"/>
      <c r="D242" s="16"/>
      <c r="E242" s="16"/>
      <c r="F242" s="16"/>
      <c r="G242" s="47"/>
      <c r="H242" s="48" t="str">
        <f aca="false">IF(G242="","",IF(F242="Y",G242*2,G242))</f>
        <v/>
      </c>
      <c r="I242" s="27" t="str">
        <f aca="false">IF(H242="","",H242*$B$3)</f>
        <v/>
      </c>
      <c r="J242" s="16"/>
      <c r="K242" s="16"/>
      <c r="L242" s="16"/>
    </row>
    <row r="243" customFormat="false" ht="15" hidden="false" customHeight="false" outlineLevel="0" collapsed="false">
      <c r="A243" s="25"/>
      <c r="B243" s="16"/>
      <c r="C243" s="16"/>
      <c r="D243" s="16"/>
      <c r="E243" s="16"/>
      <c r="F243" s="16"/>
      <c r="G243" s="47"/>
      <c r="H243" s="48" t="str">
        <f aca="false">IF(G243="","",IF(F243="Y",G243*2,G243))</f>
        <v/>
      </c>
      <c r="I243" s="27" t="str">
        <f aca="false">IF(H243="","",H243*$B$3)</f>
        <v/>
      </c>
      <c r="J243" s="16"/>
      <c r="K243" s="16"/>
      <c r="L243" s="16"/>
    </row>
    <row r="244" customFormat="false" ht="15" hidden="false" customHeight="false" outlineLevel="0" collapsed="false">
      <c r="A244" s="25"/>
      <c r="B244" s="16"/>
      <c r="C244" s="16"/>
      <c r="D244" s="16"/>
      <c r="E244" s="16"/>
      <c r="F244" s="16"/>
      <c r="G244" s="47"/>
      <c r="H244" s="48" t="str">
        <f aca="false">IF(G244="","",IF(F244="Y",G244*2,G244))</f>
        <v/>
      </c>
      <c r="I244" s="27" t="str">
        <f aca="false">IF(H244="","",H244*$B$3)</f>
        <v/>
      </c>
      <c r="J244" s="16"/>
      <c r="K244" s="16"/>
      <c r="L244" s="16"/>
    </row>
    <row r="245" customFormat="false" ht="15" hidden="false" customHeight="false" outlineLevel="0" collapsed="false">
      <c r="A245" s="25"/>
      <c r="B245" s="16"/>
      <c r="C245" s="16"/>
      <c r="D245" s="16"/>
      <c r="E245" s="16"/>
      <c r="F245" s="16"/>
      <c r="G245" s="47"/>
      <c r="H245" s="48" t="str">
        <f aca="false">IF(G245="","",IF(F245="Y",G245*2,G245))</f>
        <v/>
      </c>
      <c r="I245" s="27" t="str">
        <f aca="false">IF(H245="","",H245*$B$3)</f>
        <v/>
      </c>
      <c r="J245" s="16"/>
      <c r="K245" s="16"/>
      <c r="L245" s="16"/>
    </row>
    <row r="246" customFormat="false" ht="15" hidden="false" customHeight="false" outlineLevel="0" collapsed="false">
      <c r="A246" s="25"/>
      <c r="B246" s="16"/>
      <c r="C246" s="16"/>
      <c r="D246" s="16"/>
      <c r="E246" s="16"/>
      <c r="F246" s="16"/>
      <c r="G246" s="47"/>
      <c r="H246" s="48" t="str">
        <f aca="false">IF(G246="","",IF(F246="Y",G246*2,G246))</f>
        <v/>
      </c>
      <c r="I246" s="27" t="str">
        <f aca="false">IF(H246="","",H246*$B$3)</f>
        <v/>
      </c>
      <c r="J246" s="16"/>
      <c r="K246" s="16"/>
      <c r="L246" s="16"/>
    </row>
    <row r="247" customFormat="false" ht="15" hidden="false" customHeight="false" outlineLevel="0" collapsed="false">
      <c r="A247" s="25"/>
      <c r="B247" s="16"/>
      <c r="C247" s="16"/>
      <c r="D247" s="16"/>
      <c r="E247" s="16"/>
      <c r="F247" s="16"/>
      <c r="G247" s="47"/>
      <c r="H247" s="48" t="str">
        <f aca="false">IF(G247="","",IF(F247="Y",G247*2,G247))</f>
        <v/>
      </c>
      <c r="I247" s="27" t="str">
        <f aca="false">IF(H247="","",H247*$B$3)</f>
        <v/>
      </c>
      <c r="J247" s="16"/>
      <c r="K247" s="16"/>
      <c r="L247" s="16"/>
    </row>
    <row r="248" customFormat="false" ht="15" hidden="false" customHeight="false" outlineLevel="0" collapsed="false">
      <c r="A248" s="25"/>
      <c r="B248" s="16"/>
      <c r="C248" s="16"/>
      <c r="D248" s="16"/>
      <c r="E248" s="16"/>
      <c r="F248" s="16"/>
      <c r="G248" s="47"/>
      <c r="H248" s="48" t="str">
        <f aca="false">IF(G248="","",IF(F248="Y",G248*2,G248))</f>
        <v/>
      </c>
      <c r="I248" s="27" t="str">
        <f aca="false">IF(H248="","",H248*$B$3)</f>
        <v/>
      </c>
      <c r="J248" s="16"/>
      <c r="K248" s="16"/>
      <c r="L248" s="16"/>
    </row>
    <row r="249" customFormat="false" ht="15" hidden="false" customHeight="false" outlineLevel="0" collapsed="false">
      <c r="A249" s="25"/>
      <c r="B249" s="16"/>
      <c r="C249" s="16"/>
      <c r="D249" s="16"/>
      <c r="E249" s="16"/>
      <c r="F249" s="16"/>
      <c r="G249" s="47"/>
      <c r="H249" s="48" t="str">
        <f aca="false">IF(G249="","",IF(F249="Y",G249*2,G249))</f>
        <v/>
      </c>
      <c r="I249" s="27" t="str">
        <f aca="false">IF(H249="","",H249*$B$3)</f>
        <v/>
      </c>
      <c r="J249" s="16"/>
      <c r="K249" s="16"/>
      <c r="L249" s="16"/>
    </row>
    <row r="250" customFormat="false" ht="15" hidden="false" customHeight="false" outlineLevel="0" collapsed="false">
      <c r="A250" s="25"/>
      <c r="B250" s="16"/>
      <c r="C250" s="16"/>
      <c r="D250" s="16"/>
      <c r="E250" s="16"/>
      <c r="F250" s="16"/>
      <c r="G250" s="47"/>
      <c r="H250" s="48" t="str">
        <f aca="false">IF(G250="","",IF(F250="Y",G250*2,G250))</f>
        <v/>
      </c>
      <c r="I250" s="27" t="str">
        <f aca="false">IF(H250="","",H250*$B$3)</f>
        <v/>
      </c>
      <c r="J250" s="16"/>
      <c r="K250" s="16"/>
      <c r="L250" s="16"/>
    </row>
    <row r="251" customFormat="false" ht="15" hidden="false" customHeight="false" outlineLevel="0" collapsed="false">
      <c r="A251" s="25"/>
      <c r="B251" s="16"/>
      <c r="C251" s="16"/>
      <c r="D251" s="16"/>
      <c r="E251" s="16"/>
      <c r="F251" s="16"/>
      <c r="G251" s="47"/>
      <c r="H251" s="48" t="str">
        <f aca="false">IF(G251="","",IF(F251="Y",G251*2,G251))</f>
        <v/>
      </c>
      <c r="I251" s="27" t="str">
        <f aca="false">IF(H251="","",H251*$B$3)</f>
        <v/>
      </c>
      <c r="J251" s="16"/>
      <c r="K251" s="16"/>
      <c r="L251" s="16"/>
    </row>
    <row r="252" customFormat="false" ht="15" hidden="false" customHeight="false" outlineLevel="0" collapsed="false">
      <c r="A252" s="25"/>
      <c r="B252" s="16"/>
      <c r="C252" s="16"/>
      <c r="D252" s="16"/>
      <c r="E252" s="16"/>
      <c r="F252" s="16"/>
      <c r="G252" s="47"/>
      <c r="H252" s="48" t="str">
        <f aca="false">IF(G252="","",IF(F252="Y",G252*2,G252))</f>
        <v/>
      </c>
      <c r="I252" s="27" t="str">
        <f aca="false">IF(H252="","",H252*$B$3)</f>
        <v/>
      </c>
      <c r="J252" s="16"/>
      <c r="K252" s="16"/>
      <c r="L252" s="16"/>
    </row>
    <row r="253" customFormat="false" ht="15" hidden="false" customHeight="false" outlineLevel="0" collapsed="false">
      <c r="A253" s="25"/>
      <c r="B253" s="16"/>
      <c r="C253" s="16"/>
      <c r="D253" s="16"/>
      <c r="E253" s="16"/>
      <c r="F253" s="16"/>
      <c r="G253" s="47"/>
      <c r="H253" s="48" t="str">
        <f aca="false">IF(G253="","",IF(F253="Y",G253*2,G253))</f>
        <v/>
      </c>
      <c r="I253" s="27" t="str">
        <f aca="false">IF(H253="","",H253*$B$3)</f>
        <v/>
      </c>
      <c r="J253" s="16"/>
      <c r="K253" s="16"/>
      <c r="L253" s="16"/>
    </row>
    <row r="254" customFormat="false" ht="15" hidden="false" customHeight="false" outlineLevel="0" collapsed="false">
      <c r="A254" s="25"/>
      <c r="B254" s="16"/>
      <c r="C254" s="16"/>
      <c r="D254" s="16"/>
      <c r="E254" s="16"/>
      <c r="F254" s="16"/>
      <c r="G254" s="47"/>
      <c r="H254" s="48" t="str">
        <f aca="false">IF(G254="","",IF(F254="Y",G254*2,G254))</f>
        <v/>
      </c>
      <c r="I254" s="27" t="str">
        <f aca="false">IF(H254="","",H254*$B$3)</f>
        <v/>
      </c>
      <c r="J254" s="16"/>
      <c r="K254" s="16"/>
      <c r="L254" s="16"/>
    </row>
    <row r="255" customFormat="false" ht="15" hidden="false" customHeight="false" outlineLevel="0" collapsed="false">
      <c r="A255" s="25"/>
      <c r="B255" s="16"/>
      <c r="C255" s="16"/>
      <c r="D255" s="16"/>
      <c r="E255" s="16"/>
      <c r="F255" s="16"/>
      <c r="G255" s="47"/>
      <c r="H255" s="48" t="str">
        <f aca="false">IF(G255="","",IF(F255="Y",G255*2,G255))</f>
        <v/>
      </c>
      <c r="I255" s="27" t="str">
        <f aca="false">IF(H255="","",H255*$B$3)</f>
        <v/>
      </c>
      <c r="J255" s="16"/>
      <c r="K255" s="16"/>
      <c r="L255" s="16"/>
    </row>
    <row r="256" customFormat="false" ht="15" hidden="false" customHeight="false" outlineLevel="0" collapsed="false">
      <c r="A256" s="25"/>
      <c r="B256" s="16"/>
      <c r="C256" s="16"/>
      <c r="D256" s="16"/>
      <c r="E256" s="16"/>
      <c r="F256" s="16"/>
      <c r="G256" s="47"/>
      <c r="H256" s="48" t="str">
        <f aca="false">IF(G256="","",IF(F256="Y",G256*2,G256))</f>
        <v/>
      </c>
      <c r="I256" s="27" t="str">
        <f aca="false">IF(H256="","",H256*$B$3)</f>
        <v/>
      </c>
      <c r="J256" s="16"/>
      <c r="K256" s="16"/>
      <c r="L256" s="16"/>
    </row>
    <row r="257" customFormat="false" ht="15" hidden="false" customHeight="false" outlineLevel="0" collapsed="false">
      <c r="A257" s="25"/>
      <c r="B257" s="16"/>
      <c r="C257" s="16"/>
      <c r="D257" s="16"/>
      <c r="E257" s="16"/>
      <c r="F257" s="16"/>
      <c r="G257" s="47"/>
      <c r="H257" s="48" t="str">
        <f aca="false">IF(G257="","",IF(F257="Y",G257*2,G257))</f>
        <v/>
      </c>
      <c r="I257" s="27" t="str">
        <f aca="false">IF(H257="","",H257*$B$3)</f>
        <v/>
      </c>
      <c r="J257" s="16"/>
      <c r="K257" s="16"/>
      <c r="L257" s="16"/>
    </row>
    <row r="258" customFormat="false" ht="15" hidden="false" customHeight="false" outlineLevel="0" collapsed="false">
      <c r="A258" s="25"/>
      <c r="B258" s="16"/>
      <c r="C258" s="16"/>
      <c r="D258" s="16"/>
      <c r="E258" s="16"/>
      <c r="F258" s="16"/>
      <c r="G258" s="47"/>
      <c r="H258" s="48" t="str">
        <f aca="false">IF(G258="","",IF(F258="Y",G258*2,G258))</f>
        <v/>
      </c>
      <c r="I258" s="27" t="str">
        <f aca="false">IF(H258="","",H258*$B$3)</f>
        <v/>
      </c>
      <c r="J258" s="16"/>
      <c r="K258" s="16"/>
      <c r="L258" s="16"/>
    </row>
    <row r="259" customFormat="false" ht="15" hidden="false" customHeight="false" outlineLevel="0" collapsed="false">
      <c r="A259" s="25"/>
      <c r="B259" s="16"/>
      <c r="C259" s="16"/>
      <c r="D259" s="16"/>
      <c r="E259" s="16"/>
      <c r="F259" s="16"/>
      <c r="G259" s="47"/>
      <c r="H259" s="48" t="str">
        <f aca="false">IF(G259="","",IF(F259="Y",G259*2,G259))</f>
        <v/>
      </c>
      <c r="I259" s="27" t="str">
        <f aca="false">IF(H259="","",H259*$B$3)</f>
        <v/>
      </c>
      <c r="J259" s="16"/>
      <c r="K259" s="16"/>
      <c r="L259" s="16"/>
    </row>
    <row r="260" customFormat="false" ht="15" hidden="false" customHeight="false" outlineLevel="0" collapsed="false">
      <c r="A260" s="25"/>
      <c r="B260" s="16"/>
      <c r="C260" s="16"/>
      <c r="D260" s="16"/>
      <c r="E260" s="16"/>
      <c r="F260" s="16"/>
      <c r="G260" s="47"/>
      <c r="H260" s="48" t="str">
        <f aca="false">IF(G260="","",IF(F260="Y",G260*2,G260))</f>
        <v/>
      </c>
      <c r="I260" s="27" t="str">
        <f aca="false">IF(H260="","",H260*$B$3)</f>
        <v/>
      </c>
      <c r="J260" s="16"/>
      <c r="K260" s="16"/>
      <c r="L260" s="16"/>
    </row>
    <row r="261" customFormat="false" ht="15" hidden="false" customHeight="false" outlineLevel="0" collapsed="false">
      <c r="A261" s="25"/>
      <c r="B261" s="16"/>
      <c r="C261" s="16"/>
      <c r="D261" s="16"/>
      <c r="E261" s="16"/>
      <c r="F261" s="16"/>
      <c r="G261" s="47"/>
      <c r="H261" s="48" t="str">
        <f aca="false">IF(G261="","",IF(F261="Y",G261*2,G261))</f>
        <v/>
      </c>
      <c r="I261" s="27" t="str">
        <f aca="false">IF(H261="","",H261*$B$3)</f>
        <v/>
      </c>
      <c r="J261" s="16"/>
      <c r="K261" s="16"/>
      <c r="L261" s="16"/>
    </row>
    <row r="262" customFormat="false" ht="15" hidden="false" customHeight="false" outlineLevel="0" collapsed="false">
      <c r="A262" s="25"/>
      <c r="B262" s="16"/>
      <c r="C262" s="16"/>
      <c r="D262" s="16"/>
      <c r="E262" s="16"/>
      <c r="F262" s="16"/>
      <c r="G262" s="47"/>
      <c r="H262" s="48" t="str">
        <f aca="false">IF(G262="","",IF(F262="Y",G262*2,G262))</f>
        <v/>
      </c>
      <c r="I262" s="27" t="str">
        <f aca="false">IF(H262="","",H262*$B$3)</f>
        <v/>
      </c>
      <c r="J262" s="16"/>
      <c r="K262" s="16"/>
      <c r="L262" s="16"/>
    </row>
    <row r="263" customFormat="false" ht="15" hidden="false" customHeight="false" outlineLevel="0" collapsed="false">
      <c r="A263" s="25"/>
      <c r="B263" s="16"/>
      <c r="C263" s="16"/>
      <c r="D263" s="16"/>
      <c r="E263" s="16"/>
      <c r="F263" s="16"/>
      <c r="G263" s="47"/>
      <c r="H263" s="48" t="str">
        <f aca="false">IF(G263="","",IF(F263="Y",G263*2,G263))</f>
        <v/>
      </c>
      <c r="I263" s="27" t="str">
        <f aca="false">IF(H263="","",H263*$B$3)</f>
        <v/>
      </c>
      <c r="J263" s="16"/>
      <c r="K263" s="16"/>
      <c r="L263" s="16"/>
    </row>
    <row r="264" customFormat="false" ht="15" hidden="false" customHeight="false" outlineLevel="0" collapsed="false">
      <c r="A264" s="25"/>
      <c r="B264" s="16"/>
      <c r="C264" s="16"/>
      <c r="D264" s="16"/>
      <c r="E264" s="16"/>
      <c r="F264" s="16"/>
      <c r="G264" s="47"/>
      <c r="H264" s="48" t="str">
        <f aca="false">IF(G264="","",IF(F264="Y",G264*2,G264))</f>
        <v/>
      </c>
      <c r="I264" s="27" t="str">
        <f aca="false">IF(H264="","",H264*$B$3)</f>
        <v/>
      </c>
      <c r="J264" s="16"/>
      <c r="K264" s="16"/>
      <c r="L264" s="16"/>
    </row>
    <row r="265" customFormat="false" ht="15" hidden="false" customHeight="false" outlineLevel="0" collapsed="false">
      <c r="A265" s="25"/>
      <c r="B265" s="16"/>
      <c r="C265" s="16"/>
      <c r="D265" s="16"/>
      <c r="E265" s="16"/>
      <c r="F265" s="16"/>
      <c r="G265" s="47"/>
      <c r="H265" s="48" t="str">
        <f aca="false">IF(G265="","",IF(F265="Y",G265*2,G265))</f>
        <v/>
      </c>
      <c r="I265" s="27" t="str">
        <f aca="false">IF(H265="","",H265*$B$3)</f>
        <v/>
      </c>
      <c r="J265" s="16"/>
      <c r="K265" s="16"/>
      <c r="L265" s="16"/>
    </row>
    <row r="266" customFormat="false" ht="15" hidden="false" customHeight="false" outlineLevel="0" collapsed="false">
      <c r="A266" s="25"/>
      <c r="B266" s="16"/>
      <c r="C266" s="16"/>
      <c r="D266" s="16"/>
      <c r="E266" s="16"/>
      <c r="F266" s="16"/>
      <c r="G266" s="47"/>
      <c r="H266" s="48" t="str">
        <f aca="false">IF(G266="","",IF(F266="Y",G266*2,G266))</f>
        <v/>
      </c>
      <c r="I266" s="27" t="str">
        <f aca="false">IF(H266="","",H266*$B$3)</f>
        <v/>
      </c>
      <c r="J266" s="16"/>
      <c r="K266" s="16"/>
      <c r="L266" s="16"/>
    </row>
    <row r="267" customFormat="false" ht="15" hidden="false" customHeight="false" outlineLevel="0" collapsed="false">
      <c r="A267" s="25"/>
      <c r="B267" s="16"/>
      <c r="C267" s="16"/>
      <c r="D267" s="16"/>
      <c r="E267" s="16"/>
      <c r="F267" s="16"/>
      <c r="G267" s="47"/>
      <c r="H267" s="48" t="str">
        <f aca="false">IF(G267="","",IF(F267="Y",G267*2,G267))</f>
        <v/>
      </c>
      <c r="I267" s="27" t="str">
        <f aca="false">IF(H267="","",H267*$B$3)</f>
        <v/>
      </c>
      <c r="J267" s="16"/>
      <c r="K267" s="16"/>
      <c r="L267" s="16"/>
    </row>
    <row r="268" customFormat="false" ht="15" hidden="false" customHeight="false" outlineLevel="0" collapsed="false">
      <c r="A268" s="25"/>
      <c r="B268" s="16"/>
      <c r="C268" s="16"/>
      <c r="D268" s="16"/>
      <c r="E268" s="16"/>
      <c r="F268" s="16"/>
      <c r="G268" s="47"/>
      <c r="H268" s="48" t="str">
        <f aca="false">IF(G268="","",IF(F268="Y",G268*2,G268))</f>
        <v/>
      </c>
      <c r="I268" s="27" t="str">
        <f aca="false">IF(H268="","",H268*$B$3)</f>
        <v/>
      </c>
      <c r="J268" s="16"/>
      <c r="K268" s="16"/>
      <c r="L268" s="16"/>
    </row>
    <row r="269" customFormat="false" ht="15" hidden="false" customHeight="false" outlineLevel="0" collapsed="false">
      <c r="A269" s="25"/>
      <c r="B269" s="16"/>
      <c r="C269" s="16"/>
      <c r="D269" s="16"/>
      <c r="E269" s="16"/>
      <c r="F269" s="16"/>
      <c r="G269" s="47"/>
      <c r="H269" s="48" t="str">
        <f aca="false">IF(G269="","",IF(F269="Y",G269*2,G269))</f>
        <v/>
      </c>
      <c r="I269" s="27" t="str">
        <f aca="false">IF(H269="","",H269*$B$3)</f>
        <v/>
      </c>
      <c r="J269" s="16"/>
      <c r="K269" s="16"/>
      <c r="L269" s="16"/>
    </row>
    <row r="270" customFormat="false" ht="15" hidden="false" customHeight="false" outlineLevel="0" collapsed="false">
      <c r="A270" s="25"/>
      <c r="B270" s="16"/>
      <c r="C270" s="16"/>
      <c r="D270" s="16"/>
      <c r="E270" s="16"/>
      <c r="F270" s="16"/>
      <c r="G270" s="47"/>
      <c r="H270" s="48" t="str">
        <f aca="false">IF(G270="","",IF(F270="Y",G270*2,G270))</f>
        <v/>
      </c>
      <c r="I270" s="27" t="str">
        <f aca="false">IF(H270="","",H270*$B$3)</f>
        <v/>
      </c>
      <c r="J270" s="16"/>
      <c r="K270" s="16"/>
      <c r="L270" s="16"/>
    </row>
    <row r="271" customFormat="false" ht="15" hidden="false" customHeight="false" outlineLevel="0" collapsed="false">
      <c r="A271" s="25"/>
      <c r="B271" s="16"/>
      <c r="C271" s="16"/>
      <c r="D271" s="16"/>
      <c r="E271" s="16"/>
      <c r="F271" s="16"/>
      <c r="G271" s="47"/>
      <c r="H271" s="48" t="str">
        <f aca="false">IF(G271="","",IF(F271="Y",G271*2,G271))</f>
        <v/>
      </c>
      <c r="I271" s="27" t="str">
        <f aca="false">IF(H271="","",H271*$B$3)</f>
        <v/>
      </c>
      <c r="J271" s="16"/>
      <c r="K271" s="16"/>
      <c r="L271" s="16"/>
    </row>
    <row r="272" customFormat="false" ht="15" hidden="false" customHeight="false" outlineLevel="0" collapsed="false">
      <c r="A272" s="25"/>
      <c r="B272" s="16"/>
      <c r="C272" s="16"/>
      <c r="D272" s="16"/>
      <c r="E272" s="16"/>
      <c r="F272" s="16"/>
      <c r="G272" s="47"/>
      <c r="H272" s="48" t="str">
        <f aca="false">IF(G272="","",IF(F272="Y",G272*2,G272))</f>
        <v/>
      </c>
      <c r="I272" s="27" t="str">
        <f aca="false">IF(H272="","",H272*$B$3)</f>
        <v/>
      </c>
      <c r="J272" s="16"/>
      <c r="K272" s="16"/>
      <c r="L272" s="16"/>
    </row>
    <row r="273" customFormat="false" ht="15" hidden="false" customHeight="false" outlineLevel="0" collapsed="false">
      <c r="A273" s="25"/>
      <c r="B273" s="16"/>
      <c r="C273" s="16"/>
      <c r="D273" s="16"/>
      <c r="E273" s="16"/>
      <c r="F273" s="16"/>
      <c r="G273" s="47"/>
      <c r="H273" s="48" t="str">
        <f aca="false">IF(G273="","",IF(F273="Y",G273*2,G273))</f>
        <v/>
      </c>
      <c r="I273" s="27" t="str">
        <f aca="false">IF(H273="","",H273*$B$3)</f>
        <v/>
      </c>
      <c r="J273" s="16"/>
      <c r="K273" s="16"/>
      <c r="L273" s="16"/>
    </row>
    <row r="274" customFormat="false" ht="15" hidden="false" customHeight="false" outlineLevel="0" collapsed="false">
      <c r="A274" s="25"/>
      <c r="B274" s="16"/>
      <c r="C274" s="16"/>
      <c r="D274" s="16"/>
      <c r="E274" s="16"/>
      <c r="F274" s="16"/>
      <c r="G274" s="47"/>
      <c r="H274" s="48" t="str">
        <f aca="false">IF(G274="","",IF(F274="Y",G274*2,G274))</f>
        <v/>
      </c>
      <c r="I274" s="27" t="str">
        <f aca="false">IF(H274="","",H274*$B$3)</f>
        <v/>
      </c>
      <c r="J274" s="16"/>
      <c r="K274" s="16"/>
      <c r="L274" s="16"/>
    </row>
    <row r="275" customFormat="false" ht="15" hidden="false" customHeight="false" outlineLevel="0" collapsed="false">
      <c r="A275" s="25"/>
      <c r="B275" s="16"/>
      <c r="C275" s="16"/>
      <c r="D275" s="16"/>
      <c r="E275" s="16"/>
      <c r="F275" s="16"/>
      <c r="G275" s="47"/>
      <c r="H275" s="48" t="str">
        <f aca="false">IF(G275="","",IF(F275="Y",G275*2,G275))</f>
        <v/>
      </c>
      <c r="I275" s="27" t="str">
        <f aca="false">IF(H275="","",H275*$B$3)</f>
        <v/>
      </c>
      <c r="J275" s="16"/>
      <c r="K275" s="16"/>
      <c r="L275" s="16"/>
    </row>
    <row r="276" customFormat="false" ht="15" hidden="false" customHeight="false" outlineLevel="0" collapsed="false">
      <c r="A276" s="25"/>
      <c r="B276" s="16"/>
      <c r="C276" s="16"/>
      <c r="D276" s="16"/>
      <c r="E276" s="16"/>
      <c r="F276" s="16"/>
      <c r="G276" s="47"/>
      <c r="H276" s="48" t="str">
        <f aca="false">IF(G276="","",IF(F276="Y",G276*2,G276))</f>
        <v/>
      </c>
      <c r="I276" s="27" t="str">
        <f aca="false">IF(H276="","",H276*$B$3)</f>
        <v/>
      </c>
      <c r="J276" s="16"/>
      <c r="K276" s="16"/>
      <c r="L276" s="16"/>
    </row>
    <row r="277" customFormat="false" ht="15" hidden="false" customHeight="false" outlineLevel="0" collapsed="false">
      <c r="A277" s="25"/>
      <c r="B277" s="16"/>
      <c r="C277" s="16"/>
      <c r="D277" s="16"/>
      <c r="E277" s="16"/>
      <c r="F277" s="16"/>
      <c r="G277" s="47"/>
      <c r="H277" s="48" t="str">
        <f aca="false">IF(G277="","",IF(F277="Y",G277*2,G277))</f>
        <v/>
      </c>
      <c r="I277" s="27" t="str">
        <f aca="false">IF(H277="","",H277*$B$3)</f>
        <v/>
      </c>
      <c r="J277" s="16"/>
      <c r="K277" s="16"/>
      <c r="L277" s="16"/>
    </row>
    <row r="278" customFormat="false" ht="15" hidden="false" customHeight="false" outlineLevel="0" collapsed="false">
      <c r="A278" s="25"/>
      <c r="B278" s="16"/>
      <c r="C278" s="16"/>
      <c r="D278" s="16"/>
      <c r="E278" s="16"/>
      <c r="F278" s="16"/>
      <c r="G278" s="47"/>
      <c r="H278" s="48" t="str">
        <f aca="false">IF(G278="","",IF(F278="Y",G278*2,G278))</f>
        <v/>
      </c>
      <c r="I278" s="27" t="str">
        <f aca="false">IF(H278="","",H278*$B$3)</f>
        <v/>
      </c>
      <c r="J278" s="16"/>
      <c r="K278" s="16"/>
      <c r="L278" s="16"/>
    </row>
    <row r="279" customFormat="false" ht="15" hidden="false" customHeight="false" outlineLevel="0" collapsed="false">
      <c r="A279" s="25"/>
      <c r="B279" s="16"/>
      <c r="C279" s="16"/>
      <c r="D279" s="16"/>
      <c r="E279" s="16"/>
      <c r="F279" s="16"/>
      <c r="G279" s="47"/>
      <c r="H279" s="48" t="str">
        <f aca="false">IF(G279="","",IF(F279="Y",G279*2,G279))</f>
        <v/>
      </c>
      <c r="I279" s="27" t="str">
        <f aca="false">IF(H279="","",H279*$B$3)</f>
        <v/>
      </c>
      <c r="J279" s="16"/>
      <c r="K279" s="16"/>
      <c r="L279" s="16"/>
    </row>
    <row r="280" customFormat="false" ht="15" hidden="false" customHeight="false" outlineLevel="0" collapsed="false">
      <c r="A280" s="25"/>
      <c r="B280" s="16"/>
      <c r="C280" s="16"/>
      <c r="D280" s="16"/>
      <c r="E280" s="16"/>
      <c r="F280" s="16"/>
      <c r="G280" s="47"/>
      <c r="H280" s="48" t="str">
        <f aca="false">IF(G280="","",IF(F280="Y",G280*2,G280))</f>
        <v/>
      </c>
      <c r="I280" s="27" t="str">
        <f aca="false">IF(H280="","",H280*$B$3)</f>
        <v/>
      </c>
      <c r="J280" s="16"/>
      <c r="K280" s="16"/>
      <c r="L280" s="16"/>
    </row>
    <row r="281" customFormat="false" ht="15" hidden="false" customHeight="false" outlineLevel="0" collapsed="false">
      <c r="A281" s="25"/>
      <c r="B281" s="16"/>
      <c r="C281" s="16"/>
      <c r="D281" s="16"/>
      <c r="E281" s="16"/>
      <c r="F281" s="16"/>
      <c r="G281" s="47"/>
      <c r="H281" s="48" t="str">
        <f aca="false">IF(G281="","",IF(F281="Y",G281*2,G281))</f>
        <v/>
      </c>
      <c r="I281" s="27" t="str">
        <f aca="false">IF(H281="","",H281*$B$3)</f>
        <v/>
      </c>
      <c r="J281" s="16"/>
      <c r="K281" s="16"/>
      <c r="L281" s="16"/>
    </row>
    <row r="282" customFormat="false" ht="15" hidden="false" customHeight="false" outlineLevel="0" collapsed="false">
      <c r="A282" s="25"/>
      <c r="B282" s="16"/>
      <c r="C282" s="16"/>
      <c r="D282" s="16"/>
      <c r="E282" s="16"/>
      <c r="F282" s="16"/>
      <c r="G282" s="47"/>
      <c r="H282" s="48" t="str">
        <f aca="false">IF(G282="","",IF(F282="Y",G282*2,G282))</f>
        <v/>
      </c>
      <c r="I282" s="27" t="str">
        <f aca="false">IF(H282="","",H282*$B$3)</f>
        <v/>
      </c>
      <c r="J282" s="16"/>
      <c r="K282" s="16"/>
      <c r="L282" s="16"/>
    </row>
    <row r="283" customFormat="false" ht="15" hidden="false" customHeight="false" outlineLevel="0" collapsed="false">
      <c r="A283" s="25"/>
      <c r="B283" s="16"/>
      <c r="C283" s="16"/>
      <c r="D283" s="16"/>
      <c r="E283" s="16"/>
      <c r="F283" s="16"/>
      <c r="G283" s="47"/>
      <c r="H283" s="48" t="str">
        <f aca="false">IF(G283="","",IF(F283="Y",G283*2,G283))</f>
        <v/>
      </c>
      <c r="I283" s="27" t="str">
        <f aca="false">IF(H283="","",H283*$B$3)</f>
        <v/>
      </c>
      <c r="J283" s="16"/>
      <c r="K283" s="16"/>
      <c r="L283" s="16"/>
    </row>
    <row r="284" customFormat="false" ht="15" hidden="false" customHeight="false" outlineLevel="0" collapsed="false">
      <c r="A284" s="25"/>
      <c r="B284" s="16"/>
      <c r="C284" s="16"/>
      <c r="D284" s="16"/>
      <c r="E284" s="16"/>
      <c r="F284" s="16"/>
      <c r="G284" s="47"/>
      <c r="H284" s="48" t="str">
        <f aca="false">IF(G284="","",IF(F284="Y",G284*2,G284))</f>
        <v/>
      </c>
      <c r="I284" s="27" t="str">
        <f aca="false">IF(H284="","",H284*$B$3)</f>
        <v/>
      </c>
      <c r="J284" s="16"/>
      <c r="K284" s="16"/>
      <c r="L284" s="16"/>
    </row>
    <row r="285" customFormat="false" ht="15" hidden="false" customHeight="false" outlineLevel="0" collapsed="false">
      <c r="A285" s="25"/>
      <c r="B285" s="16"/>
      <c r="C285" s="16"/>
      <c r="D285" s="16"/>
      <c r="E285" s="16"/>
      <c r="F285" s="16"/>
      <c r="G285" s="47"/>
      <c r="H285" s="48" t="str">
        <f aca="false">IF(G285="","",IF(F285="Y",G285*2,G285))</f>
        <v/>
      </c>
      <c r="I285" s="27" t="str">
        <f aca="false">IF(H285="","",H285*$B$3)</f>
        <v/>
      </c>
      <c r="J285" s="16"/>
      <c r="K285" s="16"/>
      <c r="L285" s="16"/>
    </row>
    <row r="286" customFormat="false" ht="15" hidden="false" customHeight="false" outlineLevel="0" collapsed="false">
      <c r="A286" s="25"/>
      <c r="B286" s="16"/>
      <c r="C286" s="16"/>
      <c r="D286" s="16"/>
      <c r="E286" s="16"/>
      <c r="F286" s="16"/>
      <c r="G286" s="47"/>
      <c r="H286" s="48" t="str">
        <f aca="false">IF(G286="","",IF(F286="Y",G286*2,G286))</f>
        <v/>
      </c>
      <c r="I286" s="27" t="str">
        <f aca="false">IF(H286="","",H286*$B$3)</f>
        <v/>
      </c>
      <c r="J286" s="16"/>
      <c r="K286" s="16"/>
      <c r="L286" s="16"/>
    </row>
    <row r="287" customFormat="false" ht="15" hidden="false" customHeight="false" outlineLevel="0" collapsed="false">
      <c r="A287" s="25"/>
      <c r="B287" s="16"/>
      <c r="C287" s="16"/>
      <c r="D287" s="16"/>
      <c r="E287" s="16"/>
      <c r="F287" s="16"/>
      <c r="G287" s="47"/>
      <c r="H287" s="48" t="str">
        <f aca="false">IF(G287="","",IF(F287="Y",G287*2,G287))</f>
        <v/>
      </c>
      <c r="I287" s="27" t="str">
        <f aca="false">IF(H287="","",H287*$B$3)</f>
        <v/>
      </c>
      <c r="J287" s="16"/>
      <c r="K287" s="16"/>
      <c r="L287" s="16"/>
    </row>
    <row r="288" customFormat="false" ht="15" hidden="false" customHeight="false" outlineLevel="0" collapsed="false">
      <c r="A288" s="25"/>
      <c r="B288" s="16"/>
      <c r="C288" s="16"/>
      <c r="D288" s="16"/>
      <c r="E288" s="16"/>
      <c r="F288" s="16"/>
      <c r="G288" s="47"/>
      <c r="H288" s="48" t="str">
        <f aca="false">IF(G288="","",IF(F288="Y",G288*2,G288))</f>
        <v/>
      </c>
      <c r="I288" s="27" t="str">
        <f aca="false">IF(H288="","",H288*$B$3)</f>
        <v/>
      </c>
      <c r="J288" s="16"/>
      <c r="K288" s="16"/>
      <c r="L288" s="16"/>
    </row>
    <row r="289" customFormat="false" ht="15" hidden="false" customHeight="false" outlineLevel="0" collapsed="false">
      <c r="A289" s="25"/>
      <c r="B289" s="16"/>
      <c r="C289" s="16"/>
      <c r="D289" s="16"/>
      <c r="E289" s="16"/>
      <c r="F289" s="16"/>
      <c r="G289" s="47"/>
      <c r="H289" s="48" t="str">
        <f aca="false">IF(G289="","",IF(F289="Y",G289*2,G289))</f>
        <v/>
      </c>
      <c r="I289" s="27" t="str">
        <f aca="false">IF(H289="","",H289*$B$3)</f>
        <v/>
      </c>
      <c r="J289" s="16"/>
      <c r="K289" s="16"/>
      <c r="L289" s="16"/>
    </row>
    <row r="290" customFormat="false" ht="15" hidden="false" customHeight="false" outlineLevel="0" collapsed="false">
      <c r="A290" s="25"/>
      <c r="B290" s="16"/>
      <c r="C290" s="16"/>
      <c r="D290" s="16"/>
      <c r="E290" s="16"/>
      <c r="F290" s="16"/>
      <c r="G290" s="47"/>
      <c r="H290" s="48" t="str">
        <f aca="false">IF(G290="","",IF(F290="Y",G290*2,G290))</f>
        <v/>
      </c>
      <c r="I290" s="27" t="str">
        <f aca="false">IF(H290="","",H290*$B$3)</f>
        <v/>
      </c>
      <c r="J290" s="16"/>
      <c r="K290" s="16"/>
      <c r="L290" s="16"/>
    </row>
    <row r="291" customFormat="false" ht="15" hidden="false" customHeight="false" outlineLevel="0" collapsed="false">
      <c r="A291" s="25"/>
      <c r="B291" s="16"/>
      <c r="C291" s="16"/>
      <c r="D291" s="16"/>
      <c r="E291" s="16"/>
      <c r="F291" s="16"/>
      <c r="G291" s="47"/>
      <c r="H291" s="48" t="str">
        <f aca="false">IF(G291="","",IF(F291="Y",G291*2,G291))</f>
        <v/>
      </c>
      <c r="I291" s="27" t="str">
        <f aca="false">IF(H291="","",H291*$B$3)</f>
        <v/>
      </c>
      <c r="J291" s="16"/>
      <c r="K291" s="16"/>
      <c r="L291" s="16"/>
    </row>
    <row r="292" customFormat="false" ht="15" hidden="false" customHeight="false" outlineLevel="0" collapsed="false">
      <c r="A292" s="25"/>
      <c r="B292" s="16"/>
      <c r="C292" s="16"/>
      <c r="D292" s="16"/>
      <c r="E292" s="16"/>
      <c r="F292" s="16"/>
      <c r="G292" s="47"/>
      <c r="H292" s="48" t="str">
        <f aca="false">IF(G292="","",IF(F292="Y",G292*2,G292))</f>
        <v/>
      </c>
      <c r="I292" s="27" t="str">
        <f aca="false">IF(H292="","",H292*$B$3)</f>
        <v/>
      </c>
      <c r="J292" s="16"/>
      <c r="K292" s="16"/>
      <c r="L292" s="16"/>
    </row>
    <row r="293" customFormat="false" ht="15" hidden="false" customHeight="false" outlineLevel="0" collapsed="false">
      <c r="A293" s="25"/>
      <c r="B293" s="16"/>
      <c r="C293" s="16"/>
      <c r="D293" s="16"/>
      <c r="E293" s="16"/>
      <c r="F293" s="16"/>
      <c r="G293" s="47"/>
      <c r="H293" s="48" t="str">
        <f aca="false">IF(G293="","",IF(F293="Y",G293*2,G293))</f>
        <v/>
      </c>
      <c r="I293" s="27" t="str">
        <f aca="false">IF(H293="","",H293*$B$3)</f>
        <v/>
      </c>
      <c r="J293" s="16"/>
      <c r="K293" s="16"/>
      <c r="L293" s="16"/>
    </row>
    <row r="294" customFormat="false" ht="15" hidden="false" customHeight="false" outlineLevel="0" collapsed="false">
      <c r="A294" s="25"/>
      <c r="B294" s="16"/>
      <c r="C294" s="16"/>
      <c r="D294" s="16"/>
      <c r="E294" s="16"/>
      <c r="F294" s="16"/>
      <c r="G294" s="47"/>
      <c r="H294" s="48" t="str">
        <f aca="false">IF(G294="","",IF(F294="Y",G294*2,G294))</f>
        <v/>
      </c>
      <c r="I294" s="27" t="str">
        <f aca="false">IF(H294="","",H294*$B$3)</f>
        <v/>
      </c>
      <c r="J294" s="16"/>
      <c r="K294" s="16"/>
      <c r="L294" s="16"/>
    </row>
    <row r="295" customFormat="false" ht="15" hidden="false" customHeight="false" outlineLevel="0" collapsed="false">
      <c r="A295" s="25"/>
      <c r="B295" s="16"/>
      <c r="C295" s="16"/>
      <c r="D295" s="16"/>
      <c r="E295" s="16"/>
      <c r="F295" s="16"/>
      <c r="G295" s="47"/>
      <c r="H295" s="48" t="str">
        <f aca="false">IF(G295="","",IF(F295="Y",G295*2,G295))</f>
        <v/>
      </c>
      <c r="I295" s="27" t="str">
        <f aca="false">IF(H295="","",H295*$B$3)</f>
        <v/>
      </c>
      <c r="J295" s="16"/>
      <c r="K295" s="16"/>
      <c r="L295" s="16"/>
    </row>
    <row r="296" customFormat="false" ht="15" hidden="false" customHeight="false" outlineLevel="0" collapsed="false">
      <c r="A296" s="25"/>
      <c r="B296" s="16"/>
      <c r="C296" s="16"/>
      <c r="D296" s="16"/>
      <c r="E296" s="16"/>
      <c r="F296" s="16"/>
      <c r="G296" s="47"/>
      <c r="H296" s="48" t="str">
        <f aca="false">IF(G296="","",IF(F296="Y",G296*2,G296))</f>
        <v/>
      </c>
      <c r="I296" s="27" t="str">
        <f aca="false">IF(H296="","",H296*$B$3)</f>
        <v/>
      </c>
      <c r="J296" s="16"/>
      <c r="K296" s="16"/>
      <c r="L296" s="16"/>
    </row>
    <row r="297" customFormat="false" ht="15" hidden="false" customHeight="false" outlineLevel="0" collapsed="false">
      <c r="A297" s="25"/>
      <c r="B297" s="16"/>
      <c r="C297" s="16"/>
      <c r="D297" s="16"/>
      <c r="E297" s="16"/>
      <c r="F297" s="16"/>
      <c r="G297" s="47"/>
      <c r="H297" s="48" t="str">
        <f aca="false">IF(G297="","",IF(F297="Y",G297*2,G297))</f>
        <v/>
      </c>
      <c r="I297" s="27" t="str">
        <f aca="false">IF(H297="","",H297*$B$3)</f>
        <v/>
      </c>
      <c r="J297" s="16"/>
      <c r="K297" s="16"/>
      <c r="L297" s="16"/>
    </row>
    <row r="298" customFormat="false" ht="15" hidden="false" customHeight="false" outlineLevel="0" collapsed="false">
      <c r="A298" s="25"/>
      <c r="B298" s="16"/>
      <c r="C298" s="16"/>
      <c r="D298" s="16"/>
      <c r="E298" s="16"/>
      <c r="F298" s="16"/>
      <c r="G298" s="47"/>
      <c r="H298" s="48" t="str">
        <f aca="false">IF(G298="","",IF(F298="Y",G298*2,G298))</f>
        <v/>
      </c>
      <c r="I298" s="27" t="str">
        <f aca="false">IF(H298="","",H298*$B$3)</f>
        <v/>
      </c>
      <c r="J298" s="16"/>
      <c r="K298" s="16"/>
      <c r="L298" s="16"/>
    </row>
    <row r="299" customFormat="false" ht="15" hidden="false" customHeight="false" outlineLevel="0" collapsed="false">
      <c r="A299" s="25"/>
      <c r="B299" s="16"/>
      <c r="C299" s="16"/>
      <c r="D299" s="16"/>
      <c r="E299" s="16"/>
      <c r="F299" s="16"/>
      <c r="G299" s="47"/>
      <c r="H299" s="48" t="str">
        <f aca="false">IF(G299="","",IF(F299="Y",G299*2,G299))</f>
        <v/>
      </c>
      <c r="I299" s="27" t="str">
        <f aca="false">IF(H299="","",H299*$B$3)</f>
        <v/>
      </c>
      <c r="J299" s="16"/>
      <c r="K299" s="16"/>
      <c r="L299" s="16"/>
    </row>
    <row r="300" customFormat="false" ht="15" hidden="false" customHeight="false" outlineLevel="0" collapsed="false">
      <c r="A300" s="25"/>
      <c r="B300" s="16"/>
      <c r="C300" s="16"/>
      <c r="D300" s="16"/>
      <c r="E300" s="16"/>
      <c r="F300" s="16"/>
      <c r="G300" s="47"/>
      <c r="H300" s="48" t="str">
        <f aca="false">IF(G300="","",IF(F300="Y",G300*2,G300))</f>
        <v/>
      </c>
      <c r="I300" s="27" t="str">
        <f aca="false">IF(H300="","",H300*$B$3)</f>
        <v/>
      </c>
      <c r="J300" s="16"/>
      <c r="K300" s="16"/>
      <c r="L300" s="16"/>
    </row>
    <row r="301" customFormat="false" ht="15" hidden="false" customHeight="false" outlineLevel="0" collapsed="false">
      <c r="A301" s="25"/>
      <c r="B301" s="16"/>
      <c r="C301" s="16"/>
      <c r="D301" s="16"/>
      <c r="E301" s="16"/>
      <c r="F301" s="16"/>
      <c r="G301" s="47"/>
      <c r="H301" s="48" t="str">
        <f aca="false">IF(G301="","",IF(F301="Y",G301*2,G301))</f>
        <v/>
      </c>
      <c r="I301" s="27" t="str">
        <f aca="false">IF(H301="","",H301*$B$3)</f>
        <v/>
      </c>
      <c r="J301" s="16"/>
      <c r="K301" s="16"/>
      <c r="L301" s="16"/>
    </row>
    <row r="302" customFormat="false" ht="15" hidden="false" customHeight="false" outlineLevel="0" collapsed="false">
      <c r="A302" s="25"/>
      <c r="B302" s="16"/>
      <c r="C302" s="16"/>
      <c r="D302" s="16"/>
      <c r="E302" s="16"/>
      <c r="F302" s="16"/>
      <c r="G302" s="47"/>
      <c r="H302" s="48" t="str">
        <f aca="false">IF(G302="","",IF(F302="Y",G302*2,G302))</f>
        <v/>
      </c>
      <c r="I302" s="27" t="str">
        <f aca="false">IF(H302="","",H302*$B$3)</f>
        <v/>
      </c>
      <c r="J302" s="16"/>
      <c r="K302" s="16"/>
      <c r="L302" s="16"/>
    </row>
    <row r="303" customFormat="false" ht="15" hidden="false" customHeight="false" outlineLevel="0" collapsed="false">
      <c r="A303" s="25"/>
      <c r="B303" s="16"/>
      <c r="C303" s="16"/>
      <c r="D303" s="16"/>
      <c r="E303" s="16"/>
      <c r="F303" s="16"/>
      <c r="G303" s="47"/>
      <c r="H303" s="48" t="str">
        <f aca="false">IF(G303="","",IF(F303="Y",G303*2,G303))</f>
        <v/>
      </c>
      <c r="I303" s="27" t="str">
        <f aca="false">IF(H303="","",H303*$B$3)</f>
        <v/>
      </c>
      <c r="J303" s="16"/>
      <c r="K303" s="16"/>
      <c r="L303" s="16"/>
    </row>
    <row r="304" customFormat="false" ht="15" hidden="false" customHeight="false" outlineLevel="0" collapsed="false">
      <c r="A304" s="25"/>
      <c r="B304" s="16"/>
      <c r="C304" s="16"/>
      <c r="D304" s="16"/>
      <c r="E304" s="16"/>
      <c r="F304" s="16"/>
      <c r="G304" s="47"/>
      <c r="H304" s="48" t="str">
        <f aca="false">IF(G304="","",IF(F304="Y",G304*2,G304))</f>
        <v/>
      </c>
      <c r="I304" s="27" t="str">
        <f aca="false">IF(H304="","",H304*$B$3)</f>
        <v/>
      </c>
      <c r="J304" s="16"/>
      <c r="K304" s="16"/>
      <c r="L304" s="16"/>
    </row>
    <row r="305" customFormat="false" ht="15" hidden="false" customHeight="false" outlineLevel="0" collapsed="false">
      <c r="A305" s="25"/>
      <c r="B305" s="16"/>
      <c r="C305" s="16"/>
      <c r="D305" s="16"/>
      <c r="E305" s="16"/>
      <c r="F305" s="16"/>
      <c r="G305" s="47"/>
      <c r="H305" s="48" t="str">
        <f aca="false">IF(G305="","",IF(F305="Y",G305*2,G305))</f>
        <v/>
      </c>
      <c r="I305" s="27" t="str">
        <f aca="false">IF(H305="","",H305*$B$3)</f>
        <v/>
      </c>
      <c r="J305" s="16"/>
      <c r="K305" s="16"/>
      <c r="L305" s="16"/>
    </row>
    <row r="306" customFormat="false" ht="15" hidden="false" customHeight="false" outlineLevel="0" collapsed="false">
      <c r="A306" s="25"/>
      <c r="B306" s="16"/>
      <c r="C306" s="16"/>
      <c r="D306" s="16"/>
      <c r="E306" s="16"/>
      <c r="F306" s="16"/>
      <c r="G306" s="47"/>
      <c r="H306" s="48" t="str">
        <f aca="false">IF(G306="","",IF(F306="Y",G306*2,G306))</f>
        <v/>
      </c>
      <c r="I306" s="27" t="str">
        <f aca="false">IF(H306="","",H306*$B$3)</f>
        <v/>
      </c>
      <c r="J306" s="16"/>
      <c r="K306" s="16"/>
      <c r="L306" s="16"/>
    </row>
    <row r="307" customFormat="false" ht="15" hidden="false" customHeight="false" outlineLevel="0" collapsed="false">
      <c r="A307" s="25"/>
      <c r="B307" s="16"/>
      <c r="C307" s="16"/>
      <c r="D307" s="16"/>
      <c r="E307" s="16"/>
      <c r="F307" s="16"/>
      <c r="G307" s="47"/>
      <c r="H307" s="48" t="str">
        <f aca="false">IF(G307="","",IF(F307="Y",G307*2,G307))</f>
        <v/>
      </c>
      <c r="I307" s="27" t="str">
        <f aca="false">IF(H307="","",H307*$B$3)</f>
        <v/>
      </c>
      <c r="J307" s="16"/>
      <c r="K307" s="16"/>
      <c r="L307" s="16"/>
    </row>
    <row r="308" customFormat="false" ht="15" hidden="false" customHeight="false" outlineLevel="0" collapsed="false">
      <c r="A308" s="25"/>
      <c r="B308" s="16"/>
      <c r="C308" s="16"/>
      <c r="D308" s="16"/>
      <c r="E308" s="16"/>
      <c r="F308" s="16"/>
      <c r="G308" s="47"/>
      <c r="H308" s="48" t="str">
        <f aca="false">IF(G308="","",IF(F308="Y",G308*2,G308))</f>
        <v/>
      </c>
      <c r="I308" s="27" t="str">
        <f aca="false">IF(H308="","",H308*$B$3)</f>
        <v/>
      </c>
      <c r="J308" s="16"/>
      <c r="K308" s="16"/>
      <c r="L308" s="16"/>
    </row>
    <row r="309" customFormat="false" ht="15" hidden="false" customHeight="false" outlineLevel="0" collapsed="false">
      <c r="A309" s="25"/>
      <c r="B309" s="16"/>
      <c r="C309" s="16"/>
      <c r="D309" s="16"/>
      <c r="E309" s="16"/>
      <c r="F309" s="16"/>
      <c r="G309" s="47"/>
      <c r="H309" s="48" t="str">
        <f aca="false">IF(G309="","",IF(F309="Y",G309*2,G309))</f>
        <v/>
      </c>
      <c r="I309" s="27" t="str">
        <f aca="false">IF(H309="","",H309*$B$3)</f>
        <v/>
      </c>
      <c r="J309" s="16"/>
      <c r="K309" s="16"/>
      <c r="L309" s="16"/>
    </row>
    <row r="310" customFormat="false" ht="15" hidden="false" customHeight="false" outlineLevel="0" collapsed="false">
      <c r="A310" s="25"/>
      <c r="B310" s="16"/>
      <c r="C310" s="16"/>
      <c r="D310" s="16"/>
      <c r="E310" s="16"/>
      <c r="F310" s="16"/>
      <c r="G310" s="47"/>
      <c r="H310" s="48" t="str">
        <f aca="false">IF(G310="","",IF(F310="Y",G310*2,G310))</f>
        <v/>
      </c>
      <c r="I310" s="27" t="str">
        <f aca="false">IF(H310="","",H310*$B$3)</f>
        <v/>
      </c>
      <c r="J310" s="16"/>
      <c r="K310" s="16"/>
      <c r="L310" s="16"/>
    </row>
    <row r="311" customFormat="false" ht="15" hidden="false" customHeight="false" outlineLevel="0" collapsed="false">
      <c r="A311" s="25"/>
      <c r="B311" s="16"/>
      <c r="C311" s="16"/>
      <c r="D311" s="16"/>
      <c r="E311" s="16"/>
      <c r="F311" s="16"/>
      <c r="G311" s="47"/>
      <c r="H311" s="48" t="str">
        <f aca="false">IF(G311="","",IF(F311="Y",G311*2,G311))</f>
        <v/>
      </c>
      <c r="I311" s="27" t="str">
        <f aca="false">IF(H311="","",H311*$B$3)</f>
        <v/>
      </c>
      <c r="J311" s="16"/>
      <c r="K311" s="16"/>
      <c r="L311" s="16"/>
    </row>
    <row r="312" customFormat="false" ht="15" hidden="false" customHeight="false" outlineLevel="0" collapsed="false">
      <c r="A312" s="25"/>
      <c r="B312" s="16"/>
      <c r="C312" s="16"/>
      <c r="D312" s="16"/>
      <c r="E312" s="16"/>
      <c r="F312" s="16"/>
      <c r="G312" s="47"/>
      <c r="H312" s="48" t="str">
        <f aca="false">IF(G312="","",IF(F312="Y",G312*2,G312))</f>
        <v/>
      </c>
      <c r="I312" s="27" t="str">
        <f aca="false">IF(H312="","",H312*$B$3)</f>
        <v/>
      </c>
      <c r="J312" s="16"/>
      <c r="K312" s="16"/>
      <c r="L312" s="16"/>
    </row>
    <row r="313" customFormat="false" ht="15" hidden="false" customHeight="false" outlineLevel="0" collapsed="false">
      <c r="A313" s="25"/>
      <c r="B313" s="16"/>
      <c r="C313" s="16"/>
      <c r="D313" s="16"/>
      <c r="E313" s="16"/>
      <c r="F313" s="16"/>
      <c r="G313" s="47"/>
      <c r="H313" s="48" t="str">
        <f aca="false">IF(G313="","",IF(F313="Y",G313*2,G313))</f>
        <v/>
      </c>
      <c r="I313" s="27" t="str">
        <f aca="false">IF(H313="","",H313*$B$3)</f>
        <v/>
      </c>
      <c r="J313" s="16"/>
      <c r="K313" s="16"/>
      <c r="L313" s="16"/>
    </row>
    <row r="314" customFormat="false" ht="15" hidden="false" customHeight="false" outlineLevel="0" collapsed="false">
      <c r="A314" s="25"/>
      <c r="B314" s="16"/>
      <c r="C314" s="16"/>
      <c r="D314" s="16"/>
      <c r="E314" s="16"/>
      <c r="F314" s="16"/>
      <c r="G314" s="47"/>
      <c r="H314" s="48" t="str">
        <f aca="false">IF(G314="","",IF(F314="Y",G314*2,G314))</f>
        <v/>
      </c>
      <c r="I314" s="27" t="str">
        <f aca="false">IF(H314="","",H314*$B$3)</f>
        <v/>
      </c>
      <c r="J314" s="16"/>
      <c r="K314" s="16"/>
      <c r="L314" s="16"/>
    </row>
    <row r="315" customFormat="false" ht="15" hidden="false" customHeight="false" outlineLevel="0" collapsed="false">
      <c r="A315" s="25"/>
      <c r="B315" s="16"/>
      <c r="C315" s="16"/>
      <c r="D315" s="16"/>
      <c r="E315" s="16"/>
      <c r="F315" s="16"/>
      <c r="G315" s="47"/>
      <c r="H315" s="48" t="str">
        <f aca="false">IF(G315="","",IF(F315="Y",G315*2,G315))</f>
        <v/>
      </c>
      <c r="I315" s="27" t="str">
        <f aca="false">IF(H315="","",H315*$B$3)</f>
        <v/>
      </c>
      <c r="J315" s="16"/>
      <c r="K315" s="16"/>
      <c r="L315" s="16"/>
    </row>
    <row r="316" customFormat="false" ht="15" hidden="false" customHeight="false" outlineLevel="0" collapsed="false">
      <c r="A316" s="25"/>
      <c r="B316" s="16"/>
      <c r="C316" s="16"/>
      <c r="D316" s="16"/>
      <c r="E316" s="16"/>
      <c r="F316" s="16"/>
      <c r="G316" s="47"/>
      <c r="H316" s="48" t="str">
        <f aca="false">IF(G316="","",IF(F316="Y",G316*2,G316))</f>
        <v/>
      </c>
      <c r="I316" s="27" t="str">
        <f aca="false">IF(H316="","",H316*$B$3)</f>
        <v/>
      </c>
      <c r="J316" s="16"/>
      <c r="K316" s="16"/>
      <c r="L316" s="16"/>
    </row>
    <row r="317" customFormat="false" ht="15" hidden="false" customHeight="false" outlineLevel="0" collapsed="false">
      <c r="A317" s="25"/>
      <c r="B317" s="16"/>
      <c r="C317" s="16"/>
      <c r="D317" s="16"/>
      <c r="E317" s="16"/>
      <c r="F317" s="16"/>
      <c r="G317" s="47"/>
      <c r="H317" s="48" t="str">
        <f aca="false">IF(G317="","",IF(F317="Y",G317*2,G317))</f>
        <v/>
      </c>
      <c r="I317" s="27" t="str">
        <f aca="false">IF(H317="","",H317*$B$3)</f>
        <v/>
      </c>
      <c r="J317" s="16"/>
      <c r="K317" s="16"/>
      <c r="L317" s="16"/>
    </row>
    <row r="318" customFormat="false" ht="15" hidden="false" customHeight="false" outlineLevel="0" collapsed="false">
      <c r="A318" s="25"/>
      <c r="B318" s="16"/>
      <c r="C318" s="16"/>
      <c r="D318" s="16"/>
      <c r="E318" s="16"/>
      <c r="F318" s="16"/>
      <c r="G318" s="47"/>
      <c r="H318" s="48" t="str">
        <f aca="false">IF(G318="","",IF(F318="Y",G318*2,G318))</f>
        <v/>
      </c>
      <c r="I318" s="27" t="str">
        <f aca="false">IF(H318="","",H318*$B$3)</f>
        <v/>
      </c>
      <c r="J318" s="16"/>
      <c r="K318" s="16"/>
      <c r="L318" s="16"/>
    </row>
    <row r="319" customFormat="false" ht="15" hidden="false" customHeight="false" outlineLevel="0" collapsed="false">
      <c r="A319" s="25"/>
      <c r="B319" s="16"/>
      <c r="C319" s="16"/>
      <c r="D319" s="16"/>
      <c r="E319" s="16"/>
      <c r="F319" s="16"/>
      <c r="G319" s="47"/>
      <c r="H319" s="48" t="str">
        <f aca="false">IF(G319="","",IF(F319="Y",G319*2,G319))</f>
        <v/>
      </c>
      <c r="I319" s="27" t="str">
        <f aca="false">IF(H319="","",H319*$B$3)</f>
        <v/>
      </c>
      <c r="J319" s="16"/>
      <c r="K319" s="16"/>
      <c r="L319" s="16"/>
    </row>
    <row r="320" customFormat="false" ht="15" hidden="false" customHeight="false" outlineLevel="0" collapsed="false">
      <c r="A320" s="25"/>
      <c r="B320" s="16"/>
      <c r="C320" s="16"/>
      <c r="D320" s="16"/>
      <c r="E320" s="16"/>
      <c r="F320" s="16"/>
      <c r="G320" s="47"/>
      <c r="H320" s="48" t="str">
        <f aca="false">IF(G320="","",IF(F320="Y",G320*2,G320))</f>
        <v/>
      </c>
      <c r="I320" s="27" t="str">
        <f aca="false">IF(H320="","",H320*$B$3)</f>
        <v/>
      </c>
      <c r="J320" s="16"/>
      <c r="K320" s="16"/>
      <c r="L320" s="16"/>
    </row>
    <row r="321" customFormat="false" ht="15" hidden="false" customHeight="false" outlineLevel="0" collapsed="false">
      <c r="A321" s="25"/>
      <c r="B321" s="16"/>
      <c r="C321" s="16"/>
      <c r="D321" s="16"/>
      <c r="E321" s="16"/>
      <c r="F321" s="16"/>
      <c r="G321" s="47"/>
      <c r="H321" s="48" t="str">
        <f aca="false">IF(G321="","",IF(F321="Y",G321*2,G321))</f>
        <v/>
      </c>
      <c r="I321" s="27" t="str">
        <f aca="false">IF(H321="","",H321*$B$3)</f>
        <v/>
      </c>
      <c r="J321" s="16"/>
      <c r="K321" s="16"/>
      <c r="L321" s="16"/>
    </row>
    <row r="322" customFormat="false" ht="15" hidden="false" customHeight="false" outlineLevel="0" collapsed="false">
      <c r="A322" s="25"/>
      <c r="B322" s="16"/>
      <c r="C322" s="16"/>
      <c r="D322" s="16"/>
      <c r="E322" s="16"/>
      <c r="F322" s="16"/>
      <c r="G322" s="47"/>
      <c r="H322" s="48" t="str">
        <f aca="false">IF(G322="","",IF(F322="Y",G322*2,G322))</f>
        <v/>
      </c>
      <c r="I322" s="27" t="str">
        <f aca="false">IF(H322="","",H322*$B$3)</f>
        <v/>
      </c>
      <c r="J322" s="16"/>
      <c r="K322" s="16"/>
      <c r="L322" s="16"/>
    </row>
    <row r="323" customFormat="false" ht="15" hidden="false" customHeight="false" outlineLevel="0" collapsed="false">
      <c r="A323" s="25"/>
      <c r="B323" s="16"/>
      <c r="C323" s="16"/>
      <c r="D323" s="16"/>
      <c r="E323" s="16"/>
      <c r="F323" s="16"/>
      <c r="G323" s="47"/>
      <c r="H323" s="48" t="str">
        <f aca="false">IF(G323="","",IF(F323="Y",G323*2,G323))</f>
        <v/>
      </c>
      <c r="I323" s="27" t="str">
        <f aca="false">IF(H323="","",H323*$B$3)</f>
        <v/>
      </c>
      <c r="J323" s="16"/>
      <c r="K323" s="16"/>
      <c r="L323" s="16"/>
    </row>
    <row r="324" customFormat="false" ht="15" hidden="false" customHeight="false" outlineLevel="0" collapsed="false">
      <c r="A324" s="25"/>
      <c r="B324" s="16"/>
      <c r="C324" s="16"/>
      <c r="D324" s="16"/>
      <c r="E324" s="16"/>
      <c r="F324" s="16"/>
      <c r="G324" s="47"/>
      <c r="H324" s="48" t="str">
        <f aca="false">IF(G324="","",IF(F324="Y",G324*2,G324))</f>
        <v/>
      </c>
      <c r="I324" s="27" t="str">
        <f aca="false">IF(H324="","",H324*$B$3)</f>
        <v/>
      </c>
      <c r="J324" s="16"/>
      <c r="K324" s="16"/>
      <c r="L324" s="16"/>
    </row>
    <row r="325" customFormat="false" ht="15" hidden="false" customHeight="false" outlineLevel="0" collapsed="false">
      <c r="A325" s="25"/>
      <c r="B325" s="16"/>
      <c r="C325" s="16"/>
      <c r="D325" s="16"/>
      <c r="E325" s="16"/>
      <c r="F325" s="16"/>
      <c r="G325" s="47"/>
      <c r="H325" s="48" t="str">
        <f aca="false">IF(G325="","",IF(F325="Y",G325*2,G325))</f>
        <v/>
      </c>
      <c r="I325" s="27" t="str">
        <f aca="false">IF(H325="","",H325*$B$3)</f>
        <v/>
      </c>
      <c r="J325" s="16"/>
      <c r="K325" s="16"/>
      <c r="L325" s="16"/>
    </row>
    <row r="326" customFormat="false" ht="15" hidden="false" customHeight="false" outlineLevel="0" collapsed="false">
      <c r="A326" s="25"/>
      <c r="B326" s="16"/>
      <c r="C326" s="16"/>
      <c r="D326" s="16"/>
      <c r="E326" s="16"/>
      <c r="F326" s="16"/>
      <c r="G326" s="47"/>
      <c r="H326" s="48" t="str">
        <f aca="false">IF(G326="","",IF(F326="Y",G326*2,G326))</f>
        <v/>
      </c>
      <c r="I326" s="27" t="str">
        <f aca="false">IF(H326="","",H326*$B$3)</f>
        <v/>
      </c>
      <c r="J326" s="16"/>
      <c r="K326" s="16"/>
      <c r="L326" s="16"/>
    </row>
    <row r="327" customFormat="false" ht="15" hidden="false" customHeight="false" outlineLevel="0" collapsed="false">
      <c r="A327" s="25"/>
      <c r="B327" s="16"/>
      <c r="C327" s="16"/>
      <c r="D327" s="16"/>
      <c r="E327" s="16"/>
      <c r="F327" s="16"/>
      <c r="G327" s="47"/>
      <c r="H327" s="48" t="str">
        <f aca="false">IF(G327="","",IF(F327="Y",G327*2,G327))</f>
        <v/>
      </c>
      <c r="I327" s="27" t="str">
        <f aca="false">IF(H327="","",H327*$B$3)</f>
        <v/>
      </c>
      <c r="J327" s="16"/>
      <c r="K327" s="16"/>
      <c r="L327" s="16"/>
    </row>
    <row r="328" customFormat="false" ht="15" hidden="false" customHeight="false" outlineLevel="0" collapsed="false">
      <c r="A328" s="25"/>
      <c r="B328" s="16"/>
      <c r="C328" s="16"/>
      <c r="D328" s="16"/>
      <c r="E328" s="16"/>
      <c r="F328" s="16"/>
      <c r="G328" s="47"/>
      <c r="H328" s="48" t="str">
        <f aca="false">IF(G328="","",IF(F328="Y",G328*2,G328))</f>
        <v/>
      </c>
      <c r="I328" s="27" t="str">
        <f aca="false">IF(H328="","",H328*$B$3)</f>
        <v/>
      </c>
      <c r="J328" s="16"/>
      <c r="K328" s="16"/>
      <c r="L328" s="16"/>
    </row>
    <row r="329" customFormat="false" ht="15" hidden="false" customHeight="false" outlineLevel="0" collapsed="false">
      <c r="A329" s="25"/>
      <c r="B329" s="16"/>
      <c r="C329" s="16"/>
      <c r="D329" s="16"/>
      <c r="E329" s="16"/>
      <c r="F329" s="16"/>
      <c r="G329" s="47"/>
      <c r="H329" s="48" t="str">
        <f aca="false">IF(G329="","",IF(F329="Y",G329*2,G329))</f>
        <v/>
      </c>
      <c r="I329" s="27" t="str">
        <f aca="false">IF(H329="","",H329*$B$3)</f>
        <v/>
      </c>
      <c r="J329" s="16"/>
      <c r="K329" s="16"/>
      <c r="L329" s="16"/>
    </row>
    <row r="330" customFormat="false" ht="15" hidden="false" customHeight="false" outlineLevel="0" collapsed="false">
      <c r="A330" s="25"/>
      <c r="B330" s="16"/>
      <c r="C330" s="16"/>
      <c r="D330" s="16"/>
      <c r="E330" s="16"/>
      <c r="F330" s="16"/>
      <c r="G330" s="47"/>
      <c r="H330" s="48" t="str">
        <f aca="false">IF(G330="","",IF(F330="Y",G330*2,G330))</f>
        <v/>
      </c>
      <c r="I330" s="27" t="str">
        <f aca="false">IF(H330="","",H330*$B$3)</f>
        <v/>
      </c>
      <c r="J330" s="16"/>
      <c r="K330" s="16"/>
      <c r="L330" s="16"/>
    </row>
    <row r="331" customFormat="false" ht="15" hidden="false" customHeight="false" outlineLevel="0" collapsed="false">
      <c r="A331" s="25"/>
      <c r="B331" s="16"/>
      <c r="C331" s="16"/>
      <c r="D331" s="16"/>
      <c r="E331" s="16"/>
      <c r="F331" s="16"/>
      <c r="G331" s="47"/>
      <c r="H331" s="48" t="str">
        <f aca="false">IF(G331="","",IF(F331="Y",G331*2,G331))</f>
        <v/>
      </c>
      <c r="I331" s="27" t="str">
        <f aca="false">IF(H331="","",H331*$B$3)</f>
        <v/>
      </c>
      <c r="J331" s="16"/>
      <c r="K331" s="16"/>
      <c r="L331" s="16"/>
    </row>
    <row r="332" customFormat="false" ht="15" hidden="false" customHeight="false" outlineLevel="0" collapsed="false">
      <c r="A332" s="25"/>
      <c r="B332" s="16"/>
      <c r="C332" s="16"/>
      <c r="D332" s="16"/>
      <c r="E332" s="16"/>
      <c r="F332" s="16"/>
      <c r="G332" s="47"/>
      <c r="H332" s="48" t="str">
        <f aca="false">IF(G332="","",IF(F332="Y",G332*2,G332))</f>
        <v/>
      </c>
      <c r="I332" s="27" t="str">
        <f aca="false">IF(H332="","",H332*$B$3)</f>
        <v/>
      </c>
      <c r="J332" s="16"/>
      <c r="K332" s="16"/>
      <c r="L332" s="16"/>
    </row>
    <row r="333" customFormat="false" ht="15" hidden="false" customHeight="false" outlineLevel="0" collapsed="false">
      <c r="A333" s="25"/>
      <c r="B333" s="16"/>
      <c r="C333" s="16"/>
      <c r="D333" s="16"/>
      <c r="E333" s="16"/>
      <c r="F333" s="16"/>
      <c r="G333" s="47"/>
      <c r="H333" s="48" t="str">
        <f aca="false">IF(G333="","",IF(F333="Y",G333*2,G333))</f>
        <v/>
      </c>
      <c r="I333" s="27" t="str">
        <f aca="false">IF(H333="","",H333*$B$3)</f>
        <v/>
      </c>
      <c r="J333" s="16"/>
      <c r="K333" s="16"/>
      <c r="L333" s="16"/>
    </row>
    <row r="334" customFormat="false" ht="15" hidden="false" customHeight="false" outlineLevel="0" collapsed="false">
      <c r="A334" s="25"/>
      <c r="B334" s="16"/>
      <c r="C334" s="16"/>
      <c r="D334" s="16"/>
      <c r="E334" s="16"/>
      <c r="F334" s="16"/>
      <c r="G334" s="47"/>
      <c r="H334" s="48" t="str">
        <f aca="false">IF(G334="","",IF(F334="Y",G334*2,G334))</f>
        <v/>
      </c>
      <c r="I334" s="27" t="str">
        <f aca="false">IF(H334="","",H334*$B$3)</f>
        <v/>
      </c>
      <c r="J334" s="16"/>
      <c r="K334" s="16"/>
      <c r="L334" s="16"/>
    </row>
    <row r="335" customFormat="false" ht="15" hidden="false" customHeight="false" outlineLevel="0" collapsed="false">
      <c r="A335" s="25"/>
      <c r="B335" s="16"/>
      <c r="C335" s="16"/>
      <c r="D335" s="16"/>
      <c r="E335" s="16"/>
      <c r="F335" s="16"/>
      <c r="G335" s="47"/>
      <c r="H335" s="48" t="str">
        <f aca="false">IF(G335="","",IF(F335="Y",G335*2,G335))</f>
        <v/>
      </c>
      <c r="I335" s="27" t="str">
        <f aca="false">IF(H335="","",H335*$B$3)</f>
        <v/>
      </c>
      <c r="J335" s="16"/>
      <c r="K335" s="16"/>
      <c r="L335" s="16"/>
    </row>
    <row r="336" customFormat="false" ht="15" hidden="false" customHeight="false" outlineLevel="0" collapsed="false">
      <c r="A336" s="25"/>
      <c r="B336" s="16"/>
      <c r="C336" s="16"/>
      <c r="D336" s="16"/>
      <c r="E336" s="16"/>
      <c r="F336" s="16"/>
      <c r="G336" s="47"/>
      <c r="H336" s="48" t="str">
        <f aca="false">IF(G336="","",IF(F336="Y",G336*2,G336))</f>
        <v/>
      </c>
      <c r="I336" s="27" t="str">
        <f aca="false">IF(H336="","",H336*$B$3)</f>
        <v/>
      </c>
      <c r="J336" s="16"/>
      <c r="K336" s="16"/>
      <c r="L336" s="16"/>
    </row>
    <row r="337" customFormat="false" ht="15" hidden="false" customHeight="false" outlineLevel="0" collapsed="false">
      <c r="A337" s="25"/>
      <c r="B337" s="16"/>
      <c r="C337" s="16"/>
      <c r="D337" s="16"/>
      <c r="E337" s="16"/>
      <c r="F337" s="16"/>
      <c r="G337" s="47"/>
      <c r="H337" s="48" t="str">
        <f aca="false">IF(G337="","",IF(F337="Y",G337*2,G337))</f>
        <v/>
      </c>
      <c r="I337" s="27" t="str">
        <f aca="false">IF(H337="","",H337*$B$3)</f>
        <v/>
      </c>
      <c r="J337" s="16"/>
      <c r="K337" s="16"/>
      <c r="L337" s="16"/>
    </row>
    <row r="338" customFormat="false" ht="15" hidden="false" customHeight="false" outlineLevel="0" collapsed="false">
      <c r="A338" s="25"/>
      <c r="B338" s="16"/>
      <c r="C338" s="16"/>
      <c r="D338" s="16"/>
      <c r="E338" s="16"/>
      <c r="F338" s="16"/>
      <c r="G338" s="47"/>
      <c r="H338" s="48" t="str">
        <f aca="false">IF(G338="","",IF(F338="Y",G338*2,G338))</f>
        <v/>
      </c>
      <c r="I338" s="27" t="str">
        <f aca="false">IF(H338="","",H338*$B$3)</f>
        <v/>
      </c>
      <c r="J338" s="16"/>
      <c r="K338" s="16"/>
      <c r="L338" s="16"/>
    </row>
    <row r="339" customFormat="false" ht="15" hidden="false" customHeight="false" outlineLevel="0" collapsed="false">
      <c r="A339" s="25"/>
      <c r="B339" s="16"/>
      <c r="C339" s="16"/>
      <c r="D339" s="16"/>
      <c r="E339" s="16"/>
      <c r="F339" s="16"/>
      <c r="G339" s="47"/>
      <c r="H339" s="48" t="str">
        <f aca="false">IF(G339="","",IF(F339="Y",G339*2,G339))</f>
        <v/>
      </c>
      <c r="I339" s="27" t="str">
        <f aca="false">IF(H339="","",H339*$B$3)</f>
        <v/>
      </c>
      <c r="J339" s="16"/>
      <c r="K339" s="16"/>
      <c r="L339" s="16"/>
    </row>
    <row r="340" customFormat="false" ht="15" hidden="false" customHeight="false" outlineLevel="0" collapsed="false">
      <c r="A340" s="25"/>
      <c r="B340" s="16"/>
      <c r="C340" s="16"/>
      <c r="D340" s="16"/>
      <c r="E340" s="16"/>
      <c r="F340" s="16"/>
      <c r="G340" s="47"/>
      <c r="H340" s="48" t="str">
        <f aca="false">IF(G340="","",IF(F340="Y",G340*2,G340))</f>
        <v/>
      </c>
      <c r="I340" s="27" t="str">
        <f aca="false">IF(H340="","",H340*$B$3)</f>
        <v/>
      </c>
      <c r="J340" s="16"/>
      <c r="K340" s="16"/>
      <c r="L340" s="16"/>
    </row>
    <row r="341" customFormat="false" ht="15" hidden="false" customHeight="false" outlineLevel="0" collapsed="false">
      <c r="A341" s="25"/>
      <c r="B341" s="16"/>
      <c r="C341" s="16"/>
      <c r="D341" s="16"/>
      <c r="E341" s="16"/>
      <c r="F341" s="16"/>
      <c r="G341" s="47"/>
      <c r="H341" s="48" t="str">
        <f aca="false">IF(G341="","",IF(F341="Y",G341*2,G341))</f>
        <v/>
      </c>
      <c r="I341" s="27" t="str">
        <f aca="false">IF(H341="","",H341*$B$3)</f>
        <v/>
      </c>
      <c r="J341" s="16"/>
      <c r="K341" s="16"/>
      <c r="L341" s="16"/>
    </row>
    <row r="342" customFormat="false" ht="15" hidden="false" customHeight="false" outlineLevel="0" collapsed="false">
      <c r="A342" s="25"/>
      <c r="B342" s="16"/>
      <c r="C342" s="16"/>
      <c r="D342" s="16"/>
      <c r="E342" s="16"/>
      <c r="F342" s="16"/>
      <c r="G342" s="47"/>
      <c r="H342" s="48" t="str">
        <f aca="false">IF(G342="","",IF(F342="Y",G342*2,G342))</f>
        <v/>
      </c>
      <c r="I342" s="27" t="str">
        <f aca="false">IF(H342="","",H342*$B$3)</f>
        <v/>
      </c>
      <c r="J342" s="16"/>
      <c r="K342" s="16"/>
      <c r="L342" s="16"/>
    </row>
    <row r="343" customFormat="false" ht="15" hidden="false" customHeight="false" outlineLevel="0" collapsed="false">
      <c r="A343" s="25"/>
      <c r="B343" s="16"/>
      <c r="C343" s="16"/>
      <c r="D343" s="16"/>
      <c r="E343" s="16"/>
      <c r="F343" s="16"/>
      <c r="G343" s="47"/>
      <c r="H343" s="48" t="str">
        <f aca="false">IF(G343="","",IF(F343="Y",G343*2,G343))</f>
        <v/>
      </c>
      <c r="I343" s="27" t="str">
        <f aca="false">IF(H343="","",H343*$B$3)</f>
        <v/>
      </c>
      <c r="J343" s="16"/>
      <c r="K343" s="16"/>
      <c r="L343" s="16"/>
    </row>
    <row r="344" customFormat="false" ht="15" hidden="false" customHeight="false" outlineLevel="0" collapsed="false">
      <c r="A344" s="25"/>
      <c r="B344" s="16"/>
      <c r="C344" s="16"/>
      <c r="D344" s="16"/>
      <c r="E344" s="16"/>
      <c r="F344" s="16"/>
      <c r="G344" s="47"/>
      <c r="H344" s="48" t="str">
        <f aca="false">IF(G344="","",IF(F344="Y",G344*2,G344))</f>
        <v/>
      </c>
      <c r="I344" s="27" t="str">
        <f aca="false">IF(H344="","",H344*$B$3)</f>
        <v/>
      </c>
      <c r="J344" s="16"/>
      <c r="K344" s="16"/>
      <c r="L344" s="16"/>
    </row>
    <row r="345" customFormat="false" ht="15" hidden="false" customHeight="false" outlineLevel="0" collapsed="false">
      <c r="A345" s="25"/>
      <c r="B345" s="16"/>
      <c r="C345" s="16"/>
      <c r="D345" s="16"/>
      <c r="E345" s="16"/>
      <c r="F345" s="16"/>
      <c r="G345" s="47"/>
      <c r="H345" s="48" t="str">
        <f aca="false">IF(G345="","",IF(F345="Y",G345*2,G345))</f>
        <v/>
      </c>
      <c r="I345" s="27" t="str">
        <f aca="false">IF(H345="","",H345*$B$3)</f>
        <v/>
      </c>
      <c r="J345" s="16"/>
      <c r="K345" s="16"/>
      <c r="L345" s="16"/>
    </row>
    <row r="346" customFormat="false" ht="15" hidden="false" customHeight="false" outlineLevel="0" collapsed="false">
      <c r="A346" s="25"/>
      <c r="B346" s="16"/>
      <c r="C346" s="16"/>
      <c r="D346" s="16"/>
      <c r="E346" s="16"/>
      <c r="F346" s="16"/>
      <c r="G346" s="47"/>
      <c r="H346" s="48" t="str">
        <f aca="false">IF(G346="","",IF(F346="Y",G346*2,G346))</f>
        <v/>
      </c>
      <c r="I346" s="27" t="str">
        <f aca="false">IF(H346="","",H346*$B$3)</f>
        <v/>
      </c>
      <c r="J346" s="16"/>
      <c r="K346" s="16"/>
      <c r="L346" s="16"/>
    </row>
    <row r="347" customFormat="false" ht="15" hidden="false" customHeight="false" outlineLevel="0" collapsed="false">
      <c r="A347" s="25"/>
      <c r="B347" s="16"/>
      <c r="C347" s="16"/>
      <c r="D347" s="16"/>
      <c r="E347" s="16"/>
      <c r="F347" s="16"/>
      <c r="G347" s="47"/>
      <c r="H347" s="48" t="str">
        <f aca="false">IF(G347="","",IF(F347="Y",G347*2,G347))</f>
        <v/>
      </c>
      <c r="I347" s="27" t="str">
        <f aca="false">IF(H347="","",H347*$B$3)</f>
        <v/>
      </c>
      <c r="J347" s="16"/>
      <c r="K347" s="16"/>
      <c r="L347" s="16"/>
    </row>
    <row r="348" customFormat="false" ht="15" hidden="false" customHeight="false" outlineLevel="0" collapsed="false">
      <c r="A348" s="25"/>
      <c r="B348" s="16"/>
      <c r="C348" s="16"/>
      <c r="D348" s="16"/>
      <c r="E348" s="16"/>
      <c r="F348" s="16"/>
      <c r="G348" s="47"/>
      <c r="H348" s="48" t="str">
        <f aca="false">IF(G348="","",IF(F348="Y",G348*2,G348))</f>
        <v/>
      </c>
      <c r="I348" s="27" t="str">
        <f aca="false">IF(H348="","",H348*$B$3)</f>
        <v/>
      </c>
      <c r="J348" s="16"/>
      <c r="K348" s="16"/>
      <c r="L348" s="16"/>
    </row>
    <row r="349" customFormat="false" ht="15" hidden="false" customHeight="false" outlineLevel="0" collapsed="false">
      <c r="A349" s="25"/>
      <c r="B349" s="16"/>
      <c r="C349" s="16"/>
      <c r="D349" s="16"/>
      <c r="E349" s="16"/>
      <c r="F349" s="16"/>
      <c r="G349" s="47"/>
      <c r="H349" s="48" t="str">
        <f aca="false">IF(G349="","",IF(F349="Y",G349*2,G349))</f>
        <v/>
      </c>
      <c r="I349" s="27" t="str">
        <f aca="false">IF(H349="","",H349*$B$3)</f>
        <v/>
      </c>
      <c r="J349" s="16"/>
      <c r="K349" s="16"/>
      <c r="L349" s="16"/>
    </row>
    <row r="350" customFormat="false" ht="15" hidden="false" customHeight="false" outlineLevel="0" collapsed="false">
      <c r="A350" s="25"/>
      <c r="B350" s="16"/>
      <c r="C350" s="16"/>
      <c r="D350" s="16"/>
      <c r="E350" s="16"/>
      <c r="F350" s="16"/>
      <c r="G350" s="47"/>
      <c r="H350" s="48" t="str">
        <f aca="false">IF(G350="","",IF(F350="Y",G350*2,G350))</f>
        <v/>
      </c>
      <c r="I350" s="27" t="str">
        <f aca="false">IF(H350="","",H350*$B$3)</f>
        <v/>
      </c>
      <c r="J350" s="16"/>
      <c r="K350" s="16"/>
      <c r="L350" s="16"/>
    </row>
    <row r="351" customFormat="false" ht="15" hidden="false" customHeight="false" outlineLevel="0" collapsed="false">
      <c r="A351" s="25"/>
      <c r="B351" s="16"/>
      <c r="C351" s="16"/>
      <c r="D351" s="16"/>
      <c r="E351" s="16"/>
      <c r="F351" s="16"/>
      <c r="G351" s="47"/>
      <c r="H351" s="48" t="str">
        <f aca="false">IF(G351="","",IF(F351="Y",G351*2,G351))</f>
        <v/>
      </c>
      <c r="I351" s="27" t="str">
        <f aca="false">IF(H351="","",H351*$B$3)</f>
        <v/>
      </c>
      <c r="J351" s="16"/>
      <c r="K351" s="16"/>
      <c r="L351" s="16"/>
    </row>
    <row r="352" customFormat="false" ht="15" hidden="false" customHeight="false" outlineLevel="0" collapsed="false">
      <c r="A352" s="25"/>
      <c r="B352" s="16"/>
      <c r="C352" s="16"/>
      <c r="D352" s="16"/>
      <c r="E352" s="16"/>
      <c r="F352" s="16"/>
      <c r="G352" s="47"/>
      <c r="H352" s="48" t="str">
        <f aca="false">IF(G352="","",IF(F352="Y",G352*2,G352))</f>
        <v/>
      </c>
      <c r="I352" s="27" t="str">
        <f aca="false">IF(H352="","",H352*$B$3)</f>
        <v/>
      </c>
      <c r="J352" s="16"/>
      <c r="K352" s="16"/>
      <c r="L352" s="16"/>
    </row>
    <row r="353" customFormat="false" ht="15" hidden="false" customHeight="false" outlineLevel="0" collapsed="false">
      <c r="A353" s="25"/>
      <c r="B353" s="16"/>
      <c r="C353" s="16"/>
      <c r="D353" s="16"/>
      <c r="E353" s="16"/>
      <c r="F353" s="16"/>
      <c r="G353" s="47"/>
      <c r="H353" s="48" t="str">
        <f aca="false">IF(G353="","",IF(F353="Y",G353*2,G353))</f>
        <v/>
      </c>
      <c r="I353" s="27" t="str">
        <f aca="false">IF(H353="","",H353*$B$3)</f>
        <v/>
      </c>
      <c r="J353" s="16"/>
      <c r="K353" s="16"/>
      <c r="L353" s="16"/>
    </row>
    <row r="354" customFormat="false" ht="15" hidden="false" customHeight="false" outlineLevel="0" collapsed="false">
      <c r="A354" s="25"/>
      <c r="B354" s="16"/>
      <c r="C354" s="16"/>
      <c r="D354" s="16"/>
      <c r="E354" s="16"/>
      <c r="F354" s="16"/>
      <c r="G354" s="47"/>
      <c r="H354" s="48" t="str">
        <f aca="false">IF(G354="","",IF(F354="Y",G354*2,G354))</f>
        <v/>
      </c>
      <c r="I354" s="27" t="str">
        <f aca="false">IF(H354="","",H354*$B$3)</f>
        <v/>
      </c>
      <c r="J354" s="16"/>
      <c r="K354" s="16"/>
      <c r="L354" s="16"/>
    </row>
    <row r="355" customFormat="false" ht="15" hidden="false" customHeight="false" outlineLevel="0" collapsed="false">
      <c r="A355" s="25"/>
      <c r="B355" s="16"/>
      <c r="C355" s="16"/>
      <c r="D355" s="16"/>
      <c r="E355" s="16"/>
      <c r="F355" s="16"/>
      <c r="G355" s="47"/>
      <c r="H355" s="48" t="str">
        <f aca="false">IF(G355="","",IF(F355="Y",G355*2,G355))</f>
        <v/>
      </c>
      <c r="I355" s="27" t="str">
        <f aca="false">IF(H355="","",H355*$B$3)</f>
        <v/>
      </c>
      <c r="J355" s="16"/>
      <c r="K355" s="16"/>
      <c r="L355" s="16"/>
    </row>
    <row r="356" customFormat="false" ht="15" hidden="false" customHeight="false" outlineLevel="0" collapsed="false">
      <c r="A356" s="25"/>
      <c r="B356" s="16"/>
      <c r="C356" s="16"/>
      <c r="D356" s="16"/>
      <c r="E356" s="16"/>
      <c r="F356" s="16"/>
      <c r="G356" s="47"/>
      <c r="H356" s="48" t="str">
        <f aca="false">IF(G356="","",IF(F356="Y",G356*2,G356))</f>
        <v/>
      </c>
      <c r="I356" s="27" t="str">
        <f aca="false">IF(H356="","",H356*$B$3)</f>
        <v/>
      </c>
      <c r="J356" s="16"/>
      <c r="K356" s="16"/>
      <c r="L356" s="16"/>
    </row>
    <row r="357" customFormat="false" ht="15" hidden="false" customHeight="false" outlineLevel="0" collapsed="false">
      <c r="A357" s="25"/>
      <c r="B357" s="16"/>
      <c r="C357" s="16"/>
      <c r="D357" s="16"/>
      <c r="E357" s="16"/>
      <c r="F357" s="16"/>
      <c r="G357" s="47"/>
      <c r="H357" s="48" t="str">
        <f aca="false">IF(G357="","",IF(F357="Y",G357*2,G357))</f>
        <v/>
      </c>
      <c r="I357" s="27" t="str">
        <f aca="false">IF(H357="","",H357*$B$3)</f>
        <v/>
      </c>
      <c r="J357" s="16"/>
      <c r="K357" s="16"/>
      <c r="L357" s="16"/>
    </row>
    <row r="358" customFormat="false" ht="15" hidden="false" customHeight="false" outlineLevel="0" collapsed="false">
      <c r="A358" s="25"/>
      <c r="B358" s="16"/>
      <c r="C358" s="16"/>
      <c r="D358" s="16"/>
      <c r="E358" s="16"/>
      <c r="F358" s="16"/>
      <c r="G358" s="47"/>
      <c r="H358" s="48" t="str">
        <f aca="false">IF(G358="","",IF(F358="Y",G358*2,G358))</f>
        <v/>
      </c>
      <c r="I358" s="27" t="str">
        <f aca="false">IF(H358="","",H358*$B$3)</f>
        <v/>
      </c>
      <c r="J358" s="16"/>
      <c r="K358" s="16"/>
      <c r="L358" s="16"/>
    </row>
    <row r="359" customFormat="false" ht="15" hidden="false" customHeight="false" outlineLevel="0" collapsed="false">
      <c r="A359" s="25"/>
      <c r="B359" s="16"/>
      <c r="C359" s="16"/>
      <c r="D359" s="16"/>
      <c r="E359" s="16"/>
      <c r="F359" s="16"/>
      <c r="G359" s="47"/>
      <c r="H359" s="48" t="str">
        <f aca="false">IF(G359="","",IF(F359="Y",G359*2,G359))</f>
        <v/>
      </c>
      <c r="I359" s="27" t="str">
        <f aca="false">IF(H359="","",H359*$B$3)</f>
        <v/>
      </c>
      <c r="J359" s="16"/>
      <c r="K359" s="16"/>
      <c r="L359" s="16"/>
    </row>
    <row r="360" customFormat="false" ht="15" hidden="false" customHeight="false" outlineLevel="0" collapsed="false">
      <c r="A360" s="25"/>
      <c r="B360" s="16"/>
      <c r="C360" s="16"/>
      <c r="D360" s="16"/>
      <c r="E360" s="16"/>
      <c r="F360" s="16"/>
      <c r="G360" s="47"/>
      <c r="H360" s="48" t="str">
        <f aca="false">IF(G360="","",IF(F360="Y",G360*2,G360))</f>
        <v/>
      </c>
      <c r="I360" s="27" t="str">
        <f aca="false">IF(H360="","",H360*$B$3)</f>
        <v/>
      </c>
      <c r="J360" s="16"/>
      <c r="K360" s="16"/>
      <c r="L360" s="16"/>
    </row>
    <row r="361" customFormat="false" ht="15" hidden="false" customHeight="false" outlineLevel="0" collapsed="false">
      <c r="A361" s="25"/>
      <c r="B361" s="16"/>
      <c r="C361" s="16"/>
      <c r="D361" s="16"/>
      <c r="E361" s="16"/>
      <c r="F361" s="16"/>
      <c r="G361" s="47"/>
      <c r="H361" s="48" t="str">
        <f aca="false">IF(G361="","",IF(F361="Y",G361*2,G361))</f>
        <v/>
      </c>
      <c r="I361" s="27" t="str">
        <f aca="false">IF(H361="","",H361*$B$3)</f>
        <v/>
      </c>
      <c r="J361" s="16"/>
      <c r="K361" s="16"/>
      <c r="L361" s="16"/>
    </row>
    <row r="362" customFormat="false" ht="15" hidden="false" customHeight="false" outlineLevel="0" collapsed="false">
      <c r="A362" s="25"/>
      <c r="B362" s="16"/>
      <c r="C362" s="16"/>
      <c r="D362" s="16"/>
      <c r="E362" s="16"/>
      <c r="F362" s="16"/>
      <c r="G362" s="47"/>
      <c r="H362" s="48" t="str">
        <f aca="false">IF(G362="","",IF(F362="Y",G362*2,G362))</f>
        <v/>
      </c>
      <c r="I362" s="27" t="str">
        <f aca="false">IF(H362="","",H362*$B$3)</f>
        <v/>
      </c>
      <c r="J362" s="16"/>
      <c r="K362" s="16"/>
      <c r="L362" s="16"/>
    </row>
    <row r="363" customFormat="false" ht="15" hidden="false" customHeight="false" outlineLevel="0" collapsed="false">
      <c r="A363" s="25"/>
      <c r="B363" s="16"/>
      <c r="C363" s="16"/>
      <c r="D363" s="16"/>
      <c r="E363" s="16"/>
      <c r="F363" s="16"/>
      <c r="G363" s="47"/>
      <c r="H363" s="48" t="str">
        <f aca="false">IF(G363="","",IF(F363="Y",G363*2,G363))</f>
        <v/>
      </c>
      <c r="I363" s="27" t="str">
        <f aca="false">IF(H363="","",H363*$B$3)</f>
        <v/>
      </c>
      <c r="J363" s="16"/>
      <c r="K363" s="16"/>
      <c r="L363" s="16"/>
    </row>
    <row r="364" customFormat="false" ht="15" hidden="false" customHeight="false" outlineLevel="0" collapsed="false">
      <c r="A364" s="25"/>
      <c r="B364" s="16"/>
      <c r="C364" s="16"/>
      <c r="D364" s="16"/>
      <c r="E364" s="16"/>
      <c r="F364" s="16"/>
      <c r="G364" s="47"/>
      <c r="H364" s="48" t="str">
        <f aca="false">IF(G364="","",IF(F364="Y",G364*2,G364))</f>
        <v/>
      </c>
      <c r="I364" s="27" t="str">
        <f aca="false">IF(H364="","",H364*$B$3)</f>
        <v/>
      </c>
      <c r="J364" s="16"/>
      <c r="K364" s="16"/>
      <c r="L364" s="16"/>
    </row>
    <row r="365" customFormat="false" ht="15" hidden="false" customHeight="false" outlineLevel="0" collapsed="false">
      <c r="A365" s="25"/>
      <c r="B365" s="16"/>
      <c r="C365" s="16"/>
      <c r="D365" s="16"/>
      <c r="E365" s="16"/>
      <c r="F365" s="16"/>
      <c r="G365" s="47"/>
      <c r="H365" s="48" t="str">
        <f aca="false">IF(G365="","",IF(F365="Y",G365*2,G365))</f>
        <v/>
      </c>
      <c r="I365" s="27" t="str">
        <f aca="false">IF(H365="","",H365*$B$3)</f>
        <v/>
      </c>
      <c r="J365" s="16"/>
      <c r="K365" s="16"/>
      <c r="L365" s="16"/>
    </row>
    <row r="366" customFormat="false" ht="15" hidden="false" customHeight="false" outlineLevel="0" collapsed="false">
      <c r="A366" s="25"/>
      <c r="B366" s="16"/>
      <c r="C366" s="16"/>
      <c r="D366" s="16"/>
      <c r="E366" s="16"/>
      <c r="F366" s="16"/>
      <c r="G366" s="47"/>
      <c r="H366" s="48" t="str">
        <f aca="false">IF(G366="","",IF(F366="Y",G366*2,G366))</f>
        <v/>
      </c>
      <c r="I366" s="27" t="str">
        <f aca="false">IF(H366="","",H366*$B$3)</f>
        <v/>
      </c>
      <c r="J366" s="16"/>
      <c r="K366" s="16"/>
      <c r="L366" s="16"/>
    </row>
    <row r="367" customFormat="false" ht="15" hidden="false" customHeight="false" outlineLevel="0" collapsed="false">
      <c r="A367" s="25"/>
      <c r="B367" s="16"/>
      <c r="C367" s="16"/>
      <c r="D367" s="16"/>
      <c r="E367" s="16"/>
      <c r="F367" s="16"/>
      <c r="G367" s="47"/>
      <c r="H367" s="48" t="str">
        <f aca="false">IF(G367="","",IF(F367="Y",G367*2,G367))</f>
        <v/>
      </c>
      <c r="I367" s="27" t="str">
        <f aca="false">IF(H367="","",H367*$B$3)</f>
        <v/>
      </c>
      <c r="J367" s="16"/>
      <c r="K367" s="16"/>
      <c r="L367" s="16"/>
    </row>
    <row r="368" customFormat="false" ht="15" hidden="false" customHeight="false" outlineLevel="0" collapsed="false">
      <c r="A368" s="25"/>
      <c r="B368" s="16"/>
      <c r="C368" s="16"/>
      <c r="D368" s="16"/>
      <c r="E368" s="16"/>
      <c r="F368" s="16"/>
      <c r="G368" s="47"/>
      <c r="H368" s="48" t="str">
        <f aca="false">IF(G368="","",IF(F368="Y",G368*2,G368))</f>
        <v/>
      </c>
      <c r="I368" s="27" t="str">
        <f aca="false">IF(H368="","",H368*$B$3)</f>
        <v/>
      </c>
      <c r="J368" s="16"/>
      <c r="K368" s="16"/>
      <c r="L368" s="16"/>
    </row>
    <row r="369" customFormat="false" ht="15" hidden="false" customHeight="false" outlineLevel="0" collapsed="false">
      <c r="A369" s="25"/>
      <c r="B369" s="16"/>
      <c r="C369" s="16"/>
      <c r="D369" s="16"/>
      <c r="E369" s="16"/>
      <c r="F369" s="16"/>
      <c r="G369" s="47"/>
      <c r="H369" s="48" t="str">
        <f aca="false">IF(G369="","",IF(F369="Y",G369*2,G369))</f>
        <v/>
      </c>
      <c r="I369" s="27" t="str">
        <f aca="false">IF(H369="","",H369*$B$3)</f>
        <v/>
      </c>
      <c r="J369" s="16"/>
      <c r="K369" s="16"/>
      <c r="L369" s="16"/>
    </row>
    <row r="370" customFormat="false" ht="15" hidden="false" customHeight="false" outlineLevel="0" collapsed="false">
      <c r="A370" s="25"/>
      <c r="B370" s="16"/>
      <c r="C370" s="16"/>
      <c r="D370" s="16"/>
      <c r="E370" s="16"/>
      <c r="F370" s="16"/>
      <c r="G370" s="47"/>
      <c r="H370" s="48" t="str">
        <f aca="false">IF(G370="","",IF(F370="Y",G370*2,G370))</f>
        <v/>
      </c>
      <c r="I370" s="27" t="str">
        <f aca="false">IF(H370="","",H370*$B$3)</f>
        <v/>
      </c>
      <c r="J370" s="16"/>
      <c r="K370" s="16"/>
      <c r="L370" s="16"/>
    </row>
    <row r="371" customFormat="false" ht="15" hidden="false" customHeight="false" outlineLevel="0" collapsed="false">
      <c r="A371" s="25"/>
      <c r="B371" s="16"/>
      <c r="C371" s="16"/>
      <c r="D371" s="16"/>
      <c r="E371" s="16"/>
      <c r="F371" s="16"/>
      <c r="G371" s="47"/>
      <c r="H371" s="48" t="str">
        <f aca="false">IF(G371="","",IF(F371="Y",G371*2,G371))</f>
        <v/>
      </c>
      <c r="I371" s="27" t="str">
        <f aca="false">IF(H371="","",H371*$B$3)</f>
        <v/>
      </c>
      <c r="J371" s="16"/>
      <c r="K371" s="16"/>
      <c r="L371" s="16"/>
    </row>
    <row r="372" customFormat="false" ht="15" hidden="false" customHeight="false" outlineLevel="0" collapsed="false">
      <c r="A372" s="25"/>
      <c r="B372" s="16"/>
      <c r="C372" s="16"/>
      <c r="D372" s="16"/>
      <c r="E372" s="16"/>
      <c r="F372" s="16"/>
      <c r="G372" s="47"/>
      <c r="H372" s="48" t="str">
        <f aca="false">IF(G372="","",IF(F372="Y",G372*2,G372))</f>
        <v/>
      </c>
      <c r="I372" s="27" t="str">
        <f aca="false">IF(H372="","",H372*$B$3)</f>
        <v/>
      </c>
      <c r="J372" s="16"/>
      <c r="K372" s="16"/>
      <c r="L372" s="16"/>
    </row>
    <row r="373" customFormat="false" ht="15" hidden="false" customHeight="false" outlineLevel="0" collapsed="false">
      <c r="A373" s="25"/>
      <c r="B373" s="16"/>
      <c r="C373" s="16"/>
      <c r="D373" s="16"/>
      <c r="E373" s="16"/>
      <c r="F373" s="16"/>
      <c r="G373" s="47"/>
      <c r="H373" s="48" t="str">
        <f aca="false">IF(G373="","",IF(F373="Y",G373*2,G373))</f>
        <v/>
      </c>
      <c r="I373" s="27" t="str">
        <f aca="false">IF(H373="","",H373*$B$3)</f>
        <v/>
      </c>
      <c r="J373" s="16"/>
      <c r="K373" s="16"/>
      <c r="L373" s="16"/>
    </row>
    <row r="374" customFormat="false" ht="15" hidden="false" customHeight="false" outlineLevel="0" collapsed="false">
      <c r="A374" s="25"/>
      <c r="B374" s="16"/>
      <c r="C374" s="16"/>
      <c r="D374" s="16"/>
      <c r="E374" s="16"/>
      <c r="F374" s="16"/>
      <c r="G374" s="47"/>
      <c r="H374" s="48" t="str">
        <f aca="false">IF(G374="","",IF(F374="Y",G374*2,G374))</f>
        <v/>
      </c>
      <c r="I374" s="27" t="str">
        <f aca="false">IF(H374="","",H374*$B$3)</f>
        <v/>
      </c>
      <c r="J374" s="16"/>
      <c r="K374" s="16"/>
      <c r="L374" s="16"/>
    </row>
    <row r="375" customFormat="false" ht="15" hidden="false" customHeight="false" outlineLevel="0" collapsed="false">
      <c r="A375" s="25"/>
      <c r="B375" s="16"/>
      <c r="C375" s="16"/>
      <c r="D375" s="16"/>
      <c r="E375" s="16"/>
      <c r="F375" s="16"/>
      <c r="G375" s="47"/>
      <c r="H375" s="48" t="str">
        <f aca="false">IF(G375="","",IF(F375="Y",G375*2,G375))</f>
        <v/>
      </c>
      <c r="I375" s="27" t="str">
        <f aca="false">IF(H375="","",H375*$B$3)</f>
        <v/>
      </c>
      <c r="J375" s="16"/>
      <c r="K375" s="16"/>
      <c r="L375" s="16"/>
    </row>
    <row r="376" customFormat="false" ht="15" hidden="false" customHeight="false" outlineLevel="0" collapsed="false">
      <c r="A376" s="25"/>
      <c r="B376" s="16"/>
      <c r="C376" s="16"/>
      <c r="D376" s="16"/>
      <c r="E376" s="16"/>
      <c r="F376" s="16"/>
      <c r="G376" s="47"/>
      <c r="H376" s="48" t="str">
        <f aca="false">IF(G376="","",IF(F376="Y",G376*2,G376))</f>
        <v/>
      </c>
      <c r="I376" s="27" t="str">
        <f aca="false">IF(H376="","",H376*$B$3)</f>
        <v/>
      </c>
      <c r="J376" s="16"/>
      <c r="K376" s="16"/>
      <c r="L376" s="16"/>
    </row>
    <row r="377" customFormat="false" ht="15" hidden="false" customHeight="false" outlineLevel="0" collapsed="false">
      <c r="A377" s="25"/>
      <c r="B377" s="16"/>
      <c r="C377" s="16"/>
      <c r="D377" s="16"/>
      <c r="E377" s="16"/>
      <c r="F377" s="16"/>
      <c r="G377" s="47"/>
      <c r="H377" s="48" t="str">
        <f aca="false">IF(G377="","",IF(F377="Y",G377*2,G377))</f>
        <v/>
      </c>
      <c r="I377" s="27" t="str">
        <f aca="false">IF(H377="","",H377*$B$3)</f>
        <v/>
      </c>
      <c r="J377" s="16"/>
      <c r="K377" s="16"/>
      <c r="L377" s="16"/>
    </row>
    <row r="378" customFormat="false" ht="15" hidden="false" customHeight="false" outlineLevel="0" collapsed="false">
      <c r="A378" s="25"/>
      <c r="B378" s="16"/>
      <c r="C378" s="16"/>
      <c r="D378" s="16"/>
      <c r="E378" s="16"/>
      <c r="F378" s="16"/>
      <c r="G378" s="47"/>
      <c r="H378" s="48" t="str">
        <f aca="false">IF(G378="","",IF(F378="Y",G378*2,G378))</f>
        <v/>
      </c>
      <c r="I378" s="27" t="str">
        <f aca="false">IF(H378="","",H378*$B$3)</f>
        <v/>
      </c>
      <c r="J378" s="16"/>
      <c r="K378" s="16"/>
      <c r="L378" s="16"/>
    </row>
    <row r="379" customFormat="false" ht="15" hidden="false" customHeight="false" outlineLevel="0" collapsed="false">
      <c r="A379" s="25"/>
      <c r="B379" s="16"/>
      <c r="C379" s="16"/>
      <c r="D379" s="16"/>
      <c r="E379" s="16"/>
      <c r="F379" s="16"/>
      <c r="G379" s="47"/>
      <c r="H379" s="48" t="str">
        <f aca="false">IF(G379="","",IF(F379="Y",G379*2,G379))</f>
        <v/>
      </c>
      <c r="I379" s="27" t="str">
        <f aca="false">IF(H379="","",H379*$B$3)</f>
        <v/>
      </c>
      <c r="J379" s="16"/>
      <c r="K379" s="16"/>
      <c r="L379" s="16"/>
    </row>
    <row r="380" customFormat="false" ht="15" hidden="false" customHeight="false" outlineLevel="0" collapsed="false">
      <c r="A380" s="25"/>
      <c r="B380" s="16"/>
      <c r="C380" s="16"/>
      <c r="D380" s="16"/>
      <c r="E380" s="16"/>
      <c r="F380" s="16"/>
      <c r="G380" s="47"/>
      <c r="H380" s="48" t="str">
        <f aca="false">IF(G380="","",IF(F380="Y",G380*2,G380))</f>
        <v/>
      </c>
      <c r="I380" s="27" t="str">
        <f aca="false">IF(H380="","",H380*$B$3)</f>
        <v/>
      </c>
      <c r="J380" s="16"/>
      <c r="K380" s="16"/>
      <c r="L380" s="16"/>
    </row>
    <row r="381" customFormat="false" ht="15" hidden="false" customHeight="false" outlineLevel="0" collapsed="false">
      <c r="A381" s="25"/>
      <c r="B381" s="16"/>
      <c r="C381" s="16"/>
      <c r="D381" s="16"/>
      <c r="E381" s="16"/>
      <c r="F381" s="16"/>
      <c r="G381" s="47"/>
      <c r="H381" s="48" t="str">
        <f aca="false">IF(G381="","",IF(F381="Y",G381*2,G381))</f>
        <v/>
      </c>
      <c r="I381" s="27" t="str">
        <f aca="false">IF(H381="","",H381*$B$3)</f>
        <v/>
      </c>
      <c r="J381" s="16"/>
      <c r="K381" s="16"/>
      <c r="L381" s="16"/>
    </row>
    <row r="382" customFormat="false" ht="15" hidden="false" customHeight="false" outlineLevel="0" collapsed="false">
      <c r="A382" s="25"/>
      <c r="B382" s="16"/>
      <c r="C382" s="16"/>
      <c r="D382" s="16"/>
      <c r="E382" s="16"/>
      <c r="F382" s="16"/>
      <c r="G382" s="47"/>
      <c r="H382" s="48" t="str">
        <f aca="false">IF(G382="","",IF(F382="Y",G382*2,G382))</f>
        <v/>
      </c>
      <c r="I382" s="27" t="str">
        <f aca="false">IF(H382="","",H382*$B$3)</f>
        <v/>
      </c>
      <c r="J382" s="16"/>
      <c r="K382" s="16"/>
      <c r="L382" s="16"/>
    </row>
    <row r="383" customFormat="false" ht="15" hidden="false" customHeight="false" outlineLevel="0" collapsed="false">
      <c r="A383" s="25"/>
      <c r="B383" s="16"/>
      <c r="C383" s="16"/>
      <c r="D383" s="16"/>
      <c r="E383" s="16"/>
      <c r="F383" s="16"/>
      <c r="G383" s="47"/>
      <c r="H383" s="48" t="str">
        <f aca="false">IF(G383="","",IF(F383="Y",G383*2,G383))</f>
        <v/>
      </c>
      <c r="I383" s="27" t="str">
        <f aca="false">IF(H383="","",H383*$B$3)</f>
        <v/>
      </c>
      <c r="J383" s="16"/>
      <c r="K383" s="16"/>
      <c r="L383" s="16"/>
    </row>
    <row r="384" customFormat="false" ht="15" hidden="false" customHeight="false" outlineLevel="0" collapsed="false">
      <c r="A384" s="25"/>
      <c r="B384" s="16"/>
      <c r="C384" s="16"/>
      <c r="D384" s="16"/>
      <c r="E384" s="16"/>
      <c r="F384" s="16"/>
      <c r="G384" s="47"/>
      <c r="H384" s="48" t="str">
        <f aca="false">IF(G384="","",IF(F384="Y",G384*2,G384))</f>
        <v/>
      </c>
      <c r="I384" s="27" t="str">
        <f aca="false">IF(H384="","",H384*$B$3)</f>
        <v/>
      </c>
      <c r="J384" s="16"/>
      <c r="K384" s="16"/>
      <c r="L384" s="16"/>
    </row>
    <row r="385" customFormat="false" ht="15" hidden="false" customHeight="false" outlineLevel="0" collapsed="false">
      <c r="A385" s="25"/>
      <c r="B385" s="16"/>
      <c r="C385" s="16"/>
      <c r="D385" s="16"/>
      <c r="E385" s="16"/>
      <c r="F385" s="16"/>
      <c r="G385" s="47"/>
      <c r="H385" s="48" t="str">
        <f aca="false">IF(G385="","",IF(F385="Y",G385*2,G385))</f>
        <v/>
      </c>
      <c r="I385" s="27" t="str">
        <f aca="false">IF(H385="","",H385*$B$3)</f>
        <v/>
      </c>
      <c r="J385" s="16"/>
      <c r="K385" s="16"/>
      <c r="L385" s="16"/>
    </row>
    <row r="386" customFormat="false" ht="15" hidden="false" customHeight="false" outlineLevel="0" collapsed="false">
      <c r="A386" s="25"/>
      <c r="B386" s="16"/>
      <c r="C386" s="16"/>
      <c r="D386" s="16"/>
      <c r="E386" s="16"/>
      <c r="F386" s="16"/>
      <c r="G386" s="47"/>
      <c r="H386" s="48" t="str">
        <f aca="false">IF(G386="","",IF(F386="Y",G386*2,G386))</f>
        <v/>
      </c>
      <c r="I386" s="27" t="str">
        <f aca="false">IF(H386="","",H386*$B$3)</f>
        <v/>
      </c>
      <c r="J386" s="16"/>
      <c r="K386" s="16"/>
      <c r="L386" s="16"/>
    </row>
    <row r="387" customFormat="false" ht="15" hidden="false" customHeight="false" outlineLevel="0" collapsed="false">
      <c r="A387" s="25"/>
      <c r="B387" s="16"/>
      <c r="C387" s="16"/>
      <c r="D387" s="16"/>
      <c r="E387" s="16"/>
      <c r="F387" s="16"/>
      <c r="G387" s="47"/>
      <c r="H387" s="48" t="str">
        <f aca="false">IF(G387="","",IF(F387="Y",G387*2,G387))</f>
        <v/>
      </c>
      <c r="I387" s="27" t="str">
        <f aca="false">IF(H387="","",H387*$B$3)</f>
        <v/>
      </c>
      <c r="J387" s="16"/>
      <c r="K387" s="16"/>
      <c r="L387" s="16"/>
    </row>
    <row r="388" customFormat="false" ht="15" hidden="false" customHeight="false" outlineLevel="0" collapsed="false">
      <c r="A388" s="25"/>
      <c r="B388" s="16"/>
      <c r="C388" s="16"/>
      <c r="D388" s="16"/>
      <c r="E388" s="16"/>
      <c r="F388" s="16"/>
      <c r="G388" s="47"/>
      <c r="H388" s="48" t="str">
        <f aca="false">IF(G388="","",IF(F388="Y",G388*2,G388))</f>
        <v/>
      </c>
      <c r="I388" s="27" t="str">
        <f aca="false">IF(H388="","",H388*$B$3)</f>
        <v/>
      </c>
      <c r="J388" s="16"/>
      <c r="K388" s="16"/>
      <c r="L388" s="16"/>
    </row>
    <row r="389" customFormat="false" ht="15" hidden="false" customHeight="false" outlineLevel="0" collapsed="false">
      <c r="A389" s="25"/>
      <c r="B389" s="16"/>
      <c r="C389" s="16"/>
      <c r="D389" s="16"/>
      <c r="E389" s="16"/>
      <c r="F389" s="16"/>
      <c r="G389" s="47"/>
      <c r="H389" s="48" t="str">
        <f aca="false">IF(G389="","",IF(F389="Y",G389*2,G389))</f>
        <v/>
      </c>
      <c r="I389" s="27" t="str">
        <f aca="false">IF(H389="","",H389*$B$3)</f>
        <v/>
      </c>
      <c r="J389" s="16"/>
      <c r="K389" s="16"/>
      <c r="L389" s="16"/>
    </row>
    <row r="390" customFormat="false" ht="15" hidden="false" customHeight="false" outlineLevel="0" collapsed="false">
      <c r="A390" s="25"/>
      <c r="B390" s="16"/>
      <c r="C390" s="16"/>
      <c r="D390" s="16"/>
      <c r="E390" s="16"/>
      <c r="F390" s="16"/>
      <c r="G390" s="47"/>
      <c r="H390" s="48" t="str">
        <f aca="false">IF(G390="","",IF(F390="Y",G390*2,G390))</f>
        <v/>
      </c>
      <c r="I390" s="27" t="str">
        <f aca="false">IF(H390="","",H390*$B$3)</f>
        <v/>
      </c>
      <c r="J390" s="16"/>
      <c r="K390" s="16"/>
      <c r="L390" s="16"/>
    </row>
    <row r="391" customFormat="false" ht="15" hidden="false" customHeight="false" outlineLevel="0" collapsed="false">
      <c r="A391" s="25"/>
      <c r="B391" s="16"/>
      <c r="C391" s="16"/>
      <c r="D391" s="16"/>
      <c r="E391" s="16"/>
      <c r="F391" s="16"/>
      <c r="G391" s="47"/>
      <c r="H391" s="48" t="str">
        <f aca="false">IF(G391="","",IF(F391="Y",G391*2,G391))</f>
        <v/>
      </c>
      <c r="I391" s="27" t="str">
        <f aca="false">IF(H391="","",H391*$B$3)</f>
        <v/>
      </c>
      <c r="J391" s="16"/>
      <c r="K391" s="16"/>
      <c r="L391" s="16"/>
    </row>
    <row r="392" customFormat="false" ht="15" hidden="false" customHeight="false" outlineLevel="0" collapsed="false">
      <c r="A392" s="25"/>
      <c r="B392" s="16"/>
      <c r="C392" s="16"/>
      <c r="D392" s="16"/>
      <c r="E392" s="16"/>
      <c r="F392" s="16"/>
      <c r="G392" s="47"/>
      <c r="H392" s="48" t="str">
        <f aca="false">IF(G392="","",IF(F392="Y",G392*2,G392))</f>
        <v/>
      </c>
      <c r="I392" s="27" t="str">
        <f aca="false">IF(H392="","",H392*$B$3)</f>
        <v/>
      </c>
      <c r="J392" s="16"/>
      <c r="K392" s="16"/>
      <c r="L392" s="16"/>
    </row>
    <row r="393" customFormat="false" ht="15" hidden="false" customHeight="false" outlineLevel="0" collapsed="false">
      <c r="A393" s="25"/>
      <c r="B393" s="16"/>
      <c r="C393" s="16"/>
      <c r="D393" s="16"/>
      <c r="E393" s="16"/>
      <c r="F393" s="16"/>
      <c r="G393" s="47"/>
      <c r="H393" s="48" t="str">
        <f aca="false">IF(G393="","",IF(F393="Y",G393*2,G393))</f>
        <v/>
      </c>
      <c r="I393" s="27" t="str">
        <f aca="false">IF(H393="","",H393*$B$3)</f>
        <v/>
      </c>
      <c r="J393" s="16"/>
      <c r="K393" s="16"/>
      <c r="L393" s="16"/>
    </row>
    <row r="394" customFormat="false" ht="15" hidden="false" customHeight="false" outlineLevel="0" collapsed="false">
      <c r="A394" s="25"/>
      <c r="B394" s="16"/>
      <c r="C394" s="16"/>
      <c r="D394" s="16"/>
      <c r="E394" s="16"/>
      <c r="F394" s="16"/>
      <c r="G394" s="47"/>
      <c r="H394" s="48" t="str">
        <f aca="false">IF(G394="","",IF(F394="Y",G394*2,G394))</f>
        <v/>
      </c>
      <c r="I394" s="27" t="str">
        <f aca="false">IF(H394="","",H394*$B$3)</f>
        <v/>
      </c>
      <c r="J394" s="16"/>
      <c r="K394" s="16"/>
      <c r="L394" s="16"/>
    </row>
    <row r="395" customFormat="false" ht="15" hidden="false" customHeight="false" outlineLevel="0" collapsed="false">
      <c r="A395" s="25"/>
      <c r="B395" s="16"/>
      <c r="C395" s="16"/>
      <c r="D395" s="16"/>
      <c r="E395" s="16"/>
      <c r="F395" s="16"/>
      <c r="G395" s="47"/>
      <c r="H395" s="48" t="str">
        <f aca="false">IF(G395="","",IF(F395="Y",G395*2,G395))</f>
        <v/>
      </c>
      <c r="I395" s="27" t="str">
        <f aca="false">IF(H395="","",H395*$B$3)</f>
        <v/>
      </c>
      <c r="J395" s="16"/>
      <c r="K395" s="16"/>
      <c r="L395" s="16"/>
    </row>
    <row r="396" customFormat="false" ht="15" hidden="false" customHeight="false" outlineLevel="0" collapsed="false">
      <c r="A396" s="25"/>
      <c r="B396" s="16"/>
      <c r="C396" s="16"/>
      <c r="D396" s="16"/>
      <c r="E396" s="16"/>
      <c r="F396" s="16"/>
      <c r="G396" s="47"/>
      <c r="H396" s="48" t="str">
        <f aca="false">IF(G396="","",IF(F396="Y",G396*2,G396))</f>
        <v/>
      </c>
      <c r="I396" s="27" t="str">
        <f aca="false">IF(H396="","",H396*$B$3)</f>
        <v/>
      </c>
      <c r="J396" s="16"/>
      <c r="K396" s="16"/>
      <c r="L396" s="16"/>
    </row>
    <row r="397" customFormat="false" ht="15" hidden="false" customHeight="false" outlineLevel="0" collapsed="false">
      <c r="A397" s="25"/>
      <c r="B397" s="16"/>
      <c r="C397" s="16"/>
      <c r="D397" s="16"/>
      <c r="E397" s="16"/>
      <c r="F397" s="16"/>
      <c r="G397" s="47"/>
      <c r="H397" s="48" t="str">
        <f aca="false">IF(G397="","",IF(F397="Y",G397*2,G397))</f>
        <v/>
      </c>
      <c r="I397" s="27" t="str">
        <f aca="false">IF(H397="","",H397*$B$3)</f>
        <v/>
      </c>
      <c r="J397" s="16"/>
      <c r="K397" s="16"/>
      <c r="L397" s="16"/>
    </row>
    <row r="398" customFormat="false" ht="15" hidden="false" customHeight="false" outlineLevel="0" collapsed="false">
      <c r="A398" s="25"/>
      <c r="B398" s="16"/>
      <c r="C398" s="16"/>
      <c r="D398" s="16"/>
      <c r="E398" s="16"/>
      <c r="F398" s="16"/>
      <c r="G398" s="47"/>
      <c r="H398" s="48" t="str">
        <f aca="false">IF(G398="","",IF(F398="Y",G398*2,G398))</f>
        <v/>
      </c>
      <c r="I398" s="27" t="str">
        <f aca="false">IF(H398="","",H398*$B$3)</f>
        <v/>
      </c>
      <c r="J398" s="16"/>
      <c r="K398" s="16"/>
      <c r="L398" s="16"/>
    </row>
    <row r="399" customFormat="false" ht="15" hidden="false" customHeight="false" outlineLevel="0" collapsed="false">
      <c r="A399" s="25"/>
      <c r="B399" s="16"/>
      <c r="C399" s="16"/>
      <c r="D399" s="16"/>
      <c r="E399" s="16"/>
      <c r="F399" s="16"/>
      <c r="G399" s="47"/>
      <c r="H399" s="48" t="str">
        <f aca="false">IF(G399="","",IF(F399="Y",G399*2,G399))</f>
        <v/>
      </c>
      <c r="I399" s="27" t="str">
        <f aca="false">IF(H399="","",H399*$B$3)</f>
        <v/>
      </c>
      <c r="J399" s="16"/>
      <c r="K399" s="16"/>
      <c r="L399" s="16"/>
    </row>
    <row r="400" customFormat="false" ht="15" hidden="false" customHeight="false" outlineLevel="0" collapsed="false">
      <c r="A400" s="25"/>
      <c r="B400" s="16"/>
      <c r="C400" s="16"/>
      <c r="D400" s="16"/>
      <c r="E400" s="16"/>
      <c r="F400" s="16"/>
      <c r="G400" s="47"/>
      <c r="H400" s="48" t="str">
        <f aca="false">IF(G400="","",IF(F400="Y",G400*2,G400))</f>
        <v/>
      </c>
      <c r="I400" s="27" t="str">
        <f aca="false">IF(H400="","",H400*$B$3)</f>
        <v/>
      </c>
      <c r="J400" s="16"/>
      <c r="K400" s="16"/>
      <c r="L400" s="16"/>
    </row>
    <row r="401" customFormat="false" ht="15" hidden="false" customHeight="false" outlineLevel="0" collapsed="false">
      <c r="A401" s="25"/>
      <c r="B401" s="16"/>
      <c r="C401" s="16"/>
      <c r="D401" s="16"/>
      <c r="E401" s="16"/>
      <c r="F401" s="16"/>
      <c r="G401" s="47"/>
      <c r="H401" s="48" t="str">
        <f aca="false">IF(G401="","",IF(F401="Y",G401*2,G401))</f>
        <v/>
      </c>
      <c r="I401" s="27" t="str">
        <f aca="false">IF(H401="","",H401*$B$3)</f>
        <v/>
      </c>
      <c r="J401" s="16"/>
      <c r="K401" s="16"/>
      <c r="L401" s="16"/>
    </row>
    <row r="402" customFormat="false" ht="15" hidden="false" customHeight="false" outlineLevel="0" collapsed="false">
      <c r="A402" s="25"/>
      <c r="B402" s="16"/>
      <c r="C402" s="16"/>
      <c r="D402" s="16"/>
      <c r="E402" s="16"/>
      <c r="F402" s="16"/>
      <c r="G402" s="47"/>
      <c r="H402" s="48" t="str">
        <f aca="false">IF(G402="","",IF(F402="Y",G402*2,G402))</f>
        <v/>
      </c>
      <c r="I402" s="27" t="str">
        <f aca="false">IF(H402="","",H402*$B$3)</f>
        <v/>
      </c>
      <c r="J402" s="16"/>
      <c r="K402" s="16"/>
      <c r="L402" s="16"/>
    </row>
    <row r="403" customFormat="false" ht="15" hidden="false" customHeight="false" outlineLevel="0" collapsed="false">
      <c r="A403" s="25"/>
      <c r="B403" s="16"/>
      <c r="C403" s="16"/>
      <c r="D403" s="16"/>
      <c r="E403" s="16"/>
      <c r="F403" s="16"/>
      <c r="G403" s="47"/>
      <c r="H403" s="48" t="str">
        <f aca="false">IF(G403="","",IF(F403="Y",G403*2,G403))</f>
        <v/>
      </c>
      <c r="I403" s="27" t="str">
        <f aca="false">IF(H403="","",H403*$B$3)</f>
        <v/>
      </c>
      <c r="J403" s="16"/>
      <c r="K403" s="16"/>
      <c r="L403" s="16"/>
    </row>
    <row r="404" customFormat="false" ht="15" hidden="false" customHeight="false" outlineLevel="0" collapsed="false">
      <c r="A404" s="25"/>
      <c r="B404" s="16"/>
      <c r="C404" s="16"/>
      <c r="D404" s="16"/>
      <c r="E404" s="16"/>
      <c r="F404" s="16"/>
      <c r="G404" s="47"/>
      <c r="H404" s="48" t="str">
        <f aca="false">IF(G404="","",IF(F404="Y",G404*2,G404))</f>
        <v/>
      </c>
      <c r="I404" s="27" t="str">
        <f aca="false">IF(H404="","",H404*$B$3)</f>
        <v/>
      </c>
      <c r="J404" s="16"/>
      <c r="K404" s="16"/>
      <c r="L404" s="16"/>
    </row>
    <row r="405" customFormat="false" ht="15" hidden="false" customHeight="false" outlineLevel="0" collapsed="false">
      <c r="A405" s="25"/>
      <c r="B405" s="16"/>
      <c r="C405" s="16"/>
      <c r="D405" s="16"/>
      <c r="E405" s="16"/>
      <c r="F405" s="16"/>
      <c r="G405" s="47"/>
      <c r="H405" s="48" t="str">
        <f aca="false">IF(G405="","",IF(F405="Y",G405*2,G405))</f>
        <v/>
      </c>
      <c r="I405" s="27" t="str">
        <f aca="false">IF(H405="","",H405*$B$3)</f>
        <v/>
      </c>
      <c r="J405" s="16"/>
      <c r="K405" s="16"/>
      <c r="L405" s="16"/>
    </row>
    <row r="406" customFormat="false" ht="15" hidden="false" customHeight="false" outlineLevel="0" collapsed="false">
      <c r="A406" s="25"/>
      <c r="B406" s="16"/>
      <c r="C406" s="16"/>
      <c r="D406" s="16"/>
      <c r="E406" s="16"/>
      <c r="F406" s="16"/>
      <c r="G406" s="47"/>
      <c r="H406" s="48" t="str">
        <f aca="false">IF(G406="","",IF(F406="Y",G406*2,G406))</f>
        <v/>
      </c>
      <c r="I406" s="27" t="str">
        <f aca="false">IF(H406="","",H406*$B$3)</f>
        <v/>
      </c>
      <c r="J406" s="16"/>
      <c r="K406" s="16"/>
      <c r="L406" s="16"/>
    </row>
    <row r="407" customFormat="false" ht="15" hidden="false" customHeight="false" outlineLevel="0" collapsed="false">
      <c r="A407" s="25"/>
      <c r="B407" s="16"/>
      <c r="C407" s="16"/>
      <c r="D407" s="16"/>
      <c r="E407" s="16"/>
      <c r="F407" s="16"/>
      <c r="G407" s="47"/>
      <c r="H407" s="48" t="str">
        <f aca="false">IF(G407="","",IF(F407="Y",G407*2,G407))</f>
        <v/>
      </c>
      <c r="I407" s="27" t="str">
        <f aca="false">IF(H407="","",H407*$B$3)</f>
        <v/>
      </c>
      <c r="J407" s="16"/>
      <c r="K407" s="16"/>
      <c r="L407" s="16"/>
    </row>
    <row r="408" customFormat="false" ht="15" hidden="false" customHeight="false" outlineLevel="0" collapsed="false">
      <c r="A408" s="25"/>
      <c r="B408" s="16"/>
      <c r="C408" s="16"/>
      <c r="D408" s="16"/>
      <c r="E408" s="16"/>
      <c r="F408" s="16"/>
      <c r="G408" s="47"/>
      <c r="H408" s="48" t="str">
        <f aca="false">IF(G408="","",IF(F408="Y",G408*2,G408))</f>
        <v/>
      </c>
      <c r="I408" s="27" t="str">
        <f aca="false">IF(H408="","",H408*$B$3)</f>
        <v/>
      </c>
      <c r="J408" s="16"/>
      <c r="K408" s="16"/>
      <c r="L408" s="16"/>
    </row>
    <row r="409" customFormat="false" ht="15" hidden="false" customHeight="false" outlineLevel="0" collapsed="false">
      <c r="A409" s="25"/>
      <c r="B409" s="16"/>
      <c r="C409" s="16"/>
      <c r="D409" s="16"/>
      <c r="E409" s="16"/>
      <c r="F409" s="16"/>
      <c r="G409" s="47"/>
      <c r="H409" s="48" t="str">
        <f aca="false">IF(G409="","",IF(F409="Y",G409*2,G409))</f>
        <v/>
      </c>
      <c r="I409" s="27" t="str">
        <f aca="false">IF(H409="","",H409*$B$3)</f>
        <v/>
      </c>
      <c r="J409" s="16"/>
      <c r="K409" s="16"/>
      <c r="L409" s="16"/>
    </row>
    <row r="410" customFormat="false" ht="15" hidden="false" customHeight="false" outlineLevel="0" collapsed="false">
      <c r="A410" s="25"/>
      <c r="B410" s="16"/>
      <c r="C410" s="16"/>
      <c r="D410" s="16"/>
      <c r="E410" s="16"/>
      <c r="F410" s="16"/>
      <c r="G410" s="47"/>
      <c r="H410" s="48" t="str">
        <f aca="false">IF(G410="","",IF(F410="Y",G410*2,G410))</f>
        <v/>
      </c>
      <c r="I410" s="27" t="str">
        <f aca="false">IF(H410="","",H410*$B$3)</f>
        <v/>
      </c>
      <c r="J410" s="16"/>
      <c r="K410" s="16"/>
      <c r="L410" s="16"/>
    </row>
    <row r="411" customFormat="false" ht="15" hidden="false" customHeight="false" outlineLevel="0" collapsed="false">
      <c r="A411" s="25"/>
      <c r="B411" s="16"/>
      <c r="C411" s="16"/>
      <c r="D411" s="16"/>
      <c r="E411" s="16"/>
      <c r="F411" s="16"/>
      <c r="G411" s="47"/>
      <c r="H411" s="48" t="str">
        <f aca="false">IF(G411="","",IF(F411="Y",G411*2,G411))</f>
        <v/>
      </c>
      <c r="I411" s="27" t="str">
        <f aca="false">IF(H411="","",H411*$B$3)</f>
        <v/>
      </c>
      <c r="J411" s="16"/>
      <c r="K411" s="16"/>
      <c r="L411" s="16"/>
    </row>
    <row r="412" customFormat="false" ht="15" hidden="false" customHeight="false" outlineLevel="0" collapsed="false">
      <c r="A412" s="25"/>
      <c r="B412" s="16"/>
      <c r="C412" s="16"/>
      <c r="D412" s="16"/>
      <c r="E412" s="16"/>
      <c r="F412" s="16"/>
      <c r="G412" s="47"/>
      <c r="H412" s="48" t="str">
        <f aca="false">IF(G412="","",IF(F412="Y",G412*2,G412))</f>
        <v/>
      </c>
      <c r="I412" s="27" t="str">
        <f aca="false">IF(H412="","",H412*$B$3)</f>
        <v/>
      </c>
      <c r="J412" s="16"/>
      <c r="K412" s="16"/>
      <c r="L412" s="16"/>
    </row>
    <row r="413" customFormat="false" ht="15" hidden="false" customHeight="false" outlineLevel="0" collapsed="false">
      <c r="A413" s="25"/>
      <c r="B413" s="16"/>
      <c r="C413" s="16"/>
      <c r="D413" s="16"/>
      <c r="E413" s="16"/>
      <c r="F413" s="16"/>
      <c r="G413" s="47"/>
      <c r="H413" s="48" t="str">
        <f aca="false">IF(G413="","",IF(F413="Y",G413*2,G413))</f>
        <v/>
      </c>
      <c r="I413" s="27" t="str">
        <f aca="false">IF(H413="","",H413*$B$3)</f>
        <v/>
      </c>
      <c r="J413" s="16"/>
      <c r="K413" s="16"/>
      <c r="L413" s="16"/>
    </row>
    <row r="414" customFormat="false" ht="15" hidden="false" customHeight="false" outlineLevel="0" collapsed="false">
      <c r="A414" s="25"/>
      <c r="B414" s="16"/>
      <c r="C414" s="16"/>
      <c r="D414" s="16"/>
      <c r="E414" s="16"/>
      <c r="F414" s="16"/>
      <c r="G414" s="47"/>
      <c r="H414" s="48" t="str">
        <f aca="false">IF(G414="","",IF(F414="Y",G414*2,G414))</f>
        <v/>
      </c>
      <c r="I414" s="27" t="str">
        <f aca="false">IF(H414="","",H414*$B$3)</f>
        <v/>
      </c>
      <c r="J414" s="16"/>
      <c r="K414" s="16"/>
      <c r="L414" s="16"/>
    </row>
    <row r="415" customFormat="false" ht="15" hidden="false" customHeight="false" outlineLevel="0" collapsed="false">
      <c r="A415" s="25"/>
      <c r="B415" s="16"/>
      <c r="C415" s="16"/>
      <c r="D415" s="16"/>
      <c r="E415" s="16"/>
      <c r="F415" s="16"/>
      <c r="G415" s="47"/>
      <c r="H415" s="48" t="str">
        <f aca="false">IF(G415="","",IF(F415="Y",G415*2,G415))</f>
        <v/>
      </c>
      <c r="I415" s="27" t="str">
        <f aca="false">IF(H415="","",H415*$B$3)</f>
        <v/>
      </c>
      <c r="J415" s="16"/>
      <c r="K415" s="16"/>
      <c r="L415" s="16"/>
    </row>
    <row r="416" customFormat="false" ht="15" hidden="false" customHeight="false" outlineLevel="0" collapsed="false">
      <c r="A416" s="25"/>
      <c r="B416" s="16"/>
      <c r="C416" s="16"/>
      <c r="D416" s="16"/>
      <c r="E416" s="16"/>
      <c r="F416" s="16"/>
      <c r="G416" s="47"/>
      <c r="H416" s="48" t="str">
        <f aca="false">IF(G416="","",IF(F416="Y",G416*2,G416))</f>
        <v/>
      </c>
      <c r="I416" s="27" t="str">
        <f aca="false">IF(H416="","",H416*$B$3)</f>
        <v/>
      </c>
      <c r="J416" s="16"/>
      <c r="K416" s="16"/>
      <c r="L416" s="16"/>
    </row>
    <row r="417" customFormat="false" ht="15" hidden="false" customHeight="false" outlineLevel="0" collapsed="false">
      <c r="A417" s="25"/>
      <c r="B417" s="16"/>
      <c r="C417" s="16"/>
      <c r="D417" s="16"/>
      <c r="E417" s="16"/>
      <c r="F417" s="16"/>
      <c r="G417" s="47"/>
      <c r="H417" s="48" t="str">
        <f aca="false">IF(G417="","",IF(F417="Y",G417*2,G417))</f>
        <v/>
      </c>
      <c r="I417" s="27" t="str">
        <f aca="false">IF(H417="","",H417*$B$3)</f>
        <v/>
      </c>
      <c r="J417" s="16"/>
      <c r="K417" s="16"/>
      <c r="L417" s="16"/>
    </row>
    <row r="418" customFormat="false" ht="15" hidden="false" customHeight="false" outlineLevel="0" collapsed="false">
      <c r="A418" s="25"/>
      <c r="B418" s="16"/>
      <c r="C418" s="16"/>
      <c r="D418" s="16"/>
      <c r="E418" s="16"/>
      <c r="F418" s="16"/>
      <c r="G418" s="47"/>
      <c r="H418" s="48" t="str">
        <f aca="false">IF(G418="","",IF(F418="Y",G418*2,G418))</f>
        <v/>
      </c>
      <c r="I418" s="27" t="str">
        <f aca="false">IF(H418="","",H418*$B$3)</f>
        <v/>
      </c>
      <c r="J418" s="16"/>
      <c r="K418" s="16"/>
      <c r="L418" s="16"/>
    </row>
    <row r="419" customFormat="false" ht="15" hidden="false" customHeight="false" outlineLevel="0" collapsed="false">
      <c r="A419" s="25"/>
      <c r="B419" s="16"/>
      <c r="C419" s="16"/>
      <c r="D419" s="16"/>
      <c r="E419" s="16"/>
      <c r="F419" s="16"/>
      <c r="G419" s="47"/>
      <c r="H419" s="48" t="str">
        <f aca="false">IF(G419="","",IF(F419="Y",G419*2,G419))</f>
        <v/>
      </c>
      <c r="I419" s="27" t="str">
        <f aca="false">IF(H419="","",H419*$B$3)</f>
        <v/>
      </c>
      <c r="J419" s="16"/>
      <c r="K419" s="16"/>
      <c r="L419" s="16"/>
    </row>
    <row r="420" customFormat="false" ht="15" hidden="false" customHeight="false" outlineLevel="0" collapsed="false">
      <c r="A420" s="25"/>
      <c r="B420" s="16"/>
      <c r="C420" s="16"/>
      <c r="D420" s="16"/>
      <c r="E420" s="16"/>
      <c r="F420" s="16"/>
      <c r="G420" s="47"/>
      <c r="H420" s="48" t="str">
        <f aca="false">IF(G420="","",IF(F420="Y",G420*2,G420))</f>
        <v/>
      </c>
      <c r="I420" s="27" t="str">
        <f aca="false">IF(H420="","",H420*$B$3)</f>
        <v/>
      </c>
      <c r="J420" s="16"/>
      <c r="K420" s="16"/>
      <c r="L420" s="16"/>
    </row>
    <row r="421" customFormat="false" ht="15" hidden="false" customHeight="false" outlineLevel="0" collapsed="false">
      <c r="A421" s="25"/>
      <c r="B421" s="16"/>
      <c r="C421" s="16"/>
      <c r="D421" s="16"/>
      <c r="E421" s="16"/>
      <c r="F421" s="16"/>
      <c r="G421" s="47"/>
      <c r="H421" s="48" t="str">
        <f aca="false">IF(G421="","",IF(F421="Y",G421*2,G421))</f>
        <v/>
      </c>
      <c r="I421" s="27" t="str">
        <f aca="false">IF(H421="","",H421*$B$3)</f>
        <v/>
      </c>
      <c r="J421" s="16"/>
      <c r="K421" s="16"/>
      <c r="L421" s="16"/>
    </row>
    <row r="422" customFormat="false" ht="15" hidden="false" customHeight="false" outlineLevel="0" collapsed="false">
      <c r="A422" s="25"/>
      <c r="B422" s="16"/>
      <c r="C422" s="16"/>
      <c r="D422" s="16"/>
      <c r="E422" s="16"/>
      <c r="F422" s="16"/>
      <c r="G422" s="47"/>
      <c r="H422" s="48" t="str">
        <f aca="false">IF(G422="","",IF(F422="Y",G422*2,G422))</f>
        <v/>
      </c>
      <c r="I422" s="27" t="str">
        <f aca="false">IF(H422="","",H422*$B$3)</f>
        <v/>
      </c>
      <c r="J422" s="16"/>
      <c r="K422" s="16"/>
      <c r="L422" s="16"/>
    </row>
    <row r="423" customFormat="false" ht="15" hidden="false" customHeight="false" outlineLevel="0" collapsed="false">
      <c r="A423" s="25"/>
      <c r="B423" s="16"/>
      <c r="C423" s="16"/>
      <c r="D423" s="16"/>
      <c r="E423" s="16"/>
      <c r="F423" s="16"/>
      <c r="G423" s="47"/>
      <c r="H423" s="48" t="str">
        <f aca="false">IF(G423="","",IF(F423="Y",G423*2,G423))</f>
        <v/>
      </c>
      <c r="I423" s="27" t="str">
        <f aca="false">IF(H423="","",H423*$B$3)</f>
        <v/>
      </c>
      <c r="J423" s="16"/>
      <c r="K423" s="16"/>
      <c r="L423" s="16"/>
    </row>
    <row r="424" customFormat="false" ht="15" hidden="false" customHeight="false" outlineLevel="0" collapsed="false">
      <c r="A424" s="25"/>
      <c r="B424" s="16"/>
      <c r="C424" s="16"/>
      <c r="D424" s="16"/>
      <c r="E424" s="16"/>
      <c r="F424" s="16"/>
      <c r="G424" s="47"/>
      <c r="H424" s="48" t="str">
        <f aca="false">IF(G424="","",IF(F424="Y",G424*2,G424))</f>
        <v/>
      </c>
      <c r="I424" s="27" t="str">
        <f aca="false">IF(H424="","",H424*$B$3)</f>
        <v/>
      </c>
      <c r="J424" s="16"/>
      <c r="K424" s="16"/>
      <c r="L424" s="16"/>
    </row>
    <row r="425" customFormat="false" ht="15" hidden="false" customHeight="false" outlineLevel="0" collapsed="false">
      <c r="A425" s="25"/>
      <c r="B425" s="16"/>
      <c r="C425" s="16"/>
      <c r="D425" s="16"/>
      <c r="E425" s="16"/>
      <c r="F425" s="16"/>
      <c r="G425" s="47"/>
      <c r="H425" s="48" t="str">
        <f aca="false">IF(G425="","",IF(F425="Y",G425*2,G425))</f>
        <v/>
      </c>
      <c r="I425" s="27" t="str">
        <f aca="false">IF(H425="","",H425*$B$3)</f>
        <v/>
      </c>
      <c r="J425" s="16"/>
      <c r="K425" s="16"/>
      <c r="L425" s="16"/>
    </row>
    <row r="426" customFormat="false" ht="15" hidden="false" customHeight="false" outlineLevel="0" collapsed="false">
      <c r="A426" s="25"/>
      <c r="B426" s="16"/>
      <c r="C426" s="16"/>
      <c r="D426" s="16"/>
      <c r="E426" s="16"/>
      <c r="F426" s="16"/>
      <c r="G426" s="47"/>
      <c r="H426" s="48" t="str">
        <f aca="false">IF(G426="","",IF(F426="Y",G426*2,G426))</f>
        <v/>
      </c>
      <c r="I426" s="27" t="str">
        <f aca="false">IF(H426="","",H426*$B$3)</f>
        <v/>
      </c>
      <c r="J426" s="16"/>
      <c r="K426" s="16"/>
      <c r="L426" s="16"/>
    </row>
    <row r="427" customFormat="false" ht="15" hidden="false" customHeight="false" outlineLevel="0" collapsed="false">
      <c r="A427" s="25"/>
      <c r="B427" s="16"/>
      <c r="C427" s="16"/>
      <c r="D427" s="16"/>
      <c r="E427" s="16"/>
      <c r="F427" s="16"/>
      <c r="G427" s="47"/>
      <c r="H427" s="48" t="str">
        <f aca="false">IF(G427="","",IF(F427="Y",G427*2,G427))</f>
        <v/>
      </c>
      <c r="I427" s="27" t="str">
        <f aca="false">IF(H427="","",H427*$B$3)</f>
        <v/>
      </c>
      <c r="J427" s="16"/>
      <c r="K427" s="16"/>
      <c r="L427" s="16"/>
    </row>
    <row r="428" customFormat="false" ht="15" hidden="false" customHeight="false" outlineLevel="0" collapsed="false">
      <c r="A428" s="25"/>
      <c r="B428" s="16"/>
      <c r="C428" s="16"/>
      <c r="D428" s="16"/>
      <c r="E428" s="16"/>
      <c r="F428" s="16"/>
      <c r="G428" s="47"/>
      <c r="H428" s="48" t="str">
        <f aca="false">IF(G428="","",IF(F428="Y",G428*2,G428))</f>
        <v/>
      </c>
      <c r="I428" s="27" t="str">
        <f aca="false">IF(H428="","",H428*$B$3)</f>
        <v/>
      </c>
      <c r="J428" s="16"/>
      <c r="K428" s="16"/>
      <c r="L428" s="16"/>
    </row>
    <row r="429" customFormat="false" ht="15" hidden="false" customHeight="false" outlineLevel="0" collapsed="false">
      <c r="A429" s="25"/>
      <c r="B429" s="16"/>
      <c r="C429" s="16"/>
      <c r="D429" s="16"/>
      <c r="E429" s="16"/>
      <c r="F429" s="16"/>
      <c r="G429" s="47"/>
      <c r="H429" s="48" t="str">
        <f aca="false">IF(G429="","",IF(F429="Y",G429*2,G429))</f>
        <v/>
      </c>
      <c r="I429" s="27" t="str">
        <f aca="false">IF(H429="","",H429*$B$3)</f>
        <v/>
      </c>
      <c r="J429" s="16"/>
      <c r="K429" s="16"/>
      <c r="L429" s="16"/>
    </row>
    <row r="430" customFormat="false" ht="15" hidden="false" customHeight="false" outlineLevel="0" collapsed="false">
      <c r="A430" s="25"/>
      <c r="B430" s="16"/>
      <c r="C430" s="16"/>
      <c r="D430" s="16"/>
      <c r="E430" s="16"/>
      <c r="F430" s="16"/>
      <c r="G430" s="47"/>
      <c r="H430" s="48" t="str">
        <f aca="false">IF(G430="","",IF(F430="Y",G430*2,G430))</f>
        <v/>
      </c>
      <c r="I430" s="27" t="str">
        <f aca="false">IF(H430="","",H430*$B$3)</f>
        <v/>
      </c>
      <c r="J430" s="16"/>
      <c r="K430" s="16"/>
      <c r="L430" s="16"/>
    </row>
    <row r="431" customFormat="false" ht="15" hidden="false" customHeight="false" outlineLevel="0" collapsed="false">
      <c r="A431" s="25"/>
      <c r="B431" s="16"/>
      <c r="C431" s="16"/>
      <c r="D431" s="16"/>
      <c r="E431" s="16"/>
      <c r="F431" s="16"/>
      <c r="G431" s="47"/>
      <c r="H431" s="48" t="str">
        <f aca="false">IF(G431="","",IF(F431="Y",G431*2,G431))</f>
        <v/>
      </c>
      <c r="I431" s="27" t="str">
        <f aca="false">IF(H431="","",H431*$B$3)</f>
        <v/>
      </c>
      <c r="J431" s="16"/>
      <c r="K431" s="16"/>
      <c r="L431" s="16"/>
    </row>
    <row r="432" customFormat="false" ht="15" hidden="false" customHeight="false" outlineLevel="0" collapsed="false">
      <c r="A432" s="25"/>
      <c r="B432" s="16"/>
      <c r="C432" s="16"/>
      <c r="D432" s="16"/>
      <c r="E432" s="16"/>
      <c r="F432" s="16"/>
      <c r="G432" s="47"/>
      <c r="H432" s="48" t="str">
        <f aca="false">IF(G432="","",IF(F432="Y",G432*2,G432))</f>
        <v/>
      </c>
      <c r="I432" s="27" t="str">
        <f aca="false">IF(H432="","",H432*$B$3)</f>
        <v/>
      </c>
      <c r="J432" s="16"/>
      <c r="K432" s="16"/>
      <c r="L432" s="16"/>
    </row>
    <row r="433" customFormat="false" ht="15" hidden="false" customHeight="false" outlineLevel="0" collapsed="false">
      <c r="A433" s="25"/>
      <c r="B433" s="16"/>
      <c r="C433" s="16"/>
      <c r="D433" s="16"/>
      <c r="E433" s="16"/>
      <c r="F433" s="16"/>
      <c r="G433" s="47"/>
      <c r="H433" s="48" t="str">
        <f aca="false">IF(G433="","",IF(F433="Y",G433*2,G433))</f>
        <v/>
      </c>
      <c r="I433" s="27" t="str">
        <f aca="false">IF(H433="","",H433*$B$3)</f>
        <v/>
      </c>
      <c r="J433" s="16"/>
      <c r="K433" s="16"/>
      <c r="L433" s="16"/>
    </row>
    <row r="434" customFormat="false" ht="15" hidden="false" customHeight="false" outlineLevel="0" collapsed="false">
      <c r="A434" s="25"/>
      <c r="B434" s="16"/>
      <c r="C434" s="16"/>
      <c r="D434" s="16"/>
      <c r="E434" s="16"/>
      <c r="F434" s="16"/>
      <c r="G434" s="47"/>
      <c r="H434" s="48" t="str">
        <f aca="false">IF(G434="","",IF(F434="Y",G434*2,G434))</f>
        <v/>
      </c>
      <c r="I434" s="27" t="str">
        <f aca="false">IF(H434="","",H434*$B$3)</f>
        <v/>
      </c>
      <c r="J434" s="16"/>
      <c r="K434" s="16"/>
      <c r="L434" s="16"/>
    </row>
    <row r="435" customFormat="false" ht="15" hidden="false" customHeight="false" outlineLevel="0" collapsed="false">
      <c r="A435" s="25"/>
      <c r="B435" s="16"/>
      <c r="C435" s="16"/>
      <c r="D435" s="16"/>
      <c r="E435" s="16"/>
      <c r="F435" s="16"/>
      <c r="G435" s="47"/>
      <c r="H435" s="48" t="str">
        <f aca="false">IF(G435="","",IF(F435="Y",G435*2,G435))</f>
        <v/>
      </c>
      <c r="I435" s="27" t="str">
        <f aca="false">IF(H435="","",H435*$B$3)</f>
        <v/>
      </c>
      <c r="J435" s="16"/>
      <c r="K435" s="16"/>
      <c r="L435" s="16"/>
    </row>
    <row r="436" customFormat="false" ht="15" hidden="false" customHeight="false" outlineLevel="0" collapsed="false">
      <c r="A436" s="25"/>
      <c r="B436" s="16"/>
      <c r="C436" s="16"/>
      <c r="D436" s="16"/>
      <c r="E436" s="16"/>
      <c r="F436" s="16"/>
      <c r="G436" s="47"/>
      <c r="H436" s="48" t="str">
        <f aca="false">IF(G436="","",IF(F436="Y",G436*2,G436))</f>
        <v/>
      </c>
      <c r="I436" s="27" t="str">
        <f aca="false">IF(H436="","",H436*$B$3)</f>
        <v/>
      </c>
      <c r="J436" s="16"/>
      <c r="K436" s="16"/>
      <c r="L436" s="16"/>
    </row>
    <row r="437" customFormat="false" ht="15" hidden="false" customHeight="false" outlineLevel="0" collapsed="false">
      <c r="A437" s="25"/>
      <c r="B437" s="16"/>
      <c r="C437" s="16"/>
      <c r="D437" s="16"/>
      <c r="E437" s="16"/>
      <c r="F437" s="16"/>
      <c r="G437" s="47"/>
      <c r="H437" s="48" t="str">
        <f aca="false">IF(G437="","",IF(F437="Y",G437*2,G437))</f>
        <v/>
      </c>
      <c r="I437" s="27" t="str">
        <f aca="false">IF(H437="","",H437*$B$3)</f>
        <v/>
      </c>
      <c r="J437" s="16"/>
      <c r="K437" s="16"/>
      <c r="L437" s="16"/>
    </row>
    <row r="438" customFormat="false" ht="15" hidden="false" customHeight="false" outlineLevel="0" collapsed="false">
      <c r="A438" s="25"/>
      <c r="B438" s="16"/>
      <c r="C438" s="16"/>
      <c r="D438" s="16"/>
      <c r="E438" s="16"/>
      <c r="F438" s="16"/>
      <c r="G438" s="47"/>
      <c r="H438" s="48" t="str">
        <f aca="false">IF(G438="","",IF(F438="Y",G438*2,G438))</f>
        <v/>
      </c>
      <c r="I438" s="27" t="str">
        <f aca="false">IF(H438="","",H438*$B$3)</f>
        <v/>
      </c>
      <c r="J438" s="16"/>
      <c r="K438" s="16"/>
      <c r="L438" s="16"/>
    </row>
    <row r="439" customFormat="false" ht="15" hidden="false" customHeight="false" outlineLevel="0" collapsed="false">
      <c r="A439" s="25"/>
      <c r="B439" s="16"/>
      <c r="C439" s="16"/>
      <c r="D439" s="16"/>
      <c r="E439" s="16"/>
      <c r="F439" s="16"/>
      <c r="G439" s="47"/>
      <c r="H439" s="48" t="str">
        <f aca="false">IF(G439="","",IF(F439="Y",G439*2,G439))</f>
        <v/>
      </c>
      <c r="I439" s="27" t="str">
        <f aca="false">IF(H439="","",H439*$B$3)</f>
        <v/>
      </c>
      <c r="J439" s="16"/>
      <c r="K439" s="16"/>
      <c r="L439" s="16"/>
    </row>
    <row r="440" customFormat="false" ht="15" hidden="false" customHeight="false" outlineLevel="0" collapsed="false">
      <c r="A440" s="25"/>
      <c r="B440" s="16"/>
      <c r="C440" s="16"/>
      <c r="D440" s="16"/>
      <c r="E440" s="16"/>
      <c r="F440" s="16"/>
      <c r="G440" s="47"/>
      <c r="H440" s="48" t="str">
        <f aca="false">IF(G440="","",IF(F440="Y",G440*2,G440))</f>
        <v/>
      </c>
      <c r="I440" s="27" t="str">
        <f aca="false">IF(H440="","",H440*$B$3)</f>
        <v/>
      </c>
      <c r="J440" s="16"/>
      <c r="K440" s="16"/>
      <c r="L440" s="16"/>
    </row>
    <row r="441" customFormat="false" ht="15" hidden="false" customHeight="false" outlineLevel="0" collapsed="false">
      <c r="A441" s="25"/>
      <c r="B441" s="16"/>
      <c r="C441" s="16"/>
      <c r="D441" s="16"/>
      <c r="E441" s="16"/>
      <c r="F441" s="16"/>
      <c r="G441" s="47"/>
      <c r="H441" s="48" t="str">
        <f aca="false">IF(G441="","",IF(F441="Y",G441*2,G441))</f>
        <v/>
      </c>
      <c r="I441" s="27" t="str">
        <f aca="false">IF(H441="","",H441*$B$3)</f>
        <v/>
      </c>
      <c r="J441" s="16"/>
      <c r="K441" s="16"/>
      <c r="L441" s="16"/>
    </row>
    <row r="442" customFormat="false" ht="15" hidden="false" customHeight="false" outlineLevel="0" collapsed="false">
      <c r="A442" s="25"/>
      <c r="B442" s="16"/>
      <c r="C442" s="16"/>
      <c r="D442" s="16"/>
      <c r="E442" s="16"/>
      <c r="F442" s="16"/>
      <c r="G442" s="47"/>
      <c r="H442" s="48" t="str">
        <f aca="false">IF(G442="","",IF(F442="Y",G442*2,G442))</f>
        <v/>
      </c>
      <c r="I442" s="27" t="str">
        <f aca="false">IF(H442="","",H442*$B$3)</f>
        <v/>
      </c>
      <c r="J442" s="16"/>
      <c r="K442" s="16"/>
      <c r="L442" s="16"/>
    </row>
    <row r="443" customFormat="false" ht="15" hidden="false" customHeight="false" outlineLevel="0" collapsed="false">
      <c r="A443" s="25"/>
      <c r="B443" s="16"/>
      <c r="C443" s="16"/>
      <c r="D443" s="16"/>
      <c r="E443" s="16"/>
      <c r="F443" s="16"/>
      <c r="G443" s="47"/>
      <c r="H443" s="48" t="str">
        <f aca="false">IF(G443="","",IF(F443="Y",G443*2,G443))</f>
        <v/>
      </c>
      <c r="I443" s="27" t="str">
        <f aca="false">IF(H443="","",H443*$B$3)</f>
        <v/>
      </c>
      <c r="J443" s="16"/>
      <c r="K443" s="16"/>
      <c r="L443" s="16"/>
    </row>
    <row r="444" customFormat="false" ht="15" hidden="false" customHeight="false" outlineLevel="0" collapsed="false">
      <c r="A444" s="25"/>
      <c r="B444" s="16"/>
      <c r="C444" s="16"/>
      <c r="D444" s="16"/>
      <c r="E444" s="16"/>
      <c r="F444" s="16"/>
      <c r="G444" s="47"/>
      <c r="H444" s="48" t="str">
        <f aca="false">IF(G444="","",IF(F444="Y",G444*2,G444))</f>
        <v/>
      </c>
      <c r="I444" s="27" t="str">
        <f aca="false">IF(H444="","",H444*$B$3)</f>
        <v/>
      </c>
      <c r="J444" s="16"/>
      <c r="K444" s="16"/>
      <c r="L444" s="16"/>
    </row>
    <row r="445" customFormat="false" ht="15" hidden="false" customHeight="false" outlineLevel="0" collapsed="false">
      <c r="A445" s="25"/>
      <c r="B445" s="16"/>
      <c r="C445" s="16"/>
      <c r="D445" s="16"/>
      <c r="E445" s="16"/>
      <c r="F445" s="16"/>
      <c r="G445" s="47"/>
      <c r="H445" s="48" t="str">
        <f aca="false">IF(G445="","",IF(F445="Y",G445*2,G445))</f>
        <v/>
      </c>
      <c r="I445" s="27" t="str">
        <f aca="false">IF(H445="","",H445*$B$3)</f>
        <v/>
      </c>
      <c r="J445" s="16"/>
      <c r="K445" s="16"/>
      <c r="L445" s="16"/>
    </row>
    <row r="446" customFormat="false" ht="15" hidden="false" customHeight="false" outlineLevel="0" collapsed="false">
      <c r="A446" s="25"/>
      <c r="B446" s="16"/>
      <c r="C446" s="16"/>
      <c r="D446" s="16"/>
      <c r="E446" s="16"/>
      <c r="F446" s="16"/>
      <c r="G446" s="47"/>
      <c r="H446" s="48" t="str">
        <f aca="false">IF(G446="","",IF(F446="Y",G446*2,G446))</f>
        <v/>
      </c>
      <c r="I446" s="27" t="str">
        <f aca="false">IF(H446="","",H446*$B$3)</f>
        <v/>
      </c>
      <c r="J446" s="16"/>
      <c r="K446" s="16"/>
      <c r="L446" s="16"/>
    </row>
    <row r="447" customFormat="false" ht="15" hidden="false" customHeight="false" outlineLevel="0" collapsed="false">
      <c r="A447" s="25"/>
      <c r="B447" s="16"/>
      <c r="C447" s="16"/>
      <c r="D447" s="16"/>
      <c r="E447" s="16"/>
      <c r="F447" s="16"/>
      <c r="G447" s="47"/>
      <c r="H447" s="48" t="str">
        <f aca="false">IF(G447="","",IF(F447="Y",G447*2,G447))</f>
        <v/>
      </c>
      <c r="I447" s="27" t="str">
        <f aca="false">IF(H447="","",H447*$B$3)</f>
        <v/>
      </c>
      <c r="J447" s="16"/>
      <c r="K447" s="16"/>
      <c r="L447" s="16"/>
    </row>
    <row r="448" customFormat="false" ht="15" hidden="false" customHeight="false" outlineLevel="0" collapsed="false">
      <c r="A448" s="25"/>
      <c r="B448" s="16"/>
      <c r="C448" s="16"/>
      <c r="D448" s="16"/>
      <c r="E448" s="16"/>
      <c r="F448" s="16"/>
      <c r="G448" s="47"/>
      <c r="H448" s="48" t="str">
        <f aca="false">IF(G448="","",IF(F448="Y",G448*2,G448))</f>
        <v/>
      </c>
      <c r="I448" s="27" t="str">
        <f aca="false">IF(H448="","",H448*$B$3)</f>
        <v/>
      </c>
      <c r="J448" s="16"/>
      <c r="K448" s="16"/>
      <c r="L448" s="16"/>
    </row>
    <row r="449" customFormat="false" ht="15" hidden="false" customHeight="false" outlineLevel="0" collapsed="false">
      <c r="A449" s="25"/>
      <c r="B449" s="16"/>
      <c r="C449" s="16"/>
      <c r="D449" s="16"/>
      <c r="E449" s="16"/>
      <c r="F449" s="16"/>
      <c r="G449" s="47"/>
      <c r="H449" s="48" t="str">
        <f aca="false">IF(G449="","",IF(F449="Y",G449*2,G449))</f>
        <v/>
      </c>
      <c r="I449" s="27" t="str">
        <f aca="false">IF(H449="","",H449*$B$3)</f>
        <v/>
      </c>
      <c r="J449" s="16"/>
      <c r="K449" s="16"/>
      <c r="L449" s="16"/>
    </row>
    <row r="450" customFormat="false" ht="15" hidden="false" customHeight="false" outlineLevel="0" collapsed="false">
      <c r="A450" s="25"/>
      <c r="B450" s="16"/>
      <c r="C450" s="16"/>
      <c r="D450" s="16"/>
      <c r="E450" s="16"/>
      <c r="F450" s="16"/>
      <c r="G450" s="47"/>
      <c r="H450" s="48" t="str">
        <f aca="false">IF(G450="","",IF(F450="Y",G450*2,G450))</f>
        <v/>
      </c>
      <c r="I450" s="27" t="str">
        <f aca="false">IF(H450="","",H450*$B$3)</f>
        <v/>
      </c>
      <c r="J450" s="16"/>
      <c r="K450" s="16"/>
      <c r="L450" s="16"/>
    </row>
    <row r="451" customFormat="false" ht="15" hidden="false" customHeight="false" outlineLevel="0" collapsed="false">
      <c r="A451" s="25"/>
      <c r="B451" s="16"/>
      <c r="C451" s="16"/>
      <c r="D451" s="16"/>
      <c r="E451" s="16"/>
      <c r="F451" s="16"/>
      <c r="G451" s="47"/>
      <c r="H451" s="48" t="str">
        <f aca="false">IF(G451="","",IF(F451="Y",G451*2,G451))</f>
        <v/>
      </c>
      <c r="I451" s="27" t="str">
        <f aca="false">IF(H451="","",H451*$B$3)</f>
        <v/>
      </c>
      <c r="J451" s="16"/>
      <c r="K451" s="16"/>
      <c r="L451" s="16"/>
    </row>
    <row r="452" customFormat="false" ht="15" hidden="false" customHeight="false" outlineLevel="0" collapsed="false">
      <c r="A452" s="25"/>
      <c r="B452" s="16"/>
      <c r="C452" s="16"/>
      <c r="D452" s="16"/>
      <c r="E452" s="16"/>
      <c r="F452" s="16"/>
      <c r="G452" s="47"/>
      <c r="H452" s="48" t="str">
        <f aca="false">IF(G452="","",IF(F452="Y",G452*2,G452))</f>
        <v/>
      </c>
      <c r="I452" s="27" t="str">
        <f aca="false">IF(H452="","",H452*$B$3)</f>
        <v/>
      </c>
      <c r="J452" s="16"/>
      <c r="K452" s="16"/>
      <c r="L452" s="16"/>
    </row>
    <row r="453" customFormat="false" ht="15" hidden="false" customHeight="false" outlineLevel="0" collapsed="false">
      <c r="A453" s="25"/>
      <c r="B453" s="16"/>
      <c r="C453" s="16"/>
      <c r="D453" s="16"/>
      <c r="E453" s="16"/>
      <c r="F453" s="16"/>
      <c r="G453" s="47"/>
      <c r="H453" s="48" t="str">
        <f aca="false">IF(G453="","",IF(F453="Y",G453*2,G453))</f>
        <v/>
      </c>
      <c r="I453" s="27" t="str">
        <f aca="false">IF(H453="","",H453*$B$3)</f>
        <v/>
      </c>
      <c r="J453" s="16"/>
      <c r="K453" s="16"/>
      <c r="L453" s="16"/>
    </row>
    <row r="454" customFormat="false" ht="15" hidden="false" customHeight="false" outlineLevel="0" collapsed="false">
      <c r="A454" s="25"/>
      <c r="B454" s="16"/>
      <c r="C454" s="16"/>
      <c r="D454" s="16"/>
      <c r="E454" s="16"/>
      <c r="F454" s="16"/>
      <c r="G454" s="47"/>
      <c r="H454" s="48" t="str">
        <f aca="false">IF(G454="","",IF(F454="Y",G454*2,G454))</f>
        <v/>
      </c>
      <c r="I454" s="27" t="str">
        <f aca="false">IF(H454="","",H454*$B$3)</f>
        <v/>
      </c>
      <c r="J454" s="16"/>
      <c r="K454" s="16"/>
      <c r="L454" s="16"/>
    </row>
    <row r="455" customFormat="false" ht="15" hidden="false" customHeight="false" outlineLevel="0" collapsed="false">
      <c r="A455" s="25"/>
      <c r="B455" s="16"/>
      <c r="C455" s="16"/>
      <c r="D455" s="16"/>
      <c r="E455" s="16"/>
      <c r="F455" s="16"/>
      <c r="G455" s="47"/>
      <c r="H455" s="48" t="str">
        <f aca="false">IF(G455="","",IF(F455="Y",G455*2,G455))</f>
        <v/>
      </c>
      <c r="I455" s="27" t="str">
        <f aca="false">IF(H455="","",H455*$B$3)</f>
        <v/>
      </c>
      <c r="J455" s="16"/>
      <c r="K455" s="16"/>
      <c r="L455" s="16"/>
    </row>
    <row r="456" customFormat="false" ht="15" hidden="false" customHeight="false" outlineLevel="0" collapsed="false">
      <c r="A456" s="25"/>
      <c r="B456" s="16"/>
      <c r="C456" s="16"/>
      <c r="D456" s="16"/>
      <c r="E456" s="16"/>
      <c r="F456" s="16"/>
      <c r="G456" s="47"/>
      <c r="H456" s="48" t="str">
        <f aca="false">IF(G456="","",IF(F456="Y",G456*2,G456))</f>
        <v/>
      </c>
      <c r="I456" s="27" t="str">
        <f aca="false">IF(H456="","",H456*$B$3)</f>
        <v/>
      </c>
      <c r="J456" s="16"/>
      <c r="K456" s="16"/>
      <c r="L456" s="16"/>
    </row>
    <row r="457" customFormat="false" ht="15" hidden="false" customHeight="false" outlineLevel="0" collapsed="false">
      <c r="A457" s="25"/>
      <c r="B457" s="16"/>
      <c r="C457" s="16"/>
      <c r="D457" s="16"/>
      <c r="E457" s="16"/>
      <c r="F457" s="16"/>
      <c r="G457" s="47"/>
      <c r="H457" s="48" t="str">
        <f aca="false">IF(G457="","",IF(F457="Y",G457*2,G457))</f>
        <v/>
      </c>
      <c r="I457" s="27" t="str">
        <f aca="false">IF(H457="","",H457*$B$3)</f>
        <v/>
      </c>
      <c r="J457" s="16"/>
      <c r="K457" s="16"/>
      <c r="L457" s="16"/>
    </row>
    <row r="458" customFormat="false" ht="15" hidden="false" customHeight="false" outlineLevel="0" collapsed="false">
      <c r="A458" s="25"/>
      <c r="B458" s="16"/>
      <c r="C458" s="16"/>
      <c r="D458" s="16"/>
      <c r="E458" s="16"/>
      <c r="F458" s="16"/>
      <c r="G458" s="47"/>
      <c r="H458" s="48" t="str">
        <f aca="false">IF(G458="","",IF(F458="Y",G458*2,G458))</f>
        <v/>
      </c>
      <c r="I458" s="27" t="str">
        <f aca="false">IF(H458="","",H458*$B$3)</f>
        <v/>
      </c>
      <c r="J458" s="16"/>
      <c r="K458" s="16"/>
      <c r="L458" s="16"/>
    </row>
    <row r="459" customFormat="false" ht="15" hidden="false" customHeight="false" outlineLevel="0" collapsed="false">
      <c r="A459" s="25"/>
      <c r="B459" s="16"/>
      <c r="C459" s="16"/>
      <c r="D459" s="16"/>
      <c r="E459" s="16"/>
      <c r="F459" s="16"/>
      <c r="G459" s="47"/>
      <c r="H459" s="48" t="str">
        <f aca="false">IF(G459="","",IF(F459="Y",G459*2,G459))</f>
        <v/>
      </c>
      <c r="I459" s="27" t="str">
        <f aca="false">IF(H459="","",H459*$B$3)</f>
        <v/>
      </c>
      <c r="J459" s="16"/>
      <c r="K459" s="16"/>
      <c r="L459" s="16"/>
    </row>
    <row r="460" customFormat="false" ht="15" hidden="false" customHeight="false" outlineLevel="0" collapsed="false">
      <c r="A460" s="25"/>
      <c r="B460" s="16"/>
      <c r="C460" s="16"/>
      <c r="D460" s="16"/>
      <c r="E460" s="16"/>
      <c r="F460" s="16"/>
      <c r="G460" s="47"/>
      <c r="H460" s="48" t="str">
        <f aca="false">IF(G460="","",IF(F460="Y",G460*2,G460))</f>
        <v/>
      </c>
      <c r="I460" s="27" t="str">
        <f aca="false">IF(H460="","",H460*$B$3)</f>
        <v/>
      </c>
      <c r="J460" s="16"/>
      <c r="K460" s="16"/>
      <c r="L460" s="16"/>
    </row>
    <row r="461" customFormat="false" ht="15" hidden="false" customHeight="false" outlineLevel="0" collapsed="false">
      <c r="A461" s="25"/>
      <c r="B461" s="16"/>
      <c r="C461" s="16"/>
      <c r="D461" s="16"/>
      <c r="E461" s="16"/>
      <c r="F461" s="16"/>
      <c r="G461" s="47"/>
      <c r="H461" s="48" t="str">
        <f aca="false">IF(G461="","",IF(F461="Y",G461*2,G461))</f>
        <v/>
      </c>
      <c r="I461" s="27" t="str">
        <f aca="false">IF(H461="","",H461*$B$3)</f>
        <v/>
      </c>
      <c r="J461" s="16"/>
      <c r="K461" s="16"/>
      <c r="L461" s="16"/>
    </row>
    <row r="462" customFormat="false" ht="15" hidden="false" customHeight="false" outlineLevel="0" collapsed="false">
      <c r="A462" s="25"/>
      <c r="B462" s="16"/>
      <c r="C462" s="16"/>
      <c r="D462" s="16"/>
      <c r="E462" s="16"/>
      <c r="F462" s="16"/>
      <c r="G462" s="47"/>
      <c r="H462" s="48" t="str">
        <f aca="false">IF(G462="","",IF(F462="Y",G462*2,G462))</f>
        <v/>
      </c>
      <c r="I462" s="27" t="str">
        <f aca="false">IF(H462="","",H462*$B$3)</f>
        <v/>
      </c>
      <c r="J462" s="16"/>
      <c r="K462" s="16"/>
      <c r="L462" s="16"/>
    </row>
    <row r="463" customFormat="false" ht="15" hidden="false" customHeight="false" outlineLevel="0" collapsed="false">
      <c r="A463" s="25"/>
      <c r="B463" s="16"/>
      <c r="C463" s="16"/>
      <c r="D463" s="16"/>
      <c r="E463" s="16"/>
      <c r="F463" s="16"/>
      <c r="G463" s="47"/>
      <c r="H463" s="48" t="str">
        <f aca="false">IF(G463="","",IF(F463="Y",G463*2,G463))</f>
        <v/>
      </c>
      <c r="I463" s="27" t="str">
        <f aca="false">IF(H463="","",H463*$B$3)</f>
        <v/>
      </c>
      <c r="J463" s="16"/>
      <c r="K463" s="16"/>
      <c r="L463" s="16"/>
    </row>
    <row r="464" customFormat="false" ht="15" hidden="false" customHeight="false" outlineLevel="0" collapsed="false">
      <c r="A464" s="25"/>
      <c r="B464" s="16"/>
      <c r="C464" s="16"/>
      <c r="D464" s="16"/>
      <c r="E464" s="16"/>
      <c r="F464" s="16"/>
      <c r="G464" s="47"/>
      <c r="H464" s="48" t="str">
        <f aca="false">IF(G464="","",IF(F464="Y",G464*2,G464))</f>
        <v/>
      </c>
      <c r="I464" s="27" t="str">
        <f aca="false">IF(H464="","",H464*$B$3)</f>
        <v/>
      </c>
      <c r="J464" s="16"/>
      <c r="K464" s="16"/>
      <c r="L464" s="16"/>
    </row>
    <row r="465" customFormat="false" ht="15" hidden="false" customHeight="false" outlineLevel="0" collapsed="false">
      <c r="A465" s="25"/>
      <c r="B465" s="16"/>
      <c r="C465" s="16"/>
      <c r="D465" s="16"/>
      <c r="E465" s="16"/>
      <c r="F465" s="16"/>
      <c r="G465" s="47"/>
      <c r="H465" s="48" t="str">
        <f aca="false">IF(G465="","",IF(F465="Y",G465*2,G465))</f>
        <v/>
      </c>
      <c r="I465" s="27" t="str">
        <f aca="false">IF(H465="","",H465*$B$3)</f>
        <v/>
      </c>
      <c r="J465" s="16"/>
      <c r="K465" s="16"/>
      <c r="L465" s="16"/>
    </row>
    <row r="466" customFormat="false" ht="15" hidden="false" customHeight="false" outlineLevel="0" collapsed="false">
      <c r="A466" s="25"/>
      <c r="B466" s="16"/>
      <c r="C466" s="16"/>
      <c r="D466" s="16"/>
      <c r="E466" s="16"/>
      <c r="F466" s="16"/>
      <c r="G466" s="47"/>
      <c r="H466" s="48" t="str">
        <f aca="false">IF(G466="","",IF(F466="Y",G466*2,G466))</f>
        <v/>
      </c>
      <c r="I466" s="27" t="str">
        <f aca="false">IF(H466="","",H466*$B$3)</f>
        <v/>
      </c>
      <c r="J466" s="16"/>
      <c r="K466" s="16"/>
      <c r="L466" s="16"/>
    </row>
    <row r="467" customFormat="false" ht="15" hidden="false" customHeight="false" outlineLevel="0" collapsed="false">
      <c r="A467" s="25"/>
      <c r="B467" s="16"/>
      <c r="C467" s="16"/>
      <c r="D467" s="16"/>
      <c r="E467" s="16"/>
      <c r="F467" s="16"/>
      <c r="G467" s="47"/>
      <c r="H467" s="48" t="str">
        <f aca="false">IF(G467="","",IF(F467="Y",G467*2,G467))</f>
        <v/>
      </c>
      <c r="I467" s="27" t="str">
        <f aca="false">IF(H467="","",H467*$B$3)</f>
        <v/>
      </c>
      <c r="J467" s="16"/>
      <c r="K467" s="16"/>
      <c r="L467" s="16"/>
    </row>
    <row r="468" customFormat="false" ht="15" hidden="false" customHeight="false" outlineLevel="0" collapsed="false">
      <c r="A468" s="25"/>
      <c r="B468" s="16"/>
      <c r="C468" s="16"/>
      <c r="D468" s="16"/>
      <c r="E468" s="16"/>
      <c r="F468" s="16"/>
      <c r="G468" s="47"/>
      <c r="H468" s="48" t="str">
        <f aca="false">IF(G468="","",IF(F468="Y",G468*2,G468))</f>
        <v/>
      </c>
      <c r="I468" s="27" t="str">
        <f aca="false">IF(H468="","",H468*$B$3)</f>
        <v/>
      </c>
      <c r="J468" s="16"/>
      <c r="K468" s="16"/>
      <c r="L468" s="16"/>
    </row>
    <row r="469" customFormat="false" ht="15" hidden="false" customHeight="false" outlineLevel="0" collapsed="false">
      <c r="A469" s="25"/>
      <c r="B469" s="16"/>
      <c r="C469" s="16"/>
      <c r="D469" s="16"/>
      <c r="E469" s="16"/>
      <c r="F469" s="16"/>
      <c r="G469" s="47"/>
      <c r="H469" s="48" t="str">
        <f aca="false">IF(G469="","",IF(F469="Y",G469*2,G469))</f>
        <v/>
      </c>
      <c r="I469" s="27" t="str">
        <f aca="false">IF(H469="","",H469*$B$3)</f>
        <v/>
      </c>
      <c r="J469" s="16"/>
      <c r="K469" s="16"/>
      <c r="L469" s="16"/>
    </row>
    <row r="470" customFormat="false" ht="15" hidden="false" customHeight="false" outlineLevel="0" collapsed="false">
      <c r="A470" s="25"/>
      <c r="B470" s="16"/>
      <c r="C470" s="16"/>
      <c r="D470" s="16"/>
      <c r="E470" s="16"/>
      <c r="F470" s="16"/>
      <c r="G470" s="47"/>
      <c r="H470" s="48" t="str">
        <f aca="false">IF(G470="","",IF(F470="Y",G470*2,G470))</f>
        <v/>
      </c>
      <c r="I470" s="27" t="str">
        <f aca="false">IF(H470="","",H470*$B$3)</f>
        <v/>
      </c>
      <c r="J470" s="16"/>
      <c r="K470" s="16"/>
      <c r="L470" s="16"/>
    </row>
    <row r="471" customFormat="false" ht="15" hidden="false" customHeight="false" outlineLevel="0" collapsed="false">
      <c r="A471" s="25"/>
      <c r="B471" s="16"/>
      <c r="C471" s="16"/>
      <c r="D471" s="16"/>
      <c r="E471" s="16"/>
      <c r="F471" s="16"/>
      <c r="G471" s="47"/>
      <c r="H471" s="48" t="str">
        <f aca="false">IF(G471="","",IF(F471="Y",G471*2,G471))</f>
        <v/>
      </c>
      <c r="I471" s="27" t="str">
        <f aca="false">IF(H471="","",H471*$B$3)</f>
        <v/>
      </c>
      <c r="J471" s="16"/>
      <c r="K471" s="16"/>
      <c r="L471" s="16"/>
    </row>
    <row r="472" customFormat="false" ht="15" hidden="false" customHeight="false" outlineLevel="0" collapsed="false">
      <c r="A472" s="25"/>
      <c r="B472" s="16"/>
      <c r="C472" s="16"/>
      <c r="D472" s="16"/>
      <c r="E472" s="16"/>
      <c r="F472" s="16"/>
      <c r="G472" s="47"/>
      <c r="H472" s="48" t="str">
        <f aca="false">IF(G472="","",IF(F472="Y",G472*2,G472))</f>
        <v/>
      </c>
      <c r="I472" s="27" t="str">
        <f aca="false">IF(H472="","",H472*$B$3)</f>
        <v/>
      </c>
      <c r="J472" s="16"/>
      <c r="K472" s="16"/>
      <c r="L472" s="16"/>
    </row>
    <row r="473" customFormat="false" ht="15" hidden="false" customHeight="false" outlineLevel="0" collapsed="false">
      <c r="A473" s="25"/>
      <c r="B473" s="16"/>
      <c r="C473" s="16"/>
      <c r="D473" s="16"/>
      <c r="E473" s="16"/>
      <c r="F473" s="16"/>
      <c r="G473" s="47"/>
      <c r="H473" s="48" t="str">
        <f aca="false">IF(G473="","",IF(F473="Y",G473*2,G473))</f>
        <v/>
      </c>
      <c r="I473" s="27" t="str">
        <f aca="false">IF(H473="","",H473*$B$3)</f>
        <v/>
      </c>
      <c r="J473" s="16"/>
      <c r="K473" s="16"/>
      <c r="L473" s="16"/>
    </row>
    <row r="474" customFormat="false" ht="15" hidden="false" customHeight="false" outlineLevel="0" collapsed="false">
      <c r="A474" s="25"/>
      <c r="B474" s="16"/>
      <c r="C474" s="16"/>
      <c r="D474" s="16"/>
      <c r="E474" s="16"/>
      <c r="F474" s="16"/>
      <c r="G474" s="47"/>
      <c r="H474" s="48" t="str">
        <f aca="false">IF(G474="","",IF(F474="Y",G474*2,G474))</f>
        <v/>
      </c>
      <c r="I474" s="27" t="str">
        <f aca="false">IF(H474="","",H474*$B$3)</f>
        <v/>
      </c>
      <c r="J474" s="16"/>
      <c r="K474" s="16"/>
      <c r="L474" s="16"/>
    </row>
    <row r="475" customFormat="false" ht="15" hidden="false" customHeight="false" outlineLevel="0" collapsed="false">
      <c r="A475" s="25"/>
      <c r="B475" s="16"/>
      <c r="C475" s="16"/>
      <c r="D475" s="16"/>
      <c r="E475" s="16"/>
      <c r="F475" s="16"/>
      <c r="G475" s="47"/>
      <c r="H475" s="48" t="str">
        <f aca="false">IF(G475="","",IF(F475="Y",G475*2,G475))</f>
        <v/>
      </c>
      <c r="I475" s="27" t="str">
        <f aca="false">IF(H475="","",H475*$B$3)</f>
        <v/>
      </c>
      <c r="J475" s="16"/>
      <c r="K475" s="16"/>
      <c r="L475" s="16"/>
    </row>
    <row r="476" customFormat="false" ht="15" hidden="false" customHeight="false" outlineLevel="0" collapsed="false">
      <c r="A476" s="25"/>
      <c r="B476" s="16"/>
      <c r="C476" s="16"/>
      <c r="D476" s="16"/>
      <c r="E476" s="16"/>
      <c r="F476" s="16"/>
      <c r="G476" s="47"/>
      <c r="H476" s="48" t="str">
        <f aca="false">IF(G476="","",IF(F476="Y",G476*2,G476))</f>
        <v/>
      </c>
      <c r="I476" s="27" t="str">
        <f aca="false">IF(H476="","",H476*$B$3)</f>
        <v/>
      </c>
      <c r="J476" s="16"/>
      <c r="K476" s="16"/>
      <c r="L476" s="16"/>
    </row>
    <row r="477" customFormat="false" ht="15" hidden="false" customHeight="false" outlineLevel="0" collapsed="false">
      <c r="A477" s="25"/>
      <c r="B477" s="16"/>
      <c r="C477" s="16"/>
      <c r="D477" s="16"/>
      <c r="E477" s="16"/>
      <c r="F477" s="16"/>
      <c r="G477" s="47"/>
      <c r="H477" s="48" t="str">
        <f aca="false">IF(G477="","",IF(F477="Y",G477*2,G477))</f>
        <v/>
      </c>
      <c r="I477" s="27" t="str">
        <f aca="false">IF(H477="","",H477*$B$3)</f>
        <v/>
      </c>
      <c r="J477" s="16"/>
      <c r="K477" s="16"/>
      <c r="L477" s="16"/>
    </row>
    <row r="478" customFormat="false" ht="15" hidden="false" customHeight="false" outlineLevel="0" collapsed="false">
      <c r="A478" s="25"/>
      <c r="B478" s="16"/>
      <c r="C478" s="16"/>
      <c r="D478" s="16"/>
      <c r="E478" s="16"/>
      <c r="F478" s="16"/>
      <c r="G478" s="47"/>
      <c r="H478" s="48" t="str">
        <f aca="false">IF(G478="","",IF(F478="Y",G478*2,G478))</f>
        <v/>
      </c>
      <c r="I478" s="27" t="str">
        <f aca="false">IF(H478="","",H478*$B$3)</f>
        <v/>
      </c>
      <c r="J478" s="16"/>
      <c r="K478" s="16"/>
      <c r="L478" s="16"/>
    </row>
    <row r="479" customFormat="false" ht="15" hidden="false" customHeight="false" outlineLevel="0" collapsed="false">
      <c r="A479" s="25"/>
      <c r="B479" s="16"/>
      <c r="C479" s="16"/>
      <c r="D479" s="16"/>
      <c r="E479" s="16"/>
      <c r="F479" s="16"/>
      <c r="G479" s="47"/>
      <c r="H479" s="48" t="str">
        <f aca="false">IF(G479="","",IF(F479="Y",G479*2,G479))</f>
        <v/>
      </c>
      <c r="I479" s="27" t="str">
        <f aca="false">IF(H479="","",H479*$B$3)</f>
        <v/>
      </c>
      <c r="J479" s="16"/>
      <c r="K479" s="16"/>
      <c r="L479" s="16"/>
    </row>
    <row r="480" customFormat="false" ht="15" hidden="false" customHeight="false" outlineLevel="0" collapsed="false">
      <c r="A480" s="25"/>
      <c r="B480" s="16"/>
      <c r="C480" s="16"/>
      <c r="D480" s="16"/>
      <c r="E480" s="16"/>
      <c r="F480" s="16"/>
      <c r="G480" s="47"/>
      <c r="H480" s="48" t="str">
        <f aca="false">IF(G480="","",IF(F480="Y",G480*2,G480))</f>
        <v/>
      </c>
      <c r="I480" s="27" t="str">
        <f aca="false">IF(H480="","",H480*$B$3)</f>
        <v/>
      </c>
      <c r="J480" s="16"/>
      <c r="K480" s="16"/>
      <c r="L480" s="16"/>
    </row>
    <row r="481" customFormat="false" ht="15" hidden="false" customHeight="false" outlineLevel="0" collapsed="false">
      <c r="A481" s="25"/>
      <c r="B481" s="16"/>
      <c r="C481" s="16"/>
      <c r="D481" s="16"/>
      <c r="E481" s="16"/>
      <c r="F481" s="16"/>
      <c r="G481" s="47"/>
      <c r="H481" s="48" t="str">
        <f aca="false">IF(G481="","",IF(F481="Y",G481*2,G481))</f>
        <v/>
      </c>
      <c r="I481" s="27" t="str">
        <f aca="false">IF(H481="","",H481*$B$3)</f>
        <v/>
      </c>
      <c r="J481" s="16"/>
      <c r="K481" s="16"/>
      <c r="L481" s="16"/>
    </row>
    <row r="482" customFormat="false" ht="15" hidden="false" customHeight="false" outlineLevel="0" collapsed="false">
      <c r="A482" s="25"/>
      <c r="B482" s="16"/>
      <c r="C482" s="16"/>
      <c r="D482" s="16"/>
      <c r="E482" s="16"/>
      <c r="F482" s="16"/>
      <c r="G482" s="47"/>
      <c r="H482" s="48" t="str">
        <f aca="false">IF(G482="","",IF(F482="Y",G482*2,G482))</f>
        <v/>
      </c>
      <c r="I482" s="27" t="str">
        <f aca="false">IF(H482="","",H482*$B$3)</f>
        <v/>
      </c>
      <c r="J482" s="16"/>
      <c r="K482" s="16"/>
      <c r="L482" s="16"/>
    </row>
    <row r="483" customFormat="false" ht="15" hidden="false" customHeight="false" outlineLevel="0" collapsed="false">
      <c r="A483" s="25"/>
      <c r="B483" s="16"/>
      <c r="C483" s="16"/>
      <c r="D483" s="16"/>
      <c r="E483" s="16"/>
      <c r="F483" s="16"/>
      <c r="G483" s="47"/>
      <c r="H483" s="48" t="str">
        <f aca="false">IF(G483="","",IF(F483="Y",G483*2,G483))</f>
        <v/>
      </c>
      <c r="I483" s="27" t="str">
        <f aca="false">IF(H483="","",H483*$B$3)</f>
        <v/>
      </c>
      <c r="J483" s="16"/>
      <c r="K483" s="16"/>
      <c r="L483" s="16"/>
    </row>
    <row r="484" customFormat="false" ht="15" hidden="false" customHeight="false" outlineLevel="0" collapsed="false">
      <c r="A484" s="25"/>
      <c r="B484" s="16"/>
      <c r="C484" s="16"/>
      <c r="D484" s="16"/>
      <c r="E484" s="16"/>
      <c r="F484" s="16"/>
      <c r="G484" s="47"/>
      <c r="H484" s="48" t="str">
        <f aca="false">IF(G484="","",IF(F484="Y",G484*2,G484))</f>
        <v/>
      </c>
      <c r="I484" s="27" t="str">
        <f aca="false">IF(H484="","",H484*$B$3)</f>
        <v/>
      </c>
      <c r="J484" s="16"/>
      <c r="K484" s="16"/>
      <c r="L484" s="16"/>
    </row>
    <row r="485" customFormat="false" ht="15" hidden="false" customHeight="false" outlineLevel="0" collapsed="false">
      <c r="A485" s="25"/>
      <c r="B485" s="16"/>
      <c r="C485" s="16"/>
      <c r="D485" s="16"/>
      <c r="E485" s="16"/>
      <c r="F485" s="16"/>
      <c r="G485" s="47"/>
      <c r="H485" s="48" t="str">
        <f aca="false">IF(G485="","",IF(F485="Y",G485*2,G485))</f>
        <v/>
      </c>
      <c r="I485" s="27" t="str">
        <f aca="false">IF(H485="","",H485*$B$3)</f>
        <v/>
      </c>
      <c r="J485" s="16"/>
      <c r="K485" s="16"/>
      <c r="L485" s="16"/>
    </row>
    <row r="486" customFormat="false" ht="15" hidden="false" customHeight="false" outlineLevel="0" collapsed="false">
      <c r="A486" s="25"/>
      <c r="B486" s="16"/>
      <c r="C486" s="16"/>
      <c r="D486" s="16"/>
      <c r="E486" s="16"/>
      <c r="F486" s="16"/>
      <c r="G486" s="47"/>
      <c r="H486" s="48" t="str">
        <f aca="false">IF(G486="","",IF(F486="Y",G486*2,G486))</f>
        <v/>
      </c>
      <c r="I486" s="27" t="str">
        <f aca="false">IF(H486="","",H486*$B$3)</f>
        <v/>
      </c>
      <c r="J486" s="16"/>
      <c r="K486" s="16"/>
      <c r="L486" s="16"/>
    </row>
    <row r="487" customFormat="false" ht="15" hidden="false" customHeight="false" outlineLevel="0" collapsed="false">
      <c r="A487" s="25"/>
      <c r="B487" s="16"/>
      <c r="C487" s="16"/>
      <c r="D487" s="16"/>
      <c r="E487" s="16"/>
      <c r="F487" s="16"/>
      <c r="G487" s="47"/>
      <c r="H487" s="48" t="str">
        <f aca="false">IF(G487="","",IF(F487="Y",G487*2,G487))</f>
        <v/>
      </c>
      <c r="I487" s="27" t="str">
        <f aca="false">IF(H487="","",H487*$B$3)</f>
        <v/>
      </c>
      <c r="J487" s="16"/>
      <c r="K487" s="16"/>
      <c r="L487" s="16"/>
    </row>
    <row r="488" customFormat="false" ht="15" hidden="false" customHeight="false" outlineLevel="0" collapsed="false">
      <c r="A488" s="25"/>
      <c r="B488" s="16"/>
      <c r="C488" s="16"/>
      <c r="D488" s="16"/>
      <c r="E488" s="16"/>
      <c r="F488" s="16"/>
      <c r="G488" s="47"/>
      <c r="H488" s="48" t="str">
        <f aca="false">IF(G488="","",IF(F488="Y",G488*2,G488))</f>
        <v/>
      </c>
      <c r="I488" s="27" t="str">
        <f aca="false">IF(H488="","",H488*$B$3)</f>
        <v/>
      </c>
      <c r="J488" s="16"/>
      <c r="K488" s="16"/>
      <c r="L488" s="16"/>
    </row>
    <row r="489" customFormat="false" ht="15" hidden="false" customHeight="false" outlineLevel="0" collapsed="false">
      <c r="A489" s="25"/>
      <c r="B489" s="16"/>
      <c r="C489" s="16"/>
      <c r="D489" s="16"/>
      <c r="E489" s="16"/>
      <c r="F489" s="16"/>
      <c r="G489" s="47"/>
      <c r="H489" s="48" t="str">
        <f aca="false">IF(G489="","",IF(F489="Y",G489*2,G489))</f>
        <v/>
      </c>
      <c r="I489" s="27" t="str">
        <f aca="false">IF(H489="","",H489*$B$3)</f>
        <v/>
      </c>
      <c r="J489" s="16"/>
      <c r="K489" s="16"/>
      <c r="L489" s="16"/>
    </row>
    <row r="490" customFormat="false" ht="15" hidden="false" customHeight="false" outlineLevel="0" collapsed="false">
      <c r="A490" s="25"/>
      <c r="B490" s="16"/>
      <c r="C490" s="16"/>
      <c r="D490" s="16"/>
      <c r="E490" s="16"/>
      <c r="F490" s="16"/>
      <c r="G490" s="47"/>
      <c r="H490" s="48" t="str">
        <f aca="false">IF(G490="","",IF(F490="Y",G490*2,G490))</f>
        <v/>
      </c>
      <c r="I490" s="27" t="str">
        <f aca="false">IF(H490="","",H490*$B$3)</f>
        <v/>
      </c>
      <c r="J490" s="16"/>
      <c r="K490" s="16"/>
      <c r="L490" s="16"/>
    </row>
    <row r="491" customFormat="false" ht="15" hidden="false" customHeight="false" outlineLevel="0" collapsed="false">
      <c r="A491" s="25"/>
      <c r="B491" s="16"/>
      <c r="C491" s="16"/>
      <c r="D491" s="16"/>
      <c r="E491" s="16"/>
      <c r="F491" s="16"/>
      <c r="G491" s="47"/>
      <c r="H491" s="48" t="str">
        <f aca="false">IF(G491="","",IF(F491="Y",G491*2,G491))</f>
        <v/>
      </c>
      <c r="I491" s="27" t="str">
        <f aca="false">IF(H491="","",H491*$B$3)</f>
        <v/>
      </c>
      <c r="J491" s="16"/>
      <c r="K491" s="16"/>
      <c r="L491" s="16"/>
    </row>
    <row r="492" customFormat="false" ht="15" hidden="false" customHeight="false" outlineLevel="0" collapsed="false">
      <c r="A492" s="25"/>
      <c r="B492" s="16"/>
      <c r="C492" s="16"/>
      <c r="D492" s="16"/>
      <c r="E492" s="16"/>
      <c r="F492" s="16"/>
      <c r="G492" s="47"/>
      <c r="H492" s="48" t="str">
        <f aca="false">IF(G492="","",IF(F492="Y",G492*2,G492))</f>
        <v/>
      </c>
      <c r="I492" s="27" t="str">
        <f aca="false">IF(H492="","",H492*$B$3)</f>
        <v/>
      </c>
      <c r="J492" s="16"/>
      <c r="K492" s="16"/>
      <c r="L492" s="16"/>
    </row>
    <row r="493" customFormat="false" ht="15" hidden="false" customHeight="false" outlineLevel="0" collapsed="false">
      <c r="A493" s="25"/>
      <c r="B493" s="16"/>
      <c r="C493" s="16"/>
      <c r="D493" s="16"/>
      <c r="E493" s="16"/>
      <c r="F493" s="16"/>
      <c r="G493" s="47"/>
      <c r="H493" s="48" t="str">
        <f aca="false">IF(G493="","",IF(F493="Y",G493*2,G493))</f>
        <v/>
      </c>
      <c r="I493" s="27" t="str">
        <f aca="false">IF(H493="","",H493*$B$3)</f>
        <v/>
      </c>
      <c r="J493" s="16"/>
      <c r="K493" s="16"/>
      <c r="L493" s="16"/>
    </row>
    <row r="494" customFormat="false" ht="15" hidden="false" customHeight="false" outlineLevel="0" collapsed="false">
      <c r="A494" s="25"/>
      <c r="B494" s="16"/>
      <c r="C494" s="16"/>
      <c r="D494" s="16"/>
      <c r="E494" s="16"/>
      <c r="F494" s="16"/>
      <c r="G494" s="47"/>
      <c r="H494" s="48" t="str">
        <f aca="false">IF(G494="","",IF(F494="Y",G494*2,G494))</f>
        <v/>
      </c>
      <c r="I494" s="27" t="str">
        <f aca="false">IF(H494="","",H494*$B$3)</f>
        <v/>
      </c>
      <c r="J494" s="16"/>
      <c r="K494" s="16"/>
      <c r="L494" s="16"/>
    </row>
    <row r="495" customFormat="false" ht="15" hidden="false" customHeight="false" outlineLevel="0" collapsed="false">
      <c r="A495" s="25"/>
      <c r="B495" s="16"/>
      <c r="C495" s="16"/>
      <c r="D495" s="16"/>
      <c r="E495" s="16"/>
      <c r="F495" s="16"/>
      <c r="G495" s="47"/>
      <c r="H495" s="48" t="str">
        <f aca="false">IF(G495="","",IF(F495="Y",G495*2,G495))</f>
        <v/>
      </c>
      <c r="I495" s="27" t="str">
        <f aca="false">IF(H495="","",H495*$B$3)</f>
        <v/>
      </c>
      <c r="J495" s="16"/>
      <c r="K495" s="16"/>
      <c r="L495" s="16"/>
    </row>
    <row r="496" customFormat="false" ht="15" hidden="false" customHeight="false" outlineLevel="0" collapsed="false">
      <c r="A496" s="25"/>
      <c r="B496" s="16"/>
      <c r="C496" s="16"/>
      <c r="D496" s="16"/>
      <c r="E496" s="16"/>
      <c r="F496" s="16"/>
      <c r="G496" s="47"/>
      <c r="H496" s="48" t="str">
        <f aca="false">IF(G496="","",IF(F496="Y",G496*2,G496))</f>
        <v/>
      </c>
      <c r="I496" s="27" t="str">
        <f aca="false">IF(H496="","",H496*$B$3)</f>
        <v/>
      </c>
      <c r="J496" s="16"/>
      <c r="K496" s="16"/>
      <c r="L496" s="16"/>
    </row>
    <row r="497" customFormat="false" ht="15" hidden="false" customHeight="false" outlineLevel="0" collapsed="false">
      <c r="A497" s="25"/>
      <c r="B497" s="16"/>
      <c r="C497" s="16"/>
      <c r="D497" s="16"/>
      <c r="E497" s="16"/>
      <c r="F497" s="16"/>
      <c r="G497" s="47"/>
      <c r="H497" s="48" t="str">
        <f aca="false">IF(G497="","",IF(F497="Y",G497*2,G497))</f>
        <v/>
      </c>
      <c r="I497" s="27" t="str">
        <f aca="false">IF(H497="","",H497*$B$3)</f>
        <v/>
      </c>
      <c r="J497" s="16"/>
      <c r="K497" s="16"/>
      <c r="L497" s="16"/>
    </row>
    <row r="498" customFormat="false" ht="15" hidden="false" customHeight="false" outlineLevel="0" collapsed="false">
      <c r="A498" s="25"/>
      <c r="B498" s="16"/>
      <c r="C498" s="16"/>
      <c r="D498" s="16"/>
      <c r="E498" s="16"/>
      <c r="F498" s="16"/>
      <c r="G498" s="47"/>
      <c r="H498" s="48" t="str">
        <f aca="false">IF(G498="","",IF(F498="Y",G498*2,G498))</f>
        <v/>
      </c>
      <c r="I498" s="27" t="str">
        <f aca="false">IF(H498="","",H498*$B$3)</f>
        <v/>
      </c>
      <c r="J498" s="16"/>
      <c r="K498" s="16"/>
      <c r="L498" s="16"/>
    </row>
    <row r="499" customFormat="false" ht="15" hidden="false" customHeight="false" outlineLevel="0" collapsed="false">
      <c r="A499" s="25"/>
      <c r="B499" s="16"/>
      <c r="C499" s="16"/>
      <c r="D499" s="16"/>
      <c r="E499" s="16"/>
      <c r="F499" s="16"/>
      <c r="G499" s="47"/>
      <c r="H499" s="48" t="str">
        <f aca="false">IF(G499="","",IF(F499="Y",G499*2,G499))</f>
        <v/>
      </c>
      <c r="I499" s="27" t="str">
        <f aca="false">IF(H499="","",H499*$B$3)</f>
        <v/>
      </c>
      <c r="J499" s="16"/>
      <c r="K499" s="16"/>
      <c r="L499" s="16"/>
    </row>
    <row r="500" customFormat="false" ht="15" hidden="false" customHeight="false" outlineLevel="0" collapsed="false">
      <c r="A500" s="25"/>
      <c r="B500" s="16"/>
      <c r="C500" s="16"/>
      <c r="D500" s="16"/>
      <c r="E500" s="16"/>
      <c r="F500" s="16"/>
      <c r="G500" s="47"/>
      <c r="H500" s="48" t="str">
        <f aca="false">IF(G500="","",IF(F500="Y",G500*2,G500))</f>
        <v/>
      </c>
      <c r="I500" s="27" t="str">
        <f aca="false">IF(H500="","",H500*$B$3)</f>
        <v/>
      </c>
      <c r="J500" s="16"/>
      <c r="K500" s="16"/>
      <c r="L500" s="16"/>
    </row>
    <row r="501" customFormat="false" ht="15" hidden="false" customHeight="false" outlineLevel="0" collapsed="false">
      <c r="A501" s="25"/>
      <c r="B501" s="16"/>
      <c r="C501" s="16"/>
      <c r="D501" s="16"/>
      <c r="E501" s="16"/>
      <c r="F501" s="16"/>
      <c r="G501" s="47"/>
      <c r="H501" s="48" t="str">
        <f aca="false">IF(G501="","",IF(F501="Y",G501*2,G501))</f>
        <v/>
      </c>
      <c r="I501" s="27" t="str">
        <f aca="false">IF(H501="","",H501*$B$3)</f>
        <v/>
      </c>
      <c r="J501" s="16"/>
      <c r="K501" s="16"/>
      <c r="L501" s="16"/>
    </row>
    <row r="502" customFormat="false" ht="15" hidden="false" customHeight="false" outlineLevel="0" collapsed="false">
      <c r="A502" s="25"/>
      <c r="B502" s="16"/>
      <c r="C502" s="16"/>
      <c r="D502" s="16"/>
      <c r="E502" s="16"/>
      <c r="F502" s="16"/>
      <c r="G502" s="47"/>
      <c r="H502" s="48" t="str">
        <f aca="false">IF(G502="","",IF(F502="Y",G502*2,G502))</f>
        <v/>
      </c>
      <c r="I502" s="27" t="str">
        <f aca="false">IF(H502="","",H502*$B$3)</f>
        <v/>
      </c>
      <c r="J502" s="16"/>
      <c r="K502" s="16"/>
      <c r="L502" s="16"/>
    </row>
    <row r="503" customFormat="false" ht="15" hidden="false" customHeight="false" outlineLevel="0" collapsed="false">
      <c r="A503" s="25"/>
      <c r="B503" s="16"/>
      <c r="C503" s="16"/>
      <c r="D503" s="16"/>
      <c r="E503" s="16"/>
      <c r="F503" s="16"/>
      <c r="G503" s="47"/>
      <c r="H503" s="48" t="str">
        <f aca="false">IF(G503="","",IF(F503="Y",G503*2,G503))</f>
        <v/>
      </c>
      <c r="I503" s="27" t="str">
        <f aca="false">IF(H503="","",H503*$B$3)</f>
        <v/>
      </c>
      <c r="J503" s="16"/>
      <c r="K503" s="16"/>
      <c r="L503" s="16"/>
    </row>
    <row r="504" customFormat="false" ht="15" hidden="false" customHeight="false" outlineLevel="0" collapsed="false">
      <c r="A504" s="25"/>
      <c r="B504" s="16"/>
      <c r="C504" s="16"/>
      <c r="D504" s="16"/>
      <c r="E504" s="16"/>
      <c r="F504" s="16"/>
      <c r="G504" s="47"/>
      <c r="H504" s="48" t="str">
        <f aca="false">IF(G504="","",IF(F504="Y",G504*2,G504))</f>
        <v/>
      </c>
      <c r="I504" s="27" t="str">
        <f aca="false">IF(H504="","",H504*$B$3)</f>
        <v/>
      </c>
      <c r="J504" s="16"/>
      <c r="K504" s="16"/>
      <c r="L504" s="16"/>
    </row>
    <row r="505" customFormat="false" ht="15" hidden="false" customHeight="false" outlineLevel="0" collapsed="false">
      <c r="A505" s="25"/>
      <c r="B505" s="16"/>
      <c r="C505" s="16"/>
      <c r="D505" s="16"/>
      <c r="E505" s="16"/>
      <c r="F505" s="16"/>
      <c r="G505" s="47"/>
      <c r="H505" s="48" t="str">
        <f aca="false">IF(G505="","",IF(F505="Y",G505*2,G505))</f>
        <v/>
      </c>
      <c r="I505" s="27" t="str">
        <f aca="false">IF(H505="","",H505*$B$3)</f>
        <v/>
      </c>
      <c r="J505" s="16"/>
      <c r="K505" s="16"/>
      <c r="L505" s="16"/>
    </row>
  </sheetData>
  <mergeCells count="1">
    <mergeCell ref="A2:L2"/>
  </mergeCells>
  <dataValidations count="2">
    <dataValidation allowBlank="true" error="Pick a value from the list." errorStyle="stop" errorTitle="Not on the list" operator="between" showDropDown="false" showErrorMessage="true" showInputMessage="false" sqref="F6:F505" type="list">
      <formula1>"Y,N"</formula1>
      <formula2>0</formula2>
    </dataValidation>
    <dataValidation allowBlank="true" error="Enter one-way miles as a number." errorStyle="stop" operator="between" showDropDown="false" showErrorMessage="true" showInputMessage="false" sqref="G6:G505" type="decimal">
      <formula1>0</formula1>
      <formula2>2000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940"/>
    <pageSetUpPr fitToPage="tru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70"/>
    <col collapsed="false" customWidth="true" hidden="false" outlineLevel="0" max="4" min="4" style="0" width="28"/>
    <col collapsed="false" customWidth="true" hidden="false" outlineLevel="0" max="5" min="5" style="0" width="26"/>
    <col collapsed="false" customWidth="true" hidden="false" outlineLevel="0" max="6" min="6" style="0" width="13"/>
    <col collapsed="false" customWidth="true" hidden="false" outlineLevel="0" max="7" min="7" style="0" width="12"/>
    <col collapsed="false" customWidth="true" hidden="false" outlineLevel="0" max="8" min="8" style="0" width="34"/>
    <col collapsed="false" customWidth="true" hidden="false" outlineLevel="0" max="9" min="9" style="0" width="30"/>
  </cols>
  <sheetData>
    <row r="1" customFormat="false" ht="24" hidden="false" customHeight="true" outlineLevel="0" collapsed="false">
      <c r="A1" s="1" t="s">
        <v>670</v>
      </c>
    </row>
    <row r="2" customFormat="false" ht="42" hidden="false" customHeight="true" outlineLevel="0" collapsed="false">
      <c r="A2" s="11" t="s">
        <v>671</v>
      </c>
      <c r="B2" s="11"/>
      <c r="C2" s="11"/>
      <c r="D2" s="11"/>
      <c r="E2" s="11"/>
      <c r="F2" s="11"/>
      <c r="G2" s="11"/>
      <c r="H2" s="11"/>
      <c r="I2" s="11"/>
    </row>
    <row r="3" customFormat="false" ht="15" hidden="false" customHeight="false" outlineLevel="0" collapsed="false">
      <c r="A3" s="9" t="s">
        <v>672</v>
      </c>
      <c r="B3" s="9" t="str">
        <f aca="false">COUNTIF(F5:F40,"Done")&amp;" of "&amp;(COUNTA(C5:C40)-COUNTIF(F5:F40,"N/A"))&amp;" items done"</f>
        <v>0 of 36 items done</v>
      </c>
    </row>
    <row r="4" customFormat="false" ht="30" hidden="false" customHeight="true" outlineLevel="0" collapsed="false">
      <c r="A4" s="12" t="s">
        <v>673</v>
      </c>
      <c r="B4" s="12" t="s">
        <v>674</v>
      </c>
      <c r="C4" s="12" t="s">
        <v>675</v>
      </c>
      <c r="D4" s="12" t="s">
        <v>676</v>
      </c>
      <c r="E4" s="12" t="s">
        <v>677</v>
      </c>
      <c r="F4" s="12" t="s">
        <v>678</v>
      </c>
      <c r="G4" s="12" t="s">
        <v>679</v>
      </c>
      <c r="H4" s="12" t="s">
        <v>680</v>
      </c>
      <c r="I4" s="12" t="s">
        <v>500</v>
      </c>
    </row>
    <row r="5" customFormat="false" ht="15" hidden="false" customHeight="false" outlineLevel="0" collapsed="false">
      <c r="A5" s="15" t="n">
        <v>1</v>
      </c>
      <c r="B5" s="15" t="s">
        <v>681</v>
      </c>
      <c r="C5" s="15" t="s">
        <v>682</v>
      </c>
      <c r="D5" s="15" t="s">
        <v>683</v>
      </c>
      <c r="E5" s="15" t="s">
        <v>684</v>
      </c>
      <c r="F5" s="49" t="s">
        <v>685</v>
      </c>
      <c r="G5" s="50"/>
      <c r="H5" s="49"/>
      <c r="I5" s="49"/>
    </row>
    <row r="6" customFormat="false" ht="15" hidden="false" customHeight="false" outlineLevel="0" collapsed="false">
      <c r="A6" s="15" t="n">
        <v>2</v>
      </c>
      <c r="B6" s="15" t="s">
        <v>681</v>
      </c>
      <c r="C6" s="15" t="s">
        <v>686</v>
      </c>
      <c r="D6" s="15" t="s">
        <v>687</v>
      </c>
      <c r="E6" s="15" t="s">
        <v>688</v>
      </c>
      <c r="F6" s="49" t="s">
        <v>685</v>
      </c>
      <c r="G6" s="50"/>
      <c r="H6" s="49"/>
      <c r="I6" s="49"/>
    </row>
    <row r="7" customFormat="false" ht="15" hidden="false" customHeight="false" outlineLevel="0" collapsed="false">
      <c r="A7" s="15" t="n">
        <v>3</v>
      </c>
      <c r="B7" s="15" t="s">
        <v>681</v>
      </c>
      <c r="C7" s="15" t="s">
        <v>689</v>
      </c>
      <c r="D7" s="15" t="s">
        <v>690</v>
      </c>
      <c r="E7" s="15" t="s">
        <v>691</v>
      </c>
      <c r="F7" s="49" t="s">
        <v>685</v>
      </c>
      <c r="G7" s="50"/>
      <c r="H7" s="49"/>
      <c r="I7" s="49"/>
    </row>
    <row r="8" customFormat="false" ht="23.85" hidden="false" customHeight="false" outlineLevel="0" collapsed="false">
      <c r="A8" s="15" t="n">
        <v>4</v>
      </c>
      <c r="B8" s="15" t="s">
        <v>681</v>
      </c>
      <c r="C8" s="15" t="s">
        <v>692</v>
      </c>
      <c r="D8" s="15" t="s">
        <v>693</v>
      </c>
      <c r="E8" s="15" t="s">
        <v>694</v>
      </c>
      <c r="F8" s="49" t="s">
        <v>685</v>
      </c>
      <c r="G8" s="50"/>
      <c r="H8" s="49"/>
      <c r="I8" s="49"/>
    </row>
    <row r="9" customFormat="false" ht="15" hidden="false" customHeight="false" outlineLevel="0" collapsed="false">
      <c r="A9" s="15" t="n">
        <v>5</v>
      </c>
      <c r="B9" s="15" t="s">
        <v>681</v>
      </c>
      <c r="C9" s="15" t="s">
        <v>695</v>
      </c>
      <c r="D9" s="15" t="s">
        <v>696</v>
      </c>
      <c r="E9" s="15" t="s">
        <v>697</v>
      </c>
      <c r="F9" s="49" t="s">
        <v>685</v>
      </c>
      <c r="G9" s="50"/>
      <c r="H9" s="49"/>
      <c r="I9" s="49"/>
    </row>
    <row r="10" customFormat="false" ht="15" hidden="false" customHeight="false" outlineLevel="0" collapsed="false">
      <c r="A10" s="15" t="n">
        <v>6</v>
      </c>
      <c r="B10" s="15" t="s">
        <v>681</v>
      </c>
      <c r="C10" s="15" t="s">
        <v>698</v>
      </c>
      <c r="D10" s="15" t="s">
        <v>699</v>
      </c>
      <c r="E10" s="15" t="s">
        <v>700</v>
      </c>
      <c r="F10" s="49" t="s">
        <v>685</v>
      </c>
      <c r="G10" s="50"/>
      <c r="H10" s="49"/>
      <c r="I10" s="49"/>
    </row>
    <row r="11" customFormat="false" ht="15" hidden="false" customHeight="false" outlineLevel="0" collapsed="false">
      <c r="A11" s="15" t="n">
        <v>7</v>
      </c>
      <c r="B11" s="15" t="s">
        <v>701</v>
      </c>
      <c r="C11" s="15" t="s">
        <v>702</v>
      </c>
      <c r="D11" s="15" t="s">
        <v>66</v>
      </c>
      <c r="E11" s="15" t="s">
        <v>703</v>
      </c>
      <c r="F11" s="49" t="s">
        <v>685</v>
      </c>
      <c r="G11" s="50"/>
      <c r="H11" s="49"/>
      <c r="I11" s="49"/>
    </row>
    <row r="12" customFormat="false" ht="15" hidden="false" customHeight="false" outlineLevel="0" collapsed="false">
      <c r="A12" s="15" t="n">
        <v>8</v>
      </c>
      <c r="B12" s="15" t="s">
        <v>701</v>
      </c>
      <c r="C12" s="15" t="s">
        <v>704</v>
      </c>
      <c r="D12" s="15" t="s">
        <v>705</v>
      </c>
      <c r="E12" s="15" t="s">
        <v>703</v>
      </c>
      <c r="F12" s="49" t="s">
        <v>685</v>
      </c>
      <c r="G12" s="50"/>
      <c r="H12" s="49"/>
      <c r="I12" s="49"/>
    </row>
    <row r="13" customFormat="false" ht="35.05" hidden="false" customHeight="false" outlineLevel="0" collapsed="false">
      <c r="A13" s="15" t="n">
        <v>9</v>
      </c>
      <c r="B13" s="15" t="s">
        <v>701</v>
      </c>
      <c r="C13" s="15" t="s">
        <v>706</v>
      </c>
      <c r="D13" s="15" t="s">
        <v>707</v>
      </c>
      <c r="E13" s="15" t="s">
        <v>703</v>
      </c>
      <c r="F13" s="49" t="s">
        <v>685</v>
      </c>
      <c r="G13" s="50"/>
      <c r="H13" s="49"/>
      <c r="I13" s="49"/>
    </row>
    <row r="14" customFormat="false" ht="15" hidden="false" customHeight="false" outlineLevel="0" collapsed="false">
      <c r="A14" s="15" t="n">
        <v>10</v>
      </c>
      <c r="B14" s="15" t="s">
        <v>701</v>
      </c>
      <c r="C14" s="15" t="s">
        <v>708</v>
      </c>
      <c r="D14" s="15" t="s">
        <v>478</v>
      </c>
      <c r="E14" s="15" t="s">
        <v>703</v>
      </c>
      <c r="F14" s="49" t="s">
        <v>685</v>
      </c>
      <c r="G14" s="50"/>
      <c r="H14" s="49"/>
      <c r="I14" s="49"/>
    </row>
    <row r="15" customFormat="false" ht="15" hidden="false" customHeight="false" outlineLevel="0" collapsed="false">
      <c r="A15" s="15" t="n">
        <v>11</v>
      </c>
      <c r="B15" s="15" t="s">
        <v>701</v>
      </c>
      <c r="C15" s="15" t="s">
        <v>709</v>
      </c>
      <c r="D15" s="15" t="s">
        <v>696</v>
      </c>
      <c r="E15" s="15" t="s">
        <v>703</v>
      </c>
      <c r="F15" s="49" t="s">
        <v>685</v>
      </c>
      <c r="G15" s="50"/>
      <c r="H15" s="49"/>
      <c r="I15" s="49"/>
    </row>
    <row r="16" customFormat="false" ht="15" hidden="false" customHeight="false" outlineLevel="0" collapsed="false">
      <c r="A16" s="15" t="n">
        <v>12</v>
      </c>
      <c r="B16" s="15" t="s">
        <v>701</v>
      </c>
      <c r="C16" s="15" t="s">
        <v>710</v>
      </c>
      <c r="D16" s="15" t="s">
        <v>711</v>
      </c>
      <c r="E16" s="15" t="s">
        <v>703</v>
      </c>
      <c r="F16" s="49" t="s">
        <v>685</v>
      </c>
      <c r="G16" s="50"/>
      <c r="H16" s="49"/>
      <c r="I16" s="49"/>
    </row>
    <row r="17" customFormat="false" ht="15" hidden="false" customHeight="false" outlineLevel="0" collapsed="false">
      <c r="A17" s="15" t="n">
        <v>13</v>
      </c>
      <c r="B17" s="15" t="s">
        <v>701</v>
      </c>
      <c r="C17" s="15" t="s">
        <v>712</v>
      </c>
      <c r="D17" s="15" t="s">
        <v>713</v>
      </c>
      <c r="E17" s="15" t="s">
        <v>714</v>
      </c>
      <c r="F17" s="49" t="s">
        <v>685</v>
      </c>
      <c r="G17" s="50"/>
      <c r="H17" s="49"/>
      <c r="I17" s="49"/>
    </row>
    <row r="18" customFormat="false" ht="23.85" hidden="false" customHeight="false" outlineLevel="0" collapsed="false">
      <c r="A18" s="15" t="n">
        <v>14</v>
      </c>
      <c r="B18" s="15" t="s">
        <v>715</v>
      </c>
      <c r="C18" s="15" t="s">
        <v>716</v>
      </c>
      <c r="D18" s="15" t="s">
        <v>696</v>
      </c>
      <c r="E18" s="15" t="s">
        <v>717</v>
      </c>
      <c r="F18" s="49" t="s">
        <v>685</v>
      </c>
      <c r="G18" s="50"/>
      <c r="H18" s="49"/>
      <c r="I18" s="49"/>
    </row>
    <row r="19" customFormat="false" ht="15" hidden="false" customHeight="false" outlineLevel="0" collapsed="false">
      <c r="A19" s="15" t="n">
        <v>15</v>
      </c>
      <c r="B19" s="15" t="s">
        <v>715</v>
      </c>
      <c r="C19" s="15" t="s">
        <v>718</v>
      </c>
      <c r="D19" s="15" t="s">
        <v>719</v>
      </c>
      <c r="E19" s="15" t="s">
        <v>720</v>
      </c>
      <c r="F19" s="49" t="s">
        <v>685</v>
      </c>
      <c r="G19" s="50"/>
      <c r="H19" s="49"/>
      <c r="I19" s="49"/>
    </row>
    <row r="20" customFormat="false" ht="15" hidden="false" customHeight="false" outlineLevel="0" collapsed="false">
      <c r="A20" s="15" t="n">
        <v>16</v>
      </c>
      <c r="B20" s="15" t="s">
        <v>715</v>
      </c>
      <c r="C20" s="15" t="s">
        <v>721</v>
      </c>
      <c r="D20" s="15" t="s">
        <v>722</v>
      </c>
      <c r="E20" s="15" t="s">
        <v>723</v>
      </c>
      <c r="F20" s="49" t="s">
        <v>685</v>
      </c>
      <c r="G20" s="50"/>
      <c r="H20" s="49"/>
      <c r="I20" s="49"/>
    </row>
    <row r="21" customFormat="false" ht="15" hidden="false" customHeight="false" outlineLevel="0" collapsed="false">
      <c r="A21" s="15" t="n">
        <v>17</v>
      </c>
      <c r="B21" s="15" t="s">
        <v>715</v>
      </c>
      <c r="C21" s="15" t="s">
        <v>724</v>
      </c>
      <c r="D21" s="15" t="s">
        <v>713</v>
      </c>
      <c r="E21" s="15" t="s">
        <v>725</v>
      </c>
      <c r="F21" s="49" t="s">
        <v>685</v>
      </c>
      <c r="G21" s="50"/>
      <c r="H21" s="49"/>
      <c r="I21" s="49"/>
    </row>
    <row r="22" customFormat="false" ht="15" hidden="false" customHeight="false" outlineLevel="0" collapsed="false">
      <c r="A22" s="15" t="n">
        <v>18</v>
      </c>
      <c r="B22" s="15" t="s">
        <v>715</v>
      </c>
      <c r="C22" s="15" t="s">
        <v>726</v>
      </c>
      <c r="D22" s="15" t="s">
        <v>727</v>
      </c>
      <c r="E22" s="15" t="s">
        <v>728</v>
      </c>
      <c r="F22" s="49" t="s">
        <v>685</v>
      </c>
      <c r="G22" s="50"/>
      <c r="H22" s="49"/>
      <c r="I22" s="49"/>
    </row>
    <row r="23" customFormat="false" ht="15" hidden="false" customHeight="false" outlineLevel="0" collapsed="false">
      <c r="A23" s="15" t="n">
        <v>19</v>
      </c>
      <c r="B23" s="15" t="s">
        <v>729</v>
      </c>
      <c r="C23" s="15" t="s">
        <v>730</v>
      </c>
      <c r="D23" s="15" t="s">
        <v>731</v>
      </c>
      <c r="E23" s="15" t="s">
        <v>732</v>
      </c>
      <c r="F23" s="49" t="s">
        <v>685</v>
      </c>
      <c r="G23" s="50"/>
      <c r="H23" s="49"/>
      <c r="I23" s="49"/>
    </row>
    <row r="24" customFormat="false" ht="15" hidden="false" customHeight="false" outlineLevel="0" collapsed="false">
      <c r="A24" s="15" t="n">
        <v>20</v>
      </c>
      <c r="B24" s="15" t="s">
        <v>729</v>
      </c>
      <c r="C24" s="15" t="s">
        <v>733</v>
      </c>
      <c r="D24" s="15" t="s">
        <v>696</v>
      </c>
      <c r="E24" s="15" t="s">
        <v>732</v>
      </c>
      <c r="F24" s="49" t="s">
        <v>685</v>
      </c>
      <c r="G24" s="50"/>
      <c r="H24" s="49"/>
      <c r="I24" s="49"/>
    </row>
    <row r="25" customFormat="false" ht="23.85" hidden="false" customHeight="false" outlineLevel="0" collapsed="false">
      <c r="A25" s="15" t="n">
        <v>21</v>
      </c>
      <c r="B25" s="15" t="s">
        <v>729</v>
      </c>
      <c r="C25" s="15" t="s">
        <v>734</v>
      </c>
      <c r="D25" s="15" t="s">
        <v>735</v>
      </c>
      <c r="E25" s="15" t="s">
        <v>736</v>
      </c>
      <c r="F25" s="49" t="s">
        <v>685</v>
      </c>
      <c r="G25" s="50"/>
      <c r="H25" s="49"/>
      <c r="I25" s="49"/>
    </row>
    <row r="26" customFormat="false" ht="15" hidden="false" customHeight="false" outlineLevel="0" collapsed="false">
      <c r="A26" s="15" t="n">
        <v>22</v>
      </c>
      <c r="B26" s="15" t="s">
        <v>729</v>
      </c>
      <c r="C26" s="15" t="s">
        <v>737</v>
      </c>
      <c r="D26" s="15" t="s">
        <v>735</v>
      </c>
      <c r="E26" s="15" t="s">
        <v>738</v>
      </c>
      <c r="F26" s="49" t="s">
        <v>685</v>
      </c>
      <c r="G26" s="50"/>
      <c r="H26" s="49"/>
      <c r="I26" s="49"/>
    </row>
    <row r="27" customFormat="false" ht="15" hidden="false" customHeight="false" outlineLevel="0" collapsed="false">
      <c r="A27" s="15" t="n">
        <v>23</v>
      </c>
      <c r="B27" s="15" t="s">
        <v>729</v>
      </c>
      <c r="C27" s="15" t="s">
        <v>739</v>
      </c>
      <c r="D27" s="15" t="s">
        <v>66</v>
      </c>
      <c r="E27" s="15" t="s">
        <v>738</v>
      </c>
      <c r="F27" s="49" t="s">
        <v>685</v>
      </c>
      <c r="G27" s="50"/>
      <c r="H27" s="49"/>
      <c r="I27" s="49"/>
    </row>
    <row r="28" customFormat="false" ht="15" hidden="false" customHeight="false" outlineLevel="0" collapsed="false">
      <c r="A28" s="15" t="n">
        <v>24</v>
      </c>
      <c r="B28" s="15" t="s">
        <v>729</v>
      </c>
      <c r="C28" s="15" t="s">
        <v>740</v>
      </c>
      <c r="D28" s="15" t="s">
        <v>707</v>
      </c>
      <c r="E28" s="15" t="s">
        <v>732</v>
      </c>
      <c r="F28" s="49" t="s">
        <v>685</v>
      </c>
      <c r="G28" s="50"/>
      <c r="H28" s="49"/>
      <c r="I28" s="49"/>
    </row>
    <row r="29" customFormat="false" ht="15" hidden="false" customHeight="false" outlineLevel="0" collapsed="false">
      <c r="A29" s="15" t="n">
        <v>25</v>
      </c>
      <c r="B29" s="15" t="s">
        <v>729</v>
      </c>
      <c r="C29" s="15" t="s">
        <v>741</v>
      </c>
      <c r="D29" s="15" t="s">
        <v>713</v>
      </c>
      <c r="E29" s="15" t="s">
        <v>732</v>
      </c>
      <c r="F29" s="49" t="s">
        <v>685</v>
      </c>
      <c r="G29" s="50"/>
      <c r="H29" s="49"/>
      <c r="I29" s="49"/>
    </row>
    <row r="30" customFormat="false" ht="15" hidden="false" customHeight="false" outlineLevel="0" collapsed="false">
      <c r="A30" s="15" t="n">
        <v>26</v>
      </c>
      <c r="B30" s="15" t="s">
        <v>729</v>
      </c>
      <c r="C30" s="15" t="s">
        <v>742</v>
      </c>
      <c r="D30" s="15" t="s">
        <v>743</v>
      </c>
      <c r="E30" s="15" t="s">
        <v>732</v>
      </c>
      <c r="F30" s="49" t="s">
        <v>685</v>
      </c>
      <c r="G30" s="50"/>
      <c r="H30" s="49"/>
      <c r="I30" s="49"/>
    </row>
    <row r="31" customFormat="false" ht="15" hidden="false" customHeight="false" outlineLevel="0" collapsed="false">
      <c r="A31" s="15" t="n">
        <v>27</v>
      </c>
      <c r="B31" s="15" t="s">
        <v>729</v>
      </c>
      <c r="C31" s="15" t="s">
        <v>744</v>
      </c>
      <c r="D31" s="15" t="s">
        <v>745</v>
      </c>
      <c r="E31" s="15" t="s">
        <v>746</v>
      </c>
      <c r="F31" s="49" t="s">
        <v>685</v>
      </c>
      <c r="G31" s="50"/>
      <c r="H31" s="49"/>
      <c r="I31" s="49"/>
    </row>
    <row r="32" customFormat="false" ht="23.85" hidden="false" customHeight="false" outlineLevel="0" collapsed="false">
      <c r="A32" s="15" t="n">
        <v>28</v>
      </c>
      <c r="B32" s="15" t="s">
        <v>729</v>
      </c>
      <c r="C32" s="15" t="s">
        <v>747</v>
      </c>
      <c r="D32" s="15" t="s">
        <v>748</v>
      </c>
      <c r="E32" s="15" t="s">
        <v>732</v>
      </c>
      <c r="F32" s="49" t="s">
        <v>685</v>
      </c>
      <c r="G32" s="50"/>
      <c r="H32" s="49"/>
      <c r="I32" s="49"/>
    </row>
    <row r="33" customFormat="false" ht="15" hidden="false" customHeight="false" outlineLevel="0" collapsed="false">
      <c r="A33" s="15" t="n">
        <v>29</v>
      </c>
      <c r="B33" s="15" t="s">
        <v>729</v>
      </c>
      <c r="C33" s="15" t="s">
        <v>749</v>
      </c>
      <c r="D33" s="15" t="s">
        <v>750</v>
      </c>
      <c r="E33" s="15" t="s">
        <v>746</v>
      </c>
      <c r="F33" s="49" t="s">
        <v>685</v>
      </c>
      <c r="G33" s="50"/>
      <c r="H33" s="49"/>
      <c r="I33" s="49"/>
    </row>
    <row r="34" customFormat="false" ht="15" hidden="false" customHeight="false" outlineLevel="0" collapsed="false">
      <c r="A34" s="15" t="n">
        <v>30</v>
      </c>
      <c r="B34" s="15" t="s">
        <v>729</v>
      </c>
      <c r="C34" s="15" t="s">
        <v>751</v>
      </c>
      <c r="D34" s="15" t="s">
        <v>711</v>
      </c>
      <c r="E34" s="15" t="s">
        <v>732</v>
      </c>
      <c r="F34" s="49" t="s">
        <v>685</v>
      </c>
      <c r="G34" s="50"/>
      <c r="H34" s="49"/>
      <c r="I34" s="49"/>
    </row>
    <row r="35" customFormat="false" ht="15" hidden="false" customHeight="false" outlineLevel="0" collapsed="false">
      <c r="A35" s="15" t="n">
        <v>31</v>
      </c>
      <c r="B35" s="15" t="s">
        <v>729</v>
      </c>
      <c r="C35" s="15" t="s">
        <v>752</v>
      </c>
      <c r="D35" s="15" t="s">
        <v>753</v>
      </c>
      <c r="E35" s="15" t="s">
        <v>732</v>
      </c>
      <c r="F35" s="49" t="s">
        <v>685</v>
      </c>
      <c r="G35" s="50"/>
      <c r="H35" s="49"/>
      <c r="I35" s="49"/>
    </row>
    <row r="36" customFormat="false" ht="15" hidden="false" customHeight="false" outlineLevel="0" collapsed="false">
      <c r="A36" s="15" t="n">
        <v>32</v>
      </c>
      <c r="B36" s="15" t="s">
        <v>729</v>
      </c>
      <c r="C36" s="15" t="s">
        <v>754</v>
      </c>
      <c r="D36" s="15" t="s">
        <v>755</v>
      </c>
      <c r="E36" s="15" t="s">
        <v>732</v>
      </c>
      <c r="F36" s="49" t="s">
        <v>685</v>
      </c>
      <c r="G36" s="50"/>
      <c r="H36" s="49"/>
      <c r="I36" s="49"/>
    </row>
    <row r="37" customFormat="false" ht="15" hidden="false" customHeight="false" outlineLevel="0" collapsed="false">
      <c r="A37" s="15" t="n">
        <v>33</v>
      </c>
      <c r="B37" s="15" t="s">
        <v>729</v>
      </c>
      <c r="C37" s="15" t="s">
        <v>756</v>
      </c>
      <c r="D37" s="15" t="s">
        <v>696</v>
      </c>
      <c r="E37" s="15" t="s">
        <v>732</v>
      </c>
      <c r="F37" s="49" t="s">
        <v>685</v>
      </c>
      <c r="G37" s="50"/>
      <c r="H37" s="49"/>
      <c r="I37" s="49"/>
    </row>
    <row r="38" customFormat="false" ht="15" hidden="false" customHeight="false" outlineLevel="0" collapsed="false">
      <c r="A38" s="15" t="n">
        <v>34</v>
      </c>
      <c r="B38" s="15" t="s">
        <v>729</v>
      </c>
      <c r="C38" s="15" t="s">
        <v>757</v>
      </c>
      <c r="D38" s="15" t="s">
        <v>696</v>
      </c>
      <c r="E38" s="15" t="s">
        <v>732</v>
      </c>
      <c r="F38" s="49" t="s">
        <v>685</v>
      </c>
      <c r="G38" s="50"/>
      <c r="H38" s="49"/>
      <c r="I38" s="49"/>
    </row>
    <row r="39" customFormat="false" ht="15" hidden="false" customHeight="false" outlineLevel="0" collapsed="false">
      <c r="A39" s="15" t="n">
        <v>35</v>
      </c>
      <c r="B39" s="15" t="s">
        <v>729</v>
      </c>
      <c r="C39" s="15" t="s">
        <v>758</v>
      </c>
      <c r="D39" s="15" t="s">
        <v>759</v>
      </c>
      <c r="E39" s="15" t="s">
        <v>732</v>
      </c>
      <c r="F39" s="49" t="s">
        <v>685</v>
      </c>
      <c r="G39" s="50"/>
      <c r="H39" s="49"/>
      <c r="I39" s="49"/>
    </row>
    <row r="40" customFormat="false" ht="15" hidden="false" customHeight="false" outlineLevel="0" collapsed="false">
      <c r="A40" s="15" t="n">
        <v>36</v>
      </c>
      <c r="B40" s="15" t="s">
        <v>760</v>
      </c>
      <c r="C40" s="15" t="s">
        <v>761</v>
      </c>
      <c r="D40" s="15" t="s">
        <v>687</v>
      </c>
      <c r="E40" s="15" t="s">
        <v>762</v>
      </c>
      <c r="F40" s="49" t="s">
        <v>685</v>
      </c>
      <c r="G40" s="50"/>
      <c r="H40" s="49"/>
      <c r="I40" s="49"/>
    </row>
  </sheetData>
  <autoFilter ref="A4:I40"/>
  <mergeCells count="1">
    <mergeCell ref="A2:I2"/>
  </mergeCells>
  <conditionalFormatting sqref="F5:F40">
    <cfRule type="expression" priority="2" aboveAverage="0" equalAverage="0" bottom="0" percent="0" rank="0" text="" dxfId="9">
      <formula>$F5="Done"</formula>
    </cfRule>
    <cfRule type="expression" priority="3" aboveAverage="0" equalAverage="0" bottom="0" percent="0" rank="0" text="" dxfId="11">
      <formula>$F5="In progress"</formula>
    </cfRule>
    <cfRule type="expression" priority="4" aboveAverage="0" equalAverage="0" bottom="0" percent="0" rank="0" text="" dxfId="12">
      <formula>$F5="Not started"</formula>
    </cfRule>
  </conditionalFormatting>
  <dataValidations count="1">
    <dataValidation allowBlank="true" error="Pick a value from the list." errorStyle="stop" errorTitle="Not on the list" operator="between" showDropDown="false" showErrorMessage="true" showInputMessage="false" sqref="F5:F40" type="list">
      <formula1>"Not started,In progress,Done,N/A"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2026-09-28T00:16:02Z</dcterms:created>
  <dc:creator>AlphaPlay LLC d/b/a Play Before Pixels</dc:creator>
  <dc:description/>
  <dc:language>en-US</dc:language>
  <cp:lastModifiedBy/>
  <dcterms:modified xsi:type="dcterms:W3CDTF">2026-09-28T00:16:03Z</dcterms:modified>
  <cp:revision>0</cp:revision>
  <dc:subject/>
  <dc:title>Play Before Pixels Bookkeeping 2026</dc:title>
</cp:coreProperties>
</file>

<file path=docProps/custom.xml><?xml version="1.0" encoding="utf-8"?>
<Properties xmlns="http://schemas.openxmlformats.org/officeDocument/2006/custom-properties" xmlns:vt="http://schemas.openxmlformats.org/officeDocument/2006/docPropsVTypes"/>
</file>