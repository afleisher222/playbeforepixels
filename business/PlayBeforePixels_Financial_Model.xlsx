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Assumptions" sheetId="2" state="visible" r:id="rId2"/>
    <sheet name="Unit Economics" sheetId="3" state="visible" r:id="rId3"/>
    <sheet name="Startup Costs" sheetId="4" state="visible" r:id="rId4"/>
    <sheet name="Monthly Operating Costs" sheetId="5" state="visible" r:id="rId5"/>
    <sheet name="36-Month Forecast" sheetId="6" state="visible" r:id="rId6"/>
    <sheet name="Cash Flow" sheetId="7" state="visible" r:id="rId7"/>
    <sheet name="Break-even" sheetId="8" state="visible" r:id="rId8"/>
    <sheet name="Retail Readiness Co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"/>
    <numFmt numFmtId="165" formatCode="0.0%;(0.0%);&quot;-&quot;"/>
    <numFmt numFmtId="166" formatCode="$#,##0;($#,##0);&quot;-&quot;"/>
    <numFmt numFmtId="167" formatCode="$#,##0.00;($#,##0.00);&quot;-&quot;"/>
    <numFmt numFmtId="168" formatCode="#,##0;(#,##0);&quot;-&quot;"/>
    <numFmt numFmtId="169" formatCode="0.00%;(0.00%);&quot;-&quot;"/>
    <numFmt numFmtId="170" formatCode="#,##0.0;(#,##0.0);&quot;-&quot;"/>
  </numFmts>
  <fonts count="14">
    <font>
      <name val="Calibri"/>
      <family val="2"/>
      <color theme="1"/>
      <sz val="11"/>
      <scheme val="minor"/>
    </font>
    <font>
      <name val="Arial"/>
      <b val="1"/>
      <color rgb="001D2940"/>
      <sz val="14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b val="1"/>
      <color rgb="00000000"/>
    </font>
    <font>
      <name val="Arial"/>
      <b val="1"/>
      <color rgb="00555555"/>
    </font>
    <font>
      <name val="Arial"/>
      <b val="1"/>
      <color theme="1"/>
    </font>
    <font>
      <name val="Arial"/>
      <b val="1"/>
      <color rgb="00008000"/>
    </font>
    <font>
      <name val="Arial"/>
      <b val="1"/>
      <color rgb="001D2940"/>
      <sz val="16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D2940"/>
      </patternFill>
    </fill>
    <fill>
      <patternFill patternType="solid">
        <fgColor rgb="00E3E7EF"/>
      </patternFill>
    </fill>
    <fill>
      <patternFill patternType="solid">
        <fgColor rgb="00FFFF00"/>
      </patternFill>
    </fill>
    <fill>
      <patternFill patternType="solid">
        <fgColor rgb="00F3F4F7"/>
      </patternFill>
    </fill>
  </fills>
  <borders count="2">
    <border>
      <left/>
      <right/>
      <top/>
      <bottom/>
      <diagonal/>
    </border>
    <border>
      <top style="thin">
        <color rgb="00B7BDC9"/>
      </top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166" fontId="7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66" fontId="13" fillId="0" borderId="0" pivotButton="0" quotePrefix="0" xfId="0"/>
    <xf numFmtId="17" fontId="13" fillId="0" borderId="0" pivotButton="0" quotePrefix="0" xfId="0"/>
    <xf numFmtId="17" fontId="7" fillId="0" borderId="0" pivotButton="0" quotePrefix="0" xfId="0"/>
    <xf numFmtId="170" fontId="7" fillId="0" borderId="0" pivotButton="0" quotePrefix="0" xfId="0"/>
    <xf numFmtId="168" fontId="7" fillId="0" borderId="0" pivotButton="0" quotePrefix="0" xfId="0"/>
    <xf numFmtId="167" fontId="7" fillId="0" borderId="0" pivotButton="0" quotePrefix="0" xfId="0"/>
    <xf numFmtId="165" fontId="7" fillId="0" borderId="0" pivotButton="0" quotePrefix="0" xfId="0"/>
    <xf numFmtId="1" fontId="7" fillId="0" borderId="0" pivotButton="0" quotePrefix="0" xfId="0"/>
    <xf numFmtId="166" fontId="5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vertical="top" wrapText="1"/>
    </xf>
    <xf numFmtId="17" fontId="6" fillId="0" borderId="0" pivotButton="0" quotePrefix="0" xfId="0"/>
    <xf numFmtId="1" fontId="6" fillId="4" borderId="0" pivotButton="0" quotePrefix="0" xfId="0"/>
    <xf numFmtId="2" fontId="6" fillId="4" borderId="0" pivotButton="0" quotePrefix="0" xfId="0"/>
    <xf numFmtId="1" fontId="6" fillId="0" borderId="0" pivotButton="0" quotePrefix="0" xfId="0"/>
    <xf numFmtId="165" fontId="6" fillId="0" borderId="0" pivotButton="0" quotePrefix="0" xfId="0"/>
    <xf numFmtId="166" fontId="6" fillId="0" borderId="0" pivotButton="0" quotePrefix="0" xfId="0"/>
    <xf numFmtId="166" fontId="6" fillId="4" borderId="0" pivotButton="0" quotePrefix="0" xfId="0"/>
    <xf numFmtId="167" fontId="6" fillId="0" borderId="0" pivotButton="0" quotePrefix="0" xfId="0"/>
    <xf numFmtId="165" fontId="6" fillId="4" borderId="0" pivotButton="0" quotePrefix="0" xfId="0"/>
    <xf numFmtId="168" fontId="6" fillId="0" borderId="0" pivotButton="0" quotePrefix="0" xfId="0"/>
    <xf numFmtId="167" fontId="5" fillId="0" borderId="0" pivotButton="0" quotePrefix="0" xfId="0"/>
    <xf numFmtId="2" fontId="6" fillId="0" borderId="0" pivotButton="0" quotePrefix="0" xfId="0"/>
    <xf numFmtId="0" fontId="0" fillId="5" borderId="0" pivotButton="0" quotePrefix="0" xfId="0"/>
    <xf numFmtId="0" fontId="4" fillId="5" borderId="0" pivotButton="0" quotePrefix="0" xfId="0"/>
    <xf numFmtId="169" fontId="6" fillId="0" borderId="0" pivotButton="0" quotePrefix="0" xfId="0"/>
    <xf numFmtId="169" fontId="6" fillId="4" borderId="0" pivotButton="0" quotePrefix="0" xfId="0"/>
    <xf numFmtId="168" fontId="6" fillId="4" borderId="0" pivotButton="0" quotePrefix="0" xfId="0"/>
    <xf numFmtId="165" fontId="5" fillId="0" borderId="0" pivotButton="0" quotePrefix="0" xfId="0"/>
    <xf numFmtId="0" fontId="4" fillId="5" borderId="1" pivotButton="0" quotePrefix="0" xfId="0"/>
    <xf numFmtId="0" fontId="0" fillId="5" borderId="1" pivotButton="0" quotePrefix="0" xfId="0"/>
    <xf numFmtId="166" fontId="4" fillId="5" borderId="1" pivotButton="0" quotePrefix="0" xfId="0"/>
    <xf numFmtId="1" fontId="5" fillId="0" borderId="0" pivotButton="0" quotePrefix="0" xfId="0"/>
    <xf numFmtId="0" fontId="3" fillId="2" borderId="0" pivotButton="0" quotePrefix="0" xfId="0"/>
    <xf numFmtId="17" fontId="3" fillId="2" borderId="0" pivotButton="0" quotePrefix="0" xfId="0"/>
    <xf numFmtId="0" fontId="6" fillId="0" borderId="0" pivotButton="0" quotePrefix="0" xfId="0"/>
    <xf numFmtId="166" fontId="5" fillId="5" borderId="0" pivotButton="0" quotePrefix="0" xfId="0"/>
    <xf numFmtId="166" fontId="7" fillId="5" borderId="0" pivotButton="0" quotePrefix="0" xfId="0"/>
    <xf numFmtId="166" fontId="4" fillId="5" borderId="0" pivotButton="0" quotePrefix="0" xfId="0"/>
    <xf numFmtId="17" fontId="3" fillId="2" borderId="0" applyAlignment="1" pivotButton="0" quotePrefix="0" xfId="0">
      <alignment horizontal="center" vertical="center" wrapText="1"/>
    </xf>
    <xf numFmtId="2" fontId="7" fillId="0" borderId="0" pivotButton="0" quotePrefix="0" xfId="0"/>
    <xf numFmtId="1" fontId="7" fillId="5" borderId="0" pivotButton="0" quotePrefix="0" xfId="0"/>
    <xf numFmtId="168" fontId="7" fillId="5" borderId="0" pivotButton="0" quotePrefix="0" xfId="0"/>
    <xf numFmtId="1" fontId="5" fillId="5" borderId="0" pivotButton="0" quotePrefix="0" xfId="0"/>
    <xf numFmtId="2" fontId="5" fillId="0" borderId="0" pivotButton="0" quotePrefix="0" xfId="0"/>
    <xf numFmtId="170" fontId="5" fillId="0" borderId="0" pivotButton="0" quotePrefix="0" xfId="0"/>
    <xf numFmtId="168" fontId="5" fillId="5" borderId="0" pivotButton="0" quotePrefix="0" xfId="0"/>
    <xf numFmtId="168" fontId="5" fillId="0" borderId="0" pivotButton="0" quotePrefix="0" xfId="0"/>
    <xf numFmtId="169" fontId="7" fillId="0" borderId="0" pivotButton="0" quotePrefix="0" xfId="0"/>
    <xf numFmtId="0" fontId="8" fillId="0" borderId="1" pivotButton="0" quotePrefix="0" xfId="0"/>
    <xf numFmtId="0" fontId="9" fillId="0" borderId="1" pivotButton="0" quotePrefix="0" xfId="0"/>
    <xf numFmtId="166" fontId="8" fillId="0" borderId="1" pivotButton="0" quotePrefix="0" xfId="0"/>
    <xf numFmtId="166" fontId="8" fillId="5" borderId="1" pivotButton="0" quotePrefix="0" xfId="0"/>
    <xf numFmtId="0" fontId="10" fillId="0" borderId="1" pivotButton="0" quotePrefix="0" xfId="0"/>
    <xf numFmtId="166" fontId="11" fillId="0" borderId="1" pivotButton="0" quotePrefix="0" xfId="0"/>
    <xf numFmtId="0" fontId="7" fillId="0" borderId="0" pivotButton="0" quotePrefix="0" xfId="0"/>
    <xf numFmtId="166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gross sales by scenario</a:t>
            </a:r>
          </a:p>
        </rich>
      </tx>
    </title>
    <plotArea>
      <lineChart>
        <grouping val="standard"/>
        <ser>
          <idx val="0"/>
          <order val="0"/>
          <tx>
            <v>Conservative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'36-Month Forecast'!$C$5:$AL$5</f>
            </numRef>
          </cat>
          <val>
            <numRef>
              <f>'36-Month Forecast'!$C$120:$AL$120</f>
            </numRef>
          </val>
          <smooth val="0"/>
        </ser>
        <ser>
          <idx val="1"/>
          <order val="1"/>
          <tx>
            <v>Expected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'36-Month Forecast'!$C$5:$AL$5</f>
            </numRef>
          </cat>
          <val>
            <numRef>
              <f>'36-Month Forecast'!$C$254:$AL$254</f>
            </numRef>
          </val>
          <smooth val="0"/>
        </ser>
        <ser>
          <idx val="2"/>
          <order val="2"/>
          <tx>
            <v>Strong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'36-Month Forecast'!$C$5:$AL$5</f>
            </numRef>
          </cat>
          <val>
            <numRef>
              <f>'36-Month Forecast'!$C$388:$AL$388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 per month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founder capital by scenario (the funding need)</a:t>
            </a:r>
          </a:p>
        </rich>
      </tx>
    </title>
    <plotArea>
      <lineChart>
        <grouping val="standard"/>
        <ser>
          <idx val="0"/>
          <order val="0"/>
          <tx>
            <v>Conservative</v>
          </tx>
          <spPr>
            <a:ln w="254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Flow'!$C$5:$AL$5</f>
            </numRef>
          </cat>
          <val>
            <numRef>
              <f>'Cash Flow'!$C$33:$AL$33</f>
            </numRef>
          </val>
          <smooth val="0"/>
        </ser>
        <ser>
          <idx val="1"/>
          <order val="1"/>
          <tx>
            <v>Expected</v>
          </tx>
          <spPr>
            <a:ln w="254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Flow'!$C$5:$AL$5</f>
            </numRef>
          </cat>
          <val>
            <numRef>
              <f>'Cash Flow'!$C$64:$AL$64</f>
            </numRef>
          </val>
          <smooth val="0"/>
        </ser>
        <ser>
          <idx val="2"/>
          <order val="2"/>
          <tx>
            <v>Strong</v>
          </tx>
          <spPr>
            <a:ln w="254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'Cash Flow'!$C$5:$AL$5</f>
            </numRef>
          </cat>
          <val>
            <numRef>
              <f>'Cash Flow'!$C$95:$AL$95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mmm-yy" sourceLinked="0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Net operating result by model year</a:t>
            </a:r>
          </a:p>
        </rich>
      </tx>
    </title>
    <plotArea>
      <barChart>
        <barDir val="col"/>
        <grouping val="clustered"/>
        <ser>
          <idx val="0"/>
          <order val="0"/>
          <tx>
            <v>Conservative</v>
          </tx>
          <spPr>
            <a:solidFill>
              <a:srgbClr val="2A78D6"/>
            </a:solidFill>
            <a:ln>
              <a:solidFill>
                <a:srgbClr val="2A78D6"/>
              </a:solidFill>
              <a:prstDash val="solid"/>
            </a:ln>
          </spPr>
          <cat>
            <numRef>
              <f>'Dashboard'!$A$56:$A$58</f>
            </numRef>
          </cat>
          <val>
            <numRef>
              <f>'Dashboard'!$B$56:$B$58</f>
            </numRef>
          </val>
        </ser>
        <ser>
          <idx val="1"/>
          <order val="1"/>
          <tx>
            <v>Expected</v>
          </tx>
          <spPr>
            <a:solidFill>
              <a:srgbClr val="EB6834"/>
            </a:solidFill>
            <a:ln>
              <a:solidFill>
                <a:srgbClr val="EB6834"/>
              </a:solidFill>
              <a:prstDash val="solid"/>
            </a:ln>
          </spPr>
          <cat>
            <numRef>
              <f>'Dashboard'!$A$56:$A$58</f>
            </numRef>
          </cat>
          <val>
            <numRef>
              <f>'Dashboard'!$C$56:$C$58</f>
            </numRef>
          </val>
        </ser>
        <ser>
          <idx val="2"/>
          <order val="2"/>
          <tx>
            <v>Strong</v>
          </tx>
          <spPr>
            <a:solidFill>
              <a:srgbClr val="1BAF7A"/>
            </a:solidFill>
            <a:ln>
              <a:solidFill>
                <a:srgbClr val="1BAF7A"/>
              </a:solidFill>
              <a:prstDash val="solid"/>
            </a:ln>
          </spPr>
          <cat>
            <numRef>
              <f>'Dashboard'!$A$56:$A$58</f>
            </numRef>
          </cat>
          <val>
            <numRef>
              <f>'Dashboard'!$D$56:$D$58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21</row>
      <rowOff>0</rowOff>
    </from>
    <ext cx="648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38</row>
      <rowOff>0</rowOff>
    </from>
    <ext cx="648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D2940"/>
    <outlinePr summaryBelow="1" summaryRight="1"/>
    <pageSetUpPr fitToPage="1"/>
  </sheetPr>
  <dimension ref="A1:E5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44" customWidth="1" min="5" max="5"/>
  </cols>
  <sheetData>
    <row r="1">
      <c r="A1" s="1" t="inlineStr">
        <is>
          <t>Play Before Pixels: financial model dashboard</t>
        </is>
      </c>
    </row>
    <row r="2" ht="30" customHeight="1">
      <c r="A2" s="2" t="inlineStr">
        <is>
          <t>AlphaPlay LLC (Maryland) d/b/a Play Before Pixels. Revised draft for the founder, September 28, 2026. Planning estimates only: these are not forecasts of income or promises of results. Base plan: lean-path costs, first sales Dec 2026, and the school wave, board book and retail all off. Budget on Conservative; measure progress against Expected. Change any blue cell on Assumptions and every tab updates.</t>
        </is>
      </c>
    </row>
    <row r="3"/>
    <row r="5" ht="22" customHeight="1">
      <c r="A5" s="3" t="inlineStr">
        <is>
          <t>Measure</t>
        </is>
      </c>
      <c r="B5" s="4" t="inlineStr">
        <is>
          <t>Conservative</t>
        </is>
      </c>
      <c r="C5" s="4" t="inlineStr">
        <is>
          <t>Expected</t>
        </is>
      </c>
      <c r="D5" s="4" t="inlineStr">
        <is>
          <t>Strong</t>
        </is>
      </c>
      <c r="E5" s="4" t="inlineStr">
        <is>
          <t>Where it comes from</t>
        </is>
      </c>
    </row>
    <row r="6">
      <c r="A6" s="5" t="inlineStr">
        <is>
          <t>Sales and profit by year (model year 1 = Oct 2026 - Sep 2027)</t>
        </is>
      </c>
      <c r="B6" s="6" t="n"/>
      <c r="C6" s="6" t="n"/>
      <c r="D6" s="6" t="n"/>
      <c r="E6" s="6" t="n"/>
    </row>
    <row r="7">
      <c r="A7" s="7" t="inlineStr">
        <is>
          <t>Gross sales, year 1</t>
        </is>
      </c>
      <c r="B7" s="8">
        <f>'36-Month Forecast'!AM120</f>
        <v/>
      </c>
      <c r="C7" s="8">
        <f>'36-Month Forecast'!AM254</f>
        <v/>
      </c>
      <c r="D7" s="8">
        <f>'36-Month Forecast'!AM388</f>
        <v/>
      </c>
      <c r="E7" s="9" t="inlineStr">
        <is>
          <t>36-Month Forecast</t>
        </is>
      </c>
    </row>
    <row r="8">
      <c r="A8" s="7" t="inlineStr">
        <is>
          <t>Gross sales, year 2</t>
        </is>
      </c>
      <c r="B8" s="8">
        <f>'36-Month Forecast'!AN120</f>
        <v/>
      </c>
      <c r="C8" s="8">
        <f>'36-Month Forecast'!AN254</f>
        <v/>
      </c>
      <c r="D8" s="8">
        <f>'36-Month Forecast'!AN388</f>
        <v/>
      </c>
      <c r="E8" s="9" t="inlineStr"/>
    </row>
    <row r="9">
      <c r="A9" s="7" t="inlineStr">
        <is>
          <t>Gross sales, year 3</t>
        </is>
      </c>
      <c r="B9" s="8">
        <f>'36-Month Forecast'!AO120</f>
        <v/>
      </c>
      <c r="C9" s="8">
        <f>'36-Month Forecast'!AO254</f>
        <v/>
      </c>
      <c r="D9" s="8">
        <f>'36-Month Forecast'!AO388</f>
        <v/>
      </c>
      <c r="E9" s="9" t="inlineStr"/>
    </row>
    <row r="10">
      <c r="A10" s="7" t="inlineStr">
        <is>
          <t>Net contribution, year 1</t>
        </is>
      </c>
      <c r="B10" s="8">
        <f>'36-Month Forecast'!AM121</f>
        <v/>
      </c>
      <c r="C10" s="8">
        <f>'36-Month Forecast'!AM255</f>
        <v/>
      </c>
      <c r="D10" s="8">
        <f>'36-Month Forecast'!AM389</f>
        <v/>
      </c>
      <c r="E10" s="9" t="inlineStr">
        <is>
          <t>After platform, payment, print/POD and fulfilment costs</t>
        </is>
      </c>
    </row>
    <row r="11">
      <c r="A11" s="7" t="inlineStr">
        <is>
          <t>Net contribution, year 2</t>
        </is>
      </c>
      <c r="B11" s="8">
        <f>'36-Month Forecast'!AN121</f>
        <v/>
      </c>
      <c r="C11" s="8">
        <f>'36-Month Forecast'!AN255</f>
        <v/>
      </c>
      <c r="D11" s="8">
        <f>'36-Month Forecast'!AN389</f>
        <v/>
      </c>
      <c r="E11" s="9" t="inlineStr"/>
    </row>
    <row r="12">
      <c r="A12" s="7" t="inlineStr">
        <is>
          <t>Net contribution, year 3</t>
        </is>
      </c>
      <c r="B12" s="8">
        <f>'36-Month Forecast'!AO121</f>
        <v/>
      </c>
      <c r="C12" s="8">
        <f>'36-Month Forecast'!AO255</f>
        <v/>
      </c>
      <c r="D12" s="8">
        <f>'36-Month Forecast'!AO389</f>
        <v/>
      </c>
      <c r="E12" s="9" t="inlineStr"/>
    </row>
    <row r="13">
      <c r="A13" s="10" t="inlineStr">
        <is>
          <t>Net operating result, year 1</t>
        </is>
      </c>
      <c r="B13" s="11">
        <f>'36-Month Forecast'!AM126</f>
        <v/>
      </c>
      <c r="C13" s="11">
        <f>'36-Month Forecast'!AM260</f>
        <v/>
      </c>
      <c r="D13" s="11">
        <f>'36-Month Forecast'!AM394</f>
        <v/>
      </c>
      <c r="E13" s="9" t="inlineStr">
        <is>
          <t>Contribution - ads - operating costs - wave fixed costs</t>
        </is>
      </c>
    </row>
    <row r="14">
      <c r="A14" s="10" t="inlineStr">
        <is>
          <t>Net operating result, year 2</t>
        </is>
      </c>
      <c r="B14" s="11">
        <f>'36-Month Forecast'!AN126</f>
        <v/>
      </c>
      <c r="C14" s="11">
        <f>'36-Month Forecast'!AN260</f>
        <v/>
      </c>
      <c r="D14" s="11">
        <f>'36-Month Forecast'!AN394</f>
        <v/>
      </c>
      <c r="E14" s="9" t="inlineStr"/>
    </row>
    <row r="15">
      <c r="A15" s="10" t="inlineStr">
        <is>
          <t>Net operating result, year 3</t>
        </is>
      </c>
      <c r="B15" s="11">
        <f>'36-Month Forecast'!AO126</f>
        <v/>
      </c>
      <c r="C15" s="11">
        <f>'36-Month Forecast'!AO260</f>
        <v/>
      </c>
      <c r="D15" s="11">
        <f>'36-Month Forecast'!AO394</f>
        <v/>
      </c>
      <c r="E15" s="9" t="inlineStr"/>
    </row>
    <row r="16">
      <c r="A16" s="7" t="inlineStr">
        <is>
          <t>One-time costs over 36 months (startup + wave launch + retail readiness)</t>
        </is>
      </c>
      <c r="B16" s="8">
        <f>'36-Month Forecast'!AP128+'36-Month Forecast'!AP129</f>
        <v/>
      </c>
      <c r="C16" s="8">
        <f>'36-Month Forecast'!AP262+'36-Month Forecast'!AP263</f>
        <v/>
      </c>
      <c r="D16" s="8">
        <f>'36-Month Forecast'!AP396+'36-Month Forecast'!AP397</f>
        <v/>
      </c>
      <c r="E16" s="9" t="inlineStr">
        <is>
          <t>Startup Costs; Retail Readiness Costs</t>
        </is>
      </c>
    </row>
    <row r="17">
      <c r="A17" s="7" t="inlineStr">
        <is>
          <t>Inventory purchases over 36 months (board-book print runs)</t>
        </is>
      </c>
      <c r="B17" s="8">
        <f>'36-Month Forecast'!AP136</f>
        <v/>
      </c>
      <c r="C17" s="8">
        <f>'36-Month Forecast'!AP270</f>
        <v/>
      </c>
      <c r="D17" s="8">
        <f>'36-Month Forecast'!AP404</f>
        <v/>
      </c>
      <c r="E17" s="9" t="inlineStr">
        <is>
          <t>Sized from pre-sale orders</t>
        </is>
      </c>
    </row>
    <row r="18">
      <c r="A18" s="10" t="inlineStr">
        <is>
          <t>Cumulative net result after one-time costs, month 36</t>
        </is>
      </c>
      <c r="B18" s="11">
        <f>'36-Month Forecast'!AL131</f>
        <v/>
      </c>
      <c r="C18" s="11">
        <f>'36-Month Forecast'!AL265</f>
        <v/>
      </c>
      <c r="D18" s="11">
        <f>'36-Month Forecast'!AL399</f>
        <v/>
      </c>
      <c r="E18" s="9" t="inlineStr"/>
    </row>
    <row r="20">
      <c r="A20" s="5" t="inlineStr">
        <is>
          <t>Cash and break-even</t>
        </is>
      </c>
      <c r="B20" s="6" t="n"/>
      <c r="C20" s="6" t="n"/>
      <c r="D20" s="6" t="n"/>
      <c r="E20" s="6" t="n"/>
    </row>
    <row r="21">
      <c r="A21" s="10" t="inlineStr">
        <is>
          <t>Break-even: trailing-12-month result &gt;= 0 from</t>
        </is>
      </c>
      <c r="B21" s="12">
        <f>'Break-even'!B8</f>
        <v/>
      </c>
      <c r="C21" s="12">
        <f>'Break-even'!C8</f>
        <v/>
      </c>
      <c r="D21" s="12">
        <f>'Break-even'!D8</f>
        <v/>
      </c>
      <c r="E21" s="9" t="inlineStr">
        <is>
          <t>Headline measure (Break-even tab)</t>
        </is>
      </c>
    </row>
    <row r="22">
      <c r="A22" s="7" t="inlineStr">
        <is>
          <t>First month with a monthly operating result &gt;= 0</t>
        </is>
      </c>
      <c r="B22" s="13">
        <f>'Break-even'!B10</f>
        <v/>
      </c>
      <c r="C22" s="13">
        <f>'Break-even'!C10</f>
        <v/>
      </c>
      <c r="D22" s="13">
        <f>'Break-even'!D10</f>
        <v/>
      </c>
      <c r="E22" s="9" t="inlineStr"/>
    </row>
    <row r="23">
      <c r="A23" s="10" t="inlineStr">
        <is>
          <t>Founder capital needed through month 36 (funding need)</t>
        </is>
      </c>
      <c r="B23" s="11">
        <f>'Break-even'!B13</f>
        <v/>
      </c>
      <c r="C23" s="11">
        <f>'Break-even'!C13</f>
        <v/>
      </c>
      <c r="D23" s="11">
        <f>'Break-even'!D13</f>
        <v/>
      </c>
      <c r="E23" s="9" t="inlineStr">
        <is>
          <t>Cash Flow: cumulative founder capital</t>
        </is>
      </c>
    </row>
    <row r="24">
      <c r="A24" s="7" t="inlineStr">
        <is>
          <t xml:space="preserve">   ...of which by Sep 2027 (month 12)</t>
        </is>
      </c>
      <c r="B24" s="8">
        <f>'Break-even'!B14</f>
        <v/>
      </c>
      <c r="C24" s="8">
        <f>'Break-even'!C14</f>
        <v/>
      </c>
      <c r="D24" s="8">
        <f>'Break-even'!D14</f>
        <v/>
      </c>
      <c r="E24" s="9" t="inlineStr"/>
    </row>
    <row r="25">
      <c r="A25" s="7" t="inlineStr">
        <is>
          <t>Self-funding from (no founder capital after this month)</t>
        </is>
      </c>
      <c r="B25" s="13">
        <f>'Break-even'!B18</f>
        <v/>
      </c>
      <c r="C25" s="13">
        <f>'Break-even'!C18</f>
        <v/>
      </c>
      <c r="D25" s="13">
        <f>'Break-even'!D18</f>
        <v/>
      </c>
      <c r="E25" s="9" t="inlineStr"/>
    </row>
    <row r="26">
      <c r="A26" s="7" t="inlineStr">
        <is>
          <t>Household-money cap passed in (placeholder cap)</t>
        </is>
      </c>
      <c r="B26" s="13">
        <f>'Break-even'!B20</f>
        <v/>
      </c>
      <c r="C26" s="13">
        <f>'Break-even'!C20</f>
        <v/>
      </c>
      <c r="D26" s="13">
        <f>'Break-even'!D20</f>
        <v/>
      </c>
      <c r="E26" s="9" t="inlineStr">
        <is>
          <t>Hard stop and re-forecast</t>
        </is>
      </c>
    </row>
    <row r="27">
      <c r="A27" s="7" t="inlineStr">
        <is>
          <t>Total cash at month 36 (operating + tax reserve)</t>
        </is>
      </c>
      <c r="B27" s="8">
        <f>'Cash Flow'!AL32</f>
        <v/>
      </c>
      <c r="C27" s="8">
        <f>'Cash Flow'!AL63</f>
        <v/>
      </c>
      <c r="D27" s="8">
        <f>'Cash Flow'!AL94</f>
        <v/>
      </c>
      <c r="E27" s="9" t="inlineStr"/>
    </row>
    <row r="28">
      <c r="A28" s="7" t="inlineStr">
        <is>
          <t>Operating balance vs 3-month reserve target, month 36</t>
        </is>
      </c>
      <c r="B28" s="8">
        <f>'Cash Flow'!AL35</f>
        <v/>
      </c>
      <c r="C28" s="8">
        <f>'Cash Flow'!AL66</f>
        <v/>
      </c>
      <c r="D28" s="8">
        <f>'Cash Flow'!AL97</f>
        <v/>
      </c>
      <c r="E28" s="9" t="inlineStr">
        <is>
          <t>ops/ROUTINE.md reserve target</t>
        </is>
      </c>
    </row>
    <row r="30">
      <c r="A30" s="5" t="inlineStr">
        <is>
          <t>Volume, anchors and mix</t>
        </is>
      </c>
      <c r="B30" s="6" t="n"/>
      <c r="C30" s="6" t="n"/>
      <c r="D30" s="6" t="n"/>
      <c r="E30" s="6" t="n"/>
    </row>
    <row r="31">
      <c r="A31" s="7" t="inlineStr">
        <is>
          <t>Digital units per product per month at full ramp (site + Etsy + MoR)</t>
        </is>
      </c>
      <c r="B31" s="14">
        <f>'Assumptions'!$C$122*'Assumptions'!$C$123+'Assumptions'!$C$131*'Assumptions'!$C$132+'Assumptions'!$C$155*'Assumptions'!$C$156</f>
        <v/>
      </c>
      <c r="C31" s="14">
        <f>'Assumptions'!$D$122*'Assumptions'!$D$123+'Assumptions'!$D$131*'Assumptions'!$D$132+'Assumptions'!$D$155*'Assumptions'!$D$156</f>
        <v/>
      </c>
      <c r="D31" s="14">
        <f>'Assumptions'!$E$122*'Assumptions'!$E$123+'Assumptions'!$E$131*'Assumptions'!$E$132+'Assumptions'!$E$155*'Assumptions'!$E$156</f>
        <v/>
      </c>
      <c r="E31" s="9" t="inlineStr">
        <is>
          <t>Section 1.5 anchors: floor 2.5, Low 10, Base 30, breakout 75</t>
        </is>
      </c>
    </row>
    <row r="32">
      <c r="A32" s="7" t="inlineStr">
        <is>
          <t>Orders, year 1</t>
        </is>
      </c>
      <c r="B32" s="15">
        <f>'36-Month Forecast'!AM116</f>
        <v/>
      </c>
      <c r="C32" s="15">
        <f>'36-Month Forecast'!AM250</f>
        <v/>
      </c>
      <c r="D32" s="15">
        <f>'36-Month Forecast'!AM384</f>
        <v/>
      </c>
      <c r="E32" s="9" t="inlineStr"/>
    </row>
    <row r="33">
      <c r="A33" s="7" t="inlineStr">
        <is>
          <t>Orders, year 3</t>
        </is>
      </c>
      <c r="B33" s="15">
        <f>'36-Month Forecast'!AO116</f>
        <v/>
      </c>
      <c r="C33" s="15">
        <f>'36-Month Forecast'!AO250</f>
        <v/>
      </c>
      <c r="D33" s="15">
        <f>'36-Month Forecast'!AO384</f>
        <v/>
      </c>
      <c r="E33" s="9" t="inlineStr"/>
    </row>
    <row r="34">
      <c r="A34" s="7" t="inlineStr">
        <is>
          <t xml:space="preserve">   ...of which Etsy orders, year 3</t>
        </is>
      </c>
      <c r="B34" s="15">
        <f>'36-Month Forecast'!AO34</f>
        <v/>
      </c>
      <c r="C34" s="15">
        <f>'36-Month Forecast'!AO168</f>
        <v/>
      </c>
      <c r="D34" s="15">
        <f>'36-Month Forecast'!AO302</f>
        <v/>
      </c>
      <c r="E34" s="9" t="inlineStr">
        <is>
          <t>Compare: strongest routine-card shop, 2,189 lifetime sales (DEMAND-CHECK)</t>
        </is>
      </c>
    </row>
    <row r="35">
      <c r="A35" s="7" t="inlineStr">
        <is>
          <t>Orders in month 36</t>
        </is>
      </c>
      <c r="B35" s="15">
        <f>'36-Month Forecast'!AL116</f>
        <v/>
      </c>
      <c r="C35" s="15">
        <f>'36-Month Forecast'!AL250</f>
        <v/>
      </c>
      <c r="D35" s="15">
        <f>'36-Month Forecast'!AL384</f>
        <v/>
      </c>
      <c r="E35" s="9" t="inlineStr"/>
    </row>
    <row r="36">
      <c r="A36" s="7" t="inlineStr">
        <is>
          <t>Average gross sale per order, year 3</t>
        </is>
      </c>
      <c r="B36" s="16">
        <f>IF('36-Month Forecast'!AO116=0,0,'36-Month Forecast'!AO120/'36-Month Forecast'!AO116)</f>
        <v/>
      </c>
      <c r="C36" s="16">
        <f>IF('36-Month Forecast'!AO250=0,0,'36-Month Forecast'!AO254/'36-Month Forecast'!AO250)</f>
        <v/>
      </c>
      <c r="D36" s="16">
        <f>IF('36-Month Forecast'!AO384=0,0,'36-Month Forecast'!AO388/'36-Month Forecast'!AO384)</f>
        <v/>
      </c>
      <c r="E36" s="9" t="inlineStr"/>
    </row>
    <row r="37">
      <c r="A37" s="7" t="inlineStr">
        <is>
          <t>Email subscribers at month 36</t>
        </is>
      </c>
      <c r="B37" s="15">
        <f>'36-Month Forecast'!AL114</f>
        <v/>
      </c>
      <c r="C37" s="15">
        <f>'36-Month Forecast'!AL248</f>
        <v/>
      </c>
      <c r="D37" s="15">
        <f>'36-Month Forecast'!AL382</f>
        <v/>
      </c>
      <c r="E37" s="9" t="inlineStr"/>
    </row>
    <row r="38">
      <c r="A38" s="7" t="inlineStr">
        <is>
          <t>Share of 36-month contribution from digital (site, Etsy, MoR, course)</t>
        </is>
      </c>
      <c r="B38" s="17">
        <f>IF('36-Month Forecast'!AP121=0,0,('36-Month Forecast'!AP28+'36-Month Forecast'!AP38+'36-Month Forecast'!AP68+'36-Month Forecast'!AP78)/'36-Month Forecast'!AP121)</f>
        <v/>
      </c>
      <c r="C38" s="17">
        <f>IF('36-Month Forecast'!AP255=0,0,('36-Month Forecast'!AP162+'36-Month Forecast'!AP172+'36-Month Forecast'!AP202+'36-Month Forecast'!AP212)/'36-Month Forecast'!AP255)</f>
        <v/>
      </c>
      <c r="D38" s="17">
        <f>IF('36-Month Forecast'!AP389=0,0,('36-Month Forecast'!AP296+'36-Month Forecast'!AP306+'36-Month Forecast'!AP336+'36-Month Forecast'!AP346)/'36-Month Forecast'!AP389)</f>
        <v/>
      </c>
      <c r="E38" s="9" t="inlineStr"/>
    </row>
    <row r="39">
      <c r="A39" s="7" t="inlineStr">
        <is>
          <t>Share from print-on-demand books (KDP, IngramSpark)</t>
        </is>
      </c>
      <c r="B39" s="17">
        <f>IF('36-Month Forecast'!AP121=0,0,('36-Month Forecast'!AP48+'36-Month Forecast'!AP58)/'36-Month Forecast'!AP121)</f>
        <v/>
      </c>
      <c r="C39" s="17">
        <f>IF('36-Month Forecast'!AP255=0,0,('36-Month Forecast'!AP182+'36-Month Forecast'!AP192)/'36-Month Forecast'!AP255)</f>
        <v/>
      </c>
      <c r="D39" s="17">
        <f>IF('36-Month Forecast'!AP389=0,0,('36-Month Forecast'!AP316+'36-Month Forecast'!AP326)/'36-Month Forecast'!AP389)</f>
        <v/>
      </c>
      <c r="E39" s="9" t="inlineStr"/>
    </row>
    <row r="40">
      <c r="A40" s="7" t="inlineStr">
        <is>
          <t>Share from the board book (gated option; 0 in base)</t>
        </is>
      </c>
      <c r="B40" s="17">
        <f>IF('36-Month Forecast'!AP121=0,0,'36-Month Forecast'!AP88/'36-Month Forecast'!AP121)</f>
        <v/>
      </c>
      <c r="C40" s="17">
        <f>IF('36-Month Forecast'!AP255=0,0,'36-Month Forecast'!AP222/'36-Month Forecast'!AP255)</f>
        <v/>
      </c>
      <c r="D40" s="17">
        <f>IF('36-Month Forecast'!AP389=0,0,'36-Month Forecast'!AP356/'36-Month Forecast'!AP389)</f>
        <v/>
      </c>
      <c r="E40" s="9" t="inlineStr"/>
    </row>
    <row r="41">
      <c r="A41" s="7" t="inlineStr">
        <is>
          <t>Share from the school/group wave (overlay only; 0 in base)</t>
        </is>
      </c>
      <c r="B41" s="17">
        <f>IF('36-Month Forecast'!AP121=0,0,'36-Month Forecast'!AP99/'36-Month Forecast'!AP121)</f>
        <v/>
      </c>
      <c r="C41" s="17">
        <f>IF('36-Month Forecast'!AP255=0,0,'36-Month Forecast'!AP233/'36-Month Forecast'!AP255)</f>
        <v/>
      </c>
      <c r="D41" s="17">
        <f>IF('36-Month Forecast'!AP389=0,0,'36-Month Forecast'!AP367/'36-Month Forecast'!AP389)</f>
        <v/>
      </c>
      <c r="E41" s="9" t="inlineStr"/>
    </row>
    <row r="42">
      <c r="A42" s="7" t="inlineStr">
        <is>
          <t>Share from retail and wholesale (0 in base)</t>
        </is>
      </c>
      <c r="B42" s="17">
        <f>IF('36-Month Forecast'!AP121=0,0,'36-Month Forecast'!AP109/'36-Month Forecast'!AP121)</f>
        <v/>
      </c>
      <c r="C42" s="17">
        <f>IF('36-Month Forecast'!AP255=0,0,'36-Month Forecast'!AP243/'36-Month Forecast'!AP255)</f>
        <v/>
      </c>
      <c r="D42" s="17">
        <f>IF('36-Month Forecast'!AP389=0,0,'36-Month Forecast'!AP377/'36-Month Forecast'!AP389)</f>
        <v/>
      </c>
      <c r="E42" s="9" t="inlineStr"/>
    </row>
    <row r="43">
      <c r="A43" s="7" t="inlineStr">
        <is>
          <t>Board-book pre-sale copies (only if the board book is switched on)</t>
        </is>
      </c>
      <c r="B43" s="15">
        <f>'36-Month Forecast'!$B$12</f>
        <v/>
      </c>
      <c r="C43" s="15">
        <f>'36-Month Forecast'!$B$146</f>
        <v/>
      </c>
      <c r="D43" s="15">
        <f>'36-Month Forecast'!$B$280</f>
        <v/>
      </c>
      <c r="E43" s="9" t="inlineStr">
        <is>
          <t>Gated option</t>
        </is>
      </c>
    </row>
    <row r="44">
      <c r="A44" s="7" t="inlineStr">
        <is>
          <t xml:space="preserve">   ...go line: copies needed to fund the planned run</t>
        </is>
      </c>
      <c r="B44" s="15">
        <f>'36-Month Forecast'!$B$13</f>
        <v/>
      </c>
      <c r="C44" s="15">
        <f>'36-Month Forecast'!$B$147</f>
        <v/>
      </c>
      <c r="D44" s="15">
        <f>'36-Month Forecast'!$B$281</f>
        <v/>
      </c>
      <c r="E44" s="9" t="inlineStr">
        <is>
          <t>Below this line: refund, keep the POD paperback</t>
        </is>
      </c>
    </row>
    <row r="45">
      <c r="A45" s="7" t="inlineStr">
        <is>
          <t xml:space="preserve">   ...go (1) / no-go (0)</t>
        </is>
      </c>
      <c r="B45" s="18">
        <f>'36-Month Forecast'!$B$14</f>
        <v/>
      </c>
      <c r="C45" s="18">
        <f>'36-Month Forecast'!$B$148</f>
        <v/>
      </c>
      <c r="D45" s="18">
        <f>'36-Month Forecast'!$B$282</f>
        <v/>
      </c>
      <c r="E45" s="9" t="inlineStr"/>
    </row>
    <row r="46">
      <c r="A46" s="7" t="inlineStr">
        <is>
          <t>Board-book copies at the 3PL, month 36</t>
        </is>
      </c>
      <c r="B46" s="15">
        <f>'36-Month Forecast'!AL138</f>
        <v/>
      </c>
      <c r="C46" s="15">
        <f>'36-Month Forecast'!AL272</f>
        <v/>
      </c>
      <c r="D46" s="15">
        <f>'36-Month Forecast'!AL406</f>
        <v/>
      </c>
      <c r="E46" s="9" t="inlineStr">
        <is>
          <t>Cash tied up in stock</t>
        </is>
      </c>
    </row>
    <row r="48">
      <c r="A48" s="10" t="inlineStr">
        <is>
          <t>How to use</t>
        </is>
      </c>
    </row>
    <row r="49">
      <c r="A49" s="9" t="inlineStr">
        <is>
          <t>1. Edit blue cells only. Yellow cells on Assumptions are the levers that move results most (first-sale month, sales per product, include flags, IngramSpark discount, cost position).</t>
        </is>
      </c>
    </row>
    <row r="50">
      <c r="A50" s="9" t="inlineStr">
        <is>
          <t>2. Base plan = lean path: cost position 0 (low-end quotes) and every GATED one-time item at Include = 0. Set the cost position to 0.5 to see mid-point costs.</t>
        </is>
      </c>
    </row>
    <row r="51">
      <c r="A51" s="9" t="inlineStr">
        <is>
          <t>3. The school wave, the board book and retail are OFF in every scenario. Switch an include flag to 1 to see it as an overlay; school only if counsel clears it in writing.</t>
        </is>
      </c>
    </row>
    <row r="52">
      <c r="A52" s="9" t="inlineStr">
        <is>
          <t>4. Every [VERIFY] figure must be checked on the live page or a written quote before money is committed.</t>
        </is>
      </c>
    </row>
    <row r="53">
      <c r="A53" s="9" t="inlineStr">
        <is>
          <t>5. Replace the sales-per-product and units-per-title guesses with the first 90 days of real data from the Friday scorecard.</t>
        </is>
      </c>
    </row>
    <row r="55">
      <c r="A55" s="10" t="inlineStr">
        <is>
          <t>Chart data: net operating result by model year</t>
        </is>
      </c>
    </row>
    <row r="56">
      <c r="A56" s="7" t="inlineStr">
        <is>
          <t>Year 1</t>
        </is>
      </c>
      <c r="B56" s="19">
        <f>B13</f>
        <v/>
      </c>
      <c r="C56" s="19">
        <f>C13</f>
        <v/>
      </c>
      <c r="D56" s="19">
        <f>D13</f>
        <v/>
      </c>
    </row>
    <row r="57">
      <c r="A57" s="7" t="inlineStr">
        <is>
          <t>Year 2</t>
        </is>
      </c>
      <c r="B57" s="19">
        <f>B14</f>
        <v/>
      </c>
      <c r="C57" s="19">
        <f>C14</f>
        <v/>
      </c>
      <c r="D57" s="19">
        <f>D14</f>
        <v/>
      </c>
    </row>
    <row r="58">
      <c r="A58" s="7" t="inlineStr">
        <is>
          <t>Year 3</t>
        </is>
      </c>
      <c r="B58" s="19">
        <f>B15</f>
        <v/>
      </c>
      <c r="C58" s="19">
        <f>C15</f>
        <v/>
      </c>
      <c r="D58" s="19">
        <f>D15</f>
        <v/>
      </c>
    </row>
  </sheetData>
  <mergeCells count="1">
    <mergeCell ref="A2:E3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D2940"/>
    <outlinePr summaryBelow="1" summaryRight="1"/>
    <pageSetUpPr fitToPage="1"/>
  </sheetPr>
  <dimension ref="A1:H20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8" customWidth="1" min="2" max="2"/>
    <col width="14" customWidth="1" min="3" max="3"/>
    <col width="14" customWidth="1" min="4" max="4"/>
    <col width="14" customWidth="1" min="5" max="5"/>
    <col width="14" customWidth="1" min="6" max="6"/>
    <col width="70" customWidth="1" min="7" max="7"/>
    <col width="16" customWidth="1" min="8" max="8"/>
  </cols>
  <sheetData>
    <row r="1">
      <c r="A1" s="20" t="inlineStr">
        <is>
          <t>Assumptions: every input in the model</t>
        </is>
      </c>
    </row>
    <row r="2" ht="30" customHeight="1">
      <c r="A2" s="2" t="inlineStr">
        <is>
          <t>Blue = editable input. Yellow fill = key scenario lever. Black = formula. Green = link to another tab. Status: Repo = figure found in a repository file (most are themselves marked UNVERIFIED there); Assumption = planning input chosen for this model; [VERIFY] = outside fact not in the repo, check before relying on it.</t>
        </is>
      </c>
    </row>
    <row r="3"/>
    <row r="5" ht="30" customHeight="1">
      <c r="A5" s="3" t="inlineStr">
        <is>
          <t>ID</t>
        </is>
      </c>
      <c r="B5" s="4" t="inlineStr">
        <is>
          <t>Input</t>
        </is>
      </c>
      <c r="C5" s="4" t="inlineStr">
        <is>
          <t>Value / Conservative</t>
        </is>
      </c>
      <c r="D5" s="4" t="inlineStr">
        <is>
          <t>Expected</t>
        </is>
      </c>
      <c r="E5" s="4" t="inlineStr">
        <is>
          <t>Strong</t>
        </is>
      </c>
      <c r="F5" s="4" t="inlineStr">
        <is>
          <t>Unit</t>
        </is>
      </c>
      <c r="G5" s="4" t="inlineStr">
        <is>
          <t>Source / basis</t>
        </is>
      </c>
      <c r="H5" s="4" t="inlineStr">
        <is>
          <t>Status</t>
        </is>
      </c>
    </row>
    <row r="7">
      <c r="A7" s="5" t="inlineStr">
        <is>
          <t>1. General settings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9" t="inlineStr">
        <is>
          <t>start</t>
        </is>
      </c>
      <c r="B8" s="21" t="inlineStr">
        <is>
          <t>Model start month (month 1; costs start here)</t>
        </is>
      </c>
      <c r="C8" s="22" t="n">
        <v>46296</v>
      </c>
      <c r="F8" s="7" t="inlineStr">
        <is>
          <t>month</t>
        </is>
      </c>
      <c r="G8" s="21" t="inlineStr">
        <is>
          <t>Plan dated Sept 28, 2026. Setup costs (trademark, copyright, attorneys) begin in October 2026.</t>
        </is>
      </c>
      <c r="H8" s="7" t="inlineStr">
        <is>
          <t>Repo</t>
        </is>
      </c>
    </row>
    <row r="9">
      <c r="A9" s="9" t="inlineStr">
        <is>
          <t>first_sale</t>
        </is>
      </c>
      <c r="B9" s="21" t="inlineStr">
        <is>
          <t>First month any listing can take money (Gate A met)</t>
        </is>
      </c>
      <c r="C9" s="23" t="n">
        <v>3</v>
      </c>
      <c r="F9" s="7" t="inlineStr">
        <is>
          <t>month #</t>
        </is>
      </c>
      <c r="G9" s="21" t="inlineStr">
        <is>
          <t>Gate A (section 5.12): business bank account open, employment counsel's go-ahead, GL insurance bound and the publish safeguards built. As of Sept 28, 2026 none is done, so the model assumes Gate A by the end of Nov 2026 and first sales in Dec 2026 (month 3). Each month of slip moves every channel back one month.</t>
        </is>
      </c>
      <c r="H9" s="7" t="inlineStr">
        <is>
          <t>Assumption</t>
        </is>
      </c>
    </row>
    <row r="10">
      <c r="A10" s="9" t="inlineStr">
        <is>
          <t>pos</t>
        </is>
      </c>
      <c r="B10" s="21" t="inlineStr">
        <is>
          <t>Cost position inside every Low-High range (0 = low, 1 = high)</t>
        </is>
      </c>
      <c r="C10" s="24" t="n">
        <v>0</v>
      </c>
      <c r="F10" s="7" t="inlineStr">
        <is>
          <t>0-1</t>
        </is>
      </c>
      <c r="G10" s="21" t="inlineStr">
        <is>
          <t>Base plan = lean path: low-end quotes (0). Mid-point (0.5) and high end (1) are shown as sensitivities in section 3.9. Drives the Model column on Startup Costs, Monthly Operating Costs and Retail Readiness Costs.</t>
        </is>
      </c>
      <c r="H10" s="7" t="inlineStr">
        <is>
          <t>Assumption</t>
        </is>
      </c>
    </row>
    <row r="11">
      <c r="A11" s="9" t="inlineStr">
        <is>
          <t>ramp</t>
        </is>
      </c>
      <c r="B11" s="21" t="inlineStr">
        <is>
          <t>Months for a new listing to reach full sales rate (review ramp)</t>
        </is>
      </c>
      <c r="C11" s="25" t="n">
        <v>6</v>
      </c>
      <c r="F11" s="7" t="inlineStr">
        <is>
          <t>months</t>
        </is>
      </c>
      <c r="G11" s="21" t="inlineStr">
        <is>
          <t>A new faceless shop starts with zero reviews against incumbents with 2,000-11,000 (marketing/DEMAND-CHECK.md, 'One honest warning').</t>
        </is>
      </c>
      <c r="H11" s="7" t="inlineStr">
        <is>
          <t>Assumption</t>
        </is>
      </c>
    </row>
    <row r="12">
      <c r="A12" s="9" t="inlineStr">
        <is>
          <t>mdtax</t>
        </is>
      </c>
      <c r="B12" s="21" t="inlineStr">
        <is>
          <t>Maryland sales tax on direct (own-site) sales</t>
        </is>
      </c>
      <c r="C12" s="26" t="n">
        <v>0.06</v>
      </c>
      <c r="F12" s="7" t="inlineStr">
        <is>
          <t>% of price</t>
        </is>
      </c>
      <c r="G12" s="21" t="inlineStr">
        <is>
          <t>commerce/storefront-setup-guide.md A3 (UNVERIFIED). Collected on top of price and remitted: pass-through, never counted as revenue.</t>
        </is>
      </c>
      <c r="H12" s="7" t="inlineStr">
        <is>
          <t>Repo [VERIFY]</t>
        </is>
      </c>
    </row>
    <row r="13">
      <c r="A13" s="9" t="inlineStr">
        <is>
          <t>refund</t>
        </is>
      </c>
      <c r="B13" s="21" t="inlineStr">
        <is>
          <t>Refund and chargeback allowance, direct digital sales</t>
        </is>
      </c>
      <c r="C13" s="26" t="n">
        <v>0.02</v>
      </c>
      <c r="F13" s="7" t="inlineStr">
        <is>
          <t>% of price</t>
        </is>
      </c>
      <c r="G13" s="21" t="inlineStr">
        <is>
          <t>ops/GAPS-ROUND-2.md G2-12: first refund request under about $15 is refunded automatically.</t>
        </is>
      </c>
      <c r="H13" s="7" t="inlineStr">
        <is>
          <t>Assumption</t>
        </is>
      </c>
    </row>
    <row r="14">
      <c r="A14" s="9" t="inlineStr">
        <is>
          <t>refund_course</t>
        </is>
      </c>
      <c r="B14" s="21" t="inlineStr">
        <is>
          <t>Refund allowance, 30-Day Screen Reset (money-back guarantee)</t>
        </is>
      </c>
      <c r="C14" s="26" t="n">
        <v>0.05</v>
      </c>
      <c r="F14" s="7" t="inlineStr">
        <is>
          <t>% of price</t>
        </is>
      </c>
      <c r="G14" s="21" t="inlineStr">
        <is>
          <t>DEMAND-CHECK course row: 'Add a money-back guarantee'.</t>
        </is>
      </c>
      <c r="H14" s="7" t="inlineStr">
        <is>
          <t>Assumption</t>
        </is>
      </c>
    </row>
    <row r="15">
      <c r="A15" s="9" t="inlineStr">
        <is>
          <t>taxres</t>
        </is>
      </c>
      <c r="B15" s="21" t="inlineStr">
        <is>
          <t>Tax reserve (% of cumulative profit to date, after one-time costs)</t>
        </is>
      </c>
      <c r="C15" s="26" t="n">
        <v>0.25</v>
      </c>
      <c r="F15" s="7" t="inlineStr">
        <is>
          <t>%</t>
        </is>
      </c>
      <c r="G15" s="21" t="inlineStr">
        <is>
          <t>finance/TAX-AUTOPILOT.md §2: accountant picks the rate; 25-30% is common. Reserved only against cumulative profit, because a single-member LLC's losses pass through to the founder's return; the accountant sets the §195 startup-cost treatment.</t>
        </is>
      </c>
      <c r="H15" s="7" t="inlineStr">
        <is>
          <t>Repo range</t>
        </is>
      </c>
    </row>
    <row r="16">
      <c r="A16" s="9" t="inlineStr">
        <is>
          <t>open</t>
        </is>
      </c>
      <c r="B16" s="21" t="inlineStr">
        <is>
          <t>Opening cash in the business account</t>
        </is>
      </c>
      <c r="C16" s="27" t="n">
        <v>0</v>
      </c>
      <c r="F16" s="7" t="inlineStr">
        <is>
          <t>$</t>
        </is>
      </c>
      <c r="G16" s="21" t="inlineStr">
        <is>
          <t>finance/BANKING.md: the Chase checking account is closed; a new no-fee account opens empty.</t>
        </is>
      </c>
      <c r="H16" s="7" t="inlineStr">
        <is>
          <t>Repo</t>
        </is>
      </c>
    </row>
    <row r="17">
      <c r="A17" s="9" t="inlineStr">
        <is>
          <t>owner</t>
        </is>
      </c>
      <c r="B17" s="21" t="inlineStr">
        <is>
          <t>Planned owner capital contribution in month 1 (the forecast adds any further top-up needed)</t>
        </is>
      </c>
      <c r="C17" s="28" t="n">
        <v>0</v>
      </c>
      <c r="F17" s="7" t="inlineStr">
        <is>
          <t>$</t>
        </is>
      </c>
      <c r="G17" s="21" t="inlineStr">
        <is>
          <t>Cash Flow adds a founder top-up in any month the operating account would go below zero, so the funding need is always visible.</t>
        </is>
      </c>
      <c r="H17" s="7" t="inlineStr">
        <is>
          <t>Assumption</t>
        </is>
      </c>
    </row>
    <row r="18">
      <c r="A18" s="9" t="inlineStr">
        <is>
          <t>card</t>
        </is>
      </c>
      <c r="B18" s="21" t="inlineStr">
        <is>
          <t>Existing balance on the Chase business card (an LLC liability), paid in month 1</t>
        </is>
      </c>
      <c r="C18" s="27" t="n">
        <v>0</v>
      </c>
      <c r="F18" s="7" t="inlineStr">
        <is>
          <t>$</t>
        </is>
      </c>
      <c r="G18" s="21" t="inlineStr">
        <is>
          <t>finance/BANKING.md: the Chase business card is still open. Balance not in the repo: founder to enter.</t>
        </is>
      </c>
      <c r="H18" s="7" t="inlineStr">
        <is>
          <t>Founder to enter</t>
        </is>
      </c>
    </row>
    <row r="19">
      <c r="A19" s="9" t="inlineStr">
        <is>
          <t>cap</t>
        </is>
      </c>
      <c r="B19" s="21" t="inlineStr">
        <is>
          <t>Household-money cap: most founder capital the business may take (placeholder)</t>
        </is>
      </c>
      <c r="C19" s="27" t="n">
        <v>12000</v>
      </c>
      <c r="F19" s="7" t="inlineStr">
        <is>
          <t>$</t>
        </is>
      </c>
      <c r="G19" s="21" t="inlineStr">
        <is>
          <t>ops/GAPS-ROUND-2.md G2-10 asks the founder to write down a cap and a review date; neither is set. $12,000 is a placeholder only. Hard stop: when cumulative founder capital reaches the cap, all non-deadline spending stops and the plan is re-forecast.</t>
        </is>
      </c>
      <c r="H19" s="7" t="inlineStr">
        <is>
          <t>Founder to set</t>
        </is>
      </c>
    </row>
    <row r="20">
      <c r="A20" s="9" t="inlineStr">
        <is>
          <t>contin</t>
        </is>
      </c>
      <c r="B20" s="21" t="inlineStr">
        <is>
          <t>Operating contingency (% of monthly operating costs)</t>
        </is>
      </c>
      <c r="C20" s="26" t="n">
        <v>0.1</v>
      </c>
      <c r="F20" s="7" t="inlineStr">
        <is>
          <t>%</t>
        </is>
      </c>
      <c r="G20" s="21" t="inlineStr">
        <is>
          <t>Buffer for price changes; nearly every subscription price in the repo is UNVERIFIED.</t>
        </is>
      </c>
      <c r="H20" s="7" t="inlineStr">
        <is>
          <t>Assumption</t>
        </is>
      </c>
    </row>
    <row r="21">
      <c r="A21" s="9" t="inlineStr">
        <is>
          <t>resmo</t>
        </is>
      </c>
      <c r="B21" s="21" t="inlineStr">
        <is>
          <t>Cash reserve target (months of fixed costs)</t>
        </is>
      </c>
      <c r="C21" s="25" t="n">
        <v>3</v>
      </c>
      <c r="F21" s="7" t="inlineStr">
        <is>
          <t>months</t>
        </is>
      </c>
      <c r="G21" s="21" t="inlineStr">
        <is>
          <t>ops/ROUTINE.md weekly scorecard ('3-month reserve target'); BLIND-SPOTS #20 says 2-3 months.</t>
        </is>
      </c>
      <c r="H21" s="7" t="inlineStr">
        <is>
          <t>Repo</t>
        </is>
      </c>
    </row>
    <row r="23">
      <c r="A23" s="5" t="inlineStr">
        <is>
          <t>2. Platform fees and royalties (used by Unit Economics)</t>
        </is>
      </c>
      <c r="B23" s="6" t="n"/>
      <c r="C23" s="6" t="n"/>
      <c r="D23" s="6" t="n"/>
      <c r="E23" s="6" t="n"/>
      <c r="F23" s="6" t="n"/>
      <c r="G23" s="6" t="n"/>
      <c r="H23" s="6" t="n"/>
    </row>
    <row r="24">
      <c r="A24" s="9" t="inlineStr">
        <is>
          <t>shop_pct</t>
        </is>
      </c>
      <c r="B24" s="21" t="inlineStr">
        <is>
          <t>Shopify Payments card rate</t>
        </is>
      </c>
      <c r="C24" s="26" t="n">
        <v>0.029</v>
      </c>
      <c r="F24" s="7" t="inlineStr">
        <is>
          <t>% of price</t>
        </is>
      </c>
      <c r="G24" s="21" t="inlineStr">
        <is>
          <t>commerce/storefront-setup-guide.md §1; finance/money-and-tax-setup.md fees table (Basic plan, UNVERIFIED).</t>
        </is>
      </c>
      <c r="H24" s="7" t="inlineStr">
        <is>
          <t>Repo [VERIFY]</t>
        </is>
      </c>
    </row>
    <row r="25">
      <c r="A25" s="9" t="inlineStr">
        <is>
          <t>shop_fix</t>
        </is>
      </c>
      <c r="B25" s="21" t="inlineStr">
        <is>
          <t>Shopify Payments fixed fee</t>
        </is>
      </c>
      <c r="C25" s="29" t="n">
        <v>0.3</v>
      </c>
      <c r="F25" s="7" t="inlineStr">
        <is>
          <t>$ per order</t>
        </is>
      </c>
      <c r="G25" s="21" t="inlineStr">
        <is>
          <t>Same source.</t>
        </is>
      </c>
      <c r="H25" s="7" t="inlineStr">
        <is>
          <t>Repo [VERIFY]</t>
        </is>
      </c>
    </row>
    <row r="26">
      <c r="A26" s="9" t="inlineStr">
        <is>
          <t>etsy_tx</t>
        </is>
      </c>
      <c r="B26" s="21" t="inlineStr">
        <is>
          <t>Etsy transaction fee</t>
        </is>
      </c>
      <c r="C26" s="26" t="n">
        <v>0.065</v>
      </c>
      <c r="F26" s="7" t="inlineStr">
        <is>
          <t>% of price</t>
        </is>
      </c>
      <c r="G26" s="21" t="inlineStr">
        <is>
          <t>storefront-setup-guide §10 (UNVERIFIED).</t>
        </is>
      </c>
      <c r="H26" s="7" t="inlineStr">
        <is>
          <t>Repo [VERIFY]</t>
        </is>
      </c>
    </row>
    <row r="27">
      <c r="A27" s="9" t="inlineStr">
        <is>
          <t>etsy_pay</t>
        </is>
      </c>
      <c r="B27" s="21" t="inlineStr">
        <is>
          <t>Etsy payment processing (US)</t>
        </is>
      </c>
      <c r="C27" s="26" t="n">
        <v>0.03</v>
      </c>
      <c r="F27" s="7" t="inlineStr">
        <is>
          <t>% of price</t>
        </is>
      </c>
      <c r="G27" s="21" t="inlineStr">
        <is>
          <t>Same source.</t>
        </is>
      </c>
      <c r="H27" s="7" t="inlineStr">
        <is>
          <t>Repo [VERIFY]</t>
        </is>
      </c>
    </row>
    <row r="28">
      <c r="A28" s="9" t="inlineStr">
        <is>
          <t>etsy_payfix</t>
        </is>
      </c>
      <c r="B28" s="21" t="inlineStr">
        <is>
          <t>Etsy payment processing fixed fee</t>
        </is>
      </c>
      <c r="C28" s="29" t="n">
        <v>0.25</v>
      </c>
      <c r="F28" s="7" t="inlineStr">
        <is>
          <t>$ per order</t>
        </is>
      </c>
      <c r="G28" s="21" t="inlineStr">
        <is>
          <t>Same source.</t>
        </is>
      </c>
      <c r="H28" s="7" t="inlineStr">
        <is>
          <t>Repo [VERIFY]</t>
        </is>
      </c>
    </row>
    <row r="29">
      <c r="A29" s="9" t="inlineStr">
        <is>
          <t>etsy_list</t>
        </is>
      </c>
      <c r="B29" s="21" t="inlineStr">
        <is>
          <t>Etsy listing fee (renews on each sale)</t>
        </is>
      </c>
      <c r="C29" s="29" t="n">
        <v>0.2</v>
      </c>
      <c r="F29" s="7" t="inlineStr">
        <is>
          <t>$ per sale</t>
        </is>
      </c>
      <c r="G29" s="21" t="inlineStr">
        <is>
          <t>Same source.</t>
        </is>
      </c>
      <c r="H29" s="7" t="inlineStr">
        <is>
          <t>Repo [VERIFY]</t>
        </is>
      </c>
    </row>
    <row r="30">
      <c r="A30" s="9" t="inlineStr">
        <is>
          <t>etsy_oa</t>
        </is>
      </c>
      <c r="B30" s="21" t="inlineStr">
        <is>
          <t>Etsy Offsite Ads fee when an ad drives the sale</t>
        </is>
      </c>
      <c r="C30" s="26" t="n">
        <v>0.15</v>
      </c>
      <c r="F30" s="7" t="inlineStr">
        <is>
          <t>% of price</t>
        </is>
      </c>
      <c r="G30" s="21" t="inlineStr">
        <is>
          <t>Same source: 15%, or 12% and mandatory above $10,000 in 12 months.</t>
        </is>
      </c>
      <c r="H30" s="7" t="inlineStr">
        <is>
          <t>Repo [VERIFY]</t>
        </is>
      </c>
    </row>
    <row r="31">
      <c r="A31" s="9" t="inlineStr">
        <is>
          <t>etsy_oashare</t>
        </is>
      </c>
      <c r="B31" s="21" t="inlineStr">
        <is>
          <t>Share of Etsy sales that come through Offsite Ads</t>
        </is>
      </c>
      <c r="C31" s="26" t="n">
        <v>0.1</v>
      </c>
      <c r="F31" s="7" t="inlineStr">
        <is>
          <t>% of Etsy sales</t>
        </is>
      </c>
      <c r="G31" s="21" t="inlineStr">
        <is>
          <t>No data yet; check the Etsy statement after 90 days.</t>
        </is>
      </c>
      <c r="H31" s="7" t="inlineStr">
        <is>
          <t>Assumption</t>
        </is>
      </c>
    </row>
    <row r="32">
      <c r="A32" s="9" t="inlineStr">
        <is>
          <t>kdp_roy</t>
        </is>
      </c>
      <c r="B32" s="21" t="inlineStr">
        <is>
          <t>KDP paperback royalty rate (list price $9.99 or more)</t>
        </is>
      </c>
      <c r="C32" s="26" t="n">
        <v>0.6</v>
      </c>
      <c r="F32" s="7" t="inlineStr">
        <is>
          <t>% of list</t>
        </is>
      </c>
      <c r="G32" s="21" t="inlineStr">
        <is>
          <t>storefront-setup-guide §6: 60% at $9.99+ since June 10, 2025 (UNVERIFIED).</t>
        </is>
      </c>
      <c r="H32" s="7" t="inlineStr">
        <is>
          <t>Repo [VERIFY]</t>
        </is>
      </c>
    </row>
    <row r="33">
      <c r="A33" s="9" t="inlineStr">
        <is>
          <t>kdp_base</t>
        </is>
      </c>
      <c r="B33" s="21" t="inlineStr">
        <is>
          <t>KDP print cost: fixed part</t>
        </is>
      </c>
      <c r="C33" s="29" t="n">
        <v>1</v>
      </c>
      <c r="F33" s="7" t="inlineStr">
        <is>
          <t>$ per copy</t>
        </is>
      </c>
      <c r="G33" s="21" t="inlineStr">
        <is>
          <t>products/*/listing.json price_notes: $1.00 + $0.07/page premium color.</t>
        </is>
      </c>
      <c r="H33" s="7" t="inlineStr">
        <is>
          <t>Repo [VERIFY]</t>
        </is>
      </c>
    </row>
    <row r="34">
      <c r="A34" s="9" t="inlineStr">
        <is>
          <t>kdp_color</t>
        </is>
      </c>
      <c r="B34" s="21" t="inlineStr">
        <is>
          <t>KDP print cost: premium color, per page</t>
        </is>
      </c>
      <c r="C34" s="29" t="n">
        <v>0.07000000000000001</v>
      </c>
      <c r="F34" s="7" t="inlineStr">
        <is>
          <t>$ per page</t>
        </is>
      </c>
      <c r="G34" s="21" t="inlineStr">
        <is>
          <t>Same source. KDP may price short color books at a flat rate; confirm in the calculator.</t>
        </is>
      </c>
      <c r="H34" s="7" t="inlineStr">
        <is>
          <t>Repo [VERIFY]</t>
        </is>
      </c>
    </row>
    <row r="35">
      <c r="A35" s="9" t="inlineStr">
        <is>
          <t>kdp_bw_flat</t>
        </is>
      </c>
      <c r="B35" s="21" t="inlineStr">
        <is>
          <t>KDP print cost: black-and-white paperback, 24-108 pages (flat)</t>
        </is>
      </c>
      <c r="C35" s="29" t="n">
        <v>2.3</v>
      </c>
      <c r="F35" s="7" t="inlineStr">
        <is>
          <t>$ per copy</t>
        </is>
      </c>
      <c r="G35" s="21" t="inlineStr">
        <is>
          <t>products/guide-100-plays/listing.json: KDP's flat $2.30 for 24-108 B/W pages (82-page, 8 x 10 in book). Check whether 8 x 10 counts as large trim, which may cost more.</t>
        </is>
      </c>
      <c r="H35" s="7" t="inlineStr">
        <is>
          <t>Repo [VERIFY]</t>
        </is>
      </c>
    </row>
    <row r="36">
      <c r="A36" s="9" t="inlineStr">
        <is>
          <t>pic_pages</t>
        </is>
      </c>
      <c r="B36" s="21" t="inlineStr">
        <is>
          <t>Picture-book and talk-along paperback page count</t>
        </is>
      </c>
      <c r="C36" s="25" t="n">
        <v>32</v>
      </c>
      <c r="F36" s="7" t="inlineStr">
        <is>
          <t>pages</t>
        </is>
      </c>
      <c r="G36" s="21" t="inlineStr">
        <is>
          <t>products/*/listing.json ('pages': 32).</t>
        </is>
      </c>
      <c r="H36" s="7" t="inlineStr">
        <is>
          <t>Repo</t>
        </is>
      </c>
    </row>
    <row r="37">
      <c r="A37" s="9" t="inlineStr">
        <is>
          <t>ing_disc</t>
        </is>
      </c>
      <c r="B37" s="21" t="inlineStr">
        <is>
          <t>IngramSpark wholesale discount given to retailers</t>
        </is>
      </c>
      <c r="C37" s="30" t="n">
        <v>0.4</v>
      </c>
      <c r="F37" s="7" t="inlineStr">
        <is>
          <t>% of list</t>
        </is>
      </c>
      <c r="G37" s="21" t="inlineStr">
        <is>
          <t>Base 40% (storefront guide range 30-55%). 55% reaches library jobbers (MARKETING-PLAYBOOK) but leaves hardcovers about $0.50 a copy; tested as a sensitivity.</t>
        </is>
      </c>
      <c r="H37" s="7" t="inlineStr">
        <is>
          <t>Repo range</t>
        </is>
      </c>
    </row>
    <row r="38">
      <c r="A38" s="9" t="inlineStr">
        <is>
          <t>ing_hc_print</t>
        </is>
      </c>
      <c r="B38" s="21" t="inlineStr">
        <is>
          <t>IngramSpark print cost, 32-page 8.5x8.5 color hardcover</t>
        </is>
      </c>
      <c r="C38" s="29" t="n">
        <v>8.5</v>
      </c>
      <c r="F38" s="7" t="inlineStr">
        <is>
          <t>$ per copy</t>
        </is>
      </c>
      <c r="G38" s="21" t="inlineStr">
        <is>
          <t>Not in the repo; listing.json says run IngramSpark's calculator. Hardcover is gated (weight 0) until the paperback sells.</t>
        </is>
      </c>
      <c r="H38" s="7" t="inlineStr">
        <is>
          <t>[VERIFY]</t>
        </is>
      </c>
    </row>
    <row r="39">
      <c r="A39" s="9" t="inlineStr">
        <is>
          <t>ing_pb_print</t>
        </is>
      </c>
      <c r="B39" s="21" t="inlineStr">
        <is>
          <t>IngramSpark print cost, 32-page color paperback</t>
        </is>
      </c>
      <c r="C39" s="29" t="n">
        <v>3.24</v>
      </c>
      <c r="F39" s="7" t="inlineStr">
        <is>
          <t>$ per copy</t>
        </is>
      </c>
      <c r="G39" s="21" t="inlineStr">
        <is>
          <t>Proxy: KDP premium-color formula from listing.json.</t>
        </is>
      </c>
      <c r="H39" s="7" t="inlineStr">
        <is>
          <t>Assumption [VERIFY]</t>
        </is>
      </c>
    </row>
    <row r="40">
      <c r="A40" s="9" t="inlineStr">
        <is>
          <t>mor_pct</t>
        </is>
      </c>
      <c r="B40" s="21" t="inlineStr">
        <is>
          <t>Merchant of record (Gumroad) fee</t>
        </is>
      </c>
      <c r="C40" s="26" t="n">
        <v>0.1</v>
      </c>
      <c r="F40" s="7" t="inlineStr">
        <is>
          <t>% of price</t>
        </is>
      </c>
      <c r="G40" s="21" t="inlineStr">
        <is>
          <t>storefront-setup-guide §13; legal/international-plan.md (UNVERIFIED). Covers card processing, US sales tax and EU/UK VAT.</t>
        </is>
      </c>
      <c r="H40" s="7" t="inlineStr">
        <is>
          <t>Repo [VERIFY]</t>
        </is>
      </c>
    </row>
    <row r="41">
      <c r="A41" s="9" t="inlineStr">
        <is>
          <t>mor_fix</t>
        </is>
      </c>
      <c r="B41" s="21" t="inlineStr">
        <is>
          <t>Merchant of record fixed fee</t>
        </is>
      </c>
      <c r="C41" s="29" t="n">
        <v>0.5</v>
      </c>
      <c r="F41" s="7" t="inlineStr">
        <is>
          <t>$ per order</t>
        </is>
      </c>
      <c r="G41" s="21" t="inlineStr">
        <is>
          <t>Same source.</t>
        </is>
      </c>
      <c r="H41" s="7" t="inlineStr">
        <is>
          <t>Repo [VERIFY]</t>
        </is>
      </c>
    </row>
    <row r="42">
      <c r="A42" s="9" t="inlineStr">
        <is>
          <t>tpt_payout</t>
        </is>
      </c>
      <c r="B42" s="21" t="inlineStr">
        <is>
          <t>Teachers Pay Teachers payout (Basic seller)</t>
        </is>
      </c>
      <c r="C42" s="26" t="n">
        <v>0.55</v>
      </c>
      <c r="F42" s="7" t="inlineStr">
        <is>
          <t>% of price</t>
        </is>
      </c>
      <c r="G42" s="21" t="inlineStr">
        <is>
          <t>DEMAND-CHECK rule 10; money-and-tax fees table (UNVERIFIED).</t>
        </is>
      </c>
      <c r="H42" s="7" t="inlineStr">
        <is>
          <t>Repo [VERIFY]</t>
        </is>
      </c>
    </row>
    <row r="43">
      <c r="A43" s="9" t="inlineStr">
        <is>
          <t>tpt_fix</t>
        </is>
      </c>
      <c r="B43" s="21" t="inlineStr">
        <is>
          <t>TPT per-resource transaction fee</t>
        </is>
      </c>
      <c r="C43" s="29" t="n">
        <v>0.3</v>
      </c>
      <c r="F43" s="7" t="inlineStr">
        <is>
          <t>$ per sale</t>
        </is>
      </c>
      <c r="G43" s="21" t="inlineStr">
        <is>
          <t>Same source.</t>
        </is>
      </c>
      <c r="H43" s="7" t="inlineStr">
        <is>
          <t>Repo [VERIFY]</t>
        </is>
      </c>
    </row>
    <row r="44">
      <c r="A44" s="9" t="inlineStr">
        <is>
          <t>amz_ref</t>
        </is>
      </c>
      <c r="B44" s="21" t="inlineStr">
        <is>
          <t>Amazon Seller Central / FBA referral fee</t>
        </is>
      </c>
      <c r="C44" s="26" t="n">
        <v>0.15</v>
      </c>
      <c r="F44" s="7" t="inlineStr">
        <is>
          <t>% of price</t>
        </is>
      </c>
      <c r="G44" s="21" t="inlineStr">
        <is>
          <t>storefront-setup-guide §19 ('about 15%', UNVERIFIED).</t>
        </is>
      </c>
      <c r="H44" s="7" t="inlineStr">
        <is>
          <t>Repo [VERIFY]</t>
        </is>
      </c>
    </row>
    <row r="45">
      <c r="A45" s="9" t="inlineStr">
        <is>
          <t>fba_fee</t>
        </is>
      </c>
      <c r="B45" s="21" t="inlineStr">
        <is>
          <t>Amazon FBA fulfilment fee per board book</t>
        </is>
      </c>
      <c r="C45" s="29" t="n">
        <v>3.5</v>
      </c>
      <c r="F45" s="7" t="inlineStr">
        <is>
          <t>$ per unit</t>
        </is>
      </c>
      <c r="G45" s="21" t="inlineStr">
        <is>
          <t>Not in the repo.</t>
        </is>
      </c>
      <c r="H45" s="7" t="inlineStr">
        <is>
          <t>[VERIFY]</t>
        </is>
      </c>
    </row>
    <row r="46">
      <c r="A46" s="9" t="inlineStr">
        <is>
          <t>amz_closing</t>
        </is>
      </c>
      <c r="B46" s="21" t="inlineStr">
        <is>
          <t>Amazon closing fee on books (media categories)</t>
        </is>
      </c>
      <c r="C46" s="29" t="n">
        <v>1.8</v>
      </c>
      <c r="F46" s="7" t="inlineStr">
        <is>
          <t>$ per unit</t>
        </is>
      </c>
      <c r="G46" s="21" t="inlineStr">
        <is>
          <t>Not in the repo; applies to third-party sales in media categories.</t>
        </is>
      </c>
      <c r="H46" s="7" t="inlineStr">
        <is>
          <t>[VERIFY]</t>
        </is>
      </c>
    </row>
    <row r="47">
      <c r="A47" s="9" t="inlineStr">
        <is>
          <t>fba_storage</t>
        </is>
      </c>
      <c r="B47" s="21" t="inlineStr">
        <is>
          <t>FBA monthly, long-term storage and inbound placement allowance</t>
        </is>
      </c>
      <c r="C47" s="29" t="n">
        <v>0.4</v>
      </c>
      <c r="F47" s="7" t="inlineStr">
        <is>
          <t>$ per unit sold</t>
        </is>
      </c>
      <c r="G47" s="21" t="inlineStr">
        <is>
          <t>Not in the repo; allowance per unit sold.</t>
        </is>
      </c>
      <c r="H47" s="7" t="inlineStr">
        <is>
          <t>Assumption [VERIFY]</t>
        </is>
      </c>
    </row>
    <row r="48">
      <c r="A48" s="9" t="inlineStr">
        <is>
          <t>ship_sub</t>
        </is>
      </c>
      <c r="B48" s="21" t="inlineStr">
        <is>
          <t>Postage absorbed per own-site board-book order (free shipping over a threshold)</t>
        </is>
      </c>
      <c r="C48" s="29" t="n">
        <v>2</v>
      </c>
      <c r="F48" s="7" t="inlineStr">
        <is>
          <t>$ per order</t>
        </is>
      </c>
      <c r="G48" s="21" t="inlineStr">
        <is>
          <t>Free shipping is the market norm; assume the business absorbs about $2 of each order's postage.</t>
        </is>
      </c>
      <c r="H48" s="7" t="inlineStr">
        <is>
          <t>Assumption [VERIFY]</t>
        </is>
      </c>
    </row>
    <row r="49">
      <c r="A49" s="9" t="inlineStr">
        <is>
          <t>faire_comm</t>
        </is>
      </c>
      <c r="B49" s="21" t="inlineStr">
        <is>
          <t>Faire commission (orders from retailers Faire finds)</t>
        </is>
      </c>
      <c r="C49" s="26" t="n">
        <v>0.15</v>
      </c>
      <c r="F49" s="7" t="inlineStr">
        <is>
          <t>% of wholesale</t>
        </is>
      </c>
      <c r="G49" s="21" t="inlineStr">
        <is>
          <t>storefront-setup-guide §19; 0% on Faire Direct.</t>
        </is>
      </c>
      <c r="H49" s="7" t="inlineStr">
        <is>
          <t>Repo [VERIFY]</t>
        </is>
      </c>
    </row>
    <row r="50">
      <c r="A50" s="9" t="inlineStr">
        <is>
          <t>faire_proc</t>
        </is>
      </c>
      <c r="B50" s="21" t="inlineStr">
        <is>
          <t>Faire payment processing</t>
        </is>
      </c>
      <c r="C50" s="26" t="n">
        <v>0.03</v>
      </c>
      <c r="F50" s="7" t="inlineStr">
        <is>
          <t>% of wholesale</t>
        </is>
      </c>
      <c r="G50" s="21" t="inlineStr">
        <is>
          <t>Same source; conflicting 1.9-3.5% vs flat ~3%.</t>
        </is>
      </c>
      <c r="H50" s="7" t="inlineStr">
        <is>
          <t>Repo [VERIFY]</t>
        </is>
      </c>
    </row>
    <row r="51">
      <c r="A51" s="9" t="inlineStr">
        <is>
          <t>whsl_pct</t>
        </is>
      </c>
      <c r="B51" s="21" t="inlineStr">
        <is>
          <t>Wholesale price as % of retail</t>
        </is>
      </c>
      <c r="C51" s="26" t="n">
        <v>0.5</v>
      </c>
      <c r="F51" s="7" t="inlineStr">
        <is>
          <t>% of retail</t>
        </is>
      </c>
      <c r="G51" s="21" t="inlineStr">
        <is>
          <t>marketing/AMAZON-AND-RETAIL-ROADMAP.md B4; board-up-go-more/listing.json.</t>
        </is>
      </c>
      <c r="H51" s="7" t="inlineStr">
        <is>
          <t>Repo</t>
        </is>
      </c>
    </row>
    <row r="52">
      <c r="A52" s="9" t="inlineStr">
        <is>
          <t>bigbox_ref</t>
        </is>
      </c>
      <c r="B52" s="21" t="inlineStr">
        <is>
          <t>Walmart Marketplace / Target Plus referral fee</t>
        </is>
      </c>
      <c r="C52" s="26" t="n">
        <v>0.15</v>
      </c>
      <c r="F52" s="7" t="inlineStr">
        <is>
          <t>% of price</t>
        </is>
      </c>
      <c r="G52" s="21" t="inlineStr">
        <is>
          <t>Walmart books about 15% (storefront guide §19, UNVERIFIED). Target Plus is invitation-only; its terms are not in the repo.</t>
        </is>
      </c>
      <c r="H52" s="7" t="inlineStr">
        <is>
          <t>[VERIFY]</t>
        </is>
      </c>
    </row>
    <row r="53">
      <c r="A53" s="9" t="inlineStr">
        <is>
          <t>retail_deduct</t>
        </is>
      </c>
      <c r="B53" s="21" t="inlineStr">
        <is>
          <t>Retail deductions and chargebacks allowance</t>
        </is>
      </c>
      <c r="C53" s="26" t="n">
        <v>0.05</v>
      </c>
      <c r="F53" s="7" t="inlineStr">
        <is>
          <t>% of price</t>
        </is>
      </c>
      <c r="G53" s="21" t="inlineStr">
        <is>
          <t>Not in the repo; big-box programs deduct for compliance misses.</t>
        </is>
      </c>
      <c r="H53" s="7" t="inlineStr">
        <is>
          <t>[VERIFY]</t>
        </is>
      </c>
    </row>
    <row r="54">
      <c r="A54" s="9" t="inlineStr">
        <is>
          <t>tee_pod</t>
        </is>
      </c>
      <c r="B54" s="21" t="inlineStr">
        <is>
          <t>Adult tee: POD base cost incl. print</t>
        </is>
      </c>
      <c r="C54" s="29" t="n">
        <v>12.5</v>
      </c>
      <c r="F54" s="7" t="inlineStr">
        <is>
          <t>$ per unit</t>
        </is>
      </c>
      <c r="G54" s="21" t="inlineStr">
        <is>
          <t>Not in the repo; shipping assumed charged to the buyer. Tee is weight 0 until trademark clearance (Wave 3).</t>
        </is>
      </c>
      <c r="H54" s="7" t="inlineStr">
        <is>
          <t>[VERIFY]</t>
        </is>
      </c>
    </row>
    <row r="56">
      <c r="A56" s="5" t="inlineStr">
        <is>
          <t>3. Physical products: board book (gated option) and retail stock</t>
        </is>
      </c>
      <c r="B56" s="6" t="n"/>
      <c r="C56" s="6" t="n"/>
      <c r="D56" s="6" t="n"/>
      <c r="E56" s="6" t="n"/>
      <c r="F56" s="6" t="n"/>
      <c r="G56" s="6" t="n"/>
      <c r="H56" s="6" t="n"/>
    </row>
    <row r="57">
      <c r="A57" s="9" t="inlineStr">
        <is>
          <t>bb_price</t>
        </is>
      </c>
      <c r="B57" s="21" t="inlineStr">
        <is>
          <t>Board book retail price (Up! Go! More!)</t>
        </is>
      </c>
      <c r="C57" s="29" t="n">
        <v>12.99</v>
      </c>
      <c r="F57" s="7" t="inlineStr">
        <is>
          <t>$</t>
        </is>
      </c>
      <c r="G57" s="21" t="inlineStr">
        <is>
          <t>DEMAND-CHECK §4 rule 9; board-up-go-more/listing.json.</t>
        </is>
      </c>
      <c r="H57" s="7" t="inlineStr">
        <is>
          <t>Repo</t>
        </is>
      </c>
    </row>
    <row r="58">
      <c r="A58" s="9" t="inlineStr">
        <is>
          <t>min_run</t>
        </is>
      </c>
      <c r="B58" s="21" t="inlineStr">
        <is>
          <t>Planned first offset run</t>
        </is>
      </c>
      <c r="C58" s="31" t="n">
        <v>1000</v>
      </c>
      <c r="F58" s="7" t="inlineStr">
        <is>
          <t>copies</t>
        </is>
      </c>
      <c r="G58" s="21" t="inlineStr">
        <is>
          <t>BLIND-SPOTS #11: quotes at 500, 1,000 and 2,500 copies (5,000 added for a retail edition).</t>
        </is>
      </c>
      <c r="H58" s="7" t="inlineStr">
        <is>
          <t>Assumption</t>
        </is>
      </c>
    </row>
    <row r="59">
      <c r="A59" s="3" t="inlineStr">
        <is>
          <t>ID</t>
        </is>
      </c>
      <c r="B59" s="4" t="inlineStr">
        <is>
          <t>Offset quote table (run size -&gt; print cost per copy)</t>
        </is>
      </c>
      <c r="C59" s="4" t="inlineStr">
        <is>
          <t>Run size</t>
        </is>
      </c>
      <c r="D59" s="4" t="inlineStr">
        <is>
          <t>Cost per copy</t>
        </is>
      </c>
      <c r="E59" s="4" t="inlineStr"/>
      <c r="F59" s="4" t="inlineStr">
        <is>
          <t>Unit</t>
        </is>
      </c>
      <c r="G59" s="4" t="inlineStr">
        <is>
          <t>Source / basis</t>
        </is>
      </c>
      <c r="H59" s="4" t="inlineStr">
        <is>
          <t>Status</t>
        </is>
      </c>
    </row>
    <row r="60">
      <c r="A60" s="9" t="inlineStr">
        <is>
          <t>quote_500</t>
        </is>
      </c>
      <c r="B60" s="7" t="inlineStr">
        <is>
          <t>Quote at 500 copies</t>
        </is>
      </c>
      <c r="C60" s="31" t="n">
        <v>500</v>
      </c>
      <c r="D60" s="29" t="n">
        <v>5.5</v>
      </c>
      <c r="F60" s="7" t="inlineStr">
        <is>
          <t>$ per copy</t>
        </is>
      </c>
      <c r="G60" s="21" t="inlineStr">
        <is>
          <t>Above the BLIND-SPOTS range at a short run; no quote exists.</t>
        </is>
      </c>
      <c r="H60" s="7" t="inlineStr">
        <is>
          <t>Assumption [VERIFY]</t>
        </is>
      </c>
    </row>
    <row r="61">
      <c r="A61" s="9" t="inlineStr">
        <is>
          <t>quote_1000</t>
        </is>
      </c>
      <c r="B61" s="7" t="inlineStr">
        <is>
          <t>Quote at 1,000 copies</t>
        </is>
      </c>
      <c r="C61" s="31" t="n">
        <v>1000</v>
      </c>
      <c r="D61" s="29" t="n">
        <v>4</v>
      </c>
      <c r="F61" s="7" t="inlineStr">
        <is>
          <t>$ per copy</t>
        </is>
      </c>
      <c r="G61" s="21" t="inlineStr">
        <is>
          <t>BLIND-SPOTS #11: $1.80-$4 at 1,000-3,000 copies; a 1,000-copy run sits at the high end.</t>
        </is>
      </c>
      <c r="H61" s="7" t="inlineStr">
        <is>
          <t>Repo [VERIFY]</t>
        </is>
      </c>
    </row>
    <row r="62">
      <c r="A62" s="9" t="inlineStr">
        <is>
          <t>quote_2500</t>
        </is>
      </c>
      <c r="B62" s="7" t="inlineStr">
        <is>
          <t>Quote at 2,500 copies</t>
        </is>
      </c>
      <c r="C62" s="31" t="n">
        <v>2500</v>
      </c>
      <c r="D62" s="29" t="n">
        <v>2.2</v>
      </c>
      <c r="F62" s="7" t="inlineStr">
        <is>
          <t>$ per copy</t>
        </is>
      </c>
      <c r="G62" s="21" t="inlineStr">
        <is>
          <t>Interpolated toward $1.80 at 3,000 copies (BLIND-SPOTS #11).</t>
        </is>
      </c>
      <c r="H62" s="7" t="inlineStr">
        <is>
          <t>Assumption [VERIFY]</t>
        </is>
      </c>
    </row>
    <row r="63">
      <c r="A63" s="9" t="inlineStr">
        <is>
          <t>quote_5000</t>
        </is>
      </c>
      <c r="B63" s="7" t="inlineStr">
        <is>
          <t>Quote at 5,000 copies</t>
        </is>
      </c>
      <c r="C63" s="31" t="n">
        <v>5000</v>
      </c>
      <c r="D63" s="29" t="n">
        <v>1.6</v>
      </c>
      <c r="F63" s="7" t="inlineStr">
        <is>
          <t>$ per copy</t>
        </is>
      </c>
      <c r="G63" s="21" t="inlineStr">
        <is>
          <t>Below the repo range; retail-edition planning figure only.</t>
        </is>
      </c>
      <c r="H63" s="7" t="inlineStr">
        <is>
          <t>Assumption [VERIFY]</t>
        </is>
      </c>
    </row>
    <row r="64">
      <c r="A64" s="9" t="inlineStr">
        <is>
          <t>bb_print</t>
        </is>
      </c>
      <c r="B64" s="7" t="inlineStr">
        <is>
          <t>Offset print cost per copy used in model (quote at the planned run size)</t>
        </is>
      </c>
      <c r="C64" s="32">
        <f>LOOKUP('Assumptions'!$C$58,'Assumptions'!$C$60:$C$63,'Assumptions'!$D$60:$D$63)</f>
        <v/>
      </c>
      <c r="F64" s="7" t="inlineStr">
        <is>
          <t>$ per copy</t>
        </is>
      </c>
      <c r="G64" s="21" t="inlineStr">
        <is>
          <t>Largest quoted run size at or below the planned run.</t>
        </is>
      </c>
      <c r="H64" s="7" t="inlineStr">
        <is>
          <t>Formula</t>
        </is>
      </c>
    </row>
    <row r="65">
      <c r="A65" s="9" t="inlineStr">
        <is>
          <t>freight</t>
        </is>
      </c>
      <c r="B65" s="21" t="inlineStr">
        <is>
          <t>Freight, duties and warehouse receiving</t>
        </is>
      </c>
      <c r="C65" s="26" t="n">
        <v>0.25</v>
      </c>
      <c r="F65" s="7" t="inlineStr">
        <is>
          <t>% of print cost</t>
        </is>
      </c>
      <c r="G65" s="21" t="inlineStr">
        <is>
          <t>BLIND-SPOTS #11 asks quotes to cover shipping, duties and warehouse fees; no figure given.</t>
        </is>
      </c>
      <c r="H65" s="7" t="inlineStr">
        <is>
          <t>Assumption [VERIFY]</t>
        </is>
      </c>
    </row>
    <row r="66">
      <c r="A66" s="9" t="inlineStr">
        <is>
          <t>landed</t>
        </is>
      </c>
      <c r="B66" s="7" t="inlineStr">
        <is>
          <t>Landed cost per copy (print + freight/duties)</t>
        </is>
      </c>
      <c r="C66" s="32">
        <f>'Assumptions'!$C$64*(1+'Assumptions'!$C$65)</f>
        <v/>
      </c>
      <c r="F66" s="7" t="inlineStr">
        <is>
          <t>$ per copy</t>
        </is>
      </c>
      <c r="G66" s="21" t="inlineStr">
        <is>
          <t>Cost rules by channel (section 3.8): own site/FBA at or below 35% of retail; Faire/wholesale 25%; chain 20%.</t>
        </is>
      </c>
      <c r="H66" s="7" t="inlineStr">
        <is>
          <t>Formula</t>
        </is>
      </c>
    </row>
    <row r="67">
      <c r="A67" s="9" t="inlineStr">
        <is>
          <t>pick</t>
        </is>
      </c>
      <c r="B67" s="21" t="inlineStr">
        <is>
          <t>3PL pick, pack and ship-handling per single order</t>
        </is>
      </c>
      <c r="C67" s="29" t="n">
        <v>3.5</v>
      </c>
      <c r="F67" s="7" t="inlineStr">
        <is>
          <t>$ per order</t>
        </is>
      </c>
      <c r="G67" s="21" t="inlineStr">
        <is>
          <t>Not in the repo; postage is a separate line (ship_sub).</t>
        </is>
      </c>
      <c r="H67" s="7" t="inlineStr">
        <is>
          <t>[VERIFY]</t>
        </is>
      </c>
    </row>
    <row r="68">
      <c r="A68" s="9" t="inlineStr">
        <is>
          <t>whs_handle</t>
        </is>
      </c>
      <c r="B68" s="21" t="inlineStr">
        <is>
          <t>3PL handling per unit on wholesale cartons</t>
        </is>
      </c>
      <c r="C68" s="29" t="n">
        <v>1</v>
      </c>
      <c r="F68" s="7" t="inlineStr">
        <is>
          <t>$ per unit</t>
        </is>
      </c>
      <c r="G68" s="21" t="inlineStr">
        <is>
          <t>Not in the repo.</t>
        </is>
      </c>
      <c r="H68" s="7" t="inlineStr">
        <is>
          <t>[VERIFY]</t>
        </is>
      </c>
    </row>
    <row r="69">
      <c r="A69" s="9" t="inlineStr">
        <is>
          <t>tpl_min</t>
        </is>
      </c>
      <c r="B69" s="21" t="inlineStr">
        <is>
          <t>3PL monthly minimum / storage</t>
        </is>
      </c>
      <c r="C69" s="27" t="n">
        <v>150</v>
      </c>
      <c r="F69" s="7" t="inlineStr">
        <is>
          <t>$ per month</t>
        </is>
      </c>
      <c r="G69" s="21" t="inlineStr">
        <is>
          <t>Not in the repo; replace with written 3PL quotes (many 3PLs set higher minimums).</t>
        </is>
      </c>
      <c r="H69" s="7" t="inlineStr">
        <is>
          <t>[VERIFY]</t>
        </is>
      </c>
    </row>
    <row r="70">
      <c r="A70" s="9" t="inlineStr">
        <is>
          <t>seller_central</t>
        </is>
      </c>
      <c r="B70" s="21" t="inlineStr">
        <is>
          <t>Amazon Seller Central Professional plan</t>
        </is>
      </c>
      <c r="C70" s="29" t="n">
        <v>39.99</v>
      </c>
      <c r="F70" s="7" t="inlineStr">
        <is>
          <t>$ per month</t>
        </is>
      </c>
      <c r="G70" s="21" t="inlineStr">
        <is>
          <t>storefront-setup-guide §19 (UNVERIFIED).</t>
        </is>
      </c>
      <c r="H70" s="7" t="inlineStr">
        <is>
          <t>Repo [VERIFY]</t>
        </is>
      </c>
    </row>
    <row r="71">
      <c r="A71" s="9" t="inlineStr">
        <is>
          <t>buffer</t>
        </is>
      </c>
      <c r="B71" s="21" t="inlineStr">
        <is>
          <t>Print buffer over pre-sale units</t>
        </is>
      </c>
      <c r="C71" s="26" t="n">
        <v>0.4</v>
      </c>
      <c r="F71" s="7" t="inlineStr">
        <is>
          <t>%</t>
        </is>
      </c>
      <c r="G71" s="21" t="inlineStr">
        <is>
          <t>BLIND-SPOTS #16: 'Order what sold plus 30-50%'.</t>
        </is>
      </c>
      <c r="H71" s="7" t="inlineStr">
        <is>
          <t>Repo range</t>
        </is>
      </c>
    </row>
    <row r="72">
      <c r="A72" s="9" t="inlineStr">
        <is>
          <t>presale_len</t>
        </is>
      </c>
      <c r="B72" s="21" t="inlineStr">
        <is>
          <t>Pre-sale length before the print decision</t>
        </is>
      </c>
      <c r="C72" s="25" t="n">
        <v>3</v>
      </c>
      <c r="F72" s="7" t="inlineStr">
        <is>
          <t>months</t>
        </is>
      </c>
      <c r="G72" s="21" t="inlineStr">
        <is>
          <t>BLIND-SPOTS #16: three-month pre-sale.</t>
        </is>
      </c>
      <c r="H72" s="7" t="inlineStr">
        <is>
          <t>Repo</t>
        </is>
      </c>
    </row>
    <row r="73">
      <c r="A73" s="9" t="inlineStr">
        <is>
          <t>presale_buf</t>
        </is>
      </c>
      <c r="B73" s="21" t="inlineStr">
        <is>
          <t>Buffer in the pre-sale funding goal</t>
        </is>
      </c>
      <c r="C73" s="26" t="n">
        <v>0.15</v>
      </c>
      <c r="F73" s="7" t="inlineStr">
        <is>
          <t>%</t>
        </is>
      </c>
      <c r="G73" s="21" t="inlineStr">
        <is>
          <t>BLIND-SPOTS #16: goal = printing + shipping + duties + fees + delivery + about 15% buffer.</t>
        </is>
      </c>
      <c r="H73" s="7" t="inlineStr">
        <is>
          <t>Repo</t>
        </is>
      </c>
    </row>
    <row r="74">
      <c r="A74" s="9" t="inlineStr">
        <is>
          <t>presale_fail</t>
        </is>
      </c>
      <c r="B74" s="21" t="inlineStr">
        <is>
          <t>Cost of a pre-sale that misses the go line (card fees not returned on refunds)</t>
        </is>
      </c>
      <c r="C74" s="27" t="n">
        <v>100</v>
      </c>
      <c r="F74" s="7" t="inlineStr">
        <is>
          <t>$</t>
        </is>
      </c>
      <c r="G74" s="21" t="inlineStr">
        <is>
          <t>Assumption. Below the go line the pre-sale is refunded in full and the talk-along paperback stays on print-on-demand (section 3.10 rule 4).</t>
        </is>
      </c>
      <c r="H74" s="7" t="inlineStr">
        <is>
          <t>Assumption</t>
        </is>
      </c>
    </row>
    <row r="75">
      <c r="A75" s="9" t="inlineStr">
        <is>
          <t>reorder_lead</t>
        </is>
      </c>
      <c r="B75" s="21" t="inlineStr">
        <is>
          <t>Reorder lead time (print + freight)</t>
        </is>
      </c>
      <c r="C75" s="25" t="n">
        <v>3</v>
      </c>
      <c r="F75" s="7" t="inlineStr">
        <is>
          <t>months</t>
        </is>
      </c>
      <c r="G75" s="21" t="inlineStr">
        <is>
          <t>Not in the repo; offset printing abroad plus ocean freight commonly takes 2-4 months.</t>
        </is>
      </c>
      <c r="H75" s="7" t="inlineStr">
        <is>
          <t>Assumption [VERIFY]</t>
        </is>
      </c>
    </row>
    <row r="76">
      <c r="A76" s="9" t="inlineStr">
        <is>
          <t>school_setup</t>
        </is>
      </c>
      <c r="B76" s="21" t="inlineStr">
        <is>
          <t>School/group wave one-time setup (TPT Premium, purchasing kit, host-kit build, counsel review of terms, fraud-check SOP)</t>
        </is>
      </c>
      <c r="C76" s="27" t="n">
        <v>739</v>
      </c>
      <c r="F76" s="7" t="inlineStr">
        <is>
          <t>$</t>
        </is>
      </c>
      <c r="G76" s="21" t="inlineStr">
        <is>
          <t>TPT Premium $59.95/yr and purchasing kit $0-50 (MARKETING-PLAYBOOK); host kit $0-100; counsel review of license and PO terms about $500 (assumption).</t>
        </is>
      </c>
      <c r="H76" s="7" t="inlineStr">
        <is>
          <t>Repo + Assumption</t>
        </is>
      </c>
    </row>
    <row r="77">
      <c r="A77" s="9" t="inlineStr">
        <is>
          <t>retail_lead</t>
        </is>
      </c>
      <c r="B77" s="21" t="inlineStr">
        <is>
          <t>Retail readiness spend lead time before retail launch</t>
        </is>
      </c>
      <c r="C77" s="25" t="n">
        <v>3</v>
      </c>
      <c r="F77" s="7" t="inlineStr">
        <is>
          <t>months</t>
        </is>
      </c>
      <c r="G77" s="21" t="inlineStr">
        <is>
          <t>Readiness checklist must be done before pitching (AMAZON-AND-RETAIL-ROADMAP B5).</t>
        </is>
      </c>
      <c r="H77" s="7" t="inlineStr">
        <is>
          <t>Assumption</t>
        </is>
      </c>
    </row>
    <row r="79">
      <c r="A79" s="5" t="inlineStr">
        <is>
          <t>4. Payout delay by channel (months after the sale month)</t>
        </is>
      </c>
      <c r="B79" s="6" t="n"/>
      <c r="C79" s="6" t="n"/>
      <c r="D79" s="6" t="n"/>
      <c r="E79" s="6" t="n"/>
      <c r="F79" s="6" t="n"/>
      <c r="G79" s="6" t="n"/>
      <c r="H79" s="6" t="n"/>
    </row>
    <row r="80">
      <c r="A80" s="9" t="inlineStr">
        <is>
          <t>lag_SITE</t>
        </is>
      </c>
      <c r="B80" s="21" t="inlineStr">
        <is>
          <t>Payout delay: Own site: printables and PDFs (Shopify)</t>
        </is>
      </c>
      <c r="C80" s="25" t="n">
        <v>0</v>
      </c>
      <c r="F80" s="7" t="inlineStr">
        <is>
          <t>months</t>
        </is>
      </c>
      <c r="G80" s="21" t="inlineStr">
        <is>
          <t>Shopify Payments pays out within days (storefront guide A6).</t>
        </is>
      </c>
      <c r="H80" s="7" t="inlineStr">
        <is>
          <t>Repo</t>
        </is>
      </c>
    </row>
    <row r="81">
      <c r="A81" s="9" t="inlineStr">
        <is>
          <t>lag_ETSY</t>
        </is>
      </c>
      <c r="B81" s="21" t="inlineStr">
        <is>
          <t>Payout delay: Etsy: printables</t>
        </is>
      </c>
      <c r="C81" s="25" t="n">
        <v>1</v>
      </c>
      <c r="F81" s="7" t="inlineStr">
        <is>
          <t>months</t>
        </is>
      </c>
      <c r="G81" s="21" t="inlineStr">
        <is>
          <t>Etsy deposits on a schedule, but new sellers face a 14-day hold and a possible rolling reserve (section 5 risk 1); one month assumed.</t>
        </is>
      </c>
      <c r="H81" s="7" t="inlineStr">
        <is>
          <t>Assumption</t>
        </is>
      </c>
    </row>
    <row r="82">
      <c r="A82" s="9" t="inlineStr">
        <is>
          <t>lag_KDP</t>
        </is>
      </c>
      <c r="B82" s="21" t="inlineStr">
        <is>
          <t>Payout delay: Amazon KDP: paperbacks</t>
        </is>
      </c>
      <c r="C82" s="25" t="n">
        <v>2</v>
      </c>
      <c r="F82" s="7" t="inlineStr">
        <is>
          <t>months</t>
        </is>
      </c>
      <c r="G82" s="21" t="inlineStr">
        <is>
          <t>KDP pays about 60 days after month end (A6).</t>
        </is>
      </c>
      <c r="H82" s="7" t="inlineStr">
        <is>
          <t>Repo</t>
        </is>
      </c>
    </row>
    <row r="83">
      <c r="A83" s="9" t="inlineStr">
        <is>
          <t>lag_INGRAM</t>
        </is>
      </c>
      <c r="B83" s="21" t="inlineStr">
        <is>
          <t>Payout delay: IngramSpark: paperbacks to bookstores and libraries</t>
        </is>
      </c>
      <c r="C83" s="25" t="n">
        <v>3</v>
      </c>
      <c r="F83" s="7" t="inlineStr">
        <is>
          <t>months</t>
        </is>
      </c>
      <c r="G83" s="21" t="inlineStr">
        <is>
          <t>IngramSpark pays about 90 days after month end (A6, UNVERIFIED).</t>
        </is>
      </c>
      <c r="H83" s="7" t="inlineStr">
        <is>
          <t>Repo</t>
        </is>
      </c>
    </row>
    <row r="84">
      <c r="A84" s="9" t="inlineStr">
        <is>
          <t>lag_MOR</t>
        </is>
      </c>
      <c r="B84" s="21" t="inlineStr">
        <is>
          <t>Payout delay: International digital via merchant of record (Gumroad)</t>
        </is>
      </c>
      <c r="C84" s="25" t="n">
        <v>0</v>
      </c>
      <c r="F84" s="7" t="inlineStr">
        <is>
          <t>months</t>
        </is>
      </c>
      <c r="G84" s="21" t="inlineStr">
        <is>
          <t>Gumroad pays weekly (A6, UNVERIFIED).</t>
        </is>
      </c>
      <c r="H84" s="7" t="inlineStr">
        <is>
          <t>Repo</t>
        </is>
      </c>
    </row>
    <row r="85">
      <c r="A85" s="9" t="inlineStr">
        <is>
          <t>lag_COURSE</t>
        </is>
      </c>
      <c r="B85" s="21" t="inlineStr">
        <is>
          <t>Payout delay: 30-Day Screen Reset written course (Wave 2)</t>
        </is>
      </c>
      <c r="C85" s="25" t="n">
        <v>0</v>
      </c>
      <c r="F85" s="7" t="inlineStr">
        <is>
          <t>months</t>
        </is>
      </c>
      <c r="G85" s="21" t="inlineStr">
        <is>
          <t>Sold on Shopify; same payout timing.</t>
        </is>
      </c>
      <c r="H85" s="7" t="inlineStr">
        <is>
          <t>Repo</t>
        </is>
      </c>
    </row>
    <row r="86">
      <c r="A86" s="9" t="inlineStr">
        <is>
          <t>lag_BOARD</t>
        </is>
      </c>
      <c r="B86" s="21" t="inlineStr">
        <is>
          <t>Payout delay: Board book: pre-sale, then 3PL and Amazon FBA (gated option; off in base)</t>
        </is>
      </c>
      <c r="C86" s="25" t="n">
        <v>0</v>
      </c>
      <c r="F86" s="7" t="inlineStr">
        <is>
          <t>months</t>
        </is>
      </c>
      <c r="G86" s="21" t="inlineStr">
        <is>
          <t>Shopify within days; Seller Central about every 14 days (A6).</t>
        </is>
      </c>
      <c r="H86" s="7" t="inlineStr">
        <is>
          <t>Repo</t>
        </is>
      </c>
    </row>
    <row r="87">
      <c r="A87" s="9" t="inlineStr">
        <is>
          <t>lag_SCHOOL</t>
        </is>
      </c>
      <c r="B87" s="21" t="inlineStr">
        <is>
          <t>Payout delay: School and group licenses + TPT (overlay only if counsel clears in writing; off in base)</t>
        </is>
      </c>
      <c r="C87" s="25" t="n">
        <v>1</v>
      </c>
      <c r="F87" s="7" t="inlineStr">
        <is>
          <t>months</t>
        </is>
      </c>
      <c r="G87" s="21" t="inlineStr">
        <is>
          <t>TPT pays monthly; school invoices are net-30 (commerce/PAYMENTS.md).</t>
        </is>
      </c>
      <c r="H87" s="7" t="inlineStr">
        <is>
          <t>Repo</t>
        </is>
      </c>
    </row>
    <row r="88">
      <c r="A88" s="9" t="inlineStr">
        <is>
          <t>lag_RETAIL</t>
        </is>
      </c>
      <c r="B88" s="21" t="inlineStr">
        <is>
          <t>Payout delay: Retail and wholesale: Faire, Walmart Marketplace (off in base)</t>
        </is>
      </c>
      <c r="C88" s="25" t="n">
        <v>1</v>
      </c>
      <c r="F88" s="7" t="inlineStr">
        <is>
          <t>months</t>
        </is>
      </c>
      <c r="G88" s="21" t="inlineStr">
        <is>
          <t>Faire/Walmart settlement timing UNVERIFIED; one month assumed.</t>
        </is>
      </c>
      <c r="H88" s="7" t="inlineStr">
        <is>
          <t>Assumption</t>
        </is>
      </c>
    </row>
    <row r="90">
      <c r="A90" s="5" t="inlineStr">
        <is>
          <t>5. Seasonality index by calendar month (the forecast divides by the 12-month average, so the index always averages 1.00)</t>
        </is>
      </c>
      <c r="B90" s="6" t="n"/>
      <c r="C90" s="6" t="n"/>
      <c r="D90" s="6" t="n"/>
      <c r="E90" s="6" t="n"/>
      <c r="F90" s="6" t="n"/>
      <c r="G90" s="6" t="n"/>
      <c r="H90" s="6" t="n"/>
    </row>
    <row r="91">
      <c r="A91" s="3" t="inlineStr">
        <is>
          <t>ID</t>
        </is>
      </c>
      <c r="B91" s="4" t="inlineStr">
        <is>
          <t>Calendar month</t>
        </is>
      </c>
      <c r="C91" s="4" t="inlineStr">
        <is>
          <t>Consumer index</t>
        </is>
      </c>
      <c r="D91" s="4" t="inlineStr">
        <is>
          <t>School / group index</t>
        </is>
      </c>
      <c r="E91" s="4" t="inlineStr"/>
      <c r="F91" s="4" t="inlineStr">
        <is>
          <t>Unit</t>
        </is>
      </c>
      <c r="G91" s="4" t="inlineStr">
        <is>
          <t>Source / basis</t>
        </is>
      </c>
      <c r="H91" s="4" t="inlineStr">
        <is>
          <t>Status</t>
        </is>
      </c>
    </row>
    <row r="92">
      <c r="A92" s="9" t="inlineStr">
        <is>
          <t>season_1</t>
        </is>
      </c>
      <c r="B92" s="7" t="inlineStr">
        <is>
          <t>Jan</t>
        </is>
      </c>
      <c r="C92" s="33" t="n">
        <v>1.25</v>
      </c>
      <c r="D92" s="33" t="n">
        <v>1.1</v>
      </c>
      <c r="F92" s="7" t="inlineStr">
        <is>
          <t>index</t>
        </is>
      </c>
      <c r="G92" s="21" t="inlineStr">
        <is>
          <t>Shape follows the repo calendar: January Reset launch (Wave 2), spring Screen-Free Week, summer kits listed in March, holiday gifts Nov-Dec (BLIND-SPOTS #2, #6; DEMAND-CHECK rule 7). School index follows the school year. Levels are assumptions.</t>
        </is>
      </c>
      <c r="H92" s="7" t="inlineStr">
        <is>
          <t>Assumption</t>
        </is>
      </c>
    </row>
    <row r="93">
      <c r="A93" s="9" t="inlineStr">
        <is>
          <t>season_2</t>
        </is>
      </c>
      <c r="B93" s="7" t="inlineStr">
        <is>
          <t>Feb</t>
        </is>
      </c>
      <c r="C93" s="33" t="n">
        <v>0.9</v>
      </c>
      <c r="D93" s="33" t="n">
        <v>1</v>
      </c>
      <c r="F93" s="7" t="inlineStr">
        <is>
          <t>index</t>
        </is>
      </c>
      <c r="H93" s="7" t="inlineStr">
        <is>
          <t>Assumption</t>
        </is>
      </c>
    </row>
    <row r="94">
      <c r="A94" s="9" t="inlineStr">
        <is>
          <t>season_3</t>
        </is>
      </c>
      <c r="B94" s="7" t="inlineStr">
        <is>
          <t>Mar</t>
        </is>
      </c>
      <c r="C94" s="33" t="n">
        <v>1</v>
      </c>
      <c r="D94" s="33" t="n">
        <v>1</v>
      </c>
      <c r="F94" s="7" t="inlineStr">
        <is>
          <t>index</t>
        </is>
      </c>
      <c r="H94" s="7" t="inlineStr">
        <is>
          <t>Assumption</t>
        </is>
      </c>
    </row>
    <row r="95">
      <c r="A95" s="9" t="inlineStr">
        <is>
          <t>season_4</t>
        </is>
      </c>
      <c r="B95" s="7" t="inlineStr">
        <is>
          <t>Apr</t>
        </is>
      </c>
      <c r="C95" s="33" t="n">
        <v>1.05</v>
      </c>
      <c r="D95" s="33" t="n">
        <v>0.9</v>
      </c>
      <c r="F95" s="7" t="inlineStr">
        <is>
          <t>index</t>
        </is>
      </c>
      <c r="H95" s="7" t="inlineStr">
        <is>
          <t>Assumption</t>
        </is>
      </c>
    </row>
    <row r="96">
      <c r="A96" s="9" t="inlineStr">
        <is>
          <t>season_5</t>
        </is>
      </c>
      <c r="B96" s="7" t="inlineStr">
        <is>
          <t>May</t>
        </is>
      </c>
      <c r="C96" s="33" t="n">
        <v>0.95</v>
      </c>
      <c r="D96" s="33" t="n">
        <v>0.7</v>
      </c>
      <c r="F96" s="7" t="inlineStr">
        <is>
          <t>index</t>
        </is>
      </c>
      <c r="H96" s="7" t="inlineStr">
        <is>
          <t>Assumption</t>
        </is>
      </c>
    </row>
    <row r="97">
      <c r="A97" s="9" t="inlineStr">
        <is>
          <t>season_6</t>
        </is>
      </c>
      <c r="B97" s="7" t="inlineStr">
        <is>
          <t>Jun</t>
        </is>
      </c>
      <c r="C97" s="33" t="n">
        <v>1</v>
      </c>
      <c r="D97" s="33" t="n">
        <v>0.4</v>
      </c>
      <c r="F97" s="7" t="inlineStr">
        <is>
          <t>index</t>
        </is>
      </c>
      <c r="H97" s="7" t="inlineStr">
        <is>
          <t>Assumption</t>
        </is>
      </c>
    </row>
    <row r="98">
      <c r="A98" s="9" t="inlineStr">
        <is>
          <t>season_7</t>
        </is>
      </c>
      <c r="B98" s="7" t="inlineStr">
        <is>
          <t>Jul</t>
        </is>
      </c>
      <c r="C98" s="33" t="n">
        <v>0.95</v>
      </c>
      <c r="D98" s="33" t="n">
        <v>0.6</v>
      </c>
      <c r="F98" s="7" t="inlineStr">
        <is>
          <t>index</t>
        </is>
      </c>
      <c r="H98" s="7" t="inlineStr">
        <is>
          <t>Assumption</t>
        </is>
      </c>
    </row>
    <row r="99">
      <c r="A99" s="9" t="inlineStr">
        <is>
          <t>season_8</t>
        </is>
      </c>
      <c r="B99" s="7" t="inlineStr">
        <is>
          <t>Aug</t>
        </is>
      </c>
      <c r="C99" s="33" t="n">
        <v>0.85</v>
      </c>
      <c r="D99" s="33" t="n">
        <v>1.3</v>
      </c>
      <c r="F99" s="7" t="inlineStr">
        <is>
          <t>index</t>
        </is>
      </c>
      <c r="H99" s="7" t="inlineStr">
        <is>
          <t>Assumption</t>
        </is>
      </c>
    </row>
    <row r="100">
      <c r="A100" s="9" t="inlineStr">
        <is>
          <t>season_9</t>
        </is>
      </c>
      <c r="B100" s="7" t="inlineStr">
        <is>
          <t>Sep</t>
        </is>
      </c>
      <c r="C100" s="33" t="n">
        <v>0.85</v>
      </c>
      <c r="D100" s="33" t="n">
        <v>1.4</v>
      </c>
      <c r="F100" s="7" t="inlineStr">
        <is>
          <t>index</t>
        </is>
      </c>
      <c r="H100" s="7" t="inlineStr">
        <is>
          <t>Assumption</t>
        </is>
      </c>
    </row>
    <row r="101">
      <c r="A101" s="9" t="inlineStr">
        <is>
          <t>season_10</t>
        </is>
      </c>
      <c r="B101" s="7" t="inlineStr">
        <is>
          <t>Oct</t>
        </is>
      </c>
      <c r="C101" s="33" t="n">
        <v>0.95</v>
      </c>
      <c r="D101" s="33" t="n">
        <v>1.2</v>
      </c>
      <c r="F101" s="7" t="inlineStr">
        <is>
          <t>index</t>
        </is>
      </c>
      <c r="H101" s="7" t="inlineStr">
        <is>
          <t>Assumption</t>
        </is>
      </c>
    </row>
    <row r="102">
      <c r="A102" s="9" t="inlineStr">
        <is>
          <t>season_11</t>
        </is>
      </c>
      <c r="B102" s="7" t="inlineStr">
        <is>
          <t>Nov</t>
        </is>
      </c>
      <c r="C102" s="33" t="n">
        <v>1.3</v>
      </c>
      <c r="D102" s="33" t="n">
        <v>1</v>
      </c>
      <c r="F102" s="7" t="inlineStr">
        <is>
          <t>index</t>
        </is>
      </c>
      <c r="H102" s="7" t="inlineStr">
        <is>
          <t>Assumption</t>
        </is>
      </c>
    </row>
    <row r="103">
      <c r="A103" s="9" t="inlineStr">
        <is>
          <t>season_12</t>
        </is>
      </c>
      <c r="B103" s="7" t="inlineStr">
        <is>
          <t>Dec</t>
        </is>
      </c>
      <c r="C103" s="33" t="n">
        <v>1.35</v>
      </c>
      <c r="D103" s="33" t="n">
        <v>0.7</v>
      </c>
      <c r="F103" s="7" t="inlineStr">
        <is>
          <t>index</t>
        </is>
      </c>
      <c r="H103" s="7" t="inlineStr">
        <is>
          <t>Assumption</t>
        </is>
      </c>
    </row>
    <row r="105">
      <c r="A105" s="5" t="inlineStr">
        <is>
          <t>6. Scenario drivers: traffic -&gt; conversion -&gt; orders -&gt; order value (yellow = key levers)</t>
        </is>
      </c>
      <c r="B105" s="6" t="n"/>
      <c r="C105" s="6" t="n"/>
      <c r="D105" s="6" t="n"/>
      <c r="E105" s="6" t="n"/>
      <c r="F105" s="6" t="n"/>
      <c r="G105" s="6" t="n"/>
      <c r="H105" s="6" t="n"/>
    </row>
    <row r="106">
      <c r="A106" s="3" t="inlineStr">
        <is>
          <t>ID</t>
        </is>
      </c>
      <c r="B106" s="4" t="inlineStr">
        <is>
          <t>Driver</t>
        </is>
      </c>
      <c r="C106" s="4" t="inlineStr">
        <is>
          <t>Conservative</t>
        </is>
      </c>
      <c r="D106" s="4" t="inlineStr">
        <is>
          <t>Expected</t>
        </is>
      </c>
      <c r="E106" s="4" t="inlineStr">
        <is>
          <t>Strong</t>
        </is>
      </c>
      <c r="F106" s="4" t="inlineStr">
        <is>
          <t>Unit</t>
        </is>
      </c>
      <c r="G106" s="4" t="inlineStr">
        <is>
          <t>Source / basis</t>
        </is>
      </c>
      <c r="H106" s="4" t="inlineStr">
        <is>
          <t>Status</t>
        </is>
      </c>
    </row>
    <row r="108">
      <c r="A108" s="5" t="inlineStr">
        <is>
          <t>6a. Digital catalog size (drives the own site, Etsy and the merchant of record)</t>
        </is>
      </c>
      <c r="B108" s="6" t="n"/>
      <c r="C108" s="6" t="n"/>
      <c r="D108" s="6" t="n"/>
      <c r="E108" s="6" t="n"/>
      <c r="F108" s="6" t="n"/>
      <c r="G108" s="6" t="n"/>
      <c r="H108" s="6" t="n"/>
    </row>
    <row r="109">
      <c r="A109" s="3" t="inlineStr">
        <is>
          <t>ID</t>
        </is>
      </c>
      <c r="B109" s="4" t="inlineStr">
        <is>
          <t>Driver</t>
        </is>
      </c>
      <c r="C109" s="4" t="inlineStr">
        <is>
          <t>Conservative</t>
        </is>
      </c>
      <c r="D109" s="4" t="inlineStr">
        <is>
          <t>Expected</t>
        </is>
      </c>
      <c r="E109" s="4" t="inlineStr">
        <is>
          <t>Strong</t>
        </is>
      </c>
      <c r="F109" s="4" t="inlineStr">
        <is>
          <t>Unit</t>
        </is>
      </c>
      <c r="G109" s="4" t="inlineStr">
        <is>
          <t>Source / basis</t>
        </is>
      </c>
      <c r="H109" s="4" t="inlineStr">
        <is>
          <t>Status</t>
        </is>
      </c>
    </row>
    <row r="110">
      <c r="A110" s="9" t="inlineStr">
        <is>
          <t>prod_start</t>
        </is>
      </c>
      <c r="B110" s="21" t="inlineStr">
        <is>
          <t>Digital products live in the first-sale month</t>
        </is>
      </c>
      <c r="C110" s="25" t="n">
        <v>5</v>
      </c>
      <c r="D110" s="25" t="n">
        <v>5</v>
      </c>
      <c r="E110" s="25" t="n">
        <v>5</v>
      </c>
      <c r="F110" s="7" t="inlineStr">
        <is>
          <t>products</t>
        </is>
      </c>
      <c r="G110" s="21" t="inlineStr">
        <is>
          <t>The launch-first five (ops/QUEUE.md; section 1.5 counts them as 5 listings).</t>
        </is>
      </c>
      <c r="H110" s="7" t="inlineStr">
        <is>
          <t>Repo</t>
        </is>
      </c>
    </row>
    <row r="111">
      <c r="A111" s="9" t="inlineStr">
        <is>
          <t>prod_add</t>
        </is>
      </c>
      <c r="B111" s="21" t="inlineStr">
        <is>
          <t>Digital products added per month</t>
        </is>
      </c>
      <c r="C111" s="33" t="n">
        <v>0.5</v>
      </c>
      <c r="D111" s="33" t="n">
        <v>0.75</v>
      </c>
      <c r="E111" s="33" t="n">
        <v>1</v>
      </c>
      <c r="F111" s="7" t="inlineStr">
        <is>
          <t>products</t>
        </is>
      </c>
      <c r="G111" s="21" t="inlineStr">
        <is>
          <t>Publish cap is 5 new Etsy listings a week (ops/ROUTINE.md), but each product needs demand evidence first; weak items fold into bundles.</t>
        </is>
      </c>
      <c r="H111" s="7" t="inlineStr">
        <is>
          <t>Assumption</t>
        </is>
      </c>
    </row>
    <row r="112">
      <c r="A112" s="9" t="inlineStr">
        <is>
          <t>prod_cap</t>
        </is>
      </c>
      <c r="B112" s="21" t="inlineStr">
        <is>
          <t>Most digital products live at once</t>
        </is>
      </c>
      <c r="C112" s="25" t="n">
        <v>12</v>
      </c>
      <c r="D112" s="25" t="n">
        <v>15</v>
      </c>
      <c r="E112" s="25" t="n">
        <v>20</v>
      </c>
      <c r="F112" s="7" t="inlineStr">
        <is>
          <t>products</t>
        </is>
      </c>
      <c r="G112" s="21" t="inlineStr">
        <is>
          <t>Kill rule and bundling keep the catalog small (ops/QUEUE.md).</t>
        </is>
      </c>
      <c r="H112" s="7" t="inlineStr">
        <is>
          <t>Assumption</t>
        </is>
      </c>
    </row>
    <row r="114">
      <c r="A114" s="5" t="inlineStr">
        <is>
          <t>6b. Scenario drivers by channel (yellow = key levers)</t>
        </is>
      </c>
      <c r="B114" s="6" t="n"/>
      <c r="C114" s="6" t="n"/>
      <c r="D114" s="6" t="n"/>
      <c r="E114" s="6" t="n"/>
      <c r="F114" s="6" t="n"/>
      <c r="G114" s="6" t="n"/>
      <c r="H114" s="6" t="n"/>
    </row>
    <row r="115">
      <c r="A115" s="3" t="inlineStr">
        <is>
          <t>ID</t>
        </is>
      </c>
      <c r="B115" s="4" t="inlineStr">
        <is>
          <t>Driver</t>
        </is>
      </c>
      <c r="C115" s="4" t="inlineStr">
        <is>
          <t>Conservative</t>
        </is>
      </c>
      <c r="D115" s="4" t="inlineStr">
        <is>
          <t>Expected</t>
        </is>
      </c>
      <c r="E115" s="4" t="inlineStr">
        <is>
          <t>Strong</t>
        </is>
      </c>
      <c r="F115" s="4" t="inlineStr">
        <is>
          <t>Unit</t>
        </is>
      </c>
      <c r="G115" s="4" t="inlineStr">
        <is>
          <t>Source / basis</t>
        </is>
      </c>
      <c r="H115" s="4" t="inlineStr">
        <is>
          <t>Status</t>
        </is>
      </c>
    </row>
    <row r="116">
      <c r="A116" s="34" t="n"/>
      <c r="B116" s="35" t="inlineStr">
        <is>
          <t>Own site: printables and PDFs (Shopify)  |  driver = Product-months live (products x sales index x season)</t>
        </is>
      </c>
      <c r="C116" s="34" t="n"/>
      <c r="D116" s="34" t="n"/>
      <c r="E116" s="34" t="n"/>
      <c r="F116" s="34" t="n"/>
      <c r="G116" s="34" t="n"/>
      <c r="H116" s="34" t="n"/>
    </row>
    <row r="117">
      <c r="A117" s="9" t="inlineStr">
        <is>
          <t>SITE_inc</t>
        </is>
      </c>
      <c r="B117" s="21" t="inlineStr">
        <is>
          <t>Include in scenario (1 = yes, 0 = no)</t>
        </is>
      </c>
      <c r="C117" s="23" t="n">
        <v>1</v>
      </c>
      <c r="D117" s="23" t="n">
        <v>1</v>
      </c>
      <c r="E117" s="23" t="n">
        <v>1</v>
      </c>
      <c r="F117" s="7" t="inlineStr">
        <is>
          <t>flag</t>
        </is>
      </c>
      <c r="G117" s="21" t="inlineStr"/>
      <c r="H117" s="7" t="inlineStr">
        <is>
          <t>Assumption</t>
        </is>
      </c>
    </row>
    <row r="118">
      <c r="A118" s="9" t="inlineStr">
        <is>
          <t>SITE_launch</t>
        </is>
      </c>
      <c r="B118" s="21" t="inlineStr">
        <is>
          <t>Launch month (model month #; never earlier than the first-sale month)</t>
        </is>
      </c>
      <c r="C118" s="25" t="n">
        <v>3</v>
      </c>
      <c r="D118" s="25" t="n">
        <v>3</v>
      </c>
      <c r="E118" s="25" t="n">
        <v>3</v>
      </c>
      <c r="F118" s="7" t="inlineStr">
        <is>
          <t>month #</t>
        </is>
      </c>
      <c r="G118" s="21" t="inlineStr">
        <is>
          <t>Launch-first five (ops/QUEUE.md). Listings are built Oct-Nov; money can be taken only from the first-sale month (Gate A).</t>
        </is>
      </c>
      <c r="H118" s="7" t="inlineStr">
        <is>
          <t>Repo timing</t>
        </is>
      </c>
    </row>
    <row r="119">
      <c r="A119" s="9" t="inlineStr">
        <is>
          <t>SITE_g1</t>
        </is>
      </c>
      <c r="B119" s="21" t="inlineStr">
        <is>
          <t>Monthly growth in sales per product, year 1</t>
        </is>
      </c>
      <c r="C119" s="26" t="n">
        <v>0</v>
      </c>
      <c r="D119" s="26" t="n">
        <v>0.005</v>
      </c>
      <c r="E119" s="26" t="n">
        <v>0.01</v>
      </c>
      <c r="F119" s="7" t="inlineStr">
        <is>
          <t>% per month</t>
        </is>
      </c>
      <c r="G119" s="21" t="inlineStr"/>
      <c r="H119" s="7" t="inlineStr">
        <is>
          <t>Assumption</t>
        </is>
      </c>
    </row>
    <row r="120">
      <c r="A120" s="9" t="inlineStr">
        <is>
          <t>SITE_g2</t>
        </is>
      </c>
      <c r="B120" s="21" t="inlineStr">
        <is>
          <t>Monthly growth in sales per product, year 2</t>
        </is>
      </c>
      <c r="C120" s="26" t="n">
        <v>0</v>
      </c>
      <c r="D120" s="26" t="n">
        <v>0.005</v>
      </c>
      <c r="E120" s="26" t="n">
        <v>0.01</v>
      </c>
      <c r="F120" s="7" t="inlineStr">
        <is>
          <t>% per month</t>
        </is>
      </c>
      <c r="G120" s="21" t="inlineStr"/>
      <c r="H120" s="7" t="inlineStr">
        <is>
          <t>Assumption</t>
        </is>
      </c>
    </row>
    <row r="121">
      <c r="A121" s="9" t="inlineStr">
        <is>
          <t>SITE_g3</t>
        </is>
      </c>
      <c r="B121" s="21" t="inlineStr">
        <is>
          <t>Monthly growth in sales per product, year 3</t>
        </is>
      </c>
      <c r="C121" s="26" t="n">
        <v>0</v>
      </c>
      <c r="D121" s="26" t="n">
        <v>0</v>
      </c>
      <c r="E121" s="26" t="n">
        <v>0.005</v>
      </c>
      <c r="F121" s="7" t="inlineStr">
        <is>
          <t>% per month</t>
        </is>
      </c>
      <c r="G121" s="21" t="inlineStr"/>
      <c r="H121" s="7" t="inlineStr">
        <is>
          <t>Assumption</t>
        </is>
      </c>
    </row>
    <row r="122">
      <c r="A122" s="9" t="inlineStr">
        <is>
          <t>SITE_cvr</t>
        </is>
      </c>
      <c r="B122" s="21" t="inlineStr">
        <is>
          <t>Orders per live product per month at full ramp</t>
        </is>
      </c>
      <c r="C122" s="24" t="n">
        <v>3</v>
      </c>
      <c r="D122" s="24" t="n">
        <v>4</v>
      </c>
      <c r="E122" s="24" t="n">
        <v>8</v>
      </c>
      <c r="F122" s="7" t="inlineStr">
        <is>
          <t>orders</t>
        </is>
      </c>
      <c r="G122" s="21" t="inlineStr">
        <is>
          <t>Anchored to section 1.5: all digital channels together sell about 10 (Conservative = section 1 Low), 15 (Expected) or 30 (Strong = section 1 Base) units per product per month at full ramp.</t>
        </is>
      </c>
      <c r="H122" s="7" t="inlineStr">
        <is>
          <t>Assumption</t>
        </is>
      </c>
    </row>
    <row r="123">
      <c r="A123" s="9" t="inlineStr">
        <is>
          <t>SITE_items</t>
        </is>
      </c>
      <c r="B123" s="21" t="inlineStr">
        <is>
          <t>Items per order</t>
        </is>
      </c>
      <c r="C123" s="33" t="n">
        <v>1.15</v>
      </c>
      <c r="D123" s="33" t="n">
        <v>1.25</v>
      </c>
      <c r="E123" s="33" t="n">
        <v>1.35</v>
      </c>
      <c r="F123" s="7" t="inlineStr">
        <is>
          <t>items</t>
        </is>
      </c>
      <c r="G123" s="21" t="inlineStr"/>
      <c r="H123" s="7" t="inlineStr">
        <is>
          <t>Assumption</t>
        </is>
      </c>
    </row>
    <row r="124">
      <c r="A124" s="9" t="inlineStr">
        <is>
          <t>site_cvr</t>
        </is>
      </c>
      <c r="B124" s="21" t="inlineStr">
        <is>
          <t>Own-site conversion rate (used only to estimate sessions for list sign-ups)</t>
        </is>
      </c>
      <c r="C124" s="36" t="n">
        <v>0.01</v>
      </c>
      <c r="D124" s="36" t="n">
        <v>0.015</v>
      </c>
      <c r="E124" s="36" t="n">
        <v>0.02</v>
      </c>
      <c r="F124" s="7" t="inlineStr">
        <is>
          <t>% of sessions</t>
        </is>
      </c>
      <c r="G124" s="21" t="inlineStr">
        <is>
          <t>MARKETING-PLAYBOOK traffic checklist: working target 1.5-3% site conversion.</t>
        </is>
      </c>
      <c r="H124" s="7" t="inlineStr">
        <is>
          <t>Repo range</t>
        </is>
      </c>
    </row>
    <row r="125">
      <c r="A125" s="34" t="n"/>
      <c r="B125" s="35" t="inlineStr">
        <is>
          <t>Etsy: printables  |  driver = Product-months live (products x sales index x season)</t>
        </is>
      </c>
      <c r="C125" s="34" t="n"/>
      <c r="D125" s="34" t="n"/>
      <c r="E125" s="34" t="n"/>
      <c r="F125" s="34" t="n"/>
      <c r="G125" s="34" t="n"/>
      <c r="H125" s="34" t="n"/>
    </row>
    <row r="126">
      <c r="A126" s="9" t="inlineStr">
        <is>
          <t>ETSY_inc</t>
        </is>
      </c>
      <c r="B126" s="21" t="inlineStr">
        <is>
          <t>Include in scenario (1 = yes, 0 = no)</t>
        </is>
      </c>
      <c r="C126" s="23" t="n">
        <v>1</v>
      </c>
      <c r="D126" s="23" t="n">
        <v>1</v>
      </c>
      <c r="E126" s="23" t="n">
        <v>1</v>
      </c>
      <c r="F126" s="7" t="inlineStr">
        <is>
          <t>flag</t>
        </is>
      </c>
      <c r="G126" s="21" t="inlineStr"/>
      <c r="H126" s="7" t="inlineStr">
        <is>
          <t>Assumption</t>
        </is>
      </c>
    </row>
    <row r="127">
      <c r="A127" s="9" t="inlineStr">
        <is>
          <t>ETSY_launch</t>
        </is>
      </c>
      <c r="B127" s="21" t="inlineStr">
        <is>
          <t>Launch month (model month #; never earlier than the first-sale month)</t>
        </is>
      </c>
      <c r="C127" s="25" t="n">
        <v>3</v>
      </c>
      <c r="D127" s="25" t="n">
        <v>3</v>
      </c>
      <c r="E127" s="25" t="n">
        <v>3</v>
      </c>
      <c r="F127" s="7" t="inlineStr">
        <is>
          <t>month #</t>
        </is>
      </c>
      <c r="G127" s="21" t="inlineStr">
        <is>
          <t>Launch-first five on Etsy + site (DEMAND-CHECK §3); first-sale month applies.</t>
        </is>
      </c>
      <c r="H127" s="7" t="inlineStr">
        <is>
          <t>Repo timing</t>
        </is>
      </c>
    </row>
    <row r="128">
      <c r="A128" s="9" t="inlineStr">
        <is>
          <t>ETSY_g1</t>
        </is>
      </c>
      <c r="B128" s="21" t="inlineStr">
        <is>
          <t>Monthly growth in sales per product, year 1</t>
        </is>
      </c>
      <c r="C128" s="26" t="n">
        <v>0</v>
      </c>
      <c r="D128" s="26" t="n">
        <v>0.005</v>
      </c>
      <c r="E128" s="26" t="n">
        <v>0.01</v>
      </c>
      <c r="F128" s="7" t="inlineStr">
        <is>
          <t>% per month</t>
        </is>
      </c>
      <c r="G128" s="21" t="inlineStr"/>
      <c r="H128" s="7" t="inlineStr">
        <is>
          <t>Assumption</t>
        </is>
      </c>
    </row>
    <row r="129">
      <c r="A129" s="9" t="inlineStr">
        <is>
          <t>ETSY_g2</t>
        </is>
      </c>
      <c r="B129" s="21" t="inlineStr">
        <is>
          <t>Monthly growth in sales per product, year 2</t>
        </is>
      </c>
      <c r="C129" s="26" t="n">
        <v>0</v>
      </c>
      <c r="D129" s="26" t="n">
        <v>0.005</v>
      </c>
      <c r="E129" s="26" t="n">
        <v>0.01</v>
      </c>
      <c r="F129" s="7" t="inlineStr">
        <is>
          <t>% per month</t>
        </is>
      </c>
      <c r="G129" s="21" t="inlineStr"/>
      <c r="H129" s="7" t="inlineStr">
        <is>
          <t>Assumption</t>
        </is>
      </c>
    </row>
    <row r="130">
      <c r="A130" s="9" t="inlineStr">
        <is>
          <t>ETSY_g3</t>
        </is>
      </c>
      <c r="B130" s="21" t="inlineStr">
        <is>
          <t>Monthly growth in sales per product, year 3</t>
        </is>
      </c>
      <c r="C130" s="26" t="n">
        <v>0</v>
      </c>
      <c r="D130" s="26" t="n">
        <v>0</v>
      </c>
      <c r="E130" s="26" t="n">
        <v>0.005</v>
      </c>
      <c r="F130" s="7" t="inlineStr">
        <is>
          <t>% per month</t>
        </is>
      </c>
      <c r="G130" s="21" t="inlineStr"/>
      <c r="H130" s="7" t="inlineStr">
        <is>
          <t>Assumption</t>
        </is>
      </c>
    </row>
    <row r="131">
      <c r="A131" s="9" t="inlineStr">
        <is>
          <t>ETSY_cvr</t>
        </is>
      </c>
      <c r="B131" s="21" t="inlineStr">
        <is>
          <t>Orders per live product per month at full ramp</t>
        </is>
      </c>
      <c r="C131" s="24" t="n">
        <v>5</v>
      </c>
      <c r="D131" s="24" t="n">
        <v>7</v>
      </c>
      <c r="E131" s="24" t="n">
        <v>13</v>
      </c>
      <c r="F131" s="7" t="inlineStr">
        <is>
          <t>orders</t>
        </is>
      </c>
      <c r="G131" s="21" t="inlineStr">
        <is>
          <t>Anchored to section 1.5: all digital channels together sell about 10 (Conservative = section 1 Low), 15 (Expected) or 30 (Strong = section 1 Base) units per product per month at full ramp.</t>
        </is>
      </c>
      <c r="H131" s="7" t="inlineStr">
        <is>
          <t>Assumption</t>
        </is>
      </c>
    </row>
    <row r="132">
      <c r="A132" s="9" t="inlineStr">
        <is>
          <t>ETSY_items</t>
        </is>
      </c>
      <c r="B132" s="21" t="inlineStr">
        <is>
          <t>Items per order</t>
        </is>
      </c>
      <c r="C132" s="33" t="n">
        <v>1.1</v>
      </c>
      <c r="D132" s="33" t="n">
        <v>1.2</v>
      </c>
      <c r="E132" s="33" t="n">
        <v>1.3</v>
      </c>
      <c r="F132" s="7" t="inlineStr">
        <is>
          <t>items</t>
        </is>
      </c>
      <c r="G132" s="21" t="inlineStr"/>
      <c r="H132" s="7" t="inlineStr">
        <is>
          <t>Assumption</t>
        </is>
      </c>
    </row>
    <row r="133">
      <c r="A133" s="34" t="n"/>
      <c r="B133" s="35" t="inlineStr">
        <is>
          <t>Amazon KDP: paperbacks  |  driver = Title-months live (titles x season)</t>
        </is>
      </c>
      <c r="C133" s="34" t="n"/>
      <c r="D133" s="34" t="n"/>
      <c r="E133" s="34" t="n"/>
      <c r="F133" s="34" t="n"/>
      <c r="G133" s="34" t="n"/>
      <c r="H133" s="34" t="n"/>
    </row>
    <row r="134">
      <c r="A134" s="9" t="inlineStr">
        <is>
          <t>KDP_inc</t>
        </is>
      </c>
      <c r="B134" s="21" t="inlineStr">
        <is>
          <t>Include in scenario (1 = yes, 0 = no)</t>
        </is>
      </c>
      <c r="C134" s="23" t="n">
        <v>1</v>
      </c>
      <c r="D134" s="23" t="n">
        <v>1</v>
      </c>
      <c r="E134" s="23" t="n">
        <v>1</v>
      </c>
      <c r="F134" s="7" t="inlineStr">
        <is>
          <t>flag</t>
        </is>
      </c>
      <c r="G134" s="21" t="inlineStr"/>
      <c r="H134" s="7" t="inlineStr">
        <is>
          <t>Assumption</t>
        </is>
      </c>
    </row>
    <row r="135">
      <c r="A135" s="9" t="inlineStr">
        <is>
          <t>KDP_launch</t>
        </is>
      </c>
      <c r="B135" s="21" t="inlineStr">
        <is>
          <t>Launch month (model month #; never earlier than the first-sale month)</t>
        </is>
      </c>
      <c r="C135" s="25" t="n">
        <v>3</v>
      </c>
      <c r="D135" s="25" t="n">
        <v>3</v>
      </c>
      <c r="E135" s="25" t="n">
        <v>3</v>
      </c>
      <c r="F135" s="7" t="inlineStr">
        <is>
          <t>month #</t>
        </is>
      </c>
      <c r="G135" s="21" t="inlineStr">
        <is>
          <t>100 Screen-Free Plays, Up! Go! More! and The Day the Tablet Slept paperbacks (Wave 1); live Nov 13 at the earliest, paying from the first-sale month.</t>
        </is>
      </c>
      <c r="H135" s="7" t="inlineStr">
        <is>
          <t>Repo timing</t>
        </is>
      </c>
    </row>
    <row r="136">
      <c r="A136" s="9" t="inlineStr">
        <is>
          <t>KDP_base</t>
        </is>
      </c>
      <c r="B136" s="21" t="inlineStr">
        <is>
          <t>Titles live at launch</t>
        </is>
      </c>
      <c r="C136" s="23" t="n">
        <v>3</v>
      </c>
      <c r="D136" s="23" t="n">
        <v>3</v>
      </c>
      <c r="E136" s="23" t="n">
        <v>3</v>
      </c>
      <c r="F136" s="7" t="inlineStr">
        <is>
          <t>titles</t>
        </is>
      </c>
      <c r="G136" s="21" t="inlineStr">
        <is>
          <t>KDP: 100 Screen-Free Plays, Up! Go! More!, The Day the Tablet Slept. IngramSpark: the two paperbacks (hardcovers gated).</t>
        </is>
      </c>
      <c r="H136" s="7" t="inlineStr">
        <is>
          <t>Assumption</t>
        </is>
      </c>
    </row>
    <row r="137">
      <c r="A137" s="9" t="inlineStr">
        <is>
          <t>KDP_tadd</t>
        </is>
      </c>
      <c r="B137" s="21" t="inlineStr">
        <is>
          <t>Titles added per month</t>
        </is>
      </c>
      <c r="C137" s="33" t="n">
        <v>0.25</v>
      </c>
      <c r="D137" s="33" t="n">
        <v>0.33</v>
      </c>
      <c r="E137" s="33" t="n">
        <v>0.5</v>
      </c>
      <c r="F137" s="7" t="inlineStr">
        <is>
          <t>titles</t>
        </is>
      </c>
      <c r="G137" s="21" t="inlineStr"/>
      <c r="H137" s="7" t="inlineStr">
        <is>
          <t>Assumption</t>
        </is>
      </c>
    </row>
    <row r="138">
      <c r="A138" s="9" t="inlineStr">
        <is>
          <t>KDP_tcap</t>
        </is>
      </c>
      <c r="B138" s="21" t="inlineStr">
        <is>
          <t>Most titles live</t>
        </is>
      </c>
      <c r="C138" s="25" t="n">
        <v>8</v>
      </c>
      <c r="D138" s="25" t="n">
        <v>10</v>
      </c>
      <c r="E138" s="25" t="n">
        <v>12</v>
      </c>
      <c r="F138" s="7" t="inlineStr">
        <is>
          <t>titles</t>
        </is>
      </c>
      <c r="G138" s="21" t="inlineStr"/>
      <c r="H138" s="7" t="inlineStr">
        <is>
          <t>Assumption</t>
        </is>
      </c>
    </row>
    <row r="139">
      <c r="A139" s="9" t="inlineStr">
        <is>
          <t>KDP_cvr</t>
        </is>
      </c>
      <c r="B139" s="21" t="inlineStr">
        <is>
          <t>Units per title per month at full ramp</t>
        </is>
      </c>
      <c r="C139" s="24" t="n">
        <v>2.5</v>
      </c>
      <c r="D139" s="24" t="n">
        <v>5</v>
      </c>
      <c r="E139" s="24" t="n">
        <v>10</v>
      </c>
      <c r="F139" s="7" t="inlineStr">
        <is>
          <t>units</t>
        </is>
      </c>
      <c r="G139" s="21" t="inlineStr">
        <is>
          <t>KDP and IngramSpark report units per title, not page views, so the driver is units per title (comparable-title benchmark, assumption). Conservative sits at the kill-rule floor (2.5 a month).</t>
        </is>
      </c>
      <c r="H139" s="7" t="inlineStr">
        <is>
          <t>Assumption</t>
        </is>
      </c>
    </row>
    <row r="140">
      <c r="A140" s="9" t="inlineStr">
        <is>
          <t>KDP_items</t>
        </is>
      </c>
      <c r="B140" s="21" t="inlineStr">
        <is>
          <t>Items per order</t>
        </is>
      </c>
      <c r="C140" s="33" t="n">
        <v>1</v>
      </c>
      <c r="D140" s="33" t="n">
        <v>1</v>
      </c>
      <c r="E140" s="33" t="n">
        <v>1</v>
      </c>
      <c r="F140" s="7" t="inlineStr">
        <is>
          <t>items</t>
        </is>
      </c>
      <c r="G140" s="21" t="inlineStr"/>
      <c r="H140" s="7" t="inlineStr">
        <is>
          <t>Assumption</t>
        </is>
      </c>
    </row>
    <row r="141">
      <c r="A141" s="34" t="n"/>
      <c r="B141" s="35" t="inlineStr">
        <is>
          <t>IngramSpark: paperbacks to bookstores and libraries  |  driver = Title-months live (titles x season)</t>
        </is>
      </c>
      <c r="C141" s="34" t="n"/>
      <c r="D141" s="34" t="n"/>
      <c r="E141" s="34" t="n"/>
      <c r="F141" s="34" t="n"/>
      <c r="G141" s="34" t="n"/>
      <c r="H141" s="34" t="n"/>
    </row>
    <row r="142">
      <c r="A142" s="9" t="inlineStr">
        <is>
          <t>INGRAM_inc</t>
        </is>
      </c>
      <c r="B142" s="21" t="inlineStr">
        <is>
          <t>Include in scenario (1 = yes, 0 = no)</t>
        </is>
      </c>
      <c r="C142" s="23" t="n">
        <v>1</v>
      </c>
      <c r="D142" s="23" t="n">
        <v>1</v>
      </c>
      <c r="E142" s="23" t="n">
        <v>1</v>
      </c>
      <c r="F142" s="7" t="inlineStr">
        <is>
          <t>flag</t>
        </is>
      </c>
      <c r="G142" s="21" t="inlineStr"/>
      <c r="H142" s="7" t="inlineStr">
        <is>
          <t>Assumption</t>
        </is>
      </c>
    </row>
    <row r="143">
      <c r="A143" s="9" t="inlineStr">
        <is>
          <t>INGRAM_launch</t>
        </is>
      </c>
      <c r="B143" s="21" t="inlineStr">
        <is>
          <t>Launch month (model month #; never earlier than the first-sale month)</t>
        </is>
      </c>
      <c r="C143" s="25" t="n">
        <v>5</v>
      </c>
      <c r="D143" s="25" t="n">
        <v>5</v>
      </c>
      <c r="E143" s="25" t="n">
        <v>5</v>
      </c>
      <c r="F143" s="7" t="inlineStr">
        <is>
          <t>month #</t>
        </is>
      </c>
      <c r="G143" s="21" t="inlineStr">
        <is>
          <t>IngramSpark same-ISBN paperbacks in Wave 2 (section 2.7).</t>
        </is>
      </c>
      <c r="H143" s="7" t="inlineStr">
        <is>
          <t>Repo timing</t>
        </is>
      </c>
    </row>
    <row r="144">
      <c r="A144" s="9" t="inlineStr">
        <is>
          <t>INGRAM_base</t>
        </is>
      </c>
      <c r="B144" s="21" t="inlineStr">
        <is>
          <t>Titles live at launch</t>
        </is>
      </c>
      <c r="C144" s="23" t="n">
        <v>2</v>
      </c>
      <c r="D144" s="23" t="n">
        <v>2</v>
      </c>
      <c r="E144" s="23" t="n">
        <v>2</v>
      </c>
      <c r="F144" s="7" t="inlineStr">
        <is>
          <t>titles</t>
        </is>
      </c>
      <c r="G144" s="21" t="inlineStr">
        <is>
          <t>KDP: 100 Screen-Free Plays, Up! Go! More!, The Day the Tablet Slept. IngramSpark: the two paperbacks (hardcovers gated).</t>
        </is>
      </c>
      <c r="H144" s="7" t="inlineStr">
        <is>
          <t>Assumption</t>
        </is>
      </c>
    </row>
    <row r="145">
      <c r="A145" s="9" t="inlineStr">
        <is>
          <t>INGRAM_tadd</t>
        </is>
      </c>
      <c r="B145" s="21" t="inlineStr">
        <is>
          <t>Titles added per month</t>
        </is>
      </c>
      <c r="C145" s="33" t="n">
        <v>0.1</v>
      </c>
      <c r="D145" s="33" t="n">
        <v>0.15</v>
      </c>
      <c r="E145" s="33" t="n">
        <v>0.2</v>
      </c>
      <c r="F145" s="7" t="inlineStr">
        <is>
          <t>titles</t>
        </is>
      </c>
      <c r="G145" s="21" t="inlineStr"/>
      <c r="H145" s="7" t="inlineStr">
        <is>
          <t>Assumption</t>
        </is>
      </c>
    </row>
    <row r="146">
      <c r="A146" s="9" t="inlineStr">
        <is>
          <t>INGRAM_tcap</t>
        </is>
      </c>
      <c r="B146" s="21" t="inlineStr">
        <is>
          <t>Most titles live</t>
        </is>
      </c>
      <c r="C146" s="25" t="n">
        <v>4</v>
      </c>
      <c r="D146" s="25" t="n">
        <v>5</v>
      </c>
      <c r="E146" s="25" t="n">
        <v>6</v>
      </c>
      <c r="F146" s="7" t="inlineStr">
        <is>
          <t>titles</t>
        </is>
      </c>
      <c r="G146" s="21" t="inlineStr"/>
      <c r="H146" s="7" t="inlineStr">
        <is>
          <t>Assumption</t>
        </is>
      </c>
    </row>
    <row r="147">
      <c r="A147" s="9" t="inlineStr">
        <is>
          <t>INGRAM_cvr</t>
        </is>
      </c>
      <c r="B147" s="21" t="inlineStr">
        <is>
          <t>Units per title per month at full ramp</t>
        </is>
      </c>
      <c r="C147" s="24" t="n">
        <v>0.5</v>
      </c>
      <c r="D147" s="24" t="n">
        <v>1</v>
      </c>
      <c r="E147" s="24" t="n">
        <v>2</v>
      </c>
      <c r="F147" s="7" t="inlineStr">
        <is>
          <t>units</t>
        </is>
      </c>
      <c r="G147" s="21" t="inlineStr">
        <is>
          <t>KDP and IngramSpark report units per title, not page views, so the driver is units per title (comparable-title benchmark, assumption). Conservative sits at the kill-rule floor (2.5 a month).</t>
        </is>
      </c>
      <c r="H147" s="7" t="inlineStr">
        <is>
          <t>Assumption</t>
        </is>
      </c>
    </row>
    <row r="148">
      <c r="A148" s="9" t="inlineStr">
        <is>
          <t>INGRAM_items</t>
        </is>
      </c>
      <c r="B148" s="21" t="inlineStr">
        <is>
          <t>Items per order</t>
        </is>
      </c>
      <c r="C148" s="33" t="n">
        <v>1</v>
      </c>
      <c r="D148" s="33" t="n">
        <v>1</v>
      </c>
      <c r="E148" s="33" t="n">
        <v>1</v>
      </c>
      <c r="F148" s="7" t="inlineStr">
        <is>
          <t>items</t>
        </is>
      </c>
      <c r="G148" s="21" t="inlineStr"/>
      <c r="H148" s="7" t="inlineStr">
        <is>
          <t>Assumption</t>
        </is>
      </c>
    </row>
    <row r="149">
      <c r="A149" s="34" t="n"/>
      <c r="B149" s="35" t="inlineStr">
        <is>
          <t>International digital via merchant of record (Gumroad)  |  driver = Product-months live (products x sales index x season)</t>
        </is>
      </c>
      <c r="C149" s="34" t="n"/>
      <c r="D149" s="34" t="n"/>
      <c r="E149" s="34" t="n"/>
      <c r="F149" s="34" t="n"/>
      <c r="G149" s="34" t="n"/>
      <c r="H149" s="34" t="n"/>
    </row>
    <row r="150">
      <c r="A150" s="9" t="inlineStr">
        <is>
          <t>MOR_inc</t>
        </is>
      </c>
      <c r="B150" s="21" t="inlineStr">
        <is>
          <t>Include in scenario (1 = yes, 0 = no)</t>
        </is>
      </c>
      <c r="C150" s="23" t="n">
        <v>1</v>
      </c>
      <c r="D150" s="23" t="n">
        <v>1</v>
      </c>
      <c r="E150" s="23" t="n">
        <v>1</v>
      </c>
      <c r="F150" s="7" t="inlineStr">
        <is>
          <t>flag</t>
        </is>
      </c>
      <c r="G150" s="21" t="inlineStr"/>
      <c r="H150" s="7" t="inlineStr">
        <is>
          <t>Assumption</t>
        </is>
      </c>
    </row>
    <row r="151">
      <c r="A151" s="9" t="inlineStr">
        <is>
          <t>MOR_launch</t>
        </is>
      </c>
      <c r="B151" s="21" t="inlineStr">
        <is>
          <t>Launch month (model month #; never earlier than the first-sale month)</t>
        </is>
      </c>
      <c r="C151" s="25" t="n">
        <v>4</v>
      </c>
      <c r="D151" s="25" t="n">
        <v>4</v>
      </c>
      <c r="E151" s="25" t="n">
        <v>4</v>
      </c>
      <c r="F151" s="7" t="inlineStr">
        <is>
          <t>month #</t>
        </is>
      </c>
      <c r="G151" s="21" t="inlineStr">
        <is>
          <t>Region 2 English-speaking markets after US launch (ops/INTERNATIONAL.md).</t>
        </is>
      </c>
      <c r="H151" s="7" t="inlineStr">
        <is>
          <t>Repo timing</t>
        </is>
      </c>
    </row>
    <row r="152">
      <c r="A152" s="9" t="inlineStr">
        <is>
          <t>MOR_g1</t>
        </is>
      </c>
      <c r="B152" s="21" t="inlineStr">
        <is>
          <t>Monthly growth in sales per product, year 1</t>
        </is>
      </c>
      <c r="C152" s="26" t="n">
        <v>0</v>
      </c>
      <c r="D152" s="26" t="n">
        <v>0.005</v>
      </c>
      <c r="E152" s="26" t="n">
        <v>0.01</v>
      </c>
      <c r="F152" s="7" t="inlineStr">
        <is>
          <t>% per month</t>
        </is>
      </c>
      <c r="G152" s="21" t="inlineStr"/>
      <c r="H152" s="7" t="inlineStr">
        <is>
          <t>Assumption</t>
        </is>
      </c>
    </row>
    <row r="153">
      <c r="A153" s="9" t="inlineStr">
        <is>
          <t>MOR_g2</t>
        </is>
      </c>
      <c r="B153" s="21" t="inlineStr">
        <is>
          <t>Monthly growth in sales per product, year 2</t>
        </is>
      </c>
      <c r="C153" s="26" t="n">
        <v>0</v>
      </c>
      <c r="D153" s="26" t="n">
        <v>0.005</v>
      </c>
      <c r="E153" s="26" t="n">
        <v>0.01</v>
      </c>
      <c r="F153" s="7" t="inlineStr">
        <is>
          <t>% per month</t>
        </is>
      </c>
      <c r="G153" s="21" t="inlineStr"/>
      <c r="H153" s="7" t="inlineStr">
        <is>
          <t>Assumption</t>
        </is>
      </c>
    </row>
    <row r="154">
      <c r="A154" s="9" t="inlineStr">
        <is>
          <t>MOR_g3</t>
        </is>
      </c>
      <c r="B154" s="21" t="inlineStr">
        <is>
          <t>Monthly growth in sales per product, year 3</t>
        </is>
      </c>
      <c r="C154" s="26" t="n">
        <v>0</v>
      </c>
      <c r="D154" s="26" t="n">
        <v>0</v>
      </c>
      <c r="E154" s="26" t="n">
        <v>0.005</v>
      </c>
      <c r="F154" s="7" t="inlineStr">
        <is>
          <t>% per month</t>
        </is>
      </c>
      <c r="G154" s="21" t="inlineStr"/>
      <c r="H154" s="7" t="inlineStr">
        <is>
          <t>Assumption</t>
        </is>
      </c>
    </row>
    <row r="155">
      <c r="A155" s="9" t="inlineStr">
        <is>
          <t>MOR_cvr</t>
        </is>
      </c>
      <c r="B155" s="21" t="inlineStr">
        <is>
          <t>Orders per live product per month at full ramp</t>
        </is>
      </c>
      <c r="C155" s="24" t="n">
        <v>0.8</v>
      </c>
      <c r="D155" s="24" t="n">
        <v>1.2</v>
      </c>
      <c r="E155" s="24" t="n">
        <v>2</v>
      </c>
      <c r="F155" s="7" t="inlineStr">
        <is>
          <t>orders</t>
        </is>
      </c>
      <c r="G155" s="21" t="inlineStr">
        <is>
          <t>Anchored to section 1.5: all digital channels together sell about 10 (Conservative = section 1 Low), 15 (Expected) or 30 (Strong = section 1 Base) units per product per month at full ramp.</t>
        </is>
      </c>
      <c r="H155" s="7" t="inlineStr">
        <is>
          <t>Assumption</t>
        </is>
      </c>
    </row>
    <row r="156">
      <c r="A156" s="9" t="inlineStr">
        <is>
          <t>MOR_items</t>
        </is>
      </c>
      <c r="B156" s="21" t="inlineStr">
        <is>
          <t>Items per order</t>
        </is>
      </c>
      <c r="C156" s="33" t="n">
        <v>1.1</v>
      </c>
      <c r="D156" s="33" t="n">
        <v>1.2</v>
      </c>
      <c r="E156" s="33" t="n">
        <v>1.3</v>
      </c>
      <c r="F156" s="7" t="inlineStr">
        <is>
          <t>items</t>
        </is>
      </c>
      <c r="G156" s="21" t="inlineStr"/>
      <c r="H156" s="7" t="inlineStr">
        <is>
          <t>Assumption</t>
        </is>
      </c>
    </row>
    <row r="157">
      <c r="A157" s="34" t="n"/>
      <c r="B157" s="35" t="inlineStr">
        <is>
          <t>30-Day Screen Reset written course (Wave 2)  |  driver = Subscribers reached by the offer</t>
        </is>
      </c>
      <c r="C157" s="34" t="n"/>
      <c r="D157" s="34" t="n"/>
      <c r="E157" s="34" t="n"/>
      <c r="F157" s="34" t="n"/>
      <c r="G157" s="34" t="n"/>
      <c r="H157" s="34" t="n"/>
    </row>
    <row r="158">
      <c r="A158" s="9" t="inlineStr">
        <is>
          <t>COURSE_inc</t>
        </is>
      </c>
      <c r="B158" s="21" t="inlineStr">
        <is>
          <t>Include in scenario (1 = yes, 0 = no)</t>
        </is>
      </c>
      <c r="C158" s="23" t="n">
        <v>1</v>
      </c>
      <c r="D158" s="23" t="n">
        <v>1</v>
      </c>
      <c r="E158" s="23" t="n">
        <v>1</v>
      </c>
      <c r="F158" s="7" t="inlineStr">
        <is>
          <t>flag</t>
        </is>
      </c>
      <c r="G158" s="21" t="inlineStr"/>
      <c r="H158" s="7" t="inlineStr">
        <is>
          <t>Assumption</t>
        </is>
      </c>
    </row>
    <row r="159">
      <c r="A159" s="9" t="inlineStr">
        <is>
          <t>COURSE_launch</t>
        </is>
      </c>
      <c r="B159" s="21" t="inlineStr">
        <is>
          <t>Launch month (model month #; never earlier than the first-sale month)</t>
        </is>
      </c>
      <c r="C159" s="25" t="n">
        <v>4</v>
      </c>
      <c r="D159" s="25" t="n">
        <v>4</v>
      </c>
      <c r="E159" s="25" t="n">
        <v>4</v>
      </c>
      <c r="F159" s="7" t="inlineStr">
        <is>
          <t>month #</t>
        </is>
      </c>
      <c r="G159" s="21" t="inlineStr">
        <is>
          <t>Public New Year launch, January 2027 = month 4 (BLIND-SPOTS #2 Wave 2).</t>
        </is>
      </c>
      <c r="H159" s="7" t="inlineStr">
        <is>
          <t>Repo timing</t>
        </is>
      </c>
    </row>
    <row r="160">
      <c r="A160" s="9" t="inlineStr">
        <is>
          <t>COURSE_cvr</t>
        </is>
      </c>
      <c r="B160" s="21" t="inlineStr">
        <is>
          <t>Conversion rate (subscriber reached -&gt; purchase)</t>
        </is>
      </c>
      <c r="C160" s="37" t="n">
        <v>0.01</v>
      </c>
      <c r="D160" s="37" t="n">
        <v>0.015</v>
      </c>
      <c r="E160" s="37" t="n">
        <v>0.02</v>
      </c>
      <c r="F160" s="7" t="inlineStr">
        <is>
          <t>% of visits</t>
        </is>
      </c>
      <c r="G160" s="21" t="inlineStr"/>
      <c r="H160" s="7" t="inlineStr">
        <is>
          <t>Assumption</t>
        </is>
      </c>
    </row>
    <row r="161">
      <c r="A161" s="9" t="inlineStr">
        <is>
          <t>COURSE_items</t>
        </is>
      </c>
      <c r="B161" s="21" t="inlineStr">
        <is>
          <t>Items per order</t>
        </is>
      </c>
      <c r="C161" s="33" t="n">
        <v>1</v>
      </c>
      <c r="D161" s="33" t="n">
        <v>1</v>
      </c>
      <c r="E161" s="33" t="n">
        <v>1</v>
      </c>
      <c r="F161" s="7" t="inlineStr">
        <is>
          <t>items</t>
        </is>
      </c>
      <c r="G161" s="21" t="inlineStr"/>
      <c r="H161" s="7" t="inlineStr">
        <is>
          <t>Assumption</t>
        </is>
      </c>
    </row>
    <row r="162">
      <c r="A162" s="9" t="inlineStr">
        <is>
          <t>reach</t>
        </is>
      </c>
      <c r="B162" s="21" t="inlineStr">
        <is>
          <t>Share of the email list that sees and considers the offer each month</t>
        </is>
      </c>
      <c r="C162" s="26" t="n">
        <v>0.1</v>
      </c>
      <c r="D162" s="26" t="n">
        <v>0.15</v>
      </c>
      <c r="E162" s="26" t="n">
        <v>0.2</v>
      </c>
      <c r="F162" s="7" t="inlineStr">
        <is>
          <t>% of list</t>
        </is>
      </c>
      <c r="G162" s="21" t="inlineStr">
        <is>
          <t>Course sold by automated email (DEMAND-CHECK course row).</t>
        </is>
      </c>
      <c r="H162" s="7" t="inlineStr">
        <is>
          <t>Assumption</t>
        </is>
      </c>
    </row>
    <row r="163">
      <c r="A163" s="34" t="n"/>
      <c r="B163" s="35" t="inlineStr">
        <is>
          <t>Board book: pre-sale, then 3PL and Amazon FBA (gated option; off in base)  |  driver = Product-page sessions (site + Amazon)</t>
        </is>
      </c>
      <c r="C163" s="34" t="n"/>
      <c r="D163" s="34" t="n"/>
      <c r="E163" s="34" t="n"/>
      <c r="F163" s="34" t="n"/>
      <c r="G163" s="34" t="n"/>
      <c r="H163" s="34" t="n"/>
    </row>
    <row r="164">
      <c r="A164" s="9" t="inlineStr">
        <is>
          <t>BOARD_inc</t>
        </is>
      </c>
      <c r="B164" s="21" t="inlineStr">
        <is>
          <t>Include in scenario (1 = yes, 0 = no)</t>
        </is>
      </c>
      <c r="C164" s="23" t="n">
        <v>0</v>
      </c>
      <c r="D164" s="23" t="n">
        <v>0</v>
      </c>
      <c r="E164" s="23" t="n">
        <v>0</v>
      </c>
      <c r="F164" s="7" t="inlineStr">
        <is>
          <t>flag</t>
        </is>
      </c>
      <c r="G164" s="21" t="inlineStr">
        <is>
          <t>Conditional wave, off in the base plan. Set to 1 to see it as an overlay.</t>
        </is>
      </c>
      <c r="H164" s="7" t="inlineStr">
        <is>
          <t>Assumption</t>
        </is>
      </c>
    </row>
    <row r="165">
      <c r="A165" s="9" t="inlineStr">
        <is>
          <t>BOARD_launch</t>
        </is>
      </c>
      <c r="B165" s="21" t="inlineStr">
        <is>
          <t>Launch month (model month #; never earlier than the first-sale month)</t>
        </is>
      </c>
      <c r="C165" s="25" t="n">
        <v>17</v>
      </c>
      <c r="D165" s="25" t="n">
        <v>17</v>
      </c>
      <c r="E165" s="25" t="n">
        <v>14</v>
      </c>
      <c r="F165" s="7" t="inlineStr">
        <is>
          <t>month #</t>
        </is>
      </c>
      <c r="G165" s="21" t="inlineStr">
        <is>
          <t>Gated option, off in every base scenario: runs only after sustained break-even and the POD-paperback proxy test (section 3.10 rule 4). Month 17 = Feb 2028 if switched on.</t>
        </is>
      </c>
      <c r="H165" s="7" t="inlineStr">
        <is>
          <t>Assumption (conditional)</t>
        </is>
      </c>
    </row>
    <row r="166">
      <c r="A166" s="9" t="inlineStr">
        <is>
          <t>BOARD_base</t>
        </is>
      </c>
      <c r="B166" s="21" t="inlineStr">
        <is>
          <t>Traffic in launch month</t>
        </is>
      </c>
      <c r="C166" s="38" t="n">
        <v>150</v>
      </c>
      <c r="D166" s="38" t="n">
        <v>300</v>
      </c>
      <c r="E166" s="38" t="n">
        <v>500</v>
      </c>
      <c r="F166" s="7" t="inlineStr">
        <is>
          <t>visits</t>
        </is>
      </c>
      <c r="G166" s="21" t="inlineStr">
        <is>
          <t>No sales history yet. Replace with real data.</t>
        </is>
      </c>
      <c r="H166" s="7" t="inlineStr">
        <is>
          <t>Assumption</t>
        </is>
      </c>
    </row>
    <row r="167">
      <c r="A167" s="9" t="inlineStr">
        <is>
          <t>BOARD_g1</t>
        </is>
      </c>
      <c r="B167" s="21" t="inlineStr">
        <is>
          <t>Monthly traffic growth, year 1</t>
        </is>
      </c>
      <c r="C167" s="26" t="n">
        <v>0.04</v>
      </c>
      <c r="D167" s="26" t="n">
        <v>0.06</v>
      </c>
      <c r="E167" s="26" t="n">
        <v>0.06</v>
      </c>
      <c r="F167" s="7" t="inlineStr">
        <is>
          <t>% per month</t>
        </is>
      </c>
      <c r="G167" s="21" t="inlineStr"/>
      <c r="H167" s="7" t="inlineStr">
        <is>
          <t>Assumption</t>
        </is>
      </c>
    </row>
    <row r="168">
      <c r="A168" s="9" t="inlineStr">
        <is>
          <t>BOARD_g2</t>
        </is>
      </c>
      <c r="B168" s="21" t="inlineStr">
        <is>
          <t>Monthly traffic growth, year 2</t>
        </is>
      </c>
      <c r="C168" s="26" t="n">
        <v>0.02</v>
      </c>
      <c r="D168" s="26" t="n">
        <v>0.04</v>
      </c>
      <c r="E168" s="26" t="n">
        <v>0.05</v>
      </c>
      <c r="F168" s="7" t="inlineStr">
        <is>
          <t>% per month</t>
        </is>
      </c>
      <c r="G168" s="21" t="inlineStr"/>
      <c r="H168" s="7" t="inlineStr">
        <is>
          <t>Assumption</t>
        </is>
      </c>
    </row>
    <row r="169">
      <c r="A169" s="9" t="inlineStr">
        <is>
          <t>BOARD_g3</t>
        </is>
      </c>
      <c r="B169" s="21" t="inlineStr">
        <is>
          <t>Monthly traffic growth, year 3</t>
        </is>
      </c>
      <c r="C169" s="26" t="n">
        <v>0.01</v>
      </c>
      <c r="D169" s="26" t="n">
        <v>0.02</v>
      </c>
      <c r="E169" s="26" t="n">
        <v>0.03</v>
      </c>
      <c r="F169" s="7" t="inlineStr">
        <is>
          <t>% per month</t>
        </is>
      </c>
      <c r="G169" s="21" t="inlineStr"/>
      <c r="H169" s="7" t="inlineStr">
        <is>
          <t>Assumption</t>
        </is>
      </c>
    </row>
    <row r="170">
      <c r="A170" s="9" t="inlineStr">
        <is>
          <t>BOARD_cvr</t>
        </is>
      </c>
      <c r="B170" s="21" t="inlineStr">
        <is>
          <t>Conversion rate (visit -&gt; order) at full ramp</t>
        </is>
      </c>
      <c r="C170" s="37" t="n">
        <v>0.015</v>
      </c>
      <c r="D170" s="37" t="n">
        <v>0.025</v>
      </c>
      <c r="E170" s="37" t="n">
        <v>0.03</v>
      </c>
      <c r="F170" s="7" t="inlineStr">
        <is>
          <t>% of visits</t>
        </is>
      </c>
      <c r="G170" s="21" t="inlineStr"/>
      <c r="H170" s="7" t="inlineStr">
        <is>
          <t>Assumption</t>
        </is>
      </c>
    </row>
    <row r="171">
      <c r="A171" s="9" t="inlineStr">
        <is>
          <t>BOARD_items</t>
        </is>
      </c>
      <c r="B171" s="21" t="inlineStr">
        <is>
          <t>Items per order</t>
        </is>
      </c>
      <c r="C171" s="33" t="n">
        <v>1.1</v>
      </c>
      <c r="D171" s="33" t="n">
        <v>1.2</v>
      </c>
      <c r="E171" s="33" t="n">
        <v>1.3</v>
      </c>
      <c r="F171" s="7" t="inlineStr">
        <is>
          <t>items</t>
        </is>
      </c>
      <c r="G171" s="21" t="inlineStr"/>
      <c r="H171" s="7" t="inlineStr">
        <is>
          <t>Assumption</t>
        </is>
      </c>
    </row>
    <row r="172">
      <c r="A172" s="34" t="n"/>
      <c r="B172" s="35" t="inlineStr">
        <is>
          <t>School and group licenses + TPT (overlay only if counsel clears in writing; off in base)  |  driver = Schools/orgs page + TPT views</t>
        </is>
      </c>
      <c r="C172" s="34" t="n"/>
      <c r="D172" s="34" t="n"/>
      <c r="E172" s="34" t="n"/>
      <c r="F172" s="34" t="n"/>
      <c r="G172" s="34" t="n"/>
      <c r="H172" s="34" t="n"/>
    </row>
    <row r="173">
      <c r="A173" s="9" t="inlineStr">
        <is>
          <t>SCHOOL_inc</t>
        </is>
      </c>
      <c r="B173" s="21" t="inlineStr">
        <is>
          <t>Include in scenario (1 = yes, 0 = no)</t>
        </is>
      </c>
      <c r="C173" s="23" t="n">
        <v>0</v>
      </c>
      <c r="D173" s="23" t="n">
        <v>0</v>
      </c>
      <c r="E173" s="23" t="n">
        <v>0</v>
      </c>
      <c r="F173" s="7" t="inlineStr">
        <is>
          <t>flag</t>
        </is>
      </c>
      <c r="G173" s="21" t="inlineStr">
        <is>
          <t>Conditional wave, off in the base plan. Set to 1 to see it as an overlay.</t>
        </is>
      </c>
      <c r="H173" s="7" t="inlineStr">
        <is>
          <t>Assumption</t>
        </is>
      </c>
    </row>
    <row r="174">
      <c r="A174" s="9" t="inlineStr">
        <is>
          <t>SCHOOL_launch</t>
        </is>
      </c>
      <c r="B174" s="21" t="inlineStr">
        <is>
          <t>Launch month (model month #; never earlier than the first-sale month)</t>
        </is>
      </c>
      <c r="C174" s="25" t="n">
        <v>13</v>
      </c>
      <c r="D174" s="25" t="n">
        <v>13</v>
      </c>
      <c r="E174" s="25" t="n">
        <v>10</v>
      </c>
      <c r="F174" s="7" t="inlineStr">
        <is>
          <t>month #</t>
        </is>
      </c>
      <c r="G174" s="21" t="inlineStr">
        <is>
          <t>Off in every base scenario. Overlay only if employment counsel clears school-facing work in writing (section 3.9).</t>
        </is>
      </c>
      <c r="H174" s="7" t="inlineStr">
        <is>
          <t>Assumption (conditional)</t>
        </is>
      </c>
    </row>
    <row r="175">
      <c r="A175" s="9" t="inlineStr">
        <is>
          <t>SCHOOL_base</t>
        </is>
      </c>
      <c r="B175" s="21" t="inlineStr">
        <is>
          <t>Traffic in launch month</t>
        </is>
      </c>
      <c r="C175" s="38" t="n">
        <v>150</v>
      </c>
      <c r="D175" s="38" t="n">
        <v>300</v>
      </c>
      <c r="E175" s="38" t="n">
        <v>400</v>
      </c>
      <c r="F175" s="7" t="inlineStr">
        <is>
          <t>visits</t>
        </is>
      </c>
      <c r="G175" s="21" t="inlineStr">
        <is>
          <t>No sales history yet. Replace with real data.</t>
        </is>
      </c>
      <c r="H175" s="7" t="inlineStr">
        <is>
          <t>Assumption</t>
        </is>
      </c>
    </row>
    <row r="176">
      <c r="A176" s="9" t="inlineStr">
        <is>
          <t>SCHOOL_g1</t>
        </is>
      </c>
      <c r="B176" s="21" t="inlineStr">
        <is>
          <t>Monthly traffic growth, year 1</t>
        </is>
      </c>
      <c r="C176" s="26" t="n">
        <v>0.04</v>
      </c>
      <c r="D176" s="26" t="n">
        <v>0.06</v>
      </c>
      <c r="E176" s="26" t="n">
        <v>0.06</v>
      </c>
      <c r="F176" s="7" t="inlineStr">
        <is>
          <t>% per month</t>
        </is>
      </c>
      <c r="G176" s="21" t="inlineStr"/>
      <c r="H176" s="7" t="inlineStr">
        <is>
          <t>Assumption</t>
        </is>
      </c>
    </row>
    <row r="177">
      <c r="A177" s="9" t="inlineStr">
        <is>
          <t>SCHOOL_g2</t>
        </is>
      </c>
      <c r="B177" s="21" t="inlineStr">
        <is>
          <t>Monthly traffic growth, year 2</t>
        </is>
      </c>
      <c r="C177" s="26" t="n">
        <v>0.04</v>
      </c>
      <c r="D177" s="26" t="n">
        <v>0.06</v>
      </c>
      <c r="E177" s="26" t="n">
        <v>0.06</v>
      </c>
      <c r="F177" s="7" t="inlineStr">
        <is>
          <t>% per month</t>
        </is>
      </c>
      <c r="G177" s="21" t="inlineStr"/>
      <c r="H177" s="7" t="inlineStr">
        <is>
          <t>Assumption</t>
        </is>
      </c>
    </row>
    <row r="178">
      <c r="A178" s="9" t="inlineStr">
        <is>
          <t>SCHOOL_g3</t>
        </is>
      </c>
      <c r="B178" s="21" t="inlineStr">
        <is>
          <t>Monthly traffic growth, year 3</t>
        </is>
      </c>
      <c r="C178" s="26" t="n">
        <v>0.02</v>
      </c>
      <c r="D178" s="26" t="n">
        <v>0.03</v>
      </c>
      <c r="E178" s="26" t="n">
        <v>0.03</v>
      </c>
      <c r="F178" s="7" t="inlineStr">
        <is>
          <t>% per month</t>
        </is>
      </c>
      <c r="G178" s="21" t="inlineStr"/>
      <c r="H178" s="7" t="inlineStr">
        <is>
          <t>Assumption</t>
        </is>
      </c>
    </row>
    <row r="179">
      <c r="A179" s="9" t="inlineStr">
        <is>
          <t>SCHOOL_cvr</t>
        </is>
      </c>
      <c r="B179" s="21" t="inlineStr">
        <is>
          <t>Conversion rate (visit -&gt; order) at full ramp</t>
        </is>
      </c>
      <c r="C179" s="37" t="n">
        <v>0.01</v>
      </c>
      <c r="D179" s="37" t="n">
        <v>0.015</v>
      </c>
      <c r="E179" s="37" t="n">
        <v>0.02</v>
      </c>
      <c r="F179" s="7" t="inlineStr">
        <is>
          <t>% of visits</t>
        </is>
      </c>
      <c r="G179" s="21" t="inlineStr"/>
      <c r="H179" s="7" t="inlineStr">
        <is>
          <t>Assumption</t>
        </is>
      </c>
    </row>
    <row r="180">
      <c r="A180" s="9" t="inlineStr">
        <is>
          <t>SCHOOL_items</t>
        </is>
      </c>
      <c r="B180" s="21" t="inlineStr">
        <is>
          <t>Items per order</t>
        </is>
      </c>
      <c r="C180" s="33" t="n">
        <v>1</v>
      </c>
      <c r="D180" s="33" t="n">
        <v>1.1</v>
      </c>
      <c r="E180" s="33" t="n">
        <v>1.2</v>
      </c>
      <c r="F180" s="7" t="inlineStr">
        <is>
          <t>items</t>
        </is>
      </c>
      <c r="G180" s="21" t="inlineStr"/>
      <c r="H180" s="7" t="inlineStr">
        <is>
          <t>Assumption</t>
        </is>
      </c>
    </row>
    <row r="181">
      <c r="A181" s="34" t="n"/>
      <c r="B181" s="35" t="inlineStr">
        <is>
          <t>Retail and wholesale: Faire, Walmart Marketplace (off in base)  |  driver = Retailer and marketplace views</t>
        </is>
      </c>
      <c r="C181" s="34" t="n"/>
      <c r="D181" s="34" t="n"/>
      <c r="E181" s="34" t="n"/>
      <c r="F181" s="34" t="n"/>
      <c r="G181" s="34" t="n"/>
      <c r="H181" s="34" t="n"/>
    </row>
    <row r="182">
      <c r="A182" s="9" t="inlineStr">
        <is>
          <t>RETAIL_inc</t>
        </is>
      </c>
      <c r="B182" s="21" t="inlineStr">
        <is>
          <t>Include in scenario (1 = yes, 0 = no)</t>
        </is>
      </c>
      <c r="C182" s="23" t="n">
        <v>0</v>
      </c>
      <c r="D182" s="23" t="n">
        <v>0</v>
      </c>
      <c r="E182" s="23" t="n">
        <v>0</v>
      </c>
      <c r="F182" s="7" t="inlineStr">
        <is>
          <t>flag</t>
        </is>
      </c>
      <c r="G182" s="21" t="inlineStr">
        <is>
          <t>Conditional wave, off in the base plan. Set to 1 to see it as an overlay.</t>
        </is>
      </c>
      <c r="H182" s="7" t="inlineStr">
        <is>
          <t>Assumption</t>
        </is>
      </c>
    </row>
    <row r="183">
      <c r="A183" s="9" t="inlineStr">
        <is>
          <t>RETAIL_launch</t>
        </is>
      </c>
      <c r="B183" s="21" t="inlineStr">
        <is>
          <t>Launch month (model month #; never earlier than the first-sale month)</t>
        </is>
      </c>
      <c r="C183" s="25" t="n">
        <v>25</v>
      </c>
      <c r="D183" s="25" t="n">
        <v>25</v>
      </c>
      <c r="E183" s="25" t="n">
        <v>22</v>
      </c>
      <c r="F183" s="7" t="inlineStr">
        <is>
          <t>month #</t>
        </is>
      </c>
      <c r="G183" s="21" t="inlineStr">
        <is>
          <t>Off in every base scenario. Needs three physical SKUs, quoted landed cost within the channel cost rule and a positive self-funding check (section 3.10 rule 5).</t>
        </is>
      </c>
      <c r="H183" s="7" t="inlineStr">
        <is>
          <t>Assumption (conditional)</t>
        </is>
      </c>
    </row>
    <row r="184">
      <c r="A184" s="9" t="inlineStr">
        <is>
          <t>RETAIL_base</t>
        </is>
      </c>
      <c r="B184" s="21" t="inlineStr">
        <is>
          <t>Traffic in launch month</t>
        </is>
      </c>
      <c r="C184" s="38" t="n">
        <v>300</v>
      </c>
      <c r="D184" s="38" t="n">
        <v>600</v>
      </c>
      <c r="E184" s="38" t="n">
        <v>1200</v>
      </c>
      <c r="F184" s="7" t="inlineStr">
        <is>
          <t>visits</t>
        </is>
      </c>
      <c r="G184" s="21" t="inlineStr">
        <is>
          <t>No sales history yet. Replace with real data.</t>
        </is>
      </c>
      <c r="H184" s="7" t="inlineStr">
        <is>
          <t>Assumption</t>
        </is>
      </c>
    </row>
    <row r="185">
      <c r="A185" s="9" t="inlineStr">
        <is>
          <t>RETAIL_g1</t>
        </is>
      </c>
      <c r="B185" s="21" t="inlineStr">
        <is>
          <t>Monthly traffic growth, year 1</t>
        </is>
      </c>
      <c r="C185" s="26" t="n">
        <v>0.03</v>
      </c>
      <c r="D185" s="26" t="n">
        <v>0.05</v>
      </c>
      <c r="E185" s="26" t="n">
        <v>0.08</v>
      </c>
      <c r="F185" s="7" t="inlineStr">
        <is>
          <t>% per month</t>
        </is>
      </c>
      <c r="G185" s="21" t="inlineStr"/>
      <c r="H185" s="7" t="inlineStr">
        <is>
          <t>Assumption</t>
        </is>
      </c>
    </row>
    <row r="186">
      <c r="A186" s="9" t="inlineStr">
        <is>
          <t>RETAIL_g2</t>
        </is>
      </c>
      <c r="B186" s="21" t="inlineStr">
        <is>
          <t>Monthly traffic growth, year 2</t>
        </is>
      </c>
      <c r="C186" s="26" t="n">
        <v>0.03</v>
      </c>
      <c r="D186" s="26" t="n">
        <v>0.05</v>
      </c>
      <c r="E186" s="26" t="n">
        <v>0.08</v>
      </c>
      <c r="F186" s="7" t="inlineStr">
        <is>
          <t>% per month</t>
        </is>
      </c>
      <c r="G186" s="21" t="inlineStr"/>
      <c r="H186" s="7" t="inlineStr">
        <is>
          <t>Assumption</t>
        </is>
      </c>
    </row>
    <row r="187">
      <c r="A187" s="9" t="inlineStr">
        <is>
          <t>RETAIL_g3</t>
        </is>
      </c>
      <c r="B187" s="21" t="inlineStr">
        <is>
          <t>Monthly traffic growth, year 3</t>
        </is>
      </c>
      <c r="C187" s="26" t="n">
        <v>0.03</v>
      </c>
      <c r="D187" s="26" t="n">
        <v>0.05</v>
      </c>
      <c r="E187" s="26" t="n">
        <v>0.08</v>
      </c>
      <c r="F187" s="7" t="inlineStr">
        <is>
          <t>% per month</t>
        </is>
      </c>
      <c r="G187" s="21" t="inlineStr"/>
      <c r="H187" s="7" t="inlineStr">
        <is>
          <t>Assumption</t>
        </is>
      </c>
    </row>
    <row r="188">
      <c r="A188" s="9" t="inlineStr">
        <is>
          <t>RETAIL_cvr</t>
        </is>
      </c>
      <c r="B188" s="21" t="inlineStr">
        <is>
          <t>Conversion rate (visit -&gt; order) at full ramp</t>
        </is>
      </c>
      <c r="C188" s="37" t="n">
        <v>0.005</v>
      </c>
      <c r="D188" s="37" t="n">
        <v>0.01</v>
      </c>
      <c r="E188" s="37" t="n">
        <v>0.015</v>
      </c>
      <c r="F188" s="7" t="inlineStr">
        <is>
          <t>% of visits</t>
        </is>
      </c>
      <c r="G188" s="21" t="inlineStr"/>
      <c r="H188" s="7" t="inlineStr">
        <is>
          <t>Assumption</t>
        </is>
      </c>
    </row>
    <row r="189">
      <c r="A189" s="9" t="inlineStr">
        <is>
          <t>RETAIL_items</t>
        </is>
      </c>
      <c r="B189" s="21" t="inlineStr">
        <is>
          <t>Units per order (wholesale cartons mixed with single marketplace orders)</t>
        </is>
      </c>
      <c r="C189" s="33" t="n">
        <v>3</v>
      </c>
      <c r="D189" s="33" t="n">
        <v>4</v>
      </c>
      <c r="E189" s="33" t="n">
        <v>5</v>
      </c>
      <c r="F189" s="7" t="inlineStr">
        <is>
          <t>items</t>
        </is>
      </c>
      <c r="G189" s="21" t="inlineStr"/>
      <c r="H189" s="7" t="inlineStr">
        <is>
          <t>Assumption</t>
        </is>
      </c>
    </row>
    <row r="191">
      <c r="A191" s="5" t="inlineStr">
        <is>
          <t>Email list (owned audience; drives the course)</t>
        </is>
      </c>
      <c r="B191" s="6" t="n"/>
      <c r="C191" s="6" t="n"/>
      <c r="D191" s="6" t="n"/>
      <c r="E191" s="6" t="n"/>
      <c r="F191" s="6" t="n"/>
      <c r="G191" s="6" t="n"/>
      <c r="H191" s="6" t="n"/>
    </row>
    <row r="192">
      <c r="A192" s="9" t="inlineStr">
        <is>
          <t>signup</t>
        </is>
      </c>
      <c r="B192" s="21" t="inlineStr">
        <is>
          <t>Own-site visitors who join the list (free '3 plays for your child's age')</t>
        </is>
      </c>
      <c r="C192" s="30" t="n">
        <v>0.02</v>
      </c>
      <c r="D192" s="30" t="n">
        <v>0.03</v>
      </c>
      <c r="E192" s="30" t="n">
        <v>0.04</v>
      </c>
      <c r="F192" s="7" t="inlineStr">
        <is>
          <t>% of sessions</t>
        </is>
      </c>
      <c r="G192" s="21" t="inlineStr">
        <is>
          <t>BLIND-SPOTS #5 lead magnet.</t>
        </is>
      </c>
      <c r="H192" s="7" t="inlineStr">
        <is>
          <t>Assumption</t>
        </is>
      </c>
    </row>
    <row r="193">
      <c r="A193" s="9" t="inlineStr">
        <is>
          <t>optin</t>
        </is>
      </c>
      <c r="B193" s="21" t="inlineStr">
        <is>
          <t>Own-site, KDP, IngramSpark and merchant-of-record buyers who join through the bonus QR / short link</t>
        </is>
      </c>
      <c r="C193" s="26" t="n">
        <v>0.1</v>
      </c>
      <c r="D193" s="26" t="n">
        <v>0.15</v>
      </c>
      <c r="E193" s="26" t="n">
        <v>0.2</v>
      </c>
      <c r="F193" s="7" t="inlineStr">
        <is>
          <t>% of orders</t>
        </is>
      </c>
      <c r="G193" s="21" t="inlineStr">
        <is>
          <t>BLIND-SPOTS #5. Etsy and TpT editions carry no URL or QR code (BRAND.md), so Etsy buyers are excluded.</t>
        </is>
      </c>
      <c r="H193" s="7" t="inlineStr">
        <is>
          <t>Assumption</t>
        </is>
      </c>
    </row>
    <row r="194">
      <c r="A194" s="9" t="inlineStr">
        <is>
          <t>churn</t>
        </is>
      </c>
      <c r="B194" s="21" t="inlineStr">
        <is>
          <t>Monthly unsubscribe rate</t>
        </is>
      </c>
      <c r="C194" s="26" t="n">
        <v>0.02</v>
      </c>
      <c r="D194" s="26" t="n">
        <v>0.015</v>
      </c>
      <c r="E194" s="26" t="n">
        <v>0.01</v>
      </c>
      <c r="F194" s="7" t="inlineStr">
        <is>
          <t>% of list</t>
        </is>
      </c>
      <c r="G194" s="21" t="inlineStr"/>
      <c r="H194" s="7" t="inlineStr">
        <is>
          <t>Assumption</t>
        </is>
      </c>
    </row>
    <row r="196">
      <c r="A196" s="5" t="inlineStr">
        <is>
          <t>Paid advertising: optional tests only. Traffic in this model is organic; ads get no revenue credit, so they are a pure cost.</t>
        </is>
      </c>
      <c r="B196" s="6" t="n"/>
      <c r="C196" s="6" t="n"/>
      <c r="D196" s="6" t="n"/>
      <c r="E196" s="6" t="n"/>
      <c r="F196" s="6" t="n"/>
      <c r="G196" s="6" t="n"/>
      <c r="H196" s="6" t="n"/>
    </row>
    <row r="197">
      <c r="A197" s="9" t="inlineStr">
        <is>
          <t>ads_start</t>
        </is>
      </c>
      <c r="B197" s="21" t="inlineStr">
        <is>
          <t>Ads start month</t>
        </is>
      </c>
      <c r="C197" s="25" t="n">
        <v>4</v>
      </c>
      <c r="D197" s="25" t="n">
        <v>4</v>
      </c>
      <c r="E197" s="25" t="n">
        <v>4</v>
      </c>
      <c r="F197" s="7" t="inlineStr">
        <is>
          <t>month #</t>
        </is>
      </c>
      <c r="G197" s="21" t="inlineStr">
        <is>
          <t>After the first-sale month and a month of organic data (MARKETING-PLAYBOOK: Amazon Ads $5-10/day on live titles).</t>
        </is>
      </c>
      <c r="H197" s="7" t="inlineStr">
        <is>
          <t>Assumption</t>
        </is>
      </c>
    </row>
    <row r="198">
      <c r="A198" s="9" t="inlineStr">
        <is>
          <t>ads1</t>
        </is>
      </c>
      <c r="B198" s="21" t="inlineStr">
        <is>
          <t>Ad test budget per month, year 1</t>
        </is>
      </c>
      <c r="C198" s="27" t="n">
        <v>0</v>
      </c>
      <c r="D198" s="27" t="n">
        <v>150</v>
      </c>
      <c r="E198" s="27" t="n">
        <v>300</v>
      </c>
      <c r="F198" s="7" t="inlineStr">
        <is>
          <t>$ per month</t>
        </is>
      </c>
      <c r="G198" s="21" t="inlineStr">
        <is>
          <t>Amazon Ads floor of $5/day. The playbook's Pinterest and Meta tests ($300-$600 each) wait for the break-even line (section 3.10).</t>
        </is>
      </c>
      <c r="H198" s="7" t="inlineStr">
        <is>
          <t>Repo range</t>
        </is>
      </c>
    </row>
    <row r="199">
      <c r="A199" s="9" t="inlineStr">
        <is>
          <t>ads2</t>
        </is>
      </c>
      <c r="B199" s="21" t="inlineStr">
        <is>
          <t>Ad test budget per month, year 2</t>
        </is>
      </c>
      <c r="C199" s="27" t="n">
        <v>100</v>
      </c>
      <c r="D199" s="27" t="n">
        <v>250</v>
      </c>
      <c r="E199" s="27" t="n">
        <v>500</v>
      </c>
      <c r="F199" s="7" t="inlineStr">
        <is>
          <t>$ per month</t>
        </is>
      </c>
      <c r="G199" s="21" t="inlineStr">
        <is>
          <t>One test at a time; cut ad sets that miss target CAC (MARKETING-PLAYBOOK).</t>
        </is>
      </c>
      <c r="H199" s="7" t="inlineStr">
        <is>
          <t>Assumption</t>
        </is>
      </c>
    </row>
    <row r="200">
      <c r="A200" s="9" t="inlineStr">
        <is>
          <t>ads3</t>
        </is>
      </c>
      <c r="B200" s="21" t="inlineStr">
        <is>
          <t>Ad test budget per month, year 3</t>
        </is>
      </c>
      <c r="C200" s="27" t="n">
        <v>150</v>
      </c>
      <c r="D200" s="27" t="n">
        <v>350</v>
      </c>
      <c r="E200" s="27" t="n">
        <v>700</v>
      </c>
      <c r="F200" s="7" t="inlineStr">
        <is>
          <t>$ per month</t>
        </is>
      </c>
      <c r="G200" s="21" t="inlineStr">
        <is>
          <t>Raise only while CAC is under target (MARKETING-PLAYBOOK checklist).</t>
        </is>
      </c>
      <c r="H200" s="7" t="inlineStr">
        <is>
          <t>Assumption</t>
        </is>
      </c>
    </row>
  </sheetData>
  <mergeCells count="1">
    <mergeCell ref="A2:H3"/>
  </mergeCells>
  <dataValidations count="2">
    <dataValidation sqref="C117 C126 C134 C142 C150 C158 C164 C173 C182 D117 D126 D134 D142 D150 D158 D164 D173 D182 E117 E126 E134 E142 E150 E158 E164 E173 E182" showDropDown="0" showInputMessage="0" showErrorMessage="0" allowBlank="0" type="whole" operator="between">
      <formula1>0</formula1>
      <formula2>1</formula2>
    </dataValidation>
    <dataValidation sqref="C10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R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4" customWidth="1" min="2" max="2"/>
    <col width="34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2" customWidth="1" min="11" max="11"/>
    <col width="11" customWidth="1" min="12" max="12"/>
    <col width="11" customWidth="1" min="13" max="13"/>
    <col width="10" customWidth="1" min="14" max="14"/>
    <col width="12" customWidth="1" min="15" max="15"/>
    <col width="9" customWidth="1" min="16" max="16"/>
    <col width="52" customWidth="1" min="17" max="17"/>
    <col width="80" customWidth="1" min="18" max="18"/>
  </cols>
  <sheetData>
    <row r="1">
      <c r="A1" s="20" t="inlineStr">
        <is>
          <t>Unit economics: net to AlphaPlay LLC per unit, by product and channel</t>
        </is>
      </c>
    </row>
    <row r="2" ht="28" customHeight="1">
      <c r="A2" s="2" t="inlineStr">
        <is>
          <t>Net per unit = Price x (1 - platform % - payment % - refund %) - fixed fees - print/POD/landed cost - fulfilment. Sales tax and VAT are pass-through and never counted as revenue. Blue prices are editable; other channels link to them.</t>
        </is>
      </c>
    </row>
    <row r="3"/>
    <row r="5" ht="45" customHeight="1">
      <c r="A5" s="3" t="inlineStr">
        <is>
          <t>Channel code</t>
        </is>
      </c>
      <c r="B5" s="4" t="inlineStr">
        <is>
          <t>Product</t>
        </is>
      </c>
      <c r="C5" s="4" t="inlineStr">
        <is>
          <t>Channel / route</t>
        </is>
      </c>
      <c r="D5" s="4" t="inlineStr">
        <is>
          <t>Wave</t>
        </is>
      </c>
      <c r="E5" s="4" t="inlineStr">
        <is>
          <t>Price to customer ($)</t>
        </is>
      </c>
      <c r="F5" s="4" t="inlineStr">
        <is>
          <t>Platform / marketplace fee %</t>
        </is>
      </c>
      <c r="G5" s="4" t="inlineStr">
        <is>
          <t>Platform fixed fee ($/unit)</t>
        </is>
      </c>
      <c r="H5" s="4" t="inlineStr">
        <is>
          <t>Payment processing %</t>
        </is>
      </c>
      <c r="I5" s="4" t="inlineStr">
        <is>
          <t>Payment fixed fee ($)</t>
        </is>
      </c>
      <c r="J5" s="4" t="inlineStr">
        <is>
          <t>Refund / deduction allowance %</t>
        </is>
      </c>
      <c r="K5" s="4" t="inlineStr">
        <is>
          <t>Print, POD or landed cost ($/unit)</t>
        </is>
      </c>
      <c r="L5" s="4" t="inlineStr">
        <is>
          <t>Fulfilment ($/unit)</t>
        </is>
      </c>
      <c r="M5" s="4" t="inlineStr">
        <is>
          <t>Net per unit ($)</t>
        </is>
      </c>
      <c r="N5" s="4" t="inlineStr">
        <is>
          <t>Net margin %</t>
        </is>
      </c>
      <c r="O5" s="4" t="inlineStr">
        <is>
          <t>Inventory cost paid up front ($/unit)</t>
        </is>
      </c>
      <c r="P5" s="4" t="inlineStr">
        <is>
          <t>Mix weight in channel</t>
        </is>
      </c>
      <c r="Q5" s="4" t="inlineStr">
        <is>
          <t>Sales tax / VAT handling</t>
        </is>
      </c>
      <c r="R5" s="4" t="inlineStr">
        <is>
          <t>Source / notes</t>
        </is>
      </c>
    </row>
    <row r="6">
      <c r="A6" s="7" t="inlineStr">
        <is>
          <t>SITE</t>
        </is>
      </c>
      <c r="B6" s="7" t="inlineStr">
        <is>
          <t>Visual routine cards (200+ editable; 0-5 set at launch, 5-12 set added free when G1 clears)</t>
        </is>
      </c>
      <c r="C6" s="7" t="inlineStr">
        <is>
          <t>Own site (Shopify)</t>
        </is>
      </c>
      <c r="D6" s="7" t="inlineStr">
        <is>
          <t>1</t>
        </is>
      </c>
      <c r="E6" s="29" t="n">
        <v>6.5</v>
      </c>
      <c r="F6" s="39" t="n">
        <v>0</v>
      </c>
      <c r="G6" s="32" t="n">
        <v>0</v>
      </c>
      <c r="H6" s="17">
        <f>'Assumptions'!$C$24</f>
        <v/>
      </c>
      <c r="I6" s="16">
        <f>'Assumptions'!$C$25</f>
        <v/>
      </c>
      <c r="J6" s="17">
        <f>'Assumptions'!$C$13</f>
        <v/>
      </c>
      <c r="K6" s="32" t="n">
        <v>0</v>
      </c>
      <c r="L6" s="32" t="n">
        <v>0</v>
      </c>
      <c r="M6" s="32">
        <f>E6*(1-F6-H6-J6)-G6-I6-K6-L6</f>
        <v/>
      </c>
      <c r="N6" s="39">
        <f>IF(E6=0,0,M6/E6)</f>
        <v/>
      </c>
      <c r="O6" s="32" t="n">
        <v>0</v>
      </c>
      <c r="P6" s="25" t="n">
        <v>25</v>
      </c>
      <c r="Q6" s="7" t="inlineStr">
        <is>
          <t>Shopify Tax adds MD 6% at checkout; AlphaPlay remits (pass-through, not revenue)</t>
        </is>
      </c>
      <c r="R6" s="7" t="inlineStr">
        <is>
          <t>Everyday price $6.50 under BRAND.md 'Honest pricing' (no anchor or permanent sale).</t>
        </is>
      </c>
    </row>
    <row r="7">
      <c r="A7" s="7" t="inlineStr">
        <is>
          <t>SITE</t>
        </is>
      </c>
      <c r="B7" s="7" t="inlineStr">
        <is>
          <t>"I'm bored" play cards (150, age-banded)</t>
        </is>
      </c>
      <c r="C7" s="7" t="inlineStr">
        <is>
          <t>Own site (Shopify)</t>
        </is>
      </c>
      <c r="D7" s="7" t="inlineStr">
        <is>
          <t>1</t>
        </is>
      </c>
      <c r="E7" s="29" t="n">
        <v>6.5</v>
      </c>
      <c r="F7" s="39" t="n">
        <v>0</v>
      </c>
      <c r="G7" s="32" t="n">
        <v>0</v>
      </c>
      <c r="H7" s="17">
        <f>'Assumptions'!$C$24</f>
        <v/>
      </c>
      <c r="I7" s="16">
        <f>'Assumptions'!$C$25</f>
        <v/>
      </c>
      <c r="J7" s="17">
        <f>'Assumptions'!$C$13</f>
        <v/>
      </c>
      <c r="K7" s="32" t="n">
        <v>0</v>
      </c>
      <c r="L7" s="32" t="n">
        <v>0</v>
      </c>
      <c r="M7" s="32">
        <f>E7*(1-F7-H7-J7)-G7-I7-K7-L7</f>
        <v/>
      </c>
      <c r="N7" s="39">
        <f>IF(E7=0,0,M7/E7)</f>
        <v/>
      </c>
      <c r="O7" s="32" t="n">
        <v>0</v>
      </c>
      <c r="P7" s="25" t="n">
        <v>15</v>
      </c>
      <c r="Q7" s="7" t="inlineStr">
        <is>
          <t>Shopify Tax adds MD 6% at checkout; AlphaPlay remits (pass-through, not revenue)</t>
        </is>
      </c>
      <c r="R7" s="7" t="inlineStr">
        <is>
          <t>DEMAND-CHECK §3 #2.</t>
        </is>
      </c>
    </row>
    <row r="8">
      <c r="A8" s="7" t="inlineStr">
        <is>
          <t>SITE</t>
        </is>
      </c>
      <c r="B8" s="7" t="inlineStr">
        <is>
          <t>Play-First Family Kit (2-5 pages at launch; 5-12 pages added free when G1 clears)</t>
        </is>
      </c>
      <c r="C8" s="7" t="inlineStr">
        <is>
          <t>Own site (Shopify)</t>
        </is>
      </c>
      <c r="D8" s="7" t="inlineStr">
        <is>
          <t>1</t>
        </is>
      </c>
      <c r="E8" s="29" t="n">
        <v>11</v>
      </c>
      <c r="F8" s="39" t="n">
        <v>0</v>
      </c>
      <c r="G8" s="32" t="n">
        <v>0</v>
      </c>
      <c r="H8" s="17">
        <f>'Assumptions'!$C$24</f>
        <v/>
      </c>
      <c r="I8" s="16">
        <f>'Assumptions'!$C$25</f>
        <v/>
      </c>
      <c r="J8" s="17">
        <f>'Assumptions'!$C$13</f>
        <v/>
      </c>
      <c r="K8" s="32" t="n">
        <v>0</v>
      </c>
      <c r="L8" s="32" t="n">
        <v>0</v>
      </c>
      <c r="M8" s="32">
        <f>E8*(1-F8-H8-J8)-G8-I8-K8-L8</f>
        <v/>
      </c>
      <c r="N8" s="39">
        <f>IF(E8=0,0,M8/E8)</f>
        <v/>
      </c>
      <c r="O8" s="32" t="n">
        <v>0</v>
      </c>
      <c r="P8" s="25" t="n">
        <v>20</v>
      </c>
      <c r="Q8" s="7" t="inlineStr">
        <is>
          <t>Shopify Tax adds MD 6% at checkout; AlphaPlay remits (pass-through, not revenue)</t>
        </is>
      </c>
      <c r="R8" s="7" t="inlineStr">
        <is>
          <t>DEMAND-CHECK §3 #3.</t>
        </is>
      </c>
    </row>
    <row r="9">
      <c r="A9" s="7" t="inlineStr">
        <is>
          <t>SITE</t>
        </is>
      </c>
      <c r="B9" s="7" t="inlineStr">
        <is>
          <t>Toddler busy book printable (120-150 pages)</t>
        </is>
      </c>
      <c r="C9" s="7" t="inlineStr">
        <is>
          <t>Own site (Shopify)</t>
        </is>
      </c>
      <c r="D9" s="7" t="inlineStr">
        <is>
          <t>1</t>
        </is>
      </c>
      <c r="E9" s="29" t="n">
        <v>11.99</v>
      </c>
      <c r="F9" s="39" t="n">
        <v>0</v>
      </c>
      <c r="G9" s="32" t="n">
        <v>0</v>
      </c>
      <c r="H9" s="17">
        <f>'Assumptions'!$C$24</f>
        <v/>
      </c>
      <c r="I9" s="16">
        <f>'Assumptions'!$C$25</f>
        <v/>
      </c>
      <c r="J9" s="17">
        <f>'Assumptions'!$C$13</f>
        <v/>
      </c>
      <c r="K9" s="32" t="n">
        <v>0</v>
      </c>
      <c r="L9" s="32" t="n">
        <v>0</v>
      </c>
      <c r="M9" s="32">
        <f>E9*(1-F9-H9-J9)-G9-I9-K9-L9</f>
        <v/>
      </c>
      <c r="N9" s="39">
        <f>IF(E9=0,0,M9/E9)</f>
        <v/>
      </c>
      <c r="O9" s="32" t="n">
        <v>0</v>
      </c>
      <c r="P9" s="25" t="n">
        <v>18</v>
      </c>
      <c r="Q9" s="7" t="inlineStr">
        <is>
          <t>Shopify Tax adds MD 6% at checkout; AlphaPlay remits (pass-through, not revenue)</t>
        </is>
      </c>
      <c r="R9" s="7" t="inlineStr">
        <is>
          <t>Everyday price $11.99 under BRAND.md 'Honest pricing' (DEMAND-CHECK §3 #4 street level).</t>
        </is>
      </c>
    </row>
    <row r="10">
      <c r="A10" s="7" t="inlineStr">
        <is>
          <t>SITE</t>
        </is>
      </c>
      <c r="B10" s="7" t="inlineStr">
        <is>
          <t>100 Screen-Free Plays (PDF)</t>
        </is>
      </c>
      <c r="C10" s="7" t="inlineStr">
        <is>
          <t>Own site (Shopify)</t>
        </is>
      </c>
      <c r="D10" s="7" t="inlineStr">
        <is>
          <t>1</t>
        </is>
      </c>
      <c r="E10" s="29" t="n">
        <v>9.99</v>
      </c>
      <c r="F10" s="39" t="n">
        <v>0</v>
      </c>
      <c r="G10" s="32" t="n">
        <v>0</v>
      </c>
      <c r="H10" s="17">
        <f>'Assumptions'!$C$24</f>
        <v/>
      </c>
      <c r="I10" s="16">
        <f>'Assumptions'!$C$25</f>
        <v/>
      </c>
      <c r="J10" s="17">
        <f>'Assumptions'!$C$13</f>
        <v/>
      </c>
      <c r="K10" s="32" t="n">
        <v>0</v>
      </c>
      <c r="L10" s="32" t="n">
        <v>0</v>
      </c>
      <c r="M10" s="32">
        <f>E10*(1-F10-H10-J10)-G10-I10-K10-L10</f>
        <v/>
      </c>
      <c r="N10" s="39">
        <f>IF(E10=0,0,M10/E10)</f>
        <v/>
      </c>
      <c r="O10" s="32" t="n">
        <v>0</v>
      </c>
      <c r="P10" s="25" t="n">
        <v>10</v>
      </c>
      <c r="Q10" s="7" t="inlineStr">
        <is>
          <t>Shopify Tax adds MD 6% at checkout; AlphaPlay remits (pass-through, not revenue)</t>
        </is>
      </c>
      <c r="R10" s="7" t="inlineStr">
        <is>
          <t>DEMAND-CHECK §3 #5.</t>
        </is>
      </c>
    </row>
    <row r="11">
      <c r="A11" s="7" t="inlineStr">
        <is>
          <t>SITE</t>
        </is>
      </c>
      <c r="B11" s="7" t="inlineStr">
        <is>
          <t>Screen-Free Car Ride &amp; Waiting Pack</t>
        </is>
      </c>
      <c r="C11" s="7" t="inlineStr">
        <is>
          <t>Own site (Shopify)</t>
        </is>
      </c>
      <c r="D11" s="7" t="inlineStr">
        <is>
          <t>1</t>
        </is>
      </c>
      <c r="E11" s="29" t="n">
        <v>6</v>
      </c>
      <c r="F11" s="39" t="n">
        <v>0</v>
      </c>
      <c r="G11" s="32" t="n">
        <v>0</v>
      </c>
      <c r="H11" s="17">
        <f>'Assumptions'!$C$24</f>
        <v/>
      </c>
      <c r="I11" s="16">
        <f>'Assumptions'!$C$25</f>
        <v/>
      </c>
      <c r="J11" s="17">
        <f>'Assumptions'!$C$13</f>
        <v/>
      </c>
      <c r="K11" s="32" t="n">
        <v>0</v>
      </c>
      <c r="L11" s="32" t="n">
        <v>0</v>
      </c>
      <c r="M11" s="32">
        <f>E11*(1-F11-H11-J11)-G11-I11-K11-L11</f>
        <v/>
      </c>
      <c r="N11" s="39">
        <f>IF(E11=0,0,M11/E11)</f>
        <v/>
      </c>
      <c r="O11" s="32" t="n">
        <v>0</v>
      </c>
      <c r="P11" s="25" t="n">
        <v>5</v>
      </c>
      <c r="Q11" s="7" t="inlineStr">
        <is>
          <t>Shopify Tax adds MD 6% at checkout; AlphaPlay remits (pass-through, not revenue)</t>
        </is>
      </c>
      <c r="R11" s="7" t="inlineStr">
        <is>
          <t>DEMAND-CHECK §3 first alternate.</t>
        </is>
      </c>
    </row>
    <row r="12">
      <c r="A12" s="7" t="inlineStr">
        <is>
          <t>SITE</t>
        </is>
      </c>
      <c r="B12" s="7" t="inlineStr">
        <is>
          <t>First-words flash cards (printable)</t>
        </is>
      </c>
      <c r="C12" s="7" t="inlineStr">
        <is>
          <t>Own site (Shopify)</t>
        </is>
      </c>
      <c r="D12" s="7" t="inlineStr">
        <is>
          <t>1</t>
        </is>
      </c>
      <c r="E12" s="29" t="n">
        <v>6.99</v>
      </c>
      <c r="F12" s="39" t="n">
        <v>0</v>
      </c>
      <c r="G12" s="32" t="n">
        <v>0</v>
      </c>
      <c r="H12" s="17">
        <f>'Assumptions'!$C$24</f>
        <v/>
      </c>
      <c r="I12" s="16">
        <f>'Assumptions'!$C$25</f>
        <v/>
      </c>
      <c r="J12" s="17">
        <f>'Assumptions'!$C$13</f>
        <v/>
      </c>
      <c r="K12" s="32" t="n">
        <v>0</v>
      </c>
      <c r="L12" s="32" t="n">
        <v>0</v>
      </c>
      <c r="M12" s="32">
        <f>E12*(1-F12-H12-J12)-G12-I12-K12-L12</f>
        <v/>
      </c>
      <c r="N12" s="39">
        <f>IF(E12=0,0,M12/E12)</f>
        <v/>
      </c>
      <c r="O12" s="32" t="n">
        <v>0</v>
      </c>
      <c r="P12" s="25" t="n">
        <v>3</v>
      </c>
      <c r="Q12" s="7" t="inlineStr">
        <is>
          <t>Shopify Tax adds MD 6% at checkout; AlphaPlay remits (pass-through, not revenue)</t>
        </is>
      </c>
      <c r="R12" s="7" t="inlineStr">
        <is>
          <t>DEMAND-CHECK §2 #3.</t>
        </is>
      </c>
    </row>
    <row r="13">
      <c r="A13" s="7" t="inlineStr">
        <is>
          <t>SITE</t>
        </is>
      </c>
      <c r="B13" s="7" t="inlineStr">
        <is>
          <t>ALPHAPLAY Spelling Games printable (G1; trademark-use product)</t>
        </is>
      </c>
      <c r="C13" s="7" t="inlineStr">
        <is>
          <t>Own site (Shopify)</t>
        </is>
      </c>
      <c r="D13" s="7" t="inlineStr">
        <is>
          <t>1</t>
        </is>
      </c>
      <c r="E13" s="29" t="n">
        <v>6</v>
      </c>
      <c r="F13" s="39" t="n">
        <v>0</v>
      </c>
      <c r="G13" s="32" t="n">
        <v>0</v>
      </c>
      <c r="H13" s="17">
        <f>'Assumptions'!$C$24</f>
        <v/>
      </c>
      <c r="I13" s="16">
        <f>'Assumptions'!$C$25</f>
        <v/>
      </c>
      <c r="J13" s="17">
        <f>'Assumptions'!$C$13</f>
        <v/>
      </c>
      <c r="K13" s="32" t="n">
        <v>0</v>
      </c>
      <c r="L13" s="32" t="n">
        <v>0</v>
      </c>
      <c r="M13" s="32">
        <f>E13*(1-F13-H13-J13)-G13-I13-K13-L13</f>
        <v/>
      </c>
      <c r="N13" s="39">
        <f>IF(E13=0,0,M13/E13)</f>
        <v/>
      </c>
      <c r="O13" s="32" t="n">
        <v>0</v>
      </c>
      <c r="P13" s="25" t="n">
        <v>0</v>
      </c>
      <c r="Q13" s="7" t="inlineStr">
        <is>
          <t>Shopify Tax adds MD 6% at checkout; AlphaPlay remits (pass-through, not revenue)</t>
        </is>
      </c>
      <c r="R13" s="7" t="inlineStr">
        <is>
          <t>ops/QUEUE.md #1. Weight 0: its job is to protect the mark, it is G1 pending counsel, and the demand check found no sales evidence.</t>
        </is>
      </c>
    </row>
    <row r="14">
      <c r="A14" s="7" t="inlineStr">
        <is>
          <t>SITE</t>
        </is>
      </c>
      <c r="B14" s="7" t="inlineStr">
        <is>
          <t>Adult tee (POD, 2-3 cleared designs max)</t>
        </is>
      </c>
      <c r="C14" s="7" t="inlineStr">
        <is>
          <t>Own site (Shopify) + POD partner</t>
        </is>
      </c>
      <c r="D14" s="7" t="inlineStr">
        <is>
          <t>1</t>
        </is>
      </c>
      <c r="E14" s="29" t="n">
        <v>27</v>
      </c>
      <c r="F14" s="39" t="n">
        <v>0</v>
      </c>
      <c r="G14" s="32" t="n">
        <v>0</v>
      </c>
      <c r="H14" s="17">
        <f>'Assumptions'!$C$24</f>
        <v/>
      </c>
      <c r="I14" s="16">
        <f>'Assumptions'!$C$25</f>
        <v/>
      </c>
      <c r="J14" s="17">
        <f>'Assumptions'!$C$13</f>
        <v/>
      </c>
      <c r="K14" s="16">
        <f>'Assumptions'!$C$54</f>
        <v/>
      </c>
      <c r="L14" s="32" t="n">
        <v>0</v>
      </c>
      <c r="M14" s="32">
        <f>E14*(1-F14-H14-J14)-G14-I14-K14-L14</f>
        <v/>
      </c>
      <c r="N14" s="39">
        <f>IF(E14=0,0,M14/E14)</f>
        <v/>
      </c>
      <c r="O14" s="32" t="n">
        <v>0</v>
      </c>
      <c r="P14" s="25" t="n">
        <v>0</v>
      </c>
      <c r="Q14" s="7" t="inlineStr">
        <is>
          <t>Shopify Tax adds MD 6% at checkout; AlphaPlay remits (pass-through, not revenue)</t>
        </is>
      </c>
      <c r="R14" s="7" t="inlineStr">
        <is>
          <t>DEMAND-CHECK tees row: $27. Weight 0 until the designs clear trademark review (Wave 3).</t>
        </is>
      </c>
    </row>
    <row r="15">
      <c r="A15" s="7" t="inlineStr">
        <is>
          <t>ETSY</t>
        </is>
      </c>
      <c r="B15" s="7" t="inlineStr">
        <is>
          <t>Visual routine cards (200+ editable; 0-5 set at launch, 5-12 set added free when G1 clears)</t>
        </is>
      </c>
      <c r="C15" s="7" t="inlineStr">
        <is>
          <t>Etsy</t>
        </is>
      </c>
      <c r="D15" s="7" t="inlineStr">
        <is>
          <t>1</t>
        </is>
      </c>
      <c r="E15" s="32">
        <f>E6</f>
        <v/>
      </c>
      <c r="F15" s="17">
        <f>'Assumptions'!$C$26+'Assumptions'!$C$30*'Assumptions'!$C$31</f>
        <v/>
      </c>
      <c r="G15" s="16">
        <f>'Assumptions'!$C$29</f>
        <v/>
      </c>
      <c r="H15" s="17">
        <f>'Assumptions'!$C$27</f>
        <v/>
      </c>
      <c r="I15" s="16">
        <f>'Assumptions'!$C$28</f>
        <v/>
      </c>
      <c r="J15" s="17">
        <f>'Assumptions'!$C$13</f>
        <v/>
      </c>
      <c r="K15" s="32" t="n">
        <v>0</v>
      </c>
      <c r="L15" s="32" t="n">
        <v>0</v>
      </c>
      <c r="M15" s="32">
        <f>E15*(1-F15-H15-J15)-G15-I15-K15-L15</f>
        <v/>
      </c>
      <c r="N15" s="39">
        <f>IF(E15=0,0,M15/E15)</f>
        <v/>
      </c>
      <c r="O15" s="32" t="n">
        <v>0</v>
      </c>
      <c r="P15" s="25" t="n">
        <v>25</v>
      </c>
      <c r="Q15" s="7" t="inlineStr">
        <is>
          <t>Etsy is marketplace facilitator: collects and remits</t>
        </is>
      </c>
      <c r="R15" s="7" t="inlineStr">
        <is>
          <t>Price linked to the own-site row.</t>
        </is>
      </c>
    </row>
    <row r="16">
      <c r="A16" s="7" t="inlineStr">
        <is>
          <t>ETSY</t>
        </is>
      </c>
      <c r="B16" s="7" t="inlineStr">
        <is>
          <t>"I'm bored" play cards (150, age-banded)</t>
        </is>
      </c>
      <c r="C16" s="7" t="inlineStr">
        <is>
          <t>Etsy</t>
        </is>
      </c>
      <c r="D16" s="7" t="inlineStr">
        <is>
          <t>1</t>
        </is>
      </c>
      <c r="E16" s="32">
        <f>E7</f>
        <v/>
      </c>
      <c r="F16" s="17">
        <f>'Assumptions'!$C$26+'Assumptions'!$C$30*'Assumptions'!$C$31</f>
        <v/>
      </c>
      <c r="G16" s="16">
        <f>'Assumptions'!$C$29</f>
        <v/>
      </c>
      <c r="H16" s="17">
        <f>'Assumptions'!$C$27</f>
        <v/>
      </c>
      <c r="I16" s="16">
        <f>'Assumptions'!$C$28</f>
        <v/>
      </c>
      <c r="J16" s="17">
        <f>'Assumptions'!$C$13</f>
        <v/>
      </c>
      <c r="K16" s="32" t="n">
        <v>0</v>
      </c>
      <c r="L16" s="32" t="n">
        <v>0</v>
      </c>
      <c r="M16" s="32">
        <f>E16*(1-F16-H16-J16)-G16-I16-K16-L16</f>
        <v/>
      </c>
      <c r="N16" s="39">
        <f>IF(E16=0,0,M16/E16)</f>
        <v/>
      </c>
      <c r="O16" s="32" t="n">
        <v>0</v>
      </c>
      <c r="P16" s="25" t="n">
        <v>15</v>
      </c>
      <c r="Q16" s="7" t="inlineStr">
        <is>
          <t>Etsy is marketplace facilitator: collects and remits</t>
        </is>
      </c>
      <c r="R16" s="7" t="inlineStr">
        <is>
          <t>Price linked to the own-site row.</t>
        </is>
      </c>
    </row>
    <row r="17">
      <c r="A17" s="7" t="inlineStr">
        <is>
          <t>ETSY</t>
        </is>
      </c>
      <c r="B17" s="7" t="inlineStr">
        <is>
          <t>Play-First Family Kit (2-5 pages at launch; 5-12 pages added free when G1 clears)</t>
        </is>
      </c>
      <c r="C17" s="7" t="inlineStr">
        <is>
          <t>Etsy</t>
        </is>
      </c>
      <c r="D17" s="7" t="inlineStr">
        <is>
          <t>1</t>
        </is>
      </c>
      <c r="E17" s="32">
        <f>E8</f>
        <v/>
      </c>
      <c r="F17" s="17">
        <f>'Assumptions'!$C$26+'Assumptions'!$C$30*'Assumptions'!$C$31</f>
        <v/>
      </c>
      <c r="G17" s="16">
        <f>'Assumptions'!$C$29</f>
        <v/>
      </c>
      <c r="H17" s="17">
        <f>'Assumptions'!$C$27</f>
        <v/>
      </c>
      <c r="I17" s="16">
        <f>'Assumptions'!$C$28</f>
        <v/>
      </c>
      <c r="J17" s="17">
        <f>'Assumptions'!$C$13</f>
        <v/>
      </c>
      <c r="K17" s="32" t="n">
        <v>0</v>
      </c>
      <c r="L17" s="32" t="n">
        <v>0</v>
      </c>
      <c r="M17" s="32">
        <f>E17*(1-F17-H17-J17)-G17-I17-K17-L17</f>
        <v/>
      </c>
      <c r="N17" s="39">
        <f>IF(E17=0,0,M17/E17)</f>
        <v/>
      </c>
      <c r="O17" s="32" t="n">
        <v>0</v>
      </c>
      <c r="P17" s="25" t="n">
        <v>20</v>
      </c>
      <c r="Q17" s="7" t="inlineStr">
        <is>
          <t>Etsy is marketplace facilitator: collects and remits</t>
        </is>
      </c>
      <c r="R17" s="7" t="inlineStr">
        <is>
          <t>Price linked to the own-site row.</t>
        </is>
      </c>
    </row>
    <row r="18">
      <c r="A18" s="7" t="inlineStr">
        <is>
          <t>ETSY</t>
        </is>
      </c>
      <c r="B18" s="7" t="inlineStr">
        <is>
          <t>Toddler busy book printable (120-150 pages)</t>
        </is>
      </c>
      <c r="C18" s="7" t="inlineStr">
        <is>
          <t>Etsy</t>
        </is>
      </c>
      <c r="D18" s="7" t="inlineStr">
        <is>
          <t>1</t>
        </is>
      </c>
      <c r="E18" s="32">
        <f>E9</f>
        <v/>
      </c>
      <c r="F18" s="17">
        <f>'Assumptions'!$C$26+'Assumptions'!$C$30*'Assumptions'!$C$31</f>
        <v/>
      </c>
      <c r="G18" s="16">
        <f>'Assumptions'!$C$29</f>
        <v/>
      </c>
      <c r="H18" s="17">
        <f>'Assumptions'!$C$27</f>
        <v/>
      </c>
      <c r="I18" s="16">
        <f>'Assumptions'!$C$28</f>
        <v/>
      </c>
      <c r="J18" s="17">
        <f>'Assumptions'!$C$13</f>
        <v/>
      </c>
      <c r="K18" s="32" t="n">
        <v>0</v>
      </c>
      <c r="L18" s="32" t="n">
        <v>0</v>
      </c>
      <c r="M18" s="32">
        <f>E18*(1-F18-H18-J18)-G18-I18-K18-L18</f>
        <v/>
      </c>
      <c r="N18" s="39">
        <f>IF(E18=0,0,M18/E18)</f>
        <v/>
      </c>
      <c r="O18" s="32" t="n">
        <v>0</v>
      </c>
      <c r="P18" s="25" t="n">
        <v>18</v>
      </c>
      <c r="Q18" s="7" t="inlineStr">
        <is>
          <t>Etsy is marketplace facilitator: collects and remits</t>
        </is>
      </c>
      <c r="R18" s="7" t="inlineStr">
        <is>
          <t>Price linked to the own-site row.</t>
        </is>
      </c>
    </row>
    <row r="19">
      <c r="A19" s="7" t="inlineStr">
        <is>
          <t>ETSY</t>
        </is>
      </c>
      <c r="B19" s="7" t="inlineStr">
        <is>
          <t>100 Screen-Free Plays (PDF)</t>
        </is>
      </c>
      <c r="C19" s="7" t="inlineStr">
        <is>
          <t>Etsy</t>
        </is>
      </c>
      <c r="D19" s="7" t="inlineStr">
        <is>
          <t>1</t>
        </is>
      </c>
      <c r="E19" s="32">
        <f>E10</f>
        <v/>
      </c>
      <c r="F19" s="17">
        <f>'Assumptions'!$C$26+'Assumptions'!$C$30*'Assumptions'!$C$31</f>
        <v/>
      </c>
      <c r="G19" s="16">
        <f>'Assumptions'!$C$29</f>
        <v/>
      </c>
      <c r="H19" s="17">
        <f>'Assumptions'!$C$27</f>
        <v/>
      </c>
      <c r="I19" s="16">
        <f>'Assumptions'!$C$28</f>
        <v/>
      </c>
      <c r="J19" s="17">
        <f>'Assumptions'!$C$13</f>
        <v/>
      </c>
      <c r="K19" s="32" t="n">
        <v>0</v>
      </c>
      <c r="L19" s="32" t="n">
        <v>0</v>
      </c>
      <c r="M19" s="32">
        <f>E19*(1-F19-H19-J19)-G19-I19-K19-L19</f>
        <v/>
      </c>
      <c r="N19" s="39">
        <f>IF(E19=0,0,M19/E19)</f>
        <v/>
      </c>
      <c r="O19" s="32" t="n">
        <v>0</v>
      </c>
      <c r="P19" s="25" t="n">
        <v>10</v>
      </c>
      <c r="Q19" s="7" t="inlineStr">
        <is>
          <t>Etsy is marketplace facilitator: collects and remits</t>
        </is>
      </c>
      <c r="R19" s="7" t="inlineStr">
        <is>
          <t>Price linked to the own-site row.</t>
        </is>
      </c>
    </row>
    <row r="20">
      <c r="A20" s="7" t="inlineStr">
        <is>
          <t>ETSY</t>
        </is>
      </c>
      <c r="B20" s="7" t="inlineStr">
        <is>
          <t>Screen-Free Car Ride &amp; Waiting Pack</t>
        </is>
      </c>
      <c r="C20" s="7" t="inlineStr">
        <is>
          <t>Etsy</t>
        </is>
      </c>
      <c r="D20" s="7" t="inlineStr">
        <is>
          <t>1</t>
        </is>
      </c>
      <c r="E20" s="32">
        <f>E11</f>
        <v/>
      </c>
      <c r="F20" s="17">
        <f>'Assumptions'!$C$26+'Assumptions'!$C$30*'Assumptions'!$C$31</f>
        <v/>
      </c>
      <c r="G20" s="16">
        <f>'Assumptions'!$C$29</f>
        <v/>
      </c>
      <c r="H20" s="17">
        <f>'Assumptions'!$C$27</f>
        <v/>
      </c>
      <c r="I20" s="16">
        <f>'Assumptions'!$C$28</f>
        <v/>
      </c>
      <c r="J20" s="17">
        <f>'Assumptions'!$C$13</f>
        <v/>
      </c>
      <c r="K20" s="32" t="n">
        <v>0</v>
      </c>
      <c r="L20" s="32" t="n">
        <v>0</v>
      </c>
      <c r="M20" s="32">
        <f>E20*(1-F20-H20-J20)-G20-I20-K20-L20</f>
        <v/>
      </c>
      <c r="N20" s="39">
        <f>IF(E20=0,0,M20/E20)</f>
        <v/>
      </c>
      <c r="O20" s="32" t="n">
        <v>0</v>
      </c>
      <c r="P20" s="25" t="n">
        <v>5</v>
      </c>
      <c r="Q20" s="7" t="inlineStr">
        <is>
          <t>Etsy is marketplace facilitator: collects and remits</t>
        </is>
      </c>
      <c r="R20" s="7" t="inlineStr">
        <is>
          <t>Price linked to the own-site row.</t>
        </is>
      </c>
    </row>
    <row r="21">
      <c r="A21" s="7" t="inlineStr">
        <is>
          <t>ETSY</t>
        </is>
      </c>
      <c r="B21" s="7" t="inlineStr">
        <is>
          <t>First-words flash cards (printable)</t>
        </is>
      </c>
      <c r="C21" s="7" t="inlineStr">
        <is>
          <t>Etsy</t>
        </is>
      </c>
      <c r="D21" s="7" t="inlineStr">
        <is>
          <t>1</t>
        </is>
      </c>
      <c r="E21" s="32">
        <f>E12</f>
        <v/>
      </c>
      <c r="F21" s="17">
        <f>'Assumptions'!$C$26+'Assumptions'!$C$30*'Assumptions'!$C$31</f>
        <v/>
      </c>
      <c r="G21" s="16">
        <f>'Assumptions'!$C$29</f>
        <v/>
      </c>
      <c r="H21" s="17">
        <f>'Assumptions'!$C$27</f>
        <v/>
      </c>
      <c r="I21" s="16">
        <f>'Assumptions'!$C$28</f>
        <v/>
      </c>
      <c r="J21" s="17">
        <f>'Assumptions'!$C$13</f>
        <v/>
      </c>
      <c r="K21" s="32" t="n">
        <v>0</v>
      </c>
      <c r="L21" s="32" t="n">
        <v>0</v>
      </c>
      <c r="M21" s="32">
        <f>E21*(1-F21-H21-J21)-G21-I21-K21-L21</f>
        <v/>
      </c>
      <c r="N21" s="39">
        <f>IF(E21=0,0,M21/E21)</f>
        <v/>
      </c>
      <c r="O21" s="32" t="n">
        <v>0</v>
      </c>
      <c r="P21" s="25" t="n">
        <v>3</v>
      </c>
      <c r="Q21" s="7" t="inlineStr">
        <is>
          <t>Etsy is marketplace facilitator: collects and remits</t>
        </is>
      </c>
      <c r="R21" s="7" t="inlineStr">
        <is>
          <t>Price linked to the own-site row.</t>
        </is>
      </c>
    </row>
    <row r="22">
      <c r="A22" s="7" t="inlineStr">
        <is>
          <t>ETSY</t>
        </is>
      </c>
      <c r="B22" s="7" t="inlineStr">
        <is>
          <t>ALPHAPLAY Spelling Games printable (G1; trademark-use product)</t>
        </is>
      </c>
      <c r="C22" s="7" t="inlineStr">
        <is>
          <t>Etsy</t>
        </is>
      </c>
      <c r="D22" s="7" t="inlineStr">
        <is>
          <t>1</t>
        </is>
      </c>
      <c r="E22" s="32">
        <f>E13</f>
        <v/>
      </c>
      <c r="F22" s="17">
        <f>'Assumptions'!$C$26+'Assumptions'!$C$30*'Assumptions'!$C$31</f>
        <v/>
      </c>
      <c r="G22" s="16">
        <f>'Assumptions'!$C$29</f>
        <v/>
      </c>
      <c r="H22" s="17">
        <f>'Assumptions'!$C$27</f>
        <v/>
      </c>
      <c r="I22" s="16">
        <f>'Assumptions'!$C$28</f>
        <v/>
      </c>
      <c r="J22" s="17">
        <f>'Assumptions'!$C$13</f>
        <v/>
      </c>
      <c r="K22" s="32" t="n">
        <v>0</v>
      </c>
      <c r="L22" s="32" t="n">
        <v>0</v>
      </c>
      <c r="M22" s="32">
        <f>E22*(1-F22-H22-J22)-G22-I22-K22-L22</f>
        <v/>
      </c>
      <c r="N22" s="39">
        <f>IF(E22=0,0,M22/E22)</f>
        <v/>
      </c>
      <c r="O22" s="32" t="n">
        <v>0</v>
      </c>
      <c r="P22" s="25" t="n">
        <v>0</v>
      </c>
      <c r="Q22" s="7" t="inlineStr">
        <is>
          <t>Etsy is marketplace facilitator: collects and remits</t>
        </is>
      </c>
      <c r="R22" s="7" t="inlineStr">
        <is>
          <t>Price linked to the own-site row.</t>
        </is>
      </c>
    </row>
    <row r="23">
      <c r="A23" s="7" t="inlineStr">
        <is>
          <t>MOR</t>
        </is>
      </c>
      <c r="B23" s="7" t="inlineStr">
        <is>
          <t>Visual routine cards (200+ editable; 0-5 set at launch, 5-12 set added free when G1 clears)</t>
        </is>
      </c>
      <c r="C23" s="7" t="inlineStr">
        <is>
          <t>Gumroad (merchant of record), buyers outside the US</t>
        </is>
      </c>
      <c r="D23" s="7" t="inlineStr">
        <is>
          <t>1-2</t>
        </is>
      </c>
      <c r="E23" s="32">
        <f>E6</f>
        <v/>
      </c>
      <c r="F23" s="17">
        <f>'Assumptions'!$C$40</f>
        <v/>
      </c>
      <c r="G23" s="16">
        <f>'Assumptions'!$C$41</f>
        <v/>
      </c>
      <c r="H23" s="39" t="n">
        <v>0</v>
      </c>
      <c r="I23" s="32" t="n">
        <v>0</v>
      </c>
      <c r="J23" s="17">
        <f>'Assumptions'!$C$13</f>
        <v/>
      </c>
      <c r="K23" s="32" t="n">
        <v>0</v>
      </c>
      <c r="L23" s="32" t="n">
        <v>0</v>
      </c>
      <c r="M23" s="32">
        <f>E23*(1-F23-H23-J23)-G23-I23-K23-L23</f>
        <v/>
      </c>
      <c r="N23" s="39">
        <f>IF(E23=0,0,M23/E23)</f>
        <v/>
      </c>
      <c r="O23" s="32" t="n">
        <v>0</v>
      </c>
      <c r="P23" s="25" t="n">
        <v>25</v>
      </c>
      <c r="Q23" s="7" t="inlineStr">
        <is>
          <t>Merchant of record collects and remits US sales tax and EU/UK VAT</t>
        </is>
      </c>
      <c r="R23" s="7" t="inlineStr">
        <is>
          <t>International plan: one MoR for international digital sales.</t>
        </is>
      </c>
    </row>
    <row r="24">
      <c r="A24" s="7" t="inlineStr">
        <is>
          <t>MOR</t>
        </is>
      </c>
      <c r="B24" s="7" t="inlineStr">
        <is>
          <t>"I'm bored" play cards (150, age-banded)</t>
        </is>
      </c>
      <c r="C24" s="7" t="inlineStr">
        <is>
          <t>Gumroad (merchant of record), buyers outside the US</t>
        </is>
      </c>
      <c r="D24" s="7" t="inlineStr">
        <is>
          <t>1-2</t>
        </is>
      </c>
      <c r="E24" s="32">
        <f>E7</f>
        <v/>
      </c>
      <c r="F24" s="17">
        <f>'Assumptions'!$C$40</f>
        <v/>
      </c>
      <c r="G24" s="16">
        <f>'Assumptions'!$C$41</f>
        <v/>
      </c>
      <c r="H24" s="39" t="n">
        <v>0</v>
      </c>
      <c r="I24" s="32" t="n">
        <v>0</v>
      </c>
      <c r="J24" s="17">
        <f>'Assumptions'!$C$13</f>
        <v/>
      </c>
      <c r="K24" s="32" t="n">
        <v>0</v>
      </c>
      <c r="L24" s="32" t="n">
        <v>0</v>
      </c>
      <c r="M24" s="32">
        <f>E24*(1-F24-H24-J24)-G24-I24-K24-L24</f>
        <v/>
      </c>
      <c r="N24" s="39">
        <f>IF(E24=0,0,M24/E24)</f>
        <v/>
      </c>
      <c r="O24" s="32" t="n">
        <v>0</v>
      </c>
      <c r="P24" s="25" t="n">
        <v>15</v>
      </c>
      <c r="Q24" s="7" t="inlineStr">
        <is>
          <t>Merchant of record collects and remits US sales tax and EU/UK VAT</t>
        </is>
      </c>
      <c r="R24" s="7" t="inlineStr">
        <is>
          <t>International plan: one MoR for international digital sales.</t>
        </is>
      </c>
    </row>
    <row r="25">
      <c r="A25" s="7" t="inlineStr">
        <is>
          <t>MOR</t>
        </is>
      </c>
      <c r="B25" s="7" t="inlineStr">
        <is>
          <t>Play-First Family Kit (2-5 pages at launch; 5-12 pages added free when G1 clears)</t>
        </is>
      </c>
      <c r="C25" s="7" t="inlineStr">
        <is>
          <t>Gumroad (merchant of record), buyers outside the US</t>
        </is>
      </c>
      <c r="D25" s="7" t="inlineStr">
        <is>
          <t>1-2</t>
        </is>
      </c>
      <c r="E25" s="32">
        <f>E8</f>
        <v/>
      </c>
      <c r="F25" s="17">
        <f>'Assumptions'!$C$40</f>
        <v/>
      </c>
      <c r="G25" s="16">
        <f>'Assumptions'!$C$41</f>
        <v/>
      </c>
      <c r="H25" s="39" t="n">
        <v>0</v>
      </c>
      <c r="I25" s="32" t="n">
        <v>0</v>
      </c>
      <c r="J25" s="17">
        <f>'Assumptions'!$C$13</f>
        <v/>
      </c>
      <c r="K25" s="32" t="n">
        <v>0</v>
      </c>
      <c r="L25" s="32" t="n">
        <v>0</v>
      </c>
      <c r="M25" s="32">
        <f>E25*(1-F25-H25-J25)-G25-I25-K25-L25</f>
        <v/>
      </c>
      <c r="N25" s="39">
        <f>IF(E25=0,0,M25/E25)</f>
        <v/>
      </c>
      <c r="O25" s="32" t="n">
        <v>0</v>
      </c>
      <c r="P25" s="25" t="n">
        <v>20</v>
      </c>
      <c r="Q25" s="7" t="inlineStr">
        <is>
          <t>Merchant of record collects and remits US sales tax and EU/UK VAT</t>
        </is>
      </c>
      <c r="R25" s="7" t="inlineStr">
        <is>
          <t>International plan: one MoR for international digital sales.</t>
        </is>
      </c>
    </row>
    <row r="26">
      <c r="A26" s="7" t="inlineStr">
        <is>
          <t>MOR</t>
        </is>
      </c>
      <c r="B26" s="7" t="inlineStr">
        <is>
          <t>Toddler busy book printable (120-150 pages)</t>
        </is>
      </c>
      <c r="C26" s="7" t="inlineStr">
        <is>
          <t>Gumroad (merchant of record), buyers outside the US</t>
        </is>
      </c>
      <c r="D26" s="7" t="inlineStr">
        <is>
          <t>1-2</t>
        </is>
      </c>
      <c r="E26" s="32">
        <f>E9</f>
        <v/>
      </c>
      <c r="F26" s="17">
        <f>'Assumptions'!$C$40</f>
        <v/>
      </c>
      <c r="G26" s="16">
        <f>'Assumptions'!$C$41</f>
        <v/>
      </c>
      <c r="H26" s="39" t="n">
        <v>0</v>
      </c>
      <c r="I26" s="32" t="n">
        <v>0</v>
      </c>
      <c r="J26" s="17">
        <f>'Assumptions'!$C$13</f>
        <v/>
      </c>
      <c r="K26" s="32" t="n">
        <v>0</v>
      </c>
      <c r="L26" s="32" t="n">
        <v>0</v>
      </c>
      <c r="M26" s="32">
        <f>E26*(1-F26-H26-J26)-G26-I26-K26-L26</f>
        <v/>
      </c>
      <c r="N26" s="39">
        <f>IF(E26=0,0,M26/E26)</f>
        <v/>
      </c>
      <c r="O26" s="32" t="n">
        <v>0</v>
      </c>
      <c r="P26" s="25" t="n">
        <v>18</v>
      </c>
      <c r="Q26" s="7" t="inlineStr">
        <is>
          <t>Merchant of record collects and remits US sales tax and EU/UK VAT</t>
        </is>
      </c>
      <c r="R26" s="7" t="inlineStr">
        <is>
          <t>International plan: one MoR for international digital sales.</t>
        </is>
      </c>
    </row>
    <row r="27">
      <c r="A27" s="7" t="inlineStr">
        <is>
          <t>MOR</t>
        </is>
      </c>
      <c r="B27" s="7" t="inlineStr">
        <is>
          <t>100 Screen-Free Plays (PDF)</t>
        </is>
      </c>
      <c r="C27" s="7" t="inlineStr">
        <is>
          <t>Gumroad (merchant of record), buyers outside the US</t>
        </is>
      </c>
      <c r="D27" s="7" t="inlineStr">
        <is>
          <t>1-2</t>
        </is>
      </c>
      <c r="E27" s="32">
        <f>E10</f>
        <v/>
      </c>
      <c r="F27" s="17">
        <f>'Assumptions'!$C$40</f>
        <v/>
      </c>
      <c r="G27" s="16">
        <f>'Assumptions'!$C$41</f>
        <v/>
      </c>
      <c r="H27" s="39" t="n">
        <v>0</v>
      </c>
      <c r="I27" s="32" t="n">
        <v>0</v>
      </c>
      <c r="J27" s="17">
        <f>'Assumptions'!$C$13</f>
        <v/>
      </c>
      <c r="K27" s="32" t="n">
        <v>0</v>
      </c>
      <c r="L27" s="32" t="n">
        <v>0</v>
      </c>
      <c r="M27" s="32">
        <f>E27*(1-F27-H27-J27)-G27-I27-K27-L27</f>
        <v/>
      </c>
      <c r="N27" s="39">
        <f>IF(E27=0,0,M27/E27)</f>
        <v/>
      </c>
      <c r="O27" s="32" t="n">
        <v>0</v>
      </c>
      <c r="P27" s="25" t="n">
        <v>10</v>
      </c>
      <c r="Q27" s="7" t="inlineStr">
        <is>
          <t>Merchant of record collects and remits US sales tax and EU/UK VAT</t>
        </is>
      </c>
      <c r="R27" s="7" t="inlineStr">
        <is>
          <t>International plan: one MoR for international digital sales.</t>
        </is>
      </c>
    </row>
    <row r="28">
      <c r="A28" s="7" t="inlineStr">
        <is>
          <t>KDP</t>
        </is>
      </c>
      <c r="B28" s="7" t="inlineStr">
        <is>
          <t>100 Screen-Free Plays (paperback, B/W interior)</t>
        </is>
      </c>
      <c r="C28" s="7" t="inlineStr">
        <is>
          <t>Amazon KDP</t>
        </is>
      </c>
      <c r="D28" s="7" t="inlineStr">
        <is>
          <t>1</t>
        </is>
      </c>
      <c r="E28" s="29" t="n">
        <v>16.99</v>
      </c>
      <c r="F28" s="17">
        <f>1-'Assumptions'!$C$32</f>
        <v/>
      </c>
      <c r="G28" s="32" t="n">
        <v>0</v>
      </c>
      <c r="H28" s="39" t="n">
        <v>0</v>
      </c>
      <c r="I28" s="32" t="n">
        <v>0</v>
      </c>
      <c r="J28" s="39" t="n">
        <v>0</v>
      </c>
      <c r="K28" s="16">
        <f>'Assumptions'!$C$35</f>
        <v/>
      </c>
      <c r="L28" s="32" t="n">
        <v>0</v>
      </c>
      <c r="M28" s="32">
        <f>E28*(1-F28-H28-J28)-G28-I28-K28-L28</f>
        <v/>
      </c>
      <c r="N28" s="39">
        <f>IF(E28=0,0,M28/E28)</f>
        <v/>
      </c>
      <c r="O28" s="32" t="n">
        <v>0</v>
      </c>
      <c r="P28" s="25" t="n">
        <v>50</v>
      </c>
      <c r="Q28" s="7" t="inlineStr">
        <is>
          <t>Amazon is the retailer; royalty only, no sales tax for AlphaPlay</t>
        </is>
      </c>
      <c r="R28" s="7" t="inlineStr">
        <is>
          <t>guide-100-plays/listing.json: $16.99; KDP flat $2.30 B/W print; net about $7.89 [VERIFY].</t>
        </is>
      </c>
    </row>
    <row r="29">
      <c r="A29" s="7" t="inlineStr">
        <is>
          <t>KDP</t>
        </is>
      </c>
      <c r="B29" s="7" t="inlineStr">
        <is>
          <t>The Day the Tablet Slept (paperback)</t>
        </is>
      </c>
      <c r="C29" s="7" t="inlineStr">
        <is>
          <t>Amazon KDP</t>
        </is>
      </c>
      <c r="D29" s="7" t="inlineStr">
        <is>
          <t>1</t>
        </is>
      </c>
      <c r="E29" s="29" t="n">
        <v>11.99</v>
      </c>
      <c r="F29" s="17">
        <f>1-'Assumptions'!$C$32</f>
        <v/>
      </c>
      <c r="G29" s="32" t="n">
        <v>0</v>
      </c>
      <c r="H29" s="39" t="n">
        <v>0</v>
      </c>
      <c r="I29" s="32" t="n">
        <v>0</v>
      </c>
      <c r="J29" s="39" t="n">
        <v>0</v>
      </c>
      <c r="K29" s="16">
        <f>'Assumptions'!$C$33+'Assumptions'!$C$34*'Assumptions'!$C$36</f>
        <v/>
      </c>
      <c r="L29" s="32" t="n">
        <v>0</v>
      </c>
      <c r="M29" s="32">
        <f>E29*(1-F29-H29-J29)-G29-I29-K29-L29</f>
        <v/>
      </c>
      <c r="N29" s="39">
        <f>IF(E29=0,0,M29/E29)</f>
        <v/>
      </c>
      <c r="O29" s="32" t="n">
        <v>0</v>
      </c>
      <c r="P29" s="25" t="n">
        <v>20</v>
      </c>
      <c r="Q29" s="7" t="inlineStr">
        <is>
          <t>Amazon is the retailer; royalty only, no sales tax for AlphaPlay</t>
        </is>
      </c>
      <c r="R29" s="7" t="inlineStr">
        <is>
          <t>picture-tablet-slept/listing.json: $11.99; about $3.95/copy royalty.</t>
        </is>
      </c>
    </row>
    <row r="30">
      <c r="A30" s="7" t="inlineStr">
        <is>
          <t>KDP</t>
        </is>
      </c>
      <c r="B30" s="7" t="inlineStr">
        <is>
          <t>Up! Go! More! (talk-along paperback)</t>
        </is>
      </c>
      <c r="C30" s="7" t="inlineStr">
        <is>
          <t>Amazon KDP</t>
        </is>
      </c>
      <c r="D30" s="7" t="inlineStr">
        <is>
          <t>1</t>
        </is>
      </c>
      <c r="E30" s="29" t="n">
        <v>11.99</v>
      </c>
      <c r="F30" s="17">
        <f>1-'Assumptions'!$C$32</f>
        <v/>
      </c>
      <c r="G30" s="32" t="n">
        <v>0</v>
      </c>
      <c r="H30" s="39" t="n">
        <v>0</v>
      </c>
      <c r="I30" s="32" t="n">
        <v>0</v>
      </c>
      <c r="J30" s="39" t="n">
        <v>0</v>
      </c>
      <c r="K30" s="16">
        <f>'Assumptions'!$C$33+'Assumptions'!$C$34*'Assumptions'!$C$36</f>
        <v/>
      </c>
      <c r="L30" s="32" t="n">
        <v>0</v>
      </c>
      <c r="M30" s="32">
        <f>E30*(1-F30-H30-J30)-G30-I30-K30-L30</f>
        <v/>
      </c>
      <c r="N30" s="39">
        <f>IF(E30=0,0,M30/E30)</f>
        <v/>
      </c>
      <c r="O30" s="32" t="n">
        <v>0</v>
      </c>
      <c r="P30" s="25" t="n">
        <v>30</v>
      </c>
      <c r="Q30" s="7" t="inlineStr">
        <is>
          <t>Amazon is the retailer; royalty only, no sales tax for AlphaPlay</t>
        </is>
      </c>
      <c r="R30" s="7" t="inlineStr">
        <is>
          <t>board-up-go-more/listing.json: $11.99 paperback edition sells now with no inventory.</t>
        </is>
      </c>
    </row>
    <row r="31">
      <c r="A31" s="7" t="inlineStr">
        <is>
          <t>INGRAM</t>
        </is>
      </c>
      <c r="B31" s="7" t="inlineStr">
        <is>
          <t>100 Screen-Free Plays (paperback via Ingram)</t>
        </is>
      </c>
      <c r="C31" s="7" t="inlineStr">
        <is>
          <t>IngramSpark (same ISBN; KDP Expanded Distribution off)</t>
        </is>
      </c>
      <c r="D31" s="7" t="inlineStr">
        <is>
          <t>2</t>
        </is>
      </c>
      <c r="E31" s="32">
        <f>E28</f>
        <v/>
      </c>
      <c r="F31" s="17">
        <f>'Assumptions'!$C$37</f>
        <v/>
      </c>
      <c r="G31" s="32" t="n">
        <v>0</v>
      </c>
      <c r="H31" s="39" t="n">
        <v>0</v>
      </c>
      <c r="I31" s="32" t="n">
        <v>0</v>
      </c>
      <c r="J31" s="39" t="n">
        <v>0</v>
      </c>
      <c r="K31" s="16">
        <f>'Assumptions'!$C$35</f>
        <v/>
      </c>
      <c r="L31" s="32" t="n">
        <v>0</v>
      </c>
      <c r="M31" s="32">
        <f>E31*(1-F31-H31-J31)-G31-I31-K31-L31</f>
        <v/>
      </c>
      <c r="N31" s="39">
        <f>IF(E31=0,0,M31/E31)</f>
        <v/>
      </c>
      <c r="O31" s="32" t="n">
        <v>0</v>
      </c>
      <c r="P31" s="25" t="n">
        <v>50</v>
      </c>
      <c r="Q31" s="7" t="inlineStr">
        <is>
          <t>Retailer collects; AlphaPlay receives publisher compensation</t>
        </is>
      </c>
      <c r="R31" s="7" t="inlineStr">
        <is>
          <t>storefront-setup-guide Part D. Print cost proxy = KDP flat B/W rate [VERIFY].</t>
        </is>
      </c>
    </row>
    <row r="32">
      <c r="A32" s="7" t="inlineStr">
        <is>
          <t>INGRAM</t>
        </is>
      </c>
      <c r="B32" s="7" t="inlineStr">
        <is>
          <t>Up! Go! More! (paperback via Ingram)</t>
        </is>
      </c>
      <c r="C32" s="7" t="inlineStr">
        <is>
          <t>IngramSpark</t>
        </is>
      </c>
      <c r="D32" s="7" t="inlineStr">
        <is>
          <t>2</t>
        </is>
      </c>
      <c r="E32" s="32">
        <f>E30</f>
        <v/>
      </c>
      <c r="F32" s="17">
        <f>'Assumptions'!$C$37</f>
        <v/>
      </c>
      <c r="G32" s="32" t="n">
        <v>0</v>
      </c>
      <c r="H32" s="39" t="n">
        <v>0</v>
      </c>
      <c r="I32" s="32" t="n">
        <v>0</v>
      </c>
      <c r="J32" s="39" t="n">
        <v>0</v>
      </c>
      <c r="K32" s="16">
        <f>'Assumptions'!$C$39</f>
        <v/>
      </c>
      <c r="L32" s="32" t="n">
        <v>0</v>
      </c>
      <c r="M32" s="32">
        <f>E32*(1-F32-H32-J32)-G32-I32-K32-L32</f>
        <v/>
      </c>
      <c r="N32" s="39">
        <f>IF(E32=0,0,M32/E32)</f>
        <v/>
      </c>
      <c r="O32" s="32" t="n">
        <v>0</v>
      </c>
      <c r="P32" s="25" t="n">
        <v>50</v>
      </c>
      <c r="Q32" s="7" t="inlineStr">
        <is>
          <t>Retailer collects; AlphaPlay receives publisher compensation</t>
        </is>
      </c>
      <c r="R32" s="7" t="inlineStr">
        <is>
          <t>board-up-go-more/listing.json channels.</t>
        </is>
      </c>
    </row>
    <row r="33">
      <c r="A33" s="7" t="inlineStr">
        <is>
          <t>INGRAM</t>
        </is>
      </c>
      <c r="B33" s="7" t="inlineStr">
        <is>
          <t>The Day the Tablet Slept (hardcover; gated)</t>
        </is>
      </c>
      <c r="C33" s="7" t="inlineStr">
        <is>
          <t>IngramSpark</t>
        </is>
      </c>
      <c r="D33" s="7" t="inlineStr">
        <is>
          <t>gated</t>
        </is>
      </c>
      <c r="E33" s="29" t="n">
        <v>19.99</v>
      </c>
      <c r="F33" s="17">
        <f>'Assumptions'!$C$37</f>
        <v/>
      </c>
      <c r="G33" s="32" t="n">
        <v>0</v>
      </c>
      <c r="H33" s="39" t="n">
        <v>0</v>
      </c>
      <c r="I33" s="32" t="n">
        <v>0</v>
      </c>
      <c r="J33" s="39" t="n">
        <v>0</v>
      </c>
      <c r="K33" s="16">
        <f>'Assumptions'!$C$38</f>
        <v/>
      </c>
      <c r="L33" s="32" t="n">
        <v>0</v>
      </c>
      <c r="M33" s="32">
        <f>E33*(1-F33-H33-J33)-G33-I33-K33-L33</f>
        <v/>
      </c>
      <c r="N33" s="39">
        <f>IF(E33=0,0,M33/E33)</f>
        <v/>
      </c>
      <c r="O33" s="32" t="n">
        <v>0</v>
      </c>
      <c r="P33" s="25" t="n">
        <v>0</v>
      </c>
      <c r="Q33" s="7" t="inlineStr">
        <is>
          <t>Retailer collects; AlphaPlay receives publisher compensation</t>
        </is>
      </c>
      <c r="R33" s="7" t="inlineStr">
        <is>
          <t>picture-tablet-slept/listing.json: turn on only after the paperback sells (demand 'Weak'). Weight 0. Laps Not Apps is not in this channel: it is now a personalized keepsake printed per order (amazon_route 'none-with-reason').</t>
        </is>
      </c>
    </row>
    <row r="34">
      <c r="A34" s="7" t="inlineStr">
        <is>
          <t>COURSE</t>
        </is>
      </c>
      <c r="B34" s="7" t="inlineStr">
        <is>
          <t>30-Day Screen Reset (written program)</t>
        </is>
      </c>
      <c r="C34" s="7" t="inlineStr">
        <is>
          <t>Own site (Shopify) + automated email</t>
        </is>
      </c>
      <c r="D34" s="7" t="inlineStr">
        <is>
          <t>2</t>
        </is>
      </c>
      <c r="E34" s="29" t="n">
        <v>27</v>
      </c>
      <c r="F34" s="39" t="n">
        <v>0</v>
      </c>
      <c r="G34" s="32" t="n">
        <v>0</v>
      </c>
      <c r="H34" s="17">
        <f>'Assumptions'!$C$24</f>
        <v/>
      </c>
      <c r="I34" s="16">
        <f>'Assumptions'!$C$25</f>
        <v/>
      </c>
      <c r="J34" s="17">
        <f>'Assumptions'!$C$14</f>
        <v/>
      </c>
      <c r="K34" s="32" t="n">
        <v>0</v>
      </c>
      <c r="L34" s="32" t="n">
        <v>0</v>
      </c>
      <c r="M34" s="32">
        <f>E34*(1-F34-H34-J34)-G34-I34-K34-L34</f>
        <v/>
      </c>
      <c r="N34" s="39">
        <f>IF(E34=0,0,M34/E34)</f>
        <v/>
      </c>
      <c r="O34" s="32" t="n">
        <v>0</v>
      </c>
      <c r="P34" s="25" t="n">
        <v>70</v>
      </c>
      <c r="Q34" s="7" t="inlineStr">
        <is>
          <t>Shopify Tax adds MD 6% at checkout; AlphaPlay remits (pass-through, not revenue)</t>
        </is>
      </c>
      <c r="R34" s="7" t="inlineStr">
        <is>
          <t>DEMAND-CHECK course row: $27.</t>
        </is>
      </c>
    </row>
    <row r="35">
      <c r="A35" s="7" t="inlineStr">
        <is>
          <t>COURSE</t>
        </is>
      </c>
      <c r="B35" s="7" t="inlineStr">
        <is>
          <t>30-Day Screen Reset bundle</t>
        </is>
      </c>
      <c r="C35" s="7" t="inlineStr">
        <is>
          <t>Own site (Shopify) + automated email</t>
        </is>
      </c>
      <c r="D35" s="7" t="inlineStr">
        <is>
          <t>2</t>
        </is>
      </c>
      <c r="E35" s="29" t="n">
        <v>49</v>
      </c>
      <c r="F35" s="39" t="n">
        <v>0</v>
      </c>
      <c r="G35" s="32" t="n">
        <v>0</v>
      </c>
      <c r="H35" s="17">
        <f>'Assumptions'!$C$24</f>
        <v/>
      </c>
      <c r="I35" s="16">
        <f>'Assumptions'!$C$25</f>
        <v/>
      </c>
      <c r="J35" s="17">
        <f>'Assumptions'!$C$14</f>
        <v/>
      </c>
      <c r="K35" s="32" t="n">
        <v>0</v>
      </c>
      <c r="L35" s="32" t="n">
        <v>0</v>
      </c>
      <c r="M35" s="32">
        <f>E35*(1-F35-H35-J35)-G35-I35-K35-L35</f>
        <v/>
      </c>
      <c r="N35" s="39">
        <f>IF(E35=0,0,M35/E35)</f>
        <v/>
      </c>
      <c r="O35" s="32" t="n">
        <v>0</v>
      </c>
      <c r="P35" s="25" t="n">
        <v>30</v>
      </c>
      <c r="Q35" s="7" t="inlineStr">
        <is>
          <t>Shopify Tax adds MD 6% at checkout; AlphaPlay remits (pass-through, not revenue)</t>
        </is>
      </c>
      <c r="R35" s="7" t="inlineStr">
        <is>
          <t>DEMAND-CHECK course row: $49 bundle.</t>
        </is>
      </c>
    </row>
    <row r="36">
      <c r="A36" s="7" t="inlineStr">
        <is>
          <t>BOARD</t>
        </is>
      </c>
      <c r="B36" s="7" t="inlineStr">
        <is>
          <t>Up! Go! More! board book</t>
        </is>
      </c>
      <c r="C36" s="7" t="inlineStr">
        <is>
          <t>Own site; offset stock at a 3PL</t>
        </is>
      </c>
      <c r="D36" s="7" t="inlineStr">
        <is>
          <t>gated</t>
        </is>
      </c>
      <c r="E36" s="16">
        <f>'Assumptions'!$C$57</f>
        <v/>
      </c>
      <c r="F36" s="39" t="n">
        <v>0</v>
      </c>
      <c r="G36" s="32" t="n">
        <v>0</v>
      </c>
      <c r="H36" s="17">
        <f>'Assumptions'!$C$24</f>
        <v/>
      </c>
      <c r="I36" s="16">
        <f>'Assumptions'!$C$25</f>
        <v/>
      </c>
      <c r="J36" s="17">
        <f>'Assumptions'!$C$13</f>
        <v/>
      </c>
      <c r="K36" s="16">
        <f>'Assumptions'!$C$66</f>
        <v/>
      </c>
      <c r="L36" s="16">
        <f>'Assumptions'!$C$67+'Assumptions'!$C$48</f>
        <v/>
      </c>
      <c r="M36" s="32">
        <f>E36*(1-F36-H36-J36)-G36-I36-K36-L36</f>
        <v/>
      </c>
      <c r="N36" s="39">
        <f>IF(E36=0,0,M36/E36)</f>
        <v/>
      </c>
      <c r="O36" s="16">
        <f>'Assumptions'!$C$66</f>
        <v/>
      </c>
      <c r="P36" s="25" t="n">
        <v>60</v>
      </c>
      <c r="Q36" s="7" t="inlineStr">
        <is>
          <t>Shopify Tax adds MD 6% at checkout; AlphaPlay remits (pass-through, not revenue)</t>
        </is>
      </c>
      <c r="R36" s="7" t="inlineStr">
        <is>
          <t>Offset run held and shipped by a 3PL, never the founder (BRAND.md). Pick/pack plus about $2 of postage absorbed.</t>
        </is>
      </c>
    </row>
    <row r="37">
      <c r="A37" s="7" t="inlineStr">
        <is>
          <t>BOARD</t>
        </is>
      </c>
      <c r="B37" s="7" t="inlineStr">
        <is>
          <t>Up! Go! More! board book</t>
        </is>
      </c>
      <c r="C37" s="7" t="inlineStr">
        <is>
          <t>Amazon FBA (from the print month; the pre-sale is own-site only)</t>
        </is>
      </c>
      <c r="D37" s="7" t="inlineStr">
        <is>
          <t>gated</t>
        </is>
      </c>
      <c r="E37" s="16">
        <f>'Assumptions'!$C$57</f>
        <v/>
      </c>
      <c r="F37" s="17">
        <f>'Assumptions'!$C$44</f>
        <v/>
      </c>
      <c r="G37" s="16">
        <f>'Assumptions'!$C$46</f>
        <v/>
      </c>
      <c r="H37" s="39" t="n">
        <v>0</v>
      </c>
      <c r="I37" s="32" t="n">
        <v>0</v>
      </c>
      <c r="J37" s="39" t="n">
        <v>0</v>
      </c>
      <c r="K37" s="16">
        <f>'Assumptions'!$C$66</f>
        <v/>
      </c>
      <c r="L37" s="16">
        <f>'Assumptions'!$C$45+'Assumptions'!$C$47</f>
        <v/>
      </c>
      <c r="M37" s="32">
        <f>E37*(1-F37-H37-J37)-G37-I37-K37-L37</f>
        <v/>
      </c>
      <c r="N37" s="39">
        <f>IF(E37=0,0,M37/E37)</f>
        <v/>
      </c>
      <c r="O37" s="16">
        <f>'Assumptions'!$C$66</f>
        <v/>
      </c>
      <c r="P37" s="25" t="n">
        <v>40</v>
      </c>
      <c r="Q37" s="7" t="inlineStr">
        <is>
          <t>Amazon collects and remits</t>
        </is>
      </c>
      <c r="R37" s="7" t="inlineStr">
        <is>
          <t>AMAZON-AND-RETAIL-ROADMAP A: board books via FBA; closing fee, storage and placement allowance included [VERIFY].</t>
        </is>
      </c>
    </row>
    <row r="38">
      <c r="A38" s="7" t="inlineStr">
        <is>
          <t>SCHOOL</t>
        </is>
      </c>
      <c r="B38" s="7" t="inlineStr">
        <is>
          <t>TPT single resource (e.g., talk brain breaks)</t>
        </is>
      </c>
      <c r="C38" s="7" t="inlineStr">
        <is>
          <t>Teachers Pay Teachers</t>
        </is>
      </c>
      <c r="D38" s="7" t="inlineStr">
        <is>
          <t>4 (held)</t>
        </is>
      </c>
      <c r="E38" s="29" t="n">
        <v>5</v>
      </c>
      <c r="F38" s="17">
        <f>1-'Assumptions'!$C$42</f>
        <v/>
      </c>
      <c r="G38" s="16">
        <f>'Assumptions'!$C$43</f>
        <v/>
      </c>
      <c r="H38" s="39" t="n">
        <v>0</v>
      </c>
      <c r="I38" s="32" t="n">
        <v>0</v>
      </c>
      <c r="J38" s="39" t="n">
        <v>0</v>
      </c>
      <c r="K38" s="32" t="n">
        <v>0</v>
      </c>
      <c r="L38" s="32" t="n">
        <v>0</v>
      </c>
      <c r="M38" s="32">
        <f>E38*(1-F38-H38-J38)-G38-I38-K38-L38</f>
        <v/>
      </c>
      <c r="N38" s="39">
        <f>IF(E38=0,0,M38/E38)</f>
        <v/>
      </c>
      <c r="O38" s="32" t="n">
        <v>0</v>
      </c>
      <c r="P38" s="25" t="n">
        <v>40</v>
      </c>
      <c r="Q38" s="7" t="inlineStr">
        <is>
          <t>TPT remits as marketplace (UNVERIFIED)</t>
        </is>
      </c>
      <c r="R38" s="7" t="inlineStr">
        <is>
          <t>DEMAND-CHECK teacher table: $5 singles; held for counsel.</t>
        </is>
      </c>
    </row>
    <row r="39">
      <c r="A39" s="7" t="inlineStr">
        <is>
          <t>SCHOOL</t>
        </is>
      </c>
      <c r="B39" s="7" t="inlineStr">
        <is>
          <t>Classroom Talk and Play growth bundle</t>
        </is>
      </c>
      <c r="C39" s="7" t="inlineStr">
        <is>
          <t>Teachers Pay Teachers</t>
        </is>
      </c>
      <c r="D39" s="7" t="inlineStr">
        <is>
          <t>4 (held)</t>
        </is>
      </c>
      <c r="E39" s="29" t="n">
        <v>22</v>
      </c>
      <c r="F39" s="17">
        <f>1-'Assumptions'!$C$42</f>
        <v/>
      </c>
      <c r="G39" s="16">
        <f>'Assumptions'!$C$43</f>
        <v/>
      </c>
      <c r="H39" s="39" t="n">
        <v>0</v>
      </c>
      <c r="I39" s="32" t="n">
        <v>0</v>
      </c>
      <c r="J39" s="39" t="n">
        <v>0</v>
      </c>
      <c r="K39" s="32" t="n">
        <v>0</v>
      </c>
      <c r="L39" s="32" t="n">
        <v>0</v>
      </c>
      <c r="M39" s="32">
        <f>E39*(1-F39-H39-J39)-G39-I39-K39-L39</f>
        <v/>
      </c>
      <c r="N39" s="39">
        <f>IF(E39=0,0,M39/E39)</f>
        <v/>
      </c>
      <c r="O39" s="32" t="n">
        <v>0</v>
      </c>
      <c r="P39" s="25" t="n">
        <v>20</v>
      </c>
      <c r="Q39" s="7" t="inlineStr">
        <is>
          <t>TPT remits as marketplace (UNVERIFIED)</t>
        </is>
      </c>
      <c r="R39" s="7" t="inlineStr">
        <is>
          <t>DEMAND-CHECK §2 #11: $22-26.</t>
        </is>
      </c>
    </row>
    <row r="40">
      <c r="A40" s="7" t="inlineStr">
        <is>
          <t>SCHOOL</t>
        </is>
      </c>
      <c r="B40" s="7" t="inlineStr">
        <is>
          <t>Single-classroom license</t>
        </is>
      </c>
      <c r="C40" s="7" t="inlineStr">
        <is>
          <t>Direct invoice / Shopify draft order</t>
        </is>
      </c>
      <c r="D40" s="7" t="inlineStr">
        <is>
          <t>4 (held)</t>
        </is>
      </c>
      <c r="E40" s="29" t="n">
        <v>29</v>
      </c>
      <c r="F40" s="39" t="n">
        <v>0</v>
      </c>
      <c r="G40" s="32" t="n">
        <v>0</v>
      </c>
      <c r="H40" s="17">
        <f>'Assumptions'!$C$24</f>
        <v/>
      </c>
      <c r="I40" s="16">
        <f>'Assumptions'!$C$25</f>
        <v/>
      </c>
      <c r="J40" s="39" t="n">
        <v>0</v>
      </c>
      <c r="K40" s="32" t="n">
        <v>0</v>
      </c>
      <c r="L40" s="32" t="n">
        <v>0</v>
      </c>
      <c r="M40" s="32">
        <f>E40*(1-F40-H40-J40)-G40-I40-K40-L40</f>
        <v/>
      </c>
      <c r="N40" s="39">
        <f>IF(E40=0,0,M40/E40)</f>
        <v/>
      </c>
      <c r="O40" s="32" t="n">
        <v>0</v>
      </c>
      <c r="P40" s="25" t="n">
        <v>20</v>
      </c>
      <c r="Q40" s="7" t="inlineStr">
        <is>
          <t>Tax-exempt certificate kept on file; otherwise MD 6%</t>
        </is>
      </c>
      <c r="R40" s="7" t="inlineStr">
        <is>
          <t>MARKETING-PLAYBOOK School Purchasing Kit: Single Classroom $29.</t>
        </is>
      </c>
    </row>
    <row r="41">
      <c r="A41" s="7" t="inlineStr">
        <is>
          <t>SCHOOL</t>
        </is>
      </c>
      <c r="B41" s="7" t="inlineStr">
        <is>
          <t>Host-it-yourself parent-night kit, single site</t>
        </is>
      </c>
      <c r="C41" s="7" t="inlineStr">
        <is>
          <t>Direct invoice / Shopify</t>
        </is>
      </c>
      <c r="D41" s="7" t="inlineStr">
        <is>
          <t>4 (held)</t>
        </is>
      </c>
      <c r="E41" s="29" t="n">
        <v>129</v>
      </c>
      <c r="F41" s="39" t="n">
        <v>0</v>
      </c>
      <c r="G41" s="32" t="n">
        <v>0</v>
      </c>
      <c r="H41" s="17">
        <f>'Assumptions'!$C$24</f>
        <v/>
      </c>
      <c r="I41" s="16">
        <f>'Assumptions'!$C$25</f>
        <v/>
      </c>
      <c r="J41" s="39" t="n">
        <v>0</v>
      </c>
      <c r="K41" s="32" t="n">
        <v>0</v>
      </c>
      <c r="L41" s="32" t="n">
        <v>0</v>
      </c>
      <c r="M41" s="32">
        <f>E41*(1-F41-H41-J41)-G41-I41-K41-L41</f>
        <v/>
      </c>
      <c r="N41" s="39">
        <f>IF(E41=0,0,M41/E41)</f>
        <v/>
      </c>
      <c r="O41" s="32" t="n">
        <v>0</v>
      </c>
      <c r="P41" s="25" t="n">
        <v>2</v>
      </c>
      <c r="Q41" s="7" t="inlineStr">
        <is>
          <t>Tax-exempt certificate kept on file; otherwise MD 6%</t>
        </is>
      </c>
      <c r="R41" s="7" t="inlineStr">
        <is>
          <t>DEMAND-CHECK: $129 single site. Near-zero weight: no kit sales counts exist and a free leader program competes.</t>
        </is>
      </c>
    </row>
    <row r="42">
      <c r="A42" s="7" t="inlineStr">
        <is>
          <t>SCHOOL</t>
        </is>
      </c>
      <c r="B42" s="7" t="inlineStr">
        <is>
          <t>Host kit, multi-site</t>
        </is>
      </c>
      <c r="C42" s="7" t="inlineStr">
        <is>
          <t>Direct invoice / Shopify</t>
        </is>
      </c>
      <c r="D42" s="7" t="inlineStr">
        <is>
          <t>4 (held)</t>
        </is>
      </c>
      <c r="E42" s="29" t="n">
        <v>249</v>
      </c>
      <c r="F42" s="39" t="n">
        <v>0</v>
      </c>
      <c r="G42" s="32" t="n">
        <v>0</v>
      </c>
      <c r="H42" s="17">
        <f>'Assumptions'!$C$24</f>
        <v/>
      </c>
      <c r="I42" s="16">
        <f>'Assumptions'!$C$25</f>
        <v/>
      </c>
      <c r="J42" s="39" t="n">
        <v>0</v>
      </c>
      <c r="K42" s="32" t="n">
        <v>0</v>
      </c>
      <c r="L42" s="32" t="n">
        <v>0</v>
      </c>
      <c r="M42" s="32">
        <f>E42*(1-F42-H42-J42)-G42-I42-K42-L42</f>
        <v/>
      </c>
      <c r="N42" s="39">
        <f>IF(E42=0,0,M42/E42)</f>
        <v/>
      </c>
      <c r="O42" s="32" t="n">
        <v>0</v>
      </c>
      <c r="P42" s="25" t="n">
        <v>0</v>
      </c>
      <c r="Q42" s="7" t="inlineStr">
        <is>
          <t>Tax-exempt certificate kept on file; otherwise MD 6%</t>
        </is>
      </c>
      <c r="R42" s="7" t="inlineStr">
        <is>
          <t>DEMAND-CHECK: $249 multi-site. Weight 0 until there is evidence.</t>
        </is>
      </c>
    </row>
    <row r="43">
      <c r="A43" s="7" t="inlineStr">
        <is>
          <t>RETAIL</t>
        </is>
      </c>
      <c r="B43" s="7" t="inlineStr">
        <is>
          <t>Up! Go! More! board book (wholesale)</t>
        </is>
      </c>
      <c r="C43" s="7" t="inlineStr">
        <is>
          <t>Faire wholesale to boutiques</t>
        </is>
      </c>
      <c r="D43" s="7" t="inlineStr">
        <is>
          <t>5 (retail)</t>
        </is>
      </c>
      <c r="E43" s="16">
        <f>'Assumptions'!$C$57*'Assumptions'!$C$51</f>
        <v/>
      </c>
      <c r="F43" s="17">
        <f>'Assumptions'!$C$49</f>
        <v/>
      </c>
      <c r="G43" s="32" t="n">
        <v>0</v>
      </c>
      <c r="H43" s="17">
        <f>'Assumptions'!$C$50</f>
        <v/>
      </c>
      <c r="I43" s="32" t="n">
        <v>0</v>
      </c>
      <c r="J43" s="17">
        <f>'Assumptions'!$C$53</f>
        <v/>
      </c>
      <c r="K43" s="16">
        <f>'Assumptions'!$C$66</f>
        <v/>
      </c>
      <c r="L43" s="16">
        <f>'Assumptions'!$C$68</f>
        <v/>
      </c>
      <c r="M43" s="32">
        <f>E43*(1-F43-H43-J43)-G43-I43-K43-L43</f>
        <v/>
      </c>
      <c r="N43" s="39">
        <f>IF(E43=0,0,M43/E43)</f>
        <v/>
      </c>
      <c r="O43" s="16">
        <f>'Assumptions'!$C$66</f>
        <v/>
      </c>
      <c r="P43" s="25" t="n">
        <v>60</v>
      </c>
      <c r="Q43" s="7" t="inlineStr">
        <is>
          <t>Wholesale: exempt with the retailer's resale certificate</t>
        </is>
      </c>
      <c r="R43" s="7" t="inlineStr">
        <is>
          <t>Wholesale pays about half of retail (AMAZON-AND-RETAIL-ROADMAP B4).</t>
        </is>
      </c>
    </row>
    <row r="44">
      <c r="A44" s="7" t="inlineStr">
        <is>
          <t>RETAIL</t>
        </is>
      </c>
      <c r="B44" s="7" t="inlineStr">
        <is>
          <t>Up! Go! More! board book</t>
        </is>
      </c>
      <c r="C44" s="7" t="inlineStr">
        <is>
          <t>Walmart Marketplace (3PL-fulfilled)</t>
        </is>
      </c>
      <c r="D44" s="7" t="inlineStr">
        <is>
          <t>5 (retail)</t>
        </is>
      </c>
      <c r="E44" s="16">
        <f>'Assumptions'!$C$57</f>
        <v/>
      </c>
      <c r="F44" s="17">
        <f>'Assumptions'!$C$52</f>
        <v/>
      </c>
      <c r="G44" s="32" t="n">
        <v>0</v>
      </c>
      <c r="H44" s="39" t="n">
        <v>0</v>
      </c>
      <c r="I44" s="32" t="n">
        <v>0</v>
      </c>
      <c r="J44" s="17">
        <f>'Assumptions'!$C$53</f>
        <v/>
      </c>
      <c r="K44" s="16">
        <f>'Assumptions'!$C$66</f>
        <v/>
      </c>
      <c r="L44" s="16">
        <f>'Assumptions'!$C$67+'Assumptions'!$C$48</f>
        <v/>
      </c>
      <c r="M44" s="32">
        <f>E44*(1-F44-H44-J44)-G44-I44-K44-L44</f>
        <v/>
      </c>
      <c r="N44" s="39">
        <f>IF(E44=0,0,M44/E44)</f>
        <v/>
      </c>
      <c r="O44" s="16">
        <f>'Assumptions'!$C$66</f>
        <v/>
      </c>
      <c r="P44" s="25" t="n">
        <v>40</v>
      </c>
      <c r="Q44" s="7" t="inlineStr">
        <is>
          <t>Marketplace facilitator [VERIFY for Target Plus]</t>
        </is>
      </c>
      <c r="R44" s="7" t="inlineStr">
        <is>
          <t>Walmart Marketplace by application (ROADMAP B3).</t>
        </is>
      </c>
    </row>
    <row r="45">
      <c r="A45" s="7" t="inlineStr">
        <is>
          <t>RETAIL</t>
        </is>
      </c>
      <c r="B45" s="7" t="inlineStr">
        <is>
          <t>Up! Go! More! board book</t>
        </is>
      </c>
      <c r="C45" s="7" t="inlineStr">
        <is>
          <t>Target Plus (invitation-only) [VERIFY]</t>
        </is>
      </c>
      <c r="D45" s="7" t="inlineStr">
        <is>
          <t>5 (retail)</t>
        </is>
      </c>
      <c r="E45" s="16">
        <f>'Assumptions'!$C$57</f>
        <v/>
      </c>
      <c r="F45" s="17">
        <f>'Assumptions'!$C$52</f>
        <v/>
      </c>
      <c r="G45" s="32" t="n">
        <v>0</v>
      </c>
      <c r="H45" s="39" t="n">
        <v>0</v>
      </c>
      <c r="I45" s="32" t="n">
        <v>0</v>
      </c>
      <c r="J45" s="17">
        <f>'Assumptions'!$C$53</f>
        <v/>
      </c>
      <c r="K45" s="16">
        <f>'Assumptions'!$C$66</f>
        <v/>
      </c>
      <c r="L45" s="16">
        <f>'Assumptions'!$C$67+'Assumptions'!$C$48</f>
        <v/>
      </c>
      <c r="M45" s="32">
        <f>E45*(1-F45-H45-J45)-G45-I45-K45-L45</f>
        <v/>
      </c>
      <c r="N45" s="39">
        <f>IF(E45=0,0,M45/E45)</f>
        <v/>
      </c>
      <c r="O45" s="16">
        <f>'Assumptions'!$C$66</f>
        <v/>
      </c>
      <c r="P45" s="25" t="n">
        <v>0</v>
      </c>
      <c r="Q45" s="7" t="inlineStr">
        <is>
          <t>Marketplace facilitator [VERIFY for Target Plus]</t>
        </is>
      </c>
      <c r="R45" s="7" t="inlineStr">
        <is>
          <t>Target Plus is invitation-only (ROADMAP B3) [VERIFY terms]. Weight 0: no forecast revenue until an invitation arrives.</t>
        </is>
      </c>
    </row>
    <row r="47">
      <c r="A47" s="5" t="inlineStr">
        <is>
          <t>Channel blend used by the forecast (weighted by mix weight)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</row>
    <row r="48" ht="32" customHeight="1">
      <c r="A48" s="3" t="inlineStr">
        <is>
          <t>Channel code</t>
        </is>
      </c>
      <c r="B48" s="4" t="inlineStr">
        <is>
          <t>Channel</t>
        </is>
      </c>
      <c r="C48" s="4" t="inlineStr"/>
      <c r="D48" s="4" t="inlineStr"/>
      <c r="E48" s="4" t="inlineStr">
        <is>
          <t>Blended price ($/item)</t>
        </is>
      </c>
      <c r="F48" s="4" t="inlineStr">
        <is>
          <t>Blended net per item ($)</t>
        </is>
      </c>
      <c r="G48" s="4" t="inlineStr">
        <is>
          <t>Net margin %</t>
        </is>
      </c>
      <c r="H48" s="4" t="inlineStr">
        <is>
          <t>Inventory cost paid up front ($/item)</t>
        </is>
      </c>
      <c r="I48" s="4" t="inlineStr">
        <is>
          <t>Payout delay (months)</t>
        </is>
      </c>
    </row>
    <row r="49">
      <c r="A49" s="10" t="inlineStr">
        <is>
          <t>SITE</t>
        </is>
      </c>
      <c r="B49" s="7" t="inlineStr">
        <is>
          <t>Own site: printables and PDFs (Shopify)</t>
        </is>
      </c>
      <c r="E49" s="32">
        <f>SUMPRODUCT(--($A$6:$A$45=$A49),$E$6:$E$45,$P$6:$P$45)/SUMIF($A$6:$A$45,$A49,$P$6:$P$45)</f>
        <v/>
      </c>
      <c r="F49" s="32">
        <f>SUMPRODUCT(--($A$6:$A$45=$A49),$M$6:$M$45,$P$6:$P$45)/SUMIF($A$6:$A$45,$A49,$P$6:$P$45)</f>
        <v/>
      </c>
      <c r="G49" s="39">
        <f>IF(E49=0,0,F49/E49)</f>
        <v/>
      </c>
      <c r="H49" s="32">
        <f>SUMPRODUCT(--($A$6:$A$45=$A49),$O$6:$O$45,$P$6:$P$45)/SUMIF($A$6:$A$45,$A49,$P$6:$P$45)</f>
        <v/>
      </c>
      <c r="I49" s="18">
        <f>'Assumptions'!$C$80</f>
        <v/>
      </c>
    </row>
    <row r="50">
      <c r="A50" s="10" t="inlineStr">
        <is>
          <t>ETSY</t>
        </is>
      </c>
      <c r="B50" s="7" t="inlineStr">
        <is>
          <t>Etsy: printables</t>
        </is>
      </c>
      <c r="E50" s="32">
        <f>SUMPRODUCT(--($A$6:$A$45=$A50),$E$6:$E$45,$P$6:$P$45)/SUMIF($A$6:$A$45,$A50,$P$6:$P$45)</f>
        <v/>
      </c>
      <c r="F50" s="32">
        <f>SUMPRODUCT(--($A$6:$A$45=$A50),$M$6:$M$45,$P$6:$P$45)/SUMIF($A$6:$A$45,$A50,$P$6:$P$45)</f>
        <v/>
      </c>
      <c r="G50" s="39">
        <f>IF(E50=0,0,F50/E50)</f>
        <v/>
      </c>
      <c r="H50" s="32">
        <f>SUMPRODUCT(--($A$6:$A$45=$A50),$O$6:$O$45,$P$6:$P$45)/SUMIF($A$6:$A$45,$A50,$P$6:$P$45)</f>
        <v/>
      </c>
      <c r="I50" s="18">
        <f>'Assumptions'!$C$81</f>
        <v/>
      </c>
    </row>
    <row r="51">
      <c r="A51" s="10" t="inlineStr">
        <is>
          <t>KDP</t>
        </is>
      </c>
      <c r="B51" s="7" t="inlineStr">
        <is>
          <t>Amazon KDP: paperbacks</t>
        </is>
      </c>
      <c r="E51" s="32">
        <f>SUMPRODUCT(--($A$6:$A$45=$A51),$E$6:$E$45,$P$6:$P$45)/SUMIF($A$6:$A$45,$A51,$P$6:$P$45)</f>
        <v/>
      </c>
      <c r="F51" s="32">
        <f>SUMPRODUCT(--($A$6:$A$45=$A51),$M$6:$M$45,$P$6:$P$45)/SUMIF($A$6:$A$45,$A51,$P$6:$P$45)</f>
        <v/>
      </c>
      <c r="G51" s="39">
        <f>IF(E51=0,0,F51/E51)</f>
        <v/>
      </c>
      <c r="H51" s="32">
        <f>SUMPRODUCT(--($A$6:$A$45=$A51),$O$6:$O$45,$P$6:$P$45)/SUMIF($A$6:$A$45,$A51,$P$6:$P$45)</f>
        <v/>
      </c>
      <c r="I51" s="18">
        <f>'Assumptions'!$C$82</f>
        <v/>
      </c>
    </row>
    <row r="52">
      <c r="A52" s="10" t="inlineStr">
        <is>
          <t>INGRAM</t>
        </is>
      </c>
      <c r="B52" s="7" t="inlineStr">
        <is>
          <t>IngramSpark: paperbacks to bookstores and libraries</t>
        </is>
      </c>
      <c r="E52" s="32">
        <f>SUMPRODUCT(--($A$6:$A$45=$A52),$E$6:$E$45,$P$6:$P$45)/SUMIF($A$6:$A$45,$A52,$P$6:$P$45)</f>
        <v/>
      </c>
      <c r="F52" s="32">
        <f>SUMPRODUCT(--($A$6:$A$45=$A52),$M$6:$M$45,$P$6:$P$45)/SUMIF($A$6:$A$45,$A52,$P$6:$P$45)</f>
        <v/>
      </c>
      <c r="G52" s="39">
        <f>IF(E52=0,0,F52/E52)</f>
        <v/>
      </c>
      <c r="H52" s="32">
        <f>SUMPRODUCT(--($A$6:$A$45=$A52),$O$6:$O$45,$P$6:$P$45)/SUMIF($A$6:$A$45,$A52,$P$6:$P$45)</f>
        <v/>
      </c>
      <c r="I52" s="18">
        <f>'Assumptions'!$C$83</f>
        <v/>
      </c>
    </row>
    <row r="53">
      <c r="A53" s="10" t="inlineStr">
        <is>
          <t>MOR</t>
        </is>
      </c>
      <c r="B53" s="7" t="inlineStr">
        <is>
          <t>International digital via merchant of record (Gumroad)</t>
        </is>
      </c>
      <c r="E53" s="32">
        <f>SUMPRODUCT(--($A$6:$A$45=$A53),$E$6:$E$45,$P$6:$P$45)/SUMIF($A$6:$A$45,$A53,$P$6:$P$45)</f>
        <v/>
      </c>
      <c r="F53" s="32">
        <f>SUMPRODUCT(--($A$6:$A$45=$A53),$M$6:$M$45,$P$6:$P$45)/SUMIF($A$6:$A$45,$A53,$P$6:$P$45)</f>
        <v/>
      </c>
      <c r="G53" s="39">
        <f>IF(E53=0,0,F53/E53)</f>
        <v/>
      </c>
      <c r="H53" s="32">
        <f>SUMPRODUCT(--($A$6:$A$45=$A53),$O$6:$O$45,$P$6:$P$45)/SUMIF($A$6:$A$45,$A53,$P$6:$P$45)</f>
        <v/>
      </c>
      <c r="I53" s="18">
        <f>'Assumptions'!$C$84</f>
        <v/>
      </c>
    </row>
    <row r="54">
      <c r="A54" s="10" t="inlineStr">
        <is>
          <t>COURSE</t>
        </is>
      </c>
      <c r="B54" s="7" t="inlineStr">
        <is>
          <t>30-Day Screen Reset written course (Wave 2)</t>
        </is>
      </c>
      <c r="E54" s="32">
        <f>SUMPRODUCT(--($A$6:$A$45=$A54),$E$6:$E$45,$P$6:$P$45)/SUMIF($A$6:$A$45,$A54,$P$6:$P$45)</f>
        <v/>
      </c>
      <c r="F54" s="32">
        <f>SUMPRODUCT(--($A$6:$A$45=$A54),$M$6:$M$45,$P$6:$P$45)/SUMIF($A$6:$A$45,$A54,$P$6:$P$45)</f>
        <v/>
      </c>
      <c r="G54" s="39">
        <f>IF(E54=0,0,F54/E54)</f>
        <v/>
      </c>
      <c r="H54" s="32">
        <f>SUMPRODUCT(--($A$6:$A$45=$A54),$O$6:$O$45,$P$6:$P$45)/SUMIF($A$6:$A$45,$A54,$P$6:$P$45)</f>
        <v/>
      </c>
      <c r="I54" s="18">
        <f>'Assumptions'!$C$85</f>
        <v/>
      </c>
    </row>
    <row r="55">
      <c r="A55" s="10" t="inlineStr">
        <is>
          <t>BOARD</t>
        </is>
      </c>
      <c r="B55" s="7" t="inlineStr">
        <is>
          <t>Board book: pre-sale, then 3PL and Amazon FBA (gated option; off in base)</t>
        </is>
      </c>
      <c r="E55" s="32">
        <f>SUMPRODUCT(--($A$6:$A$45=$A55),$E$6:$E$45,$P$6:$P$45)/SUMIF($A$6:$A$45,$A55,$P$6:$P$45)</f>
        <v/>
      </c>
      <c r="F55" s="32">
        <f>SUMPRODUCT(--($A$6:$A$45=$A55),$M$6:$M$45,$P$6:$P$45)/SUMIF($A$6:$A$45,$A55,$P$6:$P$45)</f>
        <v/>
      </c>
      <c r="G55" s="39">
        <f>IF(E55=0,0,F55/E55)</f>
        <v/>
      </c>
      <c r="H55" s="32">
        <f>SUMPRODUCT(--($A$6:$A$45=$A55),$O$6:$O$45,$P$6:$P$45)/SUMIF($A$6:$A$45,$A55,$P$6:$P$45)</f>
        <v/>
      </c>
      <c r="I55" s="18">
        <f>'Assumptions'!$C$86</f>
        <v/>
      </c>
    </row>
    <row r="56">
      <c r="A56" s="10" t="inlineStr">
        <is>
          <t>SCHOOL</t>
        </is>
      </c>
      <c r="B56" s="7" t="inlineStr">
        <is>
          <t>School and group licenses + TPT (overlay only if counsel clears in writing; off in base)</t>
        </is>
      </c>
      <c r="E56" s="32">
        <f>SUMPRODUCT(--($A$6:$A$45=$A56),$E$6:$E$45,$P$6:$P$45)/SUMIF($A$6:$A$45,$A56,$P$6:$P$45)</f>
        <v/>
      </c>
      <c r="F56" s="32">
        <f>SUMPRODUCT(--($A$6:$A$45=$A56),$M$6:$M$45,$P$6:$P$45)/SUMIF($A$6:$A$45,$A56,$P$6:$P$45)</f>
        <v/>
      </c>
      <c r="G56" s="39">
        <f>IF(E56=0,0,F56/E56)</f>
        <v/>
      </c>
      <c r="H56" s="32">
        <f>SUMPRODUCT(--($A$6:$A$45=$A56),$O$6:$O$45,$P$6:$P$45)/SUMIF($A$6:$A$45,$A56,$P$6:$P$45)</f>
        <v/>
      </c>
      <c r="I56" s="18">
        <f>'Assumptions'!$C$87</f>
        <v/>
      </c>
    </row>
    <row r="57">
      <c r="A57" s="10" t="inlineStr">
        <is>
          <t>RETAIL</t>
        </is>
      </c>
      <c r="B57" s="7" t="inlineStr">
        <is>
          <t>Retail and wholesale: Faire, Walmart Marketplace (off in base)</t>
        </is>
      </c>
      <c r="E57" s="32">
        <f>SUMPRODUCT(--($A$6:$A$45=$A57),$E$6:$E$45,$P$6:$P$45)/SUMIF($A$6:$A$45,$A57,$P$6:$P$45)</f>
        <v/>
      </c>
      <c r="F57" s="32">
        <f>SUMPRODUCT(--($A$6:$A$45=$A57),$M$6:$M$45,$P$6:$P$45)/SUMIF($A$6:$A$45,$A57,$P$6:$P$45)</f>
        <v/>
      </c>
      <c r="G57" s="39">
        <f>IF(E57=0,0,F57/E57)</f>
        <v/>
      </c>
      <c r="H57" s="32">
        <f>SUMPRODUCT(--($A$6:$A$45=$A57),$O$6:$O$45,$P$6:$P$45)/SUMIF($A$6:$A$45,$A57,$P$6:$P$45)</f>
        <v/>
      </c>
      <c r="I57" s="18">
        <f>'Assumptions'!$C$88</f>
        <v/>
      </c>
    </row>
    <row r="59">
      <c r="A59" s="10" t="inlineStr">
        <is>
          <t>Notes</t>
        </is>
      </c>
    </row>
    <row r="60">
      <c r="A60" s="9" t="inlineStr">
        <is>
          <t>KDP and IngramSpark: 'price' is the list price the reader pays; AlphaPlay receives the royalty or publisher compensation shown in Net per unit.</t>
        </is>
      </c>
    </row>
    <row r="61">
      <c r="A61" s="9" t="inlineStr">
        <is>
          <t>Board book and retail rows: the landed print cost is deducted in Net per unit (true margin). Cash Flow adds it back and instead pays for whole print runs up front.</t>
        </is>
      </c>
    </row>
    <row r="62">
      <c r="A62" s="9" t="inlineStr">
        <is>
          <t>Fixed per-order fees are applied per item, which slightly understates net on multi-item orders (a conservative simplification).</t>
        </is>
      </c>
    </row>
    <row r="63">
      <c r="A63" s="9" t="inlineStr">
        <is>
          <t>IngramSpark: base discount 40%. The hardcover is gated at weight 0 (about $0.50 a copy at 55%); Laps Not Apps is now a per-order personalized book and is not in this channel.</t>
        </is>
      </c>
    </row>
    <row r="64">
      <c r="A64" s="9" t="inlineStr">
        <is>
          <t>Board book: own-site orders absorb about $2 of postage; FBA rows include the closing fee and a storage/placement allowance. Mix weights of 0 mark gated products that earn no forecast revenue.</t>
        </is>
      </c>
    </row>
    <row r="65">
      <c r="A65" s="9" t="inlineStr">
        <is>
          <t>The board-book blend applies only from the print month; pre-sale orders use the own-site row (no FBA stock exists before printing).</t>
        </is>
      </c>
    </row>
  </sheetData>
  <mergeCells count="1">
    <mergeCell ref="A2:R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I48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1" customWidth="1" min="3" max="3"/>
    <col width="11" customWidth="1" min="4" max="4"/>
    <col width="11" customWidth="1" min="5" max="5"/>
    <col width="14" customWidth="1" min="6" max="6"/>
    <col width="10" customWidth="1" min="7" max="7"/>
    <col width="62" customWidth="1" min="8" max="8"/>
    <col width="18" customWidth="1" min="9" max="9"/>
  </cols>
  <sheetData>
    <row r="1">
      <c r="A1" s="20" t="inlineStr">
        <is>
          <t>Startup costs: one-time items</t>
        </is>
      </c>
    </row>
    <row r="2" ht="28" customHeight="1">
      <c r="A2" s="2" t="inlineStr">
        <is>
          <t>Model ($) = Low + cost position x (High - Low), using the cost position on Assumptions. Set Include to 0 to drop an item. Recurring items (insurance, domains, subscriptions) live on Monthly Operating Costs.</t>
        </is>
      </c>
    </row>
    <row r="3"/>
    <row r="5" ht="32" customHeight="1">
      <c r="A5" s="3" t="inlineStr">
        <is>
          <t>Item</t>
        </is>
      </c>
      <c r="B5" s="4" t="inlineStr">
        <is>
          <t>Category</t>
        </is>
      </c>
      <c r="C5" s="4" t="inlineStr">
        <is>
          <t>Low ($)</t>
        </is>
      </c>
      <c r="D5" s="4" t="inlineStr">
        <is>
          <t>High ($)</t>
        </is>
      </c>
      <c r="E5" s="4" t="inlineStr">
        <is>
          <t>Model ($)</t>
        </is>
      </c>
      <c r="F5" s="4" t="inlineStr">
        <is>
          <t>Month incurred (model month #)</t>
        </is>
      </c>
      <c r="G5" s="4" t="inlineStr">
        <is>
          <t>Include (1/0)</t>
        </is>
      </c>
      <c r="H5" s="4" t="inlineStr">
        <is>
          <t>Source</t>
        </is>
      </c>
      <c r="I5" s="4" t="inlineStr">
        <is>
          <t>Status</t>
        </is>
      </c>
    </row>
    <row r="6">
      <c r="A6" s="7" t="inlineStr">
        <is>
          <t>Trade-name filing, 'Play Before Pixels' (SDAT)</t>
        </is>
      </c>
      <c r="B6" s="7" t="inlineStr">
        <is>
          <t>Legal/entity</t>
        </is>
      </c>
      <c r="C6" s="27" t="n">
        <v>25</v>
      </c>
      <c r="D6" s="27" t="n">
        <v>50</v>
      </c>
      <c r="E6" s="8">
        <f>C6+'Assumptions'!$C$10*(D6-C6)</f>
        <v/>
      </c>
      <c r="F6" s="25" t="n">
        <v>1</v>
      </c>
      <c r="G6" s="25" t="n">
        <v>1</v>
      </c>
      <c r="H6" s="7" t="inlineStr">
        <is>
          <t>legal/protection/PROTECTION-PLAN.md: $25 ($50 expedited).</t>
        </is>
      </c>
      <c r="I6" s="7" t="inlineStr">
        <is>
          <t>Repo</t>
        </is>
      </c>
    </row>
    <row r="7">
      <c r="A7" s="7" t="inlineStr">
        <is>
          <t>Principal office / resident agent change (SDAT)</t>
        </is>
      </c>
      <c r="B7" s="7" t="inlineStr">
        <is>
          <t>Legal/entity</t>
        </is>
      </c>
      <c r="C7" s="27" t="n">
        <v>25</v>
      </c>
      <c r="D7" s="27" t="n">
        <v>50</v>
      </c>
      <c r="E7" s="8">
        <f>C7+'Assumptions'!$C$10*(D7-C7)</f>
        <v/>
      </c>
      <c r="F7" s="25" t="n">
        <v>1</v>
      </c>
      <c r="G7" s="25" t="n">
        <v>1</v>
      </c>
      <c r="H7" s="7" t="inlineStr">
        <is>
          <t>PROTECTION-PLAN: $25 ($50 expedited).</t>
        </is>
      </c>
      <c r="I7" s="7" t="inlineStr">
        <is>
          <t>Repo</t>
        </is>
      </c>
    </row>
    <row r="8">
      <c r="A8" s="7" t="inlineStr">
        <is>
          <t>DMCA designated agent registration</t>
        </is>
      </c>
      <c r="B8" s="7" t="inlineStr">
        <is>
          <t>Legal/IP</t>
        </is>
      </c>
      <c r="C8" s="27" t="n">
        <v>6</v>
      </c>
      <c r="D8" s="27" t="n">
        <v>6</v>
      </c>
      <c r="E8" s="8">
        <f>C8+'Assumptions'!$C$10*(D8-C8)</f>
        <v/>
      </c>
      <c r="F8" s="25" t="n">
        <v>1</v>
      </c>
      <c r="G8" s="25" t="n">
        <v>1</v>
      </c>
      <c r="H8" s="7" t="inlineStr">
        <is>
          <t>PROTECTION-PLAN: $6, renews every 3 years.</t>
        </is>
      </c>
      <c r="I8" s="7" t="inlineStr">
        <is>
          <t>Repo</t>
        </is>
      </c>
    </row>
    <row r="9">
      <c r="A9" s="7" t="inlineStr">
        <is>
          <t>Etsy shop opening fee (may apply)</t>
        </is>
      </c>
      <c r="B9" s="7" t="inlineStr">
        <is>
          <t>Channels</t>
        </is>
      </c>
      <c r="C9" s="27" t="n">
        <v>0</v>
      </c>
      <c r="D9" s="27" t="n">
        <v>15</v>
      </c>
      <c r="E9" s="8">
        <f>C9+'Assumptions'!$C$10*(D9-C9)</f>
        <v/>
      </c>
      <c r="F9" s="25" t="n">
        <v>1</v>
      </c>
      <c r="G9" s="25" t="n">
        <v>1</v>
      </c>
      <c r="H9" s="7" t="inlineStr">
        <is>
          <t>storefront-setup-guide §10.</t>
        </is>
      </c>
      <c r="I9" s="7" t="inlineStr">
        <is>
          <t>Repo [VERIFY]</t>
        </is>
      </c>
    </row>
    <row r="10">
      <c r="A10" s="7" t="inlineStr">
        <is>
          <t>ISBNs: KDP's free ISBN (founder's decision; a Bowker 10-pack, $295, only if IngramSpark editions are added)</t>
        </is>
      </c>
      <c r="B10" s="7" t="inlineStr">
        <is>
          <t>Publishing</t>
        </is>
      </c>
      <c r="C10" s="27" t="n">
        <v>0</v>
      </c>
      <c r="D10" s="27" t="n">
        <v>0</v>
      </c>
      <c r="E10" s="8">
        <f>C10+'Assumptions'!$C$10*(D10-C10)</f>
        <v/>
      </c>
      <c r="F10" s="25" t="n">
        <v>1</v>
      </c>
      <c r="G10" s="25" t="n">
        <v>1</v>
      </c>
      <c r="H10" s="7" t="inlineStr">
        <is>
          <t>business/DECISIONS.md 2026-09-28.</t>
        </is>
      </c>
      <c r="I10" s="7" t="inlineStr">
        <is>
          <t>Decided</t>
        </is>
      </c>
    </row>
    <row r="11">
      <c r="A11" s="7" t="inlineStr">
        <is>
          <t>Trademark clearance search + attorney opinion, PLAY BEFORE PIXELS</t>
        </is>
      </c>
      <c r="B11" s="7" t="inlineStr">
        <is>
          <t>Legal/IP</t>
        </is>
      </c>
      <c r="C11" s="27" t="n">
        <v>500</v>
      </c>
      <c r="D11" s="27" t="n">
        <v>2500</v>
      </c>
      <c r="E11" s="8">
        <f>C11+'Assumptions'!$C$10*(D11-C11)</f>
        <v/>
      </c>
      <c r="F11" s="25" t="n">
        <v>1</v>
      </c>
      <c r="G11" s="25" t="n">
        <v>1</v>
      </c>
      <c r="H11" s="7" t="inlineStr">
        <is>
          <t>legal/DECISION-MEMO.json step 2.</t>
        </is>
      </c>
      <c r="I11" s="7" t="inlineStr">
        <is>
          <t>Repo [VERIFY]</t>
        </is>
      </c>
    </row>
    <row r="12">
      <c r="A12" s="7" t="inlineStr">
        <is>
          <t>USPTO application, PLAY BEFORE PIXELS, classes 16 + 41</t>
        </is>
      </c>
      <c r="B12" s="7" t="inlineStr">
        <is>
          <t>Legal/IP</t>
        </is>
      </c>
      <c r="C12" s="27" t="n">
        <v>700</v>
      </c>
      <c r="D12" s="27" t="n">
        <v>700</v>
      </c>
      <c r="E12" s="8">
        <f>C12+'Assumptions'!$C$10*(D12-C12)</f>
        <v/>
      </c>
      <c r="F12" s="25" t="n">
        <v>2</v>
      </c>
      <c r="G12" s="25" t="n">
        <v>1</v>
      </c>
      <c r="H12" s="7" t="inlineStr">
        <is>
          <t>PROTECTION-PLAN #7: $350/class, within 90 days.</t>
        </is>
      </c>
      <c r="I12" s="7" t="inlineStr">
        <is>
          <t>Repo</t>
        </is>
      </c>
    </row>
    <row r="13">
      <c r="A13" s="7" t="inlineStr">
        <is>
          <t>ALPHAPLAY Statement of Use ($150/class) or extension (up to $625)</t>
        </is>
      </c>
      <c r="B13" s="7" t="inlineStr">
        <is>
          <t>Legal/IP</t>
        </is>
      </c>
      <c r="C13" s="27" t="n">
        <v>150</v>
      </c>
      <c r="D13" s="27" t="n">
        <v>625</v>
      </c>
      <c r="E13" s="8">
        <f>C13+'Assumptions'!$C$10*(D13-C13)</f>
        <v/>
      </c>
      <c r="F13" s="25" t="n">
        <v>5</v>
      </c>
      <c r="G13" s="25" t="n">
        <v>1</v>
      </c>
      <c r="H13" s="7" t="inlineStr">
        <is>
          <t>PROTECTION-PLAN #6: due Mar 8, 2027; target Feb 1, 2027.</t>
        </is>
      </c>
      <c r="I13" s="7" t="inlineStr">
        <is>
          <t>Repo</t>
        </is>
      </c>
    </row>
    <row r="14">
      <c r="A14" s="7" t="inlineStr">
        <is>
          <t>Trademark attorney, ALPHAPLAY filing</t>
        </is>
      </c>
      <c r="B14" s="7" t="inlineStr">
        <is>
          <t>Legal/IP</t>
        </is>
      </c>
      <c r="C14" s="27" t="n">
        <v>300</v>
      </c>
      <c r="D14" s="27" t="n">
        <v>1000</v>
      </c>
      <c r="E14" s="8">
        <f>C14+'Assumptions'!$C$10*(D14-C14)</f>
        <v/>
      </c>
      <c r="F14" s="25" t="n">
        <v>4</v>
      </c>
      <c r="G14" s="25" t="n">
        <v>1</v>
      </c>
      <c r="H14" s="7" t="inlineStr">
        <is>
          <t>marketing/BLIND-SPOTS.md #9.</t>
        </is>
      </c>
      <c r="I14" s="7" t="inlineStr">
        <is>
          <t>Repo</t>
        </is>
      </c>
    </row>
    <row r="15">
      <c r="A15" s="7" t="inlineStr">
        <is>
          <t>Copyright registrations for pending works (before Nov 11, 2026)</t>
        </is>
      </c>
      <c r="B15" s="7" t="inlineStr">
        <is>
          <t>Legal/IP</t>
        </is>
      </c>
      <c r="C15" s="27" t="n">
        <v>360</v>
      </c>
      <c r="D15" s="27" t="n">
        <v>680</v>
      </c>
      <c r="E15" s="8">
        <f>C15+'Assumptions'!$C$10*(D15-C15)</f>
        <v/>
      </c>
      <c r="F15" s="25" t="n">
        <v>2</v>
      </c>
      <c r="G15" s="25" t="n">
        <v>1</v>
      </c>
      <c r="H15" s="7" t="inlineStr">
        <is>
          <t>PROTECTION-PLAN: about 8 filings at $45-$85.</t>
        </is>
      </c>
      <c r="I15" s="7" t="inlineStr">
        <is>
          <t>Repo</t>
        </is>
      </c>
    </row>
    <row r="16">
      <c r="A16" s="7" t="inlineStr">
        <is>
          <t>Attorney: IP assignment to the LLC + operating-agreement refresh</t>
        </is>
      </c>
      <c r="B16" s="7" t="inlineStr">
        <is>
          <t>Legal/entity</t>
        </is>
      </c>
      <c r="C16" s="27" t="n">
        <v>500</v>
      </c>
      <c r="D16" s="27" t="n">
        <v>2000</v>
      </c>
      <c r="E16" s="8">
        <f>C16+'Assumptions'!$C$10*(D16-C16)</f>
        <v/>
      </c>
      <c r="F16" s="25" t="n">
        <v>3</v>
      </c>
      <c r="G16" s="25" t="n">
        <v>1</v>
      </c>
      <c r="H16" s="7" t="inlineStr">
        <is>
          <t>PROTECTION-PLAN #5 (after employment counsel answers).</t>
        </is>
      </c>
      <c r="I16" s="7" t="inlineStr">
        <is>
          <t>Repo [VERIFY]</t>
        </is>
      </c>
    </row>
    <row r="17">
      <c r="A17" s="7" t="inlineStr">
        <is>
          <t>Attorney: Terms of Sale and website legal pages</t>
        </is>
      </c>
      <c r="B17" s="7" t="inlineStr">
        <is>
          <t>Legal</t>
        </is>
      </c>
      <c r="C17" s="27" t="n">
        <v>500</v>
      </c>
      <c r="D17" s="27" t="n">
        <v>2500</v>
      </c>
      <c r="E17" s="8">
        <f>C17+'Assumptions'!$C$10*(D17-C17)</f>
        <v/>
      </c>
      <c r="F17" s="25" t="n">
        <v>1</v>
      </c>
      <c r="G17" s="25" t="n">
        <v>1</v>
      </c>
      <c r="H17" s="7" t="inlineStr">
        <is>
          <t>PROTECTION-PLAN contracts table; DECISION-MEMO $500-$2,000.</t>
        </is>
      </c>
      <c r="I17" s="7" t="inlineStr">
        <is>
          <t>Repo [VERIFY]</t>
        </is>
      </c>
    </row>
    <row r="18">
      <c r="A18" s="7" t="inlineStr">
        <is>
          <t>Attorney: freelancer work-for-hire template</t>
        </is>
      </c>
      <c r="B18" s="7" t="inlineStr">
        <is>
          <t>Legal</t>
        </is>
      </c>
      <c r="C18" s="27" t="n">
        <v>300</v>
      </c>
      <c r="D18" s="27" t="n">
        <v>1000</v>
      </c>
      <c r="E18" s="8">
        <f>C18+'Assumptions'!$C$10*(D18-C18)</f>
        <v/>
      </c>
      <c r="F18" s="25" t="n">
        <v>5</v>
      </c>
      <c r="G18" s="25" t="n">
        <v>1</v>
      </c>
      <c r="H18" s="7" t="inlineStr">
        <is>
          <t>PROTECTION-PLAN contracts table.</t>
        </is>
      </c>
      <c r="I18" s="7" t="inlineStr">
        <is>
          <t>Repo [VERIFY]</t>
        </is>
      </c>
    </row>
    <row r="19">
      <c r="A19" s="7" t="inlineStr">
        <is>
          <t>Attorney: digital product license review</t>
        </is>
      </c>
      <c r="B19" s="7" t="inlineStr">
        <is>
          <t>Legal</t>
        </is>
      </c>
      <c r="C19" s="27" t="n">
        <v>0</v>
      </c>
      <c r="D19" s="27" t="n">
        <v>300</v>
      </c>
      <c r="E19" s="8">
        <f>C19+'Assumptions'!$C$10*(D19-C19)</f>
        <v/>
      </c>
      <c r="F19" s="25" t="n">
        <v>1</v>
      </c>
      <c r="G19" s="25" t="n">
        <v>1</v>
      </c>
      <c r="H19" s="7" t="inlineStr">
        <is>
          <t>PROTECTION-PLAN contracts table.</t>
        </is>
      </c>
      <c r="I19" s="7" t="inlineStr">
        <is>
          <t>Repo [VERIFY]</t>
        </is>
      </c>
    </row>
    <row r="20">
      <c r="A20" s="7" t="inlineStr">
        <is>
          <t>Attorney: successor in operating agreement + durable POA</t>
        </is>
      </c>
      <c r="B20" s="7" t="inlineStr">
        <is>
          <t>Legal/entity</t>
        </is>
      </c>
      <c r="C20" s="27" t="n">
        <v>500</v>
      </c>
      <c r="D20" s="27" t="n">
        <v>1500</v>
      </c>
      <c r="E20" s="8">
        <f>C20+'Assumptions'!$C$10*(D20-C20)</f>
        <v/>
      </c>
      <c r="F20" s="25" t="n">
        <v>6</v>
      </c>
      <c r="G20" s="25" t="n">
        <v>1</v>
      </c>
      <c r="H20" s="7" t="inlineStr">
        <is>
          <t>BLIND-SPOTS #20.</t>
        </is>
      </c>
      <c r="I20" s="7" t="inlineStr">
        <is>
          <t>Repo [VERIFY]</t>
        </is>
      </c>
    </row>
    <row r="21">
      <c r="A21" s="7" t="inlineStr">
        <is>
          <t>Accountant setup review (W-9 answer, sales tax, chart of accounts)</t>
        </is>
      </c>
      <c r="B21" s="7" t="inlineStr">
        <is>
          <t>Finance</t>
        </is>
      </c>
      <c r="C21" s="27" t="n">
        <v>300</v>
      </c>
      <c r="D21" s="27" t="n">
        <v>1000</v>
      </c>
      <c r="E21" s="8">
        <f>C21+'Assumptions'!$C$10*(D21-C21)</f>
        <v/>
      </c>
      <c r="F21" s="25" t="n">
        <v>1</v>
      </c>
      <c r="G21" s="25" t="n">
        <v>1</v>
      </c>
      <c r="H21" s="7" t="inlineStr">
        <is>
          <t>No fee in the repo (finance/money-and-tax-setup.md lists the questions).</t>
        </is>
      </c>
      <c r="I21" s="7" t="inlineStr">
        <is>
          <t>Assumption [VERIFY]</t>
        </is>
      </c>
    </row>
    <row r="22">
      <c r="A22" s="7" t="inlineStr">
        <is>
          <t>Print proofs, about 6 print products at $5-$15</t>
        </is>
      </c>
      <c r="B22" s="7" t="inlineStr">
        <is>
          <t>Product</t>
        </is>
      </c>
      <c r="C22" s="27" t="n">
        <v>30</v>
      </c>
      <c r="D22" s="27" t="n">
        <v>90</v>
      </c>
      <c r="E22" s="8">
        <f>C22+'Assumptions'!$C$10*(D22-C22)</f>
        <v/>
      </c>
      <c r="F22" s="25" t="n">
        <v>2</v>
      </c>
      <c r="G22" s="25" t="n">
        <v>1</v>
      </c>
      <c r="H22" s="7" t="inlineStr">
        <is>
          <t>BLIND-SPOTS #11.</t>
        </is>
      </c>
      <c r="I22" s="7" t="inlineStr">
        <is>
          <t>Repo</t>
        </is>
      </c>
    </row>
    <row r="23">
      <c r="A23" s="7" t="inlineStr">
        <is>
          <t>Expert accuracy review (CCC-SLP, flat fee)</t>
        </is>
      </c>
      <c r="B23" s="7" t="inlineStr">
        <is>
          <t>Product</t>
        </is>
      </c>
      <c r="C23" s="27" t="n">
        <v>200</v>
      </c>
      <c r="D23" s="27" t="n">
        <v>500</v>
      </c>
      <c r="E23" s="8">
        <f>C23+'Assumptions'!$C$10*(D23-C23)</f>
        <v/>
      </c>
      <c r="F23" s="25" t="n">
        <v>3</v>
      </c>
      <c r="G23" s="25" t="n">
        <v>1</v>
      </c>
      <c r="H23" s="7" t="inlineStr">
        <is>
          <t>BLIND-SPOTS #10.</t>
        </is>
      </c>
      <c r="I23" s="7" t="inlineStr">
        <is>
          <t>Repo</t>
        </is>
      </c>
    </row>
    <row r="24">
      <c r="A24" s="7" t="inlineStr">
        <is>
          <t>Sensitivity read</t>
        </is>
      </c>
      <c r="B24" s="7" t="inlineStr">
        <is>
          <t>Product</t>
        </is>
      </c>
      <c r="C24" s="27" t="n">
        <v>150</v>
      </c>
      <c r="D24" s="27" t="n">
        <v>600</v>
      </c>
      <c r="E24" s="8">
        <f>C24+'Assumptions'!$C$10*(D24-C24)</f>
        <v/>
      </c>
      <c r="F24" s="25" t="n">
        <v>3</v>
      </c>
      <c r="G24" s="25" t="n">
        <v>1</v>
      </c>
      <c r="H24" s="7" t="inlineStr">
        <is>
          <t>BLIND-SPOTS #10.</t>
        </is>
      </c>
      <c r="I24" s="7" t="inlineStr">
        <is>
          <t>Repo</t>
        </is>
      </c>
    </row>
    <row r="25">
      <c r="A25" s="7" t="inlineStr">
        <is>
          <t>Early review copies for review teams</t>
        </is>
      </c>
      <c r="B25" s="7" t="inlineStr">
        <is>
          <t>Marketing</t>
        </is>
      </c>
      <c r="C25" s="27" t="n">
        <v>100</v>
      </c>
      <c r="D25" s="27" t="n">
        <v>300</v>
      </c>
      <c r="E25" s="8">
        <f>C25+'Assumptions'!$C$10*(D25-C25)</f>
        <v/>
      </c>
      <c r="F25" s="25" t="n">
        <v>3</v>
      </c>
      <c r="G25" s="25" t="n">
        <v>1</v>
      </c>
      <c r="H25" s="7" t="inlineStr">
        <is>
          <t>BLIND-SPOTS #14.</t>
        </is>
      </c>
      <c r="I25" s="7" t="inlineStr">
        <is>
          <t>Repo</t>
        </is>
      </c>
    </row>
    <row r="26">
      <c r="A26" s="7" t="inlineStr">
        <is>
          <t>Holiday gift setup (gift cards, reveal card)</t>
        </is>
      </c>
      <c r="B26" s="7" t="inlineStr">
        <is>
          <t>Marketing</t>
        </is>
      </c>
      <c r="C26" s="27" t="n">
        <v>0</v>
      </c>
      <c r="D26" s="27" t="n">
        <v>20</v>
      </c>
      <c r="E26" s="8">
        <f>C26+'Assumptions'!$C$10*(D26-C26)</f>
        <v/>
      </c>
      <c r="F26" s="25" t="n">
        <v>2</v>
      </c>
      <c r="G26" s="25" t="n">
        <v>1</v>
      </c>
      <c r="H26" s="7" t="inlineStr">
        <is>
          <t>BLIND-SPOTS #6.</t>
        </is>
      </c>
      <c r="I26" s="7" t="inlineStr">
        <is>
          <t>Repo</t>
        </is>
      </c>
    </row>
    <row r="27">
      <c r="A27" s="7" t="inlineStr">
        <is>
          <t>GATED (break-even line): Library cataloging block</t>
        </is>
      </c>
      <c r="B27" s="7" t="inlineStr">
        <is>
          <t>Library credibility</t>
        </is>
      </c>
      <c r="C27" s="27" t="n">
        <v>75</v>
      </c>
      <c r="D27" s="27" t="n">
        <v>150</v>
      </c>
      <c r="E27" s="8">
        <f>C27+'Assumptions'!$C$10*(D27-C27)</f>
        <v/>
      </c>
      <c r="F27" s="25" t="n">
        <v>9</v>
      </c>
      <c r="G27" s="25" t="n">
        <v>0</v>
      </c>
      <c r="H27" s="7" t="inlineStr">
        <is>
          <t>BLIND-SPOTS #18 [VERIFY]. Deferred on the lean path.</t>
        </is>
      </c>
      <c r="I27" s="7" t="inlineStr">
        <is>
          <t>Repo [VERIFY]</t>
        </is>
      </c>
    </row>
    <row r="28">
      <c r="A28" s="7" t="inlineStr">
        <is>
          <t>GATED (break-even line): One paid review (Kirkus Indie or Foreword Clarion)</t>
        </is>
      </c>
      <c r="B28" s="7" t="inlineStr">
        <is>
          <t>Library credibility</t>
        </is>
      </c>
      <c r="C28" s="27" t="n">
        <v>500</v>
      </c>
      <c r="D28" s="27" t="n">
        <v>650</v>
      </c>
      <c r="E28" s="8">
        <f>C28+'Assumptions'!$C$10*(D28-C28)</f>
        <v/>
      </c>
      <c r="F28" s="25" t="n">
        <v>9</v>
      </c>
      <c r="G28" s="25" t="n">
        <v>0</v>
      </c>
      <c r="H28" s="7" t="inlineStr">
        <is>
          <t>BLIND-SPOTS #18 [VERIFY]. Deferred.</t>
        </is>
      </c>
      <c r="I28" s="7" t="inlineStr">
        <is>
          <t>Repo [VERIFY]</t>
        </is>
      </c>
    </row>
    <row r="29">
      <c r="A29" s="7" t="inlineStr">
        <is>
          <t>GATED (break-even line): Juried award entries (2-3 at $75-$100)</t>
        </is>
      </c>
      <c r="B29" s="7" t="inlineStr">
        <is>
          <t>Library credibility</t>
        </is>
      </c>
      <c r="C29" s="27" t="n">
        <v>225</v>
      </c>
      <c r="D29" s="27" t="n">
        <v>300</v>
      </c>
      <c r="E29" s="8">
        <f>C29+'Assumptions'!$C$10*(D29-C29)</f>
        <v/>
      </c>
      <c r="F29" s="25" t="n">
        <v>10</v>
      </c>
      <c r="G29" s="25" t="n">
        <v>0</v>
      </c>
      <c r="H29" s="7" t="inlineStr">
        <is>
          <t>BLIND-SPOTS #18 [VERIFY]. Deferred.</t>
        </is>
      </c>
      <c r="I29" s="7" t="inlineStr">
        <is>
          <t>Repo [VERIFY]</t>
        </is>
      </c>
    </row>
    <row r="30">
      <c r="A30" s="7" t="inlineStr">
        <is>
          <t>GATED (break-even line): Spanish 'starter' localization (AI + professional post-edit)</t>
        </is>
      </c>
      <c r="B30" s="7" t="inlineStr">
        <is>
          <t>International</t>
        </is>
      </c>
      <c r="C30" s="27" t="n">
        <v>4700</v>
      </c>
      <c r="D30" s="27" t="n">
        <v>5800</v>
      </c>
      <c r="E30" s="8">
        <f>C30+'Assumptions'!$C$10*(D30-C30)</f>
        <v/>
      </c>
      <c r="F30" s="25" t="n">
        <v>13</v>
      </c>
      <c r="G30" s="25" t="n">
        <v>0</v>
      </c>
      <c r="H30" s="7" t="inlineStr">
        <is>
          <t>legal/international-plan.md. No Spanish revenue line exists yet, so it is out of the base plan.</t>
        </is>
      </c>
      <c r="I30" s="7" t="inlineStr">
        <is>
          <t>Repo (estimate)</t>
        </is>
      </c>
    </row>
    <row r="31">
      <c r="A31" s="7" t="inlineStr">
        <is>
          <t>GATED (Spanish meets targets): French and German starter sets</t>
        </is>
      </c>
      <c r="B31" s="7" t="inlineStr">
        <is>
          <t>International</t>
        </is>
      </c>
      <c r="C31" s="27" t="n">
        <v>9000</v>
      </c>
      <c r="D31" s="27" t="n">
        <v>11000</v>
      </c>
      <c r="E31" s="8">
        <f>C31+'Assumptions'!$C$10*(D31-C31)</f>
        <v/>
      </c>
      <c r="F31" s="25" t="n">
        <v>19</v>
      </c>
      <c r="G31" s="25" t="n">
        <v>0</v>
      </c>
      <c r="H31" s="7" t="inlineStr">
        <is>
          <t>legal/international-plan.md: about $5,000 per language.</t>
        </is>
      </c>
      <c r="I31" s="7" t="inlineStr">
        <is>
          <t>Repo (estimate)</t>
        </is>
      </c>
    </row>
    <row r="32">
      <c r="A32" s="7" t="inlineStr">
        <is>
          <t>GATED (with French/German): legal review per market</t>
        </is>
      </c>
      <c r="B32" s="7" t="inlineStr">
        <is>
          <t>International</t>
        </is>
      </c>
      <c r="C32" s="27" t="n">
        <v>1000</v>
      </c>
      <c r="D32" s="27" t="n">
        <v>3000</v>
      </c>
      <c r="E32" s="8">
        <f>C32+'Assumptions'!$C$10*(D32-C32)</f>
        <v/>
      </c>
      <c r="F32" s="25" t="n">
        <v>19</v>
      </c>
      <c r="G32" s="25" t="n">
        <v>0</v>
      </c>
      <c r="H32" s="7" t="inlineStr">
        <is>
          <t>legal/international-plan.md §8.2: $500-$1,500 per market (unverified).</t>
        </is>
      </c>
      <c r="I32" s="7" t="inlineStr">
        <is>
          <t>Repo [VERIFY]</t>
        </is>
      </c>
    </row>
    <row r="33">
      <c r="A33" s="7" t="inlineStr">
        <is>
          <t>GATED (US filing looks safe): Madrid international trademark (EU, UK, CA, AU; 2 classes)</t>
        </is>
      </c>
      <c r="B33" s="7" t="inlineStr">
        <is>
          <t>International</t>
        </is>
      </c>
      <c r="C33" s="27" t="n">
        <v>2500</v>
      </c>
      <c r="D33" s="27" t="n">
        <v>4500</v>
      </c>
      <c r="E33" s="8">
        <f>C33+'Assumptions'!$C$10*(D33-C33)</f>
        <v/>
      </c>
      <c r="F33" s="25" t="n">
        <v>8</v>
      </c>
      <c r="G33" s="25" t="n">
        <v>0</v>
      </c>
      <c r="H33" s="7" t="inlineStr">
        <is>
          <t>DECISION-MEMO: only once the US application looks safe.</t>
        </is>
      </c>
      <c r="I33" s="7" t="inlineStr">
        <is>
          <t>Repo [VERIFY]</t>
        </is>
      </c>
    </row>
    <row r="34">
      <c r="A34" s="7" t="inlineStr">
        <is>
          <t>GATED (card deck for retail): USPTO class 28 filing</t>
        </is>
      </c>
      <c r="B34" s="7" t="inlineStr">
        <is>
          <t>Legal/IP</t>
        </is>
      </c>
      <c r="C34" s="27" t="n">
        <v>350</v>
      </c>
      <c r="D34" s="27" t="n">
        <v>350</v>
      </c>
      <c r="E34" s="8">
        <f>C34+'Assumptions'!$C$10*(D34-C34)</f>
        <v/>
      </c>
      <c r="F34" s="25" t="n">
        <v>20</v>
      </c>
      <c r="G34" s="25" t="n">
        <v>0</v>
      </c>
      <c r="H34" s="7" t="inlineStr">
        <is>
          <t>Section 4.5 item 1: $350 per class.</t>
        </is>
      </c>
      <c r="I34" s="7" t="inlineStr">
        <is>
          <t>Repo</t>
        </is>
      </c>
    </row>
    <row r="35">
      <c r="A35" s="7" t="inlineStr">
        <is>
          <t>GATED (board book printed + series): books 2 and 3 human illustration</t>
        </is>
      </c>
      <c r="B35" s="7" t="inlineStr">
        <is>
          <t>Product (retail)</t>
        </is>
      </c>
      <c r="C35" s="27" t="n">
        <v>3000</v>
      </c>
      <c r="D35" s="27" t="n">
        <v>10000</v>
      </c>
      <c r="E35" s="8">
        <f>C35+'Assumptions'!$C$10*(D35-C35)</f>
        <v/>
      </c>
      <c r="F35" s="25" t="n">
        <v>24</v>
      </c>
      <c r="G35" s="25" t="n">
        <v>0</v>
      </c>
      <c r="H35" s="7" t="inlineStr">
        <is>
          <t>BLIND-SPOTS #17: $1,500-$5,000 per board book.</t>
        </is>
      </c>
      <c r="I35" s="7" t="inlineStr">
        <is>
          <t>Repo [VERIFY]</t>
        </is>
      </c>
    </row>
    <row r="36">
      <c r="A36" s="7" t="inlineStr">
        <is>
          <t>GATED (with books 2-3): CPSIA testing for books 2 and 3</t>
        </is>
      </c>
      <c r="B36" s="7" t="inlineStr">
        <is>
          <t>Product (retail)</t>
        </is>
      </c>
      <c r="C36" s="27" t="n">
        <v>600</v>
      </c>
      <c r="D36" s="27" t="n">
        <v>2000</v>
      </c>
      <c r="E36" s="8">
        <f>C36+'Assumptions'!$C$10*(D36-C36)</f>
        <v/>
      </c>
      <c r="F36" s="25" t="n">
        <v>26</v>
      </c>
      <c r="G36" s="25" t="n">
        <v>0</v>
      </c>
      <c r="H36" s="7" t="inlineStr">
        <is>
          <t>PROTECTION-PLAN: a few hundred dollars per SKU (unverified).</t>
        </is>
      </c>
      <c r="I36" s="7" t="inlineStr">
        <is>
          <t>Repo [VERIFY]</t>
        </is>
      </c>
    </row>
    <row r="37">
      <c r="A37" s="7" t="inlineStr">
        <is>
          <t>GATED (with books 2-3): offset runs for books 2 and 3 (2,500 each, landed)</t>
        </is>
      </c>
      <c r="B37" s="7" t="inlineStr">
        <is>
          <t>Inventory (retail)</t>
        </is>
      </c>
      <c r="C37" s="27" t="n">
        <v>13750</v>
      </c>
      <c r="D37" s="27" t="n">
        <v>20000</v>
      </c>
      <c r="E37" s="8">
        <f>C37+'Assumptions'!$C$10*(D37-C37)</f>
        <v/>
      </c>
      <c r="F37" s="25" t="n">
        <v>27</v>
      </c>
      <c r="G37" s="25" t="n">
        <v>0</v>
      </c>
      <c r="H37" s="7" t="inlineStr">
        <is>
          <t>Quote table: $2.20 a copy at 2,500 plus 25% freight = $2.75 landed; high end at the repo's $4.00 [VERIFY quotes].</t>
        </is>
      </c>
      <c r="I37" s="7" t="inlineStr">
        <is>
          <t>Assumption [VERIFY]</t>
        </is>
      </c>
    </row>
    <row r="38">
      <c r="A38" s="7" t="inlineStr">
        <is>
          <t>GATED (POD deck sells + retail case): offset card-deck run (5,000 decks)</t>
        </is>
      </c>
      <c r="B38" s="7" t="inlineStr">
        <is>
          <t>Inventory (retail)</t>
        </is>
      </c>
      <c r="C38" s="27" t="n">
        <v>10000</v>
      </c>
      <c r="D38" s="27" t="n">
        <v>17500</v>
      </c>
      <c r="E38" s="8">
        <f>C38+'Assumptions'!$C$10*(D38-C38)</f>
        <v/>
      </c>
      <c r="F38" s="25" t="n">
        <v>30</v>
      </c>
      <c r="G38" s="25" t="n">
        <v>0</v>
      </c>
      <c r="H38" s="7" t="inlineStr">
        <is>
          <t>Section 4.5 example: 5,000 x $2.00-$3.50 landed.</t>
        </is>
      </c>
      <c r="I38" s="7" t="inlineStr">
        <is>
          <t>Assumption [VERIFY]</t>
        </is>
      </c>
    </row>
    <row r="39">
      <c r="A39" s="7" t="inlineStr">
        <is>
          <t>GATED (seasonal calendars): tradition reviewers (4 traditions)</t>
        </is>
      </c>
      <c r="B39" s="7" t="inlineStr">
        <is>
          <t>Product</t>
        </is>
      </c>
      <c r="C39" s="27" t="n">
        <v>400</v>
      </c>
      <c r="D39" s="27" t="n">
        <v>1200</v>
      </c>
      <c r="E39" s="8">
        <f>C39+'Assumptions'!$C$10*(D39-C39)</f>
        <v/>
      </c>
      <c r="F39" s="25" t="n">
        <v>14</v>
      </c>
      <c r="G39" s="25" t="n">
        <v>0</v>
      </c>
      <c r="H39" s="7" t="inlineStr">
        <is>
          <t>Section 5.4: quote needed; $100-$300 each assumed.</t>
        </is>
      </c>
      <c r="I39" s="7" t="inlineStr">
        <is>
          <t>Assumption</t>
        </is>
      </c>
    </row>
    <row r="40">
      <c r="A40" s="40" t="inlineStr">
        <is>
          <t>Total (included items)</t>
        </is>
      </c>
      <c r="B40" s="41" t="n"/>
      <c r="C40" s="42">
        <f>SUMPRODUCT(C6:C39,$G$6:$G$39)</f>
        <v/>
      </c>
      <c r="D40" s="42">
        <f>SUMPRODUCT(D6:D39,$G$6:$G$39)</f>
        <v/>
      </c>
      <c r="E40" s="42">
        <f>SUMPRODUCT(E6:E39,$G$6:$G$39)</f>
        <v/>
      </c>
      <c r="F40" s="41" t="n"/>
      <c r="G40" s="41" t="n"/>
      <c r="H40" s="41" t="n"/>
      <c r="I40" s="41" t="n"/>
    </row>
    <row r="41">
      <c r="A41" s="9" t="inlineStr">
        <is>
          <t>Gated items not in the base plan (total at model cost)</t>
        </is>
      </c>
      <c r="C41" s="19">
        <f>SUMPRODUCT(C6:C39,1-$G$6:$G$39)</f>
        <v/>
      </c>
      <c r="D41" s="19">
        <f>SUMPRODUCT(D6:D39,1-$G$6:$G$39)</f>
        <v/>
      </c>
      <c r="E41" s="19">
        <f>SUMPRODUCT(E6:E39,1-$G$6:$G$39)</f>
        <v/>
      </c>
    </row>
    <row r="42">
      <c r="A42" s="10" t="inlineStr">
        <is>
          <t>Timing summary</t>
        </is>
      </c>
    </row>
    <row r="43">
      <c r="A43" s="7" t="inlineStr">
        <is>
          <t>Months 1-3 (Oct-Dec 2026)</t>
        </is>
      </c>
      <c r="E43" s="19">
        <f>SUMPRODUCT(($F$6:$F$39&gt;=1)*($F$6:$F$39&lt;=3)*$G$6:$G$39*$E$6:$E$39)</f>
        <v/>
      </c>
    </row>
    <row r="44">
      <c r="A44" s="7" t="inlineStr">
        <is>
          <t>Months 4-12</t>
        </is>
      </c>
      <c r="E44" s="19">
        <f>SUMPRODUCT(($F$6:$F$39&gt;=4)*($F$6:$F$39&lt;=12)*$G$6:$G$39*$E$6:$E$39)</f>
        <v/>
      </c>
    </row>
    <row r="45">
      <c r="A45" s="7" t="inlineStr">
        <is>
          <t>Year 2</t>
        </is>
      </c>
      <c r="E45" s="19">
        <f>SUMPRODUCT(($F$6:$F$39&gt;=13)*($F$6:$F$39&lt;=24)*$G$6:$G$39*$E$6:$E$39)</f>
        <v/>
      </c>
    </row>
    <row r="46">
      <c r="A46" s="7" t="inlineStr">
        <is>
          <t>Year 3</t>
        </is>
      </c>
      <c r="E46" s="19">
        <f>SUMPRODUCT(($F$6:$F$39&gt;=25)*($F$6:$F$39&lt;=36)*$G$6:$G$39*$E$6:$E$39)</f>
        <v/>
      </c>
    </row>
    <row r="48">
      <c r="A48" s="9" t="inlineStr">
        <is>
          <t>GATED rows are listed with their trigger and month so nothing in the plan is unpriced; they stay at Include = 0 until the named gate is met. Not included: employment-counsel fees (a personal matter for the founder); board-book illustration, CPSIA testing, 3PL setup and the first run (Retail Readiness Costs).</t>
        </is>
      </c>
    </row>
  </sheetData>
  <mergeCells count="1">
    <mergeCell ref="A2:I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AX39"/>
  <sheetViews>
    <sheetView showGridLines="0" workbookViewId="0">
      <pane xSplit="14" ySplit="5" topLeftCell="O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8" customWidth="1" min="7" max="7"/>
    <col width="8" customWidth="1" min="8" max="8"/>
    <col width="11" customWidth="1" min="9" max="9"/>
    <col width="11" customWidth="1" min="10" max="10"/>
    <col width="11" customWidth="1" min="11" max="11"/>
    <col width="60" customWidth="1" min="12" max="12"/>
    <col width="18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</cols>
  <sheetData>
    <row r="1">
      <c r="A1" s="20" t="inlineStr">
        <is>
          <t>Monthly operating costs: subscriptions, Claude plan, email platform, connectors, insurance and reserve</t>
        </is>
      </c>
    </row>
    <row r="2" ht="28" customHeight="1">
      <c r="A2" s="2" t="inlineStr">
        <is>
          <t>Low/High are the amount per billing period (per month for Monthly items, per year for Annual items). Model = Low + cost position x (High - Low). Annual items hit in their start month and every 12 months after. Insurance is shown billed monthly (annual premium / 12).</t>
        </is>
      </c>
    </row>
    <row r="3">
      <c r="N3" s="9" t="inlineStr">
        <is>
          <t>Year</t>
        </is>
      </c>
      <c r="O3" s="43">
        <f>INT((O4-1)/12)+1</f>
        <v/>
      </c>
      <c r="P3" s="43">
        <f>INT((P4-1)/12)+1</f>
        <v/>
      </c>
      <c r="Q3" s="43">
        <f>INT((Q4-1)/12)+1</f>
        <v/>
      </c>
      <c r="R3" s="43">
        <f>INT((R4-1)/12)+1</f>
        <v/>
      </c>
      <c r="S3" s="43">
        <f>INT((S4-1)/12)+1</f>
        <v/>
      </c>
      <c r="T3" s="43">
        <f>INT((T4-1)/12)+1</f>
        <v/>
      </c>
      <c r="U3" s="43">
        <f>INT((U4-1)/12)+1</f>
        <v/>
      </c>
      <c r="V3" s="43">
        <f>INT((V4-1)/12)+1</f>
        <v/>
      </c>
      <c r="W3" s="43">
        <f>INT((W4-1)/12)+1</f>
        <v/>
      </c>
      <c r="X3" s="43">
        <f>INT((X4-1)/12)+1</f>
        <v/>
      </c>
      <c r="Y3" s="43">
        <f>INT((Y4-1)/12)+1</f>
        <v/>
      </c>
      <c r="Z3" s="43">
        <f>INT((Z4-1)/12)+1</f>
        <v/>
      </c>
      <c r="AA3" s="43">
        <f>INT((AA4-1)/12)+1</f>
        <v/>
      </c>
      <c r="AB3" s="43">
        <f>INT((AB4-1)/12)+1</f>
        <v/>
      </c>
      <c r="AC3" s="43">
        <f>INT((AC4-1)/12)+1</f>
        <v/>
      </c>
      <c r="AD3" s="43">
        <f>INT((AD4-1)/12)+1</f>
        <v/>
      </c>
      <c r="AE3" s="43">
        <f>INT((AE4-1)/12)+1</f>
        <v/>
      </c>
      <c r="AF3" s="43">
        <f>INT((AF4-1)/12)+1</f>
        <v/>
      </c>
      <c r="AG3" s="43">
        <f>INT((AG4-1)/12)+1</f>
        <v/>
      </c>
      <c r="AH3" s="43">
        <f>INT((AH4-1)/12)+1</f>
        <v/>
      </c>
      <c r="AI3" s="43">
        <f>INT((AI4-1)/12)+1</f>
        <v/>
      </c>
      <c r="AJ3" s="43">
        <f>INT((AJ4-1)/12)+1</f>
        <v/>
      </c>
      <c r="AK3" s="43">
        <f>INT((AK4-1)/12)+1</f>
        <v/>
      </c>
      <c r="AL3" s="43">
        <f>INT((AL4-1)/12)+1</f>
        <v/>
      </c>
      <c r="AM3" s="43">
        <f>INT((AM4-1)/12)+1</f>
        <v/>
      </c>
      <c r="AN3" s="43">
        <f>INT((AN4-1)/12)+1</f>
        <v/>
      </c>
      <c r="AO3" s="43">
        <f>INT((AO4-1)/12)+1</f>
        <v/>
      </c>
      <c r="AP3" s="43">
        <f>INT((AP4-1)/12)+1</f>
        <v/>
      </c>
      <c r="AQ3" s="43">
        <f>INT((AQ4-1)/12)+1</f>
        <v/>
      </c>
      <c r="AR3" s="43">
        <f>INT((AR4-1)/12)+1</f>
        <v/>
      </c>
      <c r="AS3" s="43">
        <f>INT((AS4-1)/12)+1</f>
        <v/>
      </c>
      <c r="AT3" s="43">
        <f>INT((AT4-1)/12)+1</f>
        <v/>
      </c>
      <c r="AU3" s="43">
        <f>INT((AU4-1)/12)+1</f>
        <v/>
      </c>
      <c r="AV3" s="43">
        <f>INT((AV4-1)/12)+1</f>
        <v/>
      </c>
      <c r="AW3" s="43">
        <f>INT((AW4-1)/12)+1</f>
        <v/>
      </c>
      <c r="AX3" s="43">
        <f>INT((AX4-1)/12)+1</f>
        <v/>
      </c>
    </row>
    <row r="4">
      <c r="N4" s="9" t="inlineStr">
        <is>
          <t>Month #</t>
        </is>
      </c>
      <c r="O4" s="43" t="n">
        <v>1</v>
      </c>
      <c r="P4" s="43" t="n">
        <v>2</v>
      </c>
      <c r="Q4" s="43" t="n">
        <v>3</v>
      </c>
      <c r="R4" s="43" t="n">
        <v>4</v>
      </c>
      <c r="S4" s="43" t="n">
        <v>5</v>
      </c>
      <c r="T4" s="43" t="n">
        <v>6</v>
      </c>
      <c r="U4" s="43" t="n">
        <v>7</v>
      </c>
      <c r="V4" s="43" t="n">
        <v>8</v>
      </c>
      <c r="W4" s="43" t="n">
        <v>9</v>
      </c>
      <c r="X4" s="43" t="n">
        <v>10</v>
      </c>
      <c r="Y4" s="43" t="n">
        <v>11</v>
      </c>
      <c r="Z4" s="43" t="n">
        <v>12</v>
      </c>
      <c r="AA4" s="43" t="n">
        <v>13</v>
      </c>
      <c r="AB4" s="43" t="n">
        <v>14</v>
      </c>
      <c r="AC4" s="43" t="n">
        <v>15</v>
      </c>
      <c r="AD4" s="43" t="n">
        <v>16</v>
      </c>
      <c r="AE4" s="43" t="n">
        <v>17</v>
      </c>
      <c r="AF4" s="43" t="n">
        <v>18</v>
      </c>
      <c r="AG4" s="43" t="n">
        <v>19</v>
      </c>
      <c r="AH4" s="43" t="n">
        <v>20</v>
      </c>
      <c r="AI4" s="43" t="n">
        <v>21</v>
      </c>
      <c r="AJ4" s="43" t="n">
        <v>22</v>
      </c>
      <c r="AK4" s="43" t="n">
        <v>23</v>
      </c>
      <c r="AL4" s="43" t="n">
        <v>24</v>
      </c>
      <c r="AM4" s="43" t="n">
        <v>25</v>
      </c>
      <c r="AN4" s="43" t="n">
        <v>26</v>
      </c>
      <c r="AO4" s="43" t="n">
        <v>27</v>
      </c>
      <c r="AP4" s="43" t="n">
        <v>28</v>
      </c>
      <c r="AQ4" s="43" t="n">
        <v>29</v>
      </c>
      <c r="AR4" s="43" t="n">
        <v>30</v>
      </c>
      <c r="AS4" s="43" t="n">
        <v>31</v>
      </c>
      <c r="AT4" s="43" t="n">
        <v>32</v>
      </c>
      <c r="AU4" s="43" t="n">
        <v>33</v>
      </c>
      <c r="AV4" s="43" t="n">
        <v>34</v>
      </c>
      <c r="AW4" s="43" t="n">
        <v>35</v>
      </c>
      <c r="AX4" s="43" t="n">
        <v>36</v>
      </c>
    </row>
    <row r="5" ht="32" customHeight="1">
      <c r="A5" s="3" t="inlineStr">
        <is>
          <t>Item</t>
        </is>
      </c>
      <c r="B5" s="4" t="inlineStr">
        <is>
          <t>Category</t>
        </is>
      </c>
      <c r="C5" s="4" t="inlineStr">
        <is>
          <t>Low ($)</t>
        </is>
      </c>
      <c r="D5" s="4" t="inlineStr">
        <is>
          <t>High ($)</t>
        </is>
      </c>
      <c r="E5" s="4" t="inlineStr">
        <is>
          <t>Model ($ per period)</t>
        </is>
      </c>
      <c r="F5" s="4" t="inlineStr">
        <is>
          <t>Frequency</t>
        </is>
      </c>
      <c r="G5" s="4" t="inlineStr">
        <is>
          <t>Start month</t>
        </is>
      </c>
      <c r="H5" s="4" t="inlineStr">
        <is>
          <t>End month</t>
        </is>
      </c>
      <c r="I5" s="4" t="inlineStr">
        <is>
          <t>Year 1 total</t>
        </is>
      </c>
      <c r="J5" s="4" t="inlineStr">
        <is>
          <t>Year 2 total</t>
        </is>
      </c>
      <c r="K5" s="4" t="inlineStr">
        <is>
          <t>Year 3 total</t>
        </is>
      </c>
      <c r="L5" s="4" t="inlineStr">
        <is>
          <t>Source</t>
        </is>
      </c>
      <c r="M5" s="4" t="inlineStr">
        <is>
          <t>Status</t>
        </is>
      </c>
      <c r="N5" s="44" t="inlineStr">
        <is>
          <t>Include (1/0)</t>
        </is>
      </c>
      <c r="O5" s="45">
        <f>DATE(YEAR('Assumptions'!$C$8),MONTH('Assumptions'!$C$8)+O4-1,1)</f>
        <v/>
      </c>
      <c r="P5" s="45">
        <f>DATE(YEAR('Assumptions'!$C$8),MONTH('Assumptions'!$C$8)+P4-1,1)</f>
        <v/>
      </c>
      <c r="Q5" s="45">
        <f>DATE(YEAR('Assumptions'!$C$8),MONTH('Assumptions'!$C$8)+Q4-1,1)</f>
        <v/>
      </c>
      <c r="R5" s="45">
        <f>DATE(YEAR('Assumptions'!$C$8),MONTH('Assumptions'!$C$8)+R4-1,1)</f>
        <v/>
      </c>
      <c r="S5" s="45">
        <f>DATE(YEAR('Assumptions'!$C$8),MONTH('Assumptions'!$C$8)+S4-1,1)</f>
        <v/>
      </c>
      <c r="T5" s="45">
        <f>DATE(YEAR('Assumptions'!$C$8),MONTH('Assumptions'!$C$8)+T4-1,1)</f>
        <v/>
      </c>
      <c r="U5" s="45">
        <f>DATE(YEAR('Assumptions'!$C$8),MONTH('Assumptions'!$C$8)+U4-1,1)</f>
        <v/>
      </c>
      <c r="V5" s="45">
        <f>DATE(YEAR('Assumptions'!$C$8),MONTH('Assumptions'!$C$8)+V4-1,1)</f>
        <v/>
      </c>
      <c r="W5" s="45">
        <f>DATE(YEAR('Assumptions'!$C$8),MONTH('Assumptions'!$C$8)+W4-1,1)</f>
        <v/>
      </c>
      <c r="X5" s="45">
        <f>DATE(YEAR('Assumptions'!$C$8),MONTH('Assumptions'!$C$8)+X4-1,1)</f>
        <v/>
      </c>
      <c r="Y5" s="45">
        <f>DATE(YEAR('Assumptions'!$C$8),MONTH('Assumptions'!$C$8)+Y4-1,1)</f>
        <v/>
      </c>
      <c r="Z5" s="45">
        <f>DATE(YEAR('Assumptions'!$C$8),MONTH('Assumptions'!$C$8)+Z4-1,1)</f>
        <v/>
      </c>
      <c r="AA5" s="45">
        <f>DATE(YEAR('Assumptions'!$C$8),MONTH('Assumptions'!$C$8)+AA4-1,1)</f>
        <v/>
      </c>
      <c r="AB5" s="45">
        <f>DATE(YEAR('Assumptions'!$C$8),MONTH('Assumptions'!$C$8)+AB4-1,1)</f>
        <v/>
      </c>
      <c r="AC5" s="45">
        <f>DATE(YEAR('Assumptions'!$C$8),MONTH('Assumptions'!$C$8)+AC4-1,1)</f>
        <v/>
      </c>
      <c r="AD5" s="45">
        <f>DATE(YEAR('Assumptions'!$C$8),MONTH('Assumptions'!$C$8)+AD4-1,1)</f>
        <v/>
      </c>
      <c r="AE5" s="45">
        <f>DATE(YEAR('Assumptions'!$C$8),MONTH('Assumptions'!$C$8)+AE4-1,1)</f>
        <v/>
      </c>
      <c r="AF5" s="45">
        <f>DATE(YEAR('Assumptions'!$C$8),MONTH('Assumptions'!$C$8)+AF4-1,1)</f>
        <v/>
      </c>
      <c r="AG5" s="45">
        <f>DATE(YEAR('Assumptions'!$C$8),MONTH('Assumptions'!$C$8)+AG4-1,1)</f>
        <v/>
      </c>
      <c r="AH5" s="45">
        <f>DATE(YEAR('Assumptions'!$C$8),MONTH('Assumptions'!$C$8)+AH4-1,1)</f>
        <v/>
      </c>
      <c r="AI5" s="45">
        <f>DATE(YEAR('Assumptions'!$C$8),MONTH('Assumptions'!$C$8)+AI4-1,1)</f>
        <v/>
      </c>
      <c r="AJ5" s="45">
        <f>DATE(YEAR('Assumptions'!$C$8),MONTH('Assumptions'!$C$8)+AJ4-1,1)</f>
        <v/>
      </c>
      <c r="AK5" s="45">
        <f>DATE(YEAR('Assumptions'!$C$8),MONTH('Assumptions'!$C$8)+AK4-1,1)</f>
        <v/>
      </c>
      <c r="AL5" s="45">
        <f>DATE(YEAR('Assumptions'!$C$8),MONTH('Assumptions'!$C$8)+AL4-1,1)</f>
        <v/>
      </c>
      <c r="AM5" s="45">
        <f>DATE(YEAR('Assumptions'!$C$8),MONTH('Assumptions'!$C$8)+AM4-1,1)</f>
        <v/>
      </c>
      <c r="AN5" s="45">
        <f>DATE(YEAR('Assumptions'!$C$8),MONTH('Assumptions'!$C$8)+AN4-1,1)</f>
        <v/>
      </c>
      <c r="AO5" s="45">
        <f>DATE(YEAR('Assumptions'!$C$8),MONTH('Assumptions'!$C$8)+AO4-1,1)</f>
        <v/>
      </c>
      <c r="AP5" s="45">
        <f>DATE(YEAR('Assumptions'!$C$8),MONTH('Assumptions'!$C$8)+AP4-1,1)</f>
        <v/>
      </c>
      <c r="AQ5" s="45">
        <f>DATE(YEAR('Assumptions'!$C$8),MONTH('Assumptions'!$C$8)+AQ4-1,1)</f>
        <v/>
      </c>
      <c r="AR5" s="45">
        <f>DATE(YEAR('Assumptions'!$C$8),MONTH('Assumptions'!$C$8)+AR4-1,1)</f>
        <v/>
      </c>
      <c r="AS5" s="45">
        <f>DATE(YEAR('Assumptions'!$C$8),MONTH('Assumptions'!$C$8)+AS4-1,1)</f>
        <v/>
      </c>
      <c r="AT5" s="45">
        <f>DATE(YEAR('Assumptions'!$C$8),MONTH('Assumptions'!$C$8)+AT4-1,1)</f>
        <v/>
      </c>
      <c r="AU5" s="45">
        <f>DATE(YEAR('Assumptions'!$C$8),MONTH('Assumptions'!$C$8)+AU4-1,1)</f>
        <v/>
      </c>
      <c r="AV5" s="45">
        <f>DATE(YEAR('Assumptions'!$C$8),MONTH('Assumptions'!$C$8)+AV4-1,1)</f>
        <v/>
      </c>
      <c r="AW5" s="45">
        <f>DATE(YEAR('Assumptions'!$C$8),MONTH('Assumptions'!$C$8)+AW4-1,1)</f>
        <v/>
      </c>
      <c r="AX5" s="45">
        <f>DATE(YEAR('Assumptions'!$C$8),MONTH('Assumptions'!$C$8)+AX4-1,1)</f>
        <v/>
      </c>
    </row>
    <row r="6">
      <c r="A6" s="7" t="inlineStr">
        <is>
          <t>Shopify Basic plan</t>
        </is>
      </c>
      <c r="B6" s="7" t="inlineStr">
        <is>
          <t>Store</t>
        </is>
      </c>
      <c r="C6" s="29" t="n">
        <v>39</v>
      </c>
      <c r="D6" s="29" t="n">
        <v>39</v>
      </c>
      <c r="E6" s="16">
        <f>C6+'Assumptions'!$C$10*(D6-C6)</f>
        <v/>
      </c>
      <c r="F6" s="46" t="inlineStr">
        <is>
          <t>Monthly</t>
        </is>
      </c>
      <c r="G6" s="25" t="n">
        <v>1</v>
      </c>
      <c r="H6" s="25" t="n">
        <v>36</v>
      </c>
      <c r="I6" s="19">
        <f>SUMIF($O$3:$AX$3,1,O6:AX6)</f>
        <v/>
      </c>
      <c r="J6" s="19">
        <f>SUMIF($O$3:$AX$3,2,O6:AX6)</f>
        <v/>
      </c>
      <c r="K6" s="19">
        <f>SUMIF($O$3:$AX$3,3,O6:AX6)</f>
        <v/>
      </c>
      <c r="L6" s="7" t="inlineStr">
        <is>
          <t>storefront-setup-guide §1: $39/mo ($29 billed yearly).</t>
        </is>
      </c>
      <c r="M6" s="7" t="inlineStr">
        <is>
          <t>Repo [VERIFY]</t>
        </is>
      </c>
      <c r="N6" s="25" t="n">
        <v>1</v>
      </c>
      <c r="O6" s="19">
        <f>$N6*IF(AND(O$4&gt;=$G6,O$4&lt;=$H6),IF($F6="Monthly",$E6,IF(MOD(O$4-$G6,12)=0,$E6,0)),0)</f>
        <v/>
      </c>
      <c r="P6" s="19">
        <f>$N6*IF(AND(P$4&gt;=$G6,P$4&lt;=$H6),IF($F6="Monthly",$E6,IF(MOD(P$4-$G6,12)=0,$E6,0)),0)</f>
        <v/>
      </c>
      <c r="Q6" s="19">
        <f>$N6*IF(AND(Q$4&gt;=$G6,Q$4&lt;=$H6),IF($F6="Monthly",$E6,IF(MOD(Q$4-$G6,12)=0,$E6,0)),0)</f>
        <v/>
      </c>
      <c r="R6" s="19">
        <f>$N6*IF(AND(R$4&gt;=$G6,R$4&lt;=$H6),IF($F6="Monthly",$E6,IF(MOD(R$4-$G6,12)=0,$E6,0)),0)</f>
        <v/>
      </c>
      <c r="S6" s="19">
        <f>$N6*IF(AND(S$4&gt;=$G6,S$4&lt;=$H6),IF($F6="Monthly",$E6,IF(MOD(S$4-$G6,12)=0,$E6,0)),0)</f>
        <v/>
      </c>
      <c r="T6" s="19">
        <f>$N6*IF(AND(T$4&gt;=$G6,T$4&lt;=$H6),IF($F6="Monthly",$E6,IF(MOD(T$4-$G6,12)=0,$E6,0)),0)</f>
        <v/>
      </c>
      <c r="U6" s="19">
        <f>$N6*IF(AND(U$4&gt;=$G6,U$4&lt;=$H6),IF($F6="Monthly",$E6,IF(MOD(U$4-$G6,12)=0,$E6,0)),0)</f>
        <v/>
      </c>
      <c r="V6" s="19">
        <f>$N6*IF(AND(V$4&gt;=$G6,V$4&lt;=$H6),IF($F6="Monthly",$E6,IF(MOD(V$4-$G6,12)=0,$E6,0)),0)</f>
        <v/>
      </c>
      <c r="W6" s="19">
        <f>$N6*IF(AND(W$4&gt;=$G6,W$4&lt;=$H6),IF($F6="Monthly",$E6,IF(MOD(W$4-$G6,12)=0,$E6,0)),0)</f>
        <v/>
      </c>
      <c r="X6" s="19">
        <f>$N6*IF(AND(X$4&gt;=$G6,X$4&lt;=$H6),IF($F6="Monthly",$E6,IF(MOD(X$4-$G6,12)=0,$E6,0)),0)</f>
        <v/>
      </c>
      <c r="Y6" s="19">
        <f>$N6*IF(AND(Y$4&gt;=$G6,Y$4&lt;=$H6),IF($F6="Monthly",$E6,IF(MOD(Y$4-$G6,12)=0,$E6,0)),0)</f>
        <v/>
      </c>
      <c r="Z6" s="19">
        <f>$N6*IF(AND(Z$4&gt;=$G6,Z$4&lt;=$H6),IF($F6="Monthly",$E6,IF(MOD(Z$4-$G6,12)=0,$E6,0)),0)</f>
        <v/>
      </c>
      <c r="AA6" s="19">
        <f>$N6*IF(AND(AA$4&gt;=$G6,AA$4&lt;=$H6),IF($F6="Monthly",$E6,IF(MOD(AA$4-$G6,12)=0,$E6,0)),0)</f>
        <v/>
      </c>
      <c r="AB6" s="19">
        <f>$N6*IF(AND(AB$4&gt;=$G6,AB$4&lt;=$H6),IF($F6="Monthly",$E6,IF(MOD(AB$4-$G6,12)=0,$E6,0)),0)</f>
        <v/>
      </c>
      <c r="AC6" s="19">
        <f>$N6*IF(AND(AC$4&gt;=$G6,AC$4&lt;=$H6),IF($F6="Monthly",$E6,IF(MOD(AC$4-$G6,12)=0,$E6,0)),0)</f>
        <v/>
      </c>
      <c r="AD6" s="19">
        <f>$N6*IF(AND(AD$4&gt;=$G6,AD$4&lt;=$H6),IF($F6="Monthly",$E6,IF(MOD(AD$4-$G6,12)=0,$E6,0)),0)</f>
        <v/>
      </c>
      <c r="AE6" s="19">
        <f>$N6*IF(AND(AE$4&gt;=$G6,AE$4&lt;=$H6),IF($F6="Monthly",$E6,IF(MOD(AE$4-$G6,12)=0,$E6,0)),0)</f>
        <v/>
      </c>
      <c r="AF6" s="19">
        <f>$N6*IF(AND(AF$4&gt;=$G6,AF$4&lt;=$H6),IF($F6="Monthly",$E6,IF(MOD(AF$4-$G6,12)=0,$E6,0)),0)</f>
        <v/>
      </c>
      <c r="AG6" s="19">
        <f>$N6*IF(AND(AG$4&gt;=$G6,AG$4&lt;=$H6),IF($F6="Monthly",$E6,IF(MOD(AG$4-$G6,12)=0,$E6,0)),0)</f>
        <v/>
      </c>
      <c r="AH6" s="19">
        <f>$N6*IF(AND(AH$4&gt;=$G6,AH$4&lt;=$H6),IF($F6="Monthly",$E6,IF(MOD(AH$4-$G6,12)=0,$E6,0)),0)</f>
        <v/>
      </c>
      <c r="AI6" s="19">
        <f>$N6*IF(AND(AI$4&gt;=$G6,AI$4&lt;=$H6),IF($F6="Monthly",$E6,IF(MOD(AI$4-$G6,12)=0,$E6,0)),0)</f>
        <v/>
      </c>
      <c r="AJ6" s="19">
        <f>$N6*IF(AND(AJ$4&gt;=$G6,AJ$4&lt;=$H6),IF($F6="Monthly",$E6,IF(MOD(AJ$4-$G6,12)=0,$E6,0)),0)</f>
        <v/>
      </c>
      <c r="AK6" s="19">
        <f>$N6*IF(AND(AK$4&gt;=$G6,AK$4&lt;=$H6),IF($F6="Monthly",$E6,IF(MOD(AK$4-$G6,12)=0,$E6,0)),0)</f>
        <v/>
      </c>
      <c r="AL6" s="19">
        <f>$N6*IF(AND(AL$4&gt;=$G6,AL$4&lt;=$H6),IF($F6="Monthly",$E6,IF(MOD(AL$4-$G6,12)=0,$E6,0)),0)</f>
        <v/>
      </c>
      <c r="AM6" s="19">
        <f>$N6*IF(AND(AM$4&gt;=$G6,AM$4&lt;=$H6),IF($F6="Monthly",$E6,IF(MOD(AM$4-$G6,12)=0,$E6,0)),0)</f>
        <v/>
      </c>
      <c r="AN6" s="19">
        <f>$N6*IF(AND(AN$4&gt;=$G6,AN$4&lt;=$H6),IF($F6="Monthly",$E6,IF(MOD(AN$4-$G6,12)=0,$E6,0)),0)</f>
        <v/>
      </c>
      <c r="AO6" s="19">
        <f>$N6*IF(AND(AO$4&gt;=$G6,AO$4&lt;=$H6),IF($F6="Monthly",$E6,IF(MOD(AO$4-$G6,12)=0,$E6,0)),0)</f>
        <v/>
      </c>
      <c r="AP6" s="19">
        <f>$N6*IF(AND(AP$4&gt;=$G6,AP$4&lt;=$H6),IF($F6="Monthly",$E6,IF(MOD(AP$4-$G6,12)=0,$E6,0)),0)</f>
        <v/>
      </c>
      <c r="AQ6" s="19">
        <f>$N6*IF(AND(AQ$4&gt;=$G6,AQ$4&lt;=$H6),IF($F6="Monthly",$E6,IF(MOD(AQ$4-$G6,12)=0,$E6,0)),0)</f>
        <v/>
      </c>
      <c r="AR6" s="19">
        <f>$N6*IF(AND(AR$4&gt;=$G6,AR$4&lt;=$H6),IF($F6="Monthly",$E6,IF(MOD(AR$4-$G6,12)=0,$E6,0)),0)</f>
        <v/>
      </c>
      <c r="AS6" s="19">
        <f>$N6*IF(AND(AS$4&gt;=$G6,AS$4&lt;=$H6),IF($F6="Monthly",$E6,IF(MOD(AS$4-$G6,12)=0,$E6,0)),0)</f>
        <v/>
      </c>
      <c r="AT6" s="19">
        <f>$N6*IF(AND(AT$4&gt;=$G6,AT$4&lt;=$H6),IF($F6="Monthly",$E6,IF(MOD(AT$4-$G6,12)=0,$E6,0)),0)</f>
        <v/>
      </c>
      <c r="AU6" s="19">
        <f>$N6*IF(AND(AU$4&gt;=$G6,AU$4&lt;=$H6),IF($F6="Monthly",$E6,IF(MOD(AU$4-$G6,12)=0,$E6,0)),0)</f>
        <v/>
      </c>
      <c r="AV6" s="19">
        <f>$N6*IF(AND(AV$4&gt;=$G6,AV$4&lt;=$H6),IF($F6="Monthly",$E6,IF(MOD(AV$4-$G6,12)=0,$E6,0)),0)</f>
        <v/>
      </c>
      <c r="AW6" s="19">
        <f>$N6*IF(AND(AW$4&gt;=$G6,AW$4&lt;=$H6),IF($F6="Monthly",$E6,IF(MOD(AW$4-$G6,12)=0,$E6,0)),0)</f>
        <v/>
      </c>
      <c r="AX6" s="19">
        <f>$N6*IF(AND(AX$4&gt;=$G6,AX$4&lt;=$H6),IF($F6="Monthly",$E6,IF(MOD(AX$4-$G6,12)=0,$E6,0)),0)</f>
        <v/>
      </c>
    </row>
    <row r="7">
      <c r="A7" s="7" t="inlineStr">
        <is>
          <t>Business email on the brand domain</t>
        </is>
      </c>
      <c r="B7" s="7" t="inlineStr">
        <is>
          <t>Tools</t>
        </is>
      </c>
      <c r="C7" s="29" t="n">
        <v>7</v>
      </c>
      <c r="D7" s="29" t="n">
        <v>14</v>
      </c>
      <c r="E7" s="16">
        <f>C7+'Assumptions'!$C$10*(D7-C7)</f>
        <v/>
      </c>
      <c r="F7" s="46" t="inlineStr">
        <is>
          <t>Monthly</t>
        </is>
      </c>
      <c r="G7" s="25" t="n">
        <v>1</v>
      </c>
      <c r="H7" s="25" t="n">
        <v>36</v>
      </c>
      <c r="I7" s="19">
        <f>SUMIF($O$3:$AX$3,1,O7:AX7)</f>
        <v/>
      </c>
      <c r="J7" s="19">
        <f>SUMIF($O$3:$AX$3,2,O7:AX7)</f>
        <v/>
      </c>
      <c r="K7" s="19">
        <f>SUMIF($O$3:$AX$3,3,O7:AX7)</f>
        <v/>
      </c>
      <c r="L7" s="7" t="inlineStr">
        <is>
          <t>BLIND-SPOTS #4: about $7-$14 a month.</t>
        </is>
      </c>
      <c r="M7" s="7" t="inlineStr">
        <is>
          <t>Repo</t>
        </is>
      </c>
      <c r="N7" s="25" t="n">
        <v>1</v>
      </c>
      <c r="O7" s="19">
        <f>$N7*IF(AND(O$4&gt;=$G7,O$4&lt;=$H7),IF($F7="Monthly",$E7,IF(MOD(O$4-$G7,12)=0,$E7,0)),0)</f>
        <v/>
      </c>
      <c r="P7" s="19">
        <f>$N7*IF(AND(P$4&gt;=$G7,P$4&lt;=$H7),IF($F7="Monthly",$E7,IF(MOD(P$4-$G7,12)=0,$E7,0)),0)</f>
        <v/>
      </c>
      <c r="Q7" s="19">
        <f>$N7*IF(AND(Q$4&gt;=$G7,Q$4&lt;=$H7),IF($F7="Monthly",$E7,IF(MOD(Q$4-$G7,12)=0,$E7,0)),0)</f>
        <v/>
      </c>
      <c r="R7" s="19">
        <f>$N7*IF(AND(R$4&gt;=$G7,R$4&lt;=$H7),IF($F7="Monthly",$E7,IF(MOD(R$4-$G7,12)=0,$E7,0)),0)</f>
        <v/>
      </c>
      <c r="S7" s="19">
        <f>$N7*IF(AND(S$4&gt;=$G7,S$4&lt;=$H7),IF($F7="Monthly",$E7,IF(MOD(S$4-$G7,12)=0,$E7,0)),0)</f>
        <v/>
      </c>
      <c r="T7" s="19">
        <f>$N7*IF(AND(T$4&gt;=$G7,T$4&lt;=$H7),IF($F7="Monthly",$E7,IF(MOD(T$4-$G7,12)=0,$E7,0)),0)</f>
        <v/>
      </c>
      <c r="U7" s="19">
        <f>$N7*IF(AND(U$4&gt;=$G7,U$4&lt;=$H7),IF($F7="Monthly",$E7,IF(MOD(U$4-$G7,12)=0,$E7,0)),0)</f>
        <v/>
      </c>
      <c r="V7" s="19">
        <f>$N7*IF(AND(V$4&gt;=$G7,V$4&lt;=$H7),IF($F7="Monthly",$E7,IF(MOD(V$4-$G7,12)=0,$E7,0)),0)</f>
        <v/>
      </c>
      <c r="W7" s="19">
        <f>$N7*IF(AND(W$4&gt;=$G7,W$4&lt;=$H7),IF($F7="Monthly",$E7,IF(MOD(W$4-$G7,12)=0,$E7,0)),0)</f>
        <v/>
      </c>
      <c r="X7" s="19">
        <f>$N7*IF(AND(X$4&gt;=$G7,X$4&lt;=$H7),IF($F7="Monthly",$E7,IF(MOD(X$4-$G7,12)=0,$E7,0)),0)</f>
        <v/>
      </c>
      <c r="Y7" s="19">
        <f>$N7*IF(AND(Y$4&gt;=$G7,Y$4&lt;=$H7),IF($F7="Monthly",$E7,IF(MOD(Y$4-$G7,12)=0,$E7,0)),0)</f>
        <v/>
      </c>
      <c r="Z7" s="19">
        <f>$N7*IF(AND(Z$4&gt;=$G7,Z$4&lt;=$H7),IF($F7="Monthly",$E7,IF(MOD(Z$4-$G7,12)=0,$E7,0)),0)</f>
        <v/>
      </c>
      <c r="AA7" s="19">
        <f>$N7*IF(AND(AA$4&gt;=$G7,AA$4&lt;=$H7),IF($F7="Monthly",$E7,IF(MOD(AA$4-$G7,12)=0,$E7,0)),0)</f>
        <v/>
      </c>
      <c r="AB7" s="19">
        <f>$N7*IF(AND(AB$4&gt;=$G7,AB$4&lt;=$H7),IF($F7="Monthly",$E7,IF(MOD(AB$4-$G7,12)=0,$E7,0)),0)</f>
        <v/>
      </c>
      <c r="AC7" s="19">
        <f>$N7*IF(AND(AC$4&gt;=$G7,AC$4&lt;=$H7),IF($F7="Monthly",$E7,IF(MOD(AC$4-$G7,12)=0,$E7,0)),0)</f>
        <v/>
      </c>
      <c r="AD7" s="19">
        <f>$N7*IF(AND(AD$4&gt;=$G7,AD$4&lt;=$H7),IF($F7="Monthly",$E7,IF(MOD(AD$4-$G7,12)=0,$E7,0)),0)</f>
        <v/>
      </c>
      <c r="AE7" s="19">
        <f>$N7*IF(AND(AE$4&gt;=$G7,AE$4&lt;=$H7),IF($F7="Monthly",$E7,IF(MOD(AE$4-$G7,12)=0,$E7,0)),0)</f>
        <v/>
      </c>
      <c r="AF7" s="19">
        <f>$N7*IF(AND(AF$4&gt;=$G7,AF$4&lt;=$H7),IF($F7="Monthly",$E7,IF(MOD(AF$4-$G7,12)=0,$E7,0)),0)</f>
        <v/>
      </c>
      <c r="AG7" s="19">
        <f>$N7*IF(AND(AG$4&gt;=$G7,AG$4&lt;=$H7),IF($F7="Monthly",$E7,IF(MOD(AG$4-$G7,12)=0,$E7,0)),0)</f>
        <v/>
      </c>
      <c r="AH7" s="19">
        <f>$N7*IF(AND(AH$4&gt;=$G7,AH$4&lt;=$H7),IF($F7="Monthly",$E7,IF(MOD(AH$4-$G7,12)=0,$E7,0)),0)</f>
        <v/>
      </c>
      <c r="AI7" s="19">
        <f>$N7*IF(AND(AI$4&gt;=$G7,AI$4&lt;=$H7),IF($F7="Monthly",$E7,IF(MOD(AI$4-$G7,12)=0,$E7,0)),0)</f>
        <v/>
      </c>
      <c r="AJ7" s="19">
        <f>$N7*IF(AND(AJ$4&gt;=$G7,AJ$4&lt;=$H7),IF($F7="Monthly",$E7,IF(MOD(AJ$4-$G7,12)=0,$E7,0)),0)</f>
        <v/>
      </c>
      <c r="AK7" s="19">
        <f>$N7*IF(AND(AK$4&gt;=$G7,AK$4&lt;=$H7),IF($F7="Monthly",$E7,IF(MOD(AK$4-$G7,12)=0,$E7,0)),0)</f>
        <v/>
      </c>
      <c r="AL7" s="19">
        <f>$N7*IF(AND(AL$4&gt;=$G7,AL$4&lt;=$H7),IF($F7="Monthly",$E7,IF(MOD(AL$4-$G7,12)=0,$E7,0)),0)</f>
        <v/>
      </c>
      <c r="AM7" s="19">
        <f>$N7*IF(AND(AM$4&gt;=$G7,AM$4&lt;=$H7),IF($F7="Monthly",$E7,IF(MOD(AM$4-$G7,12)=0,$E7,0)),0)</f>
        <v/>
      </c>
      <c r="AN7" s="19">
        <f>$N7*IF(AND(AN$4&gt;=$G7,AN$4&lt;=$H7),IF($F7="Monthly",$E7,IF(MOD(AN$4-$G7,12)=0,$E7,0)),0)</f>
        <v/>
      </c>
      <c r="AO7" s="19">
        <f>$N7*IF(AND(AO$4&gt;=$G7,AO$4&lt;=$H7),IF($F7="Monthly",$E7,IF(MOD(AO$4-$G7,12)=0,$E7,0)),0)</f>
        <v/>
      </c>
      <c r="AP7" s="19">
        <f>$N7*IF(AND(AP$4&gt;=$G7,AP$4&lt;=$H7),IF($F7="Monthly",$E7,IF(MOD(AP$4-$G7,12)=0,$E7,0)),0)</f>
        <v/>
      </c>
      <c r="AQ7" s="19">
        <f>$N7*IF(AND(AQ$4&gt;=$G7,AQ$4&lt;=$H7),IF($F7="Monthly",$E7,IF(MOD(AQ$4-$G7,12)=0,$E7,0)),0)</f>
        <v/>
      </c>
      <c r="AR7" s="19">
        <f>$N7*IF(AND(AR$4&gt;=$G7,AR$4&lt;=$H7),IF($F7="Monthly",$E7,IF(MOD(AR$4-$G7,12)=0,$E7,0)),0)</f>
        <v/>
      </c>
      <c r="AS7" s="19">
        <f>$N7*IF(AND(AS$4&gt;=$G7,AS$4&lt;=$H7),IF($F7="Monthly",$E7,IF(MOD(AS$4-$G7,12)=0,$E7,0)),0)</f>
        <v/>
      </c>
      <c r="AT7" s="19">
        <f>$N7*IF(AND(AT$4&gt;=$G7,AT$4&lt;=$H7),IF($F7="Monthly",$E7,IF(MOD(AT$4-$G7,12)=0,$E7,0)),0)</f>
        <v/>
      </c>
      <c r="AU7" s="19">
        <f>$N7*IF(AND(AU$4&gt;=$G7,AU$4&lt;=$H7),IF($F7="Monthly",$E7,IF(MOD(AU$4-$G7,12)=0,$E7,0)),0)</f>
        <v/>
      </c>
      <c r="AV7" s="19">
        <f>$N7*IF(AND(AV$4&gt;=$G7,AV$4&lt;=$H7),IF($F7="Monthly",$E7,IF(MOD(AV$4-$G7,12)=0,$E7,0)),0)</f>
        <v/>
      </c>
      <c r="AW7" s="19">
        <f>$N7*IF(AND(AW$4&gt;=$G7,AW$4&lt;=$H7),IF($F7="Monthly",$E7,IF(MOD(AW$4-$G7,12)=0,$E7,0)),0)</f>
        <v/>
      </c>
      <c r="AX7" s="19">
        <f>$N7*IF(AND(AX$4&gt;=$G7,AX$4&lt;=$H7),IF($F7="Monthly",$E7,IF(MOD(AX$4-$G7,12)=0,$E7,0)),0)</f>
        <v/>
      </c>
    </row>
    <row r="8">
      <c r="A8" s="7" t="inlineStr">
        <is>
          <t>Password manager</t>
        </is>
      </c>
      <c r="B8" s="7" t="inlineStr">
        <is>
          <t>Tools</t>
        </is>
      </c>
      <c r="C8" s="29" t="n">
        <v>0</v>
      </c>
      <c r="D8" s="29" t="n">
        <v>40</v>
      </c>
      <c r="E8" s="16">
        <f>C8+'Assumptions'!$C$10*(D8-C8)</f>
        <v/>
      </c>
      <c r="F8" s="46" t="inlineStr">
        <is>
          <t>Annual</t>
        </is>
      </c>
      <c r="G8" s="25" t="n">
        <v>1</v>
      </c>
      <c r="H8" s="25" t="n">
        <v>36</v>
      </c>
      <c r="I8" s="19">
        <f>SUMIF($O$3:$AX$3,1,O8:AX8)</f>
        <v/>
      </c>
      <c r="J8" s="19">
        <f>SUMIF($O$3:$AX$3,2,O8:AX8)</f>
        <v/>
      </c>
      <c r="K8" s="19">
        <f>SUMIF($O$3:$AX$3,3,O8:AX8)</f>
        <v/>
      </c>
      <c r="L8" s="7" t="inlineStr">
        <is>
          <t>BLIND-SPOTS #4: $0-$40 a year.</t>
        </is>
      </c>
      <c r="M8" s="7" t="inlineStr">
        <is>
          <t>Repo</t>
        </is>
      </c>
      <c r="N8" s="25" t="n">
        <v>1</v>
      </c>
      <c r="O8" s="19">
        <f>$N8*IF(AND(O$4&gt;=$G8,O$4&lt;=$H8),IF($F8="Monthly",$E8,IF(MOD(O$4-$G8,12)=0,$E8,0)),0)</f>
        <v/>
      </c>
      <c r="P8" s="19">
        <f>$N8*IF(AND(P$4&gt;=$G8,P$4&lt;=$H8),IF($F8="Monthly",$E8,IF(MOD(P$4-$G8,12)=0,$E8,0)),0)</f>
        <v/>
      </c>
      <c r="Q8" s="19">
        <f>$N8*IF(AND(Q$4&gt;=$G8,Q$4&lt;=$H8),IF($F8="Monthly",$E8,IF(MOD(Q$4-$G8,12)=0,$E8,0)),0)</f>
        <v/>
      </c>
      <c r="R8" s="19">
        <f>$N8*IF(AND(R$4&gt;=$G8,R$4&lt;=$H8),IF($F8="Monthly",$E8,IF(MOD(R$4-$G8,12)=0,$E8,0)),0)</f>
        <v/>
      </c>
      <c r="S8" s="19">
        <f>$N8*IF(AND(S$4&gt;=$G8,S$4&lt;=$H8),IF($F8="Monthly",$E8,IF(MOD(S$4-$G8,12)=0,$E8,0)),0)</f>
        <v/>
      </c>
      <c r="T8" s="19">
        <f>$N8*IF(AND(T$4&gt;=$G8,T$4&lt;=$H8),IF($F8="Monthly",$E8,IF(MOD(T$4-$G8,12)=0,$E8,0)),0)</f>
        <v/>
      </c>
      <c r="U8" s="19">
        <f>$N8*IF(AND(U$4&gt;=$G8,U$4&lt;=$H8),IF($F8="Monthly",$E8,IF(MOD(U$4-$G8,12)=0,$E8,0)),0)</f>
        <v/>
      </c>
      <c r="V8" s="19">
        <f>$N8*IF(AND(V$4&gt;=$G8,V$4&lt;=$H8),IF($F8="Monthly",$E8,IF(MOD(V$4-$G8,12)=0,$E8,0)),0)</f>
        <v/>
      </c>
      <c r="W8" s="19">
        <f>$N8*IF(AND(W$4&gt;=$G8,W$4&lt;=$H8),IF($F8="Monthly",$E8,IF(MOD(W$4-$G8,12)=0,$E8,0)),0)</f>
        <v/>
      </c>
      <c r="X8" s="19">
        <f>$N8*IF(AND(X$4&gt;=$G8,X$4&lt;=$H8),IF($F8="Monthly",$E8,IF(MOD(X$4-$G8,12)=0,$E8,0)),0)</f>
        <v/>
      </c>
      <c r="Y8" s="19">
        <f>$N8*IF(AND(Y$4&gt;=$G8,Y$4&lt;=$H8),IF($F8="Monthly",$E8,IF(MOD(Y$4-$G8,12)=0,$E8,0)),0)</f>
        <v/>
      </c>
      <c r="Z8" s="19">
        <f>$N8*IF(AND(Z$4&gt;=$G8,Z$4&lt;=$H8),IF($F8="Monthly",$E8,IF(MOD(Z$4-$G8,12)=0,$E8,0)),0)</f>
        <v/>
      </c>
      <c r="AA8" s="19">
        <f>$N8*IF(AND(AA$4&gt;=$G8,AA$4&lt;=$H8),IF($F8="Monthly",$E8,IF(MOD(AA$4-$G8,12)=0,$E8,0)),0)</f>
        <v/>
      </c>
      <c r="AB8" s="19">
        <f>$N8*IF(AND(AB$4&gt;=$G8,AB$4&lt;=$H8),IF($F8="Monthly",$E8,IF(MOD(AB$4-$G8,12)=0,$E8,0)),0)</f>
        <v/>
      </c>
      <c r="AC8" s="19">
        <f>$N8*IF(AND(AC$4&gt;=$G8,AC$4&lt;=$H8),IF($F8="Monthly",$E8,IF(MOD(AC$4-$G8,12)=0,$E8,0)),0)</f>
        <v/>
      </c>
      <c r="AD8" s="19">
        <f>$N8*IF(AND(AD$4&gt;=$G8,AD$4&lt;=$H8),IF($F8="Monthly",$E8,IF(MOD(AD$4-$G8,12)=0,$E8,0)),0)</f>
        <v/>
      </c>
      <c r="AE8" s="19">
        <f>$N8*IF(AND(AE$4&gt;=$G8,AE$4&lt;=$H8),IF($F8="Monthly",$E8,IF(MOD(AE$4-$G8,12)=0,$E8,0)),0)</f>
        <v/>
      </c>
      <c r="AF8" s="19">
        <f>$N8*IF(AND(AF$4&gt;=$G8,AF$4&lt;=$H8),IF($F8="Monthly",$E8,IF(MOD(AF$4-$G8,12)=0,$E8,0)),0)</f>
        <v/>
      </c>
      <c r="AG8" s="19">
        <f>$N8*IF(AND(AG$4&gt;=$G8,AG$4&lt;=$H8),IF($F8="Monthly",$E8,IF(MOD(AG$4-$G8,12)=0,$E8,0)),0)</f>
        <v/>
      </c>
      <c r="AH8" s="19">
        <f>$N8*IF(AND(AH$4&gt;=$G8,AH$4&lt;=$H8),IF($F8="Monthly",$E8,IF(MOD(AH$4-$G8,12)=0,$E8,0)),0)</f>
        <v/>
      </c>
      <c r="AI8" s="19">
        <f>$N8*IF(AND(AI$4&gt;=$G8,AI$4&lt;=$H8),IF($F8="Monthly",$E8,IF(MOD(AI$4-$G8,12)=0,$E8,0)),0)</f>
        <v/>
      </c>
      <c r="AJ8" s="19">
        <f>$N8*IF(AND(AJ$4&gt;=$G8,AJ$4&lt;=$H8),IF($F8="Monthly",$E8,IF(MOD(AJ$4-$G8,12)=0,$E8,0)),0)</f>
        <v/>
      </c>
      <c r="AK8" s="19">
        <f>$N8*IF(AND(AK$4&gt;=$G8,AK$4&lt;=$H8),IF($F8="Monthly",$E8,IF(MOD(AK$4-$G8,12)=0,$E8,0)),0)</f>
        <v/>
      </c>
      <c r="AL8" s="19">
        <f>$N8*IF(AND(AL$4&gt;=$G8,AL$4&lt;=$H8),IF($F8="Monthly",$E8,IF(MOD(AL$4-$G8,12)=0,$E8,0)),0)</f>
        <v/>
      </c>
      <c r="AM8" s="19">
        <f>$N8*IF(AND(AM$4&gt;=$G8,AM$4&lt;=$H8),IF($F8="Monthly",$E8,IF(MOD(AM$4-$G8,12)=0,$E8,0)),0)</f>
        <v/>
      </c>
      <c r="AN8" s="19">
        <f>$N8*IF(AND(AN$4&gt;=$G8,AN$4&lt;=$H8),IF($F8="Monthly",$E8,IF(MOD(AN$4-$G8,12)=0,$E8,0)),0)</f>
        <v/>
      </c>
      <c r="AO8" s="19">
        <f>$N8*IF(AND(AO$4&gt;=$G8,AO$4&lt;=$H8),IF($F8="Monthly",$E8,IF(MOD(AO$4-$G8,12)=0,$E8,0)),0)</f>
        <v/>
      </c>
      <c r="AP8" s="19">
        <f>$N8*IF(AND(AP$4&gt;=$G8,AP$4&lt;=$H8),IF($F8="Monthly",$E8,IF(MOD(AP$4-$G8,12)=0,$E8,0)),0)</f>
        <v/>
      </c>
      <c r="AQ8" s="19">
        <f>$N8*IF(AND(AQ$4&gt;=$G8,AQ$4&lt;=$H8),IF($F8="Monthly",$E8,IF(MOD(AQ$4-$G8,12)=0,$E8,0)),0)</f>
        <v/>
      </c>
      <c r="AR8" s="19">
        <f>$N8*IF(AND(AR$4&gt;=$G8,AR$4&lt;=$H8),IF($F8="Monthly",$E8,IF(MOD(AR$4-$G8,12)=0,$E8,0)),0)</f>
        <v/>
      </c>
      <c r="AS8" s="19">
        <f>$N8*IF(AND(AS$4&gt;=$G8,AS$4&lt;=$H8),IF($F8="Monthly",$E8,IF(MOD(AS$4-$G8,12)=0,$E8,0)),0)</f>
        <v/>
      </c>
      <c r="AT8" s="19">
        <f>$N8*IF(AND(AT$4&gt;=$G8,AT$4&lt;=$H8),IF($F8="Monthly",$E8,IF(MOD(AT$4-$G8,12)=0,$E8,0)),0)</f>
        <v/>
      </c>
      <c r="AU8" s="19">
        <f>$N8*IF(AND(AU$4&gt;=$G8,AU$4&lt;=$H8),IF($F8="Monthly",$E8,IF(MOD(AU$4-$G8,12)=0,$E8,0)),0)</f>
        <v/>
      </c>
      <c r="AV8" s="19">
        <f>$N8*IF(AND(AV$4&gt;=$G8,AV$4&lt;=$H8),IF($F8="Monthly",$E8,IF(MOD(AV$4-$G8,12)=0,$E8,0)),0)</f>
        <v/>
      </c>
      <c r="AW8" s="19">
        <f>$N8*IF(AND(AW$4&gt;=$G8,AW$4&lt;=$H8),IF($F8="Monthly",$E8,IF(MOD(AW$4-$G8,12)=0,$E8,0)),0)</f>
        <v/>
      </c>
      <c r="AX8" s="19">
        <f>$N8*IF(AND(AX$4&gt;=$G8,AX$4&lt;=$H8),IF($F8="Monthly",$E8,IF(MOD(AX$4-$G8,12)=0,$E8,0)),0)</f>
        <v/>
      </c>
    </row>
    <row r="9">
      <c r="A9" s="7" t="inlineStr">
        <is>
          <t>Email platform, year 1 (free tiers, then budget)</t>
        </is>
      </c>
      <c r="B9" s="7" t="inlineStr">
        <is>
          <t>Email</t>
        </is>
      </c>
      <c r="C9" s="29" t="n">
        <v>0</v>
      </c>
      <c r="D9" s="29" t="n">
        <v>20</v>
      </c>
      <c r="E9" s="16">
        <f>C9+'Assumptions'!$C$10*(D9-C9)</f>
        <v/>
      </c>
      <c r="F9" s="46" t="inlineStr">
        <is>
          <t>Monthly</t>
        </is>
      </c>
      <c r="G9" s="25" t="n">
        <v>1</v>
      </c>
      <c r="H9" s="25" t="n">
        <v>12</v>
      </c>
      <c r="I9" s="19">
        <f>SUMIF($O$3:$AX$3,1,O9:AX9)</f>
        <v/>
      </c>
      <c r="J9" s="19">
        <f>SUMIF($O$3:$AX$3,2,O9:AX9)</f>
        <v/>
      </c>
      <c r="K9" s="19">
        <f>SUMIF($O$3:$AX$3,3,O9:AX9)</f>
        <v/>
      </c>
      <c r="L9" s="7" t="inlineStr">
        <is>
          <t>MARKETING-PLAYBOOK: Klaviyo free 250 profiles; budget $20/mo.</t>
        </is>
      </c>
      <c r="M9" s="7" t="inlineStr">
        <is>
          <t>Repo [VERIFY]</t>
        </is>
      </c>
      <c r="N9" s="25" t="n">
        <v>1</v>
      </c>
      <c r="O9" s="19">
        <f>$N9*IF(AND(O$4&gt;=$G9,O$4&lt;=$H9),IF($F9="Monthly",$E9,IF(MOD(O$4-$G9,12)=0,$E9,0)),0)</f>
        <v/>
      </c>
      <c r="P9" s="19">
        <f>$N9*IF(AND(P$4&gt;=$G9,P$4&lt;=$H9),IF($F9="Monthly",$E9,IF(MOD(P$4-$G9,12)=0,$E9,0)),0)</f>
        <v/>
      </c>
      <c r="Q9" s="19">
        <f>$N9*IF(AND(Q$4&gt;=$G9,Q$4&lt;=$H9),IF($F9="Monthly",$E9,IF(MOD(Q$4-$G9,12)=0,$E9,0)),0)</f>
        <v/>
      </c>
      <c r="R9" s="19">
        <f>$N9*IF(AND(R$4&gt;=$G9,R$4&lt;=$H9),IF($F9="Monthly",$E9,IF(MOD(R$4-$G9,12)=0,$E9,0)),0)</f>
        <v/>
      </c>
      <c r="S9" s="19">
        <f>$N9*IF(AND(S$4&gt;=$G9,S$4&lt;=$H9),IF($F9="Monthly",$E9,IF(MOD(S$4-$G9,12)=0,$E9,0)),0)</f>
        <v/>
      </c>
      <c r="T9" s="19">
        <f>$N9*IF(AND(T$4&gt;=$G9,T$4&lt;=$H9),IF($F9="Monthly",$E9,IF(MOD(T$4-$G9,12)=0,$E9,0)),0)</f>
        <v/>
      </c>
      <c r="U9" s="19">
        <f>$N9*IF(AND(U$4&gt;=$G9,U$4&lt;=$H9),IF($F9="Monthly",$E9,IF(MOD(U$4-$G9,12)=0,$E9,0)),0)</f>
        <v/>
      </c>
      <c r="V9" s="19">
        <f>$N9*IF(AND(V$4&gt;=$G9,V$4&lt;=$H9),IF($F9="Monthly",$E9,IF(MOD(V$4-$G9,12)=0,$E9,0)),0)</f>
        <v/>
      </c>
      <c r="W9" s="19">
        <f>$N9*IF(AND(W$4&gt;=$G9,W$4&lt;=$H9),IF($F9="Monthly",$E9,IF(MOD(W$4-$G9,12)=0,$E9,0)),0)</f>
        <v/>
      </c>
      <c r="X9" s="19">
        <f>$N9*IF(AND(X$4&gt;=$G9,X$4&lt;=$H9),IF($F9="Monthly",$E9,IF(MOD(X$4-$G9,12)=0,$E9,0)),0)</f>
        <v/>
      </c>
      <c r="Y9" s="19">
        <f>$N9*IF(AND(Y$4&gt;=$G9,Y$4&lt;=$H9),IF($F9="Monthly",$E9,IF(MOD(Y$4-$G9,12)=0,$E9,0)),0)</f>
        <v/>
      </c>
      <c r="Z9" s="19">
        <f>$N9*IF(AND(Z$4&gt;=$G9,Z$4&lt;=$H9),IF($F9="Monthly",$E9,IF(MOD(Z$4-$G9,12)=0,$E9,0)),0)</f>
        <v/>
      </c>
      <c r="AA9" s="19">
        <f>$N9*IF(AND(AA$4&gt;=$G9,AA$4&lt;=$H9),IF($F9="Monthly",$E9,IF(MOD(AA$4-$G9,12)=0,$E9,0)),0)</f>
        <v/>
      </c>
      <c r="AB9" s="19">
        <f>$N9*IF(AND(AB$4&gt;=$G9,AB$4&lt;=$H9),IF($F9="Monthly",$E9,IF(MOD(AB$4-$G9,12)=0,$E9,0)),0)</f>
        <v/>
      </c>
      <c r="AC9" s="19">
        <f>$N9*IF(AND(AC$4&gt;=$G9,AC$4&lt;=$H9),IF($F9="Monthly",$E9,IF(MOD(AC$4-$G9,12)=0,$E9,0)),0)</f>
        <v/>
      </c>
      <c r="AD9" s="19">
        <f>$N9*IF(AND(AD$4&gt;=$G9,AD$4&lt;=$H9),IF($F9="Monthly",$E9,IF(MOD(AD$4-$G9,12)=0,$E9,0)),0)</f>
        <v/>
      </c>
      <c r="AE9" s="19">
        <f>$N9*IF(AND(AE$4&gt;=$G9,AE$4&lt;=$H9),IF($F9="Monthly",$E9,IF(MOD(AE$4-$G9,12)=0,$E9,0)),0)</f>
        <v/>
      </c>
      <c r="AF9" s="19">
        <f>$N9*IF(AND(AF$4&gt;=$G9,AF$4&lt;=$H9),IF($F9="Monthly",$E9,IF(MOD(AF$4-$G9,12)=0,$E9,0)),0)</f>
        <v/>
      </c>
      <c r="AG9" s="19">
        <f>$N9*IF(AND(AG$4&gt;=$G9,AG$4&lt;=$H9),IF($F9="Monthly",$E9,IF(MOD(AG$4-$G9,12)=0,$E9,0)),0)</f>
        <v/>
      </c>
      <c r="AH9" s="19">
        <f>$N9*IF(AND(AH$4&gt;=$G9,AH$4&lt;=$H9),IF($F9="Monthly",$E9,IF(MOD(AH$4-$G9,12)=0,$E9,0)),0)</f>
        <v/>
      </c>
      <c r="AI9" s="19">
        <f>$N9*IF(AND(AI$4&gt;=$G9,AI$4&lt;=$H9),IF($F9="Monthly",$E9,IF(MOD(AI$4-$G9,12)=0,$E9,0)),0)</f>
        <v/>
      </c>
      <c r="AJ9" s="19">
        <f>$N9*IF(AND(AJ$4&gt;=$G9,AJ$4&lt;=$H9),IF($F9="Monthly",$E9,IF(MOD(AJ$4-$G9,12)=0,$E9,0)),0)</f>
        <v/>
      </c>
      <c r="AK9" s="19">
        <f>$N9*IF(AND(AK$4&gt;=$G9,AK$4&lt;=$H9),IF($F9="Monthly",$E9,IF(MOD(AK$4-$G9,12)=0,$E9,0)),0)</f>
        <v/>
      </c>
      <c r="AL9" s="19">
        <f>$N9*IF(AND(AL$4&gt;=$G9,AL$4&lt;=$H9),IF($F9="Monthly",$E9,IF(MOD(AL$4-$G9,12)=0,$E9,0)),0)</f>
        <v/>
      </c>
      <c r="AM9" s="19">
        <f>$N9*IF(AND(AM$4&gt;=$G9,AM$4&lt;=$H9),IF($F9="Monthly",$E9,IF(MOD(AM$4-$G9,12)=0,$E9,0)),0)</f>
        <v/>
      </c>
      <c r="AN9" s="19">
        <f>$N9*IF(AND(AN$4&gt;=$G9,AN$4&lt;=$H9),IF($F9="Monthly",$E9,IF(MOD(AN$4-$G9,12)=0,$E9,0)),0)</f>
        <v/>
      </c>
      <c r="AO9" s="19">
        <f>$N9*IF(AND(AO$4&gt;=$G9,AO$4&lt;=$H9),IF($F9="Monthly",$E9,IF(MOD(AO$4-$G9,12)=0,$E9,0)),0)</f>
        <v/>
      </c>
      <c r="AP9" s="19">
        <f>$N9*IF(AND(AP$4&gt;=$G9,AP$4&lt;=$H9),IF($F9="Monthly",$E9,IF(MOD(AP$4-$G9,12)=0,$E9,0)),0)</f>
        <v/>
      </c>
      <c r="AQ9" s="19">
        <f>$N9*IF(AND(AQ$4&gt;=$G9,AQ$4&lt;=$H9),IF($F9="Monthly",$E9,IF(MOD(AQ$4-$G9,12)=0,$E9,0)),0)</f>
        <v/>
      </c>
      <c r="AR9" s="19">
        <f>$N9*IF(AND(AR$4&gt;=$G9,AR$4&lt;=$H9),IF($F9="Monthly",$E9,IF(MOD(AR$4-$G9,12)=0,$E9,0)),0)</f>
        <v/>
      </c>
      <c r="AS9" s="19">
        <f>$N9*IF(AND(AS$4&gt;=$G9,AS$4&lt;=$H9),IF($F9="Monthly",$E9,IF(MOD(AS$4-$G9,12)=0,$E9,0)),0)</f>
        <v/>
      </c>
      <c r="AT9" s="19">
        <f>$N9*IF(AND(AT$4&gt;=$G9,AT$4&lt;=$H9),IF($F9="Monthly",$E9,IF(MOD(AT$4-$G9,12)=0,$E9,0)),0)</f>
        <v/>
      </c>
      <c r="AU9" s="19">
        <f>$N9*IF(AND(AU$4&gt;=$G9,AU$4&lt;=$H9),IF($F9="Monthly",$E9,IF(MOD(AU$4-$G9,12)=0,$E9,0)),0)</f>
        <v/>
      </c>
      <c r="AV9" s="19">
        <f>$N9*IF(AND(AV$4&gt;=$G9,AV$4&lt;=$H9),IF($F9="Monthly",$E9,IF(MOD(AV$4-$G9,12)=0,$E9,0)),0)</f>
        <v/>
      </c>
      <c r="AW9" s="19">
        <f>$N9*IF(AND(AW$4&gt;=$G9,AW$4&lt;=$H9),IF($F9="Monthly",$E9,IF(MOD(AW$4-$G9,12)=0,$E9,0)),0)</f>
        <v/>
      </c>
      <c r="AX9" s="19">
        <f>$N9*IF(AND(AX$4&gt;=$G9,AX$4&lt;=$H9),IF($F9="Monthly",$E9,IF(MOD(AX$4-$G9,12)=0,$E9,0)),0)</f>
        <v/>
      </c>
    </row>
    <row r="10">
      <c r="A10" s="7" t="inlineStr">
        <is>
          <t>Email platform, years 2-3</t>
        </is>
      </c>
      <c r="B10" s="7" t="inlineStr">
        <is>
          <t>Email</t>
        </is>
      </c>
      <c r="C10" s="29" t="n">
        <v>20</v>
      </c>
      <c r="D10" s="29" t="n">
        <v>39</v>
      </c>
      <c r="E10" s="16">
        <f>C10+'Assumptions'!$C$10*(D10-C10)</f>
        <v/>
      </c>
      <c r="F10" s="46" t="inlineStr">
        <is>
          <t>Monthly</t>
        </is>
      </c>
      <c r="G10" s="25" t="n">
        <v>13</v>
      </c>
      <c r="H10" s="25" t="n">
        <v>36</v>
      </c>
      <c r="I10" s="19">
        <f>SUMIF($O$3:$AX$3,1,O10:AX10)</f>
        <v/>
      </c>
      <c r="J10" s="19">
        <f>SUMIF($O$3:$AX$3,2,O10:AX10)</f>
        <v/>
      </c>
      <c r="K10" s="19">
        <f>SUMIF($O$3:$AX$3,3,O10:AX10)</f>
        <v/>
      </c>
      <c r="L10" s="7" t="inlineStr">
        <is>
          <t>MARKETING-PLAYBOOK: about $20-39/mo later.</t>
        </is>
      </c>
      <c r="M10" s="7" t="inlineStr">
        <is>
          <t>Repo [VERIFY]</t>
        </is>
      </c>
      <c r="N10" s="25" t="n">
        <v>1</v>
      </c>
      <c r="O10" s="19">
        <f>$N10*IF(AND(O$4&gt;=$G10,O$4&lt;=$H10),IF($F10="Monthly",$E10,IF(MOD(O$4-$G10,12)=0,$E10,0)),0)</f>
        <v/>
      </c>
      <c r="P10" s="19">
        <f>$N10*IF(AND(P$4&gt;=$G10,P$4&lt;=$H10),IF($F10="Monthly",$E10,IF(MOD(P$4-$G10,12)=0,$E10,0)),0)</f>
        <v/>
      </c>
      <c r="Q10" s="19">
        <f>$N10*IF(AND(Q$4&gt;=$G10,Q$4&lt;=$H10),IF($F10="Monthly",$E10,IF(MOD(Q$4-$G10,12)=0,$E10,0)),0)</f>
        <v/>
      </c>
      <c r="R10" s="19">
        <f>$N10*IF(AND(R$4&gt;=$G10,R$4&lt;=$H10),IF($F10="Monthly",$E10,IF(MOD(R$4-$G10,12)=0,$E10,0)),0)</f>
        <v/>
      </c>
      <c r="S10" s="19">
        <f>$N10*IF(AND(S$4&gt;=$G10,S$4&lt;=$H10),IF($F10="Monthly",$E10,IF(MOD(S$4-$G10,12)=0,$E10,0)),0)</f>
        <v/>
      </c>
      <c r="T10" s="19">
        <f>$N10*IF(AND(T$4&gt;=$G10,T$4&lt;=$H10),IF($F10="Monthly",$E10,IF(MOD(T$4-$G10,12)=0,$E10,0)),0)</f>
        <v/>
      </c>
      <c r="U10" s="19">
        <f>$N10*IF(AND(U$4&gt;=$G10,U$4&lt;=$H10),IF($F10="Monthly",$E10,IF(MOD(U$4-$G10,12)=0,$E10,0)),0)</f>
        <v/>
      </c>
      <c r="V10" s="19">
        <f>$N10*IF(AND(V$4&gt;=$G10,V$4&lt;=$H10),IF($F10="Monthly",$E10,IF(MOD(V$4-$G10,12)=0,$E10,0)),0)</f>
        <v/>
      </c>
      <c r="W10" s="19">
        <f>$N10*IF(AND(W$4&gt;=$G10,W$4&lt;=$H10),IF($F10="Monthly",$E10,IF(MOD(W$4-$G10,12)=0,$E10,0)),0)</f>
        <v/>
      </c>
      <c r="X10" s="19">
        <f>$N10*IF(AND(X$4&gt;=$G10,X$4&lt;=$H10),IF($F10="Monthly",$E10,IF(MOD(X$4-$G10,12)=0,$E10,0)),0)</f>
        <v/>
      </c>
      <c r="Y10" s="19">
        <f>$N10*IF(AND(Y$4&gt;=$G10,Y$4&lt;=$H10),IF($F10="Monthly",$E10,IF(MOD(Y$4-$G10,12)=0,$E10,0)),0)</f>
        <v/>
      </c>
      <c r="Z10" s="19">
        <f>$N10*IF(AND(Z$4&gt;=$G10,Z$4&lt;=$H10),IF($F10="Monthly",$E10,IF(MOD(Z$4-$G10,12)=0,$E10,0)),0)</f>
        <v/>
      </c>
      <c r="AA10" s="19">
        <f>$N10*IF(AND(AA$4&gt;=$G10,AA$4&lt;=$H10),IF($F10="Monthly",$E10,IF(MOD(AA$4-$G10,12)=0,$E10,0)),0)</f>
        <v/>
      </c>
      <c r="AB10" s="19">
        <f>$N10*IF(AND(AB$4&gt;=$G10,AB$4&lt;=$H10),IF($F10="Monthly",$E10,IF(MOD(AB$4-$G10,12)=0,$E10,0)),0)</f>
        <v/>
      </c>
      <c r="AC10" s="19">
        <f>$N10*IF(AND(AC$4&gt;=$G10,AC$4&lt;=$H10),IF($F10="Monthly",$E10,IF(MOD(AC$4-$G10,12)=0,$E10,0)),0)</f>
        <v/>
      </c>
      <c r="AD10" s="19">
        <f>$N10*IF(AND(AD$4&gt;=$G10,AD$4&lt;=$H10),IF($F10="Monthly",$E10,IF(MOD(AD$4-$G10,12)=0,$E10,0)),0)</f>
        <v/>
      </c>
      <c r="AE10" s="19">
        <f>$N10*IF(AND(AE$4&gt;=$G10,AE$4&lt;=$H10),IF($F10="Monthly",$E10,IF(MOD(AE$4-$G10,12)=0,$E10,0)),0)</f>
        <v/>
      </c>
      <c r="AF10" s="19">
        <f>$N10*IF(AND(AF$4&gt;=$G10,AF$4&lt;=$H10),IF($F10="Monthly",$E10,IF(MOD(AF$4-$G10,12)=0,$E10,0)),0)</f>
        <v/>
      </c>
      <c r="AG10" s="19">
        <f>$N10*IF(AND(AG$4&gt;=$G10,AG$4&lt;=$H10),IF($F10="Monthly",$E10,IF(MOD(AG$4-$G10,12)=0,$E10,0)),0)</f>
        <v/>
      </c>
      <c r="AH10" s="19">
        <f>$N10*IF(AND(AH$4&gt;=$G10,AH$4&lt;=$H10),IF($F10="Monthly",$E10,IF(MOD(AH$4-$G10,12)=0,$E10,0)),0)</f>
        <v/>
      </c>
      <c r="AI10" s="19">
        <f>$N10*IF(AND(AI$4&gt;=$G10,AI$4&lt;=$H10),IF($F10="Monthly",$E10,IF(MOD(AI$4-$G10,12)=0,$E10,0)),0)</f>
        <v/>
      </c>
      <c r="AJ10" s="19">
        <f>$N10*IF(AND(AJ$4&gt;=$G10,AJ$4&lt;=$H10),IF($F10="Monthly",$E10,IF(MOD(AJ$4-$G10,12)=0,$E10,0)),0)</f>
        <v/>
      </c>
      <c r="AK10" s="19">
        <f>$N10*IF(AND(AK$4&gt;=$G10,AK$4&lt;=$H10),IF($F10="Monthly",$E10,IF(MOD(AK$4-$G10,12)=0,$E10,0)),0)</f>
        <v/>
      </c>
      <c r="AL10" s="19">
        <f>$N10*IF(AND(AL$4&gt;=$G10,AL$4&lt;=$H10),IF($F10="Monthly",$E10,IF(MOD(AL$4-$G10,12)=0,$E10,0)),0)</f>
        <v/>
      </c>
      <c r="AM10" s="19">
        <f>$N10*IF(AND(AM$4&gt;=$G10,AM$4&lt;=$H10),IF($F10="Monthly",$E10,IF(MOD(AM$4-$G10,12)=0,$E10,0)),0)</f>
        <v/>
      </c>
      <c r="AN10" s="19">
        <f>$N10*IF(AND(AN$4&gt;=$G10,AN$4&lt;=$H10),IF($F10="Monthly",$E10,IF(MOD(AN$4-$G10,12)=0,$E10,0)),0)</f>
        <v/>
      </c>
      <c r="AO10" s="19">
        <f>$N10*IF(AND(AO$4&gt;=$G10,AO$4&lt;=$H10),IF($F10="Monthly",$E10,IF(MOD(AO$4-$G10,12)=0,$E10,0)),0)</f>
        <v/>
      </c>
      <c r="AP10" s="19">
        <f>$N10*IF(AND(AP$4&gt;=$G10,AP$4&lt;=$H10),IF($F10="Monthly",$E10,IF(MOD(AP$4-$G10,12)=0,$E10,0)),0)</f>
        <v/>
      </c>
      <c r="AQ10" s="19">
        <f>$N10*IF(AND(AQ$4&gt;=$G10,AQ$4&lt;=$H10),IF($F10="Monthly",$E10,IF(MOD(AQ$4-$G10,12)=0,$E10,0)),0)</f>
        <v/>
      </c>
      <c r="AR10" s="19">
        <f>$N10*IF(AND(AR$4&gt;=$G10,AR$4&lt;=$H10),IF($F10="Monthly",$E10,IF(MOD(AR$4-$G10,12)=0,$E10,0)),0)</f>
        <v/>
      </c>
      <c r="AS10" s="19">
        <f>$N10*IF(AND(AS$4&gt;=$G10,AS$4&lt;=$H10),IF($F10="Monthly",$E10,IF(MOD(AS$4-$G10,12)=0,$E10,0)),0)</f>
        <v/>
      </c>
      <c r="AT10" s="19">
        <f>$N10*IF(AND(AT$4&gt;=$G10,AT$4&lt;=$H10),IF($F10="Monthly",$E10,IF(MOD(AT$4-$G10,12)=0,$E10,0)),0)</f>
        <v/>
      </c>
      <c r="AU10" s="19">
        <f>$N10*IF(AND(AU$4&gt;=$G10,AU$4&lt;=$H10),IF($F10="Monthly",$E10,IF(MOD(AU$4-$G10,12)=0,$E10,0)),0)</f>
        <v/>
      </c>
      <c r="AV10" s="19">
        <f>$N10*IF(AND(AV$4&gt;=$G10,AV$4&lt;=$H10),IF($F10="Monthly",$E10,IF(MOD(AV$4-$G10,12)=0,$E10,0)),0)</f>
        <v/>
      </c>
      <c r="AW10" s="19">
        <f>$N10*IF(AND(AW$4&gt;=$G10,AW$4&lt;=$H10),IF($F10="Monthly",$E10,IF(MOD(AW$4-$G10,12)=0,$E10,0)),0)</f>
        <v/>
      </c>
      <c r="AX10" s="19">
        <f>$N10*IF(AND(AX$4&gt;=$G10,AX$4&lt;=$H10),IF($F10="Monthly",$E10,IF(MOD(AX$4-$G10,12)=0,$E10,0)),0)</f>
        <v/>
      </c>
    </row>
    <row r="11">
      <c r="A11" s="7" t="inlineStr">
        <is>
          <t>Claude plan that runs the scheduled routines</t>
        </is>
      </c>
      <c r="B11" s="7" t="inlineStr">
        <is>
          <t>Automation</t>
        </is>
      </c>
      <c r="C11" s="29" t="n">
        <v>100</v>
      </c>
      <c r="D11" s="29" t="n">
        <v>200</v>
      </c>
      <c r="E11" s="16">
        <f>C11+'Assumptions'!$C$10*(D11-C11)</f>
        <v/>
      </c>
      <c r="F11" s="46" t="inlineStr">
        <is>
          <t>Monthly</t>
        </is>
      </c>
      <c r="G11" s="25" t="n">
        <v>1</v>
      </c>
      <c r="H11" s="25" t="n">
        <v>36</v>
      </c>
      <c r="I11" s="19">
        <f>SUMIF($O$3:$AX$3,1,O11:AX11)</f>
        <v/>
      </c>
      <c r="J11" s="19">
        <f>SUMIF($O$3:$AX$3,2,O11:AX11)</f>
        <v/>
      </c>
      <c r="K11" s="19">
        <f>SUMIF($O$3:$AX$3,3,O11:AX11)</f>
        <v/>
      </c>
      <c r="L11" s="7" t="inlineStr">
        <is>
          <t>No price in the repo; a higher-usage tier is assumed because routines run weekly (ops/ROUTINE.md).</t>
        </is>
      </c>
      <c r="M11" s="7" t="inlineStr">
        <is>
          <t>Assumption [VERIFY]</t>
        </is>
      </c>
      <c r="N11" s="25" t="n">
        <v>1</v>
      </c>
      <c r="O11" s="19">
        <f>$N11*IF(AND(O$4&gt;=$G11,O$4&lt;=$H11),IF($F11="Monthly",$E11,IF(MOD(O$4-$G11,12)=0,$E11,0)),0)</f>
        <v/>
      </c>
      <c r="P11" s="19">
        <f>$N11*IF(AND(P$4&gt;=$G11,P$4&lt;=$H11),IF($F11="Monthly",$E11,IF(MOD(P$4-$G11,12)=0,$E11,0)),0)</f>
        <v/>
      </c>
      <c r="Q11" s="19">
        <f>$N11*IF(AND(Q$4&gt;=$G11,Q$4&lt;=$H11),IF($F11="Monthly",$E11,IF(MOD(Q$4-$G11,12)=0,$E11,0)),0)</f>
        <v/>
      </c>
      <c r="R11" s="19">
        <f>$N11*IF(AND(R$4&gt;=$G11,R$4&lt;=$H11),IF($F11="Monthly",$E11,IF(MOD(R$4-$G11,12)=0,$E11,0)),0)</f>
        <v/>
      </c>
      <c r="S11" s="19">
        <f>$N11*IF(AND(S$4&gt;=$G11,S$4&lt;=$H11),IF($F11="Monthly",$E11,IF(MOD(S$4-$G11,12)=0,$E11,0)),0)</f>
        <v/>
      </c>
      <c r="T11" s="19">
        <f>$N11*IF(AND(T$4&gt;=$G11,T$4&lt;=$H11),IF($F11="Monthly",$E11,IF(MOD(T$4-$G11,12)=0,$E11,0)),0)</f>
        <v/>
      </c>
      <c r="U11" s="19">
        <f>$N11*IF(AND(U$4&gt;=$G11,U$4&lt;=$H11),IF($F11="Monthly",$E11,IF(MOD(U$4-$G11,12)=0,$E11,0)),0)</f>
        <v/>
      </c>
      <c r="V11" s="19">
        <f>$N11*IF(AND(V$4&gt;=$G11,V$4&lt;=$H11),IF($F11="Monthly",$E11,IF(MOD(V$4-$G11,12)=0,$E11,0)),0)</f>
        <v/>
      </c>
      <c r="W11" s="19">
        <f>$N11*IF(AND(W$4&gt;=$G11,W$4&lt;=$H11),IF($F11="Monthly",$E11,IF(MOD(W$4-$G11,12)=0,$E11,0)),0)</f>
        <v/>
      </c>
      <c r="X11" s="19">
        <f>$N11*IF(AND(X$4&gt;=$G11,X$4&lt;=$H11),IF($F11="Monthly",$E11,IF(MOD(X$4-$G11,12)=0,$E11,0)),0)</f>
        <v/>
      </c>
      <c r="Y11" s="19">
        <f>$N11*IF(AND(Y$4&gt;=$G11,Y$4&lt;=$H11),IF($F11="Monthly",$E11,IF(MOD(Y$4-$G11,12)=0,$E11,0)),0)</f>
        <v/>
      </c>
      <c r="Z11" s="19">
        <f>$N11*IF(AND(Z$4&gt;=$G11,Z$4&lt;=$H11),IF($F11="Monthly",$E11,IF(MOD(Z$4-$G11,12)=0,$E11,0)),0)</f>
        <v/>
      </c>
      <c r="AA11" s="19">
        <f>$N11*IF(AND(AA$4&gt;=$G11,AA$4&lt;=$H11),IF($F11="Monthly",$E11,IF(MOD(AA$4-$G11,12)=0,$E11,0)),0)</f>
        <v/>
      </c>
      <c r="AB11" s="19">
        <f>$N11*IF(AND(AB$4&gt;=$G11,AB$4&lt;=$H11),IF($F11="Monthly",$E11,IF(MOD(AB$4-$G11,12)=0,$E11,0)),0)</f>
        <v/>
      </c>
      <c r="AC11" s="19">
        <f>$N11*IF(AND(AC$4&gt;=$G11,AC$4&lt;=$H11),IF($F11="Monthly",$E11,IF(MOD(AC$4-$G11,12)=0,$E11,0)),0)</f>
        <v/>
      </c>
      <c r="AD11" s="19">
        <f>$N11*IF(AND(AD$4&gt;=$G11,AD$4&lt;=$H11),IF($F11="Monthly",$E11,IF(MOD(AD$4-$G11,12)=0,$E11,0)),0)</f>
        <v/>
      </c>
      <c r="AE11" s="19">
        <f>$N11*IF(AND(AE$4&gt;=$G11,AE$4&lt;=$H11),IF($F11="Monthly",$E11,IF(MOD(AE$4-$G11,12)=0,$E11,0)),0)</f>
        <v/>
      </c>
      <c r="AF11" s="19">
        <f>$N11*IF(AND(AF$4&gt;=$G11,AF$4&lt;=$H11),IF($F11="Monthly",$E11,IF(MOD(AF$4-$G11,12)=0,$E11,0)),0)</f>
        <v/>
      </c>
      <c r="AG11" s="19">
        <f>$N11*IF(AND(AG$4&gt;=$G11,AG$4&lt;=$H11),IF($F11="Monthly",$E11,IF(MOD(AG$4-$G11,12)=0,$E11,0)),0)</f>
        <v/>
      </c>
      <c r="AH11" s="19">
        <f>$N11*IF(AND(AH$4&gt;=$G11,AH$4&lt;=$H11),IF($F11="Monthly",$E11,IF(MOD(AH$4-$G11,12)=0,$E11,0)),0)</f>
        <v/>
      </c>
      <c r="AI11" s="19">
        <f>$N11*IF(AND(AI$4&gt;=$G11,AI$4&lt;=$H11),IF($F11="Monthly",$E11,IF(MOD(AI$4-$G11,12)=0,$E11,0)),0)</f>
        <v/>
      </c>
      <c r="AJ11" s="19">
        <f>$N11*IF(AND(AJ$4&gt;=$G11,AJ$4&lt;=$H11),IF($F11="Monthly",$E11,IF(MOD(AJ$4-$G11,12)=0,$E11,0)),0)</f>
        <v/>
      </c>
      <c r="AK11" s="19">
        <f>$N11*IF(AND(AK$4&gt;=$G11,AK$4&lt;=$H11),IF($F11="Monthly",$E11,IF(MOD(AK$4-$G11,12)=0,$E11,0)),0)</f>
        <v/>
      </c>
      <c r="AL11" s="19">
        <f>$N11*IF(AND(AL$4&gt;=$G11,AL$4&lt;=$H11),IF($F11="Monthly",$E11,IF(MOD(AL$4-$G11,12)=0,$E11,0)),0)</f>
        <v/>
      </c>
      <c r="AM11" s="19">
        <f>$N11*IF(AND(AM$4&gt;=$G11,AM$4&lt;=$H11),IF($F11="Monthly",$E11,IF(MOD(AM$4-$G11,12)=0,$E11,0)),0)</f>
        <v/>
      </c>
      <c r="AN11" s="19">
        <f>$N11*IF(AND(AN$4&gt;=$G11,AN$4&lt;=$H11),IF($F11="Monthly",$E11,IF(MOD(AN$4-$G11,12)=0,$E11,0)),0)</f>
        <v/>
      </c>
      <c r="AO11" s="19">
        <f>$N11*IF(AND(AO$4&gt;=$G11,AO$4&lt;=$H11),IF($F11="Monthly",$E11,IF(MOD(AO$4-$G11,12)=0,$E11,0)),0)</f>
        <v/>
      </c>
      <c r="AP11" s="19">
        <f>$N11*IF(AND(AP$4&gt;=$G11,AP$4&lt;=$H11),IF($F11="Monthly",$E11,IF(MOD(AP$4-$G11,12)=0,$E11,0)),0)</f>
        <v/>
      </c>
      <c r="AQ11" s="19">
        <f>$N11*IF(AND(AQ$4&gt;=$G11,AQ$4&lt;=$H11),IF($F11="Monthly",$E11,IF(MOD(AQ$4-$G11,12)=0,$E11,0)),0)</f>
        <v/>
      </c>
      <c r="AR11" s="19">
        <f>$N11*IF(AND(AR$4&gt;=$G11,AR$4&lt;=$H11),IF($F11="Monthly",$E11,IF(MOD(AR$4-$G11,12)=0,$E11,0)),0)</f>
        <v/>
      </c>
      <c r="AS11" s="19">
        <f>$N11*IF(AND(AS$4&gt;=$G11,AS$4&lt;=$H11),IF($F11="Monthly",$E11,IF(MOD(AS$4-$G11,12)=0,$E11,0)),0)</f>
        <v/>
      </c>
      <c r="AT11" s="19">
        <f>$N11*IF(AND(AT$4&gt;=$G11,AT$4&lt;=$H11),IF($F11="Monthly",$E11,IF(MOD(AT$4-$G11,12)=0,$E11,0)),0)</f>
        <v/>
      </c>
      <c r="AU11" s="19">
        <f>$N11*IF(AND(AU$4&gt;=$G11,AU$4&lt;=$H11),IF($F11="Monthly",$E11,IF(MOD(AU$4-$G11,12)=0,$E11,0)),0)</f>
        <v/>
      </c>
      <c r="AV11" s="19">
        <f>$N11*IF(AND(AV$4&gt;=$G11,AV$4&lt;=$H11),IF($F11="Monthly",$E11,IF(MOD(AV$4-$G11,12)=0,$E11,0)),0)</f>
        <v/>
      </c>
      <c r="AW11" s="19">
        <f>$N11*IF(AND(AW$4&gt;=$G11,AW$4&lt;=$H11),IF($F11="Monthly",$E11,IF(MOD(AW$4-$G11,12)=0,$E11,0)),0)</f>
        <v/>
      </c>
      <c r="AX11" s="19">
        <f>$N11*IF(AND(AX$4&gt;=$G11,AX$4&lt;=$H11),IF($F11="Monthly",$E11,IF(MOD(AX$4-$G11,12)=0,$E11,0)),0)</f>
        <v/>
      </c>
    </row>
    <row r="12">
      <c r="A12" s="7" t="inlineStr">
        <is>
          <t>Claude usage-credit cap (hard limit)</t>
        </is>
      </c>
      <c r="B12" s="7" t="inlineStr">
        <is>
          <t>Automation</t>
        </is>
      </c>
      <c r="C12" s="29" t="n">
        <v>0</v>
      </c>
      <c r="D12" s="29" t="n">
        <v>25</v>
      </c>
      <c r="E12" s="16">
        <f>C12+'Assumptions'!$C$10*(D12-C12)</f>
        <v/>
      </c>
      <c r="F12" s="46" t="inlineStr">
        <is>
          <t>Monthly</t>
        </is>
      </c>
      <c r="G12" s="25" t="n">
        <v>1</v>
      </c>
      <c r="H12" s="25" t="n">
        <v>36</v>
      </c>
      <c r="I12" s="19">
        <f>SUMIF($O$3:$AX$3,1,O12:AX12)</f>
        <v/>
      </c>
      <c r="J12" s="19">
        <f>SUMIF($O$3:$AX$3,2,O12:AX12)</f>
        <v/>
      </c>
      <c r="K12" s="19">
        <f>SUMIF($O$3:$AX$3,3,O12:AX12)</f>
        <v/>
      </c>
      <c r="L12" s="7" t="inlineStr">
        <is>
          <t>ops/GAPS-ROUND-2.md G2-06: fixed monthly limit such as $25.</t>
        </is>
      </c>
      <c r="M12" s="7" t="inlineStr">
        <is>
          <t>Repo</t>
        </is>
      </c>
      <c r="N12" s="25" t="n">
        <v>1</v>
      </c>
      <c r="O12" s="19">
        <f>$N12*IF(AND(O$4&gt;=$G12,O$4&lt;=$H12),IF($F12="Monthly",$E12,IF(MOD(O$4-$G12,12)=0,$E12,0)),0)</f>
        <v/>
      </c>
      <c r="P12" s="19">
        <f>$N12*IF(AND(P$4&gt;=$G12,P$4&lt;=$H12),IF($F12="Monthly",$E12,IF(MOD(P$4-$G12,12)=0,$E12,0)),0)</f>
        <v/>
      </c>
      <c r="Q12" s="19">
        <f>$N12*IF(AND(Q$4&gt;=$G12,Q$4&lt;=$H12),IF($F12="Monthly",$E12,IF(MOD(Q$4-$G12,12)=0,$E12,0)),0)</f>
        <v/>
      </c>
      <c r="R12" s="19">
        <f>$N12*IF(AND(R$4&gt;=$G12,R$4&lt;=$H12),IF($F12="Monthly",$E12,IF(MOD(R$4-$G12,12)=0,$E12,0)),0)</f>
        <v/>
      </c>
      <c r="S12" s="19">
        <f>$N12*IF(AND(S$4&gt;=$G12,S$4&lt;=$H12),IF($F12="Monthly",$E12,IF(MOD(S$4-$G12,12)=0,$E12,0)),0)</f>
        <v/>
      </c>
      <c r="T12" s="19">
        <f>$N12*IF(AND(T$4&gt;=$G12,T$4&lt;=$H12),IF($F12="Monthly",$E12,IF(MOD(T$4-$G12,12)=0,$E12,0)),0)</f>
        <v/>
      </c>
      <c r="U12" s="19">
        <f>$N12*IF(AND(U$4&gt;=$G12,U$4&lt;=$H12),IF($F12="Monthly",$E12,IF(MOD(U$4-$G12,12)=0,$E12,0)),0)</f>
        <v/>
      </c>
      <c r="V12" s="19">
        <f>$N12*IF(AND(V$4&gt;=$G12,V$4&lt;=$H12),IF($F12="Monthly",$E12,IF(MOD(V$4-$G12,12)=0,$E12,0)),0)</f>
        <v/>
      </c>
      <c r="W12" s="19">
        <f>$N12*IF(AND(W$4&gt;=$G12,W$4&lt;=$H12),IF($F12="Monthly",$E12,IF(MOD(W$4-$G12,12)=0,$E12,0)),0)</f>
        <v/>
      </c>
      <c r="X12" s="19">
        <f>$N12*IF(AND(X$4&gt;=$G12,X$4&lt;=$H12),IF($F12="Monthly",$E12,IF(MOD(X$4-$G12,12)=0,$E12,0)),0)</f>
        <v/>
      </c>
      <c r="Y12" s="19">
        <f>$N12*IF(AND(Y$4&gt;=$G12,Y$4&lt;=$H12),IF($F12="Monthly",$E12,IF(MOD(Y$4-$G12,12)=0,$E12,0)),0)</f>
        <v/>
      </c>
      <c r="Z12" s="19">
        <f>$N12*IF(AND(Z$4&gt;=$G12,Z$4&lt;=$H12),IF($F12="Monthly",$E12,IF(MOD(Z$4-$G12,12)=0,$E12,0)),0)</f>
        <v/>
      </c>
      <c r="AA12" s="19">
        <f>$N12*IF(AND(AA$4&gt;=$G12,AA$4&lt;=$H12),IF($F12="Monthly",$E12,IF(MOD(AA$4-$G12,12)=0,$E12,0)),0)</f>
        <v/>
      </c>
      <c r="AB12" s="19">
        <f>$N12*IF(AND(AB$4&gt;=$G12,AB$4&lt;=$H12),IF($F12="Monthly",$E12,IF(MOD(AB$4-$G12,12)=0,$E12,0)),0)</f>
        <v/>
      </c>
      <c r="AC12" s="19">
        <f>$N12*IF(AND(AC$4&gt;=$G12,AC$4&lt;=$H12),IF($F12="Monthly",$E12,IF(MOD(AC$4-$G12,12)=0,$E12,0)),0)</f>
        <v/>
      </c>
      <c r="AD12" s="19">
        <f>$N12*IF(AND(AD$4&gt;=$G12,AD$4&lt;=$H12),IF($F12="Monthly",$E12,IF(MOD(AD$4-$G12,12)=0,$E12,0)),0)</f>
        <v/>
      </c>
      <c r="AE12" s="19">
        <f>$N12*IF(AND(AE$4&gt;=$G12,AE$4&lt;=$H12),IF($F12="Monthly",$E12,IF(MOD(AE$4-$G12,12)=0,$E12,0)),0)</f>
        <v/>
      </c>
      <c r="AF12" s="19">
        <f>$N12*IF(AND(AF$4&gt;=$G12,AF$4&lt;=$H12),IF($F12="Monthly",$E12,IF(MOD(AF$4-$G12,12)=0,$E12,0)),0)</f>
        <v/>
      </c>
      <c r="AG12" s="19">
        <f>$N12*IF(AND(AG$4&gt;=$G12,AG$4&lt;=$H12),IF($F12="Monthly",$E12,IF(MOD(AG$4-$G12,12)=0,$E12,0)),0)</f>
        <v/>
      </c>
      <c r="AH12" s="19">
        <f>$N12*IF(AND(AH$4&gt;=$G12,AH$4&lt;=$H12),IF($F12="Monthly",$E12,IF(MOD(AH$4-$G12,12)=0,$E12,0)),0)</f>
        <v/>
      </c>
      <c r="AI12" s="19">
        <f>$N12*IF(AND(AI$4&gt;=$G12,AI$4&lt;=$H12),IF($F12="Monthly",$E12,IF(MOD(AI$4-$G12,12)=0,$E12,0)),0)</f>
        <v/>
      </c>
      <c r="AJ12" s="19">
        <f>$N12*IF(AND(AJ$4&gt;=$G12,AJ$4&lt;=$H12),IF($F12="Monthly",$E12,IF(MOD(AJ$4-$G12,12)=0,$E12,0)),0)</f>
        <v/>
      </c>
      <c r="AK12" s="19">
        <f>$N12*IF(AND(AK$4&gt;=$G12,AK$4&lt;=$H12),IF($F12="Monthly",$E12,IF(MOD(AK$4-$G12,12)=0,$E12,0)),0)</f>
        <v/>
      </c>
      <c r="AL12" s="19">
        <f>$N12*IF(AND(AL$4&gt;=$G12,AL$4&lt;=$H12),IF($F12="Monthly",$E12,IF(MOD(AL$4-$G12,12)=0,$E12,0)),0)</f>
        <v/>
      </c>
      <c r="AM12" s="19">
        <f>$N12*IF(AND(AM$4&gt;=$G12,AM$4&lt;=$H12),IF($F12="Monthly",$E12,IF(MOD(AM$4-$G12,12)=0,$E12,0)),0)</f>
        <v/>
      </c>
      <c r="AN12" s="19">
        <f>$N12*IF(AND(AN$4&gt;=$G12,AN$4&lt;=$H12),IF($F12="Monthly",$E12,IF(MOD(AN$4-$G12,12)=0,$E12,0)),0)</f>
        <v/>
      </c>
      <c r="AO12" s="19">
        <f>$N12*IF(AND(AO$4&gt;=$G12,AO$4&lt;=$H12),IF($F12="Monthly",$E12,IF(MOD(AO$4-$G12,12)=0,$E12,0)),0)</f>
        <v/>
      </c>
      <c r="AP12" s="19">
        <f>$N12*IF(AND(AP$4&gt;=$G12,AP$4&lt;=$H12),IF($F12="Monthly",$E12,IF(MOD(AP$4-$G12,12)=0,$E12,0)),0)</f>
        <v/>
      </c>
      <c r="AQ12" s="19">
        <f>$N12*IF(AND(AQ$4&gt;=$G12,AQ$4&lt;=$H12),IF($F12="Monthly",$E12,IF(MOD(AQ$4-$G12,12)=0,$E12,0)),0)</f>
        <v/>
      </c>
      <c r="AR12" s="19">
        <f>$N12*IF(AND(AR$4&gt;=$G12,AR$4&lt;=$H12),IF($F12="Monthly",$E12,IF(MOD(AR$4-$G12,12)=0,$E12,0)),0)</f>
        <v/>
      </c>
      <c r="AS12" s="19">
        <f>$N12*IF(AND(AS$4&gt;=$G12,AS$4&lt;=$H12),IF($F12="Monthly",$E12,IF(MOD(AS$4-$G12,12)=0,$E12,0)),0)</f>
        <v/>
      </c>
      <c r="AT12" s="19">
        <f>$N12*IF(AND(AT$4&gt;=$G12,AT$4&lt;=$H12),IF($F12="Monthly",$E12,IF(MOD(AT$4-$G12,12)=0,$E12,0)),0)</f>
        <v/>
      </c>
      <c r="AU12" s="19">
        <f>$N12*IF(AND(AU$4&gt;=$G12,AU$4&lt;=$H12),IF($F12="Monthly",$E12,IF(MOD(AU$4-$G12,12)=0,$E12,0)),0)</f>
        <v/>
      </c>
      <c r="AV12" s="19">
        <f>$N12*IF(AND(AV$4&gt;=$G12,AV$4&lt;=$H12),IF($F12="Monthly",$E12,IF(MOD(AV$4-$G12,12)=0,$E12,0)),0)</f>
        <v/>
      </c>
      <c r="AW12" s="19">
        <f>$N12*IF(AND(AW$4&gt;=$G12,AW$4&lt;=$H12),IF($F12="Monthly",$E12,IF(MOD(AW$4-$G12,12)=0,$E12,0)),0)</f>
        <v/>
      </c>
      <c r="AX12" s="19">
        <f>$N12*IF(AND(AX$4&gt;=$G12,AX$4&lt;=$H12),IF($F12="Monthly",$E12,IF(MOD(AX$4-$G12,12)=0,$E12,0)),0)</f>
        <v/>
      </c>
    </row>
    <row r="13">
      <c r="A13" s="7" t="inlineStr">
        <is>
          <t>QuickBooks Online (Simple Start to Essentials)</t>
        </is>
      </c>
      <c r="B13" s="7" t="inlineStr">
        <is>
          <t>Bookkeeping</t>
        </is>
      </c>
      <c r="C13" s="29" t="n">
        <v>38</v>
      </c>
      <c r="D13" s="29" t="n">
        <v>85</v>
      </c>
      <c r="E13" s="16">
        <f>C13+'Assumptions'!$C$10*(D13-C13)</f>
        <v/>
      </c>
      <c r="F13" s="46" t="inlineStr">
        <is>
          <t>Monthly</t>
        </is>
      </c>
      <c r="G13" s="25" t="n">
        <v>1</v>
      </c>
      <c r="H13" s="25" t="n">
        <v>36</v>
      </c>
      <c r="I13" s="19">
        <f>SUMIF($O$3:$AX$3,1,O13:AX13)</f>
        <v/>
      </c>
      <c r="J13" s="19">
        <f>SUMIF($O$3:$AX$3,2,O13:AX13)</f>
        <v/>
      </c>
      <c r="K13" s="19">
        <f>SUMIF($O$3:$AX$3,3,O13:AX13)</f>
        <v/>
      </c>
      <c r="L13" s="7" t="inlineStr">
        <is>
          <t>finance/money-and-tax-setup.md: $38 Simple Start; Essentials $75-$85 (UNVERIFIED).</t>
        </is>
      </c>
      <c r="M13" s="7" t="inlineStr">
        <is>
          <t>Repo [VERIFY]</t>
        </is>
      </c>
      <c r="N13" s="25" t="n">
        <v>1</v>
      </c>
      <c r="O13" s="19">
        <f>$N13*IF(AND(O$4&gt;=$G13,O$4&lt;=$H13),IF($F13="Monthly",$E13,IF(MOD(O$4-$G13,12)=0,$E13,0)),0)</f>
        <v/>
      </c>
      <c r="P13" s="19">
        <f>$N13*IF(AND(P$4&gt;=$G13,P$4&lt;=$H13),IF($F13="Monthly",$E13,IF(MOD(P$4-$G13,12)=0,$E13,0)),0)</f>
        <v/>
      </c>
      <c r="Q13" s="19">
        <f>$N13*IF(AND(Q$4&gt;=$G13,Q$4&lt;=$H13),IF($F13="Monthly",$E13,IF(MOD(Q$4-$G13,12)=0,$E13,0)),0)</f>
        <v/>
      </c>
      <c r="R13" s="19">
        <f>$N13*IF(AND(R$4&gt;=$G13,R$4&lt;=$H13),IF($F13="Monthly",$E13,IF(MOD(R$4-$G13,12)=0,$E13,0)),0)</f>
        <v/>
      </c>
      <c r="S13" s="19">
        <f>$N13*IF(AND(S$4&gt;=$G13,S$4&lt;=$H13),IF($F13="Monthly",$E13,IF(MOD(S$4-$G13,12)=0,$E13,0)),0)</f>
        <v/>
      </c>
      <c r="T13" s="19">
        <f>$N13*IF(AND(T$4&gt;=$G13,T$4&lt;=$H13),IF($F13="Monthly",$E13,IF(MOD(T$4-$G13,12)=0,$E13,0)),0)</f>
        <v/>
      </c>
      <c r="U13" s="19">
        <f>$N13*IF(AND(U$4&gt;=$G13,U$4&lt;=$H13),IF($F13="Monthly",$E13,IF(MOD(U$4-$G13,12)=0,$E13,0)),0)</f>
        <v/>
      </c>
      <c r="V13" s="19">
        <f>$N13*IF(AND(V$4&gt;=$G13,V$4&lt;=$H13),IF($F13="Monthly",$E13,IF(MOD(V$4-$G13,12)=0,$E13,0)),0)</f>
        <v/>
      </c>
      <c r="W13" s="19">
        <f>$N13*IF(AND(W$4&gt;=$G13,W$4&lt;=$H13),IF($F13="Monthly",$E13,IF(MOD(W$4-$G13,12)=0,$E13,0)),0)</f>
        <v/>
      </c>
      <c r="X13" s="19">
        <f>$N13*IF(AND(X$4&gt;=$G13,X$4&lt;=$H13),IF($F13="Monthly",$E13,IF(MOD(X$4-$G13,12)=0,$E13,0)),0)</f>
        <v/>
      </c>
      <c r="Y13" s="19">
        <f>$N13*IF(AND(Y$4&gt;=$G13,Y$4&lt;=$H13),IF($F13="Monthly",$E13,IF(MOD(Y$4-$G13,12)=0,$E13,0)),0)</f>
        <v/>
      </c>
      <c r="Z13" s="19">
        <f>$N13*IF(AND(Z$4&gt;=$G13,Z$4&lt;=$H13),IF($F13="Monthly",$E13,IF(MOD(Z$4-$G13,12)=0,$E13,0)),0)</f>
        <v/>
      </c>
      <c r="AA13" s="19">
        <f>$N13*IF(AND(AA$4&gt;=$G13,AA$4&lt;=$H13),IF($F13="Monthly",$E13,IF(MOD(AA$4-$G13,12)=0,$E13,0)),0)</f>
        <v/>
      </c>
      <c r="AB13" s="19">
        <f>$N13*IF(AND(AB$4&gt;=$G13,AB$4&lt;=$H13),IF($F13="Monthly",$E13,IF(MOD(AB$4-$G13,12)=0,$E13,0)),0)</f>
        <v/>
      </c>
      <c r="AC13" s="19">
        <f>$N13*IF(AND(AC$4&gt;=$G13,AC$4&lt;=$H13),IF($F13="Monthly",$E13,IF(MOD(AC$4-$G13,12)=0,$E13,0)),0)</f>
        <v/>
      </c>
      <c r="AD13" s="19">
        <f>$N13*IF(AND(AD$4&gt;=$G13,AD$4&lt;=$H13),IF($F13="Monthly",$E13,IF(MOD(AD$4-$G13,12)=0,$E13,0)),0)</f>
        <v/>
      </c>
      <c r="AE13" s="19">
        <f>$N13*IF(AND(AE$4&gt;=$G13,AE$4&lt;=$H13),IF($F13="Monthly",$E13,IF(MOD(AE$4-$G13,12)=0,$E13,0)),0)</f>
        <v/>
      </c>
      <c r="AF13" s="19">
        <f>$N13*IF(AND(AF$4&gt;=$G13,AF$4&lt;=$H13),IF($F13="Monthly",$E13,IF(MOD(AF$4-$G13,12)=0,$E13,0)),0)</f>
        <v/>
      </c>
      <c r="AG13" s="19">
        <f>$N13*IF(AND(AG$4&gt;=$G13,AG$4&lt;=$H13),IF($F13="Monthly",$E13,IF(MOD(AG$4-$G13,12)=0,$E13,0)),0)</f>
        <v/>
      </c>
      <c r="AH13" s="19">
        <f>$N13*IF(AND(AH$4&gt;=$G13,AH$4&lt;=$H13),IF($F13="Monthly",$E13,IF(MOD(AH$4-$G13,12)=0,$E13,0)),0)</f>
        <v/>
      </c>
      <c r="AI13" s="19">
        <f>$N13*IF(AND(AI$4&gt;=$G13,AI$4&lt;=$H13),IF($F13="Monthly",$E13,IF(MOD(AI$4-$G13,12)=0,$E13,0)),0)</f>
        <v/>
      </c>
      <c r="AJ13" s="19">
        <f>$N13*IF(AND(AJ$4&gt;=$G13,AJ$4&lt;=$H13),IF($F13="Monthly",$E13,IF(MOD(AJ$4-$G13,12)=0,$E13,0)),0)</f>
        <v/>
      </c>
      <c r="AK13" s="19">
        <f>$N13*IF(AND(AK$4&gt;=$G13,AK$4&lt;=$H13),IF($F13="Monthly",$E13,IF(MOD(AK$4-$G13,12)=0,$E13,0)),0)</f>
        <v/>
      </c>
      <c r="AL13" s="19">
        <f>$N13*IF(AND(AL$4&gt;=$G13,AL$4&lt;=$H13),IF($F13="Monthly",$E13,IF(MOD(AL$4-$G13,12)=0,$E13,0)),0)</f>
        <v/>
      </c>
      <c r="AM13" s="19">
        <f>$N13*IF(AND(AM$4&gt;=$G13,AM$4&lt;=$H13),IF($F13="Monthly",$E13,IF(MOD(AM$4-$G13,12)=0,$E13,0)),0)</f>
        <v/>
      </c>
      <c r="AN13" s="19">
        <f>$N13*IF(AND(AN$4&gt;=$G13,AN$4&lt;=$H13),IF($F13="Monthly",$E13,IF(MOD(AN$4-$G13,12)=0,$E13,0)),0)</f>
        <v/>
      </c>
      <c r="AO13" s="19">
        <f>$N13*IF(AND(AO$4&gt;=$G13,AO$4&lt;=$H13),IF($F13="Monthly",$E13,IF(MOD(AO$4-$G13,12)=0,$E13,0)),0)</f>
        <v/>
      </c>
      <c r="AP13" s="19">
        <f>$N13*IF(AND(AP$4&gt;=$G13,AP$4&lt;=$H13),IF($F13="Monthly",$E13,IF(MOD(AP$4-$G13,12)=0,$E13,0)),0)</f>
        <v/>
      </c>
      <c r="AQ13" s="19">
        <f>$N13*IF(AND(AQ$4&gt;=$G13,AQ$4&lt;=$H13),IF($F13="Monthly",$E13,IF(MOD(AQ$4-$G13,12)=0,$E13,0)),0)</f>
        <v/>
      </c>
      <c r="AR13" s="19">
        <f>$N13*IF(AND(AR$4&gt;=$G13,AR$4&lt;=$H13),IF($F13="Monthly",$E13,IF(MOD(AR$4-$G13,12)=0,$E13,0)),0)</f>
        <v/>
      </c>
      <c r="AS13" s="19">
        <f>$N13*IF(AND(AS$4&gt;=$G13,AS$4&lt;=$H13),IF($F13="Monthly",$E13,IF(MOD(AS$4-$G13,12)=0,$E13,0)),0)</f>
        <v/>
      </c>
      <c r="AT13" s="19">
        <f>$N13*IF(AND(AT$4&gt;=$G13,AT$4&lt;=$H13),IF($F13="Monthly",$E13,IF(MOD(AT$4-$G13,12)=0,$E13,0)),0)</f>
        <v/>
      </c>
      <c r="AU13" s="19">
        <f>$N13*IF(AND(AU$4&gt;=$G13,AU$4&lt;=$H13),IF($F13="Monthly",$E13,IF(MOD(AU$4-$G13,12)=0,$E13,0)),0)</f>
        <v/>
      </c>
      <c r="AV13" s="19">
        <f>$N13*IF(AND(AV$4&gt;=$G13,AV$4&lt;=$H13),IF($F13="Monthly",$E13,IF(MOD(AV$4-$G13,12)=0,$E13,0)),0)</f>
        <v/>
      </c>
      <c r="AW13" s="19">
        <f>$N13*IF(AND(AW$4&gt;=$G13,AW$4&lt;=$H13),IF($F13="Monthly",$E13,IF(MOD(AW$4-$G13,12)=0,$E13,0)),0)</f>
        <v/>
      </c>
      <c r="AX13" s="19">
        <f>$N13*IF(AND(AX$4&gt;=$G13,AX$4&lt;=$H13),IF($F13="Monthly",$E13,IF(MOD(AX$4-$G13,12)=0,$E13,0)),0)</f>
        <v/>
      </c>
    </row>
    <row r="14">
      <c r="A14" s="7" t="inlineStr">
        <is>
          <t>Link My Books settlement connector (1-3 channels)</t>
        </is>
      </c>
      <c r="B14" s="7" t="inlineStr">
        <is>
          <t>Connectors</t>
        </is>
      </c>
      <c r="C14" s="29" t="n">
        <v>21</v>
      </c>
      <c r="D14" s="29" t="n">
        <v>47</v>
      </c>
      <c r="E14" s="16">
        <f>C14+'Assumptions'!$C$10*(D14-C14)</f>
        <v/>
      </c>
      <c r="F14" s="46" t="inlineStr">
        <is>
          <t>Monthly</t>
        </is>
      </c>
      <c r="G14" s="25" t="n">
        <v>3</v>
      </c>
      <c r="H14" s="25" t="n">
        <v>36</v>
      </c>
      <c r="I14" s="19">
        <f>SUMIF($O$3:$AX$3,1,O14:AX14)</f>
        <v/>
      </c>
      <c r="J14" s="19">
        <f>SUMIF($O$3:$AX$3,2,O14:AX14)</f>
        <v/>
      </c>
      <c r="K14" s="19">
        <f>SUMIF($O$3:$AX$3,3,O14:AX14)</f>
        <v/>
      </c>
      <c r="L14" s="7" t="inlineStr">
        <is>
          <t>money-and-tax-setup: from $21/mo, about $13 per extra channel.</t>
        </is>
      </c>
      <c r="M14" s="7" t="inlineStr">
        <is>
          <t>Repo [VERIFY]</t>
        </is>
      </c>
      <c r="N14" s="25" t="n">
        <v>1</v>
      </c>
      <c r="O14" s="19">
        <f>$N14*IF(AND(O$4&gt;=$G14,O$4&lt;=$H14),IF($F14="Monthly",$E14,IF(MOD(O$4-$G14,12)=0,$E14,0)),0)</f>
        <v/>
      </c>
      <c r="P14" s="19">
        <f>$N14*IF(AND(P$4&gt;=$G14,P$4&lt;=$H14),IF($F14="Monthly",$E14,IF(MOD(P$4-$G14,12)=0,$E14,0)),0)</f>
        <v/>
      </c>
      <c r="Q14" s="19">
        <f>$N14*IF(AND(Q$4&gt;=$G14,Q$4&lt;=$H14),IF($F14="Monthly",$E14,IF(MOD(Q$4-$G14,12)=0,$E14,0)),0)</f>
        <v/>
      </c>
      <c r="R14" s="19">
        <f>$N14*IF(AND(R$4&gt;=$G14,R$4&lt;=$H14),IF($F14="Monthly",$E14,IF(MOD(R$4-$G14,12)=0,$E14,0)),0)</f>
        <v/>
      </c>
      <c r="S14" s="19">
        <f>$N14*IF(AND(S$4&gt;=$G14,S$4&lt;=$H14),IF($F14="Monthly",$E14,IF(MOD(S$4-$G14,12)=0,$E14,0)),0)</f>
        <v/>
      </c>
      <c r="T14" s="19">
        <f>$N14*IF(AND(T$4&gt;=$G14,T$4&lt;=$H14),IF($F14="Monthly",$E14,IF(MOD(T$4-$G14,12)=0,$E14,0)),0)</f>
        <v/>
      </c>
      <c r="U14" s="19">
        <f>$N14*IF(AND(U$4&gt;=$G14,U$4&lt;=$H14),IF($F14="Monthly",$E14,IF(MOD(U$4-$G14,12)=0,$E14,0)),0)</f>
        <v/>
      </c>
      <c r="V14" s="19">
        <f>$N14*IF(AND(V$4&gt;=$G14,V$4&lt;=$H14),IF($F14="Monthly",$E14,IF(MOD(V$4-$G14,12)=0,$E14,0)),0)</f>
        <v/>
      </c>
      <c r="W14" s="19">
        <f>$N14*IF(AND(W$4&gt;=$G14,W$4&lt;=$H14),IF($F14="Monthly",$E14,IF(MOD(W$4-$G14,12)=0,$E14,0)),0)</f>
        <v/>
      </c>
      <c r="X14" s="19">
        <f>$N14*IF(AND(X$4&gt;=$G14,X$4&lt;=$H14),IF($F14="Monthly",$E14,IF(MOD(X$4-$G14,12)=0,$E14,0)),0)</f>
        <v/>
      </c>
      <c r="Y14" s="19">
        <f>$N14*IF(AND(Y$4&gt;=$G14,Y$4&lt;=$H14),IF($F14="Monthly",$E14,IF(MOD(Y$4-$G14,12)=0,$E14,0)),0)</f>
        <v/>
      </c>
      <c r="Z14" s="19">
        <f>$N14*IF(AND(Z$4&gt;=$G14,Z$4&lt;=$H14),IF($F14="Monthly",$E14,IF(MOD(Z$4-$G14,12)=0,$E14,0)),0)</f>
        <v/>
      </c>
      <c r="AA14" s="19">
        <f>$N14*IF(AND(AA$4&gt;=$G14,AA$4&lt;=$H14),IF($F14="Monthly",$E14,IF(MOD(AA$4-$G14,12)=0,$E14,0)),0)</f>
        <v/>
      </c>
      <c r="AB14" s="19">
        <f>$N14*IF(AND(AB$4&gt;=$G14,AB$4&lt;=$H14),IF($F14="Monthly",$E14,IF(MOD(AB$4-$G14,12)=0,$E14,0)),0)</f>
        <v/>
      </c>
      <c r="AC14" s="19">
        <f>$N14*IF(AND(AC$4&gt;=$G14,AC$4&lt;=$H14),IF($F14="Monthly",$E14,IF(MOD(AC$4-$G14,12)=0,$E14,0)),0)</f>
        <v/>
      </c>
      <c r="AD14" s="19">
        <f>$N14*IF(AND(AD$4&gt;=$G14,AD$4&lt;=$H14),IF($F14="Monthly",$E14,IF(MOD(AD$4-$G14,12)=0,$E14,0)),0)</f>
        <v/>
      </c>
      <c r="AE14" s="19">
        <f>$N14*IF(AND(AE$4&gt;=$G14,AE$4&lt;=$H14),IF($F14="Monthly",$E14,IF(MOD(AE$4-$G14,12)=0,$E14,0)),0)</f>
        <v/>
      </c>
      <c r="AF14" s="19">
        <f>$N14*IF(AND(AF$4&gt;=$G14,AF$4&lt;=$H14),IF($F14="Monthly",$E14,IF(MOD(AF$4-$G14,12)=0,$E14,0)),0)</f>
        <v/>
      </c>
      <c r="AG14" s="19">
        <f>$N14*IF(AND(AG$4&gt;=$G14,AG$4&lt;=$H14),IF($F14="Monthly",$E14,IF(MOD(AG$4-$G14,12)=0,$E14,0)),0)</f>
        <v/>
      </c>
      <c r="AH14" s="19">
        <f>$N14*IF(AND(AH$4&gt;=$G14,AH$4&lt;=$H14),IF($F14="Monthly",$E14,IF(MOD(AH$4-$G14,12)=0,$E14,0)),0)</f>
        <v/>
      </c>
      <c r="AI14" s="19">
        <f>$N14*IF(AND(AI$4&gt;=$G14,AI$4&lt;=$H14),IF($F14="Monthly",$E14,IF(MOD(AI$4-$G14,12)=0,$E14,0)),0)</f>
        <v/>
      </c>
      <c r="AJ14" s="19">
        <f>$N14*IF(AND(AJ$4&gt;=$G14,AJ$4&lt;=$H14),IF($F14="Monthly",$E14,IF(MOD(AJ$4-$G14,12)=0,$E14,0)),0)</f>
        <v/>
      </c>
      <c r="AK14" s="19">
        <f>$N14*IF(AND(AK$4&gt;=$G14,AK$4&lt;=$H14),IF($F14="Monthly",$E14,IF(MOD(AK$4-$G14,12)=0,$E14,0)),0)</f>
        <v/>
      </c>
      <c r="AL14" s="19">
        <f>$N14*IF(AND(AL$4&gt;=$G14,AL$4&lt;=$H14),IF($F14="Monthly",$E14,IF(MOD(AL$4-$G14,12)=0,$E14,0)),0)</f>
        <v/>
      </c>
      <c r="AM14" s="19">
        <f>$N14*IF(AND(AM$4&gt;=$G14,AM$4&lt;=$H14),IF($F14="Monthly",$E14,IF(MOD(AM$4-$G14,12)=0,$E14,0)),0)</f>
        <v/>
      </c>
      <c r="AN14" s="19">
        <f>$N14*IF(AND(AN$4&gt;=$G14,AN$4&lt;=$H14),IF($F14="Monthly",$E14,IF(MOD(AN$4-$G14,12)=0,$E14,0)),0)</f>
        <v/>
      </c>
      <c r="AO14" s="19">
        <f>$N14*IF(AND(AO$4&gt;=$G14,AO$4&lt;=$H14),IF($F14="Monthly",$E14,IF(MOD(AO$4-$G14,12)=0,$E14,0)),0)</f>
        <v/>
      </c>
      <c r="AP14" s="19">
        <f>$N14*IF(AND(AP$4&gt;=$G14,AP$4&lt;=$H14),IF($F14="Monthly",$E14,IF(MOD(AP$4-$G14,12)=0,$E14,0)),0)</f>
        <v/>
      </c>
      <c r="AQ14" s="19">
        <f>$N14*IF(AND(AQ$4&gt;=$G14,AQ$4&lt;=$H14),IF($F14="Monthly",$E14,IF(MOD(AQ$4-$G14,12)=0,$E14,0)),0)</f>
        <v/>
      </c>
      <c r="AR14" s="19">
        <f>$N14*IF(AND(AR$4&gt;=$G14,AR$4&lt;=$H14),IF($F14="Monthly",$E14,IF(MOD(AR$4-$G14,12)=0,$E14,0)),0)</f>
        <v/>
      </c>
      <c r="AS14" s="19">
        <f>$N14*IF(AND(AS$4&gt;=$G14,AS$4&lt;=$H14),IF($F14="Monthly",$E14,IF(MOD(AS$4-$G14,12)=0,$E14,0)),0)</f>
        <v/>
      </c>
      <c r="AT14" s="19">
        <f>$N14*IF(AND(AT$4&gt;=$G14,AT$4&lt;=$H14),IF($F14="Monthly",$E14,IF(MOD(AT$4-$G14,12)=0,$E14,0)),0)</f>
        <v/>
      </c>
      <c r="AU14" s="19">
        <f>$N14*IF(AND(AU$4&gt;=$G14,AU$4&lt;=$H14),IF($F14="Monthly",$E14,IF(MOD(AU$4-$G14,12)=0,$E14,0)),0)</f>
        <v/>
      </c>
      <c r="AV14" s="19">
        <f>$N14*IF(AND(AV$4&gt;=$G14,AV$4&lt;=$H14),IF($F14="Monthly",$E14,IF(MOD(AV$4-$G14,12)=0,$E14,0)),0)</f>
        <v/>
      </c>
      <c r="AW14" s="19">
        <f>$N14*IF(AND(AW$4&gt;=$G14,AW$4&lt;=$H14),IF($F14="Monthly",$E14,IF(MOD(AW$4-$G14,12)=0,$E14,0)),0)</f>
        <v/>
      </c>
      <c r="AX14" s="19">
        <f>$N14*IF(AND(AX$4&gt;=$G14,AX$4&lt;=$H14),IF($F14="Monthly",$E14,IF(MOD(AX$4-$G14,12)=0,$E14,0)),0)</f>
        <v/>
      </c>
    </row>
    <row r="15">
      <c r="A15" s="7" t="inlineStr">
        <is>
          <t>Buyer-specific PDF stamping</t>
        </is>
      </c>
      <c r="B15" s="7" t="inlineStr">
        <is>
          <t>Tools</t>
        </is>
      </c>
      <c r="C15" s="29" t="n">
        <v>0</v>
      </c>
      <c r="D15" s="29" t="n">
        <v>20</v>
      </c>
      <c r="E15" s="16">
        <f>C15+'Assumptions'!$C$10*(D15-C15)</f>
        <v/>
      </c>
      <c r="F15" s="46" t="inlineStr">
        <is>
          <t>Monthly</t>
        </is>
      </c>
      <c r="G15" s="25" t="n">
        <v>3</v>
      </c>
      <c r="H15" s="25" t="n">
        <v>36</v>
      </c>
      <c r="I15" s="19">
        <f>SUMIF($O$3:$AX$3,1,O15:AX15)</f>
        <v/>
      </c>
      <c r="J15" s="19">
        <f>SUMIF($O$3:$AX$3,2,O15:AX15)</f>
        <v/>
      </c>
      <c r="K15" s="19">
        <f>SUMIF($O$3:$AX$3,3,O15:AX15)</f>
        <v/>
      </c>
      <c r="L15" s="7" t="inlineStr">
        <is>
          <t>PROTECTION-PLAN: about $0-$20/mo.</t>
        </is>
      </c>
      <c r="M15" s="7" t="inlineStr">
        <is>
          <t>Repo [VERIFY]</t>
        </is>
      </c>
      <c r="N15" s="25" t="n">
        <v>1</v>
      </c>
      <c r="O15" s="19">
        <f>$N15*IF(AND(O$4&gt;=$G15,O$4&lt;=$H15),IF($F15="Monthly",$E15,IF(MOD(O$4-$G15,12)=0,$E15,0)),0)</f>
        <v/>
      </c>
      <c r="P15" s="19">
        <f>$N15*IF(AND(P$4&gt;=$G15,P$4&lt;=$H15),IF($F15="Monthly",$E15,IF(MOD(P$4-$G15,12)=0,$E15,0)),0)</f>
        <v/>
      </c>
      <c r="Q15" s="19">
        <f>$N15*IF(AND(Q$4&gt;=$G15,Q$4&lt;=$H15),IF($F15="Monthly",$E15,IF(MOD(Q$4-$G15,12)=0,$E15,0)),0)</f>
        <v/>
      </c>
      <c r="R15" s="19">
        <f>$N15*IF(AND(R$4&gt;=$G15,R$4&lt;=$H15),IF($F15="Monthly",$E15,IF(MOD(R$4-$G15,12)=0,$E15,0)),0)</f>
        <v/>
      </c>
      <c r="S15" s="19">
        <f>$N15*IF(AND(S$4&gt;=$G15,S$4&lt;=$H15),IF($F15="Monthly",$E15,IF(MOD(S$4-$G15,12)=0,$E15,0)),0)</f>
        <v/>
      </c>
      <c r="T15" s="19">
        <f>$N15*IF(AND(T$4&gt;=$G15,T$4&lt;=$H15),IF($F15="Monthly",$E15,IF(MOD(T$4-$G15,12)=0,$E15,0)),0)</f>
        <v/>
      </c>
      <c r="U15" s="19">
        <f>$N15*IF(AND(U$4&gt;=$G15,U$4&lt;=$H15),IF($F15="Monthly",$E15,IF(MOD(U$4-$G15,12)=0,$E15,0)),0)</f>
        <v/>
      </c>
      <c r="V15" s="19">
        <f>$N15*IF(AND(V$4&gt;=$G15,V$4&lt;=$H15),IF($F15="Monthly",$E15,IF(MOD(V$4-$G15,12)=0,$E15,0)),0)</f>
        <v/>
      </c>
      <c r="W15" s="19">
        <f>$N15*IF(AND(W$4&gt;=$G15,W$4&lt;=$H15),IF($F15="Monthly",$E15,IF(MOD(W$4-$G15,12)=0,$E15,0)),0)</f>
        <v/>
      </c>
      <c r="X15" s="19">
        <f>$N15*IF(AND(X$4&gt;=$G15,X$4&lt;=$H15),IF($F15="Monthly",$E15,IF(MOD(X$4-$G15,12)=0,$E15,0)),0)</f>
        <v/>
      </c>
      <c r="Y15" s="19">
        <f>$N15*IF(AND(Y$4&gt;=$G15,Y$4&lt;=$H15),IF($F15="Monthly",$E15,IF(MOD(Y$4-$G15,12)=0,$E15,0)),0)</f>
        <v/>
      </c>
      <c r="Z15" s="19">
        <f>$N15*IF(AND(Z$4&gt;=$G15,Z$4&lt;=$H15),IF($F15="Monthly",$E15,IF(MOD(Z$4-$G15,12)=0,$E15,0)),0)</f>
        <v/>
      </c>
      <c r="AA15" s="19">
        <f>$N15*IF(AND(AA$4&gt;=$G15,AA$4&lt;=$H15),IF($F15="Monthly",$E15,IF(MOD(AA$4-$G15,12)=0,$E15,0)),0)</f>
        <v/>
      </c>
      <c r="AB15" s="19">
        <f>$N15*IF(AND(AB$4&gt;=$G15,AB$4&lt;=$H15),IF($F15="Monthly",$E15,IF(MOD(AB$4-$G15,12)=0,$E15,0)),0)</f>
        <v/>
      </c>
      <c r="AC15" s="19">
        <f>$N15*IF(AND(AC$4&gt;=$G15,AC$4&lt;=$H15),IF($F15="Monthly",$E15,IF(MOD(AC$4-$G15,12)=0,$E15,0)),0)</f>
        <v/>
      </c>
      <c r="AD15" s="19">
        <f>$N15*IF(AND(AD$4&gt;=$G15,AD$4&lt;=$H15),IF($F15="Monthly",$E15,IF(MOD(AD$4-$G15,12)=0,$E15,0)),0)</f>
        <v/>
      </c>
      <c r="AE15" s="19">
        <f>$N15*IF(AND(AE$4&gt;=$G15,AE$4&lt;=$H15),IF($F15="Monthly",$E15,IF(MOD(AE$4-$G15,12)=0,$E15,0)),0)</f>
        <v/>
      </c>
      <c r="AF15" s="19">
        <f>$N15*IF(AND(AF$4&gt;=$G15,AF$4&lt;=$H15),IF($F15="Monthly",$E15,IF(MOD(AF$4-$G15,12)=0,$E15,0)),0)</f>
        <v/>
      </c>
      <c r="AG15" s="19">
        <f>$N15*IF(AND(AG$4&gt;=$G15,AG$4&lt;=$H15),IF($F15="Monthly",$E15,IF(MOD(AG$4-$G15,12)=0,$E15,0)),0)</f>
        <v/>
      </c>
      <c r="AH15" s="19">
        <f>$N15*IF(AND(AH$4&gt;=$G15,AH$4&lt;=$H15),IF($F15="Monthly",$E15,IF(MOD(AH$4-$G15,12)=0,$E15,0)),0)</f>
        <v/>
      </c>
      <c r="AI15" s="19">
        <f>$N15*IF(AND(AI$4&gt;=$G15,AI$4&lt;=$H15),IF($F15="Monthly",$E15,IF(MOD(AI$4-$G15,12)=0,$E15,0)),0)</f>
        <v/>
      </c>
      <c r="AJ15" s="19">
        <f>$N15*IF(AND(AJ$4&gt;=$G15,AJ$4&lt;=$H15),IF($F15="Monthly",$E15,IF(MOD(AJ$4-$G15,12)=0,$E15,0)),0)</f>
        <v/>
      </c>
      <c r="AK15" s="19">
        <f>$N15*IF(AND(AK$4&gt;=$G15,AK$4&lt;=$H15),IF($F15="Monthly",$E15,IF(MOD(AK$4-$G15,12)=0,$E15,0)),0)</f>
        <v/>
      </c>
      <c r="AL15" s="19">
        <f>$N15*IF(AND(AL$4&gt;=$G15,AL$4&lt;=$H15),IF($F15="Monthly",$E15,IF(MOD(AL$4-$G15,12)=0,$E15,0)),0)</f>
        <v/>
      </c>
      <c r="AM15" s="19">
        <f>$N15*IF(AND(AM$4&gt;=$G15,AM$4&lt;=$H15),IF($F15="Monthly",$E15,IF(MOD(AM$4-$G15,12)=0,$E15,0)),0)</f>
        <v/>
      </c>
      <c r="AN15" s="19">
        <f>$N15*IF(AND(AN$4&gt;=$G15,AN$4&lt;=$H15),IF($F15="Monthly",$E15,IF(MOD(AN$4-$G15,12)=0,$E15,0)),0)</f>
        <v/>
      </c>
      <c r="AO15" s="19">
        <f>$N15*IF(AND(AO$4&gt;=$G15,AO$4&lt;=$H15),IF($F15="Monthly",$E15,IF(MOD(AO$4-$G15,12)=0,$E15,0)),0)</f>
        <v/>
      </c>
      <c r="AP15" s="19">
        <f>$N15*IF(AND(AP$4&gt;=$G15,AP$4&lt;=$H15),IF($F15="Monthly",$E15,IF(MOD(AP$4-$G15,12)=0,$E15,0)),0)</f>
        <v/>
      </c>
      <c r="AQ15" s="19">
        <f>$N15*IF(AND(AQ$4&gt;=$G15,AQ$4&lt;=$H15),IF($F15="Monthly",$E15,IF(MOD(AQ$4-$G15,12)=0,$E15,0)),0)</f>
        <v/>
      </c>
      <c r="AR15" s="19">
        <f>$N15*IF(AND(AR$4&gt;=$G15,AR$4&lt;=$H15),IF($F15="Monthly",$E15,IF(MOD(AR$4-$G15,12)=0,$E15,0)),0)</f>
        <v/>
      </c>
      <c r="AS15" s="19">
        <f>$N15*IF(AND(AS$4&gt;=$G15,AS$4&lt;=$H15),IF($F15="Monthly",$E15,IF(MOD(AS$4-$G15,12)=0,$E15,0)),0)</f>
        <v/>
      </c>
      <c r="AT15" s="19">
        <f>$N15*IF(AND(AT$4&gt;=$G15,AT$4&lt;=$H15),IF($F15="Monthly",$E15,IF(MOD(AT$4-$G15,12)=0,$E15,0)),0)</f>
        <v/>
      </c>
      <c r="AU15" s="19">
        <f>$N15*IF(AND(AU$4&gt;=$G15,AU$4&lt;=$H15),IF($F15="Monthly",$E15,IF(MOD(AU$4-$G15,12)=0,$E15,0)),0)</f>
        <v/>
      </c>
      <c r="AV15" s="19">
        <f>$N15*IF(AND(AV$4&gt;=$G15,AV$4&lt;=$H15),IF($F15="Monthly",$E15,IF(MOD(AV$4-$G15,12)=0,$E15,0)),0)</f>
        <v/>
      </c>
      <c r="AW15" s="19">
        <f>$N15*IF(AND(AW$4&gt;=$G15,AW$4&lt;=$H15),IF($F15="Monthly",$E15,IF(MOD(AW$4-$G15,12)=0,$E15,0)),0)</f>
        <v/>
      </c>
      <c r="AX15" s="19">
        <f>$N15*IF(AND(AX$4&gt;=$G15,AX$4&lt;=$H15),IF($F15="Monthly",$E15,IF(MOD(AX$4-$G15,12)=0,$E15,0)),0)</f>
        <v/>
      </c>
    </row>
    <row r="16">
      <c r="A16" s="7" t="inlineStr">
        <is>
          <t>Social scheduler</t>
        </is>
      </c>
      <c r="B16" s="7" t="inlineStr">
        <is>
          <t>Tools</t>
        </is>
      </c>
      <c r="C16" s="29" t="n">
        <v>0</v>
      </c>
      <c r="D16" s="29" t="n">
        <v>30</v>
      </c>
      <c r="E16" s="16">
        <f>C16+'Assumptions'!$C$10*(D16-C16)</f>
        <v/>
      </c>
      <c r="F16" s="46" t="inlineStr">
        <is>
          <t>Monthly</t>
        </is>
      </c>
      <c r="G16" s="25" t="n">
        <v>3</v>
      </c>
      <c r="H16" s="25" t="n">
        <v>36</v>
      </c>
      <c r="I16" s="19">
        <f>SUMIF($O$3:$AX$3,1,O16:AX16)</f>
        <v/>
      </c>
      <c r="J16" s="19">
        <f>SUMIF($O$3:$AX$3,2,O16:AX16)</f>
        <v/>
      </c>
      <c r="K16" s="19">
        <f>SUMIF($O$3:$AX$3,3,O16:AX16)</f>
        <v/>
      </c>
      <c r="L16" s="7" t="inlineStr">
        <is>
          <t>Publisher role posts through a scheduler (section 5.3); no price in the repo.</t>
        </is>
      </c>
      <c r="M16" s="7" t="inlineStr">
        <is>
          <t>Assumption [VERIFY]</t>
        </is>
      </c>
      <c r="N16" s="25" t="n">
        <v>1</v>
      </c>
      <c r="O16" s="19">
        <f>$N16*IF(AND(O$4&gt;=$G16,O$4&lt;=$H16),IF($F16="Monthly",$E16,IF(MOD(O$4-$G16,12)=0,$E16,0)),0)</f>
        <v/>
      </c>
      <c r="P16" s="19">
        <f>$N16*IF(AND(P$4&gt;=$G16,P$4&lt;=$H16),IF($F16="Monthly",$E16,IF(MOD(P$4-$G16,12)=0,$E16,0)),0)</f>
        <v/>
      </c>
      <c r="Q16" s="19">
        <f>$N16*IF(AND(Q$4&gt;=$G16,Q$4&lt;=$H16),IF($F16="Monthly",$E16,IF(MOD(Q$4-$G16,12)=0,$E16,0)),0)</f>
        <v/>
      </c>
      <c r="R16" s="19">
        <f>$N16*IF(AND(R$4&gt;=$G16,R$4&lt;=$H16),IF($F16="Monthly",$E16,IF(MOD(R$4-$G16,12)=0,$E16,0)),0)</f>
        <v/>
      </c>
      <c r="S16" s="19">
        <f>$N16*IF(AND(S$4&gt;=$G16,S$4&lt;=$H16),IF($F16="Monthly",$E16,IF(MOD(S$4-$G16,12)=0,$E16,0)),0)</f>
        <v/>
      </c>
      <c r="T16" s="19">
        <f>$N16*IF(AND(T$4&gt;=$G16,T$4&lt;=$H16),IF($F16="Monthly",$E16,IF(MOD(T$4-$G16,12)=0,$E16,0)),0)</f>
        <v/>
      </c>
      <c r="U16" s="19">
        <f>$N16*IF(AND(U$4&gt;=$G16,U$4&lt;=$H16),IF($F16="Monthly",$E16,IF(MOD(U$4-$G16,12)=0,$E16,0)),0)</f>
        <v/>
      </c>
      <c r="V16" s="19">
        <f>$N16*IF(AND(V$4&gt;=$G16,V$4&lt;=$H16),IF($F16="Monthly",$E16,IF(MOD(V$4-$G16,12)=0,$E16,0)),0)</f>
        <v/>
      </c>
      <c r="W16" s="19">
        <f>$N16*IF(AND(W$4&gt;=$G16,W$4&lt;=$H16),IF($F16="Monthly",$E16,IF(MOD(W$4-$G16,12)=0,$E16,0)),0)</f>
        <v/>
      </c>
      <c r="X16" s="19">
        <f>$N16*IF(AND(X$4&gt;=$G16,X$4&lt;=$H16),IF($F16="Monthly",$E16,IF(MOD(X$4-$G16,12)=0,$E16,0)),0)</f>
        <v/>
      </c>
      <c r="Y16" s="19">
        <f>$N16*IF(AND(Y$4&gt;=$G16,Y$4&lt;=$H16),IF($F16="Monthly",$E16,IF(MOD(Y$4-$G16,12)=0,$E16,0)),0)</f>
        <v/>
      </c>
      <c r="Z16" s="19">
        <f>$N16*IF(AND(Z$4&gt;=$G16,Z$4&lt;=$H16),IF($F16="Monthly",$E16,IF(MOD(Z$4-$G16,12)=0,$E16,0)),0)</f>
        <v/>
      </c>
      <c r="AA16" s="19">
        <f>$N16*IF(AND(AA$4&gt;=$G16,AA$4&lt;=$H16),IF($F16="Monthly",$E16,IF(MOD(AA$4-$G16,12)=0,$E16,0)),0)</f>
        <v/>
      </c>
      <c r="AB16" s="19">
        <f>$N16*IF(AND(AB$4&gt;=$G16,AB$4&lt;=$H16),IF($F16="Monthly",$E16,IF(MOD(AB$4-$G16,12)=0,$E16,0)),0)</f>
        <v/>
      </c>
      <c r="AC16" s="19">
        <f>$N16*IF(AND(AC$4&gt;=$G16,AC$4&lt;=$H16),IF($F16="Monthly",$E16,IF(MOD(AC$4-$G16,12)=0,$E16,0)),0)</f>
        <v/>
      </c>
      <c r="AD16" s="19">
        <f>$N16*IF(AND(AD$4&gt;=$G16,AD$4&lt;=$H16),IF($F16="Monthly",$E16,IF(MOD(AD$4-$G16,12)=0,$E16,0)),0)</f>
        <v/>
      </c>
      <c r="AE16" s="19">
        <f>$N16*IF(AND(AE$4&gt;=$G16,AE$4&lt;=$H16),IF($F16="Monthly",$E16,IF(MOD(AE$4-$G16,12)=0,$E16,0)),0)</f>
        <v/>
      </c>
      <c r="AF16" s="19">
        <f>$N16*IF(AND(AF$4&gt;=$G16,AF$4&lt;=$H16),IF($F16="Monthly",$E16,IF(MOD(AF$4-$G16,12)=0,$E16,0)),0)</f>
        <v/>
      </c>
      <c r="AG16" s="19">
        <f>$N16*IF(AND(AG$4&gt;=$G16,AG$4&lt;=$H16),IF($F16="Monthly",$E16,IF(MOD(AG$4-$G16,12)=0,$E16,0)),0)</f>
        <v/>
      </c>
      <c r="AH16" s="19">
        <f>$N16*IF(AND(AH$4&gt;=$G16,AH$4&lt;=$H16),IF($F16="Monthly",$E16,IF(MOD(AH$4-$G16,12)=0,$E16,0)),0)</f>
        <v/>
      </c>
      <c r="AI16" s="19">
        <f>$N16*IF(AND(AI$4&gt;=$G16,AI$4&lt;=$H16),IF($F16="Monthly",$E16,IF(MOD(AI$4-$G16,12)=0,$E16,0)),0)</f>
        <v/>
      </c>
      <c r="AJ16" s="19">
        <f>$N16*IF(AND(AJ$4&gt;=$G16,AJ$4&lt;=$H16),IF($F16="Monthly",$E16,IF(MOD(AJ$4-$G16,12)=0,$E16,0)),0)</f>
        <v/>
      </c>
      <c r="AK16" s="19">
        <f>$N16*IF(AND(AK$4&gt;=$G16,AK$4&lt;=$H16),IF($F16="Monthly",$E16,IF(MOD(AK$4-$G16,12)=0,$E16,0)),0)</f>
        <v/>
      </c>
      <c r="AL16" s="19">
        <f>$N16*IF(AND(AL$4&gt;=$G16,AL$4&lt;=$H16),IF($F16="Monthly",$E16,IF(MOD(AL$4-$G16,12)=0,$E16,0)),0)</f>
        <v/>
      </c>
      <c r="AM16" s="19">
        <f>$N16*IF(AND(AM$4&gt;=$G16,AM$4&lt;=$H16),IF($F16="Monthly",$E16,IF(MOD(AM$4-$G16,12)=0,$E16,0)),0)</f>
        <v/>
      </c>
      <c r="AN16" s="19">
        <f>$N16*IF(AND(AN$4&gt;=$G16,AN$4&lt;=$H16),IF($F16="Monthly",$E16,IF(MOD(AN$4-$G16,12)=0,$E16,0)),0)</f>
        <v/>
      </c>
      <c r="AO16" s="19">
        <f>$N16*IF(AND(AO$4&gt;=$G16,AO$4&lt;=$H16),IF($F16="Monthly",$E16,IF(MOD(AO$4-$G16,12)=0,$E16,0)),0)</f>
        <v/>
      </c>
      <c r="AP16" s="19">
        <f>$N16*IF(AND(AP$4&gt;=$G16,AP$4&lt;=$H16),IF($F16="Monthly",$E16,IF(MOD(AP$4-$G16,12)=0,$E16,0)),0)</f>
        <v/>
      </c>
      <c r="AQ16" s="19">
        <f>$N16*IF(AND(AQ$4&gt;=$G16,AQ$4&lt;=$H16),IF($F16="Monthly",$E16,IF(MOD(AQ$4-$G16,12)=0,$E16,0)),0)</f>
        <v/>
      </c>
      <c r="AR16" s="19">
        <f>$N16*IF(AND(AR$4&gt;=$G16,AR$4&lt;=$H16),IF($F16="Monthly",$E16,IF(MOD(AR$4-$G16,12)=0,$E16,0)),0)</f>
        <v/>
      </c>
      <c r="AS16" s="19">
        <f>$N16*IF(AND(AS$4&gt;=$G16,AS$4&lt;=$H16),IF($F16="Monthly",$E16,IF(MOD(AS$4-$G16,12)=0,$E16,0)),0)</f>
        <v/>
      </c>
      <c r="AT16" s="19">
        <f>$N16*IF(AND(AT$4&gt;=$G16,AT$4&lt;=$H16),IF($F16="Monthly",$E16,IF(MOD(AT$4-$G16,12)=0,$E16,0)),0)</f>
        <v/>
      </c>
      <c r="AU16" s="19">
        <f>$N16*IF(AND(AU$4&gt;=$G16,AU$4&lt;=$H16),IF($F16="Monthly",$E16,IF(MOD(AU$4-$G16,12)=0,$E16,0)),0)</f>
        <v/>
      </c>
      <c r="AV16" s="19">
        <f>$N16*IF(AND(AV$4&gt;=$G16,AV$4&lt;=$H16),IF($F16="Monthly",$E16,IF(MOD(AV$4-$G16,12)=0,$E16,0)),0)</f>
        <v/>
      </c>
      <c r="AW16" s="19">
        <f>$N16*IF(AND(AW$4&gt;=$G16,AW$4&lt;=$H16),IF($F16="Monthly",$E16,IF(MOD(AW$4-$G16,12)=0,$E16,0)),0)</f>
        <v/>
      </c>
      <c r="AX16" s="19">
        <f>$N16*IF(AND(AX$4&gt;=$G16,AX$4&lt;=$H16),IF($F16="Monthly",$E16,IF(MOD(AX$4-$G16,12)=0,$E16,0)),0)</f>
        <v/>
      </c>
    </row>
    <row r="17">
      <c r="A17" s="7" t="inlineStr">
        <is>
          <t>Own-site review app</t>
        </is>
      </c>
      <c r="B17" s="7" t="inlineStr">
        <is>
          <t>Tools</t>
        </is>
      </c>
      <c r="C17" s="29" t="n">
        <v>0</v>
      </c>
      <c r="D17" s="29" t="n">
        <v>15</v>
      </c>
      <c r="E17" s="16">
        <f>C17+'Assumptions'!$C$10*(D17-C17)</f>
        <v/>
      </c>
      <c r="F17" s="46" t="inlineStr">
        <is>
          <t>Monthly</t>
        </is>
      </c>
      <c r="G17" s="25" t="n">
        <v>3</v>
      </c>
      <c r="H17" s="25" t="n">
        <v>36</v>
      </c>
      <c r="I17" s="19">
        <f>SUMIF($O$3:$AX$3,1,O17:AX17)</f>
        <v/>
      </c>
      <c r="J17" s="19">
        <f>SUMIF($O$3:$AX$3,2,O17:AX17)</f>
        <v/>
      </c>
      <c r="K17" s="19">
        <f>SUMIF($O$3:$AX$3,3,O17:AX17)</f>
        <v/>
      </c>
      <c r="L17" s="7" t="inlineStr">
        <is>
          <t>Section 4.7 own-site review app; no price in the repo.</t>
        </is>
      </c>
      <c r="M17" s="7" t="inlineStr">
        <is>
          <t>Assumption [VERIFY]</t>
        </is>
      </c>
      <c r="N17" s="25" t="n">
        <v>1</v>
      </c>
      <c r="O17" s="19">
        <f>$N17*IF(AND(O$4&gt;=$G17,O$4&lt;=$H17),IF($F17="Monthly",$E17,IF(MOD(O$4-$G17,12)=0,$E17,0)),0)</f>
        <v/>
      </c>
      <c r="P17" s="19">
        <f>$N17*IF(AND(P$4&gt;=$G17,P$4&lt;=$H17),IF($F17="Monthly",$E17,IF(MOD(P$4-$G17,12)=0,$E17,0)),0)</f>
        <v/>
      </c>
      <c r="Q17" s="19">
        <f>$N17*IF(AND(Q$4&gt;=$G17,Q$4&lt;=$H17),IF($F17="Monthly",$E17,IF(MOD(Q$4-$G17,12)=0,$E17,0)),0)</f>
        <v/>
      </c>
      <c r="R17" s="19">
        <f>$N17*IF(AND(R$4&gt;=$G17,R$4&lt;=$H17),IF($F17="Monthly",$E17,IF(MOD(R$4-$G17,12)=0,$E17,0)),0)</f>
        <v/>
      </c>
      <c r="S17" s="19">
        <f>$N17*IF(AND(S$4&gt;=$G17,S$4&lt;=$H17),IF($F17="Monthly",$E17,IF(MOD(S$4-$G17,12)=0,$E17,0)),0)</f>
        <v/>
      </c>
      <c r="T17" s="19">
        <f>$N17*IF(AND(T$4&gt;=$G17,T$4&lt;=$H17),IF($F17="Monthly",$E17,IF(MOD(T$4-$G17,12)=0,$E17,0)),0)</f>
        <v/>
      </c>
      <c r="U17" s="19">
        <f>$N17*IF(AND(U$4&gt;=$G17,U$4&lt;=$H17),IF($F17="Monthly",$E17,IF(MOD(U$4-$G17,12)=0,$E17,0)),0)</f>
        <v/>
      </c>
      <c r="V17" s="19">
        <f>$N17*IF(AND(V$4&gt;=$G17,V$4&lt;=$H17),IF($F17="Monthly",$E17,IF(MOD(V$4-$G17,12)=0,$E17,0)),0)</f>
        <v/>
      </c>
      <c r="W17" s="19">
        <f>$N17*IF(AND(W$4&gt;=$G17,W$4&lt;=$H17),IF($F17="Monthly",$E17,IF(MOD(W$4-$G17,12)=0,$E17,0)),0)</f>
        <v/>
      </c>
      <c r="X17" s="19">
        <f>$N17*IF(AND(X$4&gt;=$G17,X$4&lt;=$H17),IF($F17="Monthly",$E17,IF(MOD(X$4-$G17,12)=0,$E17,0)),0)</f>
        <v/>
      </c>
      <c r="Y17" s="19">
        <f>$N17*IF(AND(Y$4&gt;=$G17,Y$4&lt;=$H17),IF($F17="Monthly",$E17,IF(MOD(Y$4-$G17,12)=0,$E17,0)),0)</f>
        <v/>
      </c>
      <c r="Z17" s="19">
        <f>$N17*IF(AND(Z$4&gt;=$G17,Z$4&lt;=$H17),IF($F17="Monthly",$E17,IF(MOD(Z$4-$G17,12)=0,$E17,0)),0)</f>
        <v/>
      </c>
      <c r="AA17" s="19">
        <f>$N17*IF(AND(AA$4&gt;=$G17,AA$4&lt;=$H17),IF($F17="Monthly",$E17,IF(MOD(AA$4-$G17,12)=0,$E17,0)),0)</f>
        <v/>
      </c>
      <c r="AB17" s="19">
        <f>$N17*IF(AND(AB$4&gt;=$G17,AB$4&lt;=$H17),IF($F17="Monthly",$E17,IF(MOD(AB$4-$G17,12)=0,$E17,0)),0)</f>
        <v/>
      </c>
      <c r="AC17" s="19">
        <f>$N17*IF(AND(AC$4&gt;=$G17,AC$4&lt;=$H17),IF($F17="Monthly",$E17,IF(MOD(AC$4-$G17,12)=0,$E17,0)),0)</f>
        <v/>
      </c>
      <c r="AD17" s="19">
        <f>$N17*IF(AND(AD$4&gt;=$G17,AD$4&lt;=$H17),IF($F17="Monthly",$E17,IF(MOD(AD$4-$G17,12)=0,$E17,0)),0)</f>
        <v/>
      </c>
      <c r="AE17" s="19">
        <f>$N17*IF(AND(AE$4&gt;=$G17,AE$4&lt;=$H17),IF($F17="Monthly",$E17,IF(MOD(AE$4-$G17,12)=0,$E17,0)),0)</f>
        <v/>
      </c>
      <c r="AF17" s="19">
        <f>$N17*IF(AND(AF$4&gt;=$G17,AF$4&lt;=$H17),IF($F17="Monthly",$E17,IF(MOD(AF$4-$G17,12)=0,$E17,0)),0)</f>
        <v/>
      </c>
      <c r="AG17" s="19">
        <f>$N17*IF(AND(AG$4&gt;=$G17,AG$4&lt;=$H17),IF($F17="Monthly",$E17,IF(MOD(AG$4-$G17,12)=0,$E17,0)),0)</f>
        <v/>
      </c>
      <c r="AH17" s="19">
        <f>$N17*IF(AND(AH$4&gt;=$G17,AH$4&lt;=$H17),IF($F17="Monthly",$E17,IF(MOD(AH$4-$G17,12)=0,$E17,0)),0)</f>
        <v/>
      </c>
      <c r="AI17" s="19">
        <f>$N17*IF(AND(AI$4&gt;=$G17,AI$4&lt;=$H17),IF($F17="Monthly",$E17,IF(MOD(AI$4-$G17,12)=0,$E17,0)),0)</f>
        <v/>
      </c>
      <c r="AJ17" s="19">
        <f>$N17*IF(AND(AJ$4&gt;=$G17,AJ$4&lt;=$H17),IF($F17="Monthly",$E17,IF(MOD(AJ$4-$G17,12)=0,$E17,0)),0)</f>
        <v/>
      </c>
      <c r="AK17" s="19">
        <f>$N17*IF(AND(AK$4&gt;=$G17,AK$4&lt;=$H17),IF($F17="Monthly",$E17,IF(MOD(AK$4-$G17,12)=0,$E17,0)),0)</f>
        <v/>
      </c>
      <c r="AL17" s="19">
        <f>$N17*IF(AND(AL$4&gt;=$G17,AL$4&lt;=$H17),IF($F17="Monthly",$E17,IF(MOD(AL$4-$G17,12)=0,$E17,0)),0)</f>
        <v/>
      </c>
      <c r="AM17" s="19">
        <f>$N17*IF(AND(AM$4&gt;=$G17,AM$4&lt;=$H17),IF($F17="Monthly",$E17,IF(MOD(AM$4-$G17,12)=0,$E17,0)),0)</f>
        <v/>
      </c>
      <c r="AN17" s="19">
        <f>$N17*IF(AND(AN$4&gt;=$G17,AN$4&lt;=$H17),IF($F17="Monthly",$E17,IF(MOD(AN$4-$G17,12)=0,$E17,0)),0)</f>
        <v/>
      </c>
      <c r="AO17" s="19">
        <f>$N17*IF(AND(AO$4&gt;=$G17,AO$4&lt;=$H17),IF($F17="Monthly",$E17,IF(MOD(AO$4-$G17,12)=0,$E17,0)),0)</f>
        <v/>
      </c>
      <c r="AP17" s="19">
        <f>$N17*IF(AND(AP$4&gt;=$G17,AP$4&lt;=$H17),IF($F17="Monthly",$E17,IF(MOD(AP$4-$G17,12)=0,$E17,0)),0)</f>
        <v/>
      </c>
      <c r="AQ17" s="19">
        <f>$N17*IF(AND(AQ$4&gt;=$G17,AQ$4&lt;=$H17),IF($F17="Monthly",$E17,IF(MOD(AQ$4-$G17,12)=0,$E17,0)),0)</f>
        <v/>
      </c>
      <c r="AR17" s="19">
        <f>$N17*IF(AND(AR$4&gt;=$G17,AR$4&lt;=$H17),IF($F17="Monthly",$E17,IF(MOD(AR$4-$G17,12)=0,$E17,0)),0)</f>
        <v/>
      </c>
      <c r="AS17" s="19">
        <f>$N17*IF(AND(AS$4&gt;=$G17,AS$4&lt;=$H17),IF($F17="Monthly",$E17,IF(MOD(AS$4-$G17,12)=0,$E17,0)),0)</f>
        <v/>
      </c>
      <c r="AT17" s="19">
        <f>$N17*IF(AND(AT$4&gt;=$G17,AT$4&lt;=$H17),IF($F17="Monthly",$E17,IF(MOD(AT$4-$G17,12)=0,$E17,0)),0)</f>
        <v/>
      </c>
      <c r="AU17" s="19">
        <f>$N17*IF(AND(AU$4&gt;=$G17,AU$4&lt;=$H17),IF($F17="Monthly",$E17,IF(MOD(AU$4-$G17,12)=0,$E17,0)),0)</f>
        <v/>
      </c>
      <c r="AV17" s="19">
        <f>$N17*IF(AND(AV$4&gt;=$G17,AV$4&lt;=$H17),IF($F17="Monthly",$E17,IF(MOD(AV$4-$G17,12)=0,$E17,0)),0)</f>
        <v/>
      </c>
      <c r="AW17" s="19">
        <f>$N17*IF(AND(AW$4&gt;=$G17,AW$4&lt;=$H17),IF($F17="Monthly",$E17,IF(MOD(AW$4-$G17,12)=0,$E17,0)),0)</f>
        <v/>
      </c>
      <c r="AX17" s="19">
        <f>$N17*IF(AND(AX$4&gt;=$G17,AX$4&lt;=$H17),IF($F17="Monthly",$E17,IF(MOD(AX$4-$G17,12)=0,$E17,0)),0)</f>
        <v/>
      </c>
    </row>
    <row r="18">
      <c r="A18" s="7" t="inlineStr">
        <is>
          <t>Etsy listing renewals (about 30 listings every 4 months)</t>
        </is>
      </c>
      <c r="B18" s="7" t="inlineStr">
        <is>
          <t>Channels</t>
        </is>
      </c>
      <c r="C18" s="29" t="n">
        <v>1.5</v>
      </c>
      <c r="D18" s="29" t="n">
        <v>3</v>
      </c>
      <c r="E18" s="16">
        <f>C18+'Assumptions'!$C$10*(D18-C18)</f>
        <v/>
      </c>
      <c r="F18" s="46" t="inlineStr">
        <is>
          <t>Monthly</t>
        </is>
      </c>
      <c r="G18" s="25" t="n">
        <v>3</v>
      </c>
      <c r="H18" s="25" t="n">
        <v>36</v>
      </c>
      <c r="I18" s="19">
        <f>SUMIF($O$3:$AX$3,1,O18:AX18)</f>
        <v/>
      </c>
      <c r="J18" s="19">
        <f>SUMIF($O$3:$AX$3,2,O18:AX18)</f>
        <v/>
      </c>
      <c r="K18" s="19">
        <f>SUMIF($O$3:$AX$3,3,O18:AX18)</f>
        <v/>
      </c>
      <c r="L18" s="7" t="inlineStr">
        <is>
          <t>$0.20 per listing (storefront guide §10); listing count is an assumption.</t>
        </is>
      </c>
      <c r="M18" s="7" t="inlineStr">
        <is>
          <t>Assumption</t>
        </is>
      </c>
      <c r="N18" s="25" t="n">
        <v>1</v>
      </c>
      <c r="O18" s="19">
        <f>$N18*IF(AND(O$4&gt;=$G18,O$4&lt;=$H18),IF($F18="Monthly",$E18,IF(MOD(O$4-$G18,12)=0,$E18,0)),0)</f>
        <v/>
      </c>
      <c r="P18" s="19">
        <f>$N18*IF(AND(P$4&gt;=$G18,P$4&lt;=$H18),IF($F18="Monthly",$E18,IF(MOD(P$4-$G18,12)=0,$E18,0)),0)</f>
        <v/>
      </c>
      <c r="Q18" s="19">
        <f>$N18*IF(AND(Q$4&gt;=$G18,Q$4&lt;=$H18),IF($F18="Monthly",$E18,IF(MOD(Q$4-$G18,12)=0,$E18,0)),0)</f>
        <v/>
      </c>
      <c r="R18" s="19">
        <f>$N18*IF(AND(R$4&gt;=$G18,R$4&lt;=$H18),IF($F18="Monthly",$E18,IF(MOD(R$4-$G18,12)=0,$E18,0)),0)</f>
        <v/>
      </c>
      <c r="S18" s="19">
        <f>$N18*IF(AND(S$4&gt;=$G18,S$4&lt;=$H18),IF($F18="Monthly",$E18,IF(MOD(S$4-$G18,12)=0,$E18,0)),0)</f>
        <v/>
      </c>
      <c r="T18" s="19">
        <f>$N18*IF(AND(T$4&gt;=$G18,T$4&lt;=$H18),IF($F18="Monthly",$E18,IF(MOD(T$4-$G18,12)=0,$E18,0)),0)</f>
        <v/>
      </c>
      <c r="U18" s="19">
        <f>$N18*IF(AND(U$4&gt;=$G18,U$4&lt;=$H18),IF($F18="Monthly",$E18,IF(MOD(U$4-$G18,12)=0,$E18,0)),0)</f>
        <v/>
      </c>
      <c r="V18" s="19">
        <f>$N18*IF(AND(V$4&gt;=$G18,V$4&lt;=$H18),IF($F18="Monthly",$E18,IF(MOD(V$4-$G18,12)=0,$E18,0)),0)</f>
        <v/>
      </c>
      <c r="W18" s="19">
        <f>$N18*IF(AND(W$4&gt;=$G18,W$4&lt;=$H18),IF($F18="Monthly",$E18,IF(MOD(W$4-$G18,12)=0,$E18,0)),0)</f>
        <v/>
      </c>
      <c r="X18" s="19">
        <f>$N18*IF(AND(X$4&gt;=$G18,X$4&lt;=$H18),IF($F18="Monthly",$E18,IF(MOD(X$4-$G18,12)=0,$E18,0)),0)</f>
        <v/>
      </c>
      <c r="Y18" s="19">
        <f>$N18*IF(AND(Y$4&gt;=$G18,Y$4&lt;=$H18),IF($F18="Monthly",$E18,IF(MOD(Y$4-$G18,12)=0,$E18,0)),0)</f>
        <v/>
      </c>
      <c r="Z18" s="19">
        <f>$N18*IF(AND(Z$4&gt;=$G18,Z$4&lt;=$H18),IF($F18="Monthly",$E18,IF(MOD(Z$4-$G18,12)=0,$E18,0)),0)</f>
        <v/>
      </c>
      <c r="AA18" s="19">
        <f>$N18*IF(AND(AA$4&gt;=$G18,AA$4&lt;=$H18),IF($F18="Monthly",$E18,IF(MOD(AA$4-$G18,12)=0,$E18,0)),0)</f>
        <v/>
      </c>
      <c r="AB18" s="19">
        <f>$N18*IF(AND(AB$4&gt;=$G18,AB$4&lt;=$H18),IF($F18="Monthly",$E18,IF(MOD(AB$4-$G18,12)=0,$E18,0)),0)</f>
        <v/>
      </c>
      <c r="AC18" s="19">
        <f>$N18*IF(AND(AC$4&gt;=$G18,AC$4&lt;=$H18),IF($F18="Monthly",$E18,IF(MOD(AC$4-$G18,12)=0,$E18,0)),0)</f>
        <v/>
      </c>
      <c r="AD18" s="19">
        <f>$N18*IF(AND(AD$4&gt;=$G18,AD$4&lt;=$H18),IF($F18="Monthly",$E18,IF(MOD(AD$4-$G18,12)=0,$E18,0)),0)</f>
        <v/>
      </c>
      <c r="AE18" s="19">
        <f>$N18*IF(AND(AE$4&gt;=$G18,AE$4&lt;=$H18),IF($F18="Monthly",$E18,IF(MOD(AE$4-$G18,12)=0,$E18,0)),0)</f>
        <v/>
      </c>
      <c r="AF18" s="19">
        <f>$N18*IF(AND(AF$4&gt;=$G18,AF$4&lt;=$H18),IF($F18="Monthly",$E18,IF(MOD(AF$4-$G18,12)=0,$E18,0)),0)</f>
        <v/>
      </c>
      <c r="AG18" s="19">
        <f>$N18*IF(AND(AG$4&gt;=$G18,AG$4&lt;=$H18),IF($F18="Monthly",$E18,IF(MOD(AG$4-$G18,12)=0,$E18,0)),0)</f>
        <v/>
      </c>
      <c r="AH18" s="19">
        <f>$N18*IF(AND(AH$4&gt;=$G18,AH$4&lt;=$H18),IF($F18="Monthly",$E18,IF(MOD(AH$4-$G18,12)=0,$E18,0)),0)</f>
        <v/>
      </c>
      <c r="AI18" s="19">
        <f>$N18*IF(AND(AI$4&gt;=$G18,AI$4&lt;=$H18),IF($F18="Monthly",$E18,IF(MOD(AI$4-$G18,12)=0,$E18,0)),0)</f>
        <v/>
      </c>
      <c r="AJ18" s="19">
        <f>$N18*IF(AND(AJ$4&gt;=$G18,AJ$4&lt;=$H18),IF($F18="Monthly",$E18,IF(MOD(AJ$4-$G18,12)=0,$E18,0)),0)</f>
        <v/>
      </c>
      <c r="AK18" s="19">
        <f>$N18*IF(AND(AK$4&gt;=$G18,AK$4&lt;=$H18),IF($F18="Monthly",$E18,IF(MOD(AK$4-$G18,12)=0,$E18,0)),0)</f>
        <v/>
      </c>
      <c r="AL18" s="19">
        <f>$N18*IF(AND(AL$4&gt;=$G18,AL$4&lt;=$H18),IF($F18="Monthly",$E18,IF(MOD(AL$4-$G18,12)=0,$E18,0)),0)</f>
        <v/>
      </c>
      <c r="AM18" s="19">
        <f>$N18*IF(AND(AM$4&gt;=$G18,AM$4&lt;=$H18),IF($F18="Monthly",$E18,IF(MOD(AM$4-$G18,12)=0,$E18,0)),0)</f>
        <v/>
      </c>
      <c r="AN18" s="19">
        <f>$N18*IF(AND(AN$4&gt;=$G18,AN$4&lt;=$H18),IF($F18="Monthly",$E18,IF(MOD(AN$4-$G18,12)=0,$E18,0)),0)</f>
        <v/>
      </c>
      <c r="AO18" s="19">
        <f>$N18*IF(AND(AO$4&gt;=$G18,AO$4&lt;=$H18),IF($F18="Monthly",$E18,IF(MOD(AO$4-$G18,12)=0,$E18,0)),0)</f>
        <v/>
      </c>
      <c r="AP18" s="19">
        <f>$N18*IF(AND(AP$4&gt;=$G18,AP$4&lt;=$H18),IF($F18="Monthly",$E18,IF(MOD(AP$4-$G18,12)=0,$E18,0)),0)</f>
        <v/>
      </c>
      <c r="AQ18" s="19">
        <f>$N18*IF(AND(AQ$4&gt;=$G18,AQ$4&lt;=$H18),IF($F18="Monthly",$E18,IF(MOD(AQ$4-$G18,12)=0,$E18,0)),0)</f>
        <v/>
      </c>
      <c r="AR18" s="19">
        <f>$N18*IF(AND(AR$4&gt;=$G18,AR$4&lt;=$H18),IF($F18="Monthly",$E18,IF(MOD(AR$4-$G18,12)=0,$E18,0)),0)</f>
        <v/>
      </c>
      <c r="AS18" s="19">
        <f>$N18*IF(AND(AS$4&gt;=$G18,AS$4&lt;=$H18),IF($F18="Monthly",$E18,IF(MOD(AS$4-$G18,12)=0,$E18,0)),0)</f>
        <v/>
      </c>
      <c r="AT18" s="19">
        <f>$N18*IF(AND(AT$4&gt;=$G18,AT$4&lt;=$H18),IF($F18="Monthly",$E18,IF(MOD(AT$4-$G18,12)=0,$E18,0)),0)</f>
        <v/>
      </c>
      <c r="AU18" s="19">
        <f>$N18*IF(AND(AU$4&gt;=$G18,AU$4&lt;=$H18),IF($F18="Monthly",$E18,IF(MOD(AU$4-$G18,12)=0,$E18,0)),0)</f>
        <v/>
      </c>
      <c r="AV18" s="19">
        <f>$N18*IF(AND(AV$4&gt;=$G18,AV$4&lt;=$H18),IF($F18="Monthly",$E18,IF(MOD(AV$4-$G18,12)=0,$E18,0)),0)</f>
        <v/>
      </c>
      <c r="AW18" s="19">
        <f>$N18*IF(AND(AW$4&gt;=$G18,AW$4&lt;=$H18),IF($F18="Monthly",$E18,IF(MOD(AW$4-$G18,12)=0,$E18,0)),0)</f>
        <v/>
      </c>
      <c r="AX18" s="19">
        <f>$N18*IF(AND(AX$4&gt;=$G18,AX$4&lt;=$H18),IF($F18="Monthly",$E18,IF(MOD(AX$4-$G18,12)=0,$E18,0)),0)</f>
        <v/>
      </c>
    </row>
    <row r="19">
      <c r="A19" s="7" t="inlineStr">
        <is>
          <t>Sales-tax filing service (optional; the accountant may file)</t>
        </is>
      </c>
      <c r="B19" s="7" t="inlineStr">
        <is>
          <t>Tax</t>
        </is>
      </c>
      <c r="C19" s="29" t="n">
        <v>0</v>
      </c>
      <c r="D19" s="29" t="n">
        <v>25</v>
      </c>
      <c r="E19" s="16">
        <f>C19+'Assumptions'!$C$10*(D19-C19)</f>
        <v/>
      </c>
      <c r="F19" s="46" t="inlineStr">
        <is>
          <t>Monthly</t>
        </is>
      </c>
      <c r="G19" s="25" t="n">
        <v>3</v>
      </c>
      <c r="H19" s="25" t="n">
        <v>36</v>
      </c>
      <c r="I19" s="19">
        <f>SUMIF($O$3:$AX$3,1,O19:AX19)</f>
        <v/>
      </c>
      <c r="J19" s="19">
        <f>SUMIF($O$3:$AX$3,2,O19:AX19)</f>
        <v/>
      </c>
      <c r="K19" s="19">
        <f>SUMIF($O$3:$AX$3,3,O19:AX19)</f>
        <v/>
      </c>
      <c r="L19" s="7" t="inlineStr">
        <is>
          <t>TAX-AUTOPILOT §1 names services; no price in the repo.</t>
        </is>
      </c>
      <c r="M19" s="7" t="inlineStr">
        <is>
          <t>Assumption [VERIFY]</t>
        </is>
      </c>
      <c r="N19" s="25" t="n">
        <v>1</v>
      </c>
      <c r="O19" s="19">
        <f>$N19*IF(AND(O$4&gt;=$G19,O$4&lt;=$H19),IF($F19="Monthly",$E19,IF(MOD(O$4-$G19,12)=0,$E19,0)),0)</f>
        <v/>
      </c>
      <c r="P19" s="19">
        <f>$N19*IF(AND(P$4&gt;=$G19,P$4&lt;=$H19),IF($F19="Monthly",$E19,IF(MOD(P$4-$G19,12)=0,$E19,0)),0)</f>
        <v/>
      </c>
      <c r="Q19" s="19">
        <f>$N19*IF(AND(Q$4&gt;=$G19,Q$4&lt;=$H19),IF($F19="Monthly",$E19,IF(MOD(Q$4-$G19,12)=0,$E19,0)),0)</f>
        <v/>
      </c>
      <c r="R19" s="19">
        <f>$N19*IF(AND(R$4&gt;=$G19,R$4&lt;=$H19),IF($F19="Monthly",$E19,IF(MOD(R$4-$G19,12)=0,$E19,0)),0)</f>
        <v/>
      </c>
      <c r="S19" s="19">
        <f>$N19*IF(AND(S$4&gt;=$G19,S$4&lt;=$H19),IF($F19="Monthly",$E19,IF(MOD(S$4-$G19,12)=0,$E19,0)),0)</f>
        <v/>
      </c>
      <c r="T19" s="19">
        <f>$N19*IF(AND(T$4&gt;=$G19,T$4&lt;=$H19),IF($F19="Monthly",$E19,IF(MOD(T$4-$G19,12)=0,$E19,0)),0)</f>
        <v/>
      </c>
      <c r="U19" s="19">
        <f>$N19*IF(AND(U$4&gt;=$G19,U$4&lt;=$H19),IF($F19="Monthly",$E19,IF(MOD(U$4-$G19,12)=0,$E19,0)),0)</f>
        <v/>
      </c>
      <c r="V19" s="19">
        <f>$N19*IF(AND(V$4&gt;=$G19,V$4&lt;=$H19),IF($F19="Monthly",$E19,IF(MOD(V$4-$G19,12)=0,$E19,0)),0)</f>
        <v/>
      </c>
      <c r="W19" s="19">
        <f>$N19*IF(AND(W$4&gt;=$G19,W$4&lt;=$H19),IF($F19="Monthly",$E19,IF(MOD(W$4-$G19,12)=0,$E19,0)),0)</f>
        <v/>
      </c>
      <c r="X19" s="19">
        <f>$N19*IF(AND(X$4&gt;=$G19,X$4&lt;=$H19),IF($F19="Monthly",$E19,IF(MOD(X$4-$G19,12)=0,$E19,0)),0)</f>
        <v/>
      </c>
      <c r="Y19" s="19">
        <f>$N19*IF(AND(Y$4&gt;=$G19,Y$4&lt;=$H19),IF($F19="Monthly",$E19,IF(MOD(Y$4-$G19,12)=0,$E19,0)),0)</f>
        <v/>
      </c>
      <c r="Z19" s="19">
        <f>$N19*IF(AND(Z$4&gt;=$G19,Z$4&lt;=$H19),IF($F19="Monthly",$E19,IF(MOD(Z$4-$G19,12)=0,$E19,0)),0)</f>
        <v/>
      </c>
      <c r="AA19" s="19">
        <f>$N19*IF(AND(AA$4&gt;=$G19,AA$4&lt;=$H19),IF($F19="Monthly",$E19,IF(MOD(AA$4-$G19,12)=0,$E19,0)),0)</f>
        <v/>
      </c>
      <c r="AB19" s="19">
        <f>$N19*IF(AND(AB$4&gt;=$G19,AB$4&lt;=$H19),IF($F19="Monthly",$E19,IF(MOD(AB$4-$G19,12)=0,$E19,0)),0)</f>
        <v/>
      </c>
      <c r="AC19" s="19">
        <f>$N19*IF(AND(AC$4&gt;=$G19,AC$4&lt;=$H19),IF($F19="Monthly",$E19,IF(MOD(AC$4-$G19,12)=0,$E19,0)),0)</f>
        <v/>
      </c>
      <c r="AD19" s="19">
        <f>$N19*IF(AND(AD$4&gt;=$G19,AD$4&lt;=$H19),IF($F19="Monthly",$E19,IF(MOD(AD$4-$G19,12)=0,$E19,0)),0)</f>
        <v/>
      </c>
      <c r="AE19" s="19">
        <f>$N19*IF(AND(AE$4&gt;=$G19,AE$4&lt;=$H19),IF($F19="Monthly",$E19,IF(MOD(AE$4-$G19,12)=0,$E19,0)),0)</f>
        <v/>
      </c>
      <c r="AF19" s="19">
        <f>$N19*IF(AND(AF$4&gt;=$G19,AF$4&lt;=$H19),IF($F19="Monthly",$E19,IF(MOD(AF$4-$G19,12)=0,$E19,0)),0)</f>
        <v/>
      </c>
      <c r="AG19" s="19">
        <f>$N19*IF(AND(AG$4&gt;=$G19,AG$4&lt;=$H19),IF($F19="Monthly",$E19,IF(MOD(AG$4-$G19,12)=0,$E19,0)),0)</f>
        <v/>
      </c>
      <c r="AH19" s="19">
        <f>$N19*IF(AND(AH$4&gt;=$G19,AH$4&lt;=$H19),IF($F19="Monthly",$E19,IF(MOD(AH$4-$G19,12)=0,$E19,0)),0)</f>
        <v/>
      </c>
      <c r="AI19" s="19">
        <f>$N19*IF(AND(AI$4&gt;=$G19,AI$4&lt;=$H19),IF($F19="Monthly",$E19,IF(MOD(AI$4-$G19,12)=0,$E19,0)),0)</f>
        <v/>
      </c>
      <c r="AJ19" s="19">
        <f>$N19*IF(AND(AJ$4&gt;=$G19,AJ$4&lt;=$H19),IF($F19="Monthly",$E19,IF(MOD(AJ$4-$G19,12)=0,$E19,0)),0)</f>
        <v/>
      </c>
      <c r="AK19" s="19">
        <f>$N19*IF(AND(AK$4&gt;=$G19,AK$4&lt;=$H19),IF($F19="Monthly",$E19,IF(MOD(AK$4-$G19,12)=0,$E19,0)),0)</f>
        <v/>
      </c>
      <c r="AL19" s="19">
        <f>$N19*IF(AND(AL$4&gt;=$G19,AL$4&lt;=$H19),IF($F19="Monthly",$E19,IF(MOD(AL$4-$G19,12)=0,$E19,0)),0)</f>
        <v/>
      </c>
      <c r="AM19" s="19">
        <f>$N19*IF(AND(AM$4&gt;=$G19,AM$4&lt;=$H19),IF($F19="Monthly",$E19,IF(MOD(AM$4-$G19,12)=0,$E19,0)),0)</f>
        <v/>
      </c>
      <c r="AN19" s="19">
        <f>$N19*IF(AND(AN$4&gt;=$G19,AN$4&lt;=$H19),IF($F19="Monthly",$E19,IF(MOD(AN$4-$G19,12)=0,$E19,0)),0)</f>
        <v/>
      </c>
      <c r="AO19" s="19">
        <f>$N19*IF(AND(AO$4&gt;=$G19,AO$4&lt;=$H19),IF($F19="Monthly",$E19,IF(MOD(AO$4-$G19,12)=0,$E19,0)),0)</f>
        <v/>
      </c>
      <c r="AP19" s="19">
        <f>$N19*IF(AND(AP$4&gt;=$G19,AP$4&lt;=$H19),IF($F19="Monthly",$E19,IF(MOD(AP$4-$G19,12)=0,$E19,0)),0)</f>
        <v/>
      </c>
      <c r="AQ19" s="19">
        <f>$N19*IF(AND(AQ$4&gt;=$G19,AQ$4&lt;=$H19),IF($F19="Monthly",$E19,IF(MOD(AQ$4-$G19,12)=0,$E19,0)),0)</f>
        <v/>
      </c>
      <c r="AR19" s="19">
        <f>$N19*IF(AND(AR$4&gt;=$G19,AR$4&lt;=$H19),IF($F19="Monthly",$E19,IF(MOD(AR$4-$G19,12)=0,$E19,0)),0)</f>
        <v/>
      </c>
      <c r="AS19" s="19">
        <f>$N19*IF(AND(AS$4&gt;=$G19,AS$4&lt;=$H19),IF($F19="Monthly",$E19,IF(MOD(AS$4-$G19,12)=0,$E19,0)),0)</f>
        <v/>
      </c>
      <c r="AT19" s="19">
        <f>$N19*IF(AND(AT$4&gt;=$G19,AT$4&lt;=$H19),IF($F19="Monthly",$E19,IF(MOD(AT$4-$G19,12)=0,$E19,0)),0)</f>
        <v/>
      </c>
      <c r="AU19" s="19">
        <f>$N19*IF(AND(AU$4&gt;=$G19,AU$4&lt;=$H19),IF($F19="Monthly",$E19,IF(MOD(AU$4-$G19,12)=0,$E19,0)),0)</f>
        <v/>
      </c>
      <c r="AV19" s="19">
        <f>$N19*IF(AND(AV$4&gt;=$G19,AV$4&lt;=$H19),IF($F19="Monthly",$E19,IF(MOD(AV$4-$G19,12)=0,$E19,0)),0)</f>
        <v/>
      </c>
      <c r="AW19" s="19">
        <f>$N19*IF(AND(AW$4&gt;=$G19,AW$4&lt;=$H19),IF($F19="Monthly",$E19,IF(MOD(AW$4-$G19,12)=0,$E19,0)),0)</f>
        <v/>
      </c>
      <c r="AX19" s="19">
        <f>$N19*IF(AND(AX$4&gt;=$G19,AX$4&lt;=$H19),IF($F19="Monthly",$E19,IF(MOD(AX$4-$G19,12)=0,$E19,0)),0)</f>
        <v/>
      </c>
    </row>
    <row r="20">
      <c r="A20" s="7" t="inlineStr">
        <is>
          <t>Domains, MUST tier</t>
        </is>
      </c>
      <c r="B20" s="7" t="inlineStr">
        <is>
          <t>Domains</t>
        </is>
      </c>
      <c r="C20" s="29" t="n">
        <v>61</v>
      </c>
      <c r="D20" s="29" t="n">
        <v>61</v>
      </c>
      <c r="E20" s="16">
        <f>C20+'Assumptions'!$C$10*(D20-C20)</f>
        <v/>
      </c>
      <c r="F20" s="46" t="inlineStr">
        <is>
          <t>Annual</t>
        </is>
      </c>
      <c r="G20" s="25" t="n">
        <v>1</v>
      </c>
      <c r="H20" s="25" t="n">
        <v>36</v>
      </c>
      <c r="I20" s="19">
        <f>SUMIF($O$3:$AX$3,1,O20:AX20)</f>
        <v/>
      </c>
      <c r="J20" s="19">
        <f>SUMIF($O$3:$AX$3,2,O20:AX20)</f>
        <v/>
      </c>
      <c r="K20" s="19">
        <f>SUMIF($O$3:$AX$3,3,O20:AX20)</f>
        <v/>
      </c>
      <c r="L20" s="7" t="inlineStr">
        <is>
          <t>legal/domain-portfolio.md: about $61 a year.</t>
        </is>
      </c>
      <c r="M20" s="7" t="inlineStr">
        <is>
          <t>Repo [VERIFY]</t>
        </is>
      </c>
      <c r="N20" s="25" t="n">
        <v>1</v>
      </c>
      <c r="O20" s="19">
        <f>$N20*IF(AND(O$4&gt;=$G20,O$4&lt;=$H20),IF($F20="Monthly",$E20,IF(MOD(O$4-$G20,12)=0,$E20,0)),0)</f>
        <v/>
      </c>
      <c r="P20" s="19">
        <f>$N20*IF(AND(P$4&gt;=$G20,P$4&lt;=$H20),IF($F20="Monthly",$E20,IF(MOD(P$4-$G20,12)=0,$E20,0)),0)</f>
        <v/>
      </c>
      <c r="Q20" s="19">
        <f>$N20*IF(AND(Q$4&gt;=$G20,Q$4&lt;=$H20),IF($F20="Monthly",$E20,IF(MOD(Q$4-$G20,12)=0,$E20,0)),0)</f>
        <v/>
      </c>
      <c r="R20" s="19">
        <f>$N20*IF(AND(R$4&gt;=$G20,R$4&lt;=$H20),IF($F20="Monthly",$E20,IF(MOD(R$4-$G20,12)=0,$E20,0)),0)</f>
        <v/>
      </c>
      <c r="S20" s="19">
        <f>$N20*IF(AND(S$4&gt;=$G20,S$4&lt;=$H20),IF($F20="Monthly",$E20,IF(MOD(S$4-$G20,12)=0,$E20,0)),0)</f>
        <v/>
      </c>
      <c r="T20" s="19">
        <f>$N20*IF(AND(T$4&gt;=$G20,T$4&lt;=$H20),IF($F20="Monthly",$E20,IF(MOD(T$4-$G20,12)=0,$E20,0)),0)</f>
        <v/>
      </c>
      <c r="U20" s="19">
        <f>$N20*IF(AND(U$4&gt;=$G20,U$4&lt;=$H20),IF($F20="Monthly",$E20,IF(MOD(U$4-$G20,12)=0,$E20,0)),0)</f>
        <v/>
      </c>
      <c r="V20" s="19">
        <f>$N20*IF(AND(V$4&gt;=$G20,V$4&lt;=$H20),IF($F20="Monthly",$E20,IF(MOD(V$4-$G20,12)=0,$E20,0)),0)</f>
        <v/>
      </c>
      <c r="W20" s="19">
        <f>$N20*IF(AND(W$4&gt;=$G20,W$4&lt;=$H20),IF($F20="Monthly",$E20,IF(MOD(W$4-$G20,12)=0,$E20,0)),0)</f>
        <v/>
      </c>
      <c r="X20" s="19">
        <f>$N20*IF(AND(X$4&gt;=$G20,X$4&lt;=$H20),IF($F20="Monthly",$E20,IF(MOD(X$4-$G20,12)=0,$E20,0)),0)</f>
        <v/>
      </c>
      <c r="Y20" s="19">
        <f>$N20*IF(AND(Y$4&gt;=$G20,Y$4&lt;=$H20),IF($F20="Monthly",$E20,IF(MOD(Y$4-$G20,12)=0,$E20,0)),0)</f>
        <v/>
      </c>
      <c r="Z20" s="19">
        <f>$N20*IF(AND(Z$4&gt;=$G20,Z$4&lt;=$H20),IF($F20="Monthly",$E20,IF(MOD(Z$4-$G20,12)=0,$E20,0)),0)</f>
        <v/>
      </c>
      <c r="AA20" s="19">
        <f>$N20*IF(AND(AA$4&gt;=$G20,AA$4&lt;=$H20),IF($F20="Monthly",$E20,IF(MOD(AA$4-$G20,12)=0,$E20,0)),0)</f>
        <v/>
      </c>
      <c r="AB20" s="19">
        <f>$N20*IF(AND(AB$4&gt;=$G20,AB$4&lt;=$H20),IF($F20="Monthly",$E20,IF(MOD(AB$4-$G20,12)=0,$E20,0)),0)</f>
        <v/>
      </c>
      <c r="AC20" s="19">
        <f>$N20*IF(AND(AC$4&gt;=$G20,AC$4&lt;=$H20),IF($F20="Monthly",$E20,IF(MOD(AC$4-$G20,12)=0,$E20,0)),0)</f>
        <v/>
      </c>
      <c r="AD20" s="19">
        <f>$N20*IF(AND(AD$4&gt;=$G20,AD$4&lt;=$H20),IF($F20="Monthly",$E20,IF(MOD(AD$4-$G20,12)=0,$E20,0)),0)</f>
        <v/>
      </c>
      <c r="AE20" s="19">
        <f>$N20*IF(AND(AE$4&gt;=$G20,AE$4&lt;=$H20),IF($F20="Monthly",$E20,IF(MOD(AE$4-$G20,12)=0,$E20,0)),0)</f>
        <v/>
      </c>
      <c r="AF20" s="19">
        <f>$N20*IF(AND(AF$4&gt;=$G20,AF$4&lt;=$H20),IF($F20="Monthly",$E20,IF(MOD(AF$4-$G20,12)=0,$E20,0)),0)</f>
        <v/>
      </c>
      <c r="AG20" s="19">
        <f>$N20*IF(AND(AG$4&gt;=$G20,AG$4&lt;=$H20),IF($F20="Monthly",$E20,IF(MOD(AG$4-$G20,12)=0,$E20,0)),0)</f>
        <v/>
      </c>
      <c r="AH20" s="19">
        <f>$N20*IF(AND(AH$4&gt;=$G20,AH$4&lt;=$H20),IF($F20="Monthly",$E20,IF(MOD(AH$4-$G20,12)=0,$E20,0)),0)</f>
        <v/>
      </c>
      <c r="AI20" s="19">
        <f>$N20*IF(AND(AI$4&gt;=$G20,AI$4&lt;=$H20),IF($F20="Monthly",$E20,IF(MOD(AI$4-$G20,12)=0,$E20,0)),0)</f>
        <v/>
      </c>
      <c r="AJ20" s="19">
        <f>$N20*IF(AND(AJ$4&gt;=$G20,AJ$4&lt;=$H20),IF($F20="Monthly",$E20,IF(MOD(AJ$4-$G20,12)=0,$E20,0)),0)</f>
        <v/>
      </c>
      <c r="AK20" s="19">
        <f>$N20*IF(AND(AK$4&gt;=$G20,AK$4&lt;=$H20),IF($F20="Monthly",$E20,IF(MOD(AK$4-$G20,12)=0,$E20,0)),0)</f>
        <v/>
      </c>
      <c r="AL20" s="19">
        <f>$N20*IF(AND(AL$4&gt;=$G20,AL$4&lt;=$H20),IF($F20="Monthly",$E20,IF(MOD(AL$4-$G20,12)=0,$E20,0)),0)</f>
        <v/>
      </c>
      <c r="AM20" s="19">
        <f>$N20*IF(AND(AM$4&gt;=$G20,AM$4&lt;=$H20),IF($F20="Monthly",$E20,IF(MOD(AM$4-$G20,12)=0,$E20,0)),0)</f>
        <v/>
      </c>
      <c r="AN20" s="19">
        <f>$N20*IF(AND(AN$4&gt;=$G20,AN$4&lt;=$H20),IF($F20="Monthly",$E20,IF(MOD(AN$4-$G20,12)=0,$E20,0)),0)</f>
        <v/>
      </c>
      <c r="AO20" s="19">
        <f>$N20*IF(AND(AO$4&gt;=$G20,AO$4&lt;=$H20),IF($F20="Monthly",$E20,IF(MOD(AO$4-$G20,12)=0,$E20,0)),0)</f>
        <v/>
      </c>
      <c r="AP20" s="19">
        <f>$N20*IF(AND(AP$4&gt;=$G20,AP$4&lt;=$H20),IF($F20="Monthly",$E20,IF(MOD(AP$4-$G20,12)=0,$E20,0)),0)</f>
        <v/>
      </c>
      <c r="AQ20" s="19">
        <f>$N20*IF(AND(AQ$4&gt;=$G20,AQ$4&lt;=$H20),IF($F20="Monthly",$E20,IF(MOD(AQ$4-$G20,12)=0,$E20,0)),0)</f>
        <v/>
      </c>
      <c r="AR20" s="19">
        <f>$N20*IF(AND(AR$4&gt;=$G20,AR$4&lt;=$H20),IF($F20="Monthly",$E20,IF(MOD(AR$4-$G20,12)=0,$E20,0)),0)</f>
        <v/>
      </c>
      <c r="AS20" s="19">
        <f>$N20*IF(AND(AS$4&gt;=$G20,AS$4&lt;=$H20),IF($F20="Monthly",$E20,IF(MOD(AS$4-$G20,12)=0,$E20,0)),0)</f>
        <v/>
      </c>
      <c r="AT20" s="19">
        <f>$N20*IF(AND(AT$4&gt;=$G20,AT$4&lt;=$H20),IF($F20="Monthly",$E20,IF(MOD(AT$4-$G20,12)=0,$E20,0)),0)</f>
        <v/>
      </c>
      <c r="AU20" s="19">
        <f>$N20*IF(AND(AU$4&gt;=$G20,AU$4&lt;=$H20),IF($F20="Monthly",$E20,IF(MOD(AU$4-$G20,12)=0,$E20,0)),0)</f>
        <v/>
      </c>
      <c r="AV20" s="19">
        <f>$N20*IF(AND(AV$4&gt;=$G20,AV$4&lt;=$H20),IF($F20="Monthly",$E20,IF(MOD(AV$4-$G20,12)=0,$E20,0)),0)</f>
        <v/>
      </c>
      <c r="AW20" s="19">
        <f>$N20*IF(AND(AW$4&gt;=$G20,AW$4&lt;=$H20),IF($F20="Monthly",$E20,IF(MOD(AW$4-$G20,12)=0,$E20,0)),0)</f>
        <v/>
      </c>
      <c r="AX20" s="19">
        <f>$N20*IF(AND(AX$4&gt;=$G20,AX$4&lt;=$H20),IF($F20="Monthly",$E20,IF(MOD(AX$4-$G20,12)=0,$E20,0)),0)</f>
        <v/>
      </c>
    </row>
    <row r="21">
      <c r="A21" s="7" t="inlineStr">
        <is>
          <t>Domains, SHOULD tier (before paid ads / first print run)</t>
        </is>
      </c>
      <c r="B21" s="7" t="inlineStr">
        <is>
          <t>Domains</t>
        </is>
      </c>
      <c r="C21" s="29" t="n">
        <v>118</v>
      </c>
      <c r="D21" s="29" t="n">
        <v>118</v>
      </c>
      <c r="E21" s="16">
        <f>C21+'Assumptions'!$C$10*(D21-C21)</f>
        <v/>
      </c>
      <c r="F21" s="46" t="inlineStr">
        <is>
          <t>Annual</t>
        </is>
      </c>
      <c r="G21" s="25" t="n">
        <v>5</v>
      </c>
      <c r="H21" s="25" t="n">
        <v>36</v>
      </c>
      <c r="I21" s="19">
        <f>SUMIF($O$3:$AX$3,1,O21:AX21)</f>
        <v/>
      </c>
      <c r="J21" s="19">
        <f>SUMIF($O$3:$AX$3,2,O21:AX21)</f>
        <v/>
      </c>
      <c r="K21" s="19">
        <f>SUMIF($O$3:$AX$3,3,O21:AX21)</f>
        <v/>
      </c>
      <c r="L21" s="7" t="inlineStr">
        <is>
          <t>legal/domain-portfolio.md: about $118 a year.</t>
        </is>
      </c>
      <c r="M21" s="7" t="inlineStr">
        <is>
          <t>Repo [VERIFY]</t>
        </is>
      </c>
      <c r="N21" s="25" t="n">
        <v>1</v>
      </c>
      <c r="O21" s="19">
        <f>$N21*IF(AND(O$4&gt;=$G21,O$4&lt;=$H21),IF($F21="Monthly",$E21,IF(MOD(O$4-$G21,12)=0,$E21,0)),0)</f>
        <v/>
      </c>
      <c r="P21" s="19">
        <f>$N21*IF(AND(P$4&gt;=$G21,P$4&lt;=$H21),IF($F21="Monthly",$E21,IF(MOD(P$4-$G21,12)=0,$E21,0)),0)</f>
        <v/>
      </c>
      <c r="Q21" s="19">
        <f>$N21*IF(AND(Q$4&gt;=$G21,Q$4&lt;=$H21),IF($F21="Monthly",$E21,IF(MOD(Q$4-$G21,12)=0,$E21,0)),0)</f>
        <v/>
      </c>
      <c r="R21" s="19">
        <f>$N21*IF(AND(R$4&gt;=$G21,R$4&lt;=$H21),IF($F21="Monthly",$E21,IF(MOD(R$4-$G21,12)=0,$E21,0)),0)</f>
        <v/>
      </c>
      <c r="S21" s="19">
        <f>$N21*IF(AND(S$4&gt;=$G21,S$4&lt;=$H21),IF($F21="Monthly",$E21,IF(MOD(S$4-$G21,12)=0,$E21,0)),0)</f>
        <v/>
      </c>
      <c r="T21" s="19">
        <f>$N21*IF(AND(T$4&gt;=$G21,T$4&lt;=$H21),IF($F21="Monthly",$E21,IF(MOD(T$4-$G21,12)=0,$E21,0)),0)</f>
        <v/>
      </c>
      <c r="U21" s="19">
        <f>$N21*IF(AND(U$4&gt;=$G21,U$4&lt;=$H21),IF($F21="Monthly",$E21,IF(MOD(U$4-$G21,12)=0,$E21,0)),0)</f>
        <v/>
      </c>
      <c r="V21" s="19">
        <f>$N21*IF(AND(V$4&gt;=$G21,V$4&lt;=$H21),IF($F21="Monthly",$E21,IF(MOD(V$4-$G21,12)=0,$E21,0)),0)</f>
        <v/>
      </c>
      <c r="W21" s="19">
        <f>$N21*IF(AND(W$4&gt;=$G21,W$4&lt;=$H21),IF($F21="Monthly",$E21,IF(MOD(W$4-$G21,12)=0,$E21,0)),0)</f>
        <v/>
      </c>
      <c r="X21" s="19">
        <f>$N21*IF(AND(X$4&gt;=$G21,X$4&lt;=$H21),IF($F21="Monthly",$E21,IF(MOD(X$4-$G21,12)=0,$E21,0)),0)</f>
        <v/>
      </c>
      <c r="Y21" s="19">
        <f>$N21*IF(AND(Y$4&gt;=$G21,Y$4&lt;=$H21),IF($F21="Monthly",$E21,IF(MOD(Y$4-$G21,12)=0,$E21,0)),0)</f>
        <v/>
      </c>
      <c r="Z21" s="19">
        <f>$N21*IF(AND(Z$4&gt;=$G21,Z$4&lt;=$H21),IF($F21="Monthly",$E21,IF(MOD(Z$4-$G21,12)=0,$E21,0)),0)</f>
        <v/>
      </c>
      <c r="AA21" s="19">
        <f>$N21*IF(AND(AA$4&gt;=$G21,AA$4&lt;=$H21),IF($F21="Monthly",$E21,IF(MOD(AA$4-$G21,12)=0,$E21,0)),0)</f>
        <v/>
      </c>
      <c r="AB21" s="19">
        <f>$N21*IF(AND(AB$4&gt;=$G21,AB$4&lt;=$H21),IF($F21="Monthly",$E21,IF(MOD(AB$4-$G21,12)=0,$E21,0)),0)</f>
        <v/>
      </c>
      <c r="AC21" s="19">
        <f>$N21*IF(AND(AC$4&gt;=$G21,AC$4&lt;=$H21),IF($F21="Monthly",$E21,IF(MOD(AC$4-$G21,12)=0,$E21,0)),0)</f>
        <v/>
      </c>
      <c r="AD21" s="19">
        <f>$N21*IF(AND(AD$4&gt;=$G21,AD$4&lt;=$H21),IF($F21="Monthly",$E21,IF(MOD(AD$4-$G21,12)=0,$E21,0)),0)</f>
        <v/>
      </c>
      <c r="AE21" s="19">
        <f>$N21*IF(AND(AE$4&gt;=$G21,AE$4&lt;=$H21),IF($F21="Monthly",$E21,IF(MOD(AE$4-$G21,12)=0,$E21,0)),0)</f>
        <v/>
      </c>
      <c r="AF21" s="19">
        <f>$N21*IF(AND(AF$4&gt;=$G21,AF$4&lt;=$H21),IF($F21="Monthly",$E21,IF(MOD(AF$4-$G21,12)=0,$E21,0)),0)</f>
        <v/>
      </c>
      <c r="AG21" s="19">
        <f>$N21*IF(AND(AG$4&gt;=$G21,AG$4&lt;=$H21),IF($F21="Monthly",$E21,IF(MOD(AG$4-$G21,12)=0,$E21,0)),0)</f>
        <v/>
      </c>
      <c r="AH21" s="19">
        <f>$N21*IF(AND(AH$4&gt;=$G21,AH$4&lt;=$H21),IF($F21="Monthly",$E21,IF(MOD(AH$4-$G21,12)=0,$E21,0)),0)</f>
        <v/>
      </c>
      <c r="AI21" s="19">
        <f>$N21*IF(AND(AI$4&gt;=$G21,AI$4&lt;=$H21),IF($F21="Monthly",$E21,IF(MOD(AI$4-$G21,12)=0,$E21,0)),0)</f>
        <v/>
      </c>
      <c r="AJ21" s="19">
        <f>$N21*IF(AND(AJ$4&gt;=$G21,AJ$4&lt;=$H21),IF($F21="Monthly",$E21,IF(MOD(AJ$4-$G21,12)=0,$E21,0)),0)</f>
        <v/>
      </c>
      <c r="AK21" s="19">
        <f>$N21*IF(AND(AK$4&gt;=$G21,AK$4&lt;=$H21),IF($F21="Monthly",$E21,IF(MOD(AK$4-$G21,12)=0,$E21,0)),0)</f>
        <v/>
      </c>
      <c r="AL21" s="19">
        <f>$N21*IF(AND(AL$4&gt;=$G21,AL$4&lt;=$H21),IF($F21="Monthly",$E21,IF(MOD(AL$4-$G21,12)=0,$E21,0)),0)</f>
        <v/>
      </c>
      <c r="AM21" s="19">
        <f>$N21*IF(AND(AM$4&gt;=$G21,AM$4&lt;=$H21),IF($F21="Monthly",$E21,IF(MOD(AM$4-$G21,12)=0,$E21,0)),0)</f>
        <v/>
      </c>
      <c r="AN21" s="19">
        <f>$N21*IF(AND(AN$4&gt;=$G21,AN$4&lt;=$H21),IF($F21="Monthly",$E21,IF(MOD(AN$4-$G21,12)=0,$E21,0)),0)</f>
        <v/>
      </c>
      <c r="AO21" s="19">
        <f>$N21*IF(AND(AO$4&gt;=$G21,AO$4&lt;=$H21),IF($F21="Monthly",$E21,IF(MOD(AO$4-$G21,12)=0,$E21,0)),0)</f>
        <v/>
      </c>
      <c r="AP21" s="19">
        <f>$N21*IF(AND(AP$4&gt;=$G21,AP$4&lt;=$H21),IF($F21="Monthly",$E21,IF(MOD(AP$4-$G21,12)=0,$E21,0)),0)</f>
        <v/>
      </c>
      <c r="AQ21" s="19">
        <f>$N21*IF(AND(AQ$4&gt;=$G21,AQ$4&lt;=$H21),IF($F21="Monthly",$E21,IF(MOD(AQ$4-$G21,12)=0,$E21,0)),0)</f>
        <v/>
      </c>
      <c r="AR21" s="19">
        <f>$N21*IF(AND(AR$4&gt;=$G21,AR$4&lt;=$H21),IF($F21="Monthly",$E21,IF(MOD(AR$4-$G21,12)=0,$E21,0)),0)</f>
        <v/>
      </c>
      <c r="AS21" s="19">
        <f>$N21*IF(AND(AS$4&gt;=$G21,AS$4&lt;=$H21),IF($F21="Monthly",$E21,IF(MOD(AS$4-$G21,12)=0,$E21,0)),0)</f>
        <v/>
      </c>
      <c r="AT21" s="19">
        <f>$N21*IF(AND(AT$4&gt;=$G21,AT$4&lt;=$H21),IF($F21="Monthly",$E21,IF(MOD(AT$4-$G21,12)=0,$E21,0)),0)</f>
        <v/>
      </c>
      <c r="AU21" s="19">
        <f>$N21*IF(AND(AU$4&gt;=$G21,AU$4&lt;=$H21),IF($F21="Monthly",$E21,IF(MOD(AU$4-$G21,12)=0,$E21,0)),0)</f>
        <v/>
      </c>
      <c r="AV21" s="19">
        <f>$N21*IF(AND(AV$4&gt;=$G21,AV$4&lt;=$H21),IF($F21="Monthly",$E21,IF(MOD(AV$4-$G21,12)=0,$E21,0)),0)</f>
        <v/>
      </c>
      <c r="AW21" s="19">
        <f>$N21*IF(AND(AW$4&gt;=$G21,AW$4&lt;=$H21),IF($F21="Monthly",$E21,IF(MOD(AW$4-$G21,12)=0,$E21,0)),0)</f>
        <v/>
      </c>
      <c r="AX21" s="19">
        <f>$N21*IF(AND(AX$4&gt;=$G21,AX$4&lt;=$H21),IF($F21="Monthly",$E21,IF(MOD(AX$4-$G21,12)=0,$E21,0)),0)</f>
        <v/>
      </c>
    </row>
    <row r="22">
      <c r="A22" s="7" t="inlineStr">
        <is>
          <t>USPS PO Box (public business address)</t>
        </is>
      </c>
      <c r="B22" s="7" t="inlineStr">
        <is>
          <t>Admin</t>
        </is>
      </c>
      <c r="C22" s="29" t="n">
        <v>100</v>
      </c>
      <c r="D22" s="29" t="n">
        <v>300</v>
      </c>
      <c r="E22" s="16">
        <f>C22+'Assumptions'!$C$10*(D22-C22)</f>
        <v/>
      </c>
      <c r="F22" s="46" t="inlineStr">
        <is>
          <t>Annual</t>
        </is>
      </c>
      <c r="G22" s="25" t="n">
        <v>1</v>
      </c>
      <c r="H22" s="25" t="n">
        <v>36</v>
      </c>
      <c r="I22" s="19">
        <f>SUMIF($O$3:$AX$3,1,O22:AX22)</f>
        <v/>
      </c>
      <c r="J22" s="19">
        <f>SUMIF($O$3:$AX$3,2,O22:AX22)</f>
        <v/>
      </c>
      <c r="K22" s="19">
        <f>SUMIF($O$3:$AX$3,3,O22:AX22)</f>
        <v/>
      </c>
      <c r="L22" s="7" t="inlineStr">
        <is>
          <t>legal/ENTITY.md decision; fee not in the repo (TRUST-CHECKLIST says verify at usps.com).</t>
        </is>
      </c>
      <c r="M22" s="7" t="inlineStr">
        <is>
          <t>Assumption [VERIFY]</t>
        </is>
      </c>
      <c r="N22" s="25" t="n">
        <v>1</v>
      </c>
      <c r="O22" s="19">
        <f>$N22*IF(AND(O$4&gt;=$G22,O$4&lt;=$H22),IF($F22="Monthly",$E22,IF(MOD(O$4-$G22,12)=0,$E22,0)),0)</f>
        <v/>
      </c>
      <c r="P22" s="19">
        <f>$N22*IF(AND(P$4&gt;=$G22,P$4&lt;=$H22),IF($F22="Monthly",$E22,IF(MOD(P$4-$G22,12)=0,$E22,0)),0)</f>
        <v/>
      </c>
      <c r="Q22" s="19">
        <f>$N22*IF(AND(Q$4&gt;=$G22,Q$4&lt;=$H22),IF($F22="Monthly",$E22,IF(MOD(Q$4-$G22,12)=0,$E22,0)),0)</f>
        <v/>
      </c>
      <c r="R22" s="19">
        <f>$N22*IF(AND(R$4&gt;=$G22,R$4&lt;=$H22),IF($F22="Monthly",$E22,IF(MOD(R$4-$G22,12)=0,$E22,0)),0)</f>
        <v/>
      </c>
      <c r="S22" s="19">
        <f>$N22*IF(AND(S$4&gt;=$G22,S$4&lt;=$H22),IF($F22="Monthly",$E22,IF(MOD(S$4-$G22,12)=0,$E22,0)),0)</f>
        <v/>
      </c>
      <c r="T22" s="19">
        <f>$N22*IF(AND(T$4&gt;=$G22,T$4&lt;=$H22),IF($F22="Monthly",$E22,IF(MOD(T$4-$G22,12)=0,$E22,0)),0)</f>
        <v/>
      </c>
      <c r="U22" s="19">
        <f>$N22*IF(AND(U$4&gt;=$G22,U$4&lt;=$H22),IF($F22="Monthly",$E22,IF(MOD(U$4-$G22,12)=0,$E22,0)),0)</f>
        <v/>
      </c>
      <c r="V22" s="19">
        <f>$N22*IF(AND(V$4&gt;=$G22,V$4&lt;=$H22),IF($F22="Monthly",$E22,IF(MOD(V$4-$G22,12)=0,$E22,0)),0)</f>
        <v/>
      </c>
      <c r="W22" s="19">
        <f>$N22*IF(AND(W$4&gt;=$G22,W$4&lt;=$H22),IF($F22="Monthly",$E22,IF(MOD(W$4-$G22,12)=0,$E22,0)),0)</f>
        <v/>
      </c>
      <c r="X22" s="19">
        <f>$N22*IF(AND(X$4&gt;=$G22,X$4&lt;=$H22),IF($F22="Monthly",$E22,IF(MOD(X$4-$G22,12)=0,$E22,0)),0)</f>
        <v/>
      </c>
      <c r="Y22" s="19">
        <f>$N22*IF(AND(Y$4&gt;=$G22,Y$4&lt;=$H22),IF($F22="Monthly",$E22,IF(MOD(Y$4-$G22,12)=0,$E22,0)),0)</f>
        <v/>
      </c>
      <c r="Z22" s="19">
        <f>$N22*IF(AND(Z$4&gt;=$G22,Z$4&lt;=$H22),IF($F22="Monthly",$E22,IF(MOD(Z$4-$G22,12)=0,$E22,0)),0)</f>
        <v/>
      </c>
      <c r="AA22" s="19">
        <f>$N22*IF(AND(AA$4&gt;=$G22,AA$4&lt;=$H22),IF($F22="Monthly",$E22,IF(MOD(AA$4-$G22,12)=0,$E22,0)),0)</f>
        <v/>
      </c>
      <c r="AB22" s="19">
        <f>$N22*IF(AND(AB$4&gt;=$G22,AB$4&lt;=$H22),IF($F22="Monthly",$E22,IF(MOD(AB$4-$G22,12)=0,$E22,0)),0)</f>
        <v/>
      </c>
      <c r="AC22" s="19">
        <f>$N22*IF(AND(AC$4&gt;=$G22,AC$4&lt;=$H22),IF($F22="Monthly",$E22,IF(MOD(AC$4-$G22,12)=0,$E22,0)),0)</f>
        <v/>
      </c>
      <c r="AD22" s="19">
        <f>$N22*IF(AND(AD$4&gt;=$G22,AD$4&lt;=$H22),IF($F22="Monthly",$E22,IF(MOD(AD$4-$G22,12)=0,$E22,0)),0)</f>
        <v/>
      </c>
      <c r="AE22" s="19">
        <f>$N22*IF(AND(AE$4&gt;=$G22,AE$4&lt;=$H22),IF($F22="Monthly",$E22,IF(MOD(AE$4-$G22,12)=0,$E22,0)),0)</f>
        <v/>
      </c>
      <c r="AF22" s="19">
        <f>$N22*IF(AND(AF$4&gt;=$G22,AF$4&lt;=$H22),IF($F22="Monthly",$E22,IF(MOD(AF$4-$G22,12)=0,$E22,0)),0)</f>
        <v/>
      </c>
      <c r="AG22" s="19">
        <f>$N22*IF(AND(AG$4&gt;=$G22,AG$4&lt;=$H22),IF($F22="Monthly",$E22,IF(MOD(AG$4-$G22,12)=0,$E22,0)),0)</f>
        <v/>
      </c>
      <c r="AH22" s="19">
        <f>$N22*IF(AND(AH$4&gt;=$G22,AH$4&lt;=$H22),IF($F22="Monthly",$E22,IF(MOD(AH$4-$G22,12)=0,$E22,0)),0)</f>
        <v/>
      </c>
      <c r="AI22" s="19">
        <f>$N22*IF(AND(AI$4&gt;=$G22,AI$4&lt;=$H22),IF($F22="Monthly",$E22,IF(MOD(AI$4-$G22,12)=0,$E22,0)),0)</f>
        <v/>
      </c>
      <c r="AJ22" s="19">
        <f>$N22*IF(AND(AJ$4&gt;=$G22,AJ$4&lt;=$H22),IF($F22="Monthly",$E22,IF(MOD(AJ$4-$G22,12)=0,$E22,0)),0)</f>
        <v/>
      </c>
      <c r="AK22" s="19">
        <f>$N22*IF(AND(AK$4&gt;=$G22,AK$4&lt;=$H22),IF($F22="Monthly",$E22,IF(MOD(AK$4-$G22,12)=0,$E22,0)),0)</f>
        <v/>
      </c>
      <c r="AL22" s="19">
        <f>$N22*IF(AND(AL$4&gt;=$G22,AL$4&lt;=$H22),IF($F22="Monthly",$E22,IF(MOD(AL$4-$G22,12)=0,$E22,0)),0)</f>
        <v/>
      </c>
      <c r="AM22" s="19">
        <f>$N22*IF(AND(AM$4&gt;=$G22,AM$4&lt;=$H22),IF($F22="Monthly",$E22,IF(MOD(AM$4-$G22,12)=0,$E22,0)),0)</f>
        <v/>
      </c>
      <c r="AN22" s="19">
        <f>$N22*IF(AND(AN$4&gt;=$G22,AN$4&lt;=$H22),IF($F22="Monthly",$E22,IF(MOD(AN$4-$G22,12)=0,$E22,0)),0)</f>
        <v/>
      </c>
      <c r="AO22" s="19">
        <f>$N22*IF(AND(AO$4&gt;=$G22,AO$4&lt;=$H22),IF($F22="Monthly",$E22,IF(MOD(AO$4-$G22,12)=0,$E22,0)),0)</f>
        <v/>
      </c>
      <c r="AP22" s="19">
        <f>$N22*IF(AND(AP$4&gt;=$G22,AP$4&lt;=$H22),IF($F22="Monthly",$E22,IF(MOD(AP$4-$G22,12)=0,$E22,0)),0)</f>
        <v/>
      </c>
      <c r="AQ22" s="19">
        <f>$N22*IF(AND(AQ$4&gt;=$G22,AQ$4&lt;=$H22),IF($F22="Monthly",$E22,IF(MOD(AQ$4-$G22,12)=0,$E22,0)),0)</f>
        <v/>
      </c>
      <c r="AR22" s="19">
        <f>$N22*IF(AND(AR$4&gt;=$G22,AR$4&lt;=$H22),IF($F22="Monthly",$E22,IF(MOD(AR$4-$G22,12)=0,$E22,0)),0)</f>
        <v/>
      </c>
      <c r="AS22" s="19">
        <f>$N22*IF(AND(AS$4&gt;=$G22,AS$4&lt;=$H22),IF($F22="Monthly",$E22,IF(MOD(AS$4-$G22,12)=0,$E22,0)),0)</f>
        <v/>
      </c>
      <c r="AT22" s="19">
        <f>$N22*IF(AND(AT$4&gt;=$G22,AT$4&lt;=$H22),IF($F22="Monthly",$E22,IF(MOD(AT$4-$G22,12)=0,$E22,0)),0)</f>
        <v/>
      </c>
      <c r="AU22" s="19">
        <f>$N22*IF(AND(AU$4&gt;=$G22,AU$4&lt;=$H22),IF($F22="Monthly",$E22,IF(MOD(AU$4-$G22,12)=0,$E22,0)),0)</f>
        <v/>
      </c>
      <c r="AV22" s="19">
        <f>$N22*IF(AND(AV$4&gt;=$G22,AV$4&lt;=$H22),IF($F22="Monthly",$E22,IF(MOD(AV$4-$G22,12)=0,$E22,0)),0)</f>
        <v/>
      </c>
      <c r="AW22" s="19">
        <f>$N22*IF(AND(AW$4&gt;=$G22,AW$4&lt;=$H22),IF($F22="Monthly",$E22,IF(MOD(AW$4-$G22,12)=0,$E22,0)),0)</f>
        <v/>
      </c>
      <c r="AX22" s="19">
        <f>$N22*IF(AND(AX$4&gt;=$G22,AX$4&lt;=$H22),IF($F22="Monthly",$E22,IF(MOD(AX$4-$G22,12)=0,$E22,0)),0)</f>
        <v/>
      </c>
    </row>
    <row r="23">
      <c r="A23" s="7" t="inlineStr">
        <is>
          <t>Commercial resident agent</t>
        </is>
      </c>
      <c r="B23" s="7" t="inlineStr">
        <is>
          <t>Admin</t>
        </is>
      </c>
      <c r="C23" s="29" t="n">
        <v>50</v>
      </c>
      <c r="D23" s="29" t="n">
        <v>300</v>
      </c>
      <c r="E23" s="16">
        <f>C23+'Assumptions'!$C$10*(D23-C23)</f>
        <v/>
      </c>
      <c r="F23" s="46" t="inlineStr">
        <is>
          <t>Annual</t>
        </is>
      </c>
      <c r="G23" s="25" t="n">
        <v>1</v>
      </c>
      <c r="H23" s="25" t="n">
        <v>36</v>
      </c>
      <c r="I23" s="19">
        <f>SUMIF($O$3:$AX$3,1,O23:AX23)</f>
        <v/>
      </c>
      <c r="J23" s="19">
        <f>SUMIF($O$3:$AX$3,2,O23:AX23)</f>
        <v/>
      </c>
      <c r="K23" s="19">
        <f>SUMIF($O$3:$AX$3,3,O23:AX23)</f>
        <v/>
      </c>
      <c r="L23" s="7" t="inlineStr">
        <is>
          <t>PROTECTION-PLAN: about $50-$300 a year.</t>
        </is>
      </c>
      <c r="M23" s="7" t="inlineStr">
        <is>
          <t>Repo [VERIFY]</t>
        </is>
      </c>
      <c r="N23" s="25" t="n">
        <v>1</v>
      </c>
      <c r="O23" s="19">
        <f>$N23*IF(AND(O$4&gt;=$G23,O$4&lt;=$H23),IF($F23="Monthly",$E23,IF(MOD(O$4-$G23,12)=0,$E23,0)),0)</f>
        <v/>
      </c>
      <c r="P23" s="19">
        <f>$N23*IF(AND(P$4&gt;=$G23,P$4&lt;=$H23),IF($F23="Monthly",$E23,IF(MOD(P$4-$G23,12)=0,$E23,0)),0)</f>
        <v/>
      </c>
      <c r="Q23" s="19">
        <f>$N23*IF(AND(Q$4&gt;=$G23,Q$4&lt;=$H23),IF($F23="Monthly",$E23,IF(MOD(Q$4-$G23,12)=0,$E23,0)),0)</f>
        <v/>
      </c>
      <c r="R23" s="19">
        <f>$N23*IF(AND(R$4&gt;=$G23,R$4&lt;=$H23),IF($F23="Monthly",$E23,IF(MOD(R$4-$G23,12)=0,$E23,0)),0)</f>
        <v/>
      </c>
      <c r="S23" s="19">
        <f>$N23*IF(AND(S$4&gt;=$G23,S$4&lt;=$H23),IF($F23="Monthly",$E23,IF(MOD(S$4-$G23,12)=0,$E23,0)),0)</f>
        <v/>
      </c>
      <c r="T23" s="19">
        <f>$N23*IF(AND(T$4&gt;=$G23,T$4&lt;=$H23),IF($F23="Monthly",$E23,IF(MOD(T$4-$G23,12)=0,$E23,0)),0)</f>
        <v/>
      </c>
      <c r="U23" s="19">
        <f>$N23*IF(AND(U$4&gt;=$G23,U$4&lt;=$H23),IF($F23="Monthly",$E23,IF(MOD(U$4-$G23,12)=0,$E23,0)),0)</f>
        <v/>
      </c>
      <c r="V23" s="19">
        <f>$N23*IF(AND(V$4&gt;=$G23,V$4&lt;=$H23),IF($F23="Monthly",$E23,IF(MOD(V$4-$G23,12)=0,$E23,0)),0)</f>
        <v/>
      </c>
      <c r="W23" s="19">
        <f>$N23*IF(AND(W$4&gt;=$G23,W$4&lt;=$H23),IF($F23="Monthly",$E23,IF(MOD(W$4-$G23,12)=0,$E23,0)),0)</f>
        <v/>
      </c>
      <c r="X23" s="19">
        <f>$N23*IF(AND(X$4&gt;=$G23,X$4&lt;=$H23),IF($F23="Monthly",$E23,IF(MOD(X$4-$G23,12)=0,$E23,0)),0)</f>
        <v/>
      </c>
      <c r="Y23" s="19">
        <f>$N23*IF(AND(Y$4&gt;=$G23,Y$4&lt;=$H23),IF($F23="Monthly",$E23,IF(MOD(Y$4-$G23,12)=0,$E23,0)),0)</f>
        <v/>
      </c>
      <c r="Z23" s="19">
        <f>$N23*IF(AND(Z$4&gt;=$G23,Z$4&lt;=$H23),IF($F23="Monthly",$E23,IF(MOD(Z$4-$G23,12)=0,$E23,0)),0)</f>
        <v/>
      </c>
      <c r="AA23" s="19">
        <f>$N23*IF(AND(AA$4&gt;=$G23,AA$4&lt;=$H23),IF($F23="Monthly",$E23,IF(MOD(AA$4-$G23,12)=0,$E23,0)),0)</f>
        <v/>
      </c>
      <c r="AB23" s="19">
        <f>$N23*IF(AND(AB$4&gt;=$G23,AB$4&lt;=$H23),IF($F23="Monthly",$E23,IF(MOD(AB$4-$G23,12)=0,$E23,0)),0)</f>
        <v/>
      </c>
      <c r="AC23" s="19">
        <f>$N23*IF(AND(AC$4&gt;=$G23,AC$4&lt;=$H23),IF($F23="Monthly",$E23,IF(MOD(AC$4-$G23,12)=0,$E23,0)),0)</f>
        <v/>
      </c>
      <c r="AD23" s="19">
        <f>$N23*IF(AND(AD$4&gt;=$G23,AD$4&lt;=$H23),IF($F23="Monthly",$E23,IF(MOD(AD$4-$G23,12)=0,$E23,0)),0)</f>
        <v/>
      </c>
      <c r="AE23" s="19">
        <f>$N23*IF(AND(AE$4&gt;=$G23,AE$4&lt;=$H23),IF($F23="Monthly",$E23,IF(MOD(AE$4-$G23,12)=0,$E23,0)),0)</f>
        <v/>
      </c>
      <c r="AF23" s="19">
        <f>$N23*IF(AND(AF$4&gt;=$G23,AF$4&lt;=$H23),IF($F23="Monthly",$E23,IF(MOD(AF$4-$G23,12)=0,$E23,0)),0)</f>
        <v/>
      </c>
      <c r="AG23" s="19">
        <f>$N23*IF(AND(AG$4&gt;=$G23,AG$4&lt;=$H23),IF($F23="Monthly",$E23,IF(MOD(AG$4-$G23,12)=0,$E23,0)),0)</f>
        <v/>
      </c>
      <c r="AH23" s="19">
        <f>$N23*IF(AND(AH$4&gt;=$G23,AH$4&lt;=$H23),IF($F23="Monthly",$E23,IF(MOD(AH$4-$G23,12)=0,$E23,0)),0)</f>
        <v/>
      </c>
      <c r="AI23" s="19">
        <f>$N23*IF(AND(AI$4&gt;=$G23,AI$4&lt;=$H23),IF($F23="Monthly",$E23,IF(MOD(AI$4-$G23,12)=0,$E23,0)),0)</f>
        <v/>
      </c>
      <c r="AJ23" s="19">
        <f>$N23*IF(AND(AJ$4&gt;=$G23,AJ$4&lt;=$H23),IF($F23="Monthly",$E23,IF(MOD(AJ$4-$G23,12)=0,$E23,0)),0)</f>
        <v/>
      </c>
      <c r="AK23" s="19">
        <f>$N23*IF(AND(AK$4&gt;=$G23,AK$4&lt;=$H23),IF($F23="Monthly",$E23,IF(MOD(AK$4-$G23,12)=0,$E23,0)),0)</f>
        <v/>
      </c>
      <c r="AL23" s="19">
        <f>$N23*IF(AND(AL$4&gt;=$G23,AL$4&lt;=$H23),IF($F23="Monthly",$E23,IF(MOD(AL$4-$G23,12)=0,$E23,0)),0)</f>
        <v/>
      </c>
      <c r="AM23" s="19">
        <f>$N23*IF(AND(AM$4&gt;=$G23,AM$4&lt;=$H23),IF($F23="Monthly",$E23,IF(MOD(AM$4-$G23,12)=0,$E23,0)),0)</f>
        <v/>
      </c>
      <c r="AN23" s="19">
        <f>$N23*IF(AND(AN$4&gt;=$G23,AN$4&lt;=$H23),IF($F23="Monthly",$E23,IF(MOD(AN$4-$G23,12)=0,$E23,0)),0)</f>
        <v/>
      </c>
      <c r="AO23" s="19">
        <f>$N23*IF(AND(AO$4&gt;=$G23,AO$4&lt;=$H23),IF($F23="Monthly",$E23,IF(MOD(AO$4-$G23,12)=0,$E23,0)),0)</f>
        <v/>
      </c>
      <c r="AP23" s="19">
        <f>$N23*IF(AND(AP$4&gt;=$G23,AP$4&lt;=$H23),IF($F23="Monthly",$E23,IF(MOD(AP$4-$G23,12)=0,$E23,0)),0)</f>
        <v/>
      </c>
      <c r="AQ23" s="19">
        <f>$N23*IF(AND(AQ$4&gt;=$G23,AQ$4&lt;=$H23),IF($F23="Monthly",$E23,IF(MOD(AQ$4-$G23,12)=0,$E23,0)),0)</f>
        <v/>
      </c>
      <c r="AR23" s="19">
        <f>$N23*IF(AND(AR$4&gt;=$G23,AR$4&lt;=$H23),IF($F23="Monthly",$E23,IF(MOD(AR$4-$G23,12)=0,$E23,0)),0)</f>
        <v/>
      </c>
      <c r="AS23" s="19">
        <f>$N23*IF(AND(AS$4&gt;=$G23,AS$4&lt;=$H23),IF($F23="Monthly",$E23,IF(MOD(AS$4-$G23,12)=0,$E23,0)),0)</f>
        <v/>
      </c>
      <c r="AT23" s="19">
        <f>$N23*IF(AND(AT$4&gt;=$G23,AT$4&lt;=$H23),IF($F23="Monthly",$E23,IF(MOD(AT$4-$G23,12)=0,$E23,0)),0)</f>
        <v/>
      </c>
      <c r="AU23" s="19">
        <f>$N23*IF(AND(AU$4&gt;=$G23,AU$4&lt;=$H23),IF($F23="Monthly",$E23,IF(MOD(AU$4-$G23,12)=0,$E23,0)),0)</f>
        <v/>
      </c>
      <c r="AV23" s="19">
        <f>$N23*IF(AND(AV$4&gt;=$G23,AV$4&lt;=$H23),IF($F23="Monthly",$E23,IF(MOD(AV$4-$G23,12)=0,$E23,0)),0)</f>
        <v/>
      </c>
      <c r="AW23" s="19">
        <f>$N23*IF(AND(AW$4&gt;=$G23,AW$4&lt;=$H23),IF($F23="Monthly",$E23,IF(MOD(AW$4-$G23,12)=0,$E23,0)),0)</f>
        <v/>
      </c>
      <c r="AX23" s="19">
        <f>$N23*IF(AND(AX$4&gt;=$G23,AX$4&lt;=$H23),IF($F23="Monthly",$E23,IF(MOD(AX$4-$G23,12)=0,$E23,0)),0)</f>
        <v/>
      </c>
    </row>
    <row r="24">
      <c r="A24" s="7" t="inlineStr">
        <is>
          <t>Maryland SDAT annual report</t>
        </is>
      </c>
      <c r="B24" s="7" t="inlineStr">
        <is>
          <t>Admin</t>
        </is>
      </c>
      <c r="C24" s="29" t="n">
        <v>300</v>
      </c>
      <c r="D24" s="29" t="n">
        <v>300</v>
      </c>
      <c r="E24" s="16">
        <f>C24+'Assumptions'!$C$10*(D24-C24)</f>
        <v/>
      </c>
      <c r="F24" s="46" t="inlineStr">
        <is>
          <t>Annual</t>
        </is>
      </c>
      <c r="G24" s="25" t="n">
        <v>7</v>
      </c>
      <c r="H24" s="25" t="n">
        <v>36</v>
      </c>
      <c r="I24" s="19">
        <f>SUMIF($O$3:$AX$3,1,O24:AX24)</f>
        <v/>
      </c>
      <c r="J24" s="19">
        <f>SUMIF($O$3:$AX$3,2,O24:AX24)</f>
        <v/>
      </c>
      <c r="K24" s="19">
        <f>SUMIF($O$3:$AX$3,3,O24:AX24)</f>
        <v/>
      </c>
      <c r="L24" s="7" t="inlineStr">
        <is>
          <t>PROTECTION-PLAN: $300, due Apr 15 (month 7 = Apr 2027).</t>
        </is>
      </c>
      <c r="M24" s="7" t="inlineStr">
        <is>
          <t>Repo</t>
        </is>
      </c>
      <c r="N24" s="25" t="n">
        <v>1</v>
      </c>
      <c r="O24" s="19">
        <f>$N24*IF(AND(O$4&gt;=$G24,O$4&lt;=$H24),IF($F24="Monthly",$E24,IF(MOD(O$4-$G24,12)=0,$E24,0)),0)</f>
        <v/>
      </c>
      <c r="P24" s="19">
        <f>$N24*IF(AND(P$4&gt;=$G24,P$4&lt;=$H24),IF($F24="Monthly",$E24,IF(MOD(P$4-$G24,12)=0,$E24,0)),0)</f>
        <v/>
      </c>
      <c r="Q24" s="19">
        <f>$N24*IF(AND(Q$4&gt;=$G24,Q$4&lt;=$H24),IF($F24="Monthly",$E24,IF(MOD(Q$4-$G24,12)=0,$E24,0)),0)</f>
        <v/>
      </c>
      <c r="R24" s="19">
        <f>$N24*IF(AND(R$4&gt;=$G24,R$4&lt;=$H24),IF($F24="Monthly",$E24,IF(MOD(R$4-$G24,12)=0,$E24,0)),0)</f>
        <v/>
      </c>
      <c r="S24" s="19">
        <f>$N24*IF(AND(S$4&gt;=$G24,S$4&lt;=$H24),IF($F24="Monthly",$E24,IF(MOD(S$4-$G24,12)=0,$E24,0)),0)</f>
        <v/>
      </c>
      <c r="T24" s="19">
        <f>$N24*IF(AND(T$4&gt;=$G24,T$4&lt;=$H24),IF($F24="Monthly",$E24,IF(MOD(T$4-$G24,12)=0,$E24,0)),0)</f>
        <v/>
      </c>
      <c r="U24" s="19">
        <f>$N24*IF(AND(U$4&gt;=$G24,U$4&lt;=$H24),IF($F24="Monthly",$E24,IF(MOD(U$4-$G24,12)=0,$E24,0)),0)</f>
        <v/>
      </c>
      <c r="V24" s="19">
        <f>$N24*IF(AND(V$4&gt;=$G24,V$4&lt;=$H24),IF($F24="Monthly",$E24,IF(MOD(V$4-$G24,12)=0,$E24,0)),0)</f>
        <v/>
      </c>
      <c r="W24" s="19">
        <f>$N24*IF(AND(W$4&gt;=$G24,W$4&lt;=$H24),IF($F24="Monthly",$E24,IF(MOD(W$4-$G24,12)=0,$E24,0)),0)</f>
        <v/>
      </c>
      <c r="X24" s="19">
        <f>$N24*IF(AND(X$4&gt;=$G24,X$4&lt;=$H24),IF($F24="Monthly",$E24,IF(MOD(X$4-$G24,12)=0,$E24,0)),0)</f>
        <v/>
      </c>
      <c r="Y24" s="19">
        <f>$N24*IF(AND(Y$4&gt;=$G24,Y$4&lt;=$H24),IF($F24="Monthly",$E24,IF(MOD(Y$4-$G24,12)=0,$E24,0)),0)</f>
        <v/>
      </c>
      <c r="Z24" s="19">
        <f>$N24*IF(AND(Z$4&gt;=$G24,Z$4&lt;=$H24),IF($F24="Monthly",$E24,IF(MOD(Z$4-$G24,12)=0,$E24,0)),0)</f>
        <v/>
      </c>
      <c r="AA24" s="19">
        <f>$N24*IF(AND(AA$4&gt;=$G24,AA$4&lt;=$H24),IF($F24="Monthly",$E24,IF(MOD(AA$4-$G24,12)=0,$E24,0)),0)</f>
        <v/>
      </c>
      <c r="AB24" s="19">
        <f>$N24*IF(AND(AB$4&gt;=$G24,AB$4&lt;=$H24),IF($F24="Monthly",$E24,IF(MOD(AB$4-$G24,12)=0,$E24,0)),0)</f>
        <v/>
      </c>
      <c r="AC24" s="19">
        <f>$N24*IF(AND(AC$4&gt;=$G24,AC$4&lt;=$H24),IF($F24="Monthly",$E24,IF(MOD(AC$4-$G24,12)=0,$E24,0)),0)</f>
        <v/>
      </c>
      <c r="AD24" s="19">
        <f>$N24*IF(AND(AD$4&gt;=$G24,AD$4&lt;=$H24),IF($F24="Monthly",$E24,IF(MOD(AD$4-$G24,12)=0,$E24,0)),0)</f>
        <v/>
      </c>
      <c r="AE24" s="19">
        <f>$N24*IF(AND(AE$4&gt;=$G24,AE$4&lt;=$H24),IF($F24="Monthly",$E24,IF(MOD(AE$4-$G24,12)=0,$E24,0)),0)</f>
        <v/>
      </c>
      <c r="AF24" s="19">
        <f>$N24*IF(AND(AF$4&gt;=$G24,AF$4&lt;=$H24),IF($F24="Monthly",$E24,IF(MOD(AF$4-$G24,12)=0,$E24,0)),0)</f>
        <v/>
      </c>
      <c r="AG24" s="19">
        <f>$N24*IF(AND(AG$4&gt;=$G24,AG$4&lt;=$H24),IF($F24="Monthly",$E24,IF(MOD(AG$4-$G24,12)=0,$E24,0)),0)</f>
        <v/>
      </c>
      <c r="AH24" s="19">
        <f>$N24*IF(AND(AH$4&gt;=$G24,AH$4&lt;=$H24),IF($F24="Monthly",$E24,IF(MOD(AH$4-$G24,12)=0,$E24,0)),0)</f>
        <v/>
      </c>
      <c r="AI24" s="19">
        <f>$N24*IF(AND(AI$4&gt;=$G24,AI$4&lt;=$H24),IF($F24="Monthly",$E24,IF(MOD(AI$4-$G24,12)=0,$E24,0)),0)</f>
        <v/>
      </c>
      <c r="AJ24" s="19">
        <f>$N24*IF(AND(AJ$4&gt;=$G24,AJ$4&lt;=$H24),IF($F24="Monthly",$E24,IF(MOD(AJ$4-$G24,12)=0,$E24,0)),0)</f>
        <v/>
      </c>
      <c r="AK24" s="19">
        <f>$N24*IF(AND(AK$4&gt;=$G24,AK$4&lt;=$H24),IF($F24="Monthly",$E24,IF(MOD(AK$4-$G24,12)=0,$E24,0)),0)</f>
        <v/>
      </c>
      <c r="AL24" s="19">
        <f>$N24*IF(AND(AL$4&gt;=$G24,AL$4&lt;=$H24),IF($F24="Monthly",$E24,IF(MOD(AL$4-$G24,12)=0,$E24,0)),0)</f>
        <v/>
      </c>
      <c r="AM24" s="19">
        <f>$N24*IF(AND(AM$4&gt;=$G24,AM$4&lt;=$H24),IF($F24="Monthly",$E24,IF(MOD(AM$4-$G24,12)=0,$E24,0)),0)</f>
        <v/>
      </c>
      <c r="AN24" s="19">
        <f>$N24*IF(AND(AN$4&gt;=$G24,AN$4&lt;=$H24),IF($F24="Monthly",$E24,IF(MOD(AN$4-$G24,12)=0,$E24,0)),0)</f>
        <v/>
      </c>
      <c r="AO24" s="19">
        <f>$N24*IF(AND(AO$4&gt;=$G24,AO$4&lt;=$H24),IF($F24="Monthly",$E24,IF(MOD(AO$4-$G24,12)=0,$E24,0)),0)</f>
        <v/>
      </c>
      <c r="AP24" s="19">
        <f>$N24*IF(AND(AP$4&gt;=$G24,AP$4&lt;=$H24),IF($F24="Monthly",$E24,IF(MOD(AP$4-$G24,12)=0,$E24,0)),0)</f>
        <v/>
      </c>
      <c r="AQ24" s="19">
        <f>$N24*IF(AND(AQ$4&gt;=$G24,AQ$4&lt;=$H24),IF($F24="Monthly",$E24,IF(MOD(AQ$4-$G24,12)=0,$E24,0)),0)</f>
        <v/>
      </c>
      <c r="AR24" s="19">
        <f>$N24*IF(AND(AR$4&gt;=$G24,AR$4&lt;=$H24),IF($F24="Monthly",$E24,IF(MOD(AR$4-$G24,12)=0,$E24,0)),0)</f>
        <v/>
      </c>
      <c r="AS24" s="19">
        <f>$N24*IF(AND(AS$4&gt;=$G24,AS$4&lt;=$H24),IF($F24="Monthly",$E24,IF(MOD(AS$4-$G24,12)=0,$E24,0)),0)</f>
        <v/>
      </c>
      <c r="AT24" s="19">
        <f>$N24*IF(AND(AT$4&gt;=$G24,AT$4&lt;=$H24),IF($F24="Monthly",$E24,IF(MOD(AT$4-$G24,12)=0,$E24,0)),0)</f>
        <v/>
      </c>
      <c r="AU24" s="19">
        <f>$N24*IF(AND(AU$4&gt;=$G24,AU$4&lt;=$H24),IF($F24="Monthly",$E24,IF(MOD(AU$4-$G24,12)=0,$E24,0)),0)</f>
        <v/>
      </c>
      <c r="AV24" s="19">
        <f>$N24*IF(AND(AV$4&gt;=$G24,AV$4&lt;=$H24),IF($F24="Monthly",$E24,IF(MOD(AV$4-$G24,12)=0,$E24,0)),0)</f>
        <v/>
      </c>
      <c r="AW24" s="19">
        <f>$N24*IF(AND(AW$4&gt;=$G24,AW$4&lt;=$H24),IF($F24="Monthly",$E24,IF(MOD(AW$4-$G24,12)=0,$E24,0)),0)</f>
        <v/>
      </c>
      <c r="AX24" s="19">
        <f>$N24*IF(AND(AX$4&gt;=$G24,AX$4&lt;=$H24),IF($F24="Monthly",$E24,IF(MOD(AX$4-$G24,12)=0,$E24,0)),0)</f>
        <v/>
      </c>
    </row>
    <row r="25">
      <c r="A25" s="7" t="inlineStr">
        <is>
          <t>GDPR Art. 27 representatives, EU and UK (international digital sales)</t>
        </is>
      </c>
      <c r="B25" s="7" t="inlineStr">
        <is>
          <t>Legal/privacy</t>
        </is>
      </c>
      <c r="C25" s="29" t="n">
        <v>220</v>
      </c>
      <c r="D25" s="29" t="n">
        <v>1300</v>
      </c>
      <c r="E25" s="16">
        <f>C25+'Assumptions'!$C$10*(D25-C25)</f>
        <v/>
      </c>
      <c r="F25" s="46" t="inlineStr">
        <is>
          <t>Annual</t>
        </is>
      </c>
      <c r="G25" s="25" t="n">
        <v>4</v>
      </c>
      <c r="H25" s="25" t="n">
        <v>36</v>
      </c>
      <c r="I25" s="19">
        <f>SUMIF($O$3:$AX$3,1,O25:AX25)</f>
        <v/>
      </c>
      <c r="J25" s="19">
        <f>SUMIF($O$3:$AX$3,2,O25:AX25)</f>
        <v/>
      </c>
      <c r="K25" s="19">
        <f>SUMIF($O$3:$AX$3,3,O25:AX25)</f>
        <v/>
      </c>
      <c r="L25" s="7" t="inlineStr">
        <is>
          <t>Section 5.8: about EUR 100-600 a year each (unverified); needed once EU/UK buyers are served.</t>
        </is>
      </c>
      <c r="M25" s="7" t="inlineStr">
        <is>
          <t>Repo [VERIFY]</t>
        </is>
      </c>
      <c r="N25" s="25" t="n">
        <v>1</v>
      </c>
      <c r="O25" s="19">
        <f>$N25*IF(AND(O$4&gt;=$G25,O$4&lt;=$H25),IF($F25="Monthly",$E25,IF(MOD(O$4-$G25,12)=0,$E25,0)),0)</f>
        <v/>
      </c>
      <c r="P25" s="19">
        <f>$N25*IF(AND(P$4&gt;=$G25,P$4&lt;=$H25),IF($F25="Monthly",$E25,IF(MOD(P$4-$G25,12)=0,$E25,0)),0)</f>
        <v/>
      </c>
      <c r="Q25" s="19">
        <f>$N25*IF(AND(Q$4&gt;=$G25,Q$4&lt;=$H25),IF($F25="Monthly",$E25,IF(MOD(Q$4-$G25,12)=0,$E25,0)),0)</f>
        <v/>
      </c>
      <c r="R25" s="19">
        <f>$N25*IF(AND(R$4&gt;=$G25,R$4&lt;=$H25),IF($F25="Monthly",$E25,IF(MOD(R$4-$G25,12)=0,$E25,0)),0)</f>
        <v/>
      </c>
      <c r="S25" s="19">
        <f>$N25*IF(AND(S$4&gt;=$G25,S$4&lt;=$H25),IF($F25="Monthly",$E25,IF(MOD(S$4-$G25,12)=0,$E25,0)),0)</f>
        <v/>
      </c>
      <c r="T25" s="19">
        <f>$N25*IF(AND(T$4&gt;=$G25,T$4&lt;=$H25),IF($F25="Monthly",$E25,IF(MOD(T$4-$G25,12)=0,$E25,0)),0)</f>
        <v/>
      </c>
      <c r="U25" s="19">
        <f>$N25*IF(AND(U$4&gt;=$G25,U$4&lt;=$H25),IF($F25="Monthly",$E25,IF(MOD(U$4-$G25,12)=0,$E25,0)),0)</f>
        <v/>
      </c>
      <c r="V25" s="19">
        <f>$N25*IF(AND(V$4&gt;=$G25,V$4&lt;=$H25),IF($F25="Monthly",$E25,IF(MOD(V$4-$G25,12)=0,$E25,0)),0)</f>
        <v/>
      </c>
      <c r="W25" s="19">
        <f>$N25*IF(AND(W$4&gt;=$G25,W$4&lt;=$H25),IF($F25="Monthly",$E25,IF(MOD(W$4-$G25,12)=0,$E25,0)),0)</f>
        <v/>
      </c>
      <c r="X25" s="19">
        <f>$N25*IF(AND(X$4&gt;=$G25,X$4&lt;=$H25),IF($F25="Monthly",$E25,IF(MOD(X$4-$G25,12)=0,$E25,0)),0)</f>
        <v/>
      </c>
      <c r="Y25" s="19">
        <f>$N25*IF(AND(Y$4&gt;=$G25,Y$4&lt;=$H25),IF($F25="Monthly",$E25,IF(MOD(Y$4-$G25,12)=0,$E25,0)),0)</f>
        <v/>
      </c>
      <c r="Z25" s="19">
        <f>$N25*IF(AND(Z$4&gt;=$G25,Z$4&lt;=$H25),IF($F25="Monthly",$E25,IF(MOD(Z$4-$G25,12)=0,$E25,0)),0)</f>
        <v/>
      </c>
      <c r="AA25" s="19">
        <f>$N25*IF(AND(AA$4&gt;=$G25,AA$4&lt;=$H25),IF($F25="Monthly",$E25,IF(MOD(AA$4-$G25,12)=0,$E25,0)),0)</f>
        <v/>
      </c>
      <c r="AB25" s="19">
        <f>$N25*IF(AND(AB$4&gt;=$G25,AB$4&lt;=$H25),IF($F25="Monthly",$E25,IF(MOD(AB$4-$G25,12)=0,$E25,0)),0)</f>
        <v/>
      </c>
      <c r="AC25" s="19">
        <f>$N25*IF(AND(AC$4&gt;=$G25,AC$4&lt;=$H25),IF($F25="Monthly",$E25,IF(MOD(AC$4-$G25,12)=0,$E25,0)),0)</f>
        <v/>
      </c>
      <c r="AD25" s="19">
        <f>$N25*IF(AND(AD$4&gt;=$G25,AD$4&lt;=$H25),IF($F25="Monthly",$E25,IF(MOD(AD$4-$G25,12)=0,$E25,0)),0)</f>
        <v/>
      </c>
      <c r="AE25" s="19">
        <f>$N25*IF(AND(AE$4&gt;=$G25,AE$4&lt;=$H25),IF($F25="Monthly",$E25,IF(MOD(AE$4-$G25,12)=0,$E25,0)),0)</f>
        <v/>
      </c>
      <c r="AF25" s="19">
        <f>$N25*IF(AND(AF$4&gt;=$G25,AF$4&lt;=$H25),IF($F25="Monthly",$E25,IF(MOD(AF$4-$G25,12)=0,$E25,0)),0)</f>
        <v/>
      </c>
      <c r="AG25" s="19">
        <f>$N25*IF(AND(AG$4&gt;=$G25,AG$4&lt;=$H25),IF($F25="Monthly",$E25,IF(MOD(AG$4-$G25,12)=0,$E25,0)),0)</f>
        <v/>
      </c>
      <c r="AH25" s="19">
        <f>$N25*IF(AND(AH$4&gt;=$G25,AH$4&lt;=$H25),IF($F25="Monthly",$E25,IF(MOD(AH$4-$G25,12)=0,$E25,0)),0)</f>
        <v/>
      </c>
      <c r="AI25" s="19">
        <f>$N25*IF(AND(AI$4&gt;=$G25,AI$4&lt;=$H25),IF($F25="Monthly",$E25,IF(MOD(AI$4-$G25,12)=0,$E25,0)),0)</f>
        <v/>
      </c>
      <c r="AJ25" s="19">
        <f>$N25*IF(AND(AJ$4&gt;=$G25,AJ$4&lt;=$H25),IF($F25="Monthly",$E25,IF(MOD(AJ$4-$G25,12)=0,$E25,0)),0)</f>
        <v/>
      </c>
      <c r="AK25" s="19">
        <f>$N25*IF(AND(AK$4&gt;=$G25,AK$4&lt;=$H25),IF($F25="Monthly",$E25,IF(MOD(AK$4-$G25,12)=0,$E25,0)),0)</f>
        <v/>
      </c>
      <c r="AL25" s="19">
        <f>$N25*IF(AND(AL$4&gt;=$G25,AL$4&lt;=$H25),IF($F25="Monthly",$E25,IF(MOD(AL$4-$G25,12)=0,$E25,0)),0)</f>
        <v/>
      </c>
      <c r="AM25" s="19">
        <f>$N25*IF(AND(AM$4&gt;=$G25,AM$4&lt;=$H25),IF($F25="Monthly",$E25,IF(MOD(AM$4-$G25,12)=0,$E25,0)),0)</f>
        <v/>
      </c>
      <c r="AN25" s="19">
        <f>$N25*IF(AND(AN$4&gt;=$G25,AN$4&lt;=$H25),IF($F25="Monthly",$E25,IF(MOD(AN$4-$G25,12)=0,$E25,0)),0)</f>
        <v/>
      </c>
      <c r="AO25" s="19">
        <f>$N25*IF(AND(AO$4&gt;=$G25,AO$4&lt;=$H25),IF($F25="Monthly",$E25,IF(MOD(AO$4-$G25,12)=0,$E25,0)),0)</f>
        <v/>
      </c>
      <c r="AP25" s="19">
        <f>$N25*IF(AND(AP$4&gt;=$G25,AP$4&lt;=$H25),IF($F25="Monthly",$E25,IF(MOD(AP$4-$G25,12)=0,$E25,0)),0)</f>
        <v/>
      </c>
      <c r="AQ25" s="19">
        <f>$N25*IF(AND(AQ$4&gt;=$G25,AQ$4&lt;=$H25),IF($F25="Monthly",$E25,IF(MOD(AQ$4-$G25,12)=0,$E25,0)),0)</f>
        <v/>
      </c>
      <c r="AR25" s="19">
        <f>$N25*IF(AND(AR$4&gt;=$G25,AR$4&lt;=$H25),IF($F25="Monthly",$E25,IF(MOD(AR$4-$G25,12)=0,$E25,0)),0)</f>
        <v/>
      </c>
      <c r="AS25" s="19">
        <f>$N25*IF(AND(AS$4&gt;=$G25,AS$4&lt;=$H25),IF($F25="Monthly",$E25,IF(MOD(AS$4-$G25,12)=0,$E25,0)),0)</f>
        <v/>
      </c>
      <c r="AT25" s="19">
        <f>$N25*IF(AND(AT$4&gt;=$G25,AT$4&lt;=$H25),IF($F25="Monthly",$E25,IF(MOD(AT$4-$G25,12)=0,$E25,0)),0)</f>
        <v/>
      </c>
      <c r="AU25" s="19">
        <f>$N25*IF(AND(AU$4&gt;=$G25,AU$4&lt;=$H25),IF($F25="Monthly",$E25,IF(MOD(AU$4-$G25,12)=0,$E25,0)),0)</f>
        <v/>
      </c>
      <c r="AV25" s="19">
        <f>$N25*IF(AND(AV$4&gt;=$G25,AV$4&lt;=$H25),IF($F25="Monthly",$E25,IF(MOD(AV$4-$G25,12)=0,$E25,0)),0)</f>
        <v/>
      </c>
      <c r="AW25" s="19">
        <f>$N25*IF(AND(AW$4&gt;=$G25,AW$4&lt;=$H25),IF($F25="Monthly",$E25,IF(MOD(AW$4-$G25,12)=0,$E25,0)),0)</f>
        <v/>
      </c>
      <c r="AX25" s="19">
        <f>$N25*IF(AND(AX$4&gt;=$G25,AX$4&lt;=$H25),IF($F25="Monthly",$E25,IF(MOD(AX$4-$G25,12)=0,$E25,0)),0)</f>
        <v/>
      </c>
    </row>
    <row r="26">
      <c r="A26" s="7" t="inlineStr">
        <is>
          <t>General liability with products-completed operations</t>
        </is>
      </c>
      <c r="B26" s="7" t="inlineStr">
        <is>
          <t>Insurance</t>
        </is>
      </c>
      <c r="C26" s="29" t="n">
        <v>45.17</v>
      </c>
      <c r="D26" s="29" t="n">
        <v>125</v>
      </c>
      <c r="E26" s="16">
        <f>C26+'Assumptions'!$C$10*(D26-C26)</f>
        <v/>
      </c>
      <c r="F26" s="46" t="inlineStr">
        <is>
          <t>Monthly</t>
        </is>
      </c>
      <c r="G26" s="25" t="n">
        <v>3</v>
      </c>
      <c r="H26" s="25" t="n">
        <v>36</v>
      </c>
      <c r="I26" s="19">
        <f>SUMIF($O$3:$AX$3,1,O26:AX26)</f>
        <v/>
      </c>
      <c r="J26" s="19">
        <f>SUMIF($O$3:$AX$3,2,O26:AX26)</f>
        <v/>
      </c>
      <c r="K26" s="19">
        <f>SUMIF($O$3:$AX$3,3,O26:AX26)</f>
        <v/>
      </c>
      <c r="L26" s="7" t="inlineStr">
        <is>
          <t>PROTECTION-PLAN: about $542/yr average (the low end here); range $260-$3,000+. Bound before the first sale (month 3).</t>
        </is>
      </c>
      <c r="M26" s="7" t="inlineStr">
        <is>
          <t>Repo [VERIFY]</t>
        </is>
      </c>
      <c r="N26" s="25" t="n">
        <v>1</v>
      </c>
      <c r="O26" s="19">
        <f>$N26*IF(AND(O$4&gt;=$G26,O$4&lt;=$H26),IF($F26="Monthly",$E26,IF(MOD(O$4-$G26,12)=0,$E26,0)),0)</f>
        <v/>
      </c>
      <c r="P26" s="19">
        <f>$N26*IF(AND(P$4&gt;=$G26,P$4&lt;=$H26),IF($F26="Monthly",$E26,IF(MOD(P$4-$G26,12)=0,$E26,0)),0)</f>
        <v/>
      </c>
      <c r="Q26" s="19">
        <f>$N26*IF(AND(Q$4&gt;=$G26,Q$4&lt;=$H26),IF($F26="Monthly",$E26,IF(MOD(Q$4-$G26,12)=0,$E26,0)),0)</f>
        <v/>
      </c>
      <c r="R26" s="19">
        <f>$N26*IF(AND(R$4&gt;=$G26,R$4&lt;=$H26),IF($F26="Monthly",$E26,IF(MOD(R$4-$G26,12)=0,$E26,0)),0)</f>
        <v/>
      </c>
      <c r="S26" s="19">
        <f>$N26*IF(AND(S$4&gt;=$G26,S$4&lt;=$H26),IF($F26="Monthly",$E26,IF(MOD(S$4-$G26,12)=0,$E26,0)),0)</f>
        <v/>
      </c>
      <c r="T26" s="19">
        <f>$N26*IF(AND(T$4&gt;=$G26,T$4&lt;=$H26),IF($F26="Monthly",$E26,IF(MOD(T$4-$G26,12)=0,$E26,0)),0)</f>
        <v/>
      </c>
      <c r="U26" s="19">
        <f>$N26*IF(AND(U$4&gt;=$G26,U$4&lt;=$H26),IF($F26="Monthly",$E26,IF(MOD(U$4-$G26,12)=0,$E26,0)),0)</f>
        <v/>
      </c>
      <c r="V26" s="19">
        <f>$N26*IF(AND(V$4&gt;=$G26,V$4&lt;=$H26),IF($F26="Monthly",$E26,IF(MOD(V$4-$G26,12)=0,$E26,0)),0)</f>
        <v/>
      </c>
      <c r="W26" s="19">
        <f>$N26*IF(AND(W$4&gt;=$G26,W$4&lt;=$H26),IF($F26="Monthly",$E26,IF(MOD(W$4-$G26,12)=0,$E26,0)),0)</f>
        <v/>
      </c>
      <c r="X26" s="19">
        <f>$N26*IF(AND(X$4&gt;=$G26,X$4&lt;=$H26),IF($F26="Monthly",$E26,IF(MOD(X$4-$G26,12)=0,$E26,0)),0)</f>
        <v/>
      </c>
      <c r="Y26" s="19">
        <f>$N26*IF(AND(Y$4&gt;=$G26,Y$4&lt;=$H26),IF($F26="Monthly",$E26,IF(MOD(Y$4-$G26,12)=0,$E26,0)),0)</f>
        <v/>
      </c>
      <c r="Z26" s="19">
        <f>$N26*IF(AND(Z$4&gt;=$G26,Z$4&lt;=$H26),IF($F26="Monthly",$E26,IF(MOD(Z$4-$G26,12)=0,$E26,0)),0)</f>
        <v/>
      </c>
      <c r="AA26" s="19">
        <f>$N26*IF(AND(AA$4&gt;=$G26,AA$4&lt;=$H26),IF($F26="Monthly",$E26,IF(MOD(AA$4-$G26,12)=0,$E26,0)),0)</f>
        <v/>
      </c>
      <c r="AB26" s="19">
        <f>$N26*IF(AND(AB$4&gt;=$G26,AB$4&lt;=$H26),IF($F26="Monthly",$E26,IF(MOD(AB$4-$G26,12)=0,$E26,0)),0)</f>
        <v/>
      </c>
      <c r="AC26" s="19">
        <f>$N26*IF(AND(AC$4&gt;=$G26,AC$4&lt;=$H26),IF($F26="Monthly",$E26,IF(MOD(AC$4-$G26,12)=0,$E26,0)),0)</f>
        <v/>
      </c>
      <c r="AD26" s="19">
        <f>$N26*IF(AND(AD$4&gt;=$G26,AD$4&lt;=$H26),IF($F26="Monthly",$E26,IF(MOD(AD$4-$G26,12)=0,$E26,0)),0)</f>
        <v/>
      </c>
      <c r="AE26" s="19">
        <f>$N26*IF(AND(AE$4&gt;=$G26,AE$4&lt;=$H26),IF($F26="Monthly",$E26,IF(MOD(AE$4-$G26,12)=0,$E26,0)),0)</f>
        <v/>
      </c>
      <c r="AF26" s="19">
        <f>$N26*IF(AND(AF$4&gt;=$G26,AF$4&lt;=$H26),IF($F26="Monthly",$E26,IF(MOD(AF$4-$G26,12)=0,$E26,0)),0)</f>
        <v/>
      </c>
      <c r="AG26" s="19">
        <f>$N26*IF(AND(AG$4&gt;=$G26,AG$4&lt;=$H26),IF($F26="Monthly",$E26,IF(MOD(AG$4-$G26,12)=0,$E26,0)),0)</f>
        <v/>
      </c>
      <c r="AH26" s="19">
        <f>$N26*IF(AND(AH$4&gt;=$G26,AH$4&lt;=$H26),IF($F26="Monthly",$E26,IF(MOD(AH$4-$G26,12)=0,$E26,0)),0)</f>
        <v/>
      </c>
      <c r="AI26" s="19">
        <f>$N26*IF(AND(AI$4&gt;=$G26,AI$4&lt;=$H26),IF($F26="Monthly",$E26,IF(MOD(AI$4-$G26,12)=0,$E26,0)),0)</f>
        <v/>
      </c>
      <c r="AJ26" s="19">
        <f>$N26*IF(AND(AJ$4&gt;=$G26,AJ$4&lt;=$H26),IF($F26="Monthly",$E26,IF(MOD(AJ$4-$G26,12)=0,$E26,0)),0)</f>
        <v/>
      </c>
      <c r="AK26" s="19">
        <f>$N26*IF(AND(AK$4&gt;=$G26,AK$4&lt;=$H26),IF($F26="Monthly",$E26,IF(MOD(AK$4-$G26,12)=0,$E26,0)),0)</f>
        <v/>
      </c>
      <c r="AL26" s="19">
        <f>$N26*IF(AND(AL$4&gt;=$G26,AL$4&lt;=$H26),IF($F26="Monthly",$E26,IF(MOD(AL$4-$G26,12)=0,$E26,0)),0)</f>
        <v/>
      </c>
      <c r="AM26" s="19">
        <f>$N26*IF(AND(AM$4&gt;=$G26,AM$4&lt;=$H26),IF($F26="Monthly",$E26,IF(MOD(AM$4-$G26,12)=0,$E26,0)),0)</f>
        <v/>
      </c>
      <c r="AN26" s="19">
        <f>$N26*IF(AND(AN$4&gt;=$G26,AN$4&lt;=$H26),IF($F26="Monthly",$E26,IF(MOD(AN$4-$G26,12)=0,$E26,0)),0)</f>
        <v/>
      </c>
      <c r="AO26" s="19">
        <f>$N26*IF(AND(AO$4&gt;=$G26,AO$4&lt;=$H26),IF($F26="Monthly",$E26,IF(MOD(AO$4-$G26,12)=0,$E26,0)),0)</f>
        <v/>
      </c>
      <c r="AP26" s="19">
        <f>$N26*IF(AND(AP$4&gt;=$G26,AP$4&lt;=$H26),IF($F26="Monthly",$E26,IF(MOD(AP$4-$G26,12)=0,$E26,0)),0)</f>
        <v/>
      </c>
      <c r="AQ26" s="19">
        <f>$N26*IF(AND(AQ$4&gt;=$G26,AQ$4&lt;=$H26),IF($F26="Monthly",$E26,IF(MOD(AQ$4-$G26,12)=0,$E26,0)),0)</f>
        <v/>
      </c>
      <c r="AR26" s="19">
        <f>$N26*IF(AND(AR$4&gt;=$G26,AR$4&lt;=$H26),IF($F26="Monthly",$E26,IF(MOD(AR$4-$G26,12)=0,$E26,0)),0)</f>
        <v/>
      </c>
      <c r="AS26" s="19">
        <f>$N26*IF(AND(AS$4&gt;=$G26,AS$4&lt;=$H26),IF($F26="Monthly",$E26,IF(MOD(AS$4-$G26,12)=0,$E26,0)),0)</f>
        <v/>
      </c>
      <c r="AT26" s="19">
        <f>$N26*IF(AND(AT$4&gt;=$G26,AT$4&lt;=$H26),IF($F26="Monthly",$E26,IF(MOD(AT$4-$G26,12)=0,$E26,0)),0)</f>
        <v/>
      </c>
      <c r="AU26" s="19">
        <f>$N26*IF(AND(AU$4&gt;=$G26,AU$4&lt;=$H26),IF($F26="Monthly",$E26,IF(MOD(AU$4-$G26,12)=0,$E26,0)),0)</f>
        <v/>
      </c>
      <c r="AV26" s="19">
        <f>$N26*IF(AND(AV$4&gt;=$G26,AV$4&lt;=$H26),IF($F26="Monthly",$E26,IF(MOD(AV$4-$G26,12)=0,$E26,0)),0)</f>
        <v/>
      </c>
      <c r="AW26" s="19">
        <f>$N26*IF(AND(AW$4&gt;=$G26,AW$4&lt;=$H26),IF($F26="Monthly",$E26,IF(MOD(AW$4-$G26,12)=0,$E26,0)),0)</f>
        <v/>
      </c>
      <c r="AX26" s="19">
        <f>$N26*IF(AND(AX$4&gt;=$G26,AX$4&lt;=$H26),IF($F26="Monthly",$E26,IF(MOD(AX$4-$G26,12)=0,$E26,0)),0)</f>
        <v/>
      </c>
    </row>
    <row r="27">
      <c r="A27" s="7" t="inlineStr">
        <is>
          <t>Professional liability / E&amp;O (switch: off until the broker advises)</t>
        </is>
      </c>
      <c r="B27" s="7" t="inlineStr">
        <is>
          <t>Insurance</t>
        </is>
      </c>
      <c r="C27" s="29" t="n">
        <v>62</v>
      </c>
      <c r="D27" s="29" t="n">
        <v>125</v>
      </c>
      <c r="E27" s="16">
        <f>C27+'Assumptions'!$C$10*(D27-C27)</f>
        <v/>
      </c>
      <c r="F27" s="46" t="inlineStr">
        <is>
          <t>Monthly</t>
        </is>
      </c>
      <c r="G27" s="25" t="n">
        <v>3</v>
      </c>
      <c r="H27" s="25" t="n">
        <v>36</v>
      </c>
      <c r="I27" s="19">
        <f>SUMIF($O$3:$AX$3,1,O27:AX27)</f>
        <v/>
      </c>
      <c r="J27" s="19">
        <f>SUMIF($O$3:$AX$3,2,O27:AX27)</f>
        <v/>
      </c>
      <c r="K27" s="19">
        <f>SUMIF($O$3:$AX$3,3,O27:AX27)</f>
        <v/>
      </c>
      <c r="L27" s="7" t="inlineStr">
        <is>
          <t>PROTECTION-PLAN: written for coaching, which the business no longer offers. Include = 0 pending the broker.</t>
        </is>
      </c>
      <c r="M27" s="7" t="inlineStr">
        <is>
          <t>Repo [VERIFY]</t>
        </is>
      </c>
      <c r="N27" s="25" t="n">
        <v>0</v>
      </c>
      <c r="O27" s="19">
        <f>$N27*IF(AND(O$4&gt;=$G27,O$4&lt;=$H27),IF($F27="Monthly",$E27,IF(MOD(O$4-$G27,12)=0,$E27,0)),0)</f>
        <v/>
      </c>
      <c r="P27" s="19">
        <f>$N27*IF(AND(P$4&gt;=$G27,P$4&lt;=$H27),IF($F27="Monthly",$E27,IF(MOD(P$4-$G27,12)=0,$E27,0)),0)</f>
        <v/>
      </c>
      <c r="Q27" s="19">
        <f>$N27*IF(AND(Q$4&gt;=$G27,Q$4&lt;=$H27),IF($F27="Monthly",$E27,IF(MOD(Q$4-$G27,12)=0,$E27,0)),0)</f>
        <v/>
      </c>
      <c r="R27" s="19">
        <f>$N27*IF(AND(R$4&gt;=$G27,R$4&lt;=$H27),IF($F27="Monthly",$E27,IF(MOD(R$4-$G27,12)=0,$E27,0)),0)</f>
        <v/>
      </c>
      <c r="S27" s="19">
        <f>$N27*IF(AND(S$4&gt;=$G27,S$4&lt;=$H27),IF($F27="Monthly",$E27,IF(MOD(S$4-$G27,12)=0,$E27,0)),0)</f>
        <v/>
      </c>
      <c r="T27" s="19">
        <f>$N27*IF(AND(T$4&gt;=$G27,T$4&lt;=$H27),IF($F27="Monthly",$E27,IF(MOD(T$4-$G27,12)=0,$E27,0)),0)</f>
        <v/>
      </c>
      <c r="U27" s="19">
        <f>$N27*IF(AND(U$4&gt;=$G27,U$4&lt;=$H27),IF($F27="Monthly",$E27,IF(MOD(U$4-$G27,12)=0,$E27,0)),0)</f>
        <v/>
      </c>
      <c r="V27" s="19">
        <f>$N27*IF(AND(V$4&gt;=$G27,V$4&lt;=$H27),IF($F27="Monthly",$E27,IF(MOD(V$4-$G27,12)=0,$E27,0)),0)</f>
        <v/>
      </c>
      <c r="W27" s="19">
        <f>$N27*IF(AND(W$4&gt;=$G27,W$4&lt;=$H27),IF($F27="Monthly",$E27,IF(MOD(W$4-$G27,12)=0,$E27,0)),0)</f>
        <v/>
      </c>
      <c r="X27" s="19">
        <f>$N27*IF(AND(X$4&gt;=$G27,X$4&lt;=$H27),IF($F27="Monthly",$E27,IF(MOD(X$4-$G27,12)=0,$E27,0)),0)</f>
        <v/>
      </c>
      <c r="Y27" s="19">
        <f>$N27*IF(AND(Y$4&gt;=$G27,Y$4&lt;=$H27),IF($F27="Monthly",$E27,IF(MOD(Y$4-$G27,12)=0,$E27,0)),0)</f>
        <v/>
      </c>
      <c r="Z27" s="19">
        <f>$N27*IF(AND(Z$4&gt;=$G27,Z$4&lt;=$H27),IF($F27="Monthly",$E27,IF(MOD(Z$4-$G27,12)=0,$E27,0)),0)</f>
        <v/>
      </c>
      <c r="AA27" s="19">
        <f>$N27*IF(AND(AA$4&gt;=$G27,AA$4&lt;=$H27),IF($F27="Monthly",$E27,IF(MOD(AA$4-$G27,12)=0,$E27,0)),0)</f>
        <v/>
      </c>
      <c r="AB27" s="19">
        <f>$N27*IF(AND(AB$4&gt;=$G27,AB$4&lt;=$H27),IF($F27="Monthly",$E27,IF(MOD(AB$4-$G27,12)=0,$E27,0)),0)</f>
        <v/>
      </c>
      <c r="AC27" s="19">
        <f>$N27*IF(AND(AC$4&gt;=$G27,AC$4&lt;=$H27),IF($F27="Monthly",$E27,IF(MOD(AC$4-$G27,12)=0,$E27,0)),0)</f>
        <v/>
      </c>
      <c r="AD27" s="19">
        <f>$N27*IF(AND(AD$4&gt;=$G27,AD$4&lt;=$H27),IF($F27="Monthly",$E27,IF(MOD(AD$4-$G27,12)=0,$E27,0)),0)</f>
        <v/>
      </c>
      <c r="AE27" s="19">
        <f>$N27*IF(AND(AE$4&gt;=$G27,AE$4&lt;=$H27),IF($F27="Monthly",$E27,IF(MOD(AE$4-$G27,12)=0,$E27,0)),0)</f>
        <v/>
      </c>
      <c r="AF27" s="19">
        <f>$N27*IF(AND(AF$4&gt;=$G27,AF$4&lt;=$H27),IF($F27="Monthly",$E27,IF(MOD(AF$4-$G27,12)=0,$E27,0)),0)</f>
        <v/>
      </c>
      <c r="AG27" s="19">
        <f>$N27*IF(AND(AG$4&gt;=$G27,AG$4&lt;=$H27),IF($F27="Monthly",$E27,IF(MOD(AG$4-$G27,12)=0,$E27,0)),0)</f>
        <v/>
      </c>
      <c r="AH27" s="19">
        <f>$N27*IF(AND(AH$4&gt;=$G27,AH$4&lt;=$H27),IF($F27="Monthly",$E27,IF(MOD(AH$4-$G27,12)=0,$E27,0)),0)</f>
        <v/>
      </c>
      <c r="AI27" s="19">
        <f>$N27*IF(AND(AI$4&gt;=$G27,AI$4&lt;=$H27),IF($F27="Monthly",$E27,IF(MOD(AI$4-$G27,12)=0,$E27,0)),0)</f>
        <v/>
      </c>
      <c r="AJ27" s="19">
        <f>$N27*IF(AND(AJ$4&gt;=$G27,AJ$4&lt;=$H27),IF($F27="Monthly",$E27,IF(MOD(AJ$4-$G27,12)=0,$E27,0)),0)</f>
        <v/>
      </c>
      <c r="AK27" s="19">
        <f>$N27*IF(AND(AK$4&gt;=$G27,AK$4&lt;=$H27),IF($F27="Monthly",$E27,IF(MOD(AK$4-$G27,12)=0,$E27,0)),0)</f>
        <v/>
      </c>
      <c r="AL27" s="19">
        <f>$N27*IF(AND(AL$4&gt;=$G27,AL$4&lt;=$H27),IF($F27="Monthly",$E27,IF(MOD(AL$4-$G27,12)=0,$E27,0)),0)</f>
        <v/>
      </c>
      <c r="AM27" s="19">
        <f>$N27*IF(AND(AM$4&gt;=$G27,AM$4&lt;=$H27),IF($F27="Monthly",$E27,IF(MOD(AM$4-$G27,12)=0,$E27,0)),0)</f>
        <v/>
      </c>
      <c r="AN27" s="19">
        <f>$N27*IF(AND(AN$4&gt;=$G27,AN$4&lt;=$H27),IF($F27="Monthly",$E27,IF(MOD(AN$4-$G27,12)=0,$E27,0)),0)</f>
        <v/>
      </c>
      <c r="AO27" s="19">
        <f>$N27*IF(AND(AO$4&gt;=$G27,AO$4&lt;=$H27),IF($F27="Monthly",$E27,IF(MOD(AO$4-$G27,12)=0,$E27,0)),0)</f>
        <v/>
      </c>
      <c r="AP27" s="19">
        <f>$N27*IF(AND(AP$4&gt;=$G27,AP$4&lt;=$H27),IF($F27="Monthly",$E27,IF(MOD(AP$4-$G27,12)=0,$E27,0)),0)</f>
        <v/>
      </c>
      <c r="AQ27" s="19">
        <f>$N27*IF(AND(AQ$4&gt;=$G27,AQ$4&lt;=$H27),IF($F27="Monthly",$E27,IF(MOD(AQ$4-$G27,12)=0,$E27,0)),0)</f>
        <v/>
      </c>
      <c r="AR27" s="19">
        <f>$N27*IF(AND(AR$4&gt;=$G27,AR$4&lt;=$H27),IF($F27="Monthly",$E27,IF(MOD(AR$4-$G27,12)=0,$E27,0)),0)</f>
        <v/>
      </c>
      <c r="AS27" s="19">
        <f>$N27*IF(AND(AS$4&gt;=$G27,AS$4&lt;=$H27),IF($F27="Monthly",$E27,IF(MOD(AS$4-$G27,12)=0,$E27,0)),0)</f>
        <v/>
      </c>
      <c r="AT27" s="19">
        <f>$N27*IF(AND(AT$4&gt;=$G27,AT$4&lt;=$H27),IF($F27="Monthly",$E27,IF(MOD(AT$4-$G27,12)=0,$E27,0)),0)</f>
        <v/>
      </c>
      <c r="AU27" s="19">
        <f>$N27*IF(AND(AU$4&gt;=$G27,AU$4&lt;=$H27),IF($F27="Monthly",$E27,IF(MOD(AU$4-$G27,12)=0,$E27,0)),0)</f>
        <v/>
      </c>
      <c r="AV27" s="19">
        <f>$N27*IF(AND(AV$4&gt;=$G27,AV$4&lt;=$H27),IF($F27="Monthly",$E27,IF(MOD(AV$4-$G27,12)=0,$E27,0)),0)</f>
        <v/>
      </c>
      <c r="AW27" s="19">
        <f>$N27*IF(AND(AW$4&gt;=$G27,AW$4&lt;=$H27),IF($F27="Monthly",$E27,IF(MOD(AW$4-$G27,12)=0,$E27,0)),0)</f>
        <v/>
      </c>
      <c r="AX27" s="19">
        <f>$N27*IF(AND(AX$4&gt;=$G27,AX$4&lt;=$H27),IF($F27="Monthly",$E27,IF(MOD(AX$4-$G27,12)=0,$E27,0)),0)</f>
        <v/>
      </c>
    </row>
    <row r="28">
      <c r="A28" s="7" t="inlineStr">
        <is>
          <t>Media liability / publisher's E&amp;O</t>
        </is>
      </c>
      <c r="B28" s="7" t="inlineStr">
        <is>
          <t>Insurance</t>
        </is>
      </c>
      <c r="C28" s="29" t="n">
        <v>50</v>
      </c>
      <c r="D28" s="29" t="n">
        <v>150</v>
      </c>
      <c r="E28" s="16">
        <f>C28+'Assumptions'!$C$10*(D28-C28)</f>
        <v/>
      </c>
      <c r="F28" s="46" t="inlineStr">
        <is>
          <t>Monthly</t>
        </is>
      </c>
      <c r="G28" s="25" t="n">
        <v>3</v>
      </c>
      <c r="H28" s="25" t="n">
        <v>36</v>
      </c>
      <c r="I28" s="19">
        <f>SUMIF($O$3:$AX$3,1,O28:AX28)</f>
        <v/>
      </c>
      <c r="J28" s="19">
        <f>SUMIF($O$3:$AX$3,2,O28:AX28)</f>
        <v/>
      </c>
      <c r="K28" s="19">
        <f>SUMIF($O$3:$AX$3,3,O28:AX28)</f>
        <v/>
      </c>
      <c r="L28" s="7" t="inlineStr">
        <is>
          <t>PROTECTION-PLAN: $50-$150/mo (secondary, unverified).</t>
        </is>
      </c>
      <c r="M28" s="7" t="inlineStr">
        <is>
          <t>Repo [VERIFY]</t>
        </is>
      </c>
      <c r="N28" s="25" t="n">
        <v>1</v>
      </c>
      <c r="O28" s="19">
        <f>$N28*IF(AND(O$4&gt;=$G28,O$4&lt;=$H28),IF($F28="Monthly",$E28,IF(MOD(O$4-$G28,12)=0,$E28,0)),0)</f>
        <v/>
      </c>
      <c r="P28" s="19">
        <f>$N28*IF(AND(P$4&gt;=$G28,P$4&lt;=$H28),IF($F28="Monthly",$E28,IF(MOD(P$4-$G28,12)=0,$E28,0)),0)</f>
        <v/>
      </c>
      <c r="Q28" s="19">
        <f>$N28*IF(AND(Q$4&gt;=$G28,Q$4&lt;=$H28),IF($F28="Monthly",$E28,IF(MOD(Q$4-$G28,12)=0,$E28,0)),0)</f>
        <v/>
      </c>
      <c r="R28" s="19">
        <f>$N28*IF(AND(R$4&gt;=$G28,R$4&lt;=$H28),IF($F28="Monthly",$E28,IF(MOD(R$4-$G28,12)=0,$E28,0)),0)</f>
        <v/>
      </c>
      <c r="S28" s="19">
        <f>$N28*IF(AND(S$4&gt;=$G28,S$4&lt;=$H28),IF($F28="Monthly",$E28,IF(MOD(S$4-$G28,12)=0,$E28,0)),0)</f>
        <v/>
      </c>
      <c r="T28" s="19">
        <f>$N28*IF(AND(T$4&gt;=$G28,T$4&lt;=$H28),IF($F28="Monthly",$E28,IF(MOD(T$4-$G28,12)=0,$E28,0)),0)</f>
        <v/>
      </c>
      <c r="U28" s="19">
        <f>$N28*IF(AND(U$4&gt;=$G28,U$4&lt;=$H28),IF($F28="Monthly",$E28,IF(MOD(U$4-$G28,12)=0,$E28,0)),0)</f>
        <v/>
      </c>
      <c r="V28" s="19">
        <f>$N28*IF(AND(V$4&gt;=$G28,V$4&lt;=$H28),IF($F28="Monthly",$E28,IF(MOD(V$4-$G28,12)=0,$E28,0)),0)</f>
        <v/>
      </c>
      <c r="W28" s="19">
        <f>$N28*IF(AND(W$4&gt;=$G28,W$4&lt;=$H28),IF($F28="Monthly",$E28,IF(MOD(W$4-$G28,12)=0,$E28,0)),0)</f>
        <v/>
      </c>
      <c r="X28" s="19">
        <f>$N28*IF(AND(X$4&gt;=$G28,X$4&lt;=$H28),IF($F28="Monthly",$E28,IF(MOD(X$4-$G28,12)=0,$E28,0)),0)</f>
        <v/>
      </c>
      <c r="Y28" s="19">
        <f>$N28*IF(AND(Y$4&gt;=$G28,Y$4&lt;=$H28),IF($F28="Monthly",$E28,IF(MOD(Y$4-$G28,12)=0,$E28,0)),0)</f>
        <v/>
      </c>
      <c r="Z28" s="19">
        <f>$N28*IF(AND(Z$4&gt;=$G28,Z$4&lt;=$H28),IF($F28="Monthly",$E28,IF(MOD(Z$4-$G28,12)=0,$E28,0)),0)</f>
        <v/>
      </c>
      <c r="AA28" s="19">
        <f>$N28*IF(AND(AA$4&gt;=$G28,AA$4&lt;=$H28),IF($F28="Monthly",$E28,IF(MOD(AA$4-$G28,12)=0,$E28,0)),0)</f>
        <v/>
      </c>
      <c r="AB28" s="19">
        <f>$N28*IF(AND(AB$4&gt;=$G28,AB$4&lt;=$H28),IF($F28="Monthly",$E28,IF(MOD(AB$4-$G28,12)=0,$E28,0)),0)</f>
        <v/>
      </c>
      <c r="AC28" s="19">
        <f>$N28*IF(AND(AC$4&gt;=$G28,AC$4&lt;=$H28),IF($F28="Monthly",$E28,IF(MOD(AC$4-$G28,12)=0,$E28,0)),0)</f>
        <v/>
      </c>
      <c r="AD28" s="19">
        <f>$N28*IF(AND(AD$4&gt;=$G28,AD$4&lt;=$H28),IF($F28="Monthly",$E28,IF(MOD(AD$4-$G28,12)=0,$E28,0)),0)</f>
        <v/>
      </c>
      <c r="AE28" s="19">
        <f>$N28*IF(AND(AE$4&gt;=$G28,AE$4&lt;=$H28),IF($F28="Monthly",$E28,IF(MOD(AE$4-$G28,12)=0,$E28,0)),0)</f>
        <v/>
      </c>
      <c r="AF28" s="19">
        <f>$N28*IF(AND(AF$4&gt;=$G28,AF$4&lt;=$H28),IF($F28="Monthly",$E28,IF(MOD(AF$4-$G28,12)=0,$E28,0)),0)</f>
        <v/>
      </c>
      <c r="AG28" s="19">
        <f>$N28*IF(AND(AG$4&gt;=$G28,AG$4&lt;=$H28),IF($F28="Monthly",$E28,IF(MOD(AG$4-$G28,12)=0,$E28,0)),0)</f>
        <v/>
      </c>
      <c r="AH28" s="19">
        <f>$N28*IF(AND(AH$4&gt;=$G28,AH$4&lt;=$H28),IF($F28="Monthly",$E28,IF(MOD(AH$4-$G28,12)=0,$E28,0)),0)</f>
        <v/>
      </c>
      <c r="AI28" s="19">
        <f>$N28*IF(AND(AI$4&gt;=$G28,AI$4&lt;=$H28),IF($F28="Monthly",$E28,IF(MOD(AI$4-$G28,12)=0,$E28,0)),0)</f>
        <v/>
      </c>
      <c r="AJ28" s="19">
        <f>$N28*IF(AND(AJ$4&gt;=$G28,AJ$4&lt;=$H28),IF($F28="Monthly",$E28,IF(MOD(AJ$4-$G28,12)=0,$E28,0)),0)</f>
        <v/>
      </c>
      <c r="AK28" s="19">
        <f>$N28*IF(AND(AK$4&gt;=$G28,AK$4&lt;=$H28),IF($F28="Monthly",$E28,IF(MOD(AK$4-$G28,12)=0,$E28,0)),0)</f>
        <v/>
      </c>
      <c r="AL28" s="19">
        <f>$N28*IF(AND(AL$4&gt;=$G28,AL$4&lt;=$H28),IF($F28="Monthly",$E28,IF(MOD(AL$4-$G28,12)=0,$E28,0)),0)</f>
        <v/>
      </c>
      <c r="AM28" s="19">
        <f>$N28*IF(AND(AM$4&gt;=$G28,AM$4&lt;=$H28),IF($F28="Monthly",$E28,IF(MOD(AM$4-$G28,12)=0,$E28,0)),0)</f>
        <v/>
      </c>
      <c r="AN28" s="19">
        <f>$N28*IF(AND(AN$4&gt;=$G28,AN$4&lt;=$H28),IF($F28="Monthly",$E28,IF(MOD(AN$4-$G28,12)=0,$E28,0)),0)</f>
        <v/>
      </c>
      <c r="AO28" s="19">
        <f>$N28*IF(AND(AO$4&gt;=$G28,AO$4&lt;=$H28),IF($F28="Monthly",$E28,IF(MOD(AO$4-$G28,12)=0,$E28,0)),0)</f>
        <v/>
      </c>
      <c r="AP28" s="19">
        <f>$N28*IF(AND(AP$4&gt;=$G28,AP$4&lt;=$H28),IF($F28="Monthly",$E28,IF(MOD(AP$4-$G28,12)=0,$E28,0)),0)</f>
        <v/>
      </c>
      <c r="AQ28" s="19">
        <f>$N28*IF(AND(AQ$4&gt;=$G28,AQ$4&lt;=$H28),IF($F28="Monthly",$E28,IF(MOD(AQ$4-$G28,12)=0,$E28,0)),0)</f>
        <v/>
      </c>
      <c r="AR28" s="19">
        <f>$N28*IF(AND(AR$4&gt;=$G28,AR$4&lt;=$H28),IF($F28="Monthly",$E28,IF(MOD(AR$4-$G28,12)=0,$E28,0)),0)</f>
        <v/>
      </c>
      <c r="AS28" s="19">
        <f>$N28*IF(AND(AS$4&gt;=$G28,AS$4&lt;=$H28),IF($F28="Monthly",$E28,IF(MOD(AS$4-$G28,12)=0,$E28,0)),0)</f>
        <v/>
      </c>
      <c r="AT28" s="19">
        <f>$N28*IF(AND(AT$4&gt;=$G28,AT$4&lt;=$H28),IF($F28="Monthly",$E28,IF(MOD(AT$4-$G28,12)=0,$E28,0)),0)</f>
        <v/>
      </c>
      <c r="AU28" s="19">
        <f>$N28*IF(AND(AU$4&gt;=$G28,AU$4&lt;=$H28),IF($F28="Monthly",$E28,IF(MOD(AU$4-$G28,12)=0,$E28,0)),0)</f>
        <v/>
      </c>
      <c r="AV28" s="19">
        <f>$N28*IF(AND(AV$4&gt;=$G28,AV$4&lt;=$H28),IF($F28="Monthly",$E28,IF(MOD(AV$4-$G28,12)=0,$E28,0)),0)</f>
        <v/>
      </c>
      <c r="AW28" s="19">
        <f>$N28*IF(AND(AW$4&gt;=$G28,AW$4&lt;=$H28),IF($F28="Monthly",$E28,IF(MOD(AW$4-$G28,12)=0,$E28,0)),0)</f>
        <v/>
      </c>
      <c r="AX28" s="19">
        <f>$N28*IF(AND(AX$4&gt;=$G28,AX$4&lt;=$H28),IF($F28="Monthly",$E28,IF(MOD(AX$4-$G28,12)=0,$E28,0)),0)</f>
        <v/>
      </c>
    </row>
    <row r="29">
      <c r="A29" s="7" t="inlineStr">
        <is>
          <t>Cyber</t>
        </is>
      </c>
      <c r="B29" s="7" t="inlineStr">
        <is>
          <t>Insurance</t>
        </is>
      </c>
      <c r="C29" s="29" t="n">
        <v>35</v>
      </c>
      <c r="D29" s="29" t="n">
        <v>129</v>
      </c>
      <c r="E29" s="16">
        <f>C29+'Assumptions'!$C$10*(D29-C29)</f>
        <v/>
      </c>
      <c r="F29" s="46" t="inlineStr">
        <is>
          <t>Monthly</t>
        </is>
      </c>
      <c r="G29" s="25" t="n">
        <v>3</v>
      </c>
      <c r="H29" s="25" t="n">
        <v>36</v>
      </c>
      <c r="I29" s="19">
        <f>SUMIF($O$3:$AX$3,1,O29:AX29)</f>
        <v/>
      </c>
      <c r="J29" s="19">
        <f>SUMIF($O$3:$AX$3,2,O29:AX29)</f>
        <v/>
      </c>
      <c r="K29" s="19">
        <f>SUMIF($O$3:$AX$3,3,O29:AX29)</f>
        <v/>
      </c>
      <c r="L29" s="7" t="inlineStr">
        <is>
          <t>PROTECTION-PLAN: $35-$129/mo.</t>
        </is>
      </c>
      <c r="M29" s="7" t="inlineStr">
        <is>
          <t>Repo [VERIFY]</t>
        </is>
      </c>
      <c r="N29" s="25" t="n">
        <v>1</v>
      </c>
      <c r="O29" s="19">
        <f>$N29*IF(AND(O$4&gt;=$G29,O$4&lt;=$H29),IF($F29="Monthly",$E29,IF(MOD(O$4-$G29,12)=0,$E29,0)),0)</f>
        <v/>
      </c>
      <c r="P29" s="19">
        <f>$N29*IF(AND(P$4&gt;=$G29,P$4&lt;=$H29),IF($F29="Monthly",$E29,IF(MOD(P$4-$G29,12)=0,$E29,0)),0)</f>
        <v/>
      </c>
      <c r="Q29" s="19">
        <f>$N29*IF(AND(Q$4&gt;=$G29,Q$4&lt;=$H29),IF($F29="Monthly",$E29,IF(MOD(Q$4-$G29,12)=0,$E29,0)),0)</f>
        <v/>
      </c>
      <c r="R29" s="19">
        <f>$N29*IF(AND(R$4&gt;=$G29,R$4&lt;=$H29),IF($F29="Monthly",$E29,IF(MOD(R$4-$G29,12)=0,$E29,0)),0)</f>
        <v/>
      </c>
      <c r="S29" s="19">
        <f>$N29*IF(AND(S$4&gt;=$G29,S$4&lt;=$H29),IF($F29="Monthly",$E29,IF(MOD(S$4-$G29,12)=0,$E29,0)),0)</f>
        <v/>
      </c>
      <c r="T29" s="19">
        <f>$N29*IF(AND(T$4&gt;=$G29,T$4&lt;=$H29),IF($F29="Monthly",$E29,IF(MOD(T$4-$G29,12)=0,$E29,0)),0)</f>
        <v/>
      </c>
      <c r="U29" s="19">
        <f>$N29*IF(AND(U$4&gt;=$G29,U$4&lt;=$H29),IF($F29="Monthly",$E29,IF(MOD(U$4-$G29,12)=0,$E29,0)),0)</f>
        <v/>
      </c>
      <c r="V29" s="19">
        <f>$N29*IF(AND(V$4&gt;=$G29,V$4&lt;=$H29),IF($F29="Monthly",$E29,IF(MOD(V$4-$G29,12)=0,$E29,0)),0)</f>
        <v/>
      </c>
      <c r="W29" s="19">
        <f>$N29*IF(AND(W$4&gt;=$G29,W$4&lt;=$H29),IF($F29="Monthly",$E29,IF(MOD(W$4-$G29,12)=0,$E29,0)),0)</f>
        <v/>
      </c>
      <c r="X29" s="19">
        <f>$N29*IF(AND(X$4&gt;=$G29,X$4&lt;=$H29),IF($F29="Monthly",$E29,IF(MOD(X$4-$G29,12)=0,$E29,0)),0)</f>
        <v/>
      </c>
      <c r="Y29" s="19">
        <f>$N29*IF(AND(Y$4&gt;=$G29,Y$4&lt;=$H29),IF($F29="Monthly",$E29,IF(MOD(Y$4-$G29,12)=0,$E29,0)),0)</f>
        <v/>
      </c>
      <c r="Z29" s="19">
        <f>$N29*IF(AND(Z$4&gt;=$G29,Z$4&lt;=$H29),IF($F29="Monthly",$E29,IF(MOD(Z$4-$G29,12)=0,$E29,0)),0)</f>
        <v/>
      </c>
      <c r="AA29" s="19">
        <f>$N29*IF(AND(AA$4&gt;=$G29,AA$4&lt;=$H29),IF($F29="Monthly",$E29,IF(MOD(AA$4-$G29,12)=0,$E29,0)),0)</f>
        <v/>
      </c>
      <c r="AB29" s="19">
        <f>$N29*IF(AND(AB$4&gt;=$G29,AB$4&lt;=$H29),IF($F29="Monthly",$E29,IF(MOD(AB$4-$G29,12)=0,$E29,0)),0)</f>
        <v/>
      </c>
      <c r="AC29" s="19">
        <f>$N29*IF(AND(AC$4&gt;=$G29,AC$4&lt;=$H29),IF($F29="Monthly",$E29,IF(MOD(AC$4-$G29,12)=0,$E29,0)),0)</f>
        <v/>
      </c>
      <c r="AD29" s="19">
        <f>$N29*IF(AND(AD$4&gt;=$G29,AD$4&lt;=$H29),IF($F29="Monthly",$E29,IF(MOD(AD$4-$G29,12)=0,$E29,0)),0)</f>
        <v/>
      </c>
      <c r="AE29" s="19">
        <f>$N29*IF(AND(AE$4&gt;=$G29,AE$4&lt;=$H29),IF($F29="Monthly",$E29,IF(MOD(AE$4-$G29,12)=0,$E29,0)),0)</f>
        <v/>
      </c>
      <c r="AF29" s="19">
        <f>$N29*IF(AND(AF$4&gt;=$G29,AF$4&lt;=$H29),IF($F29="Monthly",$E29,IF(MOD(AF$4-$G29,12)=0,$E29,0)),0)</f>
        <v/>
      </c>
      <c r="AG29" s="19">
        <f>$N29*IF(AND(AG$4&gt;=$G29,AG$4&lt;=$H29),IF($F29="Monthly",$E29,IF(MOD(AG$4-$G29,12)=0,$E29,0)),0)</f>
        <v/>
      </c>
      <c r="AH29" s="19">
        <f>$N29*IF(AND(AH$4&gt;=$G29,AH$4&lt;=$H29),IF($F29="Monthly",$E29,IF(MOD(AH$4-$G29,12)=0,$E29,0)),0)</f>
        <v/>
      </c>
      <c r="AI29" s="19">
        <f>$N29*IF(AND(AI$4&gt;=$G29,AI$4&lt;=$H29),IF($F29="Monthly",$E29,IF(MOD(AI$4-$G29,12)=0,$E29,0)),0)</f>
        <v/>
      </c>
      <c r="AJ29" s="19">
        <f>$N29*IF(AND(AJ$4&gt;=$G29,AJ$4&lt;=$H29),IF($F29="Monthly",$E29,IF(MOD(AJ$4-$G29,12)=0,$E29,0)),0)</f>
        <v/>
      </c>
      <c r="AK29" s="19">
        <f>$N29*IF(AND(AK$4&gt;=$G29,AK$4&lt;=$H29),IF($F29="Monthly",$E29,IF(MOD(AK$4-$G29,12)=0,$E29,0)),0)</f>
        <v/>
      </c>
      <c r="AL29" s="19">
        <f>$N29*IF(AND(AL$4&gt;=$G29,AL$4&lt;=$H29),IF($F29="Monthly",$E29,IF(MOD(AL$4-$G29,12)=0,$E29,0)),0)</f>
        <v/>
      </c>
      <c r="AM29" s="19">
        <f>$N29*IF(AND(AM$4&gt;=$G29,AM$4&lt;=$H29),IF($F29="Monthly",$E29,IF(MOD(AM$4-$G29,12)=0,$E29,0)),0)</f>
        <v/>
      </c>
      <c r="AN29" s="19">
        <f>$N29*IF(AND(AN$4&gt;=$G29,AN$4&lt;=$H29),IF($F29="Monthly",$E29,IF(MOD(AN$4-$G29,12)=0,$E29,0)),0)</f>
        <v/>
      </c>
      <c r="AO29" s="19">
        <f>$N29*IF(AND(AO$4&gt;=$G29,AO$4&lt;=$H29),IF($F29="Monthly",$E29,IF(MOD(AO$4-$G29,12)=0,$E29,0)),0)</f>
        <v/>
      </c>
      <c r="AP29" s="19">
        <f>$N29*IF(AND(AP$4&gt;=$G29,AP$4&lt;=$H29),IF($F29="Monthly",$E29,IF(MOD(AP$4-$G29,12)=0,$E29,0)),0)</f>
        <v/>
      </c>
      <c r="AQ29" s="19">
        <f>$N29*IF(AND(AQ$4&gt;=$G29,AQ$4&lt;=$H29),IF($F29="Monthly",$E29,IF(MOD(AQ$4-$G29,12)=0,$E29,0)),0)</f>
        <v/>
      </c>
      <c r="AR29" s="19">
        <f>$N29*IF(AND(AR$4&gt;=$G29,AR$4&lt;=$H29),IF($F29="Monthly",$E29,IF(MOD(AR$4-$G29,12)=0,$E29,0)),0)</f>
        <v/>
      </c>
      <c r="AS29" s="19">
        <f>$N29*IF(AND(AS$4&gt;=$G29,AS$4&lt;=$H29),IF($F29="Monthly",$E29,IF(MOD(AS$4-$G29,12)=0,$E29,0)),0)</f>
        <v/>
      </c>
      <c r="AT29" s="19">
        <f>$N29*IF(AND(AT$4&gt;=$G29,AT$4&lt;=$H29),IF($F29="Monthly",$E29,IF(MOD(AT$4-$G29,12)=0,$E29,0)),0)</f>
        <v/>
      </c>
      <c r="AU29" s="19">
        <f>$N29*IF(AND(AU$4&gt;=$G29,AU$4&lt;=$H29),IF($F29="Monthly",$E29,IF(MOD(AU$4-$G29,12)=0,$E29,0)),0)</f>
        <v/>
      </c>
      <c r="AV29" s="19">
        <f>$N29*IF(AND(AV$4&gt;=$G29,AV$4&lt;=$H29),IF($F29="Monthly",$E29,IF(MOD(AV$4-$G29,12)=0,$E29,0)),0)</f>
        <v/>
      </c>
      <c r="AW29" s="19">
        <f>$N29*IF(AND(AW$4&gt;=$G29,AW$4&lt;=$H29),IF($F29="Monthly",$E29,IF(MOD(AW$4-$G29,12)=0,$E29,0)),0)</f>
        <v/>
      </c>
      <c r="AX29" s="19">
        <f>$N29*IF(AND(AX$4&gt;=$G29,AX$4&lt;=$H29),IF($F29="Monthly",$E29,IF(MOD(AX$4-$G29,12)=0,$E29,0)),0)</f>
        <v/>
      </c>
    </row>
    <row r="30">
      <c r="A30" s="7" t="inlineStr">
        <is>
          <t>Umbrella / excess over GL</t>
        </is>
      </c>
      <c r="B30" s="7" t="inlineStr">
        <is>
          <t>Insurance</t>
        </is>
      </c>
      <c r="C30" s="29" t="n">
        <v>25</v>
      </c>
      <c r="D30" s="29" t="n">
        <v>50</v>
      </c>
      <c r="E30" s="16">
        <f>C30+'Assumptions'!$C$10*(D30-C30)</f>
        <v/>
      </c>
      <c r="F30" s="46" t="inlineStr">
        <is>
          <t>Monthly</t>
        </is>
      </c>
      <c r="G30" s="25" t="n">
        <v>5</v>
      </c>
      <c r="H30" s="25" t="n">
        <v>36</v>
      </c>
      <c r="I30" s="19">
        <f>SUMIF($O$3:$AX$3,1,O30:AX30)</f>
        <v/>
      </c>
      <c r="J30" s="19">
        <f>SUMIF($O$3:$AX$3,2,O30:AX30)</f>
        <v/>
      </c>
      <c r="K30" s="19">
        <f>SUMIF($O$3:$AX$3,3,O30:AX30)</f>
        <v/>
      </c>
      <c r="L30" s="7" t="inlineStr">
        <is>
          <t>PROTECTION-PLAN: 'a few hundred dollars a year' (unverified); within 90 days.</t>
        </is>
      </c>
      <c r="M30" s="7" t="inlineStr">
        <is>
          <t>Repo [VERIFY]</t>
        </is>
      </c>
      <c r="N30" s="25" t="n">
        <v>1</v>
      </c>
      <c r="O30" s="19">
        <f>$N30*IF(AND(O$4&gt;=$G30,O$4&lt;=$H30),IF($F30="Monthly",$E30,IF(MOD(O$4-$G30,12)=0,$E30,0)),0)</f>
        <v/>
      </c>
      <c r="P30" s="19">
        <f>$N30*IF(AND(P$4&gt;=$G30,P$4&lt;=$H30),IF($F30="Monthly",$E30,IF(MOD(P$4-$G30,12)=0,$E30,0)),0)</f>
        <v/>
      </c>
      <c r="Q30" s="19">
        <f>$N30*IF(AND(Q$4&gt;=$G30,Q$4&lt;=$H30),IF($F30="Monthly",$E30,IF(MOD(Q$4-$G30,12)=0,$E30,0)),0)</f>
        <v/>
      </c>
      <c r="R30" s="19">
        <f>$N30*IF(AND(R$4&gt;=$G30,R$4&lt;=$H30),IF($F30="Monthly",$E30,IF(MOD(R$4-$G30,12)=0,$E30,0)),0)</f>
        <v/>
      </c>
      <c r="S30" s="19">
        <f>$N30*IF(AND(S$4&gt;=$G30,S$4&lt;=$H30),IF($F30="Monthly",$E30,IF(MOD(S$4-$G30,12)=0,$E30,0)),0)</f>
        <v/>
      </c>
      <c r="T30" s="19">
        <f>$N30*IF(AND(T$4&gt;=$G30,T$4&lt;=$H30),IF($F30="Monthly",$E30,IF(MOD(T$4-$G30,12)=0,$E30,0)),0)</f>
        <v/>
      </c>
      <c r="U30" s="19">
        <f>$N30*IF(AND(U$4&gt;=$G30,U$4&lt;=$H30),IF($F30="Monthly",$E30,IF(MOD(U$4-$G30,12)=0,$E30,0)),0)</f>
        <v/>
      </c>
      <c r="V30" s="19">
        <f>$N30*IF(AND(V$4&gt;=$G30,V$4&lt;=$H30),IF($F30="Monthly",$E30,IF(MOD(V$4-$G30,12)=0,$E30,0)),0)</f>
        <v/>
      </c>
      <c r="W30" s="19">
        <f>$N30*IF(AND(W$4&gt;=$G30,W$4&lt;=$H30),IF($F30="Monthly",$E30,IF(MOD(W$4-$G30,12)=0,$E30,0)),0)</f>
        <v/>
      </c>
      <c r="X30" s="19">
        <f>$N30*IF(AND(X$4&gt;=$G30,X$4&lt;=$H30),IF($F30="Monthly",$E30,IF(MOD(X$4-$G30,12)=0,$E30,0)),0)</f>
        <v/>
      </c>
      <c r="Y30" s="19">
        <f>$N30*IF(AND(Y$4&gt;=$G30,Y$4&lt;=$H30),IF($F30="Monthly",$E30,IF(MOD(Y$4-$G30,12)=0,$E30,0)),0)</f>
        <v/>
      </c>
      <c r="Z30" s="19">
        <f>$N30*IF(AND(Z$4&gt;=$G30,Z$4&lt;=$H30),IF($F30="Monthly",$E30,IF(MOD(Z$4-$G30,12)=0,$E30,0)),0)</f>
        <v/>
      </c>
      <c r="AA30" s="19">
        <f>$N30*IF(AND(AA$4&gt;=$G30,AA$4&lt;=$H30),IF($F30="Monthly",$E30,IF(MOD(AA$4-$G30,12)=0,$E30,0)),0)</f>
        <v/>
      </c>
      <c r="AB30" s="19">
        <f>$N30*IF(AND(AB$4&gt;=$G30,AB$4&lt;=$H30),IF($F30="Monthly",$E30,IF(MOD(AB$4-$G30,12)=0,$E30,0)),0)</f>
        <v/>
      </c>
      <c r="AC30" s="19">
        <f>$N30*IF(AND(AC$4&gt;=$G30,AC$4&lt;=$H30),IF($F30="Monthly",$E30,IF(MOD(AC$4-$G30,12)=0,$E30,0)),0)</f>
        <v/>
      </c>
      <c r="AD30" s="19">
        <f>$N30*IF(AND(AD$4&gt;=$G30,AD$4&lt;=$H30),IF($F30="Monthly",$E30,IF(MOD(AD$4-$G30,12)=0,$E30,0)),0)</f>
        <v/>
      </c>
      <c r="AE30" s="19">
        <f>$N30*IF(AND(AE$4&gt;=$G30,AE$4&lt;=$H30),IF($F30="Monthly",$E30,IF(MOD(AE$4-$G30,12)=0,$E30,0)),0)</f>
        <v/>
      </c>
      <c r="AF30" s="19">
        <f>$N30*IF(AND(AF$4&gt;=$G30,AF$4&lt;=$H30),IF($F30="Monthly",$E30,IF(MOD(AF$4-$G30,12)=0,$E30,0)),0)</f>
        <v/>
      </c>
      <c r="AG30" s="19">
        <f>$N30*IF(AND(AG$4&gt;=$G30,AG$4&lt;=$H30),IF($F30="Monthly",$E30,IF(MOD(AG$4-$G30,12)=0,$E30,0)),0)</f>
        <v/>
      </c>
      <c r="AH30" s="19">
        <f>$N30*IF(AND(AH$4&gt;=$G30,AH$4&lt;=$H30),IF($F30="Monthly",$E30,IF(MOD(AH$4-$G30,12)=0,$E30,0)),0)</f>
        <v/>
      </c>
      <c r="AI30" s="19">
        <f>$N30*IF(AND(AI$4&gt;=$G30,AI$4&lt;=$H30),IF($F30="Monthly",$E30,IF(MOD(AI$4-$G30,12)=0,$E30,0)),0)</f>
        <v/>
      </c>
      <c r="AJ30" s="19">
        <f>$N30*IF(AND(AJ$4&gt;=$G30,AJ$4&lt;=$H30),IF($F30="Monthly",$E30,IF(MOD(AJ$4-$G30,12)=0,$E30,0)),0)</f>
        <v/>
      </c>
      <c r="AK30" s="19">
        <f>$N30*IF(AND(AK$4&gt;=$G30,AK$4&lt;=$H30),IF($F30="Monthly",$E30,IF(MOD(AK$4-$G30,12)=0,$E30,0)),0)</f>
        <v/>
      </c>
      <c r="AL30" s="19">
        <f>$N30*IF(AND(AL$4&gt;=$G30,AL$4&lt;=$H30),IF($F30="Monthly",$E30,IF(MOD(AL$4-$G30,12)=0,$E30,0)),0)</f>
        <v/>
      </c>
      <c r="AM30" s="19">
        <f>$N30*IF(AND(AM$4&gt;=$G30,AM$4&lt;=$H30),IF($F30="Monthly",$E30,IF(MOD(AM$4-$G30,12)=0,$E30,0)),0)</f>
        <v/>
      </c>
      <c r="AN30" s="19">
        <f>$N30*IF(AND(AN$4&gt;=$G30,AN$4&lt;=$H30),IF($F30="Monthly",$E30,IF(MOD(AN$4-$G30,12)=0,$E30,0)),0)</f>
        <v/>
      </c>
      <c r="AO30" s="19">
        <f>$N30*IF(AND(AO$4&gt;=$G30,AO$4&lt;=$H30),IF($F30="Monthly",$E30,IF(MOD(AO$4-$G30,12)=0,$E30,0)),0)</f>
        <v/>
      </c>
      <c r="AP30" s="19">
        <f>$N30*IF(AND(AP$4&gt;=$G30,AP$4&lt;=$H30),IF($F30="Monthly",$E30,IF(MOD(AP$4-$G30,12)=0,$E30,0)),0)</f>
        <v/>
      </c>
      <c r="AQ30" s="19">
        <f>$N30*IF(AND(AQ$4&gt;=$G30,AQ$4&lt;=$H30),IF($F30="Monthly",$E30,IF(MOD(AQ$4-$G30,12)=0,$E30,0)),0)</f>
        <v/>
      </c>
      <c r="AR30" s="19">
        <f>$N30*IF(AND(AR$4&gt;=$G30,AR$4&lt;=$H30),IF($F30="Monthly",$E30,IF(MOD(AR$4-$G30,12)=0,$E30,0)),0)</f>
        <v/>
      </c>
      <c r="AS30" s="19">
        <f>$N30*IF(AND(AS$4&gt;=$G30,AS$4&lt;=$H30),IF($F30="Monthly",$E30,IF(MOD(AS$4-$G30,12)=0,$E30,0)),0)</f>
        <v/>
      </c>
      <c r="AT30" s="19">
        <f>$N30*IF(AND(AT$4&gt;=$G30,AT$4&lt;=$H30),IF($F30="Monthly",$E30,IF(MOD(AT$4-$G30,12)=0,$E30,0)),0)</f>
        <v/>
      </c>
      <c r="AU30" s="19">
        <f>$N30*IF(AND(AU$4&gt;=$G30,AU$4&lt;=$H30),IF($F30="Monthly",$E30,IF(MOD(AU$4-$G30,12)=0,$E30,0)),0)</f>
        <v/>
      </c>
      <c r="AV30" s="19">
        <f>$N30*IF(AND(AV$4&gt;=$G30,AV$4&lt;=$H30),IF($F30="Monthly",$E30,IF(MOD(AV$4-$G30,12)=0,$E30,0)),0)</f>
        <v/>
      </c>
      <c r="AW30" s="19">
        <f>$N30*IF(AND(AW$4&gt;=$G30,AW$4&lt;=$H30),IF($F30="Monthly",$E30,IF(MOD(AW$4-$G30,12)=0,$E30,0)),0)</f>
        <v/>
      </c>
      <c r="AX30" s="19">
        <f>$N30*IF(AND(AX$4&gt;=$G30,AX$4&lt;=$H30),IF($F30="Monthly",$E30,IF(MOD(AX$4-$G30,12)=0,$E30,0)),0)</f>
        <v/>
      </c>
    </row>
    <row r="31">
      <c r="A31" s="7" t="inlineStr">
        <is>
          <t>Trademark watch (optional; the monthly DIY search is $0)</t>
        </is>
      </c>
      <c r="B31" s="7" t="inlineStr">
        <is>
          <t>Legal/IP</t>
        </is>
      </c>
      <c r="C31" s="29" t="n">
        <v>0</v>
      </c>
      <c r="D31" s="29" t="n">
        <v>750</v>
      </c>
      <c r="E31" s="16">
        <f>C31+'Assumptions'!$C$10*(D31-C31)</f>
        <v/>
      </c>
      <c r="F31" s="46" t="inlineStr">
        <is>
          <t>Annual</t>
        </is>
      </c>
      <c r="G31" s="25" t="n">
        <v>4</v>
      </c>
      <c r="H31" s="25" t="n">
        <v>36</v>
      </c>
      <c r="I31" s="19">
        <f>SUMIF($O$3:$AX$3,1,O31:AX31)</f>
        <v/>
      </c>
      <c r="J31" s="19">
        <f>SUMIF($O$3:$AX$3,2,O31:AX31)</f>
        <v/>
      </c>
      <c r="K31" s="19">
        <f>SUMIF($O$3:$AX$3,3,O31:AX31)</f>
        <v/>
      </c>
      <c r="L31" s="7" t="inlineStr">
        <is>
          <t>PROTECTION-PLAN: $395-$750 a year.</t>
        </is>
      </c>
      <c r="M31" s="7" t="inlineStr">
        <is>
          <t>Repo [VERIFY]</t>
        </is>
      </c>
      <c r="N31" s="25" t="n">
        <v>1</v>
      </c>
      <c r="O31" s="19">
        <f>$N31*IF(AND(O$4&gt;=$G31,O$4&lt;=$H31),IF($F31="Monthly",$E31,IF(MOD(O$4-$G31,12)=0,$E31,0)),0)</f>
        <v/>
      </c>
      <c r="P31" s="19">
        <f>$N31*IF(AND(P$4&gt;=$G31,P$4&lt;=$H31),IF($F31="Monthly",$E31,IF(MOD(P$4-$G31,12)=0,$E31,0)),0)</f>
        <v/>
      </c>
      <c r="Q31" s="19">
        <f>$N31*IF(AND(Q$4&gt;=$G31,Q$4&lt;=$H31),IF($F31="Monthly",$E31,IF(MOD(Q$4-$G31,12)=0,$E31,0)),0)</f>
        <v/>
      </c>
      <c r="R31" s="19">
        <f>$N31*IF(AND(R$4&gt;=$G31,R$4&lt;=$H31),IF($F31="Monthly",$E31,IF(MOD(R$4-$G31,12)=0,$E31,0)),0)</f>
        <v/>
      </c>
      <c r="S31" s="19">
        <f>$N31*IF(AND(S$4&gt;=$G31,S$4&lt;=$H31),IF($F31="Monthly",$E31,IF(MOD(S$4-$G31,12)=0,$E31,0)),0)</f>
        <v/>
      </c>
      <c r="T31" s="19">
        <f>$N31*IF(AND(T$4&gt;=$G31,T$4&lt;=$H31),IF($F31="Monthly",$E31,IF(MOD(T$4-$G31,12)=0,$E31,0)),0)</f>
        <v/>
      </c>
      <c r="U31" s="19">
        <f>$N31*IF(AND(U$4&gt;=$G31,U$4&lt;=$H31),IF($F31="Monthly",$E31,IF(MOD(U$4-$G31,12)=0,$E31,0)),0)</f>
        <v/>
      </c>
      <c r="V31" s="19">
        <f>$N31*IF(AND(V$4&gt;=$G31,V$4&lt;=$H31),IF($F31="Monthly",$E31,IF(MOD(V$4-$G31,12)=0,$E31,0)),0)</f>
        <v/>
      </c>
      <c r="W31" s="19">
        <f>$N31*IF(AND(W$4&gt;=$G31,W$4&lt;=$H31),IF($F31="Monthly",$E31,IF(MOD(W$4-$G31,12)=0,$E31,0)),0)</f>
        <v/>
      </c>
      <c r="X31" s="19">
        <f>$N31*IF(AND(X$4&gt;=$G31,X$4&lt;=$H31),IF($F31="Monthly",$E31,IF(MOD(X$4-$G31,12)=0,$E31,0)),0)</f>
        <v/>
      </c>
      <c r="Y31" s="19">
        <f>$N31*IF(AND(Y$4&gt;=$G31,Y$4&lt;=$H31),IF($F31="Monthly",$E31,IF(MOD(Y$4-$G31,12)=0,$E31,0)),0)</f>
        <v/>
      </c>
      <c r="Z31" s="19">
        <f>$N31*IF(AND(Z$4&gt;=$G31,Z$4&lt;=$H31),IF($F31="Monthly",$E31,IF(MOD(Z$4-$G31,12)=0,$E31,0)),0)</f>
        <v/>
      </c>
      <c r="AA31" s="19">
        <f>$N31*IF(AND(AA$4&gt;=$G31,AA$4&lt;=$H31),IF($F31="Monthly",$E31,IF(MOD(AA$4-$G31,12)=0,$E31,0)),0)</f>
        <v/>
      </c>
      <c r="AB31" s="19">
        <f>$N31*IF(AND(AB$4&gt;=$G31,AB$4&lt;=$H31),IF($F31="Monthly",$E31,IF(MOD(AB$4-$G31,12)=0,$E31,0)),0)</f>
        <v/>
      </c>
      <c r="AC31" s="19">
        <f>$N31*IF(AND(AC$4&gt;=$G31,AC$4&lt;=$H31),IF($F31="Monthly",$E31,IF(MOD(AC$4-$G31,12)=0,$E31,0)),0)</f>
        <v/>
      </c>
      <c r="AD31" s="19">
        <f>$N31*IF(AND(AD$4&gt;=$G31,AD$4&lt;=$H31),IF($F31="Monthly",$E31,IF(MOD(AD$4-$G31,12)=0,$E31,0)),0)</f>
        <v/>
      </c>
      <c r="AE31" s="19">
        <f>$N31*IF(AND(AE$4&gt;=$G31,AE$4&lt;=$H31),IF($F31="Monthly",$E31,IF(MOD(AE$4-$G31,12)=0,$E31,0)),0)</f>
        <v/>
      </c>
      <c r="AF31" s="19">
        <f>$N31*IF(AND(AF$4&gt;=$G31,AF$4&lt;=$H31),IF($F31="Monthly",$E31,IF(MOD(AF$4-$G31,12)=0,$E31,0)),0)</f>
        <v/>
      </c>
      <c r="AG31" s="19">
        <f>$N31*IF(AND(AG$4&gt;=$G31,AG$4&lt;=$H31),IF($F31="Monthly",$E31,IF(MOD(AG$4-$G31,12)=0,$E31,0)),0)</f>
        <v/>
      </c>
      <c r="AH31" s="19">
        <f>$N31*IF(AND(AH$4&gt;=$G31,AH$4&lt;=$H31),IF($F31="Monthly",$E31,IF(MOD(AH$4-$G31,12)=0,$E31,0)),0)</f>
        <v/>
      </c>
      <c r="AI31" s="19">
        <f>$N31*IF(AND(AI$4&gt;=$G31,AI$4&lt;=$H31),IF($F31="Monthly",$E31,IF(MOD(AI$4-$G31,12)=0,$E31,0)),0)</f>
        <v/>
      </c>
      <c r="AJ31" s="19">
        <f>$N31*IF(AND(AJ$4&gt;=$G31,AJ$4&lt;=$H31),IF($F31="Monthly",$E31,IF(MOD(AJ$4-$G31,12)=0,$E31,0)),0)</f>
        <v/>
      </c>
      <c r="AK31" s="19">
        <f>$N31*IF(AND(AK$4&gt;=$G31,AK$4&lt;=$H31),IF($F31="Monthly",$E31,IF(MOD(AK$4-$G31,12)=0,$E31,0)),0)</f>
        <v/>
      </c>
      <c r="AL31" s="19">
        <f>$N31*IF(AND(AL$4&gt;=$G31,AL$4&lt;=$H31),IF($F31="Monthly",$E31,IF(MOD(AL$4-$G31,12)=0,$E31,0)),0)</f>
        <v/>
      </c>
      <c r="AM31" s="19">
        <f>$N31*IF(AND(AM$4&gt;=$G31,AM$4&lt;=$H31),IF($F31="Monthly",$E31,IF(MOD(AM$4-$G31,12)=0,$E31,0)),0)</f>
        <v/>
      </c>
      <c r="AN31" s="19">
        <f>$N31*IF(AND(AN$4&gt;=$G31,AN$4&lt;=$H31),IF($F31="Monthly",$E31,IF(MOD(AN$4-$G31,12)=0,$E31,0)),0)</f>
        <v/>
      </c>
      <c r="AO31" s="19">
        <f>$N31*IF(AND(AO$4&gt;=$G31,AO$4&lt;=$H31),IF($F31="Monthly",$E31,IF(MOD(AO$4-$G31,12)=0,$E31,0)),0)</f>
        <v/>
      </c>
      <c r="AP31" s="19">
        <f>$N31*IF(AND(AP$4&gt;=$G31,AP$4&lt;=$H31),IF($F31="Monthly",$E31,IF(MOD(AP$4-$G31,12)=0,$E31,0)),0)</f>
        <v/>
      </c>
      <c r="AQ31" s="19">
        <f>$N31*IF(AND(AQ$4&gt;=$G31,AQ$4&lt;=$H31),IF($F31="Monthly",$E31,IF(MOD(AQ$4-$G31,12)=0,$E31,0)),0)</f>
        <v/>
      </c>
      <c r="AR31" s="19">
        <f>$N31*IF(AND(AR$4&gt;=$G31,AR$4&lt;=$H31),IF($F31="Monthly",$E31,IF(MOD(AR$4-$G31,12)=0,$E31,0)),0)</f>
        <v/>
      </c>
      <c r="AS31" s="19">
        <f>$N31*IF(AND(AS$4&gt;=$G31,AS$4&lt;=$H31),IF($F31="Monthly",$E31,IF(MOD(AS$4-$G31,12)=0,$E31,0)),0)</f>
        <v/>
      </c>
      <c r="AT31" s="19">
        <f>$N31*IF(AND(AT$4&gt;=$G31,AT$4&lt;=$H31),IF($F31="Monthly",$E31,IF(MOD(AT$4-$G31,12)=0,$E31,0)),0)</f>
        <v/>
      </c>
      <c r="AU31" s="19">
        <f>$N31*IF(AND(AU$4&gt;=$G31,AU$4&lt;=$H31),IF($F31="Monthly",$E31,IF(MOD(AU$4-$G31,12)=0,$E31,0)),0)</f>
        <v/>
      </c>
      <c r="AV31" s="19">
        <f>$N31*IF(AND(AV$4&gt;=$G31,AV$4&lt;=$H31),IF($F31="Monthly",$E31,IF(MOD(AV$4-$G31,12)=0,$E31,0)),0)</f>
        <v/>
      </c>
      <c r="AW31" s="19">
        <f>$N31*IF(AND(AW$4&gt;=$G31,AW$4&lt;=$H31),IF($F31="Monthly",$E31,IF(MOD(AW$4-$G31,12)=0,$E31,0)),0)</f>
        <v/>
      </c>
      <c r="AX31" s="19">
        <f>$N31*IF(AND(AX$4&gt;=$G31,AX$4&lt;=$H31),IF($F31="Monthly",$E31,IF(MOD(AX$4-$G31,12)=0,$E31,0)),0)</f>
        <v/>
      </c>
    </row>
    <row r="32">
      <c r="A32" s="7" t="inlineStr">
        <is>
          <t>Accountant: year-end return and review</t>
        </is>
      </c>
      <c r="B32" s="7" t="inlineStr">
        <is>
          <t>Finance</t>
        </is>
      </c>
      <c r="C32" s="29" t="n">
        <v>500</v>
      </c>
      <c r="D32" s="29" t="n">
        <v>1500</v>
      </c>
      <c r="E32" s="16">
        <f>C32+'Assumptions'!$C$10*(D32-C32)</f>
        <v/>
      </c>
      <c r="F32" s="46" t="inlineStr">
        <is>
          <t>Annual</t>
        </is>
      </c>
      <c r="G32" s="25" t="n">
        <v>7</v>
      </c>
      <c r="H32" s="25" t="n">
        <v>36</v>
      </c>
      <c r="I32" s="19">
        <f>SUMIF($O$3:$AX$3,1,O32:AX32)</f>
        <v/>
      </c>
      <c r="J32" s="19">
        <f>SUMIF($O$3:$AX$3,2,O32:AX32)</f>
        <v/>
      </c>
      <c r="K32" s="19">
        <f>SUMIF($O$3:$AX$3,3,O32:AX32)</f>
        <v/>
      </c>
      <c r="L32" s="7" t="inlineStr">
        <is>
          <t>No fee in the repo.</t>
        </is>
      </c>
      <c r="M32" s="7" t="inlineStr">
        <is>
          <t>Assumption [VERIFY]</t>
        </is>
      </c>
      <c r="N32" s="25" t="n">
        <v>1</v>
      </c>
      <c r="O32" s="19">
        <f>$N32*IF(AND(O$4&gt;=$G32,O$4&lt;=$H32),IF($F32="Monthly",$E32,IF(MOD(O$4-$G32,12)=0,$E32,0)),0)</f>
        <v/>
      </c>
      <c r="P32" s="19">
        <f>$N32*IF(AND(P$4&gt;=$G32,P$4&lt;=$H32),IF($F32="Monthly",$E32,IF(MOD(P$4-$G32,12)=0,$E32,0)),0)</f>
        <v/>
      </c>
      <c r="Q32" s="19">
        <f>$N32*IF(AND(Q$4&gt;=$G32,Q$4&lt;=$H32),IF($F32="Monthly",$E32,IF(MOD(Q$4-$G32,12)=0,$E32,0)),0)</f>
        <v/>
      </c>
      <c r="R32" s="19">
        <f>$N32*IF(AND(R$4&gt;=$G32,R$4&lt;=$H32),IF($F32="Monthly",$E32,IF(MOD(R$4-$G32,12)=0,$E32,0)),0)</f>
        <v/>
      </c>
      <c r="S32" s="19">
        <f>$N32*IF(AND(S$4&gt;=$G32,S$4&lt;=$H32),IF($F32="Monthly",$E32,IF(MOD(S$4-$G32,12)=0,$E32,0)),0)</f>
        <v/>
      </c>
      <c r="T32" s="19">
        <f>$N32*IF(AND(T$4&gt;=$G32,T$4&lt;=$H32),IF($F32="Monthly",$E32,IF(MOD(T$4-$G32,12)=0,$E32,0)),0)</f>
        <v/>
      </c>
      <c r="U32" s="19">
        <f>$N32*IF(AND(U$4&gt;=$G32,U$4&lt;=$H32),IF($F32="Monthly",$E32,IF(MOD(U$4-$G32,12)=0,$E32,0)),0)</f>
        <v/>
      </c>
      <c r="V32" s="19">
        <f>$N32*IF(AND(V$4&gt;=$G32,V$4&lt;=$H32),IF($F32="Monthly",$E32,IF(MOD(V$4-$G32,12)=0,$E32,0)),0)</f>
        <v/>
      </c>
      <c r="W32" s="19">
        <f>$N32*IF(AND(W$4&gt;=$G32,W$4&lt;=$H32),IF($F32="Monthly",$E32,IF(MOD(W$4-$G32,12)=0,$E32,0)),0)</f>
        <v/>
      </c>
      <c r="X32" s="19">
        <f>$N32*IF(AND(X$4&gt;=$G32,X$4&lt;=$H32),IF($F32="Monthly",$E32,IF(MOD(X$4-$G32,12)=0,$E32,0)),0)</f>
        <v/>
      </c>
      <c r="Y32" s="19">
        <f>$N32*IF(AND(Y$4&gt;=$G32,Y$4&lt;=$H32),IF($F32="Monthly",$E32,IF(MOD(Y$4-$G32,12)=0,$E32,0)),0)</f>
        <v/>
      </c>
      <c r="Z32" s="19">
        <f>$N32*IF(AND(Z$4&gt;=$G32,Z$4&lt;=$H32),IF($F32="Monthly",$E32,IF(MOD(Z$4-$G32,12)=0,$E32,0)),0)</f>
        <v/>
      </c>
      <c r="AA32" s="19">
        <f>$N32*IF(AND(AA$4&gt;=$G32,AA$4&lt;=$H32),IF($F32="Monthly",$E32,IF(MOD(AA$4-$G32,12)=0,$E32,0)),0)</f>
        <v/>
      </c>
      <c r="AB32" s="19">
        <f>$N32*IF(AND(AB$4&gt;=$G32,AB$4&lt;=$H32),IF($F32="Monthly",$E32,IF(MOD(AB$4-$G32,12)=0,$E32,0)),0)</f>
        <v/>
      </c>
      <c r="AC32" s="19">
        <f>$N32*IF(AND(AC$4&gt;=$G32,AC$4&lt;=$H32),IF($F32="Monthly",$E32,IF(MOD(AC$4-$G32,12)=0,$E32,0)),0)</f>
        <v/>
      </c>
      <c r="AD32" s="19">
        <f>$N32*IF(AND(AD$4&gt;=$G32,AD$4&lt;=$H32),IF($F32="Monthly",$E32,IF(MOD(AD$4-$G32,12)=0,$E32,0)),0)</f>
        <v/>
      </c>
      <c r="AE32" s="19">
        <f>$N32*IF(AND(AE$4&gt;=$G32,AE$4&lt;=$H32),IF($F32="Monthly",$E32,IF(MOD(AE$4-$G32,12)=0,$E32,0)),0)</f>
        <v/>
      </c>
      <c r="AF32" s="19">
        <f>$N32*IF(AND(AF$4&gt;=$G32,AF$4&lt;=$H32),IF($F32="Monthly",$E32,IF(MOD(AF$4-$G32,12)=0,$E32,0)),0)</f>
        <v/>
      </c>
      <c r="AG32" s="19">
        <f>$N32*IF(AND(AG$4&gt;=$G32,AG$4&lt;=$H32),IF($F32="Monthly",$E32,IF(MOD(AG$4-$G32,12)=0,$E32,0)),0)</f>
        <v/>
      </c>
      <c r="AH32" s="19">
        <f>$N32*IF(AND(AH$4&gt;=$G32,AH$4&lt;=$H32),IF($F32="Monthly",$E32,IF(MOD(AH$4-$G32,12)=0,$E32,0)),0)</f>
        <v/>
      </c>
      <c r="AI32" s="19">
        <f>$N32*IF(AND(AI$4&gt;=$G32,AI$4&lt;=$H32),IF($F32="Monthly",$E32,IF(MOD(AI$4-$G32,12)=0,$E32,0)),0)</f>
        <v/>
      </c>
      <c r="AJ32" s="19">
        <f>$N32*IF(AND(AJ$4&gt;=$G32,AJ$4&lt;=$H32),IF($F32="Monthly",$E32,IF(MOD(AJ$4-$G32,12)=0,$E32,0)),0)</f>
        <v/>
      </c>
      <c r="AK32" s="19">
        <f>$N32*IF(AND(AK$4&gt;=$G32,AK$4&lt;=$H32),IF($F32="Monthly",$E32,IF(MOD(AK$4-$G32,12)=0,$E32,0)),0)</f>
        <v/>
      </c>
      <c r="AL32" s="19">
        <f>$N32*IF(AND(AL$4&gt;=$G32,AL$4&lt;=$H32),IF($F32="Monthly",$E32,IF(MOD(AL$4-$G32,12)=0,$E32,0)),0)</f>
        <v/>
      </c>
      <c r="AM32" s="19">
        <f>$N32*IF(AND(AM$4&gt;=$G32,AM$4&lt;=$H32),IF($F32="Monthly",$E32,IF(MOD(AM$4-$G32,12)=0,$E32,0)),0)</f>
        <v/>
      </c>
      <c r="AN32" s="19">
        <f>$N32*IF(AND(AN$4&gt;=$G32,AN$4&lt;=$H32),IF($F32="Monthly",$E32,IF(MOD(AN$4-$G32,12)=0,$E32,0)),0)</f>
        <v/>
      </c>
      <c r="AO32" s="19">
        <f>$N32*IF(AND(AO$4&gt;=$G32,AO$4&lt;=$H32),IF($F32="Monthly",$E32,IF(MOD(AO$4-$G32,12)=0,$E32,0)),0)</f>
        <v/>
      </c>
      <c r="AP32" s="19">
        <f>$N32*IF(AND(AP$4&gt;=$G32,AP$4&lt;=$H32),IF($F32="Monthly",$E32,IF(MOD(AP$4-$G32,12)=0,$E32,0)),0)</f>
        <v/>
      </c>
      <c r="AQ32" s="19">
        <f>$N32*IF(AND(AQ$4&gt;=$G32,AQ$4&lt;=$H32),IF($F32="Monthly",$E32,IF(MOD(AQ$4-$G32,12)=0,$E32,0)),0)</f>
        <v/>
      </c>
      <c r="AR32" s="19">
        <f>$N32*IF(AND(AR$4&gt;=$G32,AR$4&lt;=$H32),IF($F32="Monthly",$E32,IF(MOD(AR$4-$G32,12)=0,$E32,0)),0)</f>
        <v/>
      </c>
      <c r="AS32" s="19">
        <f>$N32*IF(AND(AS$4&gt;=$G32,AS$4&lt;=$H32),IF($F32="Monthly",$E32,IF(MOD(AS$4-$G32,12)=0,$E32,0)),0)</f>
        <v/>
      </c>
      <c r="AT32" s="19">
        <f>$N32*IF(AND(AT$4&gt;=$G32,AT$4&lt;=$H32),IF($F32="Monthly",$E32,IF(MOD(AT$4-$G32,12)=0,$E32,0)),0)</f>
        <v/>
      </c>
      <c r="AU32" s="19">
        <f>$N32*IF(AND(AU$4&gt;=$G32,AU$4&lt;=$H32),IF($F32="Monthly",$E32,IF(MOD(AU$4-$G32,12)=0,$E32,0)),0)</f>
        <v/>
      </c>
      <c r="AV32" s="19">
        <f>$N32*IF(AND(AV$4&gt;=$G32,AV$4&lt;=$H32),IF($F32="Monthly",$E32,IF(MOD(AV$4-$G32,12)=0,$E32,0)),0)</f>
        <v/>
      </c>
      <c r="AW32" s="19">
        <f>$N32*IF(AND(AW$4&gt;=$G32,AW$4&lt;=$H32),IF($F32="Monthly",$E32,IF(MOD(AW$4-$G32,12)=0,$E32,0)),0)</f>
        <v/>
      </c>
      <c r="AX32" s="19">
        <f>$N32*IF(AND(AX$4&gt;=$G32,AX$4&lt;=$H32),IF($F32="Monthly",$E32,IF(MOD(AX$4-$G32,12)=0,$E32,0)),0)</f>
        <v/>
      </c>
    </row>
    <row r="33">
      <c r="A33" s="7" t="inlineStr">
        <is>
          <t>Copyright registrations for new releases (about 4 a year)</t>
        </is>
      </c>
      <c r="B33" s="7" t="inlineStr">
        <is>
          <t>Legal/IP</t>
        </is>
      </c>
      <c r="C33" s="29" t="n">
        <v>260</v>
      </c>
      <c r="D33" s="29" t="n">
        <v>340</v>
      </c>
      <c r="E33" s="16">
        <f>C33+'Assumptions'!$C$10*(D33-C33)</f>
        <v/>
      </c>
      <c r="F33" s="46" t="inlineStr">
        <is>
          <t>Annual</t>
        </is>
      </c>
      <c r="G33" s="25" t="n">
        <v>13</v>
      </c>
      <c r="H33" s="25" t="n">
        <v>36</v>
      </c>
      <c r="I33" s="19">
        <f>SUMIF($O$3:$AX$3,1,O33:AX33)</f>
        <v/>
      </c>
      <c r="J33" s="19">
        <f>SUMIF($O$3:$AX$3,2,O33:AX33)</f>
        <v/>
      </c>
      <c r="K33" s="19">
        <f>SUMIF($O$3:$AX$3,3,O33:AX33)</f>
        <v/>
      </c>
      <c r="L33" s="7" t="inlineStr">
        <is>
          <t>PROTECTION-PLAN: $65-$85 per filing.</t>
        </is>
      </c>
      <c r="M33" s="7" t="inlineStr">
        <is>
          <t>Repo</t>
        </is>
      </c>
      <c r="N33" s="25" t="n">
        <v>1</v>
      </c>
      <c r="O33" s="19">
        <f>$N33*IF(AND(O$4&gt;=$G33,O$4&lt;=$H33),IF($F33="Monthly",$E33,IF(MOD(O$4-$G33,12)=0,$E33,0)),0)</f>
        <v/>
      </c>
      <c r="P33" s="19">
        <f>$N33*IF(AND(P$4&gt;=$G33,P$4&lt;=$H33),IF($F33="Monthly",$E33,IF(MOD(P$4-$G33,12)=0,$E33,0)),0)</f>
        <v/>
      </c>
      <c r="Q33" s="19">
        <f>$N33*IF(AND(Q$4&gt;=$G33,Q$4&lt;=$H33),IF($F33="Monthly",$E33,IF(MOD(Q$4-$G33,12)=0,$E33,0)),0)</f>
        <v/>
      </c>
      <c r="R33" s="19">
        <f>$N33*IF(AND(R$4&gt;=$G33,R$4&lt;=$H33),IF($F33="Monthly",$E33,IF(MOD(R$4-$G33,12)=0,$E33,0)),0)</f>
        <v/>
      </c>
      <c r="S33" s="19">
        <f>$N33*IF(AND(S$4&gt;=$G33,S$4&lt;=$H33),IF($F33="Monthly",$E33,IF(MOD(S$4-$G33,12)=0,$E33,0)),0)</f>
        <v/>
      </c>
      <c r="T33" s="19">
        <f>$N33*IF(AND(T$4&gt;=$G33,T$4&lt;=$H33),IF($F33="Monthly",$E33,IF(MOD(T$4-$G33,12)=0,$E33,0)),0)</f>
        <v/>
      </c>
      <c r="U33" s="19">
        <f>$N33*IF(AND(U$4&gt;=$G33,U$4&lt;=$H33),IF($F33="Monthly",$E33,IF(MOD(U$4-$G33,12)=0,$E33,0)),0)</f>
        <v/>
      </c>
      <c r="V33" s="19">
        <f>$N33*IF(AND(V$4&gt;=$G33,V$4&lt;=$H33),IF($F33="Monthly",$E33,IF(MOD(V$4-$G33,12)=0,$E33,0)),0)</f>
        <v/>
      </c>
      <c r="W33" s="19">
        <f>$N33*IF(AND(W$4&gt;=$G33,W$4&lt;=$H33),IF($F33="Monthly",$E33,IF(MOD(W$4-$G33,12)=0,$E33,0)),0)</f>
        <v/>
      </c>
      <c r="X33" s="19">
        <f>$N33*IF(AND(X$4&gt;=$G33,X$4&lt;=$H33),IF($F33="Monthly",$E33,IF(MOD(X$4-$G33,12)=0,$E33,0)),0)</f>
        <v/>
      </c>
      <c r="Y33" s="19">
        <f>$N33*IF(AND(Y$4&gt;=$G33,Y$4&lt;=$H33),IF($F33="Monthly",$E33,IF(MOD(Y$4-$G33,12)=0,$E33,0)),0)</f>
        <v/>
      </c>
      <c r="Z33" s="19">
        <f>$N33*IF(AND(Z$4&gt;=$G33,Z$4&lt;=$H33),IF($F33="Monthly",$E33,IF(MOD(Z$4-$G33,12)=0,$E33,0)),0)</f>
        <v/>
      </c>
      <c r="AA33" s="19">
        <f>$N33*IF(AND(AA$4&gt;=$G33,AA$4&lt;=$H33),IF($F33="Monthly",$E33,IF(MOD(AA$4-$G33,12)=0,$E33,0)),0)</f>
        <v/>
      </c>
      <c r="AB33" s="19">
        <f>$N33*IF(AND(AB$4&gt;=$G33,AB$4&lt;=$H33),IF($F33="Monthly",$E33,IF(MOD(AB$4-$G33,12)=0,$E33,0)),0)</f>
        <v/>
      </c>
      <c r="AC33" s="19">
        <f>$N33*IF(AND(AC$4&gt;=$G33,AC$4&lt;=$H33),IF($F33="Monthly",$E33,IF(MOD(AC$4-$G33,12)=0,$E33,0)),0)</f>
        <v/>
      </c>
      <c r="AD33" s="19">
        <f>$N33*IF(AND(AD$4&gt;=$G33,AD$4&lt;=$H33),IF($F33="Monthly",$E33,IF(MOD(AD$4-$G33,12)=0,$E33,0)),0)</f>
        <v/>
      </c>
      <c r="AE33" s="19">
        <f>$N33*IF(AND(AE$4&gt;=$G33,AE$4&lt;=$H33),IF($F33="Monthly",$E33,IF(MOD(AE$4-$G33,12)=0,$E33,0)),0)</f>
        <v/>
      </c>
      <c r="AF33" s="19">
        <f>$N33*IF(AND(AF$4&gt;=$G33,AF$4&lt;=$H33),IF($F33="Monthly",$E33,IF(MOD(AF$4-$G33,12)=0,$E33,0)),0)</f>
        <v/>
      </c>
      <c r="AG33" s="19">
        <f>$N33*IF(AND(AG$4&gt;=$G33,AG$4&lt;=$H33),IF($F33="Monthly",$E33,IF(MOD(AG$4-$G33,12)=0,$E33,0)),0)</f>
        <v/>
      </c>
      <c r="AH33" s="19">
        <f>$N33*IF(AND(AH$4&gt;=$G33,AH$4&lt;=$H33),IF($F33="Monthly",$E33,IF(MOD(AH$4-$G33,12)=0,$E33,0)),0)</f>
        <v/>
      </c>
      <c r="AI33" s="19">
        <f>$N33*IF(AND(AI$4&gt;=$G33,AI$4&lt;=$H33),IF($F33="Monthly",$E33,IF(MOD(AI$4-$G33,12)=0,$E33,0)),0)</f>
        <v/>
      </c>
      <c r="AJ33" s="19">
        <f>$N33*IF(AND(AJ$4&gt;=$G33,AJ$4&lt;=$H33),IF($F33="Monthly",$E33,IF(MOD(AJ$4-$G33,12)=0,$E33,0)),0)</f>
        <v/>
      </c>
      <c r="AK33" s="19">
        <f>$N33*IF(AND(AK$4&gt;=$G33,AK$4&lt;=$H33),IF($F33="Monthly",$E33,IF(MOD(AK$4-$G33,12)=0,$E33,0)),0)</f>
        <v/>
      </c>
      <c r="AL33" s="19">
        <f>$N33*IF(AND(AL$4&gt;=$G33,AL$4&lt;=$H33),IF($F33="Monthly",$E33,IF(MOD(AL$4-$G33,12)=0,$E33,0)),0)</f>
        <v/>
      </c>
      <c r="AM33" s="19">
        <f>$N33*IF(AND(AM$4&gt;=$G33,AM$4&lt;=$H33),IF($F33="Monthly",$E33,IF(MOD(AM$4-$G33,12)=0,$E33,0)),0)</f>
        <v/>
      </c>
      <c r="AN33" s="19">
        <f>$N33*IF(AND(AN$4&gt;=$G33,AN$4&lt;=$H33),IF($F33="Monthly",$E33,IF(MOD(AN$4-$G33,12)=0,$E33,0)),0)</f>
        <v/>
      </c>
      <c r="AO33" s="19">
        <f>$N33*IF(AND(AO$4&gt;=$G33,AO$4&lt;=$H33),IF($F33="Monthly",$E33,IF(MOD(AO$4-$G33,12)=0,$E33,0)),0)</f>
        <v/>
      </c>
      <c r="AP33" s="19">
        <f>$N33*IF(AND(AP$4&gt;=$G33,AP$4&lt;=$H33),IF($F33="Monthly",$E33,IF(MOD(AP$4-$G33,12)=0,$E33,0)),0)</f>
        <v/>
      </c>
      <c r="AQ33" s="19">
        <f>$N33*IF(AND(AQ$4&gt;=$G33,AQ$4&lt;=$H33),IF($F33="Monthly",$E33,IF(MOD(AQ$4-$G33,12)=0,$E33,0)),0)</f>
        <v/>
      </c>
      <c r="AR33" s="19">
        <f>$N33*IF(AND(AR$4&gt;=$G33,AR$4&lt;=$H33),IF($F33="Monthly",$E33,IF(MOD(AR$4-$G33,12)=0,$E33,0)),0)</f>
        <v/>
      </c>
      <c r="AS33" s="19">
        <f>$N33*IF(AND(AS$4&gt;=$G33,AS$4&lt;=$H33),IF($F33="Monthly",$E33,IF(MOD(AS$4-$G33,12)=0,$E33,0)),0)</f>
        <v/>
      </c>
      <c r="AT33" s="19">
        <f>$N33*IF(AND(AT$4&gt;=$G33,AT$4&lt;=$H33),IF($F33="Monthly",$E33,IF(MOD(AT$4-$G33,12)=0,$E33,0)),0)</f>
        <v/>
      </c>
      <c r="AU33" s="19">
        <f>$N33*IF(AND(AU$4&gt;=$G33,AU$4&lt;=$H33),IF($F33="Monthly",$E33,IF(MOD(AU$4-$G33,12)=0,$E33,0)),0)</f>
        <v/>
      </c>
      <c r="AV33" s="19">
        <f>$N33*IF(AND(AV$4&gt;=$G33,AV$4&lt;=$H33),IF($F33="Monthly",$E33,IF(MOD(AV$4-$G33,12)=0,$E33,0)),0)</f>
        <v/>
      </c>
      <c r="AW33" s="19">
        <f>$N33*IF(AND(AW$4&gt;=$G33,AW$4&lt;=$H33),IF($F33="Monthly",$E33,IF(MOD(AW$4-$G33,12)=0,$E33,0)),0)</f>
        <v/>
      </c>
      <c r="AX33" s="19">
        <f>$N33*IF(AND(AX$4&gt;=$G33,AX$4&lt;=$H33),IF($F33="Monthly",$E33,IF(MOD(AX$4-$G33,12)=0,$E33,0)),0)</f>
        <v/>
      </c>
    </row>
    <row r="34">
      <c r="A34" s="7" t="inlineStr">
        <is>
          <t>Upload assistant for KDP/IngramSpark/TpT packets (switch: when uploads exceed the founder cap)</t>
        </is>
      </c>
      <c r="B34" s="7" t="inlineStr">
        <is>
          <t>Contractor</t>
        </is>
      </c>
      <c r="C34" s="29" t="n">
        <v>0</v>
      </c>
      <c r="D34" s="29" t="n">
        <v>200</v>
      </c>
      <c r="E34" s="16">
        <f>C34+'Assumptions'!$C$10*(D34-C34)</f>
        <v/>
      </c>
      <c r="F34" s="46" t="inlineStr">
        <is>
          <t>Monthly</t>
        </is>
      </c>
      <c r="G34" s="25" t="n">
        <v>7</v>
      </c>
      <c r="H34" s="25" t="n">
        <v>36</v>
      </c>
      <c r="I34" s="19">
        <f>SUMIF($O$3:$AX$3,1,O34:AX34)</f>
        <v/>
      </c>
      <c r="J34" s="19">
        <f>SUMIF($O$3:$AX$3,2,O34:AX34)</f>
        <v/>
      </c>
      <c r="K34" s="19">
        <f>SUMIF($O$3:$AX$3,3,O34:AX34)</f>
        <v/>
      </c>
      <c r="L34" s="7" t="inlineStr">
        <is>
          <t>Section 5.2; not priced in the repo.</t>
        </is>
      </c>
      <c r="M34" s="7" t="inlineStr">
        <is>
          <t>Assumption</t>
        </is>
      </c>
      <c r="N34" s="25" t="n">
        <v>0</v>
      </c>
      <c r="O34" s="19">
        <f>$N34*IF(AND(O$4&gt;=$G34,O$4&lt;=$H34),IF($F34="Monthly",$E34,IF(MOD(O$4-$G34,12)=0,$E34,0)),0)</f>
        <v/>
      </c>
      <c r="P34" s="19">
        <f>$N34*IF(AND(P$4&gt;=$G34,P$4&lt;=$H34),IF($F34="Monthly",$E34,IF(MOD(P$4-$G34,12)=0,$E34,0)),0)</f>
        <v/>
      </c>
      <c r="Q34" s="19">
        <f>$N34*IF(AND(Q$4&gt;=$G34,Q$4&lt;=$H34),IF($F34="Monthly",$E34,IF(MOD(Q$4-$G34,12)=0,$E34,0)),0)</f>
        <v/>
      </c>
      <c r="R34" s="19">
        <f>$N34*IF(AND(R$4&gt;=$G34,R$4&lt;=$H34),IF($F34="Monthly",$E34,IF(MOD(R$4-$G34,12)=0,$E34,0)),0)</f>
        <v/>
      </c>
      <c r="S34" s="19">
        <f>$N34*IF(AND(S$4&gt;=$G34,S$4&lt;=$H34),IF($F34="Monthly",$E34,IF(MOD(S$4-$G34,12)=0,$E34,0)),0)</f>
        <v/>
      </c>
      <c r="T34" s="19">
        <f>$N34*IF(AND(T$4&gt;=$G34,T$4&lt;=$H34),IF($F34="Monthly",$E34,IF(MOD(T$4-$G34,12)=0,$E34,0)),0)</f>
        <v/>
      </c>
      <c r="U34" s="19">
        <f>$N34*IF(AND(U$4&gt;=$G34,U$4&lt;=$H34),IF($F34="Monthly",$E34,IF(MOD(U$4-$G34,12)=0,$E34,0)),0)</f>
        <v/>
      </c>
      <c r="V34" s="19">
        <f>$N34*IF(AND(V$4&gt;=$G34,V$4&lt;=$H34),IF($F34="Monthly",$E34,IF(MOD(V$4-$G34,12)=0,$E34,0)),0)</f>
        <v/>
      </c>
      <c r="W34" s="19">
        <f>$N34*IF(AND(W$4&gt;=$G34,W$4&lt;=$H34),IF($F34="Monthly",$E34,IF(MOD(W$4-$G34,12)=0,$E34,0)),0)</f>
        <v/>
      </c>
      <c r="X34" s="19">
        <f>$N34*IF(AND(X$4&gt;=$G34,X$4&lt;=$H34),IF($F34="Monthly",$E34,IF(MOD(X$4-$G34,12)=0,$E34,0)),0)</f>
        <v/>
      </c>
      <c r="Y34" s="19">
        <f>$N34*IF(AND(Y$4&gt;=$G34,Y$4&lt;=$H34),IF($F34="Monthly",$E34,IF(MOD(Y$4-$G34,12)=0,$E34,0)),0)</f>
        <v/>
      </c>
      <c r="Z34" s="19">
        <f>$N34*IF(AND(Z$4&gt;=$G34,Z$4&lt;=$H34),IF($F34="Monthly",$E34,IF(MOD(Z$4-$G34,12)=0,$E34,0)),0)</f>
        <v/>
      </c>
      <c r="AA34" s="19">
        <f>$N34*IF(AND(AA$4&gt;=$G34,AA$4&lt;=$H34),IF($F34="Monthly",$E34,IF(MOD(AA$4-$G34,12)=0,$E34,0)),0)</f>
        <v/>
      </c>
      <c r="AB34" s="19">
        <f>$N34*IF(AND(AB$4&gt;=$G34,AB$4&lt;=$H34),IF($F34="Monthly",$E34,IF(MOD(AB$4-$G34,12)=0,$E34,0)),0)</f>
        <v/>
      </c>
      <c r="AC34" s="19">
        <f>$N34*IF(AND(AC$4&gt;=$G34,AC$4&lt;=$H34),IF($F34="Monthly",$E34,IF(MOD(AC$4-$G34,12)=0,$E34,0)),0)</f>
        <v/>
      </c>
      <c r="AD34" s="19">
        <f>$N34*IF(AND(AD$4&gt;=$G34,AD$4&lt;=$H34),IF($F34="Monthly",$E34,IF(MOD(AD$4-$G34,12)=0,$E34,0)),0)</f>
        <v/>
      </c>
      <c r="AE34" s="19">
        <f>$N34*IF(AND(AE$4&gt;=$G34,AE$4&lt;=$H34),IF($F34="Monthly",$E34,IF(MOD(AE$4-$G34,12)=0,$E34,0)),0)</f>
        <v/>
      </c>
      <c r="AF34" s="19">
        <f>$N34*IF(AND(AF$4&gt;=$G34,AF$4&lt;=$H34),IF($F34="Monthly",$E34,IF(MOD(AF$4-$G34,12)=0,$E34,0)),0)</f>
        <v/>
      </c>
      <c r="AG34" s="19">
        <f>$N34*IF(AND(AG$4&gt;=$G34,AG$4&lt;=$H34),IF($F34="Monthly",$E34,IF(MOD(AG$4-$G34,12)=0,$E34,0)),0)</f>
        <v/>
      </c>
      <c r="AH34" s="19">
        <f>$N34*IF(AND(AH$4&gt;=$G34,AH$4&lt;=$H34),IF($F34="Monthly",$E34,IF(MOD(AH$4-$G34,12)=0,$E34,0)),0)</f>
        <v/>
      </c>
      <c r="AI34" s="19">
        <f>$N34*IF(AND(AI$4&gt;=$G34,AI$4&lt;=$H34),IF($F34="Monthly",$E34,IF(MOD(AI$4-$G34,12)=0,$E34,0)),0)</f>
        <v/>
      </c>
      <c r="AJ34" s="19">
        <f>$N34*IF(AND(AJ$4&gt;=$G34,AJ$4&lt;=$H34),IF($F34="Monthly",$E34,IF(MOD(AJ$4-$G34,12)=0,$E34,0)),0)</f>
        <v/>
      </c>
      <c r="AK34" s="19">
        <f>$N34*IF(AND(AK$4&gt;=$G34,AK$4&lt;=$H34),IF($F34="Monthly",$E34,IF(MOD(AK$4-$G34,12)=0,$E34,0)),0)</f>
        <v/>
      </c>
      <c r="AL34" s="19">
        <f>$N34*IF(AND(AL$4&gt;=$G34,AL$4&lt;=$H34),IF($F34="Monthly",$E34,IF(MOD(AL$4-$G34,12)=0,$E34,0)),0)</f>
        <v/>
      </c>
      <c r="AM34" s="19">
        <f>$N34*IF(AND(AM$4&gt;=$G34,AM$4&lt;=$H34),IF($F34="Monthly",$E34,IF(MOD(AM$4-$G34,12)=0,$E34,0)),0)</f>
        <v/>
      </c>
      <c r="AN34" s="19">
        <f>$N34*IF(AND(AN$4&gt;=$G34,AN$4&lt;=$H34),IF($F34="Monthly",$E34,IF(MOD(AN$4-$G34,12)=0,$E34,0)),0)</f>
        <v/>
      </c>
      <c r="AO34" s="19">
        <f>$N34*IF(AND(AO$4&gt;=$G34,AO$4&lt;=$H34),IF($F34="Monthly",$E34,IF(MOD(AO$4-$G34,12)=0,$E34,0)),0)</f>
        <v/>
      </c>
      <c r="AP34" s="19">
        <f>$N34*IF(AND(AP$4&gt;=$G34,AP$4&lt;=$H34),IF($F34="Monthly",$E34,IF(MOD(AP$4-$G34,12)=0,$E34,0)),0)</f>
        <v/>
      </c>
      <c r="AQ34" s="19">
        <f>$N34*IF(AND(AQ$4&gt;=$G34,AQ$4&lt;=$H34),IF($F34="Monthly",$E34,IF(MOD(AQ$4-$G34,12)=0,$E34,0)),0)</f>
        <v/>
      </c>
      <c r="AR34" s="19">
        <f>$N34*IF(AND(AR$4&gt;=$G34,AR$4&lt;=$H34),IF($F34="Monthly",$E34,IF(MOD(AR$4-$G34,12)=0,$E34,0)),0)</f>
        <v/>
      </c>
      <c r="AS34" s="19">
        <f>$N34*IF(AND(AS$4&gt;=$G34,AS$4&lt;=$H34),IF($F34="Monthly",$E34,IF(MOD(AS$4-$G34,12)=0,$E34,0)),0)</f>
        <v/>
      </c>
      <c r="AT34" s="19">
        <f>$N34*IF(AND(AT$4&gt;=$G34,AT$4&lt;=$H34),IF($F34="Monthly",$E34,IF(MOD(AT$4-$G34,12)=0,$E34,0)),0)</f>
        <v/>
      </c>
      <c r="AU34" s="19">
        <f>$N34*IF(AND(AU$4&gt;=$G34,AU$4&lt;=$H34),IF($F34="Monthly",$E34,IF(MOD(AU$4-$G34,12)=0,$E34,0)),0)</f>
        <v/>
      </c>
      <c r="AV34" s="19">
        <f>$N34*IF(AND(AV$4&gt;=$G34,AV$4&lt;=$H34),IF($F34="Monthly",$E34,IF(MOD(AV$4-$G34,12)=0,$E34,0)),0)</f>
        <v/>
      </c>
      <c r="AW34" s="19">
        <f>$N34*IF(AND(AW$4&gt;=$G34,AW$4&lt;=$H34),IF($F34="Monthly",$E34,IF(MOD(AW$4-$G34,12)=0,$E34,0)),0)</f>
        <v/>
      </c>
      <c r="AX34" s="19">
        <f>$N34*IF(AND(AX$4&gt;=$G34,AX$4&lt;=$H34),IF($F34="Monthly",$E34,IF(MOD(AX$4-$G34,12)=0,$E34,0)),0)</f>
        <v/>
      </c>
    </row>
    <row r="35">
      <c r="A35" s="40" t="inlineStr">
        <is>
          <t>Subtotal</t>
        </is>
      </c>
      <c r="B35" s="34" t="n"/>
      <c r="C35" s="34" t="n"/>
      <c r="D35" s="34" t="n"/>
      <c r="E35" s="34" t="n"/>
      <c r="F35" s="34" t="n"/>
      <c r="G35" s="34" t="n"/>
      <c r="H35" s="34" t="n"/>
      <c r="I35" s="47">
        <f>SUM(I6:I34)</f>
        <v/>
      </c>
      <c r="J35" s="47">
        <f>SUM(J6:J34)</f>
        <v/>
      </c>
      <c r="K35" s="47">
        <f>SUM(K6:K34)</f>
        <v/>
      </c>
      <c r="L35" s="34" t="n"/>
      <c r="M35" s="34" t="n"/>
      <c r="N35" s="34" t="n"/>
      <c r="O35" s="47">
        <f>SUM(O6:O34)</f>
        <v/>
      </c>
      <c r="P35" s="47">
        <f>SUM(P6:P34)</f>
        <v/>
      </c>
      <c r="Q35" s="47">
        <f>SUM(Q6:Q34)</f>
        <v/>
      </c>
      <c r="R35" s="47">
        <f>SUM(R6:R34)</f>
        <v/>
      </c>
      <c r="S35" s="47">
        <f>SUM(S6:S34)</f>
        <v/>
      </c>
      <c r="T35" s="47">
        <f>SUM(T6:T34)</f>
        <v/>
      </c>
      <c r="U35" s="47">
        <f>SUM(U6:U34)</f>
        <v/>
      </c>
      <c r="V35" s="47">
        <f>SUM(V6:V34)</f>
        <v/>
      </c>
      <c r="W35" s="47">
        <f>SUM(W6:W34)</f>
        <v/>
      </c>
      <c r="X35" s="47">
        <f>SUM(X6:X34)</f>
        <v/>
      </c>
      <c r="Y35" s="47">
        <f>SUM(Y6:Y34)</f>
        <v/>
      </c>
      <c r="Z35" s="47">
        <f>SUM(Z6:Z34)</f>
        <v/>
      </c>
      <c r="AA35" s="47">
        <f>SUM(AA6:AA34)</f>
        <v/>
      </c>
      <c r="AB35" s="47">
        <f>SUM(AB6:AB34)</f>
        <v/>
      </c>
      <c r="AC35" s="47">
        <f>SUM(AC6:AC34)</f>
        <v/>
      </c>
      <c r="AD35" s="47">
        <f>SUM(AD6:AD34)</f>
        <v/>
      </c>
      <c r="AE35" s="47">
        <f>SUM(AE6:AE34)</f>
        <v/>
      </c>
      <c r="AF35" s="47">
        <f>SUM(AF6:AF34)</f>
        <v/>
      </c>
      <c r="AG35" s="47">
        <f>SUM(AG6:AG34)</f>
        <v/>
      </c>
      <c r="AH35" s="47">
        <f>SUM(AH6:AH34)</f>
        <v/>
      </c>
      <c r="AI35" s="47">
        <f>SUM(AI6:AI34)</f>
        <v/>
      </c>
      <c r="AJ35" s="47">
        <f>SUM(AJ6:AJ34)</f>
        <v/>
      </c>
      <c r="AK35" s="47">
        <f>SUM(AK6:AK34)</f>
        <v/>
      </c>
      <c r="AL35" s="47">
        <f>SUM(AL6:AL34)</f>
        <v/>
      </c>
      <c r="AM35" s="47">
        <f>SUM(AM6:AM34)</f>
        <v/>
      </c>
      <c r="AN35" s="47">
        <f>SUM(AN6:AN34)</f>
        <v/>
      </c>
      <c r="AO35" s="47">
        <f>SUM(AO6:AO34)</f>
        <v/>
      </c>
      <c r="AP35" s="47">
        <f>SUM(AP6:AP34)</f>
        <v/>
      </c>
      <c r="AQ35" s="47">
        <f>SUM(AQ6:AQ34)</f>
        <v/>
      </c>
      <c r="AR35" s="47">
        <f>SUM(AR6:AR34)</f>
        <v/>
      </c>
      <c r="AS35" s="47">
        <f>SUM(AS6:AS34)</f>
        <v/>
      </c>
      <c r="AT35" s="47">
        <f>SUM(AT6:AT34)</f>
        <v/>
      </c>
      <c r="AU35" s="47">
        <f>SUM(AU6:AU34)</f>
        <v/>
      </c>
      <c r="AV35" s="47">
        <f>SUM(AV6:AV34)</f>
        <v/>
      </c>
      <c r="AW35" s="47">
        <f>SUM(AW6:AW34)</f>
        <v/>
      </c>
      <c r="AX35" s="47">
        <f>SUM(AX6:AX34)</f>
        <v/>
      </c>
    </row>
    <row r="36">
      <c r="A36" s="35" t="inlineStr">
        <is>
          <t>Operating contingency</t>
        </is>
      </c>
      <c r="B36" s="34" t="n"/>
      <c r="C36" s="34" t="n"/>
      <c r="D36" s="34" t="n"/>
      <c r="E36" s="34" t="n"/>
      <c r="F36" s="34" t="n"/>
      <c r="G36" s="34" t="n"/>
      <c r="H36" s="34" t="n"/>
      <c r="I36" s="48">
        <f>I35*'Assumptions'!$C$20</f>
        <v/>
      </c>
      <c r="J36" s="48">
        <f>J35*'Assumptions'!$C$20</f>
        <v/>
      </c>
      <c r="K36" s="48">
        <f>K35*'Assumptions'!$C$20</f>
        <v/>
      </c>
      <c r="L36" s="34" t="n"/>
      <c r="M36" s="34" t="n"/>
      <c r="N36" s="34" t="n"/>
      <c r="O36" s="48">
        <f>O35*'Assumptions'!$C$20</f>
        <v/>
      </c>
      <c r="P36" s="48">
        <f>P35*'Assumptions'!$C$20</f>
        <v/>
      </c>
      <c r="Q36" s="48">
        <f>Q35*'Assumptions'!$C$20</f>
        <v/>
      </c>
      <c r="R36" s="48">
        <f>R35*'Assumptions'!$C$20</f>
        <v/>
      </c>
      <c r="S36" s="48">
        <f>S35*'Assumptions'!$C$20</f>
        <v/>
      </c>
      <c r="T36" s="48">
        <f>T35*'Assumptions'!$C$20</f>
        <v/>
      </c>
      <c r="U36" s="48">
        <f>U35*'Assumptions'!$C$20</f>
        <v/>
      </c>
      <c r="V36" s="48">
        <f>V35*'Assumptions'!$C$20</f>
        <v/>
      </c>
      <c r="W36" s="48">
        <f>W35*'Assumptions'!$C$20</f>
        <v/>
      </c>
      <c r="X36" s="48">
        <f>X35*'Assumptions'!$C$20</f>
        <v/>
      </c>
      <c r="Y36" s="48">
        <f>Y35*'Assumptions'!$C$20</f>
        <v/>
      </c>
      <c r="Z36" s="48">
        <f>Z35*'Assumptions'!$C$20</f>
        <v/>
      </c>
      <c r="AA36" s="48">
        <f>AA35*'Assumptions'!$C$20</f>
        <v/>
      </c>
      <c r="AB36" s="48">
        <f>AB35*'Assumptions'!$C$20</f>
        <v/>
      </c>
      <c r="AC36" s="48">
        <f>AC35*'Assumptions'!$C$20</f>
        <v/>
      </c>
      <c r="AD36" s="48">
        <f>AD35*'Assumptions'!$C$20</f>
        <v/>
      </c>
      <c r="AE36" s="48">
        <f>AE35*'Assumptions'!$C$20</f>
        <v/>
      </c>
      <c r="AF36" s="48">
        <f>AF35*'Assumptions'!$C$20</f>
        <v/>
      </c>
      <c r="AG36" s="48">
        <f>AG35*'Assumptions'!$C$20</f>
        <v/>
      </c>
      <c r="AH36" s="48">
        <f>AH35*'Assumptions'!$C$20</f>
        <v/>
      </c>
      <c r="AI36" s="48">
        <f>AI35*'Assumptions'!$C$20</f>
        <v/>
      </c>
      <c r="AJ36" s="48">
        <f>AJ35*'Assumptions'!$C$20</f>
        <v/>
      </c>
      <c r="AK36" s="48">
        <f>AK35*'Assumptions'!$C$20</f>
        <v/>
      </c>
      <c r="AL36" s="48">
        <f>AL35*'Assumptions'!$C$20</f>
        <v/>
      </c>
      <c r="AM36" s="48">
        <f>AM35*'Assumptions'!$C$20</f>
        <v/>
      </c>
      <c r="AN36" s="48">
        <f>AN35*'Assumptions'!$C$20</f>
        <v/>
      </c>
      <c r="AO36" s="48">
        <f>AO35*'Assumptions'!$C$20</f>
        <v/>
      </c>
      <c r="AP36" s="48">
        <f>AP35*'Assumptions'!$C$20</f>
        <v/>
      </c>
      <c r="AQ36" s="48">
        <f>AQ35*'Assumptions'!$C$20</f>
        <v/>
      </c>
      <c r="AR36" s="48">
        <f>AR35*'Assumptions'!$C$20</f>
        <v/>
      </c>
      <c r="AS36" s="48">
        <f>AS35*'Assumptions'!$C$20</f>
        <v/>
      </c>
      <c r="AT36" s="48">
        <f>AT35*'Assumptions'!$C$20</f>
        <v/>
      </c>
      <c r="AU36" s="48">
        <f>AU35*'Assumptions'!$C$20</f>
        <v/>
      </c>
      <c r="AV36" s="48">
        <f>AV35*'Assumptions'!$C$20</f>
        <v/>
      </c>
      <c r="AW36" s="48">
        <f>AW35*'Assumptions'!$C$20</f>
        <v/>
      </c>
      <c r="AX36" s="48">
        <f>AX35*'Assumptions'!$C$20</f>
        <v/>
      </c>
    </row>
    <row r="37">
      <c r="A37" s="35" t="inlineStr">
        <is>
          <t>Total monthly operating costs</t>
        </is>
      </c>
      <c r="B37" s="34" t="n"/>
      <c r="C37" s="34" t="n"/>
      <c r="D37" s="34" t="n"/>
      <c r="E37" s="34" t="n"/>
      <c r="F37" s="34" t="n"/>
      <c r="G37" s="34" t="n"/>
      <c r="H37" s="34" t="n"/>
      <c r="I37" s="49">
        <f>I35+I36</f>
        <v/>
      </c>
      <c r="J37" s="49">
        <f>J35+J36</f>
        <v/>
      </c>
      <c r="K37" s="49">
        <f>K35+K36</f>
        <v/>
      </c>
      <c r="L37" s="34" t="n"/>
      <c r="M37" s="34" t="n"/>
      <c r="N37" s="34" t="n"/>
      <c r="O37" s="49">
        <f>O35+O36</f>
        <v/>
      </c>
      <c r="P37" s="49">
        <f>P35+P36</f>
        <v/>
      </c>
      <c r="Q37" s="49">
        <f>Q35+Q36</f>
        <v/>
      </c>
      <c r="R37" s="49">
        <f>R35+R36</f>
        <v/>
      </c>
      <c r="S37" s="49">
        <f>S35+S36</f>
        <v/>
      </c>
      <c r="T37" s="49">
        <f>T35+T36</f>
        <v/>
      </c>
      <c r="U37" s="49">
        <f>U35+U36</f>
        <v/>
      </c>
      <c r="V37" s="49">
        <f>V35+V36</f>
        <v/>
      </c>
      <c r="W37" s="49">
        <f>W35+W36</f>
        <v/>
      </c>
      <c r="X37" s="49">
        <f>X35+X36</f>
        <v/>
      </c>
      <c r="Y37" s="49">
        <f>Y35+Y36</f>
        <v/>
      </c>
      <c r="Z37" s="49">
        <f>Z35+Z36</f>
        <v/>
      </c>
      <c r="AA37" s="49">
        <f>AA35+AA36</f>
        <v/>
      </c>
      <c r="AB37" s="49">
        <f>AB35+AB36</f>
        <v/>
      </c>
      <c r="AC37" s="49">
        <f>AC35+AC36</f>
        <v/>
      </c>
      <c r="AD37" s="49">
        <f>AD35+AD36</f>
        <v/>
      </c>
      <c r="AE37" s="49">
        <f>AE35+AE36</f>
        <v/>
      </c>
      <c r="AF37" s="49">
        <f>AF35+AF36</f>
        <v/>
      </c>
      <c r="AG37" s="49">
        <f>AG35+AG36</f>
        <v/>
      </c>
      <c r="AH37" s="49">
        <f>AH35+AH36</f>
        <v/>
      </c>
      <c r="AI37" s="49">
        <f>AI35+AI36</f>
        <v/>
      </c>
      <c r="AJ37" s="49">
        <f>AJ35+AJ36</f>
        <v/>
      </c>
      <c r="AK37" s="49">
        <f>AK35+AK36</f>
        <v/>
      </c>
      <c r="AL37" s="49">
        <f>AL35+AL36</f>
        <v/>
      </c>
      <c r="AM37" s="49">
        <f>AM35+AM36</f>
        <v/>
      </c>
      <c r="AN37" s="49">
        <f>AN35+AN36</f>
        <v/>
      </c>
      <c r="AO37" s="49">
        <f>AO35+AO36</f>
        <v/>
      </c>
      <c r="AP37" s="49">
        <f>AP35+AP36</f>
        <v/>
      </c>
      <c r="AQ37" s="49">
        <f>AQ35+AQ36</f>
        <v/>
      </c>
      <c r="AR37" s="49">
        <f>AR35+AR36</f>
        <v/>
      </c>
      <c r="AS37" s="49">
        <f>AS35+AS36</f>
        <v/>
      </c>
      <c r="AT37" s="49">
        <f>AT35+AT36</f>
        <v/>
      </c>
      <c r="AU37" s="49">
        <f>AU35+AU36</f>
        <v/>
      </c>
      <c r="AV37" s="49">
        <f>AV35+AV36</f>
        <v/>
      </c>
      <c r="AW37" s="49">
        <f>AW35+AW36</f>
        <v/>
      </c>
      <c r="AX37" s="49">
        <f>AX35+AX36</f>
        <v/>
      </c>
    </row>
    <row r="39">
      <c r="A39" s="9" t="inlineStr">
        <is>
          <t>Wave-specific fixed costs (3PL minimum, Seller Central, retail EDI and insurance uplift) are added in the forecast only when that wave is live.</t>
        </is>
      </c>
    </row>
  </sheetData>
  <mergeCells count="1">
    <mergeCell ref="A2:M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AP4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6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20" t="inlineStr">
        <is>
          <t>36-month forecast: three scenarios, driven by traffic -&gt; conversion -&gt; orders -&gt; order value, by channel and wave</t>
        </is>
      </c>
    </row>
    <row r="2" ht="28" customHeight="1">
      <c r="A2" s="2" t="inlineStr">
        <is>
          <t>Traffic = trend (launch traffic compounded by monthly growth) x seasonality. Conversion ramps up over the review-ramp months. Net contribution = items x blended net per item from Unit Economics. Figures are planning estimates, not promises of income.</t>
        </is>
      </c>
    </row>
    <row r="3"/>
    <row r="4">
      <c r="A4" s="10" t="inlineStr">
        <is>
          <t>Model month #</t>
        </is>
      </c>
      <c r="B4" s="9" t="inlineStr">
        <is>
          <t>Unit / note</t>
        </is>
      </c>
      <c r="C4" s="43" t="n">
        <v>1</v>
      </c>
      <c r="D4" s="43" t="n">
        <v>2</v>
      </c>
      <c r="E4" s="43" t="n">
        <v>3</v>
      </c>
      <c r="F4" s="43" t="n">
        <v>4</v>
      </c>
      <c r="G4" s="43" t="n">
        <v>5</v>
      </c>
      <c r="H4" s="43" t="n">
        <v>6</v>
      </c>
      <c r="I4" s="43" t="n">
        <v>7</v>
      </c>
      <c r="J4" s="43" t="n">
        <v>8</v>
      </c>
      <c r="K4" s="43" t="n">
        <v>9</v>
      </c>
      <c r="L4" s="43" t="n">
        <v>10</v>
      </c>
      <c r="M4" s="43" t="n">
        <v>11</v>
      </c>
      <c r="N4" s="43" t="n">
        <v>12</v>
      </c>
      <c r="O4" s="43" t="n">
        <v>13</v>
      </c>
      <c r="P4" s="43" t="n">
        <v>14</v>
      </c>
      <c r="Q4" s="43" t="n">
        <v>15</v>
      </c>
      <c r="R4" s="43" t="n">
        <v>16</v>
      </c>
      <c r="S4" s="43" t="n">
        <v>17</v>
      </c>
      <c r="T4" s="43" t="n">
        <v>18</v>
      </c>
      <c r="U4" s="43" t="n">
        <v>19</v>
      </c>
      <c r="V4" s="43" t="n">
        <v>20</v>
      </c>
      <c r="W4" s="43" t="n">
        <v>21</v>
      </c>
      <c r="X4" s="43" t="n">
        <v>22</v>
      </c>
      <c r="Y4" s="43" t="n">
        <v>23</v>
      </c>
      <c r="Z4" s="43" t="n">
        <v>24</v>
      </c>
      <c r="AA4" s="43" t="n">
        <v>25</v>
      </c>
      <c r="AB4" s="43" t="n">
        <v>26</v>
      </c>
      <c r="AC4" s="43" t="n">
        <v>27</v>
      </c>
      <c r="AD4" s="43" t="n">
        <v>28</v>
      </c>
      <c r="AE4" s="43" t="n">
        <v>29</v>
      </c>
      <c r="AF4" s="43" t="n">
        <v>30</v>
      </c>
      <c r="AG4" s="43" t="n">
        <v>31</v>
      </c>
      <c r="AH4" s="43" t="n">
        <v>32</v>
      </c>
      <c r="AI4" s="43" t="n">
        <v>33</v>
      </c>
      <c r="AJ4" s="43" t="n">
        <v>34</v>
      </c>
      <c r="AK4" s="43" t="n">
        <v>35</v>
      </c>
      <c r="AL4" s="43" t="n">
        <v>36</v>
      </c>
      <c r="AM4" s="9" t="inlineStr">
        <is>
          <t>Oct-Sep</t>
        </is>
      </c>
      <c r="AN4" s="9" t="inlineStr">
        <is>
          <t>Oct-Sep</t>
        </is>
      </c>
      <c r="AO4" s="9" t="inlineStr">
        <is>
          <t>Oct-Sep</t>
        </is>
      </c>
      <c r="AP4" s="9" t="inlineStr">
        <is>
          <t>Total</t>
        </is>
      </c>
    </row>
    <row r="5">
      <c r="A5" s="10" t="inlineStr">
        <is>
          <t>Month</t>
        </is>
      </c>
      <c r="C5" s="50">
        <f>DATE(YEAR('Assumptions'!$C$8),MONTH('Assumptions'!$C$8)+C4-1,1)</f>
        <v/>
      </c>
      <c r="D5" s="50">
        <f>DATE(YEAR('Assumptions'!$C$8),MONTH('Assumptions'!$C$8)+D4-1,1)</f>
        <v/>
      </c>
      <c r="E5" s="50">
        <f>DATE(YEAR('Assumptions'!$C$8),MONTH('Assumptions'!$C$8)+E4-1,1)</f>
        <v/>
      </c>
      <c r="F5" s="50">
        <f>DATE(YEAR('Assumptions'!$C$8),MONTH('Assumptions'!$C$8)+F4-1,1)</f>
        <v/>
      </c>
      <c r="G5" s="50">
        <f>DATE(YEAR('Assumptions'!$C$8),MONTH('Assumptions'!$C$8)+G4-1,1)</f>
        <v/>
      </c>
      <c r="H5" s="50">
        <f>DATE(YEAR('Assumptions'!$C$8),MONTH('Assumptions'!$C$8)+H4-1,1)</f>
        <v/>
      </c>
      <c r="I5" s="50">
        <f>DATE(YEAR('Assumptions'!$C$8),MONTH('Assumptions'!$C$8)+I4-1,1)</f>
        <v/>
      </c>
      <c r="J5" s="50">
        <f>DATE(YEAR('Assumptions'!$C$8),MONTH('Assumptions'!$C$8)+J4-1,1)</f>
        <v/>
      </c>
      <c r="K5" s="50">
        <f>DATE(YEAR('Assumptions'!$C$8),MONTH('Assumptions'!$C$8)+K4-1,1)</f>
        <v/>
      </c>
      <c r="L5" s="50">
        <f>DATE(YEAR('Assumptions'!$C$8),MONTH('Assumptions'!$C$8)+L4-1,1)</f>
        <v/>
      </c>
      <c r="M5" s="50">
        <f>DATE(YEAR('Assumptions'!$C$8),MONTH('Assumptions'!$C$8)+M4-1,1)</f>
        <v/>
      </c>
      <c r="N5" s="50">
        <f>DATE(YEAR('Assumptions'!$C$8),MONTH('Assumptions'!$C$8)+N4-1,1)</f>
        <v/>
      </c>
      <c r="O5" s="50">
        <f>DATE(YEAR('Assumptions'!$C$8),MONTH('Assumptions'!$C$8)+O4-1,1)</f>
        <v/>
      </c>
      <c r="P5" s="50">
        <f>DATE(YEAR('Assumptions'!$C$8),MONTH('Assumptions'!$C$8)+P4-1,1)</f>
        <v/>
      </c>
      <c r="Q5" s="50">
        <f>DATE(YEAR('Assumptions'!$C$8),MONTH('Assumptions'!$C$8)+Q4-1,1)</f>
        <v/>
      </c>
      <c r="R5" s="50">
        <f>DATE(YEAR('Assumptions'!$C$8),MONTH('Assumptions'!$C$8)+R4-1,1)</f>
        <v/>
      </c>
      <c r="S5" s="50">
        <f>DATE(YEAR('Assumptions'!$C$8),MONTH('Assumptions'!$C$8)+S4-1,1)</f>
        <v/>
      </c>
      <c r="T5" s="50">
        <f>DATE(YEAR('Assumptions'!$C$8),MONTH('Assumptions'!$C$8)+T4-1,1)</f>
        <v/>
      </c>
      <c r="U5" s="50">
        <f>DATE(YEAR('Assumptions'!$C$8),MONTH('Assumptions'!$C$8)+U4-1,1)</f>
        <v/>
      </c>
      <c r="V5" s="50">
        <f>DATE(YEAR('Assumptions'!$C$8),MONTH('Assumptions'!$C$8)+V4-1,1)</f>
        <v/>
      </c>
      <c r="W5" s="50">
        <f>DATE(YEAR('Assumptions'!$C$8),MONTH('Assumptions'!$C$8)+W4-1,1)</f>
        <v/>
      </c>
      <c r="X5" s="50">
        <f>DATE(YEAR('Assumptions'!$C$8),MONTH('Assumptions'!$C$8)+X4-1,1)</f>
        <v/>
      </c>
      <c r="Y5" s="50">
        <f>DATE(YEAR('Assumptions'!$C$8),MONTH('Assumptions'!$C$8)+Y4-1,1)</f>
        <v/>
      </c>
      <c r="Z5" s="50">
        <f>DATE(YEAR('Assumptions'!$C$8),MONTH('Assumptions'!$C$8)+Z4-1,1)</f>
        <v/>
      </c>
      <c r="AA5" s="50">
        <f>DATE(YEAR('Assumptions'!$C$8),MONTH('Assumptions'!$C$8)+AA4-1,1)</f>
        <v/>
      </c>
      <c r="AB5" s="50">
        <f>DATE(YEAR('Assumptions'!$C$8),MONTH('Assumptions'!$C$8)+AB4-1,1)</f>
        <v/>
      </c>
      <c r="AC5" s="50">
        <f>DATE(YEAR('Assumptions'!$C$8),MONTH('Assumptions'!$C$8)+AC4-1,1)</f>
        <v/>
      </c>
      <c r="AD5" s="50">
        <f>DATE(YEAR('Assumptions'!$C$8),MONTH('Assumptions'!$C$8)+AD4-1,1)</f>
        <v/>
      </c>
      <c r="AE5" s="50">
        <f>DATE(YEAR('Assumptions'!$C$8),MONTH('Assumptions'!$C$8)+AE4-1,1)</f>
        <v/>
      </c>
      <c r="AF5" s="50">
        <f>DATE(YEAR('Assumptions'!$C$8),MONTH('Assumptions'!$C$8)+AF4-1,1)</f>
        <v/>
      </c>
      <c r="AG5" s="50">
        <f>DATE(YEAR('Assumptions'!$C$8),MONTH('Assumptions'!$C$8)+AG4-1,1)</f>
        <v/>
      </c>
      <c r="AH5" s="50">
        <f>DATE(YEAR('Assumptions'!$C$8),MONTH('Assumptions'!$C$8)+AH4-1,1)</f>
        <v/>
      </c>
      <c r="AI5" s="50">
        <f>DATE(YEAR('Assumptions'!$C$8),MONTH('Assumptions'!$C$8)+AI4-1,1)</f>
        <v/>
      </c>
      <c r="AJ5" s="50">
        <f>DATE(YEAR('Assumptions'!$C$8),MONTH('Assumptions'!$C$8)+AJ4-1,1)</f>
        <v/>
      </c>
      <c r="AK5" s="50">
        <f>DATE(YEAR('Assumptions'!$C$8),MONTH('Assumptions'!$C$8)+AK4-1,1)</f>
        <v/>
      </c>
      <c r="AL5" s="50">
        <f>DATE(YEAR('Assumptions'!$C$8),MONTH('Assumptions'!$C$8)+AL4-1,1)</f>
        <v/>
      </c>
      <c r="AM5" s="4" t="inlineStr">
        <is>
          <t>Year 1</t>
        </is>
      </c>
      <c r="AN5" s="4" t="inlineStr">
        <is>
          <t>Year 2</t>
        </is>
      </c>
      <c r="AO5" s="4" t="inlineStr">
        <is>
          <t>Year 3</t>
        </is>
      </c>
      <c r="AP5" s="4" t="inlineStr">
        <is>
          <t>36 months</t>
        </is>
      </c>
    </row>
    <row r="6">
      <c r="A6" s="10" t="inlineStr">
        <is>
          <t>Model year</t>
        </is>
      </c>
      <c r="C6" s="43">
        <f>INT((C4-1)/12)+1</f>
        <v/>
      </c>
      <c r="D6" s="43">
        <f>INT((D4-1)/12)+1</f>
        <v/>
      </c>
      <c r="E6" s="43">
        <f>INT((E4-1)/12)+1</f>
        <v/>
      </c>
      <c r="F6" s="43">
        <f>INT((F4-1)/12)+1</f>
        <v/>
      </c>
      <c r="G6" s="43">
        <f>INT((G4-1)/12)+1</f>
        <v/>
      </c>
      <c r="H6" s="43">
        <f>INT((H4-1)/12)+1</f>
        <v/>
      </c>
      <c r="I6" s="43">
        <f>INT((I4-1)/12)+1</f>
        <v/>
      </c>
      <c r="J6" s="43">
        <f>INT((J4-1)/12)+1</f>
        <v/>
      </c>
      <c r="K6" s="43">
        <f>INT((K4-1)/12)+1</f>
        <v/>
      </c>
      <c r="L6" s="43">
        <f>INT((L4-1)/12)+1</f>
        <v/>
      </c>
      <c r="M6" s="43">
        <f>INT((M4-1)/12)+1</f>
        <v/>
      </c>
      <c r="N6" s="43">
        <f>INT((N4-1)/12)+1</f>
        <v/>
      </c>
      <c r="O6" s="43">
        <f>INT((O4-1)/12)+1</f>
        <v/>
      </c>
      <c r="P6" s="43">
        <f>INT((P4-1)/12)+1</f>
        <v/>
      </c>
      <c r="Q6" s="43">
        <f>INT((Q4-1)/12)+1</f>
        <v/>
      </c>
      <c r="R6" s="43">
        <f>INT((R4-1)/12)+1</f>
        <v/>
      </c>
      <c r="S6" s="43">
        <f>INT((S4-1)/12)+1</f>
        <v/>
      </c>
      <c r="T6" s="43">
        <f>INT((T4-1)/12)+1</f>
        <v/>
      </c>
      <c r="U6" s="43">
        <f>INT((U4-1)/12)+1</f>
        <v/>
      </c>
      <c r="V6" s="43">
        <f>INT((V4-1)/12)+1</f>
        <v/>
      </c>
      <c r="W6" s="43">
        <f>INT((W4-1)/12)+1</f>
        <v/>
      </c>
      <c r="X6" s="43">
        <f>INT((X4-1)/12)+1</f>
        <v/>
      </c>
      <c r="Y6" s="43">
        <f>INT((Y4-1)/12)+1</f>
        <v/>
      </c>
      <c r="Z6" s="43">
        <f>INT((Z4-1)/12)+1</f>
        <v/>
      </c>
      <c r="AA6" s="43">
        <f>INT((AA4-1)/12)+1</f>
        <v/>
      </c>
      <c r="AB6" s="43">
        <f>INT((AB4-1)/12)+1</f>
        <v/>
      </c>
      <c r="AC6" s="43">
        <f>INT((AC4-1)/12)+1</f>
        <v/>
      </c>
      <c r="AD6" s="43">
        <f>INT((AD4-1)/12)+1</f>
        <v/>
      </c>
      <c r="AE6" s="43">
        <f>INT((AE4-1)/12)+1</f>
        <v/>
      </c>
      <c r="AF6" s="43">
        <f>INT((AF4-1)/12)+1</f>
        <v/>
      </c>
      <c r="AG6" s="43">
        <f>INT((AG4-1)/12)+1</f>
        <v/>
      </c>
      <c r="AH6" s="43">
        <f>INT((AH4-1)/12)+1</f>
        <v/>
      </c>
      <c r="AI6" s="43">
        <f>INT((AI4-1)/12)+1</f>
        <v/>
      </c>
      <c r="AJ6" s="43">
        <f>INT((AJ4-1)/12)+1</f>
        <v/>
      </c>
      <c r="AK6" s="43">
        <f>INT((AK4-1)/12)+1</f>
        <v/>
      </c>
      <c r="AL6" s="43">
        <f>INT((AL4-1)/12)+1</f>
        <v/>
      </c>
    </row>
    <row r="7">
      <c r="A7" s="10" t="inlineStr">
        <is>
          <t>Seasonality: consumer</t>
        </is>
      </c>
      <c r="C7" s="51">
        <f>INDEX('Assumptions'!$C$92:$C$103,MONTH(C5))/AVERAGE('Assumptions'!$C$92:$C$103)</f>
        <v/>
      </c>
      <c r="D7" s="51">
        <f>INDEX('Assumptions'!$C$92:$C$103,MONTH(D5))/AVERAGE('Assumptions'!$C$92:$C$103)</f>
        <v/>
      </c>
      <c r="E7" s="51">
        <f>INDEX('Assumptions'!$C$92:$C$103,MONTH(E5))/AVERAGE('Assumptions'!$C$92:$C$103)</f>
        <v/>
      </c>
      <c r="F7" s="51">
        <f>INDEX('Assumptions'!$C$92:$C$103,MONTH(F5))/AVERAGE('Assumptions'!$C$92:$C$103)</f>
        <v/>
      </c>
      <c r="G7" s="51">
        <f>INDEX('Assumptions'!$C$92:$C$103,MONTH(G5))/AVERAGE('Assumptions'!$C$92:$C$103)</f>
        <v/>
      </c>
      <c r="H7" s="51">
        <f>INDEX('Assumptions'!$C$92:$C$103,MONTH(H5))/AVERAGE('Assumptions'!$C$92:$C$103)</f>
        <v/>
      </c>
      <c r="I7" s="51">
        <f>INDEX('Assumptions'!$C$92:$C$103,MONTH(I5))/AVERAGE('Assumptions'!$C$92:$C$103)</f>
        <v/>
      </c>
      <c r="J7" s="51">
        <f>INDEX('Assumptions'!$C$92:$C$103,MONTH(J5))/AVERAGE('Assumptions'!$C$92:$C$103)</f>
        <v/>
      </c>
      <c r="K7" s="51">
        <f>INDEX('Assumptions'!$C$92:$C$103,MONTH(K5))/AVERAGE('Assumptions'!$C$92:$C$103)</f>
        <v/>
      </c>
      <c r="L7" s="51">
        <f>INDEX('Assumptions'!$C$92:$C$103,MONTH(L5))/AVERAGE('Assumptions'!$C$92:$C$103)</f>
        <v/>
      </c>
      <c r="M7" s="51">
        <f>INDEX('Assumptions'!$C$92:$C$103,MONTH(M5))/AVERAGE('Assumptions'!$C$92:$C$103)</f>
        <v/>
      </c>
      <c r="N7" s="51">
        <f>INDEX('Assumptions'!$C$92:$C$103,MONTH(N5))/AVERAGE('Assumptions'!$C$92:$C$103)</f>
        <v/>
      </c>
      <c r="O7" s="51">
        <f>INDEX('Assumptions'!$C$92:$C$103,MONTH(O5))/AVERAGE('Assumptions'!$C$92:$C$103)</f>
        <v/>
      </c>
      <c r="P7" s="51">
        <f>INDEX('Assumptions'!$C$92:$C$103,MONTH(P5))/AVERAGE('Assumptions'!$C$92:$C$103)</f>
        <v/>
      </c>
      <c r="Q7" s="51">
        <f>INDEX('Assumptions'!$C$92:$C$103,MONTH(Q5))/AVERAGE('Assumptions'!$C$92:$C$103)</f>
        <v/>
      </c>
      <c r="R7" s="51">
        <f>INDEX('Assumptions'!$C$92:$C$103,MONTH(R5))/AVERAGE('Assumptions'!$C$92:$C$103)</f>
        <v/>
      </c>
      <c r="S7" s="51">
        <f>INDEX('Assumptions'!$C$92:$C$103,MONTH(S5))/AVERAGE('Assumptions'!$C$92:$C$103)</f>
        <v/>
      </c>
      <c r="T7" s="51">
        <f>INDEX('Assumptions'!$C$92:$C$103,MONTH(T5))/AVERAGE('Assumptions'!$C$92:$C$103)</f>
        <v/>
      </c>
      <c r="U7" s="51">
        <f>INDEX('Assumptions'!$C$92:$C$103,MONTH(U5))/AVERAGE('Assumptions'!$C$92:$C$103)</f>
        <v/>
      </c>
      <c r="V7" s="51">
        <f>INDEX('Assumptions'!$C$92:$C$103,MONTH(V5))/AVERAGE('Assumptions'!$C$92:$C$103)</f>
        <v/>
      </c>
      <c r="W7" s="51">
        <f>INDEX('Assumptions'!$C$92:$C$103,MONTH(W5))/AVERAGE('Assumptions'!$C$92:$C$103)</f>
        <v/>
      </c>
      <c r="X7" s="51">
        <f>INDEX('Assumptions'!$C$92:$C$103,MONTH(X5))/AVERAGE('Assumptions'!$C$92:$C$103)</f>
        <v/>
      </c>
      <c r="Y7" s="51">
        <f>INDEX('Assumptions'!$C$92:$C$103,MONTH(Y5))/AVERAGE('Assumptions'!$C$92:$C$103)</f>
        <v/>
      </c>
      <c r="Z7" s="51">
        <f>INDEX('Assumptions'!$C$92:$C$103,MONTH(Z5))/AVERAGE('Assumptions'!$C$92:$C$103)</f>
        <v/>
      </c>
      <c r="AA7" s="51">
        <f>INDEX('Assumptions'!$C$92:$C$103,MONTH(AA5))/AVERAGE('Assumptions'!$C$92:$C$103)</f>
        <v/>
      </c>
      <c r="AB7" s="51">
        <f>INDEX('Assumptions'!$C$92:$C$103,MONTH(AB5))/AVERAGE('Assumptions'!$C$92:$C$103)</f>
        <v/>
      </c>
      <c r="AC7" s="51">
        <f>INDEX('Assumptions'!$C$92:$C$103,MONTH(AC5))/AVERAGE('Assumptions'!$C$92:$C$103)</f>
        <v/>
      </c>
      <c r="AD7" s="51">
        <f>INDEX('Assumptions'!$C$92:$C$103,MONTH(AD5))/AVERAGE('Assumptions'!$C$92:$C$103)</f>
        <v/>
      </c>
      <c r="AE7" s="51">
        <f>INDEX('Assumptions'!$C$92:$C$103,MONTH(AE5))/AVERAGE('Assumptions'!$C$92:$C$103)</f>
        <v/>
      </c>
      <c r="AF7" s="51">
        <f>INDEX('Assumptions'!$C$92:$C$103,MONTH(AF5))/AVERAGE('Assumptions'!$C$92:$C$103)</f>
        <v/>
      </c>
      <c r="AG7" s="51">
        <f>INDEX('Assumptions'!$C$92:$C$103,MONTH(AG5))/AVERAGE('Assumptions'!$C$92:$C$103)</f>
        <v/>
      </c>
      <c r="AH7" s="51">
        <f>INDEX('Assumptions'!$C$92:$C$103,MONTH(AH5))/AVERAGE('Assumptions'!$C$92:$C$103)</f>
        <v/>
      </c>
      <c r="AI7" s="51">
        <f>INDEX('Assumptions'!$C$92:$C$103,MONTH(AI5))/AVERAGE('Assumptions'!$C$92:$C$103)</f>
        <v/>
      </c>
      <c r="AJ7" s="51">
        <f>INDEX('Assumptions'!$C$92:$C$103,MONTH(AJ5))/AVERAGE('Assumptions'!$C$92:$C$103)</f>
        <v/>
      </c>
      <c r="AK7" s="51">
        <f>INDEX('Assumptions'!$C$92:$C$103,MONTH(AK5))/AVERAGE('Assumptions'!$C$92:$C$103)</f>
        <v/>
      </c>
      <c r="AL7" s="51">
        <f>INDEX('Assumptions'!$C$92:$C$103,MONTH(AL5))/AVERAGE('Assumptions'!$C$92:$C$103)</f>
        <v/>
      </c>
    </row>
    <row r="8">
      <c r="A8" s="10" t="inlineStr">
        <is>
          <t>Seasonality: school / group</t>
        </is>
      </c>
      <c r="C8" s="51">
        <f>INDEX('Assumptions'!$D$92:$D$103,MONTH(C5))/AVERAGE('Assumptions'!$D$92:$D$103)</f>
        <v/>
      </c>
      <c r="D8" s="51">
        <f>INDEX('Assumptions'!$D$92:$D$103,MONTH(D5))/AVERAGE('Assumptions'!$D$92:$D$103)</f>
        <v/>
      </c>
      <c r="E8" s="51">
        <f>INDEX('Assumptions'!$D$92:$D$103,MONTH(E5))/AVERAGE('Assumptions'!$D$92:$D$103)</f>
        <v/>
      </c>
      <c r="F8" s="51">
        <f>INDEX('Assumptions'!$D$92:$D$103,MONTH(F5))/AVERAGE('Assumptions'!$D$92:$D$103)</f>
        <v/>
      </c>
      <c r="G8" s="51">
        <f>INDEX('Assumptions'!$D$92:$D$103,MONTH(G5))/AVERAGE('Assumptions'!$D$92:$D$103)</f>
        <v/>
      </c>
      <c r="H8" s="51">
        <f>INDEX('Assumptions'!$D$92:$D$103,MONTH(H5))/AVERAGE('Assumptions'!$D$92:$D$103)</f>
        <v/>
      </c>
      <c r="I8" s="51">
        <f>INDEX('Assumptions'!$D$92:$D$103,MONTH(I5))/AVERAGE('Assumptions'!$D$92:$D$103)</f>
        <v/>
      </c>
      <c r="J8" s="51">
        <f>INDEX('Assumptions'!$D$92:$D$103,MONTH(J5))/AVERAGE('Assumptions'!$D$92:$D$103)</f>
        <v/>
      </c>
      <c r="K8" s="51">
        <f>INDEX('Assumptions'!$D$92:$D$103,MONTH(K5))/AVERAGE('Assumptions'!$D$92:$D$103)</f>
        <v/>
      </c>
      <c r="L8" s="51">
        <f>INDEX('Assumptions'!$D$92:$D$103,MONTH(L5))/AVERAGE('Assumptions'!$D$92:$D$103)</f>
        <v/>
      </c>
      <c r="M8" s="51">
        <f>INDEX('Assumptions'!$D$92:$D$103,MONTH(M5))/AVERAGE('Assumptions'!$D$92:$D$103)</f>
        <v/>
      </c>
      <c r="N8" s="51">
        <f>INDEX('Assumptions'!$D$92:$D$103,MONTH(N5))/AVERAGE('Assumptions'!$D$92:$D$103)</f>
        <v/>
      </c>
      <c r="O8" s="51">
        <f>INDEX('Assumptions'!$D$92:$D$103,MONTH(O5))/AVERAGE('Assumptions'!$D$92:$D$103)</f>
        <v/>
      </c>
      <c r="P8" s="51">
        <f>INDEX('Assumptions'!$D$92:$D$103,MONTH(P5))/AVERAGE('Assumptions'!$D$92:$D$103)</f>
        <v/>
      </c>
      <c r="Q8" s="51">
        <f>INDEX('Assumptions'!$D$92:$D$103,MONTH(Q5))/AVERAGE('Assumptions'!$D$92:$D$103)</f>
        <v/>
      </c>
      <c r="R8" s="51">
        <f>INDEX('Assumptions'!$D$92:$D$103,MONTH(R5))/AVERAGE('Assumptions'!$D$92:$D$103)</f>
        <v/>
      </c>
      <c r="S8" s="51">
        <f>INDEX('Assumptions'!$D$92:$D$103,MONTH(S5))/AVERAGE('Assumptions'!$D$92:$D$103)</f>
        <v/>
      </c>
      <c r="T8" s="51">
        <f>INDEX('Assumptions'!$D$92:$D$103,MONTH(T5))/AVERAGE('Assumptions'!$D$92:$D$103)</f>
        <v/>
      </c>
      <c r="U8" s="51">
        <f>INDEX('Assumptions'!$D$92:$D$103,MONTH(U5))/AVERAGE('Assumptions'!$D$92:$D$103)</f>
        <v/>
      </c>
      <c r="V8" s="51">
        <f>INDEX('Assumptions'!$D$92:$D$103,MONTH(V5))/AVERAGE('Assumptions'!$D$92:$D$103)</f>
        <v/>
      </c>
      <c r="W8" s="51">
        <f>INDEX('Assumptions'!$D$92:$D$103,MONTH(W5))/AVERAGE('Assumptions'!$D$92:$D$103)</f>
        <v/>
      </c>
      <c r="X8" s="51">
        <f>INDEX('Assumptions'!$D$92:$D$103,MONTH(X5))/AVERAGE('Assumptions'!$D$92:$D$103)</f>
        <v/>
      </c>
      <c r="Y8" s="51">
        <f>INDEX('Assumptions'!$D$92:$D$103,MONTH(Y5))/AVERAGE('Assumptions'!$D$92:$D$103)</f>
        <v/>
      </c>
      <c r="Z8" s="51">
        <f>INDEX('Assumptions'!$D$92:$D$103,MONTH(Z5))/AVERAGE('Assumptions'!$D$92:$D$103)</f>
        <v/>
      </c>
      <c r="AA8" s="51">
        <f>INDEX('Assumptions'!$D$92:$D$103,MONTH(AA5))/AVERAGE('Assumptions'!$D$92:$D$103)</f>
        <v/>
      </c>
      <c r="AB8" s="51">
        <f>INDEX('Assumptions'!$D$92:$D$103,MONTH(AB5))/AVERAGE('Assumptions'!$D$92:$D$103)</f>
        <v/>
      </c>
      <c r="AC8" s="51">
        <f>INDEX('Assumptions'!$D$92:$D$103,MONTH(AC5))/AVERAGE('Assumptions'!$D$92:$D$103)</f>
        <v/>
      </c>
      <c r="AD8" s="51">
        <f>INDEX('Assumptions'!$D$92:$D$103,MONTH(AD5))/AVERAGE('Assumptions'!$D$92:$D$103)</f>
        <v/>
      </c>
      <c r="AE8" s="51">
        <f>INDEX('Assumptions'!$D$92:$D$103,MONTH(AE5))/AVERAGE('Assumptions'!$D$92:$D$103)</f>
        <v/>
      </c>
      <c r="AF8" s="51">
        <f>INDEX('Assumptions'!$D$92:$D$103,MONTH(AF5))/AVERAGE('Assumptions'!$D$92:$D$103)</f>
        <v/>
      </c>
      <c r="AG8" s="51">
        <f>INDEX('Assumptions'!$D$92:$D$103,MONTH(AG5))/AVERAGE('Assumptions'!$D$92:$D$103)</f>
        <v/>
      </c>
      <c r="AH8" s="51">
        <f>INDEX('Assumptions'!$D$92:$D$103,MONTH(AH5))/AVERAGE('Assumptions'!$D$92:$D$103)</f>
        <v/>
      </c>
      <c r="AI8" s="51">
        <f>INDEX('Assumptions'!$D$92:$D$103,MONTH(AI5))/AVERAGE('Assumptions'!$D$92:$D$103)</f>
        <v/>
      </c>
      <c r="AJ8" s="51">
        <f>INDEX('Assumptions'!$D$92:$D$103,MONTH(AJ5))/AVERAGE('Assumptions'!$D$92:$D$103)</f>
        <v/>
      </c>
      <c r="AK8" s="51">
        <f>INDEX('Assumptions'!$D$92:$D$103,MONTH(AK5))/AVERAGE('Assumptions'!$D$92:$D$103)</f>
        <v/>
      </c>
      <c r="AL8" s="51">
        <f>INDEX('Assumptions'!$D$92:$D$103,MONTH(AL5))/AVERAGE('Assumptions'!$D$92:$D$103)</f>
        <v/>
      </c>
    </row>
    <row r="10">
      <c r="A10" s="3" t="inlineStr">
        <is>
          <t>CONSERVATIVE SCENARIO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</row>
    <row r="11">
      <c r="A11" s="7" t="inlineStr">
        <is>
          <t>Board-book print decision month (pre-sale ends), model month # (0 = board book off)</t>
        </is>
      </c>
      <c r="B11" s="52">
        <f>IF('Assumptions'!$C$164=1,MAX('Assumptions'!$C$165,'Assumptions'!$C$9)+'Assumptions'!$C$72,0)</f>
        <v/>
      </c>
    </row>
    <row r="12">
      <c r="A12" s="7" t="inlineStr">
        <is>
          <t>Pre-sale copies ordered before the print decision (demand)</t>
        </is>
      </c>
      <c r="B12" s="53">
        <f>IF($B$11=0,0,SUMPRODUCT(($C$4:$AL$4&gt;=MAX('Assumptions'!$C$165,'Assumptions'!$C$9))*($C$4:$AL$4&lt;$B$11)*($C$89:$AL$89)))</f>
        <v/>
      </c>
    </row>
    <row r="13">
      <c r="A13" s="7" t="inlineStr">
        <is>
          <t>Go line: pre-sale copies needed to fund the planned run + print-month costs + 15% buffer (BLIND-SPOTS #16)</t>
        </is>
      </c>
      <c r="B13" s="53">
        <f>IF($B$11=0,0,ROUNDUP(('Assumptions'!$C$58*'Assumptions'!$C$66+'Retail Readiness Costs'!$H$20)*(1+'Assumptions'!$C$73)/('Assumptions'!$C$57*(1-'Assumptions'!$C$24)-'Assumptions'!$C$25-'Assumptions'!$C$67-'Assumptions'!$C$48),0))</f>
        <v/>
      </c>
    </row>
    <row r="14">
      <c r="A14" s="7" t="inlineStr">
        <is>
          <t>Go (1) / no-go (0): print only if pre-sale copies reach the go line; otherwise refund the pre-sale</t>
        </is>
      </c>
      <c r="B14" s="54">
        <f>IF(AND($B$11&gt;0,$B$12&gt;=$B$13),1,0)</f>
        <v/>
      </c>
    </row>
    <row r="15">
      <c r="A15" s="7" t="inlineStr">
        <is>
          <t>First offset run = max(planned run, pre-sale x (1 + buffer)), rounded up to 100; 0 if no-go</t>
        </is>
      </c>
      <c r="B15" s="53">
        <f>IF($B$14=0,0,MAX('Assumptions'!$C$58,ROUNDUP($B$12*(1+'Assumptions'!$C$71)/100,0)*100))</f>
        <v/>
      </c>
    </row>
    <row r="17">
      <c r="A17" s="5" t="inlineStr">
        <is>
          <t>Digital catalog (shared by the own site, Etsy and the merchant of record)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</row>
    <row r="18">
      <c r="A18" s="7" t="inlineStr">
        <is>
          <t xml:space="preserve">   Digital products live</t>
        </is>
      </c>
      <c r="B18" s="9" t="inlineStr">
        <is>
          <t>products</t>
        </is>
      </c>
      <c r="C18" s="14">
        <f>IF(C$4&lt;'Assumptions'!$C$9,0,MIN('Assumptions'!$C$112,'Assumptions'!$C$110+'Assumptions'!$C$111*(C$4-'Assumptions'!$C$9)))</f>
        <v/>
      </c>
      <c r="D18" s="14">
        <f>IF(D$4&lt;'Assumptions'!$C$9,0,MIN('Assumptions'!$C$112,'Assumptions'!$C$110+'Assumptions'!$C$111*(D$4-'Assumptions'!$C$9)))</f>
        <v/>
      </c>
      <c r="E18" s="14">
        <f>IF(E$4&lt;'Assumptions'!$C$9,0,MIN('Assumptions'!$C$112,'Assumptions'!$C$110+'Assumptions'!$C$111*(E$4-'Assumptions'!$C$9)))</f>
        <v/>
      </c>
      <c r="F18" s="14">
        <f>IF(F$4&lt;'Assumptions'!$C$9,0,MIN('Assumptions'!$C$112,'Assumptions'!$C$110+'Assumptions'!$C$111*(F$4-'Assumptions'!$C$9)))</f>
        <v/>
      </c>
      <c r="G18" s="14">
        <f>IF(G$4&lt;'Assumptions'!$C$9,0,MIN('Assumptions'!$C$112,'Assumptions'!$C$110+'Assumptions'!$C$111*(G$4-'Assumptions'!$C$9)))</f>
        <v/>
      </c>
      <c r="H18" s="14">
        <f>IF(H$4&lt;'Assumptions'!$C$9,0,MIN('Assumptions'!$C$112,'Assumptions'!$C$110+'Assumptions'!$C$111*(H$4-'Assumptions'!$C$9)))</f>
        <v/>
      </c>
      <c r="I18" s="14">
        <f>IF(I$4&lt;'Assumptions'!$C$9,0,MIN('Assumptions'!$C$112,'Assumptions'!$C$110+'Assumptions'!$C$111*(I$4-'Assumptions'!$C$9)))</f>
        <v/>
      </c>
      <c r="J18" s="14">
        <f>IF(J$4&lt;'Assumptions'!$C$9,0,MIN('Assumptions'!$C$112,'Assumptions'!$C$110+'Assumptions'!$C$111*(J$4-'Assumptions'!$C$9)))</f>
        <v/>
      </c>
      <c r="K18" s="14">
        <f>IF(K$4&lt;'Assumptions'!$C$9,0,MIN('Assumptions'!$C$112,'Assumptions'!$C$110+'Assumptions'!$C$111*(K$4-'Assumptions'!$C$9)))</f>
        <v/>
      </c>
      <c r="L18" s="14">
        <f>IF(L$4&lt;'Assumptions'!$C$9,0,MIN('Assumptions'!$C$112,'Assumptions'!$C$110+'Assumptions'!$C$111*(L$4-'Assumptions'!$C$9)))</f>
        <v/>
      </c>
      <c r="M18" s="14">
        <f>IF(M$4&lt;'Assumptions'!$C$9,0,MIN('Assumptions'!$C$112,'Assumptions'!$C$110+'Assumptions'!$C$111*(M$4-'Assumptions'!$C$9)))</f>
        <v/>
      </c>
      <c r="N18" s="14">
        <f>IF(N$4&lt;'Assumptions'!$C$9,0,MIN('Assumptions'!$C$112,'Assumptions'!$C$110+'Assumptions'!$C$111*(N$4-'Assumptions'!$C$9)))</f>
        <v/>
      </c>
      <c r="O18" s="14">
        <f>IF(O$4&lt;'Assumptions'!$C$9,0,MIN('Assumptions'!$C$112,'Assumptions'!$C$110+'Assumptions'!$C$111*(O$4-'Assumptions'!$C$9)))</f>
        <v/>
      </c>
      <c r="P18" s="14">
        <f>IF(P$4&lt;'Assumptions'!$C$9,0,MIN('Assumptions'!$C$112,'Assumptions'!$C$110+'Assumptions'!$C$111*(P$4-'Assumptions'!$C$9)))</f>
        <v/>
      </c>
      <c r="Q18" s="14">
        <f>IF(Q$4&lt;'Assumptions'!$C$9,0,MIN('Assumptions'!$C$112,'Assumptions'!$C$110+'Assumptions'!$C$111*(Q$4-'Assumptions'!$C$9)))</f>
        <v/>
      </c>
      <c r="R18" s="14">
        <f>IF(R$4&lt;'Assumptions'!$C$9,0,MIN('Assumptions'!$C$112,'Assumptions'!$C$110+'Assumptions'!$C$111*(R$4-'Assumptions'!$C$9)))</f>
        <v/>
      </c>
      <c r="S18" s="14">
        <f>IF(S$4&lt;'Assumptions'!$C$9,0,MIN('Assumptions'!$C$112,'Assumptions'!$C$110+'Assumptions'!$C$111*(S$4-'Assumptions'!$C$9)))</f>
        <v/>
      </c>
      <c r="T18" s="14">
        <f>IF(T$4&lt;'Assumptions'!$C$9,0,MIN('Assumptions'!$C$112,'Assumptions'!$C$110+'Assumptions'!$C$111*(T$4-'Assumptions'!$C$9)))</f>
        <v/>
      </c>
      <c r="U18" s="14">
        <f>IF(U$4&lt;'Assumptions'!$C$9,0,MIN('Assumptions'!$C$112,'Assumptions'!$C$110+'Assumptions'!$C$111*(U$4-'Assumptions'!$C$9)))</f>
        <v/>
      </c>
      <c r="V18" s="14">
        <f>IF(V$4&lt;'Assumptions'!$C$9,0,MIN('Assumptions'!$C$112,'Assumptions'!$C$110+'Assumptions'!$C$111*(V$4-'Assumptions'!$C$9)))</f>
        <v/>
      </c>
      <c r="W18" s="14">
        <f>IF(W$4&lt;'Assumptions'!$C$9,0,MIN('Assumptions'!$C$112,'Assumptions'!$C$110+'Assumptions'!$C$111*(W$4-'Assumptions'!$C$9)))</f>
        <v/>
      </c>
      <c r="X18" s="14">
        <f>IF(X$4&lt;'Assumptions'!$C$9,0,MIN('Assumptions'!$C$112,'Assumptions'!$C$110+'Assumptions'!$C$111*(X$4-'Assumptions'!$C$9)))</f>
        <v/>
      </c>
      <c r="Y18" s="14">
        <f>IF(Y$4&lt;'Assumptions'!$C$9,0,MIN('Assumptions'!$C$112,'Assumptions'!$C$110+'Assumptions'!$C$111*(Y$4-'Assumptions'!$C$9)))</f>
        <v/>
      </c>
      <c r="Z18" s="14">
        <f>IF(Z$4&lt;'Assumptions'!$C$9,0,MIN('Assumptions'!$C$112,'Assumptions'!$C$110+'Assumptions'!$C$111*(Z$4-'Assumptions'!$C$9)))</f>
        <v/>
      </c>
      <c r="AA18" s="14">
        <f>IF(AA$4&lt;'Assumptions'!$C$9,0,MIN('Assumptions'!$C$112,'Assumptions'!$C$110+'Assumptions'!$C$111*(AA$4-'Assumptions'!$C$9)))</f>
        <v/>
      </c>
      <c r="AB18" s="14">
        <f>IF(AB$4&lt;'Assumptions'!$C$9,0,MIN('Assumptions'!$C$112,'Assumptions'!$C$110+'Assumptions'!$C$111*(AB$4-'Assumptions'!$C$9)))</f>
        <v/>
      </c>
      <c r="AC18" s="14">
        <f>IF(AC$4&lt;'Assumptions'!$C$9,0,MIN('Assumptions'!$C$112,'Assumptions'!$C$110+'Assumptions'!$C$111*(AC$4-'Assumptions'!$C$9)))</f>
        <v/>
      </c>
      <c r="AD18" s="14">
        <f>IF(AD$4&lt;'Assumptions'!$C$9,0,MIN('Assumptions'!$C$112,'Assumptions'!$C$110+'Assumptions'!$C$111*(AD$4-'Assumptions'!$C$9)))</f>
        <v/>
      </c>
      <c r="AE18" s="14">
        <f>IF(AE$4&lt;'Assumptions'!$C$9,0,MIN('Assumptions'!$C$112,'Assumptions'!$C$110+'Assumptions'!$C$111*(AE$4-'Assumptions'!$C$9)))</f>
        <v/>
      </c>
      <c r="AF18" s="14">
        <f>IF(AF$4&lt;'Assumptions'!$C$9,0,MIN('Assumptions'!$C$112,'Assumptions'!$C$110+'Assumptions'!$C$111*(AF$4-'Assumptions'!$C$9)))</f>
        <v/>
      </c>
      <c r="AG18" s="14">
        <f>IF(AG$4&lt;'Assumptions'!$C$9,0,MIN('Assumptions'!$C$112,'Assumptions'!$C$110+'Assumptions'!$C$111*(AG$4-'Assumptions'!$C$9)))</f>
        <v/>
      </c>
      <c r="AH18" s="14">
        <f>IF(AH$4&lt;'Assumptions'!$C$9,0,MIN('Assumptions'!$C$112,'Assumptions'!$C$110+'Assumptions'!$C$111*(AH$4-'Assumptions'!$C$9)))</f>
        <v/>
      </c>
      <c r="AI18" s="14">
        <f>IF(AI$4&lt;'Assumptions'!$C$9,0,MIN('Assumptions'!$C$112,'Assumptions'!$C$110+'Assumptions'!$C$111*(AI$4-'Assumptions'!$C$9)))</f>
        <v/>
      </c>
      <c r="AJ18" s="14">
        <f>IF(AJ$4&lt;'Assumptions'!$C$9,0,MIN('Assumptions'!$C$112,'Assumptions'!$C$110+'Assumptions'!$C$111*(AJ$4-'Assumptions'!$C$9)))</f>
        <v/>
      </c>
      <c r="AK18" s="14">
        <f>IF(AK$4&lt;'Assumptions'!$C$9,0,MIN('Assumptions'!$C$112,'Assumptions'!$C$110+'Assumptions'!$C$111*(AK$4-'Assumptions'!$C$9)))</f>
        <v/>
      </c>
      <c r="AL18" s="14">
        <f>IF(AL$4&lt;'Assumptions'!$C$9,0,MIN('Assumptions'!$C$112,'Assumptions'!$C$110+'Assumptions'!$C$111*(AL$4-'Assumptions'!$C$9)))</f>
        <v/>
      </c>
    </row>
    <row r="19">
      <c r="A19" s="5" t="inlineStr">
        <is>
          <t>Own site: printables and PDFs (Shopify)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</row>
    <row r="20">
      <c r="A20" s="7" t="inlineStr">
        <is>
          <t xml:space="preserve">   Active (1 = live)</t>
        </is>
      </c>
      <c r="B20" s="9" t="inlineStr">
        <is>
          <t>flag</t>
        </is>
      </c>
      <c r="C20" s="18">
        <f>IF(AND('Assumptions'!$C$117=1,C$4&gt;=MAX('Assumptions'!$C$118,'Assumptions'!$C$9)),1,0)</f>
        <v/>
      </c>
      <c r="D20" s="18">
        <f>IF(AND('Assumptions'!$C$117=1,D$4&gt;=MAX('Assumptions'!$C$118,'Assumptions'!$C$9)),1,0)</f>
        <v/>
      </c>
      <c r="E20" s="18">
        <f>IF(AND('Assumptions'!$C$117=1,E$4&gt;=MAX('Assumptions'!$C$118,'Assumptions'!$C$9)),1,0)</f>
        <v/>
      </c>
      <c r="F20" s="18">
        <f>IF(AND('Assumptions'!$C$117=1,F$4&gt;=MAX('Assumptions'!$C$118,'Assumptions'!$C$9)),1,0)</f>
        <v/>
      </c>
      <c r="G20" s="18">
        <f>IF(AND('Assumptions'!$C$117=1,G$4&gt;=MAX('Assumptions'!$C$118,'Assumptions'!$C$9)),1,0)</f>
        <v/>
      </c>
      <c r="H20" s="18">
        <f>IF(AND('Assumptions'!$C$117=1,H$4&gt;=MAX('Assumptions'!$C$118,'Assumptions'!$C$9)),1,0)</f>
        <v/>
      </c>
      <c r="I20" s="18">
        <f>IF(AND('Assumptions'!$C$117=1,I$4&gt;=MAX('Assumptions'!$C$118,'Assumptions'!$C$9)),1,0)</f>
        <v/>
      </c>
      <c r="J20" s="18">
        <f>IF(AND('Assumptions'!$C$117=1,J$4&gt;=MAX('Assumptions'!$C$118,'Assumptions'!$C$9)),1,0)</f>
        <v/>
      </c>
      <c r="K20" s="18">
        <f>IF(AND('Assumptions'!$C$117=1,K$4&gt;=MAX('Assumptions'!$C$118,'Assumptions'!$C$9)),1,0)</f>
        <v/>
      </c>
      <c r="L20" s="18">
        <f>IF(AND('Assumptions'!$C$117=1,L$4&gt;=MAX('Assumptions'!$C$118,'Assumptions'!$C$9)),1,0)</f>
        <v/>
      </c>
      <c r="M20" s="18">
        <f>IF(AND('Assumptions'!$C$117=1,M$4&gt;=MAX('Assumptions'!$C$118,'Assumptions'!$C$9)),1,0)</f>
        <v/>
      </c>
      <c r="N20" s="18">
        <f>IF(AND('Assumptions'!$C$117=1,N$4&gt;=MAX('Assumptions'!$C$118,'Assumptions'!$C$9)),1,0)</f>
        <v/>
      </c>
      <c r="O20" s="18">
        <f>IF(AND('Assumptions'!$C$117=1,O$4&gt;=MAX('Assumptions'!$C$118,'Assumptions'!$C$9)),1,0)</f>
        <v/>
      </c>
      <c r="P20" s="18">
        <f>IF(AND('Assumptions'!$C$117=1,P$4&gt;=MAX('Assumptions'!$C$118,'Assumptions'!$C$9)),1,0)</f>
        <v/>
      </c>
      <c r="Q20" s="18">
        <f>IF(AND('Assumptions'!$C$117=1,Q$4&gt;=MAX('Assumptions'!$C$118,'Assumptions'!$C$9)),1,0)</f>
        <v/>
      </c>
      <c r="R20" s="18">
        <f>IF(AND('Assumptions'!$C$117=1,R$4&gt;=MAX('Assumptions'!$C$118,'Assumptions'!$C$9)),1,0)</f>
        <v/>
      </c>
      <c r="S20" s="18">
        <f>IF(AND('Assumptions'!$C$117=1,S$4&gt;=MAX('Assumptions'!$C$118,'Assumptions'!$C$9)),1,0)</f>
        <v/>
      </c>
      <c r="T20" s="18">
        <f>IF(AND('Assumptions'!$C$117=1,T$4&gt;=MAX('Assumptions'!$C$118,'Assumptions'!$C$9)),1,0)</f>
        <v/>
      </c>
      <c r="U20" s="18">
        <f>IF(AND('Assumptions'!$C$117=1,U$4&gt;=MAX('Assumptions'!$C$118,'Assumptions'!$C$9)),1,0)</f>
        <v/>
      </c>
      <c r="V20" s="18">
        <f>IF(AND('Assumptions'!$C$117=1,V$4&gt;=MAX('Assumptions'!$C$118,'Assumptions'!$C$9)),1,0)</f>
        <v/>
      </c>
      <c r="W20" s="18">
        <f>IF(AND('Assumptions'!$C$117=1,W$4&gt;=MAX('Assumptions'!$C$118,'Assumptions'!$C$9)),1,0)</f>
        <v/>
      </c>
      <c r="X20" s="18">
        <f>IF(AND('Assumptions'!$C$117=1,X$4&gt;=MAX('Assumptions'!$C$118,'Assumptions'!$C$9)),1,0)</f>
        <v/>
      </c>
      <c r="Y20" s="18">
        <f>IF(AND('Assumptions'!$C$117=1,Y$4&gt;=MAX('Assumptions'!$C$118,'Assumptions'!$C$9)),1,0)</f>
        <v/>
      </c>
      <c r="Z20" s="18">
        <f>IF(AND('Assumptions'!$C$117=1,Z$4&gt;=MAX('Assumptions'!$C$118,'Assumptions'!$C$9)),1,0)</f>
        <v/>
      </c>
      <c r="AA20" s="18">
        <f>IF(AND('Assumptions'!$C$117=1,AA$4&gt;=MAX('Assumptions'!$C$118,'Assumptions'!$C$9)),1,0)</f>
        <v/>
      </c>
      <c r="AB20" s="18">
        <f>IF(AND('Assumptions'!$C$117=1,AB$4&gt;=MAX('Assumptions'!$C$118,'Assumptions'!$C$9)),1,0)</f>
        <v/>
      </c>
      <c r="AC20" s="18">
        <f>IF(AND('Assumptions'!$C$117=1,AC$4&gt;=MAX('Assumptions'!$C$118,'Assumptions'!$C$9)),1,0)</f>
        <v/>
      </c>
      <c r="AD20" s="18">
        <f>IF(AND('Assumptions'!$C$117=1,AD$4&gt;=MAX('Assumptions'!$C$118,'Assumptions'!$C$9)),1,0)</f>
        <v/>
      </c>
      <c r="AE20" s="18">
        <f>IF(AND('Assumptions'!$C$117=1,AE$4&gt;=MAX('Assumptions'!$C$118,'Assumptions'!$C$9)),1,0)</f>
        <v/>
      </c>
      <c r="AF20" s="18">
        <f>IF(AND('Assumptions'!$C$117=1,AF$4&gt;=MAX('Assumptions'!$C$118,'Assumptions'!$C$9)),1,0)</f>
        <v/>
      </c>
      <c r="AG20" s="18">
        <f>IF(AND('Assumptions'!$C$117=1,AG$4&gt;=MAX('Assumptions'!$C$118,'Assumptions'!$C$9)),1,0)</f>
        <v/>
      </c>
      <c r="AH20" s="18">
        <f>IF(AND('Assumptions'!$C$117=1,AH$4&gt;=MAX('Assumptions'!$C$118,'Assumptions'!$C$9)),1,0)</f>
        <v/>
      </c>
      <c r="AI20" s="18">
        <f>IF(AND('Assumptions'!$C$117=1,AI$4&gt;=MAX('Assumptions'!$C$118,'Assumptions'!$C$9)),1,0)</f>
        <v/>
      </c>
      <c r="AJ20" s="18">
        <f>IF(AND('Assumptions'!$C$117=1,AJ$4&gt;=MAX('Assumptions'!$C$118,'Assumptions'!$C$9)),1,0)</f>
        <v/>
      </c>
      <c r="AK20" s="18">
        <f>IF(AND('Assumptions'!$C$117=1,AK$4&gt;=MAX('Assumptions'!$C$118,'Assumptions'!$C$9)),1,0)</f>
        <v/>
      </c>
      <c r="AL20" s="18">
        <f>IF(AND('Assumptions'!$C$117=1,AL$4&gt;=MAX('Assumptions'!$C$118,'Assumptions'!$C$9)),1,0)</f>
        <v/>
      </c>
    </row>
    <row r="21">
      <c r="A21" s="7" t="inlineStr">
        <is>
          <t xml:space="preserve">   Sales-per-product index (1.00 in the launch month)</t>
        </is>
      </c>
      <c r="B21" s="9" t="inlineStr">
        <is>
          <t>index</t>
        </is>
      </c>
      <c r="C21" s="55">
        <f>IF(C20=0,0,1)</f>
        <v/>
      </c>
      <c r="D21" s="51">
        <f>IF(D20=0,0,IF(D$4=MAX('Assumptions'!$C$118,'Assumptions'!$C$9),1,C21*(1+CHOOSE(D$6,'Assumptions'!$C$119,'Assumptions'!$C$120,'Assumptions'!$C$121))))</f>
        <v/>
      </c>
      <c r="E21" s="51">
        <f>IF(E20=0,0,IF(E$4=MAX('Assumptions'!$C$118,'Assumptions'!$C$9),1,D21*(1+CHOOSE(E$6,'Assumptions'!$C$119,'Assumptions'!$C$120,'Assumptions'!$C$121))))</f>
        <v/>
      </c>
      <c r="F21" s="51">
        <f>IF(F20=0,0,IF(F$4=MAX('Assumptions'!$C$118,'Assumptions'!$C$9),1,E21*(1+CHOOSE(F$6,'Assumptions'!$C$119,'Assumptions'!$C$120,'Assumptions'!$C$121))))</f>
        <v/>
      </c>
      <c r="G21" s="51">
        <f>IF(G20=0,0,IF(G$4=MAX('Assumptions'!$C$118,'Assumptions'!$C$9),1,F21*(1+CHOOSE(G$6,'Assumptions'!$C$119,'Assumptions'!$C$120,'Assumptions'!$C$121))))</f>
        <v/>
      </c>
      <c r="H21" s="51">
        <f>IF(H20=0,0,IF(H$4=MAX('Assumptions'!$C$118,'Assumptions'!$C$9),1,G21*(1+CHOOSE(H$6,'Assumptions'!$C$119,'Assumptions'!$C$120,'Assumptions'!$C$121))))</f>
        <v/>
      </c>
      <c r="I21" s="51">
        <f>IF(I20=0,0,IF(I$4=MAX('Assumptions'!$C$118,'Assumptions'!$C$9),1,H21*(1+CHOOSE(I$6,'Assumptions'!$C$119,'Assumptions'!$C$120,'Assumptions'!$C$121))))</f>
        <v/>
      </c>
      <c r="J21" s="51">
        <f>IF(J20=0,0,IF(J$4=MAX('Assumptions'!$C$118,'Assumptions'!$C$9),1,I21*(1+CHOOSE(J$6,'Assumptions'!$C$119,'Assumptions'!$C$120,'Assumptions'!$C$121))))</f>
        <v/>
      </c>
      <c r="K21" s="51">
        <f>IF(K20=0,0,IF(K$4=MAX('Assumptions'!$C$118,'Assumptions'!$C$9),1,J21*(1+CHOOSE(K$6,'Assumptions'!$C$119,'Assumptions'!$C$120,'Assumptions'!$C$121))))</f>
        <v/>
      </c>
      <c r="L21" s="51">
        <f>IF(L20=0,0,IF(L$4=MAX('Assumptions'!$C$118,'Assumptions'!$C$9),1,K21*(1+CHOOSE(L$6,'Assumptions'!$C$119,'Assumptions'!$C$120,'Assumptions'!$C$121))))</f>
        <v/>
      </c>
      <c r="M21" s="51">
        <f>IF(M20=0,0,IF(M$4=MAX('Assumptions'!$C$118,'Assumptions'!$C$9),1,L21*(1+CHOOSE(M$6,'Assumptions'!$C$119,'Assumptions'!$C$120,'Assumptions'!$C$121))))</f>
        <v/>
      </c>
      <c r="N21" s="51">
        <f>IF(N20=0,0,IF(N$4=MAX('Assumptions'!$C$118,'Assumptions'!$C$9),1,M21*(1+CHOOSE(N$6,'Assumptions'!$C$119,'Assumptions'!$C$120,'Assumptions'!$C$121))))</f>
        <v/>
      </c>
      <c r="O21" s="51">
        <f>IF(O20=0,0,IF(O$4=MAX('Assumptions'!$C$118,'Assumptions'!$C$9),1,N21*(1+CHOOSE(O$6,'Assumptions'!$C$119,'Assumptions'!$C$120,'Assumptions'!$C$121))))</f>
        <v/>
      </c>
      <c r="P21" s="51">
        <f>IF(P20=0,0,IF(P$4=MAX('Assumptions'!$C$118,'Assumptions'!$C$9),1,O21*(1+CHOOSE(P$6,'Assumptions'!$C$119,'Assumptions'!$C$120,'Assumptions'!$C$121))))</f>
        <v/>
      </c>
      <c r="Q21" s="51">
        <f>IF(Q20=0,0,IF(Q$4=MAX('Assumptions'!$C$118,'Assumptions'!$C$9),1,P21*(1+CHOOSE(Q$6,'Assumptions'!$C$119,'Assumptions'!$C$120,'Assumptions'!$C$121))))</f>
        <v/>
      </c>
      <c r="R21" s="51">
        <f>IF(R20=0,0,IF(R$4=MAX('Assumptions'!$C$118,'Assumptions'!$C$9),1,Q21*(1+CHOOSE(R$6,'Assumptions'!$C$119,'Assumptions'!$C$120,'Assumptions'!$C$121))))</f>
        <v/>
      </c>
      <c r="S21" s="51">
        <f>IF(S20=0,0,IF(S$4=MAX('Assumptions'!$C$118,'Assumptions'!$C$9),1,R21*(1+CHOOSE(S$6,'Assumptions'!$C$119,'Assumptions'!$C$120,'Assumptions'!$C$121))))</f>
        <v/>
      </c>
      <c r="T21" s="51">
        <f>IF(T20=0,0,IF(T$4=MAX('Assumptions'!$C$118,'Assumptions'!$C$9),1,S21*(1+CHOOSE(T$6,'Assumptions'!$C$119,'Assumptions'!$C$120,'Assumptions'!$C$121))))</f>
        <v/>
      </c>
      <c r="U21" s="51">
        <f>IF(U20=0,0,IF(U$4=MAX('Assumptions'!$C$118,'Assumptions'!$C$9),1,T21*(1+CHOOSE(U$6,'Assumptions'!$C$119,'Assumptions'!$C$120,'Assumptions'!$C$121))))</f>
        <v/>
      </c>
      <c r="V21" s="51">
        <f>IF(V20=0,0,IF(V$4=MAX('Assumptions'!$C$118,'Assumptions'!$C$9),1,U21*(1+CHOOSE(V$6,'Assumptions'!$C$119,'Assumptions'!$C$120,'Assumptions'!$C$121))))</f>
        <v/>
      </c>
      <c r="W21" s="51">
        <f>IF(W20=0,0,IF(W$4=MAX('Assumptions'!$C$118,'Assumptions'!$C$9),1,V21*(1+CHOOSE(W$6,'Assumptions'!$C$119,'Assumptions'!$C$120,'Assumptions'!$C$121))))</f>
        <v/>
      </c>
      <c r="X21" s="51">
        <f>IF(X20=0,0,IF(X$4=MAX('Assumptions'!$C$118,'Assumptions'!$C$9),1,W21*(1+CHOOSE(X$6,'Assumptions'!$C$119,'Assumptions'!$C$120,'Assumptions'!$C$121))))</f>
        <v/>
      </c>
      <c r="Y21" s="51">
        <f>IF(Y20=0,0,IF(Y$4=MAX('Assumptions'!$C$118,'Assumptions'!$C$9),1,X21*(1+CHOOSE(Y$6,'Assumptions'!$C$119,'Assumptions'!$C$120,'Assumptions'!$C$121))))</f>
        <v/>
      </c>
      <c r="Z21" s="51">
        <f>IF(Z20=0,0,IF(Z$4=MAX('Assumptions'!$C$118,'Assumptions'!$C$9),1,Y21*(1+CHOOSE(Z$6,'Assumptions'!$C$119,'Assumptions'!$C$120,'Assumptions'!$C$121))))</f>
        <v/>
      </c>
      <c r="AA21" s="51">
        <f>IF(AA20=0,0,IF(AA$4=MAX('Assumptions'!$C$118,'Assumptions'!$C$9),1,Z21*(1+CHOOSE(AA$6,'Assumptions'!$C$119,'Assumptions'!$C$120,'Assumptions'!$C$121))))</f>
        <v/>
      </c>
      <c r="AB21" s="51">
        <f>IF(AB20=0,0,IF(AB$4=MAX('Assumptions'!$C$118,'Assumptions'!$C$9),1,AA21*(1+CHOOSE(AB$6,'Assumptions'!$C$119,'Assumptions'!$C$120,'Assumptions'!$C$121))))</f>
        <v/>
      </c>
      <c r="AC21" s="51">
        <f>IF(AC20=0,0,IF(AC$4=MAX('Assumptions'!$C$118,'Assumptions'!$C$9),1,AB21*(1+CHOOSE(AC$6,'Assumptions'!$C$119,'Assumptions'!$C$120,'Assumptions'!$C$121))))</f>
        <v/>
      </c>
      <c r="AD21" s="51">
        <f>IF(AD20=0,0,IF(AD$4=MAX('Assumptions'!$C$118,'Assumptions'!$C$9),1,AC21*(1+CHOOSE(AD$6,'Assumptions'!$C$119,'Assumptions'!$C$120,'Assumptions'!$C$121))))</f>
        <v/>
      </c>
      <c r="AE21" s="51">
        <f>IF(AE20=0,0,IF(AE$4=MAX('Assumptions'!$C$118,'Assumptions'!$C$9),1,AD21*(1+CHOOSE(AE$6,'Assumptions'!$C$119,'Assumptions'!$C$120,'Assumptions'!$C$121))))</f>
        <v/>
      </c>
      <c r="AF21" s="51">
        <f>IF(AF20=0,0,IF(AF$4=MAX('Assumptions'!$C$118,'Assumptions'!$C$9),1,AE21*(1+CHOOSE(AF$6,'Assumptions'!$C$119,'Assumptions'!$C$120,'Assumptions'!$C$121))))</f>
        <v/>
      </c>
      <c r="AG21" s="51">
        <f>IF(AG20=0,0,IF(AG$4=MAX('Assumptions'!$C$118,'Assumptions'!$C$9),1,AF21*(1+CHOOSE(AG$6,'Assumptions'!$C$119,'Assumptions'!$C$120,'Assumptions'!$C$121))))</f>
        <v/>
      </c>
      <c r="AH21" s="51">
        <f>IF(AH20=0,0,IF(AH$4=MAX('Assumptions'!$C$118,'Assumptions'!$C$9),1,AG21*(1+CHOOSE(AH$6,'Assumptions'!$C$119,'Assumptions'!$C$120,'Assumptions'!$C$121))))</f>
        <v/>
      </c>
      <c r="AI21" s="51">
        <f>IF(AI20=0,0,IF(AI$4=MAX('Assumptions'!$C$118,'Assumptions'!$C$9),1,AH21*(1+CHOOSE(AI$6,'Assumptions'!$C$119,'Assumptions'!$C$120,'Assumptions'!$C$121))))</f>
        <v/>
      </c>
      <c r="AJ21" s="51">
        <f>IF(AJ20=0,0,IF(AJ$4=MAX('Assumptions'!$C$118,'Assumptions'!$C$9),1,AI21*(1+CHOOSE(AJ$6,'Assumptions'!$C$119,'Assumptions'!$C$120,'Assumptions'!$C$121))))</f>
        <v/>
      </c>
      <c r="AK21" s="51">
        <f>IF(AK20=0,0,IF(AK$4=MAX('Assumptions'!$C$118,'Assumptions'!$C$9),1,AJ21*(1+CHOOSE(AK$6,'Assumptions'!$C$119,'Assumptions'!$C$120,'Assumptions'!$C$121))))</f>
        <v/>
      </c>
      <c r="AL21" s="51">
        <f>IF(AL20=0,0,IF(AL$4=MAX('Assumptions'!$C$118,'Assumptions'!$C$9),1,AK21*(1+CHOOSE(AL$6,'Assumptions'!$C$119,'Assumptions'!$C$120,'Assumptions'!$C$121))))</f>
        <v/>
      </c>
    </row>
    <row r="22">
      <c r="A22" s="7" t="inlineStr">
        <is>
          <t xml:space="preserve">   Product-months live (products x sales index x season)</t>
        </is>
      </c>
      <c r="B22" s="9" t="inlineStr">
        <is>
          <t>prod-mo</t>
        </is>
      </c>
      <c r="C22" s="56">
        <f>C18*C21*C$7</f>
        <v/>
      </c>
      <c r="D22" s="56">
        <f>D18*D21*D$7</f>
        <v/>
      </c>
      <c r="E22" s="56">
        <f>E18*E21*E$7</f>
        <v/>
      </c>
      <c r="F22" s="56">
        <f>F18*F21*F$7</f>
        <v/>
      </c>
      <c r="G22" s="56">
        <f>G18*G21*G$7</f>
        <v/>
      </c>
      <c r="H22" s="56">
        <f>H18*H21*H$7</f>
        <v/>
      </c>
      <c r="I22" s="56">
        <f>I18*I21*I$7</f>
        <v/>
      </c>
      <c r="J22" s="56">
        <f>J18*J21*J$7</f>
        <v/>
      </c>
      <c r="K22" s="56">
        <f>K18*K21*K$7</f>
        <v/>
      </c>
      <c r="L22" s="56">
        <f>L18*L21*L$7</f>
        <v/>
      </c>
      <c r="M22" s="56">
        <f>M18*M21*M$7</f>
        <v/>
      </c>
      <c r="N22" s="56">
        <f>N18*N21*N$7</f>
        <v/>
      </c>
      <c r="O22" s="56">
        <f>O18*O21*O$7</f>
        <v/>
      </c>
      <c r="P22" s="56">
        <f>P18*P21*P$7</f>
        <v/>
      </c>
      <c r="Q22" s="56">
        <f>Q18*Q21*Q$7</f>
        <v/>
      </c>
      <c r="R22" s="56">
        <f>R18*R21*R$7</f>
        <v/>
      </c>
      <c r="S22" s="56">
        <f>S18*S21*S$7</f>
        <v/>
      </c>
      <c r="T22" s="56">
        <f>T18*T21*T$7</f>
        <v/>
      </c>
      <c r="U22" s="56">
        <f>U18*U21*U$7</f>
        <v/>
      </c>
      <c r="V22" s="56">
        <f>V18*V21*V$7</f>
        <v/>
      </c>
      <c r="W22" s="56">
        <f>W18*W21*W$7</f>
        <v/>
      </c>
      <c r="X22" s="56">
        <f>X18*X21*X$7</f>
        <v/>
      </c>
      <c r="Y22" s="56">
        <f>Y18*Y21*Y$7</f>
        <v/>
      </c>
      <c r="Z22" s="56">
        <f>Z18*Z21*Z$7</f>
        <v/>
      </c>
      <c r="AA22" s="56">
        <f>AA18*AA21*AA$7</f>
        <v/>
      </c>
      <c r="AB22" s="56">
        <f>AB18*AB21*AB$7</f>
        <v/>
      </c>
      <c r="AC22" s="56">
        <f>AC18*AC21*AC$7</f>
        <v/>
      </c>
      <c r="AD22" s="56">
        <f>AD18*AD21*AD$7</f>
        <v/>
      </c>
      <c r="AE22" s="56">
        <f>AE18*AE21*AE$7</f>
        <v/>
      </c>
      <c r="AF22" s="56">
        <f>AF18*AF21*AF$7</f>
        <v/>
      </c>
      <c r="AG22" s="56">
        <f>AG18*AG21*AG$7</f>
        <v/>
      </c>
      <c r="AH22" s="56">
        <f>AH18*AH21*AH$7</f>
        <v/>
      </c>
      <c r="AI22" s="56">
        <f>AI18*AI21*AI$7</f>
        <v/>
      </c>
      <c r="AJ22" s="56">
        <f>AJ18*AJ21*AJ$7</f>
        <v/>
      </c>
      <c r="AK22" s="56">
        <f>AK18*AK21*AK$7</f>
        <v/>
      </c>
      <c r="AL22" s="56">
        <f>AL18*AL21*AL$7</f>
        <v/>
      </c>
      <c r="AM22" s="57">
        <f>SUMIF($C$6:$AL$6,1,C22:AL22)</f>
        <v/>
      </c>
      <c r="AN22" s="57">
        <f>SUMIF($C$6:$AL$6,2,C22:AL22)</f>
        <v/>
      </c>
      <c r="AO22" s="57">
        <f>SUMIF($C$6:$AL$6,3,C22:AL22)</f>
        <v/>
      </c>
      <c r="AP22" s="57">
        <f>SUM(C22:AL22)</f>
        <v/>
      </c>
    </row>
    <row r="23">
      <c r="A23" s="7" t="inlineStr">
        <is>
          <t xml:space="preserve">   Orders per product per month (with review ramp)</t>
        </is>
      </c>
      <c r="B23" s="9" t="inlineStr">
        <is>
          <t>orders</t>
        </is>
      </c>
      <c r="C23" s="51">
        <f>'Assumptions'!$C$122*MIN(1,(C$4-MAX('Assumptions'!$C$118,'Assumptions'!$C$9)+1)/'Assumptions'!$C$11)*C20</f>
        <v/>
      </c>
      <c r="D23" s="51">
        <f>'Assumptions'!$C$122*MIN(1,(D$4-MAX('Assumptions'!$C$118,'Assumptions'!$C$9)+1)/'Assumptions'!$C$11)*D20</f>
        <v/>
      </c>
      <c r="E23" s="51">
        <f>'Assumptions'!$C$122*MIN(1,(E$4-MAX('Assumptions'!$C$118,'Assumptions'!$C$9)+1)/'Assumptions'!$C$11)*E20</f>
        <v/>
      </c>
      <c r="F23" s="51">
        <f>'Assumptions'!$C$122*MIN(1,(F$4-MAX('Assumptions'!$C$118,'Assumptions'!$C$9)+1)/'Assumptions'!$C$11)*F20</f>
        <v/>
      </c>
      <c r="G23" s="51">
        <f>'Assumptions'!$C$122*MIN(1,(G$4-MAX('Assumptions'!$C$118,'Assumptions'!$C$9)+1)/'Assumptions'!$C$11)*G20</f>
        <v/>
      </c>
      <c r="H23" s="51">
        <f>'Assumptions'!$C$122*MIN(1,(H$4-MAX('Assumptions'!$C$118,'Assumptions'!$C$9)+1)/'Assumptions'!$C$11)*H20</f>
        <v/>
      </c>
      <c r="I23" s="51">
        <f>'Assumptions'!$C$122*MIN(1,(I$4-MAX('Assumptions'!$C$118,'Assumptions'!$C$9)+1)/'Assumptions'!$C$11)*I20</f>
        <v/>
      </c>
      <c r="J23" s="51">
        <f>'Assumptions'!$C$122*MIN(1,(J$4-MAX('Assumptions'!$C$118,'Assumptions'!$C$9)+1)/'Assumptions'!$C$11)*J20</f>
        <v/>
      </c>
      <c r="K23" s="51">
        <f>'Assumptions'!$C$122*MIN(1,(K$4-MAX('Assumptions'!$C$118,'Assumptions'!$C$9)+1)/'Assumptions'!$C$11)*K20</f>
        <v/>
      </c>
      <c r="L23" s="51">
        <f>'Assumptions'!$C$122*MIN(1,(L$4-MAX('Assumptions'!$C$118,'Assumptions'!$C$9)+1)/'Assumptions'!$C$11)*L20</f>
        <v/>
      </c>
      <c r="M23" s="51">
        <f>'Assumptions'!$C$122*MIN(1,(M$4-MAX('Assumptions'!$C$118,'Assumptions'!$C$9)+1)/'Assumptions'!$C$11)*M20</f>
        <v/>
      </c>
      <c r="N23" s="51">
        <f>'Assumptions'!$C$122*MIN(1,(N$4-MAX('Assumptions'!$C$118,'Assumptions'!$C$9)+1)/'Assumptions'!$C$11)*N20</f>
        <v/>
      </c>
      <c r="O23" s="51">
        <f>'Assumptions'!$C$122*MIN(1,(O$4-MAX('Assumptions'!$C$118,'Assumptions'!$C$9)+1)/'Assumptions'!$C$11)*O20</f>
        <v/>
      </c>
      <c r="P23" s="51">
        <f>'Assumptions'!$C$122*MIN(1,(P$4-MAX('Assumptions'!$C$118,'Assumptions'!$C$9)+1)/'Assumptions'!$C$11)*P20</f>
        <v/>
      </c>
      <c r="Q23" s="51">
        <f>'Assumptions'!$C$122*MIN(1,(Q$4-MAX('Assumptions'!$C$118,'Assumptions'!$C$9)+1)/'Assumptions'!$C$11)*Q20</f>
        <v/>
      </c>
      <c r="R23" s="51">
        <f>'Assumptions'!$C$122*MIN(1,(R$4-MAX('Assumptions'!$C$118,'Assumptions'!$C$9)+1)/'Assumptions'!$C$11)*R20</f>
        <v/>
      </c>
      <c r="S23" s="51">
        <f>'Assumptions'!$C$122*MIN(1,(S$4-MAX('Assumptions'!$C$118,'Assumptions'!$C$9)+1)/'Assumptions'!$C$11)*S20</f>
        <v/>
      </c>
      <c r="T23" s="51">
        <f>'Assumptions'!$C$122*MIN(1,(T$4-MAX('Assumptions'!$C$118,'Assumptions'!$C$9)+1)/'Assumptions'!$C$11)*T20</f>
        <v/>
      </c>
      <c r="U23" s="51">
        <f>'Assumptions'!$C$122*MIN(1,(U$4-MAX('Assumptions'!$C$118,'Assumptions'!$C$9)+1)/'Assumptions'!$C$11)*U20</f>
        <v/>
      </c>
      <c r="V23" s="51">
        <f>'Assumptions'!$C$122*MIN(1,(V$4-MAX('Assumptions'!$C$118,'Assumptions'!$C$9)+1)/'Assumptions'!$C$11)*V20</f>
        <v/>
      </c>
      <c r="W23" s="51">
        <f>'Assumptions'!$C$122*MIN(1,(W$4-MAX('Assumptions'!$C$118,'Assumptions'!$C$9)+1)/'Assumptions'!$C$11)*W20</f>
        <v/>
      </c>
      <c r="X23" s="51">
        <f>'Assumptions'!$C$122*MIN(1,(X$4-MAX('Assumptions'!$C$118,'Assumptions'!$C$9)+1)/'Assumptions'!$C$11)*X20</f>
        <v/>
      </c>
      <c r="Y23" s="51">
        <f>'Assumptions'!$C$122*MIN(1,(Y$4-MAX('Assumptions'!$C$118,'Assumptions'!$C$9)+1)/'Assumptions'!$C$11)*Y20</f>
        <v/>
      </c>
      <c r="Z23" s="51">
        <f>'Assumptions'!$C$122*MIN(1,(Z$4-MAX('Assumptions'!$C$118,'Assumptions'!$C$9)+1)/'Assumptions'!$C$11)*Z20</f>
        <v/>
      </c>
      <c r="AA23" s="51">
        <f>'Assumptions'!$C$122*MIN(1,(AA$4-MAX('Assumptions'!$C$118,'Assumptions'!$C$9)+1)/'Assumptions'!$C$11)*AA20</f>
        <v/>
      </c>
      <c r="AB23" s="51">
        <f>'Assumptions'!$C$122*MIN(1,(AB$4-MAX('Assumptions'!$C$118,'Assumptions'!$C$9)+1)/'Assumptions'!$C$11)*AB20</f>
        <v/>
      </c>
      <c r="AC23" s="51">
        <f>'Assumptions'!$C$122*MIN(1,(AC$4-MAX('Assumptions'!$C$118,'Assumptions'!$C$9)+1)/'Assumptions'!$C$11)*AC20</f>
        <v/>
      </c>
      <c r="AD23" s="51">
        <f>'Assumptions'!$C$122*MIN(1,(AD$4-MAX('Assumptions'!$C$118,'Assumptions'!$C$9)+1)/'Assumptions'!$C$11)*AD20</f>
        <v/>
      </c>
      <c r="AE23" s="51">
        <f>'Assumptions'!$C$122*MIN(1,(AE$4-MAX('Assumptions'!$C$118,'Assumptions'!$C$9)+1)/'Assumptions'!$C$11)*AE20</f>
        <v/>
      </c>
      <c r="AF23" s="51">
        <f>'Assumptions'!$C$122*MIN(1,(AF$4-MAX('Assumptions'!$C$118,'Assumptions'!$C$9)+1)/'Assumptions'!$C$11)*AF20</f>
        <v/>
      </c>
      <c r="AG23" s="51">
        <f>'Assumptions'!$C$122*MIN(1,(AG$4-MAX('Assumptions'!$C$118,'Assumptions'!$C$9)+1)/'Assumptions'!$C$11)*AG20</f>
        <v/>
      </c>
      <c r="AH23" s="51">
        <f>'Assumptions'!$C$122*MIN(1,(AH$4-MAX('Assumptions'!$C$118,'Assumptions'!$C$9)+1)/'Assumptions'!$C$11)*AH20</f>
        <v/>
      </c>
      <c r="AI23" s="51">
        <f>'Assumptions'!$C$122*MIN(1,(AI$4-MAX('Assumptions'!$C$118,'Assumptions'!$C$9)+1)/'Assumptions'!$C$11)*AI20</f>
        <v/>
      </c>
      <c r="AJ23" s="51">
        <f>'Assumptions'!$C$122*MIN(1,(AJ$4-MAX('Assumptions'!$C$118,'Assumptions'!$C$9)+1)/'Assumptions'!$C$11)*AJ20</f>
        <v/>
      </c>
      <c r="AK23" s="51">
        <f>'Assumptions'!$C$122*MIN(1,(AK$4-MAX('Assumptions'!$C$118,'Assumptions'!$C$9)+1)/'Assumptions'!$C$11)*AK20</f>
        <v/>
      </c>
      <c r="AL23" s="51">
        <f>'Assumptions'!$C$122*MIN(1,(AL$4-MAX('Assumptions'!$C$118,'Assumptions'!$C$9)+1)/'Assumptions'!$C$11)*AL20</f>
        <v/>
      </c>
    </row>
    <row r="24">
      <c r="A24" s="7" t="inlineStr">
        <is>
          <t xml:space="preserve">   Orders</t>
        </is>
      </c>
      <c r="B24" s="9" t="inlineStr">
        <is>
          <t>orders</t>
        </is>
      </c>
      <c r="C24" s="56">
        <f>C22*C23</f>
        <v/>
      </c>
      <c r="D24" s="56">
        <f>D22*D23</f>
        <v/>
      </c>
      <c r="E24" s="56">
        <f>E22*E23</f>
        <v/>
      </c>
      <c r="F24" s="56">
        <f>F22*F23</f>
        <v/>
      </c>
      <c r="G24" s="56">
        <f>G22*G23</f>
        <v/>
      </c>
      <c r="H24" s="56">
        <f>H22*H23</f>
        <v/>
      </c>
      <c r="I24" s="56">
        <f>I22*I23</f>
        <v/>
      </c>
      <c r="J24" s="56">
        <f>J22*J23</f>
        <v/>
      </c>
      <c r="K24" s="56">
        <f>K22*K23</f>
        <v/>
      </c>
      <c r="L24" s="56">
        <f>L22*L23</f>
        <v/>
      </c>
      <c r="M24" s="56">
        <f>M22*M23</f>
        <v/>
      </c>
      <c r="N24" s="56">
        <f>N22*N23</f>
        <v/>
      </c>
      <c r="O24" s="56">
        <f>O22*O23</f>
        <v/>
      </c>
      <c r="P24" s="56">
        <f>P22*P23</f>
        <v/>
      </c>
      <c r="Q24" s="56">
        <f>Q22*Q23</f>
        <v/>
      </c>
      <c r="R24" s="56">
        <f>R22*R23</f>
        <v/>
      </c>
      <c r="S24" s="56">
        <f>S22*S23</f>
        <v/>
      </c>
      <c r="T24" s="56">
        <f>T22*T23</f>
        <v/>
      </c>
      <c r="U24" s="56">
        <f>U22*U23</f>
        <v/>
      </c>
      <c r="V24" s="56">
        <f>V22*V23</f>
        <v/>
      </c>
      <c r="W24" s="56">
        <f>W22*W23</f>
        <v/>
      </c>
      <c r="X24" s="56">
        <f>X22*X23</f>
        <v/>
      </c>
      <c r="Y24" s="56">
        <f>Y22*Y23</f>
        <v/>
      </c>
      <c r="Z24" s="56">
        <f>Z22*Z23</f>
        <v/>
      </c>
      <c r="AA24" s="56">
        <f>AA22*AA23</f>
        <v/>
      </c>
      <c r="AB24" s="56">
        <f>AB22*AB23</f>
        <v/>
      </c>
      <c r="AC24" s="56">
        <f>AC22*AC23</f>
        <v/>
      </c>
      <c r="AD24" s="56">
        <f>AD22*AD23</f>
        <v/>
      </c>
      <c r="AE24" s="56">
        <f>AE22*AE23</f>
        <v/>
      </c>
      <c r="AF24" s="56">
        <f>AF22*AF23</f>
        <v/>
      </c>
      <c r="AG24" s="56">
        <f>AG22*AG23</f>
        <v/>
      </c>
      <c r="AH24" s="56">
        <f>AH22*AH23</f>
        <v/>
      </c>
      <c r="AI24" s="56">
        <f>AI22*AI23</f>
        <v/>
      </c>
      <c r="AJ24" s="56">
        <f>AJ22*AJ23</f>
        <v/>
      </c>
      <c r="AK24" s="56">
        <f>AK22*AK23</f>
        <v/>
      </c>
      <c r="AL24" s="56">
        <f>AL22*AL23</f>
        <v/>
      </c>
      <c r="AM24" s="57">
        <f>SUMIF($C$6:$AL$6,1,C24:AL24)</f>
        <v/>
      </c>
      <c r="AN24" s="57">
        <f>SUMIF($C$6:$AL$6,2,C24:AL24)</f>
        <v/>
      </c>
      <c r="AO24" s="57">
        <f>SUMIF($C$6:$AL$6,3,C24:AL24)</f>
        <v/>
      </c>
      <c r="AP24" s="57">
        <f>SUM(C24:AL24)</f>
        <v/>
      </c>
    </row>
    <row r="25">
      <c r="A25" s="7" t="inlineStr">
        <is>
          <t xml:space="preserve">   Items sold</t>
        </is>
      </c>
      <c r="B25" s="9" t="inlineStr">
        <is>
          <t>items</t>
        </is>
      </c>
      <c r="C25" s="14">
        <f>C24*'Assumptions'!$C$123</f>
        <v/>
      </c>
      <c r="D25" s="14">
        <f>D24*'Assumptions'!$C$123</f>
        <v/>
      </c>
      <c r="E25" s="14">
        <f>E24*'Assumptions'!$C$123</f>
        <v/>
      </c>
      <c r="F25" s="14">
        <f>F24*'Assumptions'!$C$123</f>
        <v/>
      </c>
      <c r="G25" s="14">
        <f>G24*'Assumptions'!$C$123</f>
        <v/>
      </c>
      <c r="H25" s="14">
        <f>H24*'Assumptions'!$C$123</f>
        <v/>
      </c>
      <c r="I25" s="14">
        <f>I24*'Assumptions'!$C$123</f>
        <v/>
      </c>
      <c r="J25" s="14">
        <f>J24*'Assumptions'!$C$123</f>
        <v/>
      </c>
      <c r="K25" s="14">
        <f>K24*'Assumptions'!$C$123</f>
        <v/>
      </c>
      <c r="L25" s="14">
        <f>L24*'Assumptions'!$C$123</f>
        <v/>
      </c>
      <c r="M25" s="14">
        <f>M24*'Assumptions'!$C$123</f>
        <v/>
      </c>
      <c r="N25" s="14">
        <f>N24*'Assumptions'!$C$123</f>
        <v/>
      </c>
      <c r="O25" s="14">
        <f>O24*'Assumptions'!$C$123</f>
        <v/>
      </c>
      <c r="P25" s="14">
        <f>P24*'Assumptions'!$C$123</f>
        <v/>
      </c>
      <c r="Q25" s="14">
        <f>Q24*'Assumptions'!$C$123</f>
        <v/>
      </c>
      <c r="R25" s="14">
        <f>R24*'Assumptions'!$C$123</f>
        <v/>
      </c>
      <c r="S25" s="14">
        <f>S24*'Assumptions'!$C$123</f>
        <v/>
      </c>
      <c r="T25" s="14">
        <f>T24*'Assumptions'!$C$123</f>
        <v/>
      </c>
      <c r="U25" s="14">
        <f>U24*'Assumptions'!$C$123</f>
        <v/>
      </c>
      <c r="V25" s="14">
        <f>V24*'Assumptions'!$C$123</f>
        <v/>
      </c>
      <c r="W25" s="14">
        <f>W24*'Assumptions'!$C$123</f>
        <v/>
      </c>
      <c r="X25" s="14">
        <f>X24*'Assumptions'!$C$123</f>
        <v/>
      </c>
      <c r="Y25" s="14">
        <f>Y24*'Assumptions'!$C$123</f>
        <v/>
      </c>
      <c r="Z25" s="14">
        <f>Z24*'Assumptions'!$C$123</f>
        <v/>
      </c>
      <c r="AA25" s="14">
        <f>AA24*'Assumptions'!$C$123</f>
        <v/>
      </c>
      <c r="AB25" s="14">
        <f>AB24*'Assumptions'!$C$123</f>
        <v/>
      </c>
      <c r="AC25" s="14">
        <f>AC24*'Assumptions'!$C$123</f>
        <v/>
      </c>
      <c r="AD25" s="14">
        <f>AD24*'Assumptions'!$C$123</f>
        <v/>
      </c>
      <c r="AE25" s="14">
        <f>AE24*'Assumptions'!$C$123</f>
        <v/>
      </c>
      <c r="AF25" s="14">
        <f>AF24*'Assumptions'!$C$123</f>
        <v/>
      </c>
      <c r="AG25" s="14">
        <f>AG24*'Assumptions'!$C$123</f>
        <v/>
      </c>
      <c r="AH25" s="14">
        <f>AH24*'Assumptions'!$C$123</f>
        <v/>
      </c>
      <c r="AI25" s="14">
        <f>AI24*'Assumptions'!$C$123</f>
        <v/>
      </c>
      <c r="AJ25" s="14">
        <f>AJ24*'Assumptions'!$C$123</f>
        <v/>
      </c>
      <c r="AK25" s="14">
        <f>AK24*'Assumptions'!$C$123</f>
        <v/>
      </c>
      <c r="AL25" s="14">
        <f>AL24*'Assumptions'!$C$123</f>
        <v/>
      </c>
      <c r="AM25" s="57">
        <f>SUMIF($C$6:$AL$6,1,C25:AL25)</f>
        <v/>
      </c>
      <c r="AN25" s="57">
        <f>SUMIF($C$6:$AL$6,2,C25:AL25)</f>
        <v/>
      </c>
      <c r="AO25" s="57">
        <f>SUMIF($C$6:$AL$6,3,C25:AL25)</f>
        <v/>
      </c>
      <c r="AP25" s="57">
        <f>SUM(C25:AL25)</f>
        <v/>
      </c>
    </row>
    <row r="26">
      <c r="A26" s="7" t="inlineStr">
        <is>
          <t xml:space="preserve">   Average order value</t>
        </is>
      </c>
      <c r="B26" s="9" t="inlineStr">
        <is>
          <t>$</t>
        </is>
      </c>
      <c r="C26" s="16">
        <f>'Unit Economics'!$E$49*'Assumptions'!$C$123*C20</f>
        <v/>
      </c>
      <c r="D26" s="16">
        <f>'Unit Economics'!$E$49*'Assumptions'!$C$123*D20</f>
        <v/>
      </c>
      <c r="E26" s="16">
        <f>'Unit Economics'!$E$49*'Assumptions'!$C$123*E20</f>
        <v/>
      </c>
      <c r="F26" s="16">
        <f>'Unit Economics'!$E$49*'Assumptions'!$C$123*F20</f>
        <v/>
      </c>
      <c r="G26" s="16">
        <f>'Unit Economics'!$E$49*'Assumptions'!$C$123*G20</f>
        <v/>
      </c>
      <c r="H26" s="16">
        <f>'Unit Economics'!$E$49*'Assumptions'!$C$123*H20</f>
        <v/>
      </c>
      <c r="I26" s="16">
        <f>'Unit Economics'!$E$49*'Assumptions'!$C$123*I20</f>
        <v/>
      </c>
      <c r="J26" s="16">
        <f>'Unit Economics'!$E$49*'Assumptions'!$C$123*J20</f>
        <v/>
      </c>
      <c r="K26" s="16">
        <f>'Unit Economics'!$E$49*'Assumptions'!$C$123*K20</f>
        <v/>
      </c>
      <c r="L26" s="16">
        <f>'Unit Economics'!$E$49*'Assumptions'!$C$123*L20</f>
        <v/>
      </c>
      <c r="M26" s="16">
        <f>'Unit Economics'!$E$49*'Assumptions'!$C$123*M20</f>
        <v/>
      </c>
      <c r="N26" s="16">
        <f>'Unit Economics'!$E$49*'Assumptions'!$C$123*N20</f>
        <v/>
      </c>
      <c r="O26" s="16">
        <f>'Unit Economics'!$E$49*'Assumptions'!$C$123*O20</f>
        <v/>
      </c>
      <c r="P26" s="16">
        <f>'Unit Economics'!$E$49*'Assumptions'!$C$123*P20</f>
        <v/>
      </c>
      <c r="Q26" s="16">
        <f>'Unit Economics'!$E$49*'Assumptions'!$C$123*Q20</f>
        <v/>
      </c>
      <c r="R26" s="16">
        <f>'Unit Economics'!$E$49*'Assumptions'!$C$123*R20</f>
        <v/>
      </c>
      <c r="S26" s="16">
        <f>'Unit Economics'!$E$49*'Assumptions'!$C$123*S20</f>
        <v/>
      </c>
      <c r="T26" s="16">
        <f>'Unit Economics'!$E$49*'Assumptions'!$C$123*T20</f>
        <v/>
      </c>
      <c r="U26" s="16">
        <f>'Unit Economics'!$E$49*'Assumptions'!$C$123*U20</f>
        <v/>
      </c>
      <c r="V26" s="16">
        <f>'Unit Economics'!$E$49*'Assumptions'!$C$123*V20</f>
        <v/>
      </c>
      <c r="W26" s="16">
        <f>'Unit Economics'!$E$49*'Assumptions'!$C$123*W20</f>
        <v/>
      </c>
      <c r="X26" s="16">
        <f>'Unit Economics'!$E$49*'Assumptions'!$C$123*X20</f>
        <v/>
      </c>
      <c r="Y26" s="16">
        <f>'Unit Economics'!$E$49*'Assumptions'!$C$123*Y20</f>
        <v/>
      </c>
      <c r="Z26" s="16">
        <f>'Unit Economics'!$E$49*'Assumptions'!$C$123*Z20</f>
        <v/>
      </c>
      <c r="AA26" s="16">
        <f>'Unit Economics'!$E$49*'Assumptions'!$C$123*AA20</f>
        <v/>
      </c>
      <c r="AB26" s="16">
        <f>'Unit Economics'!$E$49*'Assumptions'!$C$123*AB20</f>
        <v/>
      </c>
      <c r="AC26" s="16">
        <f>'Unit Economics'!$E$49*'Assumptions'!$C$123*AC20</f>
        <v/>
      </c>
      <c r="AD26" s="16">
        <f>'Unit Economics'!$E$49*'Assumptions'!$C$123*AD20</f>
        <v/>
      </c>
      <c r="AE26" s="16">
        <f>'Unit Economics'!$E$49*'Assumptions'!$C$123*AE20</f>
        <v/>
      </c>
      <c r="AF26" s="16">
        <f>'Unit Economics'!$E$49*'Assumptions'!$C$123*AF20</f>
        <v/>
      </c>
      <c r="AG26" s="16">
        <f>'Unit Economics'!$E$49*'Assumptions'!$C$123*AG20</f>
        <v/>
      </c>
      <c r="AH26" s="16">
        <f>'Unit Economics'!$E$49*'Assumptions'!$C$123*AH20</f>
        <v/>
      </c>
      <c r="AI26" s="16">
        <f>'Unit Economics'!$E$49*'Assumptions'!$C$123*AI20</f>
        <v/>
      </c>
      <c r="AJ26" s="16">
        <f>'Unit Economics'!$E$49*'Assumptions'!$C$123*AJ20</f>
        <v/>
      </c>
      <c r="AK26" s="16">
        <f>'Unit Economics'!$E$49*'Assumptions'!$C$123*AK20</f>
        <v/>
      </c>
      <c r="AL26" s="16">
        <f>'Unit Economics'!$E$49*'Assumptions'!$C$123*AL20</f>
        <v/>
      </c>
    </row>
    <row r="27">
      <c r="A27" s="7" t="inlineStr">
        <is>
          <t xml:space="preserve">   Gross sales (price paid by customers)</t>
        </is>
      </c>
      <c r="B27" s="9" t="inlineStr">
        <is>
          <t>$</t>
        </is>
      </c>
      <c r="C27" s="8">
        <f>C25*'Unit Economics'!$E$49</f>
        <v/>
      </c>
      <c r="D27" s="8">
        <f>D25*'Unit Economics'!$E$49</f>
        <v/>
      </c>
      <c r="E27" s="8">
        <f>E25*'Unit Economics'!$E$49</f>
        <v/>
      </c>
      <c r="F27" s="8">
        <f>F25*'Unit Economics'!$E$49</f>
        <v/>
      </c>
      <c r="G27" s="8">
        <f>G25*'Unit Economics'!$E$49</f>
        <v/>
      </c>
      <c r="H27" s="8">
        <f>H25*'Unit Economics'!$E$49</f>
        <v/>
      </c>
      <c r="I27" s="8">
        <f>I25*'Unit Economics'!$E$49</f>
        <v/>
      </c>
      <c r="J27" s="8">
        <f>J25*'Unit Economics'!$E$49</f>
        <v/>
      </c>
      <c r="K27" s="8">
        <f>K25*'Unit Economics'!$E$49</f>
        <v/>
      </c>
      <c r="L27" s="8">
        <f>L25*'Unit Economics'!$E$49</f>
        <v/>
      </c>
      <c r="M27" s="8">
        <f>M25*'Unit Economics'!$E$49</f>
        <v/>
      </c>
      <c r="N27" s="8">
        <f>N25*'Unit Economics'!$E$49</f>
        <v/>
      </c>
      <c r="O27" s="8">
        <f>O25*'Unit Economics'!$E$49</f>
        <v/>
      </c>
      <c r="P27" s="8">
        <f>P25*'Unit Economics'!$E$49</f>
        <v/>
      </c>
      <c r="Q27" s="8">
        <f>Q25*'Unit Economics'!$E$49</f>
        <v/>
      </c>
      <c r="R27" s="8">
        <f>R25*'Unit Economics'!$E$49</f>
        <v/>
      </c>
      <c r="S27" s="8">
        <f>S25*'Unit Economics'!$E$49</f>
        <v/>
      </c>
      <c r="T27" s="8">
        <f>T25*'Unit Economics'!$E$49</f>
        <v/>
      </c>
      <c r="U27" s="8">
        <f>U25*'Unit Economics'!$E$49</f>
        <v/>
      </c>
      <c r="V27" s="8">
        <f>V25*'Unit Economics'!$E$49</f>
        <v/>
      </c>
      <c r="W27" s="8">
        <f>W25*'Unit Economics'!$E$49</f>
        <v/>
      </c>
      <c r="X27" s="8">
        <f>X25*'Unit Economics'!$E$49</f>
        <v/>
      </c>
      <c r="Y27" s="8">
        <f>Y25*'Unit Economics'!$E$49</f>
        <v/>
      </c>
      <c r="Z27" s="8">
        <f>Z25*'Unit Economics'!$E$49</f>
        <v/>
      </c>
      <c r="AA27" s="8">
        <f>AA25*'Unit Economics'!$E$49</f>
        <v/>
      </c>
      <c r="AB27" s="8">
        <f>AB25*'Unit Economics'!$E$49</f>
        <v/>
      </c>
      <c r="AC27" s="8">
        <f>AC25*'Unit Economics'!$E$49</f>
        <v/>
      </c>
      <c r="AD27" s="8">
        <f>AD25*'Unit Economics'!$E$49</f>
        <v/>
      </c>
      <c r="AE27" s="8">
        <f>AE25*'Unit Economics'!$E$49</f>
        <v/>
      </c>
      <c r="AF27" s="8">
        <f>AF25*'Unit Economics'!$E$49</f>
        <v/>
      </c>
      <c r="AG27" s="8">
        <f>AG25*'Unit Economics'!$E$49</f>
        <v/>
      </c>
      <c r="AH27" s="8">
        <f>AH25*'Unit Economics'!$E$49</f>
        <v/>
      </c>
      <c r="AI27" s="8">
        <f>AI25*'Unit Economics'!$E$49</f>
        <v/>
      </c>
      <c r="AJ27" s="8">
        <f>AJ25*'Unit Economics'!$E$49</f>
        <v/>
      </c>
      <c r="AK27" s="8">
        <f>AK25*'Unit Economics'!$E$49</f>
        <v/>
      </c>
      <c r="AL27" s="8">
        <f>AL25*'Unit Economics'!$E$49</f>
        <v/>
      </c>
      <c r="AM27" s="47">
        <f>SUMIF($C$6:$AL$6,1,C27:AL27)</f>
        <v/>
      </c>
      <c r="AN27" s="47">
        <f>SUMIF($C$6:$AL$6,2,C27:AL27)</f>
        <v/>
      </c>
      <c r="AO27" s="47">
        <f>SUMIF($C$6:$AL$6,3,C27:AL27)</f>
        <v/>
      </c>
      <c r="AP27" s="47">
        <f>SUM(C27:AL27)</f>
        <v/>
      </c>
    </row>
    <row r="28">
      <c r="A28" s="7" t="inlineStr">
        <is>
          <t xml:space="preserve">   Net contribution to AlphaPlay</t>
        </is>
      </c>
      <c r="B28" s="9" t="inlineStr">
        <is>
          <t>$</t>
        </is>
      </c>
      <c r="C28" s="8">
        <f>C25*'Unit Economics'!$F$49</f>
        <v/>
      </c>
      <c r="D28" s="8">
        <f>D25*'Unit Economics'!$F$49</f>
        <v/>
      </c>
      <c r="E28" s="8">
        <f>E25*'Unit Economics'!$F$49</f>
        <v/>
      </c>
      <c r="F28" s="8">
        <f>F25*'Unit Economics'!$F$49</f>
        <v/>
      </c>
      <c r="G28" s="8">
        <f>G25*'Unit Economics'!$F$49</f>
        <v/>
      </c>
      <c r="H28" s="8">
        <f>H25*'Unit Economics'!$F$49</f>
        <v/>
      </c>
      <c r="I28" s="8">
        <f>I25*'Unit Economics'!$F$49</f>
        <v/>
      </c>
      <c r="J28" s="8">
        <f>J25*'Unit Economics'!$F$49</f>
        <v/>
      </c>
      <c r="K28" s="8">
        <f>K25*'Unit Economics'!$F$49</f>
        <v/>
      </c>
      <c r="L28" s="8">
        <f>L25*'Unit Economics'!$F$49</f>
        <v/>
      </c>
      <c r="M28" s="8">
        <f>M25*'Unit Economics'!$F$49</f>
        <v/>
      </c>
      <c r="N28" s="8">
        <f>N25*'Unit Economics'!$F$49</f>
        <v/>
      </c>
      <c r="O28" s="8">
        <f>O25*'Unit Economics'!$F$49</f>
        <v/>
      </c>
      <c r="P28" s="8">
        <f>P25*'Unit Economics'!$F$49</f>
        <v/>
      </c>
      <c r="Q28" s="8">
        <f>Q25*'Unit Economics'!$F$49</f>
        <v/>
      </c>
      <c r="R28" s="8">
        <f>R25*'Unit Economics'!$F$49</f>
        <v/>
      </c>
      <c r="S28" s="8">
        <f>S25*'Unit Economics'!$F$49</f>
        <v/>
      </c>
      <c r="T28" s="8">
        <f>T25*'Unit Economics'!$F$49</f>
        <v/>
      </c>
      <c r="U28" s="8">
        <f>U25*'Unit Economics'!$F$49</f>
        <v/>
      </c>
      <c r="V28" s="8">
        <f>V25*'Unit Economics'!$F$49</f>
        <v/>
      </c>
      <c r="W28" s="8">
        <f>W25*'Unit Economics'!$F$49</f>
        <v/>
      </c>
      <c r="X28" s="8">
        <f>X25*'Unit Economics'!$F$49</f>
        <v/>
      </c>
      <c r="Y28" s="8">
        <f>Y25*'Unit Economics'!$F$49</f>
        <v/>
      </c>
      <c r="Z28" s="8">
        <f>Z25*'Unit Economics'!$F$49</f>
        <v/>
      </c>
      <c r="AA28" s="8">
        <f>AA25*'Unit Economics'!$F$49</f>
        <v/>
      </c>
      <c r="AB28" s="8">
        <f>AB25*'Unit Economics'!$F$49</f>
        <v/>
      </c>
      <c r="AC28" s="8">
        <f>AC25*'Unit Economics'!$F$49</f>
        <v/>
      </c>
      <c r="AD28" s="8">
        <f>AD25*'Unit Economics'!$F$49</f>
        <v/>
      </c>
      <c r="AE28" s="8">
        <f>AE25*'Unit Economics'!$F$49</f>
        <v/>
      </c>
      <c r="AF28" s="8">
        <f>AF25*'Unit Economics'!$F$49</f>
        <v/>
      </c>
      <c r="AG28" s="8">
        <f>AG25*'Unit Economics'!$F$49</f>
        <v/>
      </c>
      <c r="AH28" s="8">
        <f>AH25*'Unit Economics'!$F$49</f>
        <v/>
      </c>
      <c r="AI28" s="8">
        <f>AI25*'Unit Economics'!$F$49</f>
        <v/>
      </c>
      <c r="AJ28" s="8">
        <f>AJ25*'Unit Economics'!$F$49</f>
        <v/>
      </c>
      <c r="AK28" s="8">
        <f>AK25*'Unit Economics'!$F$49</f>
        <v/>
      </c>
      <c r="AL28" s="8">
        <f>AL25*'Unit Economics'!$F$49</f>
        <v/>
      </c>
      <c r="AM28" s="47">
        <f>SUMIF($C$6:$AL$6,1,C28:AL28)</f>
        <v/>
      </c>
      <c r="AN28" s="47">
        <f>SUMIF($C$6:$AL$6,2,C28:AL28)</f>
        <v/>
      </c>
      <c r="AO28" s="47">
        <f>SUMIF($C$6:$AL$6,3,C28:AL28)</f>
        <v/>
      </c>
      <c r="AP28" s="47">
        <f>SUM(C28:AL28)</f>
        <v/>
      </c>
    </row>
    <row r="29">
      <c r="A29" s="5" t="inlineStr">
        <is>
          <t>Etsy: printables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6" t="n"/>
      <c r="AH29" s="6" t="n"/>
      <c r="AI29" s="6" t="n"/>
      <c r="AJ29" s="6" t="n"/>
      <c r="AK29" s="6" t="n"/>
      <c r="AL29" s="6" t="n"/>
      <c r="AM29" s="6" t="n"/>
      <c r="AN29" s="6" t="n"/>
      <c r="AO29" s="6" t="n"/>
      <c r="AP29" s="6" t="n"/>
    </row>
    <row r="30">
      <c r="A30" s="7" t="inlineStr">
        <is>
          <t xml:space="preserve">   Active (1 = live)</t>
        </is>
      </c>
      <c r="B30" s="9" t="inlineStr">
        <is>
          <t>flag</t>
        </is>
      </c>
      <c r="C30" s="18">
        <f>IF(AND('Assumptions'!$C$126=1,C$4&gt;=MAX('Assumptions'!$C$127,'Assumptions'!$C$9)),1,0)</f>
        <v/>
      </c>
      <c r="D30" s="18">
        <f>IF(AND('Assumptions'!$C$126=1,D$4&gt;=MAX('Assumptions'!$C$127,'Assumptions'!$C$9)),1,0)</f>
        <v/>
      </c>
      <c r="E30" s="18">
        <f>IF(AND('Assumptions'!$C$126=1,E$4&gt;=MAX('Assumptions'!$C$127,'Assumptions'!$C$9)),1,0)</f>
        <v/>
      </c>
      <c r="F30" s="18">
        <f>IF(AND('Assumptions'!$C$126=1,F$4&gt;=MAX('Assumptions'!$C$127,'Assumptions'!$C$9)),1,0)</f>
        <v/>
      </c>
      <c r="G30" s="18">
        <f>IF(AND('Assumptions'!$C$126=1,G$4&gt;=MAX('Assumptions'!$C$127,'Assumptions'!$C$9)),1,0)</f>
        <v/>
      </c>
      <c r="H30" s="18">
        <f>IF(AND('Assumptions'!$C$126=1,H$4&gt;=MAX('Assumptions'!$C$127,'Assumptions'!$C$9)),1,0)</f>
        <v/>
      </c>
      <c r="I30" s="18">
        <f>IF(AND('Assumptions'!$C$126=1,I$4&gt;=MAX('Assumptions'!$C$127,'Assumptions'!$C$9)),1,0)</f>
        <v/>
      </c>
      <c r="J30" s="18">
        <f>IF(AND('Assumptions'!$C$126=1,J$4&gt;=MAX('Assumptions'!$C$127,'Assumptions'!$C$9)),1,0)</f>
        <v/>
      </c>
      <c r="K30" s="18">
        <f>IF(AND('Assumptions'!$C$126=1,K$4&gt;=MAX('Assumptions'!$C$127,'Assumptions'!$C$9)),1,0)</f>
        <v/>
      </c>
      <c r="L30" s="18">
        <f>IF(AND('Assumptions'!$C$126=1,L$4&gt;=MAX('Assumptions'!$C$127,'Assumptions'!$C$9)),1,0)</f>
        <v/>
      </c>
      <c r="M30" s="18">
        <f>IF(AND('Assumptions'!$C$126=1,M$4&gt;=MAX('Assumptions'!$C$127,'Assumptions'!$C$9)),1,0)</f>
        <v/>
      </c>
      <c r="N30" s="18">
        <f>IF(AND('Assumptions'!$C$126=1,N$4&gt;=MAX('Assumptions'!$C$127,'Assumptions'!$C$9)),1,0)</f>
        <v/>
      </c>
      <c r="O30" s="18">
        <f>IF(AND('Assumptions'!$C$126=1,O$4&gt;=MAX('Assumptions'!$C$127,'Assumptions'!$C$9)),1,0)</f>
        <v/>
      </c>
      <c r="P30" s="18">
        <f>IF(AND('Assumptions'!$C$126=1,P$4&gt;=MAX('Assumptions'!$C$127,'Assumptions'!$C$9)),1,0)</f>
        <v/>
      </c>
      <c r="Q30" s="18">
        <f>IF(AND('Assumptions'!$C$126=1,Q$4&gt;=MAX('Assumptions'!$C$127,'Assumptions'!$C$9)),1,0)</f>
        <v/>
      </c>
      <c r="R30" s="18">
        <f>IF(AND('Assumptions'!$C$126=1,R$4&gt;=MAX('Assumptions'!$C$127,'Assumptions'!$C$9)),1,0)</f>
        <v/>
      </c>
      <c r="S30" s="18">
        <f>IF(AND('Assumptions'!$C$126=1,S$4&gt;=MAX('Assumptions'!$C$127,'Assumptions'!$C$9)),1,0)</f>
        <v/>
      </c>
      <c r="T30" s="18">
        <f>IF(AND('Assumptions'!$C$126=1,T$4&gt;=MAX('Assumptions'!$C$127,'Assumptions'!$C$9)),1,0)</f>
        <v/>
      </c>
      <c r="U30" s="18">
        <f>IF(AND('Assumptions'!$C$126=1,U$4&gt;=MAX('Assumptions'!$C$127,'Assumptions'!$C$9)),1,0)</f>
        <v/>
      </c>
      <c r="V30" s="18">
        <f>IF(AND('Assumptions'!$C$126=1,V$4&gt;=MAX('Assumptions'!$C$127,'Assumptions'!$C$9)),1,0)</f>
        <v/>
      </c>
      <c r="W30" s="18">
        <f>IF(AND('Assumptions'!$C$126=1,W$4&gt;=MAX('Assumptions'!$C$127,'Assumptions'!$C$9)),1,0)</f>
        <v/>
      </c>
      <c r="X30" s="18">
        <f>IF(AND('Assumptions'!$C$126=1,X$4&gt;=MAX('Assumptions'!$C$127,'Assumptions'!$C$9)),1,0)</f>
        <v/>
      </c>
      <c r="Y30" s="18">
        <f>IF(AND('Assumptions'!$C$126=1,Y$4&gt;=MAX('Assumptions'!$C$127,'Assumptions'!$C$9)),1,0)</f>
        <v/>
      </c>
      <c r="Z30" s="18">
        <f>IF(AND('Assumptions'!$C$126=1,Z$4&gt;=MAX('Assumptions'!$C$127,'Assumptions'!$C$9)),1,0)</f>
        <v/>
      </c>
      <c r="AA30" s="18">
        <f>IF(AND('Assumptions'!$C$126=1,AA$4&gt;=MAX('Assumptions'!$C$127,'Assumptions'!$C$9)),1,0)</f>
        <v/>
      </c>
      <c r="AB30" s="18">
        <f>IF(AND('Assumptions'!$C$126=1,AB$4&gt;=MAX('Assumptions'!$C$127,'Assumptions'!$C$9)),1,0)</f>
        <v/>
      </c>
      <c r="AC30" s="18">
        <f>IF(AND('Assumptions'!$C$126=1,AC$4&gt;=MAX('Assumptions'!$C$127,'Assumptions'!$C$9)),1,0)</f>
        <v/>
      </c>
      <c r="AD30" s="18">
        <f>IF(AND('Assumptions'!$C$126=1,AD$4&gt;=MAX('Assumptions'!$C$127,'Assumptions'!$C$9)),1,0)</f>
        <v/>
      </c>
      <c r="AE30" s="18">
        <f>IF(AND('Assumptions'!$C$126=1,AE$4&gt;=MAX('Assumptions'!$C$127,'Assumptions'!$C$9)),1,0)</f>
        <v/>
      </c>
      <c r="AF30" s="18">
        <f>IF(AND('Assumptions'!$C$126=1,AF$4&gt;=MAX('Assumptions'!$C$127,'Assumptions'!$C$9)),1,0)</f>
        <v/>
      </c>
      <c r="AG30" s="18">
        <f>IF(AND('Assumptions'!$C$126=1,AG$4&gt;=MAX('Assumptions'!$C$127,'Assumptions'!$C$9)),1,0)</f>
        <v/>
      </c>
      <c r="AH30" s="18">
        <f>IF(AND('Assumptions'!$C$126=1,AH$4&gt;=MAX('Assumptions'!$C$127,'Assumptions'!$C$9)),1,0)</f>
        <v/>
      </c>
      <c r="AI30" s="18">
        <f>IF(AND('Assumptions'!$C$126=1,AI$4&gt;=MAX('Assumptions'!$C$127,'Assumptions'!$C$9)),1,0)</f>
        <v/>
      </c>
      <c r="AJ30" s="18">
        <f>IF(AND('Assumptions'!$C$126=1,AJ$4&gt;=MAX('Assumptions'!$C$127,'Assumptions'!$C$9)),1,0)</f>
        <v/>
      </c>
      <c r="AK30" s="18">
        <f>IF(AND('Assumptions'!$C$126=1,AK$4&gt;=MAX('Assumptions'!$C$127,'Assumptions'!$C$9)),1,0)</f>
        <v/>
      </c>
      <c r="AL30" s="18">
        <f>IF(AND('Assumptions'!$C$126=1,AL$4&gt;=MAX('Assumptions'!$C$127,'Assumptions'!$C$9)),1,0)</f>
        <v/>
      </c>
    </row>
    <row r="31">
      <c r="A31" s="7" t="inlineStr">
        <is>
          <t xml:space="preserve">   Sales-per-product index (1.00 in the launch month)</t>
        </is>
      </c>
      <c r="B31" s="9" t="inlineStr">
        <is>
          <t>index</t>
        </is>
      </c>
      <c r="C31" s="55">
        <f>IF(C30=0,0,1)</f>
        <v/>
      </c>
      <c r="D31" s="51">
        <f>IF(D30=0,0,IF(D$4=MAX('Assumptions'!$C$127,'Assumptions'!$C$9),1,C31*(1+CHOOSE(D$6,'Assumptions'!$C$128,'Assumptions'!$C$129,'Assumptions'!$C$130))))</f>
        <v/>
      </c>
      <c r="E31" s="51">
        <f>IF(E30=0,0,IF(E$4=MAX('Assumptions'!$C$127,'Assumptions'!$C$9),1,D31*(1+CHOOSE(E$6,'Assumptions'!$C$128,'Assumptions'!$C$129,'Assumptions'!$C$130))))</f>
        <v/>
      </c>
      <c r="F31" s="51">
        <f>IF(F30=0,0,IF(F$4=MAX('Assumptions'!$C$127,'Assumptions'!$C$9),1,E31*(1+CHOOSE(F$6,'Assumptions'!$C$128,'Assumptions'!$C$129,'Assumptions'!$C$130))))</f>
        <v/>
      </c>
      <c r="G31" s="51">
        <f>IF(G30=0,0,IF(G$4=MAX('Assumptions'!$C$127,'Assumptions'!$C$9),1,F31*(1+CHOOSE(G$6,'Assumptions'!$C$128,'Assumptions'!$C$129,'Assumptions'!$C$130))))</f>
        <v/>
      </c>
      <c r="H31" s="51">
        <f>IF(H30=0,0,IF(H$4=MAX('Assumptions'!$C$127,'Assumptions'!$C$9),1,G31*(1+CHOOSE(H$6,'Assumptions'!$C$128,'Assumptions'!$C$129,'Assumptions'!$C$130))))</f>
        <v/>
      </c>
      <c r="I31" s="51">
        <f>IF(I30=0,0,IF(I$4=MAX('Assumptions'!$C$127,'Assumptions'!$C$9),1,H31*(1+CHOOSE(I$6,'Assumptions'!$C$128,'Assumptions'!$C$129,'Assumptions'!$C$130))))</f>
        <v/>
      </c>
      <c r="J31" s="51">
        <f>IF(J30=0,0,IF(J$4=MAX('Assumptions'!$C$127,'Assumptions'!$C$9),1,I31*(1+CHOOSE(J$6,'Assumptions'!$C$128,'Assumptions'!$C$129,'Assumptions'!$C$130))))</f>
        <v/>
      </c>
      <c r="K31" s="51">
        <f>IF(K30=0,0,IF(K$4=MAX('Assumptions'!$C$127,'Assumptions'!$C$9),1,J31*(1+CHOOSE(K$6,'Assumptions'!$C$128,'Assumptions'!$C$129,'Assumptions'!$C$130))))</f>
        <v/>
      </c>
      <c r="L31" s="51">
        <f>IF(L30=0,0,IF(L$4=MAX('Assumptions'!$C$127,'Assumptions'!$C$9),1,K31*(1+CHOOSE(L$6,'Assumptions'!$C$128,'Assumptions'!$C$129,'Assumptions'!$C$130))))</f>
        <v/>
      </c>
      <c r="M31" s="51">
        <f>IF(M30=0,0,IF(M$4=MAX('Assumptions'!$C$127,'Assumptions'!$C$9),1,L31*(1+CHOOSE(M$6,'Assumptions'!$C$128,'Assumptions'!$C$129,'Assumptions'!$C$130))))</f>
        <v/>
      </c>
      <c r="N31" s="51">
        <f>IF(N30=0,0,IF(N$4=MAX('Assumptions'!$C$127,'Assumptions'!$C$9),1,M31*(1+CHOOSE(N$6,'Assumptions'!$C$128,'Assumptions'!$C$129,'Assumptions'!$C$130))))</f>
        <v/>
      </c>
      <c r="O31" s="51">
        <f>IF(O30=0,0,IF(O$4=MAX('Assumptions'!$C$127,'Assumptions'!$C$9),1,N31*(1+CHOOSE(O$6,'Assumptions'!$C$128,'Assumptions'!$C$129,'Assumptions'!$C$130))))</f>
        <v/>
      </c>
      <c r="P31" s="51">
        <f>IF(P30=0,0,IF(P$4=MAX('Assumptions'!$C$127,'Assumptions'!$C$9),1,O31*(1+CHOOSE(P$6,'Assumptions'!$C$128,'Assumptions'!$C$129,'Assumptions'!$C$130))))</f>
        <v/>
      </c>
      <c r="Q31" s="51">
        <f>IF(Q30=0,0,IF(Q$4=MAX('Assumptions'!$C$127,'Assumptions'!$C$9),1,P31*(1+CHOOSE(Q$6,'Assumptions'!$C$128,'Assumptions'!$C$129,'Assumptions'!$C$130))))</f>
        <v/>
      </c>
      <c r="R31" s="51">
        <f>IF(R30=0,0,IF(R$4=MAX('Assumptions'!$C$127,'Assumptions'!$C$9),1,Q31*(1+CHOOSE(R$6,'Assumptions'!$C$128,'Assumptions'!$C$129,'Assumptions'!$C$130))))</f>
        <v/>
      </c>
      <c r="S31" s="51">
        <f>IF(S30=0,0,IF(S$4=MAX('Assumptions'!$C$127,'Assumptions'!$C$9),1,R31*(1+CHOOSE(S$6,'Assumptions'!$C$128,'Assumptions'!$C$129,'Assumptions'!$C$130))))</f>
        <v/>
      </c>
      <c r="T31" s="51">
        <f>IF(T30=0,0,IF(T$4=MAX('Assumptions'!$C$127,'Assumptions'!$C$9),1,S31*(1+CHOOSE(T$6,'Assumptions'!$C$128,'Assumptions'!$C$129,'Assumptions'!$C$130))))</f>
        <v/>
      </c>
      <c r="U31" s="51">
        <f>IF(U30=0,0,IF(U$4=MAX('Assumptions'!$C$127,'Assumptions'!$C$9),1,T31*(1+CHOOSE(U$6,'Assumptions'!$C$128,'Assumptions'!$C$129,'Assumptions'!$C$130))))</f>
        <v/>
      </c>
      <c r="V31" s="51">
        <f>IF(V30=0,0,IF(V$4=MAX('Assumptions'!$C$127,'Assumptions'!$C$9),1,U31*(1+CHOOSE(V$6,'Assumptions'!$C$128,'Assumptions'!$C$129,'Assumptions'!$C$130))))</f>
        <v/>
      </c>
      <c r="W31" s="51">
        <f>IF(W30=0,0,IF(W$4=MAX('Assumptions'!$C$127,'Assumptions'!$C$9),1,V31*(1+CHOOSE(W$6,'Assumptions'!$C$128,'Assumptions'!$C$129,'Assumptions'!$C$130))))</f>
        <v/>
      </c>
      <c r="X31" s="51">
        <f>IF(X30=0,0,IF(X$4=MAX('Assumptions'!$C$127,'Assumptions'!$C$9),1,W31*(1+CHOOSE(X$6,'Assumptions'!$C$128,'Assumptions'!$C$129,'Assumptions'!$C$130))))</f>
        <v/>
      </c>
      <c r="Y31" s="51">
        <f>IF(Y30=0,0,IF(Y$4=MAX('Assumptions'!$C$127,'Assumptions'!$C$9),1,X31*(1+CHOOSE(Y$6,'Assumptions'!$C$128,'Assumptions'!$C$129,'Assumptions'!$C$130))))</f>
        <v/>
      </c>
      <c r="Z31" s="51">
        <f>IF(Z30=0,0,IF(Z$4=MAX('Assumptions'!$C$127,'Assumptions'!$C$9),1,Y31*(1+CHOOSE(Z$6,'Assumptions'!$C$128,'Assumptions'!$C$129,'Assumptions'!$C$130))))</f>
        <v/>
      </c>
      <c r="AA31" s="51">
        <f>IF(AA30=0,0,IF(AA$4=MAX('Assumptions'!$C$127,'Assumptions'!$C$9),1,Z31*(1+CHOOSE(AA$6,'Assumptions'!$C$128,'Assumptions'!$C$129,'Assumptions'!$C$130))))</f>
        <v/>
      </c>
      <c r="AB31" s="51">
        <f>IF(AB30=0,0,IF(AB$4=MAX('Assumptions'!$C$127,'Assumptions'!$C$9),1,AA31*(1+CHOOSE(AB$6,'Assumptions'!$C$128,'Assumptions'!$C$129,'Assumptions'!$C$130))))</f>
        <v/>
      </c>
      <c r="AC31" s="51">
        <f>IF(AC30=0,0,IF(AC$4=MAX('Assumptions'!$C$127,'Assumptions'!$C$9),1,AB31*(1+CHOOSE(AC$6,'Assumptions'!$C$128,'Assumptions'!$C$129,'Assumptions'!$C$130))))</f>
        <v/>
      </c>
      <c r="AD31" s="51">
        <f>IF(AD30=0,0,IF(AD$4=MAX('Assumptions'!$C$127,'Assumptions'!$C$9),1,AC31*(1+CHOOSE(AD$6,'Assumptions'!$C$128,'Assumptions'!$C$129,'Assumptions'!$C$130))))</f>
        <v/>
      </c>
      <c r="AE31" s="51">
        <f>IF(AE30=0,0,IF(AE$4=MAX('Assumptions'!$C$127,'Assumptions'!$C$9),1,AD31*(1+CHOOSE(AE$6,'Assumptions'!$C$128,'Assumptions'!$C$129,'Assumptions'!$C$130))))</f>
        <v/>
      </c>
      <c r="AF31" s="51">
        <f>IF(AF30=0,0,IF(AF$4=MAX('Assumptions'!$C$127,'Assumptions'!$C$9),1,AE31*(1+CHOOSE(AF$6,'Assumptions'!$C$128,'Assumptions'!$C$129,'Assumptions'!$C$130))))</f>
        <v/>
      </c>
      <c r="AG31" s="51">
        <f>IF(AG30=0,0,IF(AG$4=MAX('Assumptions'!$C$127,'Assumptions'!$C$9),1,AF31*(1+CHOOSE(AG$6,'Assumptions'!$C$128,'Assumptions'!$C$129,'Assumptions'!$C$130))))</f>
        <v/>
      </c>
      <c r="AH31" s="51">
        <f>IF(AH30=0,0,IF(AH$4=MAX('Assumptions'!$C$127,'Assumptions'!$C$9),1,AG31*(1+CHOOSE(AH$6,'Assumptions'!$C$128,'Assumptions'!$C$129,'Assumptions'!$C$130))))</f>
        <v/>
      </c>
      <c r="AI31" s="51">
        <f>IF(AI30=0,0,IF(AI$4=MAX('Assumptions'!$C$127,'Assumptions'!$C$9),1,AH31*(1+CHOOSE(AI$6,'Assumptions'!$C$128,'Assumptions'!$C$129,'Assumptions'!$C$130))))</f>
        <v/>
      </c>
      <c r="AJ31" s="51">
        <f>IF(AJ30=0,0,IF(AJ$4=MAX('Assumptions'!$C$127,'Assumptions'!$C$9),1,AI31*(1+CHOOSE(AJ$6,'Assumptions'!$C$128,'Assumptions'!$C$129,'Assumptions'!$C$130))))</f>
        <v/>
      </c>
      <c r="AK31" s="51">
        <f>IF(AK30=0,0,IF(AK$4=MAX('Assumptions'!$C$127,'Assumptions'!$C$9),1,AJ31*(1+CHOOSE(AK$6,'Assumptions'!$C$128,'Assumptions'!$C$129,'Assumptions'!$C$130))))</f>
        <v/>
      </c>
      <c r="AL31" s="51">
        <f>IF(AL30=0,0,IF(AL$4=MAX('Assumptions'!$C$127,'Assumptions'!$C$9),1,AK31*(1+CHOOSE(AL$6,'Assumptions'!$C$128,'Assumptions'!$C$129,'Assumptions'!$C$130))))</f>
        <v/>
      </c>
    </row>
    <row r="32">
      <c r="A32" s="7" t="inlineStr">
        <is>
          <t xml:space="preserve">   Product-months live (products x sales index x season)</t>
        </is>
      </c>
      <c r="B32" s="9" t="inlineStr">
        <is>
          <t>prod-mo</t>
        </is>
      </c>
      <c r="C32" s="56">
        <f>C18*C31*C$7</f>
        <v/>
      </c>
      <c r="D32" s="56">
        <f>D18*D31*D$7</f>
        <v/>
      </c>
      <c r="E32" s="56">
        <f>E18*E31*E$7</f>
        <v/>
      </c>
      <c r="F32" s="56">
        <f>F18*F31*F$7</f>
        <v/>
      </c>
      <c r="G32" s="56">
        <f>G18*G31*G$7</f>
        <v/>
      </c>
      <c r="H32" s="56">
        <f>H18*H31*H$7</f>
        <v/>
      </c>
      <c r="I32" s="56">
        <f>I18*I31*I$7</f>
        <v/>
      </c>
      <c r="J32" s="56">
        <f>J18*J31*J$7</f>
        <v/>
      </c>
      <c r="K32" s="56">
        <f>K18*K31*K$7</f>
        <v/>
      </c>
      <c r="L32" s="56">
        <f>L18*L31*L$7</f>
        <v/>
      </c>
      <c r="M32" s="56">
        <f>M18*M31*M$7</f>
        <v/>
      </c>
      <c r="N32" s="56">
        <f>N18*N31*N$7</f>
        <v/>
      </c>
      <c r="O32" s="56">
        <f>O18*O31*O$7</f>
        <v/>
      </c>
      <c r="P32" s="56">
        <f>P18*P31*P$7</f>
        <v/>
      </c>
      <c r="Q32" s="56">
        <f>Q18*Q31*Q$7</f>
        <v/>
      </c>
      <c r="R32" s="56">
        <f>R18*R31*R$7</f>
        <v/>
      </c>
      <c r="S32" s="56">
        <f>S18*S31*S$7</f>
        <v/>
      </c>
      <c r="T32" s="56">
        <f>T18*T31*T$7</f>
        <v/>
      </c>
      <c r="U32" s="56">
        <f>U18*U31*U$7</f>
        <v/>
      </c>
      <c r="V32" s="56">
        <f>V18*V31*V$7</f>
        <v/>
      </c>
      <c r="W32" s="56">
        <f>W18*W31*W$7</f>
        <v/>
      </c>
      <c r="X32" s="56">
        <f>X18*X31*X$7</f>
        <v/>
      </c>
      <c r="Y32" s="56">
        <f>Y18*Y31*Y$7</f>
        <v/>
      </c>
      <c r="Z32" s="56">
        <f>Z18*Z31*Z$7</f>
        <v/>
      </c>
      <c r="AA32" s="56">
        <f>AA18*AA31*AA$7</f>
        <v/>
      </c>
      <c r="AB32" s="56">
        <f>AB18*AB31*AB$7</f>
        <v/>
      </c>
      <c r="AC32" s="56">
        <f>AC18*AC31*AC$7</f>
        <v/>
      </c>
      <c r="AD32" s="56">
        <f>AD18*AD31*AD$7</f>
        <v/>
      </c>
      <c r="AE32" s="56">
        <f>AE18*AE31*AE$7</f>
        <v/>
      </c>
      <c r="AF32" s="56">
        <f>AF18*AF31*AF$7</f>
        <v/>
      </c>
      <c r="AG32" s="56">
        <f>AG18*AG31*AG$7</f>
        <v/>
      </c>
      <c r="AH32" s="56">
        <f>AH18*AH31*AH$7</f>
        <v/>
      </c>
      <c r="AI32" s="56">
        <f>AI18*AI31*AI$7</f>
        <v/>
      </c>
      <c r="AJ32" s="56">
        <f>AJ18*AJ31*AJ$7</f>
        <v/>
      </c>
      <c r="AK32" s="56">
        <f>AK18*AK31*AK$7</f>
        <v/>
      </c>
      <c r="AL32" s="56">
        <f>AL18*AL31*AL$7</f>
        <v/>
      </c>
      <c r="AM32" s="57">
        <f>SUMIF($C$6:$AL$6,1,C32:AL32)</f>
        <v/>
      </c>
      <c r="AN32" s="57">
        <f>SUMIF($C$6:$AL$6,2,C32:AL32)</f>
        <v/>
      </c>
      <c r="AO32" s="57">
        <f>SUMIF($C$6:$AL$6,3,C32:AL32)</f>
        <v/>
      </c>
      <c r="AP32" s="57">
        <f>SUM(C32:AL32)</f>
        <v/>
      </c>
    </row>
    <row r="33">
      <c r="A33" s="7" t="inlineStr">
        <is>
          <t xml:space="preserve">   Orders per product per month (with review ramp)</t>
        </is>
      </c>
      <c r="B33" s="9" t="inlineStr">
        <is>
          <t>orders</t>
        </is>
      </c>
      <c r="C33" s="51">
        <f>'Assumptions'!$C$131*MIN(1,(C$4-MAX('Assumptions'!$C$127,'Assumptions'!$C$9)+1)/'Assumptions'!$C$11)*C30</f>
        <v/>
      </c>
      <c r="D33" s="51">
        <f>'Assumptions'!$C$131*MIN(1,(D$4-MAX('Assumptions'!$C$127,'Assumptions'!$C$9)+1)/'Assumptions'!$C$11)*D30</f>
        <v/>
      </c>
      <c r="E33" s="51">
        <f>'Assumptions'!$C$131*MIN(1,(E$4-MAX('Assumptions'!$C$127,'Assumptions'!$C$9)+1)/'Assumptions'!$C$11)*E30</f>
        <v/>
      </c>
      <c r="F33" s="51">
        <f>'Assumptions'!$C$131*MIN(1,(F$4-MAX('Assumptions'!$C$127,'Assumptions'!$C$9)+1)/'Assumptions'!$C$11)*F30</f>
        <v/>
      </c>
      <c r="G33" s="51">
        <f>'Assumptions'!$C$131*MIN(1,(G$4-MAX('Assumptions'!$C$127,'Assumptions'!$C$9)+1)/'Assumptions'!$C$11)*G30</f>
        <v/>
      </c>
      <c r="H33" s="51">
        <f>'Assumptions'!$C$131*MIN(1,(H$4-MAX('Assumptions'!$C$127,'Assumptions'!$C$9)+1)/'Assumptions'!$C$11)*H30</f>
        <v/>
      </c>
      <c r="I33" s="51">
        <f>'Assumptions'!$C$131*MIN(1,(I$4-MAX('Assumptions'!$C$127,'Assumptions'!$C$9)+1)/'Assumptions'!$C$11)*I30</f>
        <v/>
      </c>
      <c r="J33" s="51">
        <f>'Assumptions'!$C$131*MIN(1,(J$4-MAX('Assumptions'!$C$127,'Assumptions'!$C$9)+1)/'Assumptions'!$C$11)*J30</f>
        <v/>
      </c>
      <c r="K33" s="51">
        <f>'Assumptions'!$C$131*MIN(1,(K$4-MAX('Assumptions'!$C$127,'Assumptions'!$C$9)+1)/'Assumptions'!$C$11)*K30</f>
        <v/>
      </c>
      <c r="L33" s="51">
        <f>'Assumptions'!$C$131*MIN(1,(L$4-MAX('Assumptions'!$C$127,'Assumptions'!$C$9)+1)/'Assumptions'!$C$11)*L30</f>
        <v/>
      </c>
      <c r="M33" s="51">
        <f>'Assumptions'!$C$131*MIN(1,(M$4-MAX('Assumptions'!$C$127,'Assumptions'!$C$9)+1)/'Assumptions'!$C$11)*M30</f>
        <v/>
      </c>
      <c r="N33" s="51">
        <f>'Assumptions'!$C$131*MIN(1,(N$4-MAX('Assumptions'!$C$127,'Assumptions'!$C$9)+1)/'Assumptions'!$C$11)*N30</f>
        <v/>
      </c>
      <c r="O33" s="51">
        <f>'Assumptions'!$C$131*MIN(1,(O$4-MAX('Assumptions'!$C$127,'Assumptions'!$C$9)+1)/'Assumptions'!$C$11)*O30</f>
        <v/>
      </c>
      <c r="P33" s="51">
        <f>'Assumptions'!$C$131*MIN(1,(P$4-MAX('Assumptions'!$C$127,'Assumptions'!$C$9)+1)/'Assumptions'!$C$11)*P30</f>
        <v/>
      </c>
      <c r="Q33" s="51">
        <f>'Assumptions'!$C$131*MIN(1,(Q$4-MAX('Assumptions'!$C$127,'Assumptions'!$C$9)+1)/'Assumptions'!$C$11)*Q30</f>
        <v/>
      </c>
      <c r="R33" s="51">
        <f>'Assumptions'!$C$131*MIN(1,(R$4-MAX('Assumptions'!$C$127,'Assumptions'!$C$9)+1)/'Assumptions'!$C$11)*R30</f>
        <v/>
      </c>
      <c r="S33" s="51">
        <f>'Assumptions'!$C$131*MIN(1,(S$4-MAX('Assumptions'!$C$127,'Assumptions'!$C$9)+1)/'Assumptions'!$C$11)*S30</f>
        <v/>
      </c>
      <c r="T33" s="51">
        <f>'Assumptions'!$C$131*MIN(1,(T$4-MAX('Assumptions'!$C$127,'Assumptions'!$C$9)+1)/'Assumptions'!$C$11)*T30</f>
        <v/>
      </c>
      <c r="U33" s="51">
        <f>'Assumptions'!$C$131*MIN(1,(U$4-MAX('Assumptions'!$C$127,'Assumptions'!$C$9)+1)/'Assumptions'!$C$11)*U30</f>
        <v/>
      </c>
      <c r="V33" s="51">
        <f>'Assumptions'!$C$131*MIN(1,(V$4-MAX('Assumptions'!$C$127,'Assumptions'!$C$9)+1)/'Assumptions'!$C$11)*V30</f>
        <v/>
      </c>
      <c r="W33" s="51">
        <f>'Assumptions'!$C$131*MIN(1,(W$4-MAX('Assumptions'!$C$127,'Assumptions'!$C$9)+1)/'Assumptions'!$C$11)*W30</f>
        <v/>
      </c>
      <c r="X33" s="51">
        <f>'Assumptions'!$C$131*MIN(1,(X$4-MAX('Assumptions'!$C$127,'Assumptions'!$C$9)+1)/'Assumptions'!$C$11)*X30</f>
        <v/>
      </c>
      <c r="Y33" s="51">
        <f>'Assumptions'!$C$131*MIN(1,(Y$4-MAX('Assumptions'!$C$127,'Assumptions'!$C$9)+1)/'Assumptions'!$C$11)*Y30</f>
        <v/>
      </c>
      <c r="Z33" s="51">
        <f>'Assumptions'!$C$131*MIN(1,(Z$4-MAX('Assumptions'!$C$127,'Assumptions'!$C$9)+1)/'Assumptions'!$C$11)*Z30</f>
        <v/>
      </c>
      <c r="AA33" s="51">
        <f>'Assumptions'!$C$131*MIN(1,(AA$4-MAX('Assumptions'!$C$127,'Assumptions'!$C$9)+1)/'Assumptions'!$C$11)*AA30</f>
        <v/>
      </c>
      <c r="AB33" s="51">
        <f>'Assumptions'!$C$131*MIN(1,(AB$4-MAX('Assumptions'!$C$127,'Assumptions'!$C$9)+1)/'Assumptions'!$C$11)*AB30</f>
        <v/>
      </c>
      <c r="AC33" s="51">
        <f>'Assumptions'!$C$131*MIN(1,(AC$4-MAX('Assumptions'!$C$127,'Assumptions'!$C$9)+1)/'Assumptions'!$C$11)*AC30</f>
        <v/>
      </c>
      <c r="AD33" s="51">
        <f>'Assumptions'!$C$131*MIN(1,(AD$4-MAX('Assumptions'!$C$127,'Assumptions'!$C$9)+1)/'Assumptions'!$C$11)*AD30</f>
        <v/>
      </c>
      <c r="AE33" s="51">
        <f>'Assumptions'!$C$131*MIN(1,(AE$4-MAX('Assumptions'!$C$127,'Assumptions'!$C$9)+1)/'Assumptions'!$C$11)*AE30</f>
        <v/>
      </c>
      <c r="AF33" s="51">
        <f>'Assumptions'!$C$131*MIN(1,(AF$4-MAX('Assumptions'!$C$127,'Assumptions'!$C$9)+1)/'Assumptions'!$C$11)*AF30</f>
        <v/>
      </c>
      <c r="AG33" s="51">
        <f>'Assumptions'!$C$131*MIN(1,(AG$4-MAX('Assumptions'!$C$127,'Assumptions'!$C$9)+1)/'Assumptions'!$C$11)*AG30</f>
        <v/>
      </c>
      <c r="AH33" s="51">
        <f>'Assumptions'!$C$131*MIN(1,(AH$4-MAX('Assumptions'!$C$127,'Assumptions'!$C$9)+1)/'Assumptions'!$C$11)*AH30</f>
        <v/>
      </c>
      <c r="AI33" s="51">
        <f>'Assumptions'!$C$131*MIN(1,(AI$4-MAX('Assumptions'!$C$127,'Assumptions'!$C$9)+1)/'Assumptions'!$C$11)*AI30</f>
        <v/>
      </c>
      <c r="AJ33" s="51">
        <f>'Assumptions'!$C$131*MIN(1,(AJ$4-MAX('Assumptions'!$C$127,'Assumptions'!$C$9)+1)/'Assumptions'!$C$11)*AJ30</f>
        <v/>
      </c>
      <c r="AK33" s="51">
        <f>'Assumptions'!$C$131*MIN(1,(AK$4-MAX('Assumptions'!$C$127,'Assumptions'!$C$9)+1)/'Assumptions'!$C$11)*AK30</f>
        <v/>
      </c>
      <c r="AL33" s="51">
        <f>'Assumptions'!$C$131*MIN(1,(AL$4-MAX('Assumptions'!$C$127,'Assumptions'!$C$9)+1)/'Assumptions'!$C$11)*AL30</f>
        <v/>
      </c>
    </row>
    <row r="34">
      <c r="A34" s="7" t="inlineStr">
        <is>
          <t xml:space="preserve">   Orders</t>
        </is>
      </c>
      <c r="B34" s="9" t="inlineStr">
        <is>
          <t>orders</t>
        </is>
      </c>
      <c r="C34" s="56">
        <f>C32*C33</f>
        <v/>
      </c>
      <c r="D34" s="56">
        <f>D32*D33</f>
        <v/>
      </c>
      <c r="E34" s="56">
        <f>E32*E33</f>
        <v/>
      </c>
      <c r="F34" s="56">
        <f>F32*F33</f>
        <v/>
      </c>
      <c r="G34" s="56">
        <f>G32*G33</f>
        <v/>
      </c>
      <c r="H34" s="56">
        <f>H32*H33</f>
        <v/>
      </c>
      <c r="I34" s="56">
        <f>I32*I33</f>
        <v/>
      </c>
      <c r="J34" s="56">
        <f>J32*J33</f>
        <v/>
      </c>
      <c r="K34" s="56">
        <f>K32*K33</f>
        <v/>
      </c>
      <c r="L34" s="56">
        <f>L32*L33</f>
        <v/>
      </c>
      <c r="M34" s="56">
        <f>M32*M33</f>
        <v/>
      </c>
      <c r="N34" s="56">
        <f>N32*N33</f>
        <v/>
      </c>
      <c r="O34" s="56">
        <f>O32*O33</f>
        <v/>
      </c>
      <c r="P34" s="56">
        <f>P32*P33</f>
        <v/>
      </c>
      <c r="Q34" s="56">
        <f>Q32*Q33</f>
        <v/>
      </c>
      <c r="R34" s="56">
        <f>R32*R33</f>
        <v/>
      </c>
      <c r="S34" s="56">
        <f>S32*S33</f>
        <v/>
      </c>
      <c r="T34" s="56">
        <f>T32*T33</f>
        <v/>
      </c>
      <c r="U34" s="56">
        <f>U32*U33</f>
        <v/>
      </c>
      <c r="V34" s="56">
        <f>V32*V33</f>
        <v/>
      </c>
      <c r="W34" s="56">
        <f>W32*W33</f>
        <v/>
      </c>
      <c r="X34" s="56">
        <f>X32*X33</f>
        <v/>
      </c>
      <c r="Y34" s="56">
        <f>Y32*Y33</f>
        <v/>
      </c>
      <c r="Z34" s="56">
        <f>Z32*Z33</f>
        <v/>
      </c>
      <c r="AA34" s="56">
        <f>AA32*AA33</f>
        <v/>
      </c>
      <c r="AB34" s="56">
        <f>AB32*AB33</f>
        <v/>
      </c>
      <c r="AC34" s="56">
        <f>AC32*AC33</f>
        <v/>
      </c>
      <c r="AD34" s="56">
        <f>AD32*AD33</f>
        <v/>
      </c>
      <c r="AE34" s="56">
        <f>AE32*AE33</f>
        <v/>
      </c>
      <c r="AF34" s="56">
        <f>AF32*AF33</f>
        <v/>
      </c>
      <c r="AG34" s="56">
        <f>AG32*AG33</f>
        <v/>
      </c>
      <c r="AH34" s="56">
        <f>AH32*AH33</f>
        <v/>
      </c>
      <c r="AI34" s="56">
        <f>AI32*AI33</f>
        <v/>
      </c>
      <c r="AJ34" s="56">
        <f>AJ32*AJ33</f>
        <v/>
      </c>
      <c r="AK34" s="56">
        <f>AK32*AK33</f>
        <v/>
      </c>
      <c r="AL34" s="56">
        <f>AL32*AL33</f>
        <v/>
      </c>
      <c r="AM34" s="57">
        <f>SUMIF($C$6:$AL$6,1,C34:AL34)</f>
        <v/>
      </c>
      <c r="AN34" s="57">
        <f>SUMIF($C$6:$AL$6,2,C34:AL34)</f>
        <v/>
      </c>
      <c r="AO34" s="57">
        <f>SUMIF($C$6:$AL$6,3,C34:AL34)</f>
        <v/>
      </c>
      <c r="AP34" s="57">
        <f>SUM(C34:AL34)</f>
        <v/>
      </c>
    </row>
    <row r="35">
      <c r="A35" s="7" t="inlineStr">
        <is>
          <t xml:space="preserve">   Items sold</t>
        </is>
      </c>
      <c r="B35" s="9" t="inlineStr">
        <is>
          <t>items</t>
        </is>
      </c>
      <c r="C35" s="14">
        <f>C34*'Assumptions'!$C$132</f>
        <v/>
      </c>
      <c r="D35" s="14">
        <f>D34*'Assumptions'!$C$132</f>
        <v/>
      </c>
      <c r="E35" s="14">
        <f>E34*'Assumptions'!$C$132</f>
        <v/>
      </c>
      <c r="F35" s="14">
        <f>F34*'Assumptions'!$C$132</f>
        <v/>
      </c>
      <c r="G35" s="14">
        <f>G34*'Assumptions'!$C$132</f>
        <v/>
      </c>
      <c r="H35" s="14">
        <f>H34*'Assumptions'!$C$132</f>
        <v/>
      </c>
      <c r="I35" s="14">
        <f>I34*'Assumptions'!$C$132</f>
        <v/>
      </c>
      <c r="J35" s="14">
        <f>J34*'Assumptions'!$C$132</f>
        <v/>
      </c>
      <c r="K35" s="14">
        <f>K34*'Assumptions'!$C$132</f>
        <v/>
      </c>
      <c r="L35" s="14">
        <f>L34*'Assumptions'!$C$132</f>
        <v/>
      </c>
      <c r="M35" s="14">
        <f>M34*'Assumptions'!$C$132</f>
        <v/>
      </c>
      <c r="N35" s="14">
        <f>N34*'Assumptions'!$C$132</f>
        <v/>
      </c>
      <c r="O35" s="14">
        <f>O34*'Assumptions'!$C$132</f>
        <v/>
      </c>
      <c r="P35" s="14">
        <f>P34*'Assumptions'!$C$132</f>
        <v/>
      </c>
      <c r="Q35" s="14">
        <f>Q34*'Assumptions'!$C$132</f>
        <v/>
      </c>
      <c r="R35" s="14">
        <f>R34*'Assumptions'!$C$132</f>
        <v/>
      </c>
      <c r="S35" s="14">
        <f>S34*'Assumptions'!$C$132</f>
        <v/>
      </c>
      <c r="T35" s="14">
        <f>T34*'Assumptions'!$C$132</f>
        <v/>
      </c>
      <c r="U35" s="14">
        <f>U34*'Assumptions'!$C$132</f>
        <v/>
      </c>
      <c r="V35" s="14">
        <f>V34*'Assumptions'!$C$132</f>
        <v/>
      </c>
      <c r="W35" s="14">
        <f>W34*'Assumptions'!$C$132</f>
        <v/>
      </c>
      <c r="X35" s="14">
        <f>X34*'Assumptions'!$C$132</f>
        <v/>
      </c>
      <c r="Y35" s="14">
        <f>Y34*'Assumptions'!$C$132</f>
        <v/>
      </c>
      <c r="Z35" s="14">
        <f>Z34*'Assumptions'!$C$132</f>
        <v/>
      </c>
      <c r="AA35" s="14">
        <f>AA34*'Assumptions'!$C$132</f>
        <v/>
      </c>
      <c r="AB35" s="14">
        <f>AB34*'Assumptions'!$C$132</f>
        <v/>
      </c>
      <c r="AC35" s="14">
        <f>AC34*'Assumptions'!$C$132</f>
        <v/>
      </c>
      <c r="AD35" s="14">
        <f>AD34*'Assumptions'!$C$132</f>
        <v/>
      </c>
      <c r="AE35" s="14">
        <f>AE34*'Assumptions'!$C$132</f>
        <v/>
      </c>
      <c r="AF35" s="14">
        <f>AF34*'Assumptions'!$C$132</f>
        <v/>
      </c>
      <c r="AG35" s="14">
        <f>AG34*'Assumptions'!$C$132</f>
        <v/>
      </c>
      <c r="AH35" s="14">
        <f>AH34*'Assumptions'!$C$132</f>
        <v/>
      </c>
      <c r="AI35" s="14">
        <f>AI34*'Assumptions'!$C$132</f>
        <v/>
      </c>
      <c r="AJ35" s="14">
        <f>AJ34*'Assumptions'!$C$132</f>
        <v/>
      </c>
      <c r="AK35" s="14">
        <f>AK34*'Assumptions'!$C$132</f>
        <v/>
      </c>
      <c r="AL35" s="14">
        <f>AL34*'Assumptions'!$C$132</f>
        <v/>
      </c>
      <c r="AM35" s="57">
        <f>SUMIF($C$6:$AL$6,1,C35:AL35)</f>
        <v/>
      </c>
      <c r="AN35" s="57">
        <f>SUMIF($C$6:$AL$6,2,C35:AL35)</f>
        <v/>
      </c>
      <c r="AO35" s="57">
        <f>SUMIF($C$6:$AL$6,3,C35:AL35)</f>
        <v/>
      </c>
      <c r="AP35" s="57">
        <f>SUM(C35:AL35)</f>
        <v/>
      </c>
    </row>
    <row r="36">
      <c r="A36" s="7" t="inlineStr">
        <is>
          <t xml:space="preserve">   Average order value</t>
        </is>
      </c>
      <c r="B36" s="9" t="inlineStr">
        <is>
          <t>$</t>
        </is>
      </c>
      <c r="C36" s="16">
        <f>'Unit Economics'!$E$50*'Assumptions'!$C$132*C30</f>
        <v/>
      </c>
      <c r="D36" s="16">
        <f>'Unit Economics'!$E$50*'Assumptions'!$C$132*D30</f>
        <v/>
      </c>
      <c r="E36" s="16">
        <f>'Unit Economics'!$E$50*'Assumptions'!$C$132*E30</f>
        <v/>
      </c>
      <c r="F36" s="16">
        <f>'Unit Economics'!$E$50*'Assumptions'!$C$132*F30</f>
        <v/>
      </c>
      <c r="G36" s="16">
        <f>'Unit Economics'!$E$50*'Assumptions'!$C$132*G30</f>
        <v/>
      </c>
      <c r="H36" s="16">
        <f>'Unit Economics'!$E$50*'Assumptions'!$C$132*H30</f>
        <v/>
      </c>
      <c r="I36" s="16">
        <f>'Unit Economics'!$E$50*'Assumptions'!$C$132*I30</f>
        <v/>
      </c>
      <c r="J36" s="16">
        <f>'Unit Economics'!$E$50*'Assumptions'!$C$132*J30</f>
        <v/>
      </c>
      <c r="K36" s="16">
        <f>'Unit Economics'!$E$50*'Assumptions'!$C$132*K30</f>
        <v/>
      </c>
      <c r="L36" s="16">
        <f>'Unit Economics'!$E$50*'Assumptions'!$C$132*L30</f>
        <v/>
      </c>
      <c r="M36" s="16">
        <f>'Unit Economics'!$E$50*'Assumptions'!$C$132*M30</f>
        <v/>
      </c>
      <c r="N36" s="16">
        <f>'Unit Economics'!$E$50*'Assumptions'!$C$132*N30</f>
        <v/>
      </c>
      <c r="O36" s="16">
        <f>'Unit Economics'!$E$50*'Assumptions'!$C$132*O30</f>
        <v/>
      </c>
      <c r="P36" s="16">
        <f>'Unit Economics'!$E$50*'Assumptions'!$C$132*P30</f>
        <v/>
      </c>
      <c r="Q36" s="16">
        <f>'Unit Economics'!$E$50*'Assumptions'!$C$132*Q30</f>
        <v/>
      </c>
      <c r="R36" s="16">
        <f>'Unit Economics'!$E$50*'Assumptions'!$C$132*R30</f>
        <v/>
      </c>
      <c r="S36" s="16">
        <f>'Unit Economics'!$E$50*'Assumptions'!$C$132*S30</f>
        <v/>
      </c>
      <c r="T36" s="16">
        <f>'Unit Economics'!$E$50*'Assumptions'!$C$132*T30</f>
        <v/>
      </c>
      <c r="U36" s="16">
        <f>'Unit Economics'!$E$50*'Assumptions'!$C$132*U30</f>
        <v/>
      </c>
      <c r="V36" s="16">
        <f>'Unit Economics'!$E$50*'Assumptions'!$C$132*V30</f>
        <v/>
      </c>
      <c r="W36" s="16">
        <f>'Unit Economics'!$E$50*'Assumptions'!$C$132*W30</f>
        <v/>
      </c>
      <c r="X36" s="16">
        <f>'Unit Economics'!$E$50*'Assumptions'!$C$132*X30</f>
        <v/>
      </c>
      <c r="Y36" s="16">
        <f>'Unit Economics'!$E$50*'Assumptions'!$C$132*Y30</f>
        <v/>
      </c>
      <c r="Z36" s="16">
        <f>'Unit Economics'!$E$50*'Assumptions'!$C$132*Z30</f>
        <v/>
      </c>
      <c r="AA36" s="16">
        <f>'Unit Economics'!$E$50*'Assumptions'!$C$132*AA30</f>
        <v/>
      </c>
      <c r="AB36" s="16">
        <f>'Unit Economics'!$E$50*'Assumptions'!$C$132*AB30</f>
        <v/>
      </c>
      <c r="AC36" s="16">
        <f>'Unit Economics'!$E$50*'Assumptions'!$C$132*AC30</f>
        <v/>
      </c>
      <c r="AD36" s="16">
        <f>'Unit Economics'!$E$50*'Assumptions'!$C$132*AD30</f>
        <v/>
      </c>
      <c r="AE36" s="16">
        <f>'Unit Economics'!$E$50*'Assumptions'!$C$132*AE30</f>
        <v/>
      </c>
      <c r="AF36" s="16">
        <f>'Unit Economics'!$E$50*'Assumptions'!$C$132*AF30</f>
        <v/>
      </c>
      <c r="AG36" s="16">
        <f>'Unit Economics'!$E$50*'Assumptions'!$C$132*AG30</f>
        <v/>
      </c>
      <c r="AH36" s="16">
        <f>'Unit Economics'!$E$50*'Assumptions'!$C$132*AH30</f>
        <v/>
      </c>
      <c r="AI36" s="16">
        <f>'Unit Economics'!$E$50*'Assumptions'!$C$132*AI30</f>
        <v/>
      </c>
      <c r="AJ36" s="16">
        <f>'Unit Economics'!$E$50*'Assumptions'!$C$132*AJ30</f>
        <v/>
      </c>
      <c r="AK36" s="16">
        <f>'Unit Economics'!$E$50*'Assumptions'!$C$132*AK30</f>
        <v/>
      </c>
      <c r="AL36" s="16">
        <f>'Unit Economics'!$E$50*'Assumptions'!$C$132*AL30</f>
        <v/>
      </c>
    </row>
    <row r="37">
      <c r="A37" s="7" t="inlineStr">
        <is>
          <t xml:space="preserve">   Gross sales (price paid by customers)</t>
        </is>
      </c>
      <c r="B37" s="9" t="inlineStr">
        <is>
          <t>$</t>
        </is>
      </c>
      <c r="C37" s="8">
        <f>C35*'Unit Economics'!$E$50</f>
        <v/>
      </c>
      <c r="D37" s="8">
        <f>D35*'Unit Economics'!$E$50</f>
        <v/>
      </c>
      <c r="E37" s="8">
        <f>E35*'Unit Economics'!$E$50</f>
        <v/>
      </c>
      <c r="F37" s="8">
        <f>F35*'Unit Economics'!$E$50</f>
        <v/>
      </c>
      <c r="G37" s="8">
        <f>G35*'Unit Economics'!$E$50</f>
        <v/>
      </c>
      <c r="H37" s="8">
        <f>H35*'Unit Economics'!$E$50</f>
        <v/>
      </c>
      <c r="I37" s="8">
        <f>I35*'Unit Economics'!$E$50</f>
        <v/>
      </c>
      <c r="J37" s="8">
        <f>J35*'Unit Economics'!$E$50</f>
        <v/>
      </c>
      <c r="K37" s="8">
        <f>K35*'Unit Economics'!$E$50</f>
        <v/>
      </c>
      <c r="L37" s="8">
        <f>L35*'Unit Economics'!$E$50</f>
        <v/>
      </c>
      <c r="M37" s="8">
        <f>M35*'Unit Economics'!$E$50</f>
        <v/>
      </c>
      <c r="N37" s="8">
        <f>N35*'Unit Economics'!$E$50</f>
        <v/>
      </c>
      <c r="O37" s="8">
        <f>O35*'Unit Economics'!$E$50</f>
        <v/>
      </c>
      <c r="P37" s="8">
        <f>P35*'Unit Economics'!$E$50</f>
        <v/>
      </c>
      <c r="Q37" s="8">
        <f>Q35*'Unit Economics'!$E$50</f>
        <v/>
      </c>
      <c r="R37" s="8">
        <f>R35*'Unit Economics'!$E$50</f>
        <v/>
      </c>
      <c r="S37" s="8">
        <f>S35*'Unit Economics'!$E$50</f>
        <v/>
      </c>
      <c r="T37" s="8">
        <f>T35*'Unit Economics'!$E$50</f>
        <v/>
      </c>
      <c r="U37" s="8">
        <f>U35*'Unit Economics'!$E$50</f>
        <v/>
      </c>
      <c r="V37" s="8">
        <f>V35*'Unit Economics'!$E$50</f>
        <v/>
      </c>
      <c r="W37" s="8">
        <f>W35*'Unit Economics'!$E$50</f>
        <v/>
      </c>
      <c r="X37" s="8">
        <f>X35*'Unit Economics'!$E$50</f>
        <v/>
      </c>
      <c r="Y37" s="8">
        <f>Y35*'Unit Economics'!$E$50</f>
        <v/>
      </c>
      <c r="Z37" s="8">
        <f>Z35*'Unit Economics'!$E$50</f>
        <v/>
      </c>
      <c r="AA37" s="8">
        <f>AA35*'Unit Economics'!$E$50</f>
        <v/>
      </c>
      <c r="AB37" s="8">
        <f>AB35*'Unit Economics'!$E$50</f>
        <v/>
      </c>
      <c r="AC37" s="8">
        <f>AC35*'Unit Economics'!$E$50</f>
        <v/>
      </c>
      <c r="AD37" s="8">
        <f>AD35*'Unit Economics'!$E$50</f>
        <v/>
      </c>
      <c r="AE37" s="8">
        <f>AE35*'Unit Economics'!$E$50</f>
        <v/>
      </c>
      <c r="AF37" s="8">
        <f>AF35*'Unit Economics'!$E$50</f>
        <v/>
      </c>
      <c r="AG37" s="8">
        <f>AG35*'Unit Economics'!$E$50</f>
        <v/>
      </c>
      <c r="AH37" s="8">
        <f>AH35*'Unit Economics'!$E$50</f>
        <v/>
      </c>
      <c r="AI37" s="8">
        <f>AI35*'Unit Economics'!$E$50</f>
        <v/>
      </c>
      <c r="AJ37" s="8">
        <f>AJ35*'Unit Economics'!$E$50</f>
        <v/>
      </c>
      <c r="AK37" s="8">
        <f>AK35*'Unit Economics'!$E$50</f>
        <v/>
      </c>
      <c r="AL37" s="8">
        <f>AL35*'Unit Economics'!$E$50</f>
        <v/>
      </c>
      <c r="AM37" s="47">
        <f>SUMIF($C$6:$AL$6,1,C37:AL37)</f>
        <v/>
      </c>
      <c r="AN37" s="47">
        <f>SUMIF($C$6:$AL$6,2,C37:AL37)</f>
        <v/>
      </c>
      <c r="AO37" s="47">
        <f>SUMIF($C$6:$AL$6,3,C37:AL37)</f>
        <v/>
      </c>
      <c r="AP37" s="47">
        <f>SUM(C37:AL37)</f>
        <v/>
      </c>
    </row>
    <row r="38">
      <c r="A38" s="7" t="inlineStr">
        <is>
          <t xml:space="preserve">   Net contribution to AlphaPlay</t>
        </is>
      </c>
      <c r="B38" s="9" t="inlineStr">
        <is>
          <t>$</t>
        </is>
      </c>
      <c r="C38" s="8">
        <f>C35*'Unit Economics'!$F$50</f>
        <v/>
      </c>
      <c r="D38" s="8">
        <f>D35*'Unit Economics'!$F$50</f>
        <v/>
      </c>
      <c r="E38" s="8">
        <f>E35*'Unit Economics'!$F$50</f>
        <v/>
      </c>
      <c r="F38" s="8">
        <f>F35*'Unit Economics'!$F$50</f>
        <v/>
      </c>
      <c r="G38" s="8">
        <f>G35*'Unit Economics'!$F$50</f>
        <v/>
      </c>
      <c r="H38" s="8">
        <f>H35*'Unit Economics'!$F$50</f>
        <v/>
      </c>
      <c r="I38" s="8">
        <f>I35*'Unit Economics'!$F$50</f>
        <v/>
      </c>
      <c r="J38" s="8">
        <f>J35*'Unit Economics'!$F$50</f>
        <v/>
      </c>
      <c r="K38" s="8">
        <f>K35*'Unit Economics'!$F$50</f>
        <v/>
      </c>
      <c r="L38" s="8">
        <f>L35*'Unit Economics'!$F$50</f>
        <v/>
      </c>
      <c r="M38" s="8">
        <f>M35*'Unit Economics'!$F$50</f>
        <v/>
      </c>
      <c r="N38" s="8">
        <f>N35*'Unit Economics'!$F$50</f>
        <v/>
      </c>
      <c r="O38" s="8">
        <f>O35*'Unit Economics'!$F$50</f>
        <v/>
      </c>
      <c r="P38" s="8">
        <f>P35*'Unit Economics'!$F$50</f>
        <v/>
      </c>
      <c r="Q38" s="8">
        <f>Q35*'Unit Economics'!$F$50</f>
        <v/>
      </c>
      <c r="R38" s="8">
        <f>R35*'Unit Economics'!$F$50</f>
        <v/>
      </c>
      <c r="S38" s="8">
        <f>S35*'Unit Economics'!$F$50</f>
        <v/>
      </c>
      <c r="T38" s="8">
        <f>T35*'Unit Economics'!$F$50</f>
        <v/>
      </c>
      <c r="U38" s="8">
        <f>U35*'Unit Economics'!$F$50</f>
        <v/>
      </c>
      <c r="V38" s="8">
        <f>V35*'Unit Economics'!$F$50</f>
        <v/>
      </c>
      <c r="W38" s="8">
        <f>W35*'Unit Economics'!$F$50</f>
        <v/>
      </c>
      <c r="X38" s="8">
        <f>X35*'Unit Economics'!$F$50</f>
        <v/>
      </c>
      <c r="Y38" s="8">
        <f>Y35*'Unit Economics'!$F$50</f>
        <v/>
      </c>
      <c r="Z38" s="8">
        <f>Z35*'Unit Economics'!$F$50</f>
        <v/>
      </c>
      <c r="AA38" s="8">
        <f>AA35*'Unit Economics'!$F$50</f>
        <v/>
      </c>
      <c r="AB38" s="8">
        <f>AB35*'Unit Economics'!$F$50</f>
        <v/>
      </c>
      <c r="AC38" s="8">
        <f>AC35*'Unit Economics'!$F$50</f>
        <v/>
      </c>
      <c r="AD38" s="8">
        <f>AD35*'Unit Economics'!$F$50</f>
        <v/>
      </c>
      <c r="AE38" s="8">
        <f>AE35*'Unit Economics'!$F$50</f>
        <v/>
      </c>
      <c r="AF38" s="8">
        <f>AF35*'Unit Economics'!$F$50</f>
        <v/>
      </c>
      <c r="AG38" s="8">
        <f>AG35*'Unit Economics'!$F$50</f>
        <v/>
      </c>
      <c r="AH38" s="8">
        <f>AH35*'Unit Economics'!$F$50</f>
        <v/>
      </c>
      <c r="AI38" s="8">
        <f>AI35*'Unit Economics'!$F$50</f>
        <v/>
      </c>
      <c r="AJ38" s="8">
        <f>AJ35*'Unit Economics'!$F$50</f>
        <v/>
      </c>
      <c r="AK38" s="8">
        <f>AK35*'Unit Economics'!$F$50</f>
        <v/>
      </c>
      <c r="AL38" s="8">
        <f>AL35*'Unit Economics'!$F$50</f>
        <v/>
      </c>
      <c r="AM38" s="47">
        <f>SUMIF($C$6:$AL$6,1,C38:AL38)</f>
        <v/>
      </c>
      <c r="AN38" s="47">
        <f>SUMIF($C$6:$AL$6,2,C38:AL38)</f>
        <v/>
      </c>
      <c r="AO38" s="47">
        <f>SUMIF($C$6:$AL$6,3,C38:AL38)</f>
        <v/>
      </c>
      <c r="AP38" s="47">
        <f>SUM(C38:AL38)</f>
        <v/>
      </c>
    </row>
    <row r="39">
      <c r="A39" s="5" t="inlineStr">
        <is>
          <t>Amazon KDP: paperbacks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  <c r="AE39" s="6" t="n"/>
      <c r="AF39" s="6" t="n"/>
      <c r="AG39" s="6" t="n"/>
      <c r="AH39" s="6" t="n"/>
      <c r="AI39" s="6" t="n"/>
      <c r="AJ39" s="6" t="n"/>
      <c r="AK39" s="6" t="n"/>
      <c r="AL39" s="6" t="n"/>
      <c r="AM39" s="6" t="n"/>
      <c r="AN39" s="6" t="n"/>
      <c r="AO39" s="6" t="n"/>
      <c r="AP39" s="6" t="n"/>
    </row>
    <row r="40">
      <c r="A40" s="7" t="inlineStr">
        <is>
          <t xml:space="preserve">   Active (1 = live)</t>
        </is>
      </c>
      <c r="B40" s="9" t="inlineStr">
        <is>
          <t>flag</t>
        </is>
      </c>
      <c r="C40" s="18">
        <f>IF(AND('Assumptions'!$C$134=1,C$4&gt;=MAX('Assumptions'!$C$135,'Assumptions'!$C$9)),1,0)</f>
        <v/>
      </c>
      <c r="D40" s="18">
        <f>IF(AND('Assumptions'!$C$134=1,D$4&gt;=MAX('Assumptions'!$C$135,'Assumptions'!$C$9)),1,0)</f>
        <v/>
      </c>
      <c r="E40" s="18">
        <f>IF(AND('Assumptions'!$C$134=1,E$4&gt;=MAX('Assumptions'!$C$135,'Assumptions'!$C$9)),1,0)</f>
        <v/>
      </c>
      <c r="F40" s="18">
        <f>IF(AND('Assumptions'!$C$134=1,F$4&gt;=MAX('Assumptions'!$C$135,'Assumptions'!$C$9)),1,0)</f>
        <v/>
      </c>
      <c r="G40" s="18">
        <f>IF(AND('Assumptions'!$C$134=1,G$4&gt;=MAX('Assumptions'!$C$135,'Assumptions'!$C$9)),1,0)</f>
        <v/>
      </c>
      <c r="H40" s="18">
        <f>IF(AND('Assumptions'!$C$134=1,H$4&gt;=MAX('Assumptions'!$C$135,'Assumptions'!$C$9)),1,0)</f>
        <v/>
      </c>
      <c r="I40" s="18">
        <f>IF(AND('Assumptions'!$C$134=1,I$4&gt;=MAX('Assumptions'!$C$135,'Assumptions'!$C$9)),1,0)</f>
        <v/>
      </c>
      <c r="J40" s="18">
        <f>IF(AND('Assumptions'!$C$134=1,J$4&gt;=MAX('Assumptions'!$C$135,'Assumptions'!$C$9)),1,0)</f>
        <v/>
      </c>
      <c r="K40" s="18">
        <f>IF(AND('Assumptions'!$C$134=1,K$4&gt;=MAX('Assumptions'!$C$135,'Assumptions'!$C$9)),1,0)</f>
        <v/>
      </c>
      <c r="L40" s="18">
        <f>IF(AND('Assumptions'!$C$134=1,L$4&gt;=MAX('Assumptions'!$C$135,'Assumptions'!$C$9)),1,0)</f>
        <v/>
      </c>
      <c r="M40" s="18">
        <f>IF(AND('Assumptions'!$C$134=1,M$4&gt;=MAX('Assumptions'!$C$135,'Assumptions'!$C$9)),1,0)</f>
        <v/>
      </c>
      <c r="N40" s="18">
        <f>IF(AND('Assumptions'!$C$134=1,N$4&gt;=MAX('Assumptions'!$C$135,'Assumptions'!$C$9)),1,0)</f>
        <v/>
      </c>
      <c r="O40" s="18">
        <f>IF(AND('Assumptions'!$C$134=1,O$4&gt;=MAX('Assumptions'!$C$135,'Assumptions'!$C$9)),1,0)</f>
        <v/>
      </c>
      <c r="P40" s="18">
        <f>IF(AND('Assumptions'!$C$134=1,P$4&gt;=MAX('Assumptions'!$C$135,'Assumptions'!$C$9)),1,0)</f>
        <v/>
      </c>
      <c r="Q40" s="18">
        <f>IF(AND('Assumptions'!$C$134=1,Q$4&gt;=MAX('Assumptions'!$C$135,'Assumptions'!$C$9)),1,0)</f>
        <v/>
      </c>
      <c r="R40" s="18">
        <f>IF(AND('Assumptions'!$C$134=1,R$4&gt;=MAX('Assumptions'!$C$135,'Assumptions'!$C$9)),1,0)</f>
        <v/>
      </c>
      <c r="S40" s="18">
        <f>IF(AND('Assumptions'!$C$134=1,S$4&gt;=MAX('Assumptions'!$C$135,'Assumptions'!$C$9)),1,0)</f>
        <v/>
      </c>
      <c r="T40" s="18">
        <f>IF(AND('Assumptions'!$C$134=1,T$4&gt;=MAX('Assumptions'!$C$135,'Assumptions'!$C$9)),1,0)</f>
        <v/>
      </c>
      <c r="U40" s="18">
        <f>IF(AND('Assumptions'!$C$134=1,U$4&gt;=MAX('Assumptions'!$C$135,'Assumptions'!$C$9)),1,0)</f>
        <v/>
      </c>
      <c r="V40" s="18">
        <f>IF(AND('Assumptions'!$C$134=1,V$4&gt;=MAX('Assumptions'!$C$135,'Assumptions'!$C$9)),1,0)</f>
        <v/>
      </c>
      <c r="W40" s="18">
        <f>IF(AND('Assumptions'!$C$134=1,W$4&gt;=MAX('Assumptions'!$C$135,'Assumptions'!$C$9)),1,0)</f>
        <v/>
      </c>
      <c r="X40" s="18">
        <f>IF(AND('Assumptions'!$C$134=1,X$4&gt;=MAX('Assumptions'!$C$135,'Assumptions'!$C$9)),1,0)</f>
        <v/>
      </c>
      <c r="Y40" s="18">
        <f>IF(AND('Assumptions'!$C$134=1,Y$4&gt;=MAX('Assumptions'!$C$135,'Assumptions'!$C$9)),1,0)</f>
        <v/>
      </c>
      <c r="Z40" s="18">
        <f>IF(AND('Assumptions'!$C$134=1,Z$4&gt;=MAX('Assumptions'!$C$135,'Assumptions'!$C$9)),1,0)</f>
        <v/>
      </c>
      <c r="AA40" s="18">
        <f>IF(AND('Assumptions'!$C$134=1,AA$4&gt;=MAX('Assumptions'!$C$135,'Assumptions'!$C$9)),1,0)</f>
        <v/>
      </c>
      <c r="AB40" s="18">
        <f>IF(AND('Assumptions'!$C$134=1,AB$4&gt;=MAX('Assumptions'!$C$135,'Assumptions'!$C$9)),1,0)</f>
        <v/>
      </c>
      <c r="AC40" s="18">
        <f>IF(AND('Assumptions'!$C$134=1,AC$4&gt;=MAX('Assumptions'!$C$135,'Assumptions'!$C$9)),1,0)</f>
        <v/>
      </c>
      <c r="AD40" s="18">
        <f>IF(AND('Assumptions'!$C$134=1,AD$4&gt;=MAX('Assumptions'!$C$135,'Assumptions'!$C$9)),1,0)</f>
        <v/>
      </c>
      <c r="AE40" s="18">
        <f>IF(AND('Assumptions'!$C$134=1,AE$4&gt;=MAX('Assumptions'!$C$135,'Assumptions'!$C$9)),1,0)</f>
        <v/>
      </c>
      <c r="AF40" s="18">
        <f>IF(AND('Assumptions'!$C$134=1,AF$4&gt;=MAX('Assumptions'!$C$135,'Assumptions'!$C$9)),1,0)</f>
        <v/>
      </c>
      <c r="AG40" s="18">
        <f>IF(AND('Assumptions'!$C$134=1,AG$4&gt;=MAX('Assumptions'!$C$135,'Assumptions'!$C$9)),1,0)</f>
        <v/>
      </c>
      <c r="AH40" s="18">
        <f>IF(AND('Assumptions'!$C$134=1,AH$4&gt;=MAX('Assumptions'!$C$135,'Assumptions'!$C$9)),1,0)</f>
        <v/>
      </c>
      <c r="AI40" s="18">
        <f>IF(AND('Assumptions'!$C$134=1,AI$4&gt;=MAX('Assumptions'!$C$135,'Assumptions'!$C$9)),1,0)</f>
        <v/>
      </c>
      <c r="AJ40" s="18">
        <f>IF(AND('Assumptions'!$C$134=1,AJ$4&gt;=MAX('Assumptions'!$C$135,'Assumptions'!$C$9)),1,0)</f>
        <v/>
      </c>
      <c r="AK40" s="18">
        <f>IF(AND('Assumptions'!$C$134=1,AK$4&gt;=MAX('Assumptions'!$C$135,'Assumptions'!$C$9)),1,0)</f>
        <v/>
      </c>
      <c r="AL40" s="18">
        <f>IF(AND('Assumptions'!$C$134=1,AL$4&gt;=MAX('Assumptions'!$C$135,'Assumptions'!$C$9)),1,0)</f>
        <v/>
      </c>
    </row>
    <row r="41">
      <c r="A41" s="7" t="inlineStr">
        <is>
          <t xml:space="preserve">   Titles live</t>
        </is>
      </c>
      <c r="B41" s="9" t="inlineStr">
        <is>
          <t>titles</t>
        </is>
      </c>
      <c r="C41" s="14">
        <f>IF(C40=0,0,MIN('Assumptions'!$C$138,'Assumptions'!$C$136+'Assumptions'!$C$137*(C$4-MAX('Assumptions'!$C$135,'Assumptions'!$C$9))))</f>
        <v/>
      </c>
      <c r="D41" s="14">
        <f>IF(D40=0,0,MIN('Assumptions'!$C$138,'Assumptions'!$C$136+'Assumptions'!$C$137*(D$4-MAX('Assumptions'!$C$135,'Assumptions'!$C$9))))</f>
        <v/>
      </c>
      <c r="E41" s="14">
        <f>IF(E40=0,0,MIN('Assumptions'!$C$138,'Assumptions'!$C$136+'Assumptions'!$C$137*(E$4-MAX('Assumptions'!$C$135,'Assumptions'!$C$9))))</f>
        <v/>
      </c>
      <c r="F41" s="14">
        <f>IF(F40=0,0,MIN('Assumptions'!$C$138,'Assumptions'!$C$136+'Assumptions'!$C$137*(F$4-MAX('Assumptions'!$C$135,'Assumptions'!$C$9))))</f>
        <v/>
      </c>
      <c r="G41" s="14">
        <f>IF(G40=0,0,MIN('Assumptions'!$C$138,'Assumptions'!$C$136+'Assumptions'!$C$137*(G$4-MAX('Assumptions'!$C$135,'Assumptions'!$C$9))))</f>
        <v/>
      </c>
      <c r="H41" s="14">
        <f>IF(H40=0,0,MIN('Assumptions'!$C$138,'Assumptions'!$C$136+'Assumptions'!$C$137*(H$4-MAX('Assumptions'!$C$135,'Assumptions'!$C$9))))</f>
        <v/>
      </c>
      <c r="I41" s="14">
        <f>IF(I40=0,0,MIN('Assumptions'!$C$138,'Assumptions'!$C$136+'Assumptions'!$C$137*(I$4-MAX('Assumptions'!$C$135,'Assumptions'!$C$9))))</f>
        <v/>
      </c>
      <c r="J41" s="14">
        <f>IF(J40=0,0,MIN('Assumptions'!$C$138,'Assumptions'!$C$136+'Assumptions'!$C$137*(J$4-MAX('Assumptions'!$C$135,'Assumptions'!$C$9))))</f>
        <v/>
      </c>
      <c r="K41" s="14">
        <f>IF(K40=0,0,MIN('Assumptions'!$C$138,'Assumptions'!$C$136+'Assumptions'!$C$137*(K$4-MAX('Assumptions'!$C$135,'Assumptions'!$C$9))))</f>
        <v/>
      </c>
      <c r="L41" s="14">
        <f>IF(L40=0,0,MIN('Assumptions'!$C$138,'Assumptions'!$C$136+'Assumptions'!$C$137*(L$4-MAX('Assumptions'!$C$135,'Assumptions'!$C$9))))</f>
        <v/>
      </c>
      <c r="M41" s="14">
        <f>IF(M40=0,0,MIN('Assumptions'!$C$138,'Assumptions'!$C$136+'Assumptions'!$C$137*(M$4-MAX('Assumptions'!$C$135,'Assumptions'!$C$9))))</f>
        <v/>
      </c>
      <c r="N41" s="14">
        <f>IF(N40=0,0,MIN('Assumptions'!$C$138,'Assumptions'!$C$136+'Assumptions'!$C$137*(N$4-MAX('Assumptions'!$C$135,'Assumptions'!$C$9))))</f>
        <v/>
      </c>
      <c r="O41" s="14">
        <f>IF(O40=0,0,MIN('Assumptions'!$C$138,'Assumptions'!$C$136+'Assumptions'!$C$137*(O$4-MAX('Assumptions'!$C$135,'Assumptions'!$C$9))))</f>
        <v/>
      </c>
      <c r="P41" s="14">
        <f>IF(P40=0,0,MIN('Assumptions'!$C$138,'Assumptions'!$C$136+'Assumptions'!$C$137*(P$4-MAX('Assumptions'!$C$135,'Assumptions'!$C$9))))</f>
        <v/>
      </c>
      <c r="Q41" s="14">
        <f>IF(Q40=0,0,MIN('Assumptions'!$C$138,'Assumptions'!$C$136+'Assumptions'!$C$137*(Q$4-MAX('Assumptions'!$C$135,'Assumptions'!$C$9))))</f>
        <v/>
      </c>
      <c r="R41" s="14">
        <f>IF(R40=0,0,MIN('Assumptions'!$C$138,'Assumptions'!$C$136+'Assumptions'!$C$137*(R$4-MAX('Assumptions'!$C$135,'Assumptions'!$C$9))))</f>
        <v/>
      </c>
      <c r="S41" s="14">
        <f>IF(S40=0,0,MIN('Assumptions'!$C$138,'Assumptions'!$C$136+'Assumptions'!$C$137*(S$4-MAX('Assumptions'!$C$135,'Assumptions'!$C$9))))</f>
        <v/>
      </c>
      <c r="T41" s="14">
        <f>IF(T40=0,0,MIN('Assumptions'!$C$138,'Assumptions'!$C$136+'Assumptions'!$C$137*(T$4-MAX('Assumptions'!$C$135,'Assumptions'!$C$9))))</f>
        <v/>
      </c>
      <c r="U41" s="14">
        <f>IF(U40=0,0,MIN('Assumptions'!$C$138,'Assumptions'!$C$136+'Assumptions'!$C$137*(U$4-MAX('Assumptions'!$C$135,'Assumptions'!$C$9))))</f>
        <v/>
      </c>
      <c r="V41" s="14">
        <f>IF(V40=0,0,MIN('Assumptions'!$C$138,'Assumptions'!$C$136+'Assumptions'!$C$137*(V$4-MAX('Assumptions'!$C$135,'Assumptions'!$C$9))))</f>
        <v/>
      </c>
      <c r="W41" s="14">
        <f>IF(W40=0,0,MIN('Assumptions'!$C$138,'Assumptions'!$C$136+'Assumptions'!$C$137*(W$4-MAX('Assumptions'!$C$135,'Assumptions'!$C$9))))</f>
        <v/>
      </c>
      <c r="X41" s="14">
        <f>IF(X40=0,0,MIN('Assumptions'!$C$138,'Assumptions'!$C$136+'Assumptions'!$C$137*(X$4-MAX('Assumptions'!$C$135,'Assumptions'!$C$9))))</f>
        <v/>
      </c>
      <c r="Y41" s="14">
        <f>IF(Y40=0,0,MIN('Assumptions'!$C$138,'Assumptions'!$C$136+'Assumptions'!$C$137*(Y$4-MAX('Assumptions'!$C$135,'Assumptions'!$C$9))))</f>
        <v/>
      </c>
      <c r="Z41" s="14">
        <f>IF(Z40=0,0,MIN('Assumptions'!$C$138,'Assumptions'!$C$136+'Assumptions'!$C$137*(Z$4-MAX('Assumptions'!$C$135,'Assumptions'!$C$9))))</f>
        <v/>
      </c>
      <c r="AA41" s="14">
        <f>IF(AA40=0,0,MIN('Assumptions'!$C$138,'Assumptions'!$C$136+'Assumptions'!$C$137*(AA$4-MAX('Assumptions'!$C$135,'Assumptions'!$C$9))))</f>
        <v/>
      </c>
      <c r="AB41" s="14">
        <f>IF(AB40=0,0,MIN('Assumptions'!$C$138,'Assumptions'!$C$136+'Assumptions'!$C$137*(AB$4-MAX('Assumptions'!$C$135,'Assumptions'!$C$9))))</f>
        <v/>
      </c>
      <c r="AC41" s="14">
        <f>IF(AC40=0,0,MIN('Assumptions'!$C$138,'Assumptions'!$C$136+'Assumptions'!$C$137*(AC$4-MAX('Assumptions'!$C$135,'Assumptions'!$C$9))))</f>
        <v/>
      </c>
      <c r="AD41" s="14">
        <f>IF(AD40=0,0,MIN('Assumptions'!$C$138,'Assumptions'!$C$136+'Assumptions'!$C$137*(AD$4-MAX('Assumptions'!$C$135,'Assumptions'!$C$9))))</f>
        <v/>
      </c>
      <c r="AE41" s="14">
        <f>IF(AE40=0,0,MIN('Assumptions'!$C$138,'Assumptions'!$C$136+'Assumptions'!$C$137*(AE$4-MAX('Assumptions'!$C$135,'Assumptions'!$C$9))))</f>
        <v/>
      </c>
      <c r="AF41" s="14">
        <f>IF(AF40=0,0,MIN('Assumptions'!$C$138,'Assumptions'!$C$136+'Assumptions'!$C$137*(AF$4-MAX('Assumptions'!$C$135,'Assumptions'!$C$9))))</f>
        <v/>
      </c>
      <c r="AG41" s="14">
        <f>IF(AG40=0,0,MIN('Assumptions'!$C$138,'Assumptions'!$C$136+'Assumptions'!$C$137*(AG$4-MAX('Assumptions'!$C$135,'Assumptions'!$C$9))))</f>
        <v/>
      </c>
      <c r="AH41" s="14">
        <f>IF(AH40=0,0,MIN('Assumptions'!$C$138,'Assumptions'!$C$136+'Assumptions'!$C$137*(AH$4-MAX('Assumptions'!$C$135,'Assumptions'!$C$9))))</f>
        <v/>
      </c>
      <c r="AI41" s="14">
        <f>IF(AI40=0,0,MIN('Assumptions'!$C$138,'Assumptions'!$C$136+'Assumptions'!$C$137*(AI$4-MAX('Assumptions'!$C$135,'Assumptions'!$C$9))))</f>
        <v/>
      </c>
      <c r="AJ41" s="14">
        <f>IF(AJ40=0,0,MIN('Assumptions'!$C$138,'Assumptions'!$C$136+'Assumptions'!$C$137*(AJ$4-MAX('Assumptions'!$C$135,'Assumptions'!$C$9))))</f>
        <v/>
      </c>
      <c r="AK41" s="14">
        <f>IF(AK40=0,0,MIN('Assumptions'!$C$138,'Assumptions'!$C$136+'Assumptions'!$C$137*(AK$4-MAX('Assumptions'!$C$135,'Assumptions'!$C$9))))</f>
        <v/>
      </c>
      <c r="AL41" s="14">
        <f>IF(AL40=0,0,MIN('Assumptions'!$C$138,'Assumptions'!$C$136+'Assumptions'!$C$137*(AL$4-MAX('Assumptions'!$C$135,'Assumptions'!$C$9))))</f>
        <v/>
      </c>
    </row>
    <row r="42">
      <c r="A42" s="7" t="inlineStr">
        <is>
          <t xml:space="preserve">   Title-months live (titles x season)</t>
        </is>
      </c>
      <c r="B42" s="9" t="inlineStr">
        <is>
          <t>title-mo</t>
        </is>
      </c>
      <c r="C42" s="56">
        <f>C41*C$7</f>
        <v/>
      </c>
      <c r="D42" s="56">
        <f>D41*D$7</f>
        <v/>
      </c>
      <c r="E42" s="56">
        <f>E41*E$7</f>
        <v/>
      </c>
      <c r="F42" s="56">
        <f>F41*F$7</f>
        <v/>
      </c>
      <c r="G42" s="56">
        <f>G41*G$7</f>
        <v/>
      </c>
      <c r="H42" s="56">
        <f>H41*H$7</f>
        <v/>
      </c>
      <c r="I42" s="56">
        <f>I41*I$7</f>
        <v/>
      </c>
      <c r="J42" s="56">
        <f>J41*J$7</f>
        <v/>
      </c>
      <c r="K42" s="56">
        <f>K41*K$7</f>
        <v/>
      </c>
      <c r="L42" s="56">
        <f>L41*L$7</f>
        <v/>
      </c>
      <c r="M42" s="56">
        <f>M41*M$7</f>
        <v/>
      </c>
      <c r="N42" s="56">
        <f>N41*N$7</f>
        <v/>
      </c>
      <c r="O42" s="56">
        <f>O41*O$7</f>
        <v/>
      </c>
      <c r="P42" s="56">
        <f>P41*P$7</f>
        <v/>
      </c>
      <c r="Q42" s="56">
        <f>Q41*Q$7</f>
        <v/>
      </c>
      <c r="R42" s="56">
        <f>R41*R$7</f>
        <v/>
      </c>
      <c r="S42" s="56">
        <f>S41*S$7</f>
        <v/>
      </c>
      <c r="T42" s="56">
        <f>T41*T$7</f>
        <v/>
      </c>
      <c r="U42" s="56">
        <f>U41*U$7</f>
        <v/>
      </c>
      <c r="V42" s="56">
        <f>V41*V$7</f>
        <v/>
      </c>
      <c r="W42" s="56">
        <f>W41*W$7</f>
        <v/>
      </c>
      <c r="X42" s="56">
        <f>X41*X$7</f>
        <v/>
      </c>
      <c r="Y42" s="56">
        <f>Y41*Y$7</f>
        <v/>
      </c>
      <c r="Z42" s="56">
        <f>Z41*Z$7</f>
        <v/>
      </c>
      <c r="AA42" s="56">
        <f>AA41*AA$7</f>
        <v/>
      </c>
      <c r="AB42" s="56">
        <f>AB41*AB$7</f>
        <v/>
      </c>
      <c r="AC42" s="56">
        <f>AC41*AC$7</f>
        <v/>
      </c>
      <c r="AD42" s="56">
        <f>AD41*AD$7</f>
        <v/>
      </c>
      <c r="AE42" s="56">
        <f>AE41*AE$7</f>
        <v/>
      </c>
      <c r="AF42" s="56">
        <f>AF41*AF$7</f>
        <v/>
      </c>
      <c r="AG42" s="56">
        <f>AG41*AG$7</f>
        <v/>
      </c>
      <c r="AH42" s="56">
        <f>AH41*AH$7</f>
        <v/>
      </c>
      <c r="AI42" s="56">
        <f>AI41*AI$7</f>
        <v/>
      </c>
      <c r="AJ42" s="56">
        <f>AJ41*AJ$7</f>
        <v/>
      </c>
      <c r="AK42" s="56">
        <f>AK41*AK$7</f>
        <v/>
      </c>
      <c r="AL42" s="56">
        <f>AL41*AL$7</f>
        <v/>
      </c>
      <c r="AM42" s="57">
        <f>SUMIF($C$6:$AL$6,1,C42:AL42)</f>
        <v/>
      </c>
      <c r="AN42" s="57">
        <f>SUMIF($C$6:$AL$6,2,C42:AL42)</f>
        <v/>
      </c>
      <c r="AO42" s="57">
        <f>SUMIF($C$6:$AL$6,3,C42:AL42)</f>
        <v/>
      </c>
      <c r="AP42" s="57">
        <f>SUM(C42:AL42)</f>
        <v/>
      </c>
    </row>
    <row r="43">
      <c r="A43" s="7" t="inlineStr">
        <is>
          <t xml:space="preserve">   Units per title per month (with review ramp)</t>
        </is>
      </c>
      <c r="B43" s="9" t="inlineStr">
        <is>
          <t>units</t>
        </is>
      </c>
      <c r="C43" s="51">
        <f>'Assumptions'!$C$139*MIN(1,(C$4-MAX('Assumptions'!$C$135,'Assumptions'!$C$9)+1)/'Assumptions'!$C$11)*C40</f>
        <v/>
      </c>
      <c r="D43" s="51">
        <f>'Assumptions'!$C$139*MIN(1,(D$4-MAX('Assumptions'!$C$135,'Assumptions'!$C$9)+1)/'Assumptions'!$C$11)*D40</f>
        <v/>
      </c>
      <c r="E43" s="51">
        <f>'Assumptions'!$C$139*MIN(1,(E$4-MAX('Assumptions'!$C$135,'Assumptions'!$C$9)+1)/'Assumptions'!$C$11)*E40</f>
        <v/>
      </c>
      <c r="F43" s="51">
        <f>'Assumptions'!$C$139*MIN(1,(F$4-MAX('Assumptions'!$C$135,'Assumptions'!$C$9)+1)/'Assumptions'!$C$11)*F40</f>
        <v/>
      </c>
      <c r="G43" s="51">
        <f>'Assumptions'!$C$139*MIN(1,(G$4-MAX('Assumptions'!$C$135,'Assumptions'!$C$9)+1)/'Assumptions'!$C$11)*G40</f>
        <v/>
      </c>
      <c r="H43" s="51">
        <f>'Assumptions'!$C$139*MIN(1,(H$4-MAX('Assumptions'!$C$135,'Assumptions'!$C$9)+1)/'Assumptions'!$C$11)*H40</f>
        <v/>
      </c>
      <c r="I43" s="51">
        <f>'Assumptions'!$C$139*MIN(1,(I$4-MAX('Assumptions'!$C$135,'Assumptions'!$C$9)+1)/'Assumptions'!$C$11)*I40</f>
        <v/>
      </c>
      <c r="J43" s="51">
        <f>'Assumptions'!$C$139*MIN(1,(J$4-MAX('Assumptions'!$C$135,'Assumptions'!$C$9)+1)/'Assumptions'!$C$11)*J40</f>
        <v/>
      </c>
      <c r="K43" s="51">
        <f>'Assumptions'!$C$139*MIN(1,(K$4-MAX('Assumptions'!$C$135,'Assumptions'!$C$9)+1)/'Assumptions'!$C$11)*K40</f>
        <v/>
      </c>
      <c r="L43" s="51">
        <f>'Assumptions'!$C$139*MIN(1,(L$4-MAX('Assumptions'!$C$135,'Assumptions'!$C$9)+1)/'Assumptions'!$C$11)*L40</f>
        <v/>
      </c>
      <c r="M43" s="51">
        <f>'Assumptions'!$C$139*MIN(1,(M$4-MAX('Assumptions'!$C$135,'Assumptions'!$C$9)+1)/'Assumptions'!$C$11)*M40</f>
        <v/>
      </c>
      <c r="N43" s="51">
        <f>'Assumptions'!$C$139*MIN(1,(N$4-MAX('Assumptions'!$C$135,'Assumptions'!$C$9)+1)/'Assumptions'!$C$11)*N40</f>
        <v/>
      </c>
      <c r="O43" s="51">
        <f>'Assumptions'!$C$139*MIN(1,(O$4-MAX('Assumptions'!$C$135,'Assumptions'!$C$9)+1)/'Assumptions'!$C$11)*O40</f>
        <v/>
      </c>
      <c r="P43" s="51">
        <f>'Assumptions'!$C$139*MIN(1,(P$4-MAX('Assumptions'!$C$135,'Assumptions'!$C$9)+1)/'Assumptions'!$C$11)*P40</f>
        <v/>
      </c>
      <c r="Q43" s="51">
        <f>'Assumptions'!$C$139*MIN(1,(Q$4-MAX('Assumptions'!$C$135,'Assumptions'!$C$9)+1)/'Assumptions'!$C$11)*Q40</f>
        <v/>
      </c>
      <c r="R43" s="51">
        <f>'Assumptions'!$C$139*MIN(1,(R$4-MAX('Assumptions'!$C$135,'Assumptions'!$C$9)+1)/'Assumptions'!$C$11)*R40</f>
        <v/>
      </c>
      <c r="S43" s="51">
        <f>'Assumptions'!$C$139*MIN(1,(S$4-MAX('Assumptions'!$C$135,'Assumptions'!$C$9)+1)/'Assumptions'!$C$11)*S40</f>
        <v/>
      </c>
      <c r="T43" s="51">
        <f>'Assumptions'!$C$139*MIN(1,(T$4-MAX('Assumptions'!$C$135,'Assumptions'!$C$9)+1)/'Assumptions'!$C$11)*T40</f>
        <v/>
      </c>
      <c r="U43" s="51">
        <f>'Assumptions'!$C$139*MIN(1,(U$4-MAX('Assumptions'!$C$135,'Assumptions'!$C$9)+1)/'Assumptions'!$C$11)*U40</f>
        <v/>
      </c>
      <c r="V43" s="51">
        <f>'Assumptions'!$C$139*MIN(1,(V$4-MAX('Assumptions'!$C$135,'Assumptions'!$C$9)+1)/'Assumptions'!$C$11)*V40</f>
        <v/>
      </c>
      <c r="W43" s="51">
        <f>'Assumptions'!$C$139*MIN(1,(W$4-MAX('Assumptions'!$C$135,'Assumptions'!$C$9)+1)/'Assumptions'!$C$11)*W40</f>
        <v/>
      </c>
      <c r="X43" s="51">
        <f>'Assumptions'!$C$139*MIN(1,(X$4-MAX('Assumptions'!$C$135,'Assumptions'!$C$9)+1)/'Assumptions'!$C$11)*X40</f>
        <v/>
      </c>
      <c r="Y43" s="51">
        <f>'Assumptions'!$C$139*MIN(1,(Y$4-MAX('Assumptions'!$C$135,'Assumptions'!$C$9)+1)/'Assumptions'!$C$11)*Y40</f>
        <v/>
      </c>
      <c r="Z43" s="51">
        <f>'Assumptions'!$C$139*MIN(1,(Z$4-MAX('Assumptions'!$C$135,'Assumptions'!$C$9)+1)/'Assumptions'!$C$11)*Z40</f>
        <v/>
      </c>
      <c r="AA43" s="51">
        <f>'Assumptions'!$C$139*MIN(1,(AA$4-MAX('Assumptions'!$C$135,'Assumptions'!$C$9)+1)/'Assumptions'!$C$11)*AA40</f>
        <v/>
      </c>
      <c r="AB43" s="51">
        <f>'Assumptions'!$C$139*MIN(1,(AB$4-MAX('Assumptions'!$C$135,'Assumptions'!$C$9)+1)/'Assumptions'!$C$11)*AB40</f>
        <v/>
      </c>
      <c r="AC43" s="51">
        <f>'Assumptions'!$C$139*MIN(1,(AC$4-MAX('Assumptions'!$C$135,'Assumptions'!$C$9)+1)/'Assumptions'!$C$11)*AC40</f>
        <v/>
      </c>
      <c r="AD43" s="51">
        <f>'Assumptions'!$C$139*MIN(1,(AD$4-MAX('Assumptions'!$C$135,'Assumptions'!$C$9)+1)/'Assumptions'!$C$11)*AD40</f>
        <v/>
      </c>
      <c r="AE43" s="51">
        <f>'Assumptions'!$C$139*MIN(1,(AE$4-MAX('Assumptions'!$C$135,'Assumptions'!$C$9)+1)/'Assumptions'!$C$11)*AE40</f>
        <v/>
      </c>
      <c r="AF43" s="51">
        <f>'Assumptions'!$C$139*MIN(1,(AF$4-MAX('Assumptions'!$C$135,'Assumptions'!$C$9)+1)/'Assumptions'!$C$11)*AF40</f>
        <v/>
      </c>
      <c r="AG43" s="51">
        <f>'Assumptions'!$C$139*MIN(1,(AG$4-MAX('Assumptions'!$C$135,'Assumptions'!$C$9)+1)/'Assumptions'!$C$11)*AG40</f>
        <v/>
      </c>
      <c r="AH43" s="51">
        <f>'Assumptions'!$C$139*MIN(1,(AH$4-MAX('Assumptions'!$C$135,'Assumptions'!$C$9)+1)/'Assumptions'!$C$11)*AH40</f>
        <v/>
      </c>
      <c r="AI43" s="51">
        <f>'Assumptions'!$C$139*MIN(1,(AI$4-MAX('Assumptions'!$C$135,'Assumptions'!$C$9)+1)/'Assumptions'!$C$11)*AI40</f>
        <v/>
      </c>
      <c r="AJ43" s="51">
        <f>'Assumptions'!$C$139*MIN(1,(AJ$4-MAX('Assumptions'!$C$135,'Assumptions'!$C$9)+1)/'Assumptions'!$C$11)*AJ40</f>
        <v/>
      </c>
      <c r="AK43" s="51">
        <f>'Assumptions'!$C$139*MIN(1,(AK$4-MAX('Assumptions'!$C$135,'Assumptions'!$C$9)+1)/'Assumptions'!$C$11)*AK40</f>
        <v/>
      </c>
      <c r="AL43" s="51">
        <f>'Assumptions'!$C$139*MIN(1,(AL$4-MAX('Assumptions'!$C$135,'Assumptions'!$C$9)+1)/'Assumptions'!$C$11)*AL40</f>
        <v/>
      </c>
    </row>
    <row r="44">
      <c r="A44" s="7" t="inlineStr">
        <is>
          <t xml:space="preserve">   Orders</t>
        </is>
      </c>
      <c r="B44" s="9" t="inlineStr">
        <is>
          <t>orders</t>
        </is>
      </c>
      <c r="C44" s="56">
        <f>C42*C43</f>
        <v/>
      </c>
      <c r="D44" s="56">
        <f>D42*D43</f>
        <v/>
      </c>
      <c r="E44" s="56">
        <f>E42*E43</f>
        <v/>
      </c>
      <c r="F44" s="56">
        <f>F42*F43</f>
        <v/>
      </c>
      <c r="G44" s="56">
        <f>G42*G43</f>
        <v/>
      </c>
      <c r="H44" s="56">
        <f>H42*H43</f>
        <v/>
      </c>
      <c r="I44" s="56">
        <f>I42*I43</f>
        <v/>
      </c>
      <c r="J44" s="56">
        <f>J42*J43</f>
        <v/>
      </c>
      <c r="K44" s="56">
        <f>K42*K43</f>
        <v/>
      </c>
      <c r="L44" s="56">
        <f>L42*L43</f>
        <v/>
      </c>
      <c r="M44" s="56">
        <f>M42*M43</f>
        <v/>
      </c>
      <c r="N44" s="56">
        <f>N42*N43</f>
        <v/>
      </c>
      <c r="O44" s="56">
        <f>O42*O43</f>
        <v/>
      </c>
      <c r="P44" s="56">
        <f>P42*P43</f>
        <v/>
      </c>
      <c r="Q44" s="56">
        <f>Q42*Q43</f>
        <v/>
      </c>
      <c r="R44" s="56">
        <f>R42*R43</f>
        <v/>
      </c>
      <c r="S44" s="56">
        <f>S42*S43</f>
        <v/>
      </c>
      <c r="T44" s="56">
        <f>T42*T43</f>
        <v/>
      </c>
      <c r="U44" s="56">
        <f>U42*U43</f>
        <v/>
      </c>
      <c r="V44" s="56">
        <f>V42*V43</f>
        <v/>
      </c>
      <c r="W44" s="56">
        <f>W42*W43</f>
        <v/>
      </c>
      <c r="X44" s="56">
        <f>X42*X43</f>
        <v/>
      </c>
      <c r="Y44" s="56">
        <f>Y42*Y43</f>
        <v/>
      </c>
      <c r="Z44" s="56">
        <f>Z42*Z43</f>
        <v/>
      </c>
      <c r="AA44" s="56">
        <f>AA42*AA43</f>
        <v/>
      </c>
      <c r="AB44" s="56">
        <f>AB42*AB43</f>
        <v/>
      </c>
      <c r="AC44" s="56">
        <f>AC42*AC43</f>
        <v/>
      </c>
      <c r="AD44" s="56">
        <f>AD42*AD43</f>
        <v/>
      </c>
      <c r="AE44" s="56">
        <f>AE42*AE43</f>
        <v/>
      </c>
      <c r="AF44" s="56">
        <f>AF42*AF43</f>
        <v/>
      </c>
      <c r="AG44" s="56">
        <f>AG42*AG43</f>
        <v/>
      </c>
      <c r="AH44" s="56">
        <f>AH42*AH43</f>
        <v/>
      </c>
      <c r="AI44" s="56">
        <f>AI42*AI43</f>
        <v/>
      </c>
      <c r="AJ44" s="56">
        <f>AJ42*AJ43</f>
        <v/>
      </c>
      <c r="AK44" s="56">
        <f>AK42*AK43</f>
        <v/>
      </c>
      <c r="AL44" s="56">
        <f>AL42*AL43</f>
        <v/>
      </c>
      <c r="AM44" s="57">
        <f>SUMIF($C$6:$AL$6,1,C44:AL44)</f>
        <v/>
      </c>
      <c r="AN44" s="57">
        <f>SUMIF($C$6:$AL$6,2,C44:AL44)</f>
        <v/>
      </c>
      <c r="AO44" s="57">
        <f>SUMIF($C$6:$AL$6,3,C44:AL44)</f>
        <v/>
      </c>
      <c r="AP44" s="57">
        <f>SUM(C44:AL44)</f>
        <v/>
      </c>
    </row>
    <row r="45">
      <c r="A45" s="7" t="inlineStr">
        <is>
          <t xml:space="preserve">   Items sold</t>
        </is>
      </c>
      <c r="B45" s="9" t="inlineStr">
        <is>
          <t>items</t>
        </is>
      </c>
      <c r="C45" s="14">
        <f>C44*'Assumptions'!$C$140</f>
        <v/>
      </c>
      <c r="D45" s="14">
        <f>D44*'Assumptions'!$C$140</f>
        <v/>
      </c>
      <c r="E45" s="14">
        <f>E44*'Assumptions'!$C$140</f>
        <v/>
      </c>
      <c r="F45" s="14">
        <f>F44*'Assumptions'!$C$140</f>
        <v/>
      </c>
      <c r="G45" s="14">
        <f>G44*'Assumptions'!$C$140</f>
        <v/>
      </c>
      <c r="H45" s="14">
        <f>H44*'Assumptions'!$C$140</f>
        <v/>
      </c>
      <c r="I45" s="14">
        <f>I44*'Assumptions'!$C$140</f>
        <v/>
      </c>
      <c r="J45" s="14">
        <f>J44*'Assumptions'!$C$140</f>
        <v/>
      </c>
      <c r="K45" s="14">
        <f>K44*'Assumptions'!$C$140</f>
        <v/>
      </c>
      <c r="L45" s="14">
        <f>L44*'Assumptions'!$C$140</f>
        <v/>
      </c>
      <c r="M45" s="14">
        <f>M44*'Assumptions'!$C$140</f>
        <v/>
      </c>
      <c r="N45" s="14">
        <f>N44*'Assumptions'!$C$140</f>
        <v/>
      </c>
      <c r="O45" s="14">
        <f>O44*'Assumptions'!$C$140</f>
        <v/>
      </c>
      <c r="P45" s="14">
        <f>P44*'Assumptions'!$C$140</f>
        <v/>
      </c>
      <c r="Q45" s="14">
        <f>Q44*'Assumptions'!$C$140</f>
        <v/>
      </c>
      <c r="R45" s="14">
        <f>R44*'Assumptions'!$C$140</f>
        <v/>
      </c>
      <c r="S45" s="14">
        <f>S44*'Assumptions'!$C$140</f>
        <v/>
      </c>
      <c r="T45" s="14">
        <f>T44*'Assumptions'!$C$140</f>
        <v/>
      </c>
      <c r="U45" s="14">
        <f>U44*'Assumptions'!$C$140</f>
        <v/>
      </c>
      <c r="V45" s="14">
        <f>V44*'Assumptions'!$C$140</f>
        <v/>
      </c>
      <c r="W45" s="14">
        <f>W44*'Assumptions'!$C$140</f>
        <v/>
      </c>
      <c r="X45" s="14">
        <f>X44*'Assumptions'!$C$140</f>
        <v/>
      </c>
      <c r="Y45" s="14">
        <f>Y44*'Assumptions'!$C$140</f>
        <v/>
      </c>
      <c r="Z45" s="14">
        <f>Z44*'Assumptions'!$C$140</f>
        <v/>
      </c>
      <c r="AA45" s="14">
        <f>AA44*'Assumptions'!$C$140</f>
        <v/>
      </c>
      <c r="AB45" s="14">
        <f>AB44*'Assumptions'!$C$140</f>
        <v/>
      </c>
      <c r="AC45" s="14">
        <f>AC44*'Assumptions'!$C$140</f>
        <v/>
      </c>
      <c r="AD45" s="14">
        <f>AD44*'Assumptions'!$C$140</f>
        <v/>
      </c>
      <c r="AE45" s="14">
        <f>AE44*'Assumptions'!$C$140</f>
        <v/>
      </c>
      <c r="AF45" s="14">
        <f>AF44*'Assumptions'!$C$140</f>
        <v/>
      </c>
      <c r="AG45" s="14">
        <f>AG44*'Assumptions'!$C$140</f>
        <v/>
      </c>
      <c r="AH45" s="14">
        <f>AH44*'Assumptions'!$C$140</f>
        <v/>
      </c>
      <c r="AI45" s="14">
        <f>AI44*'Assumptions'!$C$140</f>
        <v/>
      </c>
      <c r="AJ45" s="14">
        <f>AJ44*'Assumptions'!$C$140</f>
        <v/>
      </c>
      <c r="AK45" s="14">
        <f>AK44*'Assumptions'!$C$140</f>
        <v/>
      </c>
      <c r="AL45" s="14">
        <f>AL44*'Assumptions'!$C$140</f>
        <v/>
      </c>
      <c r="AM45" s="57">
        <f>SUMIF($C$6:$AL$6,1,C45:AL45)</f>
        <v/>
      </c>
      <c r="AN45" s="57">
        <f>SUMIF($C$6:$AL$6,2,C45:AL45)</f>
        <v/>
      </c>
      <c r="AO45" s="57">
        <f>SUMIF($C$6:$AL$6,3,C45:AL45)</f>
        <v/>
      </c>
      <c r="AP45" s="57">
        <f>SUM(C45:AL45)</f>
        <v/>
      </c>
    </row>
    <row r="46">
      <c r="A46" s="7" t="inlineStr">
        <is>
          <t xml:space="preserve">   Average order value</t>
        </is>
      </c>
      <c r="B46" s="9" t="inlineStr">
        <is>
          <t>$</t>
        </is>
      </c>
      <c r="C46" s="16">
        <f>'Unit Economics'!$E$51*'Assumptions'!$C$140*C40</f>
        <v/>
      </c>
      <c r="D46" s="16">
        <f>'Unit Economics'!$E$51*'Assumptions'!$C$140*D40</f>
        <v/>
      </c>
      <c r="E46" s="16">
        <f>'Unit Economics'!$E$51*'Assumptions'!$C$140*E40</f>
        <v/>
      </c>
      <c r="F46" s="16">
        <f>'Unit Economics'!$E$51*'Assumptions'!$C$140*F40</f>
        <v/>
      </c>
      <c r="G46" s="16">
        <f>'Unit Economics'!$E$51*'Assumptions'!$C$140*G40</f>
        <v/>
      </c>
      <c r="H46" s="16">
        <f>'Unit Economics'!$E$51*'Assumptions'!$C$140*H40</f>
        <v/>
      </c>
      <c r="I46" s="16">
        <f>'Unit Economics'!$E$51*'Assumptions'!$C$140*I40</f>
        <v/>
      </c>
      <c r="J46" s="16">
        <f>'Unit Economics'!$E$51*'Assumptions'!$C$140*J40</f>
        <v/>
      </c>
      <c r="K46" s="16">
        <f>'Unit Economics'!$E$51*'Assumptions'!$C$140*K40</f>
        <v/>
      </c>
      <c r="L46" s="16">
        <f>'Unit Economics'!$E$51*'Assumptions'!$C$140*L40</f>
        <v/>
      </c>
      <c r="M46" s="16">
        <f>'Unit Economics'!$E$51*'Assumptions'!$C$140*M40</f>
        <v/>
      </c>
      <c r="N46" s="16">
        <f>'Unit Economics'!$E$51*'Assumptions'!$C$140*N40</f>
        <v/>
      </c>
      <c r="O46" s="16">
        <f>'Unit Economics'!$E$51*'Assumptions'!$C$140*O40</f>
        <v/>
      </c>
      <c r="P46" s="16">
        <f>'Unit Economics'!$E$51*'Assumptions'!$C$140*P40</f>
        <v/>
      </c>
      <c r="Q46" s="16">
        <f>'Unit Economics'!$E$51*'Assumptions'!$C$140*Q40</f>
        <v/>
      </c>
      <c r="R46" s="16">
        <f>'Unit Economics'!$E$51*'Assumptions'!$C$140*R40</f>
        <v/>
      </c>
      <c r="S46" s="16">
        <f>'Unit Economics'!$E$51*'Assumptions'!$C$140*S40</f>
        <v/>
      </c>
      <c r="T46" s="16">
        <f>'Unit Economics'!$E$51*'Assumptions'!$C$140*T40</f>
        <v/>
      </c>
      <c r="U46" s="16">
        <f>'Unit Economics'!$E$51*'Assumptions'!$C$140*U40</f>
        <v/>
      </c>
      <c r="V46" s="16">
        <f>'Unit Economics'!$E$51*'Assumptions'!$C$140*V40</f>
        <v/>
      </c>
      <c r="W46" s="16">
        <f>'Unit Economics'!$E$51*'Assumptions'!$C$140*W40</f>
        <v/>
      </c>
      <c r="X46" s="16">
        <f>'Unit Economics'!$E$51*'Assumptions'!$C$140*X40</f>
        <v/>
      </c>
      <c r="Y46" s="16">
        <f>'Unit Economics'!$E$51*'Assumptions'!$C$140*Y40</f>
        <v/>
      </c>
      <c r="Z46" s="16">
        <f>'Unit Economics'!$E$51*'Assumptions'!$C$140*Z40</f>
        <v/>
      </c>
      <c r="AA46" s="16">
        <f>'Unit Economics'!$E$51*'Assumptions'!$C$140*AA40</f>
        <v/>
      </c>
      <c r="AB46" s="16">
        <f>'Unit Economics'!$E$51*'Assumptions'!$C$140*AB40</f>
        <v/>
      </c>
      <c r="AC46" s="16">
        <f>'Unit Economics'!$E$51*'Assumptions'!$C$140*AC40</f>
        <v/>
      </c>
      <c r="AD46" s="16">
        <f>'Unit Economics'!$E$51*'Assumptions'!$C$140*AD40</f>
        <v/>
      </c>
      <c r="AE46" s="16">
        <f>'Unit Economics'!$E$51*'Assumptions'!$C$140*AE40</f>
        <v/>
      </c>
      <c r="AF46" s="16">
        <f>'Unit Economics'!$E$51*'Assumptions'!$C$140*AF40</f>
        <v/>
      </c>
      <c r="AG46" s="16">
        <f>'Unit Economics'!$E$51*'Assumptions'!$C$140*AG40</f>
        <v/>
      </c>
      <c r="AH46" s="16">
        <f>'Unit Economics'!$E$51*'Assumptions'!$C$140*AH40</f>
        <v/>
      </c>
      <c r="AI46" s="16">
        <f>'Unit Economics'!$E$51*'Assumptions'!$C$140*AI40</f>
        <v/>
      </c>
      <c r="AJ46" s="16">
        <f>'Unit Economics'!$E$51*'Assumptions'!$C$140*AJ40</f>
        <v/>
      </c>
      <c r="AK46" s="16">
        <f>'Unit Economics'!$E$51*'Assumptions'!$C$140*AK40</f>
        <v/>
      </c>
      <c r="AL46" s="16">
        <f>'Unit Economics'!$E$51*'Assumptions'!$C$140*AL40</f>
        <v/>
      </c>
    </row>
    <row r="47">
      <c r="A47" s="7" t="inlineStr">
        <is>
          <t xml:space="preserve">   Gross sales (price paid by customers)</t>
        </is>
      </c>
      <c r="B47" s="9" t="inlineStr">
        <is>
          <t>$</t>
        </is>
      </c>
      <c r="C47" s="8">
        <f>C45*'Unit Economics'!$E$51</f>
        <v/>
      </c>
      <c r="D47" s="8">
        <f>D45*'Unit Economics'!$E$51</f>
        <v/>
      </c>
      <c r="E47" s="8">
        <f>E45*'Unit Economics'!$E$51</f>
        <v/>
      </c>
      <c r="F47" s="8">
        <f>F45*'Unit Economics'!$E$51</f>
        <v/>
      </c>
      <c r="G47" s="8">
        <f>G45*'Unit Economics'!$E$51</f>
        <v/>
      </c>
      <c r="H47" s="8">
        <f>H45*'Unit Economics'!$E$51</f>
        <v/>
      </c>
      <c r="I47" s="8">
        <f>I45*'Unit Economics'!$E$51</f>
        <v/>
      </c>
      <c r="J47" s="8">
        <f>J45*'Unit Economics'!$E$51</f>
        <v/>
      </c>
      <c r="K47" s="8">
        <f>K45*'Unit Economics'!$E$51</f>
        <v/>
      </c>
      <c r="L47" s="8">
        <f>L45*'Unit Economics'!$E$51</f>
        <v/>
      </c>
      <c r="M47" s="8">
        <f>M45*'Unit Economics'!$E$51</f>
        <v/>
      </c>
      <c r="N47" s="8">
        <f>N45*'Unit Economics'!$E$51</f>
        <v/>
      </c>
      <c r="O47" s="8">
        <f>O45*'Unit Economics'!$E$51</f>
        <v/>
      </c>
      <c r="P47" s="8">
        <f>P45*'Unit Economics'!$E$51</f>
        <v/>
      </c>
      <c r="Q47" s="8">
        <f>Q45*'Unit Economics'!$E$51</f>
        <v/>
      </c>
      <c r="R47" s="8">
        <f>R45*'Unit Economics'!$E$51</f>
        <v/>
      </c>
      <c r="S47" s="8">
        <f>S45*'Unit Economics'!$E$51</f>
        <v/>
      </c>
      <c r="T47" s="8">
        <f>T45*'Unit Economics'!$E$51</f>
        <v/>
      </c>
      <c r="U47" s="8">
        <f>U45*'Unit Economics'!$E$51</f>
        <v/>
      </c>
      <c r="V47" s="8">
        <f>V45*'Unit Economics'!$E$51</f>
        <v/>
      </c>
      <c r="W47" s="8">
        <f>W45*'Unit Economics'!$E$51</f>
        <v/>
      </c>
      <c r="X47" s="8">
        <f>X45*'Unit Economics'!$E$51</f>
        <v/>
      </c>
      <c r="Y47" s="8">
        <f>Y45*'Unit Economics'!$E$51</f>
        <v/>
      </c>
      <c r="Z47" s="8">
        <f>Z45*'Unit Economics'!$E$51</f>
        <v/>
      </c>
      <c r="AA47" s="8">
        <f>AA45*'Unit Economics'!$E$51</f>
        <v/>
      </c>
      <c r="AB47" s="8">
        <f>AB45*'Unit Economics'!$E$51</f>
        <v/>
      </c>
      <c r="AC47" s="8">
        <f>AC45*'Unit Economics'!$E$51</f>
        <v/>
      </c>
      <c r="AD47" s="8">
        <f>AD45*'Unit Economics'!$E$51</f>
        <v/>
      </c>
      <c r="AE47" s="8">
        <f>AE45*'Unit Economics'!$E$51</f>
        <v/>
      </c>
      <c r="AF47" s="8">
        <f>AF45*'Unit Economics'!$E$51</f>
        <v/>
      </c>
      <c r="AG47" s="8">
        <f>AG45*'Unit Economics'!$E$51</f>
        <v/>
      </c>
      <c r="AH47" s="8">
        <f>AH45*'Unit Economics'!$E$51</f>
        <v/>
      </c>
      <c r="AI47" s="8">
        <f>AI45*'Unit Economics'!$E$51</f>
        <v/>
      </c>
      <c r="AJ47" s="8">
        <f>AJ45*'Unit Economics'!$E$51</f>
        <v/>
      </c>
      <c r="AK47" s="8">
        <f>AK45*'Unit Economics'!$E$51</f>
        <v/>
      </c>
      <c r="AL47" s="8">
        <f>AL45*'Unit Economics'!$E$51</f>
        <v/>
      </c>
      <c r="AM47" s="47">
        <f>SUMIF($C$6:$AL$6,1,C47:AL47)</f>
        <v/>
      </c>
      <c r="AN47" s="47">
        <f>SUMIF($C$6:$AL$6,2,C47:AL47)</f>
        <v/>
      </c>
      <c r="AO47" s="47">
        <f>SUMIF($C$6:$AL$6,3,C47:AL47)</f>
        <v/>
      </c>
      <c r="AP47" s="47">
        <f>SUM(C47:AL47)</f>
        <v/>
      </c>
    </row>
    <row r="48">
      <c r="A48" s="7" t="inlineStr">
        <is>
          <t xml:space="preserve">   Net contribution to AlphaPlay</t>
        </is>
      </c>
      <c r="B48" s="9" t="inlineStr">
        <is>
          <t>$</t>
        </is>
      </c>
      <c r="C48" s="8">
        <f>C45*'Unit Economics'!$F$51</f>
        <v/>
      </c>
      <c r="D48" s="8">
        <f>D45*'Unit Economics'!$F$51</f>
        <v/>
      </c>
      <c r="E48" s="8">
        <f>E45*'Unit Economics'!$F$51</f>
        <v/>
      </c>
      <c r="F48" s="8">
        <f>F45*'Unit Economics'!$F$51</f>
        <v/>
      </c>
      <c r="G48" s="8">
        <f>G45*'Unit Economics'!$F$51</f>
        <v/>
      </c>
      <c r="H48" s="8">
        <f>H45*'Unit Economics'!$F$51</f>
        <v/>
      </c>
      <c r="I48" s="8">
        <f>I45*'Unit Economics'!$F$51</f>
        <v/>
      </c>
      <c r="J48" s="8">
        <f>J45*'Unit Economics'!$F$51</f>
        <v/>
      </c>
      <c r="K48" s="8">
        <f>K45*'Unit Economics'!$F$51</f>
        <v/>
      </c>
      <c r="L48" s="8">
        <f>L45*'Unit Economics'!$F$51</f>
        <v/>
      </c>
      <c r="M48" s="8">
        <f>M45*'Unit Economics'!$F$51</f>
        <v/>
      </c>
      <c r="N48" s="8">
        <f>N45*'Unit Economics'!$F$51</f>
        <v/>
      </c>
      <c r="O48" s="8">
        <f>O45*'Unit Economics'!$F$51</f>
        <v/>
      </c>
      <c r="P48" s="8">
        <f>P45*'Unit Economics'!$F$51</f>
        <v/>
      </c>
      <c r="Q48" s="8">
        <f>Q45*'Unit Economics'!$F$51</f>
        <v/>
      </c>
      <c r="R48" s="8">
        <f>R45*'Unit Economics'!$F$51</f>
        <v/>
      </c>
      <c r="S48" s="8">
        <f>S45*'Unit Economics'!$F$51</f>
        <v/>
      </c>
      <c r="T48" s="8">
        <f>T45*'Unit Economics'!$F$51</f>
        <v/>
      </c>
      <c r="U48" s="8">
        <f>U45*'Unit Economics'!$F$51</f>
        <v/>
      </c>
      <c r="V48" s="8">
        <f>V45*'Unit Economics'!$F$51</f>
        <v/>
      </c>
      <c r="W48" s="8">
        <f>W45*'Unit Economics'!$F$51</f>
        <v/>
      </c>
      <c r="X48" s="8">
        <f>X45*'Unit Economics'!$F$51</f>
        <v/>
      </c>
      <c r="Y48" s="8">
        <f>Y45*'Unit Economics'!$F$51</f>
        <v/>
      </c>
      <c r="Z48" s="8">
        <f>Z45*'Unit Economics'!$F$51</f>
        <v/>
      </c>
      <c r="AA48" s="8">
        <f>AA45*'Unit Economics'!$F$51</f>
        <v/>
      </c>
      <c r="AB48" s="8">
        <f>AB45*'Unit Economics'!$F$51</f>
        <v/>
      </c>
      <c r="AC48" s="8">
        <f>AC45*'Unit Economics'!$F$51</f>
        <v/>
      </c>
      <c r="AD48" s="8">
        <f>AD45*'Unit Economics'!$F$51</f>
        <v/>
      </c>
      <c r="AE48" s="8">
        <f>AE45*'Unit Economics'!$F$51</f>
        <v/>
      </c>
      <c r="AF48" s="8">
        <f>AF45*'Unit Economics'!$F$51</f>
        <v/>
      </c>
      <c r="AG48" s="8">
        <f>AG45*'Unit Economics'!$F$51</f>
        <v/>
      </c>
      <c r="AH48" s="8">
        <f>AH45*'Unit Economics'!$F$51</f>
        <v/>
      </c>
      <c r="AI48" s="8">
        <f>AI45*'Unit Economics'!$F$51</f>
        <v/>
      </c>
      <c r="AJ48" s="8">
        <f>AJ45*'Unit Economics'!$F$51</f>
        <v/>
      </c>
      <c r="AK48" s="8">
        <f>AK45*'Unit Economics'!$F$51</f>
        <v/>
      </c>
      <c r="AL48" s="8">
        <f>AL45*'Unit Economics'!$F$51</f>
        <v/>
      </c>
      <c r="AM48" s="47">
        <f>SUMIF($C$6:$AL$6,1,C48:AL48)</f>
        <v/>
      </c>
      <c r="AN48" s="47">
        <f>SUMIF($C$6:$AL$6,2,C48:AL48)</f>
        <v/>
      </c>
      <c r="AO48" s="47">
        <f>SUMIF($C$6:$AL$6,3,C48:AL48)</f>
        <v/>
      </c>
      <c r="AP48" s="47">
        <f>SUM(C48:AL48)</f>
        <v/>
      </c>
    </row>
    <row r="49">
      <c r="A49" s="5" t="inlineStr">
        <is>
          <t>IngramSpark: paperbacks to bookstores and libraries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  <c r="AE49" s="6" t="n"/>
      <c r="AF49" s="6" t="n"/>
      <c r="AG49" s="6" t="n"/>
      <c r="AH49" s="6" t="n"/>
      <c r="AI49" s="6" t="n"/>
      <c r="AJ49" s="6" t="n"/>
      <c r="AK49" s="6" t="n"/>
      <c r="AL49" s="6" t="n"/>
      <c r="AM49" s="6" t="n"/>
      <c r="AN49" s="6" t="n"/>
      <c r="AO49" s="6" t="n"/>
      <c r="AP49" s="6" t="n"/>
    </row>
    <row r="50">
      <c r="A50" s="7" t="inlineStr">
        <is>
          <t xml:space="preserve">   Active (1 = live)</t>
        </is>
      </c>
      <c r="B50" s="9" t="inlineStr">
        <is>
          <t>flag</t>
        </is>
      </c>
      <c r="C50" s="18">
        <f>IF(AND('Assumptions'!$C$142=1,C$4&gt;=MAX('Assumptions'!$C$143,'Assumptions'!$C$9)),1,0)</f>
        <v/>
      </c>
      <c r="D50" s="18">
        <f>IF(AND('Assumptions'!$C$142=1,D$4&gt;=MAX('Assumptions'!$C$143,'Assumptions'!$C$9)),1,0)</f>
        <v/>
      </c>
      <c r="E50" s="18">
        <f>IF(AND('Assumptions'!$C$142=1,E$4&gt;=MAX('Assumptions'!$C$143,'Assumptions'!$C$9)),1,0)</f>
        <v/>
      </c>
      <c r="F50" s="18">
        <f>IF(AND('Assumptions'!$C$142=1,F$4&gt;=MAX('Assumptions'!$C$143,'Assumptions'!$C$9)),1,0)</f>
        <v/>
      </c>
      <c r="G50" s="18">
        <f>IF(AND('Assumptions'!$C$142=1,G$4&gt;=MAX('Assumptions'!$C$143,'Assumptions'!$C$9)),1,0)</f>
        <v/>
      </c>
      <c r="H50" s="18">
        <f>IF(AND('Assumptions'!$C$142=1,H$4&gt;=MAX('Assumptions'!$C$143,'Assumptions'!$C$9)),1,0)</f>
        <v/>
      </c>
      <c r="I50" s="18">
        <f>IF(AND('Assumptions'!$C$142=1,I$4&gt;=MAX('Assumptions'!$C$143,'Assumptions'!$C$9)),1,0)</f>
        <v/>
      </c>
      <c r="J50" s="18">
        <f>IF(AND('Assumptions'!$C$142=1,J$4&gt;=MAX('Assumptions'!$C$143,'Assumptions'!$C$9)),1,0)</f>
        <v/>
      </c>
      <c r="K50" s="18">
        <f>IF(AND('Assumptions'!$C$142=1,K$4&gt;=MAX('Assumptions'!$C$143,'Assumptions'!$C$9)),1,0)</f>
        <v/>
      </c>
      <c r="L50" s="18">
        <f>IF(AND('Assumptions'!$C$142=1,L$4&gt;=MAX('Assumptions'!$C$143,'Assumptions'!$C$9)),1,0)</f>
        <v/>
      </c>
      <c r="M50" s="18">
        <f>IF(AND('Assumptions'!$C$142=1,M$4&gt;=MAX('Assumptions'!$C$143,'Assumptions'!$C$9)),1,0)</f>
        <v/>
      </c>
      <c r="N50" s="18">
        <f>IF(AND('Assumptions'!$C$142=1,N$4&gt;=MAX('Assumptions'!$C$143,'Assumptions'!$C$9)),1,0)</f>
        <v/>
      </c>
      <c r="O50" s="18">
        <f>IF(AND('Assumptions'!$C$142=1,O$4&gt;=MAX('Assumptions'!$C$143,'Assumptions'!$C$9)),1,0)</f>
        <v/>
      </c>
      <c r="P50" s="18">
        <f>IF(AND('Assumptions'!$C$142=1,P$4&gt;=MAX('Assumptions'!$C$143,'Assumptions'!$C$9)),1,0)</f>
        <v/>
      </c>
      <c r="Q50" s="18">
        <f>IF(AND('Assumptions'!$C$142=1,Q$4&gt;=MAX('Assumptions'!$C$143,'Assumptions'!$C$9)),1,0)</f>
        <v/>
      </c>
      <c r="R50" s="18">
        <f>IF(AND('Assumptions'!$C$142=1,R$4&gt;=MAX('Assumptions'!$C$143,'Assumptions'!$C$9)),1,0)</f>
        <v/>
      </c>
      <c r="S50" s="18">
        <f>IF(AND('Assumptions'!$C$142=1,S$4&gt;=MAX('Assumptions'!$C$143,'Assumptions'!$C$9)),1,0)</f>
        <v/>
      </c>
      <c r="T50" s="18">
        <f>IF(AND('Assumptions'!$C$142=1,T$4&gt;=MAX('Assumptions'!$C$143,'Assumptions'!$C$9)),1,0)</f>
        <v/>
      </c>
      <c r="U50" s="18">
        <f>IF(AND('Assumptions'!$C$142=1,U$4&gt;=MAX('Assumptions'!$C$143,'Assumptions'!$C$9)),1,0)</f>
        <v/>
      </c>
      <c r="V50" s="18">
        <f>IF(AND('Assumptions'!$C$142=1,V$4&gt;=MAX('Assumptions'!$C$143,'Assumptions'!$C$9)),1,0)</f>
        <v/>
      </c>
      <c r="W50" s="18">
        <f>IF(AND('Assumptions'!$C$142=1,W$4&gt;=MAX('Assumptions'!$C$143,'Assumptions'!$C$9)),1,0)</f>
        <v/>
      </c>
      <c r="X50" s="18">
        <f>IF(AND('Assumptions'!$C$142=1,X$4&gt;=MAX('Assumptions'!$C$143,'Assumptions'!$C$9)),1,0)</f>
        <v/>
      </c>
      <c r="Y50" s="18">
        <f>IF(AND('Assumptions'!$C$142=1,Y$4&gt;=MAX('Assumptions'!$C$143,'Assumptions'!$C$9)),1,0)</f>
        <v/>
      </c>
      <c r="Z50" s="18">
        <f>IF(AND('Assumptions'!$C$142=1,Z$4&gt;=MAX('Assumptions'!$C$143,'Assumptions'!$C$9)),1,0)</f>
        <v/>
      </c>
      <c r="AA50" s="18">
        <f>IF(AND('Assumptions'!$C$142=1,AA$4&gt;=MAX('Assumptions'!$C$143,'Assumptions'!$C$9)),1,0)</f>
        <v/>
      </c>
      <c r="AB50" s="18">
        <f>IF(AND('Assumptions'!$C$142=1,AB$4&gt;=MAX('Assumptions'!$C$143,'Assumptions'!$C$9)),1,0)</f>
        <v/>
      </c>
      <c r="AC50" s="18">
        <f>IF(AND('Assumptions'!$C$142=1,AC$4&gt;=MAX('Assumptions'!$C$143,'Assumptions'!$C$9)),1,0)</f>
        <v/>
      </c>
      <c r="AD50" s="18">
        <f>IF(AND('Assumptions'!$C$142=1,AD$4&gt;=MAX('Assumptions'!$C$143,'Assumptions'!$C$9)),1,0)</f>
        <v/>
      </c>
      <c r="AE50" s="18">
        <f>IF(AND('Assumptions'!$C$142=1,AE$4&gt;=MAX('Assumptions'!$C$143,'Assumptions'!$C$9)),1,0)</f>
        <v/>
      </c>
      <c r="AF50" s="18">
        <f>IF(AND('Assumptions'!$C$142=1,AF$4&gt;=MAX('Assumptions'!$C$143,'Assumptions'!$C$9)),1,0)</f>
        <v/>
      </c>
      <c r="AG50" s="18">
        <f>IF(AND('Assumptions'!$C$142=1,AG$4&gt;=MAX('Assumptions'!$C$143,'Assumptions'!$C$9)),1,0)</f>
        <v/>
      </c>
      <c r="AH50" s="18">
        <f>IF(AND('Assumptions'!$C$142=1,AH$4&gt;=MAX('Assumptions'!$C$143,'Assumptions'!$C$9)),1,0)</f>
        <v/>
      </c>
      <c r="AI50" s="18">
        <f>IF(AND('Assumptions'!$C$142=1,AI$4&gt;=MAX('Assumptions'!$C$143,'Assumptions'!$C$9)),1,0)</f>
        <v/>
      </c>
      <c r="AJ50" s="18">
        <f>IF(AND('Assumptions'!$C$142=1,AJ$4&gt;=MAX('Assumptions'!$C$143,'Assumptions'!$C$9)),1,0)</f>
        <v/>
      </c>
      <c r="AK50" s="18">
        <f>IF(AND('Assumptions'!$C$142=1,AK$4&gt;=MAX('Assumptions'!$C$143,'Assumptions'!$C$9)),1,0)</f>
        <v/>
      </c>
      <c r="AL50" s="18">
        <f>IF(AND('Assumptions'!$C$142=1,AL$4&gt;=MAX('Assumptions'!$C$143,'Assumptions'!$C$9)),1,0)</f>
        <v/>
      </c>
    </row>
    <row r="51">
      <c r="A51" s="7" t="inlineStr">
        <is>
          <t xml:space="preserve">   Titles live</t>
        </is>
      </c>
      <c r="B51" s="9" t="inlineStr">
        <is>
          <t>titles</t>
        </is>
      </c>
      <c r="C51" s="14">
        <f>IF(C50=0,0,MIN('Assumptions'!$C$146,'Assumptions'!$C$144+'Assumptions'!$C$145*(C$4-MAX('Assumptions'!$C$143,'Assumptions'!$C$9))))</f>
        <v/>
      </c>
      <c r="D51" s="14">
        <f>IF(D50=0,0,MIN('Assumptions'!$C$146,'Assumptions'!$C$144+'Assumptions'!$C$145*(D$4-MAX('Assumptions'!$C$143,'Assumptions'!$C$9))))</f>
        <v/>
      </c>
      <c r="E51" s="14">
        <f>IF(E50=0,0,MIN('Assumptions'!$C$146,'Assumptions'!$C$144+'Assumptions'!$C$145*(E$4-MAX('Assumptions'!$C$143,'Assumptions'!$C$9))))</f>
        <v/>
      </c>
      <c r="F51" s="14">
        <f>IF(F50=0,0,MIN('Assumptions'!$C$146,'Assumptions'!$C$144+'Assumptions'!$C$145*(F$4-MAX('Assumptions'!$C$143,'Assumptions'!$C$9))))</f>
        <v/>
      </c>
      <c r="G51" s="14">
        <f>IF(G50=0,0,MIN('Assumptions'!$C$146,'Assumptions'!$C$144+'Assumptions'!$C$145*(G$4-MAX('Assumptions'!$C$143,'Assumptions'!$C$9))))</f>
        <v/>
      </c>
      <c r="H51" s="14">
        <f>IF(H50=0,0,MIN('Assumptions'!$C$146,'Assumptions'!$C$144+'Assumptions'!$C$145*(H$4-MAX('Assumptions'!$C$143,'Assumptions'!$C$9))))</f>
        <v/>
      </c>
      <c r="I51" s="14">
        <f>IF(I50=0,0,MIN('Assumptions'!$C$146,'Assumptions'!$C$144+'Assumptions'!$C$145*(I$4-MAX('Assumptions'!$C$143,'Assumptions'!$C$9))))</f>
        <v/>
      </c>
      <c r="J51" s="14">
        <f>IF(J50=0,0,MIN('Assumptions'!$C$146,'Assumptions'!$C$144+'Assumptions'!$C$145*(J$4-MAX('Assumptions'!$C$143,'Assumptions'!$C$9))))</f>
        <v/>
      </c>
      <c r="K51" s="14">
        <f>IF(K50=0,0,MIN('Assumptions'!$C$146,'Assumptions'!$C$144+'Assumptions'!$C$145*(K$4-MAX('Assumptions'!$C$143,'Assumptions'!$C$9))))</f>
        <v/>
      </c>
      <c r="L51" s="14">
        <f>IF(L50=0,0,MIN('Assumptions'!$C$146,'Assumptions'!$C$144+'Assumptions'!$C$145*(L$4-MAX('Assumptions'!$C$143,'Assumptions'!$C$9))))</f>
        <v/>
      </c>
      <c r="M51" s="14">
        <f>IF(M50=0,0,MIN('Assumptions'!$C$146,'Assumptions'!$C$144+'Assumptions'!$C$145*(M$4-MAX('Assumptions'!$C$143,'Assumptions'!$C$9))))</f>
        <v/>
      </c>
      <c r="N51" s="14">
        <f>IF(N50=0,0,MIN('Assumptions'!$C$146,'Assumptions'!$C$144+'Assumptions'!$C$145*(N$4-MAX('Assumptions'!$C$143,'Assumptions'!$C$9))))</f>
        <v/>
      </c>
      <c r="O51" s="14">
        <f>IF(O50=0,0,MIN('Assumptions'!$C$146,'Assumptions'!$C$144+'Assumptions'!$C$145*(O$4-MAX('Assumptions'!$C$143,'Assumptions'!$C$9))))</f>
        <v/>
      </c>
      <c r="P51" s="14">
        <f>IF(P50=0,0,MIN('Assumptions'!$C$146,'Assumptions'!$C$144+'Assumptions'!$C$145*(P$4-MAX('Assumptions'!$C$143,'Assumptions'!$C$9))))</f>
        <v/>
      </c>
      <c r="Q51" s="14">
        <f>IF(Q50=0,0,MIN('Assumptions'!$C$146,'Assumptions'!$C$144+'Assumptions'!$C$145*(Q$4-MAX('Assumptions'!$C$143,'Assumptions'!$C$9))))</f>
        <v/>
      </c>
      <c r="R51" s="14">
        <f>IF(R50=0,0,MIN('Assumptions'!$C$146,'Assumptions'!$C$144+'Assumptions'!$C$145*(R$4-MAX('Assumptions'!$C$143,'Assumptions'!$C$9))))</f>
        <v/>
      </c>
      <c r="S51" s="14">
        <f>IF(S50=0,0,MIN('Assumptions'!$C$146,'Assumptions'!$C$144+'Assumptions'!$C$145*(S$4-MAX('Assumptions'!$C$143,'Assumptions'!$C$9))))</f>
        <v/>
      </c>
      <c r="T51" s="14">
        <f>IF(T50=0,0,MIN('Assumptions'!$C$146,'Assumptions'!$C$144+'Assumptions'!$C$145*(T$4-MAX('Assumptions'!$C$143,'Assumptions'!$C$9))))</f>
        <v/>
      </c>
      <c r="U51" s="14">
        <f>IF(U50=0,0,MIN('Assumptions'!$C$146,'Assumptions'!$C$144+'Assumptions'!$C$145*(U$4-MAX('Assumptions'!$C$143,'Assumptions'!$C$9))))</f>
        <v/>
      </c>
      <c r="V51" s="14">
        <f>IF(V50=0,0,MIN('Assumptions'!$C$146,'Assumptions'!$C$144+'Assumptions'!$C$145*(V$4-MAX('Assumptions'!$C$143,'Assumptions'!$C$9))))</f>
        <v/>
      </c>
      <c r="W51" s="14">
        <f>IF(W50=0,0,MIN('Assumptions'!$C$146,'Assumptions'!$C$144+'Assumptions'!$C$145*(W$4-MAX('Assumptions'!$C$143,'Assumptions'!$C$9))))</f>
        <v/>
      </c>
      <c r="X51" s="14">
        <f>IF(X50=0,0,MIN('Assumptions'!$C$146,'Assumptions'!$C$144+'Assumptions'!$C$145*(X$4-MAX('Assumptions'!$C$143,'Assumptions'!$C$9))))</f>
        <v/>
      </c>
      <c r="Y51" s="14">
        <f>IF(Y50=0,0,MIN('Assumptions'!$C$146,'Assumptions'!$C$144+'Assumptions'!$C$145*(Y$4-MAX('Assumptions'!$C$143,'Assumptions'!$C$9))))</f>
        <v/>
      </c>
      <c r="Z51" s="14">
        <f>IF(Z50=0,0,MIN('Assumptions'!$C$146,'Assumptions'!$C$144+'Assumptions'!$C$145*(Z$4-MAX('Assumptions'!$C$143,'Assumptions'!$C$9))))</f>
        <v/>
      </c>
      <c r="AA51" s="14">
        <f>IF(AA50=0,0,MIN('Assumptions'!$C$146,'Assumptions'!$C$144+'Assumptions'!$C$145*(AA$4-MAX('Assumptions'!$C$143,'Assumptions'!$C$9))))</f>
        <v/>
      </c>
      <c r="AB51" s="14">
        <f>IF(AB50=0,0,MIN('Assumptions'!$C$146,'Assumptions'!$C$144+'Assumptions'!$C$145*(AB$4-MAX('Assumptions'!$C$143,'Assumptions'!$C$9))))</f>
        <v/>
      </c>
      <c r="AC51" s="14">
        <f>IF(AC50=0,0,MIN('Assumptions'!$C$146,'Assumptions'!$C$144+'Assumptions'!$C$145*(AC$4-MAX('Assumptions'!$C$143,'Assumptions'!$C$9))))</f>
        <v/>
      </c>
      <c r="AD51" s="14">
        <f>IF(AD50=0,0,MIN('Assumptions'!$C$146,'Assumptions'!$C$144+'Assumptions'!$C$145*(AD$4-MAX('Assumptions'!$C$143,'Assumptions'!$C$9))))</f>
        <v/>
      </c>
      <c r="AE51" s="14">
        <f>IF(AE50=0,0,MIN('Assumptions'!$C$146,'Assumptions'!$C$144+'Assumptions'!$C$145*(AE$4-MAX('Assumptions'!$C$143,'Assumptions'!$C$9))))</f>
        <v/>
      </c>
      <c r="AF51" s="14">
        <f>IF(AF50=0,0,MIN('Assumptions'!$C$146,'Assumptions'!$C$144+'Assumptions'!$C$145*(AF$4-MAX('Assumptions'!$C$143,'Assumptions'!$C$9))))</f>
        <v/>
      </c>
      <c r="AG51" s="14">
        <f>IF(AG50=0,0,MIN('Assumptions'!$C$146,'Assumptions'!$C$144+'Assumptions'!$C$145*(AG$4-MAX('Assumptions'!$C$143,'Assumptions'!$C$9))))</f>
        <v/>
      </c>
      <c r="AH51" s="14">
        <f>IF(AH50=0,0,MIN('Assumptions'!$C$146,'Assumptions'!$C$144+'Assumptions'!$C$145*(AH$4-MAX('Assumptions'!$C$143,'Assumptions'!$C$9))))</f>
        <v/>
      </c>
      <c r="AI51" s="14">
        <f>IF(AI50=0,0,MIN('Assumptions'!$C$146,'Assumptions'!$C$144+'Assumptions'!$C$145*(AI$4-MAX('Assumptions'!$C$143,'Assumptions'!$C$9))))</f>
        <v/>
      </c>
      <c r="AJ51" s="14">
        <f>IF(AJ50=0,0,MIN('Assumptions'!$C$146,'Assumptions'!$C$144+'Assumptions'!$C$145*(AJ$4-MAX('Assumptions'!$C$143,'Assumptions'!$C$9))))</f>
        <v/>
      </c>
      <c r="AK51" s="14">
        <f>IF(AK50=0,0,MIN('Assumptions'!$C$146,'Assumptions'!$C$144+'Assumptions'!$C$145*(AK$4-MAX('Assumptions'!$C$143,'Assumptions'!$C$9))))</f>
        <v/>
      </c>
      <c r="AL51" s="14">
        <f>IF(AL50=0,0,MIN('Assumptions'!$C$146,'Assumptions'!$C$144+'Assumptions'!$C$145*(AL$4-MAX('Assumptions'!$C$143,'Assumptions'!$C$9))))</f>
        <v/>
      </c>
    </row>
    <row r="52">
      <c r="A52" s="7" t="inlineStr">
        <is>
          <t xml:space="preserve">   Title-months live (titles x season)</t>
        </is>
      </c>
      <c r="B52" s="9" t="inlineStr">
        <is>
          <t>title-mo</t>
        </is>
      </c>
      <c r="C52" s="56">
        <f>C51*C$7</f>
        <v/>
      </c>
      <c r="D52" s="56">
        <f>D51*D$7</f>
        <v/>
      </c>
      <c r="E52" s="56">
        <f>E51*E$7</f>
        <v/>
      </c>
      <c r="F52" s="56">
        <f>F51*F$7</f>
        <v/>
      </c>
      <c r="G52" s="56">
        <f>G51*G$7</f>
        <v/>
      </c>
      <c r="H52" s="56">
        <f>H51*H$7</f>
        <v/>
      </c>
      <c r="I52" s="56">
        <f>I51*I$7</f>
        <v/>
      </c>
      <c r="J52" s="56">
        <f>J51*J$7</f>
        <v/>
      </c>
      <c r="K52" s="56">
        <f>K51*K$7</f>
        <v/>
      </c>
      <c r="L52" s="56">
        <f>L51*L$7</f>
        <v/>
      </c>
      <c r="M52" s="56">
        <f>M51*M$7</f>
        <v/>
      </c>
      <c r="N52" s="56">
        <f>N51*N$7</f>
        <v/>
      </c>
      <c r="O52" s="56">
        <f>O51*O$7</f>
        <v/>
      </c>
      <c r="P52" s="56">
        <f>P51*P$7</f>
        <v/>
      </c>
      <c r="Q52" s="56">
        <f>Q51*Q$7</f>
        <v/>
      </c>
      <c r="R52" s="56">
        <f>R51*R$7</f>
        <v/>
      </c>
      <c r="S52" s="56">
        <f>S51*S$7</f>
        <v/>
      </c>
      <c r="T52" s="56">
        <f>T51*T$7</f>
        <v/>
      </c>
      <c r="U52" s="56">
        <f>U51*U$7</f>
        <v/>
      </c>
      <c r="V52" s="56">
        <f>V51*V$7</f>
        <v/>
      </c>
      <c r="W52" s="56">
        <f>W51*W$7</f>
        <v/>
      </c>
      <c r="X52" s="56">
        <f>X51*X$7</f>
        <v/>
      </c>
      <c r="Y52" s="56">
        <f>Y51*Y$7</f>
        <v/>
      </c>
      <c r="Z52" s="56">
        <f>Z51*Z$7</f>
        <v/>
      </c>
      <c r="AA52" s="56">
        <f>AA51*AA$7</f>
        <v/>
      </c>
      <c r="AB52" s="56">
        <f>AB51*AB$7</f>
        <v/>
      </c>
      <c r="AC52" s="56">
        <f>AC51*AC$7</f>
        <v/>
      </c>
      <c r="AD52" s="56">
        <f>AD51*AD$7</f>
        <v/>
      </c>
      <c r="AE52" s="56">
        <f>AE51*AE$7</f>
        <v/>
      </c>
      <c r="AF52" s="56">
        <f>AF51*AF$7</f>
        <v/>
      </c>
      <c r="AG52" s="56">
        <f>AG51*AG$7</f>
        <v/>
      </c>
      <c r="AH52" s="56">
        <f>AH51*AH$7</f>
        <v/>
      </c>
      <c r="AI52" s="56">
        <f>AI51*AI$7</f>
        <v/>
      </c>
      <c r="AJ52" s="56">
        <f>AJ51*AJ$7</f>
        <v/>
      </c>
      <c r="AK52" s="56">
        <f>AK51*AK$7</f>
        <v/>
      </c>
      <c r="AL52" s="56">
        <f>AL51*AL$7</f>
        <v/>
      </c>
      <c r="AM52" s="57">
        <f>SUMIF($C$6:$AL$6,1,C52:AL52)</f>
        <v/>
      </c>
      <c r="AN52" s="57">
        <f>SUMIF($C$6:$AL$6,2,C52:AL52)</f>
        <v/>
      </c>
      <c r="AO52" s="57">
        <f>SUMIF($C$6:$AL$6,3,C52:AL52)</f>
        <v/>
      </c>
      <c r="AP52" s="57">
        <f>SUM(C52:AL52)</f>
        <v/>
      </c>
    </row>
    <row r="53">
      <c r="A53" s="7" t="inlineStr">
        <is>
          <t xml:space="preserve">   Units per title per month (with review ramp)</t>
        </is>
      </c>
      <c r="B53" s="9" t="inlineStr">
        <is>
          <t>units</t>
        </is>
      </c>
      <c r="C53" s="51">
        <f>'Assumptions'!$C$147*MIN(1,(C$4-MAX('Assumptions'!$C$143,'Assumptions'!$C$9)+1)/'Assumptions'!$C$11)*C50</f>
        <v/>
      </c>
      <c r="D53" s="51">
        <f>'Assumptions'!$C$147*MIN(1,(D$4-MAX('Assumptions'!$C$143,'Assumptions'!$C$9)+1)/'Assumptions'!$C$11)*D50</f>
        <v/>
      </c>
      <c r="E53" s="51">
        <f>'Assumptions'!$C$147*MIN(1,(E$4-MAX('Assumptions'!$C$143,'Assumptions'!$C$9)+1)/'Assumptions'!$C$11)*E50</f>
        <v/>
      </c>
      <c r="F53" s="51">
        <f>'Assumptions'!$C$147*MIN(1,(F$4-MAX('Assumptions'!$C$143,'Assumptions'!$C$9)+1)/'Assumptions'!$C$11)*F50</f>
        <v/>
      </c>
      <c r="G53" s="51">
        <f>'Assumptions'!$C$147*MIN(1,(G$4-MAX('Assumptions'!$C$143,'Assumptions'!$C$9)+1)/'Assumptions'!$C$11)*G50</f>
        <v/>
      </c>
      <c r="H53" s="51">
        <f>'Assumptions'!$C$147*MIN(1,(H$4-MAX('Assumptions'!$C$143,'Assumptions'!$C$9)+1)/'Assumptions'!$C$11)*H50</f>
        <v/>
      </c>
      <c r="I53" s="51">
        <f>'Assumptions'!$C$147*MIN(1,(I$4-MAX('Assumptions'!$C$143,'Assumptions'!$C$9)+1)/'Assumptions'!$C$11)*I50</f>
        <v/>
      </c>
      <c r="J53" s="51">
        <f>'Assumptions'!$C$147*MIN(1,(J$4-MAX('Assumptions'!$C$143,'Assumptions'!$C$9)+1)/'Assumptions'!$C$11)*J50</f>
        <v/>
      </c>
      <c r="K53" s="51">
        <f>'Assumptions'!$C$147*MIN(1,(K$4-MAX('Assumptions'!$C$143,'Assumptions'!$C$9)+1)/'Assumptions'!$C$11)*K50</f>
        <v/>
      </c>
      <c r="L53" s="51">
        <f>'Assumptions'!$C$147*MIN(1,(L$4-MAX('Assumptions'!$C$143,'Assumptions'!$C$9)+1)/'Assumptions'!$C$11)*L50</f>
        <v/>
      </c>
      <c r="M53" s="51">
        <f>'Assumptions'!$C$147*MIN(1,(M$4-MAX('Assumptions'!$C$143,'Assumptions'!$C$9)+1)/'Assumptions'!$C$11)*M50</f>
        <v/>
      </c>
      <c r="N53" s="51">
        <f>'Assumptions'!$C$147*MIN(1,(N$4-MAX('Assumptions'!$C$143,'Assumptions'!$C$9)+1)/'Assumptions'!$C$11)*N50</f>
        <v/>
      </c>
      <c r="O53" s="51">
        <f>'Assumptions'!$C$147*MIN(1,(O$4-MAX('Assumptions'!$C$143,'Assumptions'!$C$9)+1)/'Assumptions'!$C$11)*O50</f>
        <v/>
      </c>
      <c r="P53" s="51">
        <f>'Assumptions'!$C$147*MIN(1,(P$4-MAX('Assumptions'!$C$143,'Assumptions'!$C$9)+1)/'Assumptions'!$C$11)*P50</f>
        <v/>
      </c>
      <c r="Q53" s="51">
        <f>'Assumptions'!$C$147*MIN(1,(Q$4-MAX('Assumptions'!$C$143,'Assumptions'!$C$9)+1)/'Assumptions'!$C$11)*Q50</f>
        <v/>
      </c>
      <c r="R53" s="51">
        <f>'Assumptions'!$C$147*MIN(1,(R$4-MAX('Assumptions'!$C$143,'Assumptions'!$C$9)+1)/'Assumptions'!$C$11)*R50</f>
        <v/>
      </c>
      <c r="S53" s="51">
        <f>'Assumptions'!$C$147*MIN(1,(S$4-MAX('Assumptions'!$C$143,'Assumptions'!$C$9)+1)/'Assumptions'!$C$11)*S50</f>
        <v/>
      </c>
      <c r="T53" s="51">
        <f>'Assumptions'!$C$147*MIN(1,(T$4-MAX('Assumptions'!$C$143,'Assumptions'!$C$9)+1)/'Assumptions'!$C$11)*T50</f>
        <v/>
      </c>
      <c r="U53" s="51">
        <f>'Assumptions'!$C$147*MIN(1,(U$4-MAX('Assumptions'!$C$143,'Assumptions'!$C$9)+1)/'Assumptions'!$C$11)*U50</f>
        <v/>
      </c>
      <c r="V53" s="51">
        <f>'Assumptions'!$C$147*MIN(1,(V$4-MAX('Assumptions'!$C$143,'Assumptions'!$C$9)+1)/'Assumptions'!$C$11)*V50</f>
        <v/>
      </c>
      <c r="W53" s="51">
        <f>'Assumptions'!$C$147*MIN(1,(W$4-MAX('Assumptions'!$C$143,'Assumptions'!$C$9)+1)/'Assumptions'!$C$11)*W50</f>
        <v/>
      </c>
      <c r="X53" s="51">
        <f>'Assumptions'!$C$147*MIN(1,(X$4-MAX('Assumptions'!$C$143,'Assumptions'!$C$9)+1)/'Assumptions'!$C$11)*X50</f>
        <v/>
      </c>
      <c r="Y53" s="51">
        <f>'Assumptions'!$C$147*MIN(1,(Y$4-MAX('Assumptions'!$C$143,'Assumptions'!$C$9)+1)/'Assumptions'!$C$11)*Y50</f>
        <v/>
      </c>
      <c r="Z53" s="51">
        <f>'Assumptions'!$C$147*MIN(1,(Z$4-MAX('Assumptions'!$C$143,'Assumptions'!$C$9)+1)/'Assumptions'!$C$11)*Z50</f>
        <v/>
      </c>
      <c r="AA53" s="51">
        <f>'Assumptions'!$C$147*MIN(1,(AA$4-MAX('Assumptions'!$C$143,'Assumptions'!$C$9)+1)/'Assumptions'!$C$11)*AA50</f>
        <v/>
      </c>
      <c r="AB53" s="51">
        <f>'Assumptions'!$C$147*MIN(1,(AB$4-MAX('Assumptions'!$C$143,'Assumptions'!$C$9)+1)/'Assumptions'!$C$11)*AB50</f>
        <v/>
      </c>
      <c r="AC53" s="51">
        <f>'Assumptions'!$C$147*MIN(1,(AC$4-MAX('Assumptions'!$C$143,'Assumptions'!$C$9)+1)/'Assumptions'!$C$11)*AC50</f>
        <v/>
      </c>
      <c r="AD53" s="51">
        <f>'Assumptions'!$C$147*MIN(1,(AD$4-MAX('Assumptions'!$C$143,'Assumptions'!$C$9)+1)/'Assumptions'!$C$11)*AD50</f>
        <v/>
      </c>
      <c r="AE53" s="51">
        <f>'Assumptions'!$C$147*MIN(1,(AE$4-MAX('Assumptions'!$C$143,'Assumptions'!$C$9)+1)/'Assumptions'!$C$11)*AE50</f>
        <v/>
      </c>
      <c r="AF53" s="51">
        <f>'Assumptions'!$C$147*MIN(1,(AF$4-MAX('Assumptions'!$C$143,'Assumptions'!$C$9)+1)/'Assumptions'!$C$11)*AF50</f>
        <v/>
      </c>
      <c r="AG53" s="51">
        <f>'Assumptions'!$C$147*MIN(1,(AG$4-MAX('Assumptions'!$C$143,'Assumptions'!$C$9)+1)/'Assumptions'!$C$11)*AG50</f>
        <v/>
      </c>
      <c r="AH53" s="51">
        <f>'Assumptions'!$C$147*MIN(1,(AH$4-MAX('Assumptions'!$C$143,'Assumptions'!$C$9)+1)/'Assumptions'!$C$11)*AH50</f>
        <v/>
      </c>
      <c r="AI53" s="51">
        <f>'Assumptions'!$C$147*MIN(1,(AI$4-MAX('Assumptions'!$C$143,'Assumptions'!$C$9)+1)/'Assumptions'!$C$11)*AI50</f>
        <v/>
      </c>
      <c r="AJ53" s="51">
        <f>'Assumptions'!$C$147*MIN(1,(AJ$4-MAX('Assumptions'!$C$143,'Assumptions'!$C$9)+1)/'Assumptions'!$C$11)*AJ50</f>
        <v/>
      </c>
      <c r="AK53" s="51">
        <f>'Assumptions'!$C$147*MIN(1,(AK$4-MAX('Assumptions'!$C$143,'Assumptions'!$C$9)+1)/'Assumptions'!$C$11)*AK50</f>
        <v/>
      </c>
      <c r="AL53" s="51">
        <f>'Assumptions'!$C$147*MIN(1,(AL$4-MAX('Assumptions'!$C$143,'Assumptions'!$C$9)+1)/'Assumptions'!$C$11)*AL50</f>
        <v/>
      </c>
    </row>
    <row r="54">
      <c r="A54" s="7" t="inlineStr">
        <is>
          <t xml:space="preserve">   Orders</t>
        </is>
      </c>
      <c r="B54" s="9" t="inlineStr">
        <is>
          <t>orders</t>
        </is>
      </c>
      <c r="C54" s="56">
        <f>C52*C53</f>
        <v/>
      </c>
      <c r="D54" s="56">
        <f>D52*D53</f>
        <v/>
      </c>
      <c r="E54" s="56">
        <f>E52*E53</f>
        <v/>
      </c>
      <c r="F54" s="56">
        <f>F52*F53</f>
        <v/>
      </c>
      <c r="G54" s="56">
        <f>G52*G53</f>
        <v/>
      </c>
      <c r="H54" s="56">
        <f>H52*H53</f>
        <v/>
      </c>
      <c r="I54" s="56">
        <f>I52*I53</f>
        <v/>
      </c>
      <c r="J54" s="56">
        <f>J52*J53</f>
        <v/>
      </c>
      <c r="K54" s="56">
        <f>K52*K53</f>
        <v/>
      </c>
      <c r="L54" s="56">
        <f>L52*L53</f>
        <v/>
      </c>
      <c r="M54" s="56">
        <f>M52*M53</f>
        <v/>
      </c>
      <c r="N54" s="56">
        <f>N52*N53</f>
        <v/>
      </c>
      <c r="O54" s="56">
        <f>O52*O53</f>
        <v/>
      </c>
      <c r="P54" s="56">
        <f>P52*P53</f>
        <v/>
      </c>
      <c r="Q54" s="56">
        <f>Q52*Q53</f>
        <v/>
      </c>
      <c r="R54" s="56">
        <f>R52*R53</f>
        <v/>
      </c>
      <c r="S54" s="56">
        <f>S52*S53</f>
        <v/>
      </c>
      <c r="T54" s="56">
        <f>T52*T53</f>
        <v/>
      </c>
      <c r="U54" s="56">
        <f>U52*U53</f>
        <v/>
      </c>
      <c r="V54" s="56">
        <f>V52*V53</f>
        <v/>
      </c>
      <c r="W54" s="56">
        <f>W52*W53</f>
        <v/>
      </c>
      <c r="X54" s="56">
        <f>X52*X53</f>
        <v/>
      </c>
      <c r="Y54" s="56">
        <f>Y52*Y53</f>
        <v/>
      </c>
      <c r="Z54" s="56">
        <f>Z52*Z53</f>
        <v/>
      </c>
      <c r="AA54" s="56">
        <f>AA52*AA53</f>
        <v/>
      </c>
      <c r="AB54" s="56">
        <f>AB52*AB53</f>
        <v/>
      </c>
      <c r="AC54" s="56">
        <f>AC52*AC53</f>
        <v/>
      </c>
      <c r="AD54" s="56">
        <f>AD52*AD53</f>
        <v/>
      </c>
      <c r="AE54" s="56">
        <f>AE52*AE53</f>
        <v/>
      </c>
      <c r="AF54" s="56">
        <f>AF52*AF53</f>
        <v/>
      </c>
      <c r="AG54" s="56">
        <f>AG52*AG53</f>
        <v/>
      </c>
      <c r="AH54" s="56">
        <f>AH52*AH53</f>
        <v/>
      </c>
      <c r="AI54" s="56">
        <f>AI52*AI53</f>
        <v/>
      </c>
      <c r="AJ54" s="56">
        <f>AJ52*AJ53</f>
        <v/>
      </c>
      <c r="AK54" s="56">
        <f>AK52*AK53</f>
        <v/>
      </c>
      <c r="AL54" s="56">
        <f>AL52*AL53</f>
        <v/>
      </c>
      <c r="AM54" s="57">
        <f>SUMIF($C$6:$AL$6,1,C54:AL54)</f>
        <v/>
      </c>
      <c r="AN54" s="57">
        <f>SUMIF($C$6:$AL$6,2,C54:AL54)</f>
        <v/>
      </c>
      <c r="AO54" s="57">
        <f>SUMIF($C$6:$AL$6,3,C54:AL54)</f>
        <v/>
      </c>
      <c r="AP54" s="57">
        <f>SUM(C54:AL54)</f>
        <v/>
      </c>
    </row>
    <row r="55">
      <c r="A55" s="7" t="inlineStr">
        <is>
          <t xml:space="preserve">   Items sold</t>
        </is>
      </c>
      <c r="B55" s="9" t="inlineStr">
        <is>
          <t>items</t>
        </is>
      </c>
      <c r="C55" s="14">
        <f>C54*'Assumptions'!$C$148</f>
        <v/>
      </c>
      <c r="D55" s="14">
        <f>D54*'Assumptions'!$C$148</f>
        <v/>
      </c>
      <c r="E55" s="14">
        <f>E54*'Assumptions'!$C$148</f>
        <v/>
      </c>
      <c r="F55" s="14">
        <f>F54*'Assumptions'!$C$148</f>
        <v/>
      </c>
      <c r="G55" s="14">
        <f>G54*'Assumptions'!$C$148</f>
        <v/>
      </c>
      <c r="H55" s="14">
        <f>H54*'Assumptions'!$C$148</f>
        <v/>
      </c>
      <c r="I55" s="14">
        <f>I54*'Assumptions'!$C$148</f>
        <v/>
      </c>
      <c r="J55" s="14">
        <f>J54*'Assumptions'!$C$148</f>
        <v/>
      </c>
      <c r="K55" s="14">
        <f>K54*'Assumptions'!$C$148</f>
        <v/>
      </c>
      <c r="L55" s="14">
        <f>L54*'Assumptions'!$C$148</f>
        <v/>
      </c>
      <c r="M55" s="14">
        <f>M54*'Assumptions'!$C$148</f>
        <v/>
      </c>
      <c r="N55" s="14">
        <f>N54*'Assumptions'!$C$148</f>
        <v/>
      </c>
      <c r="O55" s="14">
        <f>O54*'Assumptions'!$C$148</f>
        <v/>
      </c>
      <c r="P55" s="14">
        <f>P54*'Assumptions'!$C$148</f>
        <v/>
      </c>
      <c r="Q55" s="14">
        <f>Q54*'Assumptions'!$C$148</f>
        <v/>
      </c>
      <c r="R55" s="14">
        <f>R54*'Assumptions'!$C$148</f>
        <v/>
      </c>
      <c r="S55" s="14">
        <f>S54*'Assumptions'!$C$148</f>
        <v/>
      </c>
      <c r="T55" s="14">
        <f>T54*'Assumptions'!$C$148</f>
        <v/>
      </c>
      <c r="U55" s="14">
        <f>U54*'Assumptions'!$C$148</f>
        <v/>
      </c>
      <c r="V55" s="14">
        <f>V54*'Assumptions'!$C$148</f>
        <v/>
      </c>
      <c r="W55" s="14">
        <f>W54*'Assumptions'!$C$148</f>
        <v/>
      </c>
      <c r="X55" s="14">
        <f>X54*'Assumptions'!$C$148</f>
        <v/>
      </c>
      <c r="Y55" s="14">
        <f>Y54*'Assumptions'!$C$148</f>
        <v/>
      </c>
      <c r="Z55" s="14">
        <f>Z54*'Assumptions'!$C$148</f>
        <v/>
      </c>
      <c r="AA55" s="14">
        <f>AA54*'Assumptions'!$C$148</f>
        <v/>
      </c>
      <c r="AB55" s="14">
        <f>AB54*'Assumptions'!$C$148</f>
        <v/>
      </c>
      <c r="AC55" s="14">
        <f>AC54*'Assumptions'!$C$148</f>
        <v/>
      </c>
      <c r="AD55" s="14">
        <f>AD54*'Assumptions'!$C$148</f>
        <v/>
      </c>
      <c r="AE55" s="14">
        <f>AE54*'Assumptions'!$C$148</f>
        <v/>
      </c>
      <c r="AF55" s="14">
        <f>AF54*'Assumptions'!$C$148</f>
        <v/>
      </c>
      <c r="AG55" s="14">
        <f>AG54*'Assumptions'!$C$148</f>
        <v/>
      </c>
      <c r="AH55" s="14">
        <f>AH54*'Assumptions'!$C$148</f>
        <v/>
      </c>
      <c r="AI55" s="14">
        <f>AI54*'Assumptions'!$C$148</f>
        <v/>
      </c>
      <c r="AJ55" s="14">
        <f>AJ54*'Assumptions'!$C$148</f>
        <v/>
      </c>
      <c r="AK55" s="14">
        <f>AK54*'Assumptions'!$C$148</f>
        <v/>
      </c>
      <c r="AL55" s="14">
        <f>AL54*'Assumptions'!$C$148</f>
        <v/>
      </c>
      <c r="AM55" s="57">
        <f>SUMIF($C$6:$AL$6,1,C55:AL55)</f>
        <v/>
      </c>
      <c r="AN55" s="57">
        <f>SUMIF($C$6:$AL$6,2,C55:AL55)</f>
        <v/>
      </c>
      <c r="AO55" s="57">
        <f>SUMIF($C$6:$AL$6,3,C55:AL55)</f>
        <v/>
      </c>
      <c r="AP55" s="57">
        <f>SUM(C55:AL55)</f>
        <v/>
      </c>
    </row>
    <row r="56">
      <c r="A56" s="7" t="inlineStr">
        <is>
          <t xml:space="preserve">   Average order value</t>
        </is>
      </c>
      <c r="B56" s="9" t="inlineStr">
        <is>
          <t>$</t>
        </is>
      </c>
      <c r="C56" s="16">
        <f>'Unit Economics'!$E$52*'Assumptions'!$C$148*C50</f>
        <v/>
      </c>
      <c r="D56" s="16">
        <f>'Unit Economics'!$E$52*'Assumptions'!$C$148*D50</f>
        <v/>
      </c>
      <c r="E56" s="16">
        <f>'Unit Economics'!$E$52*'Assumptions'!$C$148*E50</f>
        <v/>
      </c>
      <c r="F56" s="16">
        <f>'Unit Economics'!$E$52*'Assumptions'!$C$148*F50</f>
        <v/>
      </c>
      <c r="G56" s="16">
        <f>'Unit Economics'!$E$52*'Assumptions'!$C$148*G50</f>
        <v/>
      </c>
      <c r="H56" s="16">
        <f>'Unit Economics'!$E$52*'Assumptions'!$C$148*H50</f>
        <v/>
      </c>
      <c r="I56" s="16">
        <f>'Unit Economics'!$E$52*'Assumptions'!$C$148*I50</f>
        <v/>
      </c>
      <c r="J56" s="16">
        <f>'Unit Economics'!$E$52*'Assumptions'!$C$148*J50</f>
        <v/>
      </c>
      <c r="K56" s="16">
        <f>'Unit Economics'!$E$52*'Assumptions'!$C$148*K50</f>
        <v/>
      </c>
      <c r="L56" s="16">
        <f>'Unit Economics'!$E$52*'Assumptions'!$C$148*L50</f>
        <v/>
      </c>
      <c r="M56" s="16">
        <f>'Unit Economics'!$E$52*'Assumptions'!$C$148*M50</f>
        <v/>
      </c>
      <c r="N56" s="16">
        <f>'Unit Economics'!$E$52*'Assumptions'!$C$148*N50</f>
        <v/>
      </c>
      <c r="O56" s="16">
        <f>'Unit Economics'!$E$52*'Assumptions'!$C$148*O50</f>
        <v/>
      </c>
      <c r="P56" s="16">
        <f>'Unit Economics'!$E$52*'Assumptions'!$C$148*P50</f>
        <v/>
      </c>
      <c r="Q56" s="16">
        <f>'Unit Economics'!$E$52*'Assumptions'!$C$148*Q50</f>
        <v/>
      </c>
      <c r="R56" s="16">
        <f>'Unit Economics'!$E$52*'Assumptions'!$C$148*R50</f>
        <v/>
      </c>
      <c r="S56" s="16">
        <f>'Unit Economics'!$E$52*'Assumptions'!$C$148*S50</f>
        <v/>
      </c>
      <c r="T56" s="16">
        <f>'Unit Economics'!$E$52*'Assumptions'!$C$148*T50</f>
        <v/>
      </c>
      <c r="U56" s="16">
        <f>'Unit Economics'!$E$52*'Assumptions'!$C$148*U50</f>
        <v/>
      </c>
      <c r="V56" s="16">
        <f>'Unit Economics'!$E$52*'Assumptions'!$C$148*V50</f>
        <v/>
      </c>
      <c r="W56" s="16">
        <f>'Unit Economics'!$E$52*'Assumptions'!$C$148*W50</f>
        <v/>
      </c>
      <c r="X56" s="16">
        <f>'Unit Economics'!$E$52*'Assumptions'!$C$148*X50</f>
        <v/>
      </c>
      <c r="Y56" s="16">
        <f>'Unit Economics'!$E$52*'Assumptions'!$C$148*Y50</f>
        <v/>
      </c>
      <c r="Z56" s="16">
        <f>'Unit Economics'!$E$52*'Assumptions'!$C$148*Z50</f>
        <v/>
      </c>
      <c r="AA56" s="16">
        <f>'Unit Economics'!$E$52*'Assumptions'!$C$148*AA50</f>
        <v/>
      </c>
      <c r="AB56" s="16">
        <f>'Unit Economics'!$E$52*'Assumptions'!$C$148*AB50</f>
        <v/>
      </c>
      <c r="AC56" s="16">
        <f>'Unit Economics'!$E$52*'Assumptions'!$C$148*AC50</f>
        <v/>
      </c>
      <c r="AD56" s="16">
        <f>'Unit Economics'!$E$52*'Assumptions'!$C$148*AD50</f>
        <v/>
      </c>
      <c r="AE56" s="16">
        <f>'Unit Economics'!$E$52*'Assumptions'!$C$148*AE50</f>
        <v/>
      </c>
      <c r="AF56" s="16">
        <f>'Unit Economics'!$E$52*'Assumptions'!$C$148*AF50</f>
        <v/>
      </c>
      <c r="AG56" s="16">
        <f>'Unit Economics'!$E$52*'Assumptions'!$C$148*AG50</f>
        <v/>
      </c>
      <c r="AH56" s="16">
        <f>'Unit Economics'!$E$52*'Assumptions'!$C$148*AH50</f>
        <v/>
      </c>
      <c r="AI56" s="16">
        <f>'Unit Economics'!$E$52*'Assumptions'!$C$148*AI50</f>
        <v/>
      </c>
      <c r="AJ56" s="16">
        <f>'Unit Economics'!$E$52*'Assumptions'!$C$148*AJ50</f>
        <v/>
      </c>
      <c r="AK56" s="16">
        <f>'Unit Economics'!$E$52*'Assumptions'!$C$148*AK50</f>
        <v/>
      </c>
      <c r="AL56" s="16">
        <f>'Unit Economics'!$E$52*'Assumptions'!$C$148*AL50</f>
        <v/>
      </c>
    </row>
    <row r="57">
      <c r="A57" s="7" t="inlineStr">
        <is>
          <t xml:space="preserve">   Gross sales (price paid by customers)</t>
        </is>
      </c>
      <c r="B57" s="9" t="inlineStr">
        <is>
          <t>$</t>
        </is>
      </c>
      <c r="C57" s="8">
        <f>C55*'Unit Economics'!$E$52</f>
        <v/>
      </c>
      <c r="D57" s="8">
        <f>D55*'Unit Economics'!$E$52</f>
        <v/>
      </c>
      <c r="E57" s="8">
        <f>E55*'Unit Economics'!$E$52</f>
        <v/>
      </c>
      <c r="F57" s="8">
        <f>F55*'Unit Economics'!$E$52</f>
        <v/>
      </c>
      <c r="G57" s="8">
        <f>G55*'Unit Economics'!$E$52</f>
        <v/>
      </c>
      <c r="H57" s="8">
        <f>H55*'Unit Economics'!$E$52</f>
        <v/>
      </c>
      <c r="I57" s="8">
        <f>I55*'Unit Economics'!$E$52</f>
        <v/>
      </c>
      <c r="J57" s="8">
        <f>J55*'Unit Economics'!$E$52</f>
        <v/>
      </c>
      <c r="K57" s="8">
        <f>K55*'Unit Economics'!$E$52</f>
        <v/>
      </c>
      <c r="L57" s="8">
        <f>L55*'Unit Economics'!$E$52</f>
        <v/>
      </c>
      <c r="M57" s="8">
        <f>M55*'Unit Economics'!$E$52</f>
        <v/>
      </c>
      <c r="N57" s="8">
        <f>N55*'Unit Economics'!$E$52</f>
        <v/>
      </c>
      <c r="O57" s="8">
        <f>O55*'Unit Economics'!$E$52</f>
        <v/>
      </c>
      <c r="P57" s="8">
        <f>P55*'Unit Economics'!$E$52</f>
        <v/>
      </c>
      <c r="Q57" s="8">
        <f>Q55*'Unit Economics'!$E$52</f>
        <v/>
      </c>
      <c r="R57" s="8">
        <f>R55*'Unit Economics'!$E$52</f>
        <v/>
      </c>
      <c r="S57" s="8">
        <f>S55*'Unit Economics'!$E$52</f>
        <v/>
      </c>
      <c r="T57" s="8">
        <f>T55*'Unit Economics'!$E$52</f>
        <v/>
      </c>
      <c r="U57" s="8">
        <f>U55*'Unit Economics'!$E$52</f>
        <v/>
      </c>
      <c r="V57" s="8">
        <f>V55*'Unit Economics'!$E$52</f>
        <v/>
      </c>
      <c r="W57" s="8">
        <f>W55*'Unit Economics'!$E$52</f>
        <v/>
      </c>
      <c r="X57" s="8">
        <f>X55*'Unit Economics'!$E$52</f>
        <v/>
      </c>
      <c r="Y57" s="8">
        <f>Y55*'Unit Economics'!$E$52</f>
        <v/>
      </c>
      <c r="Z57" s="8">
        <f>Z55*'Unit Economics'!$E$52</f>
        <v/>
      </c>
      <c r="AA57" s="8">
        <f>AA55*'Unit Economics'!$E$52</f>
        <v/>
      </c>
      <c r="AB57" s="8">
        <f>AB55*'Unit Economics'!$E$52</f>
        <v/>
      </c>
      <c r="AC57" s="8">
        <f>AC55*'Unit Economics'!$E$52</f>
        <v/>
      </c>
      <c r="AD57" s="8">
        <f>AD55*'Unit Economics'!$E$52</f>
        <v/>
      </c>
      <c r="AE57" s="8">
        <f>AE55*'Unit Economics'!$E$52</f>
        <v/>
      </c>
      <c r="AF57" s="8">
        <f>AF55*'Unit Economics'!$E$52</f>
        <v/>
      </c>
      <c r="AG57" s="8">
        <f>AG55*'Unit Economics'!$E$52</f>
        <v/>
      </c>
      <c r="AH57" s="8">
        <f>AH55*'Unit Economics'!$E$52</f>
        <v/>
      </c>
      <c r="AI57" s="8">
        <f>AI55*'Unit Economics'!$E$52</f>
        <v/>
      </c>
      <c r="AJ57" s="8">
        <f>AJ55*'Unit Economics'!$E$52</f>
        <v/>
      </c>
      <c r="AK57" s="8">
        <f>AK55*'Unit Economics'!$E$52</f>
        <v/>
      </c>
      <c r="AL57" s="8">
        <f>AL55*'Unit Economics'!$E$52</f>
        <v/>
      </c>
      <c r="AM57" s="47">
        <f>SUMIF($C$6:$AL$6,1,C57:AL57)</f>
        <v/>
      </c>
      <c r="AN57" s="47">
        <f>SUMIF($C$6:$AL$6,2,C57:AL57)</f>
        <v/>
      </c>
      <c r="AO57" s="47">
        <f>SUMIF($C$6:$AL$6,3,C57:AL57)</f>
        <v/>
      </c>
      <c r="AP57" s="47">
        <f>SUM(C57:AL57)</f>
        <v/>
      </c>
    </row>
    <row r="58">
      <c r="A58" s="7" t="inlineStr">
        <is>
          <t xml:space="preserve">   Net contribution to AlphaPlay</t>
        </is>
      </c>
      <c r="B58" s="9" t="inlineStr">
        <is>
          <t>$</t>
        </is>
      </c>
      <c r="C58" s="8">
        <f>C55*'Unit Economics'!$F$52</f>
        <v/>
      </c>
      <c r="D58" s="8">
        <f>D55*'Unit Economics'!$F$52</f>
        <v/>
      </c>
      <c r="E58" s="8">
        <f>E55*'Unit Economics'!$F$52</f>
        <v/>
      </c>
      <c r="F58" s="8">
        <f>F55*'Unit Economics'!$F$52</f>
        <v/>
      </c>
      <c r="G58" s="8">
        <f>G55*'Unit Economics'!$F$52</f>
        <v/>
      </c>
      <c r="H58" s="8">
        <f>H55*'Unit Economics'!$F$52</f>
        <v/>
      </c>
      <c r="I58" s="8">
        <f>I55*'Unit Economics'!$F$52</f>
        <v/>
      </c>
      <c r="J58" s="8">
        <f>J55*'Unit Economics'!$F$52</f>
        <v/>
      </c>
      <c r="K58" s="8">
        <f>K55*'Unit Economics'!$F$52</f>
        <v/>
      </c>
      <c r="L58" s="8">
        <f>L55*'Unit Economics'!$F$52</f>
        <v/>
      </c>
      <c r="M58" s="8">
        <f>M55*'Unit Economics'!$F$52</f>
        <v/>
      </c>
      <c r="N58" s="8">
        <f>N55*'Unit Economics'!$F$52</f>
        <v/>
      </c>
      <c r="O58" s="8">
        <f>O55*'Unit Economics'!$F$52</f>
        <v/>
      </c>
      <c r="P58" s="8">
        <f>P55*'Unit Economics'!$F$52</f>
        <v/>
      </c>
      <c r="Q58" s="8">
        <f>Q55*'Unit Economics'!$F$52</f>
        <v/>
      </c>
      <c r="R58" s="8">
        <f>R55*'Unit Economics'!$F$52</f>
        <v/>
      </c>
      <c r="S58" s="8">
        <f>S55*'Unit Economics'!$F$52</f>
        <v/>
      </c>
      <c r="T58" s="8">
        <f>T55*'Unit Economics'!$F$52</f>
        <v/>
      </c>
      <c r="U58" s="8">
        <f>U55*'Unit Economics'!$F$52</f>
        <v/>
      </c>
      <c r="V58" s="8">
        <f>V55*'Unit Economics'!$F$52</f>
        <v/>
      </c>
      <c r="W58" s="8">
        <f>W55*'Unit Economics'!$F$52</f>
        <v/>
      </c>
      <c r="X58" s="8">
        <f>X55*'Unit Economics'!$F$52</f>
        <v/>
      </c>
      <c r="Y58" s="8">
        <f>Y55*'Unit Economics'!$F$52</f>
        <v/>
      </c>
      <c r="Z58" s="8">
        <f>Z55*'Unit Economics'!$F$52</f>
        <v/>
      </c>
      <c r="AA58" s="8">
        <f>AA55*'Unit Economics'!$F$52</f>
        <v/>
      </c>
      <c r="AB58" s="8">
        <f>AB55*'Unit Economics'!$F$52</f>
        <v/>
      </c>
      <c r="AC58" s="8">
        <f>AC55*'Unit Economics'!$F$52</f>
        <v/>
      </c>
      <c r="AD58" s="8">
        <f>AD55*'Unit Economics'!$F$52</f>
        <v/>
      </c>
      <c r="AE58" s="8">
        <f>AE55*'Unit Economics'!$F$52</f>
        <v/>
      </c>
      <c r="AF58" s="8">
        <f>AF55*'Unit Economics'!$F$52</f>
        <v/>
      </c>
      <c r="AG58" s="8">
        <f>AG55*'Unit Economics'!$F$52</f>
        <v/>
      </c>
      <c r="AH58" s="8">
        <f>AH55*'Unit Economics'!$F$52</f>
        <v/>
      </c>
      <c r="AI58" s="8">
        <f>AI55*'Unit Economics'!$F$52</f>
        <v/>
      </c>
      <c r="AJ58" s="8">
        <f>AJ55*'Unit Economics'!$F$52</f>
        <v/>
      </c>
      <c r="AK58" s="8">
        <f>AK55*'Unit Economics'!$F$52</f>
        <v/>
      </c>
      <c r="AL58" s="8">
        <f>AL55*'Unit Economics'!$F$52</f>
        <v/>
      </c>
      <c r="AM58" s="47">
        <f>SUMIF($C$6:$AL$6,1,C58:AL58)</f>
        <v/>
      </c>
      <c r="AN58" s="47">
        <f>SUMIF($C$6:$AL$6,2,C58:AL58)</f>
        <v/>
      </c>
      <c r="AO58" s="47">
        <f>SUMIF($C$6:$AL$6,3,C58:AL58)</f>
        <v/>
      </c>
      <c r="AP58" s="47">
        <f>SUM(C58:AL58)</f>
        <v/>
      </c>
    </row>
    <row r="59">
      <c r="A59" s="5" t="inlineStr">
        <is>
          <t>International digital via merchant of record (Gumroad)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  <c r="AG59" s="6" t="n"/>
      <c r="AH59" s="6" t="n"/>
      <c r="AI59" s="6" t="n"/>
      <c r="AJ59" s="6" t="n"/>
      <c r="AK59" s="6" t="n"/>
      <c r="AL59" s="6" t="n"/>
      <c r="AM59" s="6" t="n"/>
      <c r="AN59" s="6" t="n"/>
      <c r="AO59" s="6" t="n"/>
      <c r="AP59" s="6" t="n"/>
    </row>
    <row r="60">
      <c r="A60" s="7" t="inlineStr">
        <is>
          <t xml:space="preserve">   Active (1 = live)</t>
        </is>
      </c>
      <c r="B60" s="9" t="inlineStr">
        <is>
          <t>flag</t>
        </is>
      </c>
      <c r="C60" s="18">
        <f>IF(AND('Assumptions'!$C$150=1,C$4&gt;=MAX('Assumptions'!$C$151,'Assumptions'!$C$9)),1,0)</f>
        <v/>
      </c>
      <c r="D60" s="18">
        <f>IF(AND('Assumptions'!$C$150=1,D$4&gt;=MAX('Assumptions'!$C$151,'Assumptions'!$C$9)),1,0)</f>
        <v/>
      </c>
      <c r="E60" s="18">
        <f>IF(AND('Assumptions'!$C$150=1,E$4&gt;=MAX('Assumptions'!$C$151,'Assumptions'!$C$9)),1,0)</f>
        <v/>
      </c>
      <c r="F60" s="18">
        <f>IF(AND('Assumptions'!$C$150=1,F$4&gt;=MAX('Assumptions'!$C$151,'Assumptions'!$C$9)),1,0)</f>
        <v/>
      </c>
      <c r="G60" s="18">
        <f>IF(AND('Assumptions'!$C$150=1,G$4&gt;=MAX('Assumptions'!$C$151,'Assumptions'!$C$9)),1,0)</f>
        <v/>
      </c>
      <c r="H60" s="18">
        <f>IF(AND('Assumptions'!$C$150=1,H$4&gt;=MAX('Assumptions'!$C$151,'Assumptions'!$C$9)),1,0)</f>
        <v/>
      </c>
      <c r="I60" s="18">
        <f>IF(AND('Assumptions'!$C$150=1,I$4&gt;=MAX('Assumptions'!$C$151,'Assumptions'!$C$9)),1,0)</f>
        <v/>
      </c>
      <c r="J60" s="18">
        <f>IF(AND('Assumptions'!$C$150=1,J$4&gt;=MAX('Assumptions'!$C$151,'Assumptions'!$C$9)),1,0)</f>
        <v/>
      </c>
      <c r="K60" s="18">
        <f>IF(AND('Assumptions'!$C$150=1,K$4&gt;=MAX('Assumptions'!$C$151,'Assumptions'!$C$9)),1,0)</f>
        <v/>
      </c>
      <c r="L60" s="18">
        <f>IF(AND('Assumptions'!$C$150=1,L$4&gt;=MAX('Assumptions'!$C$151,'Assumptions'!$C$9)),1,0)</f>
        <v/>
      </c>
      <c r="M60" s="18">
        <f>IF(AND('Assumptions'!$C$150=1,M$4&gt;=MAX('Assumptions'!$C$151,'Assumptions'!$C$9)),1,0)</f>
        <v/>
      </c>
      <c r="N60" s="18">
        <f>IF(AND('Assumptions'!$C$150=1,N$4&gt;=MAX('Assumptions'!$C$151,'Assumptions'!$C$9)),1,0)</f>
        <v/>
      </c>
      <c r="O60" s="18">
        <f>IF(AND('Assumptions'!$C$150=1,O$4&gt;=MAX('Assumptions'!$C$151,'Assumptions'!$C$9)),1,0)</f>
        <v/>
      </c>
      <c r="P60" s="18">
        <f>IF(AND('Assumptions'!$C$150=1,P$4&gt;=MAX('Assumptions'!$C$151,'Assumptions'!$C$9)),1,0)</f>
        <v/>
      </c>
      <c r="Q60" s="18">
        <f>IF(AND('Assumptions'!$C$150=1,Q$4&gt;=MAX('Assumptions'!$C$151,'Assumptions'!$C$9)),1,0)</f>
        <v/>
      </c>
      <c r="R60" s="18">
        <f>IF(AND('Assumptions'!$C$150=1,R$4&gt;=MAX('Assumptions'!$C$151,'Assumptions'!$C$9)),1,0)</f>
        <v/>
      </c>
      <c r="S60" s="18">
        <f>IF(AND('Assumptions'!$C$150=1,S$4&gt;=MAX('Assumptions'!$C$151,'Assumptions'!$C$9)),1,0)</f>
        <v/>
      </c>
      <c r="T60" s="18">
        <f>IF(AND('Assumptions'!$C$150=1,T$4&gt;=MAX('Assumptions'!$C$151,'Assumptions'!$C$9)),1,0)</f>
        <v/>
      </c>
      <c r="U60" s="18">
        <f>IF(AND('Assumptions'!$C$150=1,U$4&gt;=MAX('Assumptions'!$C$151,'Assumptions'!$C$9)),1,0)</f>
        <v/>
      </c>
      <c r="V60" s="18">
        <f>IF(AND('Assumptions'!$C$150=1,V$4&gt;=MAX('Assumptions'!$C$151,'Assumptions'!$C$9)),1,0)</f>
        <v/>
      </c>
      <c r="W60" s="18">
        <f>IF(AND('Assumptions'!$C$150=1,W$4&gt;=MAX('Assumptions'!$C$151,'Assumptions'!$C$9)),1,0)</f>
        <v/>
      </c>
      <c r="X60" s="18">
        <f>IF(AND('Assumptions'!$C$150=1,X$4&gt;=MAX('Assumptions'!$C$151,'Assumptions'!$C$9)),1,0)</f>
        <v/>
      </c>
      <c r="Y60" s="18">
        <f>IF(AND('Assumptions'!$C$150=1,Y$4&gt;=MAX('Assumptions'!$C$151,'Assumptions'!$C$9)),1,0)</f>
        <v/>
      </c>
      <c r="Z60" s="18">
        <f>IF(AND('Assumptions'!$C$150=1,Z$4&gt;=MAX('Assumptions'!$C$151,'Assumptions'!$C$9)),1,0)</f>
        <v/>
      </c>
      <c r="AA60" s="18">
        <f>IF(AND('Assumptions'!$C$150=1,AA$4&gt;=MAX('Assumptions'!$C$151,'Assumptions'!$C$9)),1,0)</f>
        <v/>
      </c>
      <c r="AB60" s="18">
        <f>IF(AND('Assumptions'!$C$150=1,AB$4&gt;=MAX('Assumptions'!$C$151,'Assumptions'!$C$9)),1,0)</f>
        <v/>
      </c>
      <c r="AC60" s="18">
        <f>IF(AND('Assumptions'!$C$150=1,AC$4&gt;=MAX('Assumptions'!$C$151,'Assumptions'!$C$9)),1,0)</f>
        <v/>
      </c>
      <c r="AD60" s="18">
        <f>IF(AND('Assumptions'!$C$150=1,AD$4&gt;=MAX('Assumptions'!$C$151,'Assumptions'!$C$9)),1,0)</f>
        <v/>
      </c>
      <c r="AE60" s="18">
        <f>IF(AND('Assumptions'!$C$150=1,AE$4&gt;=MAX('Assumptions'!$C$151,'Assumptions'!$C$9)),1,0)</f>
        <v/>
      </c>
      <c r="AF60" s="18">
        <f>IF(AND('Assumptions'!$C$150=1,AF$4&gt;=MAX('Assumptions'!$C$151,'Assumptions'!$C$9)),1,0)</f>
        <v/>
      </c>
      <c r="AG60" s="18">
        <f>IF(AND('Assumptions'!$C$150=1,AG$4&gt;=MAX('Assumptions'!$C$151,'Assumptions'!$C$9)),1,0)</f>
        <v/>
      </c>
      <c r="AH60" s="18">
        <f>IF(AND('Assumptions'!$C$150=1,AH$4&gt;=MAX('Assumptions'!$C$151,'Assumptions'!$C$9)),1,0)</f>
        <v/>
      </c>
      <c r="AI60" s="18">
        <f>IF(AND('Assumptions'!$C$150=1,AI$4&gt;=MAX('Assumptions'!$C$151,'Assumptions'!$C$9)),1,0)</f>
        <v/>
      </c>
      <c r="AJ60" s="18">
        <f>IF(AND('Assumptions'!$C$150=1,AJ$4&gt;=MAX('Assumptions'!$C$151,'Assumptions'!$C$9)),1,0)</f>
        <v/>
      </c>
      <c r="AK60" s="18">
        <f>IF(AND('Assumptions'!$C$150=1,AK$4&gt;=MAX('Assumptions'!$C$151,'Assumptions'!$C$9)),1,0)</f>
        <v/>
      </c>
      <c r="AL60" s="18">
        <f>IF(AND('Assumptions'!$C$150=1,AL$4&gt;=MAX('Assumptions'!$C$151,'Assumptions'!$C$9)),1,0)</f>
        <v/>
      </c>
    </row>
    <row r="61">
      <c r="A61" s="7" t="inlineStr">
        <is>
          <t xml:space="preserve">   Sales-per-product index (1.00 in the launch month)</t>
        </is>
      </c>
      <c r="B61" s="9" t="inlineStr">
        <is>
          <t>index</t>
        </is>
      </c>
      <c r="C61" s="55">
        <f>IF(C60=0,0,1)</f>
        <v/>
      </c>
      <c r="D61" s="51">
        <f>IF(D60=0,0,IF(D$4=MAX('Assumptions'!$C$151,'Assumptions'!$C$9),1,C61*(1+CHOOSE(D$6,'Assumptions'!$C$152,'Assumptions'!$C$153,'Assumptions'!$C$154))))</f>
        <v/>
      </c>
      <c r="E61" s="51">
        <f>IF(E60=0,0,IF(E$4=MAX('Assumptions'!$C$151,'Assumptions'!$C$9),1,D61*(1+CHOOSE(E$6,'Assumptions'!$C$152,'Assumptions'!$C$153,'Assumptions'!$C$154))))</f>
        <v/>
      </c>
      <c r="F61" s="51">
        <f>IF(F60=0,0,IF(F$4=MAX('Assumptions'!$C$151,'Assumptions'!$C$9),1,E61*(1+CHOOSE(F$6,'Assumptions'!$C$152,'Assumptions'!$C$153,'Assumptions'!$C$154))))</f>
        <v/>
      </c>
      <c r="G61" s="51">
        <f>IF(G60=0,0,IF(G$4=MAX('Assumptions'!$C$151,'Assumptions'!$C$9),1,F61*(1+CHOOSE(G$6,'Assumptions'!$C$152,'Assumptions'!$C$153,'Assumptions'!$C$154))))</f>
        <v/>
      </c>
      <c r="H61" s="51">
        <f>IF(H60=0,0,IF(H$4=MAX('Assumptions'!$C$151,'Assumptions'!$C$9),1,G61*(1+CHOOSE(H$6,'Assumptions'!$C$152,'Assumptions'!$C$153,'Assumptions'!$C$154))))</f>
        <v/>
      </c>
      <c r="I61" s="51">
        <f>IF(I60=0,0,IF(I$4=MAX('Assumptions'!$C$151,'Assumptions'!$C$9),1,H61*(1+CHOOSE(I$6,'Assumptions'!$C$152,'Assumptions'!$C$153,'Assumptions'!$C$154))))</f>
        <v/>
      </c>
      <c r="J61" s="51">
        <f>IF(J60=0,0,IF(J$4=MAX('Assumptions'!$C$151,'Assumptions'!$C$9),1,I61*(1+CHOOSE(J$6,'Assumptions'!$C$152,'Assumptions'!$C$153,'Assumptions'!$C$154))))</f>
        <v/>
      </c>
      <c r="K61" s="51">
        <f>IF(K60=0,0,IF(K$4=MAX('Assumptions'!$C$151,'Assumptions'!$C$9),1,J61*(1+CHOOSE(K$6,'Assumptions'!$C$152,'Assumptions'!$C$153,'Assumptions'!$C$154))))</f>
        <v/>
      </c>
      <c r="L61" s="51">
        <f>IF(L60=0,0,IF(L$4=MAX('Assumptions'!$C$151,'Assumptions'!$C$9),1,K61*(1+CHOOSE(L$6,'Assumptions'!$C$152,'Assumptions'!$C$153,'Assumptions'!$C$154))))</f>
        <v/>
      </c>
      <c r="M61" s="51">
        <f>IF(M60=0,0,IF(M$4=MAX('Assumptions'!$C$151,'Assumptions'!$C$9),1,L61*(1+CHOOSE(M$6,'Assumptions'!$C$152,'Assumptions'!$C$153,'Assumptions'!$C$154))))</f>
        <v/>
      </c>
      <c r="N61" s="51">
        <f>IF(N60=0,0,IF(N$4=MAX('Assumptions'!$C$151,'Assumptions'!$C$9),1,M61*(1+CHOOSE(N$6,'Assumptions'!$C$152,'Assumptions'!$C$153,'Assumptions'!$C$154))))</f>
        <v/>
      </c>
      <c r="O61" s="51">
        <f>IF(O60=0,0,IF(O$4=MAX('Assumptions'!$C$151,'Assumptions'!$C$9),1,N61*(1+CHOOSE(O$6,'Assumptions'!$C$152,'Assumptions'!$C$153,'Assumptions'!$C$154))))</f>
        <v/>
      </c>
      <c r="P61" s="51">
        <f>IF(P60=0,0,IF(P$4=MAX('Assumptions'!$C$151,'Assumptions'!$C$9),1,O61*(1+CHOOSE(P$6,'Assumptions'!$C$152,'Assumptions'!$C$153,'Assumptions'!$C$154))))</f>
        <v/>
      </c>
      <c r="Q61" s="51">
        <f>IF(Q60=0,0,IF(Q$4=MAX('Assumptions'!$C$151,'Assumptions'!$C$9),1,P61*(1+CHOOSE(Q$6,'Assumptions'!$C$152,'Assumptions'!$C$153,'Assumptions'!$C$154))))</f>
        <v/>
      </c>
      <c r="R61" s="51">
        <f>IF(R60=0,0,IF(R$4=MAX('Assumptions'!$C$151,'Assumptions'!$C$9),1,Q61*(1+CHOOSE(R$6,'Assumptions'!$C$152,'Assumptions'!$C$153,'Assumptions'!$C$154))))</f>
        <v/>
      </c>
      <c r="S61" s="51">
        <f>IF(S60=0,0,IF(S$4=MAX('Assumptions'!$C$151,'Assumptions'!$C$9),1,R61*(1+CHOOSE(S$6,'Assumptions'!$C$152,'Assumptions'!$C$153,'Assumptions'!$C$154))))</f>
        <v/>
      </c>
      <c r="T61" s="51">
        <f>IF(T60=0,0,IF(T$4=MAX('Assumptions'!$C$151,'Assumptions'!$C$9),1,S61*(1+CHOOSE(T$6,'Assumptions'!$C$152,'Assumptions'!$C$153,'Assumptions'!$C$154))))</f>
        <v/>
      </c>
      <c r="U61" s="51">
        <f>IF(U60=0,0,IF(U$4=MAX('Assumptions'!$C$151,'Assumptions'!$C$9),1,T61*(1+CHOOSE(U$6,'Assumptions'!$C$152,'Assumptions'!$C$153,'Assumptions'!$C$154))))</f>
        <v/>
      </c>
      <c r="V61" s="51">
        <f>IF(V60=0,0,IF(V$4=MAX('Assumptions'!$C$151,'Assumptions'!$C$9),1,U61*(1+CHOOSE(V$6,'Assumptions'!$C$152,'Assumptions'!$C$153,'Assumptions'!$C$154))))</f>
        <v/>
      </c>
      <c r="W61" s="51">
        <f>IF(W60=0,0,IF(W$4=MAX('Assumptions'!$C$151,'Assumptions'!$C$9),1,V61*(1+CHOOSE(W$6,'Assumptions'!$C$152,'Assumptions'!$C$153,'Assumptions'!$C$154))))</f>
        <v/>
      </c>
      <c r="X61" s="51">
        <f>IF(X60=0,0,IF(X$4=MAX('Assumptions'!$C$151,'Assumptions'!$C$9),1,W61*(1+CHOOSE(X$6,'Assumptions'!$C$152,'Assumptions'!$C$153,'Assumptions'!$C$154))))</f>
        <v/>
      </c>
      <c r="Y61" s="51">
        <f>IF(Y60=0,0,IF(Y$4=MAX('Assumptions'!$C$151,'Assumptions'!$C$9),1,X61*(1+CHOOSE(Y$6,'Assumptions'!$C$152,'Assumptions'!$C$153,'Assumptions'!$C$154))))</f>
        <v/>
      </c>
      <c r="Z61" s="51">
        <f>IF(Z60=0,0,IF(Z$4=MAX('Assumptions'!$C$151,'Assumptions'!$C$9),1,Y61*(1+CHOOSE(Z$6,'Assumptions'!$C$152,'Assumptions'!$C$153,'Assumptions'!$C$154))))</f>
        <v/>
      </c>
      <c r="AA61" s="51">
        <f>IF(AA60=0,0,IF(AA$4=MAX('Assumptions'!$C$151,'Assumptions'!$C$9),1,Z61*(1+CHOOSE(AA$6,'Assumptions'!$C$152,'Assumptions'!$C$153,'Assumptions'!$C$154))))</f>
        <v/>
      </c>
      <c r="AB61" s="51">
        <f>IF(AB60=0,0,IF(AB$4=MAX('Assumptions'!$C$151,'Assumptions'!$C$9),1,AA61*(1+CHOOSE(AB$6,'Assumptions'!$C$152,'Assumptions'!$C$153,'Assumptions'!$C$154))))</f>
        <v/>
      </c>
      <c r="AC61" s="51">
        <f>IF(AC60=0,0,IF(AC$4=MAX('Assumptions'!$C$151,'Assumptions'!$C$9),1,AB61*(1+CHOOSE(AC$6,'Assumptions'!$C$152,'Assumptions'!$C$153,'Assumptions'!$C$154))))</f>
        <v/>
      </c>
      <c r="AD61" s="51">
        <f>IF(AD60=0,0,IF(AD$4=MAX('Assumptions'!$C$151,'Assumptions'!$C$9),1,AC61*(1+CHOOSE(AD$6,'Assumptions'!$C$152,'Assumptions'!$C$153,'Assumptions'!$C$154))))</f>
        <v/>
      </c>
      <c r="AE61" s="51">
        <f>IF(AE60=0,0,IF(AE$4=MAX('Assumptions'!$C$151,'Assumptions'!$C$9),1,AD61*(1+CHOOSE(AE$6,'Assumptions'!$C$152,'Assumptions'!$C$153,'Assumptions'!$C$154))))</f>
        <v/>
      </c>
      <c r="AF61" s="51">
        <f>IF(AF60=0,0,IF(AF$4=MAX('Assumptions'!$C$151,'Assumptions'!$C$9),1,AE61*(1+CHOOSE(AF$6,'Assumptions'!$C$152,'Assumptions'!$C$153,'Assumptions'!$C$154))))</f>
        <v/>
      </c>
      <c r="AG61" s="51">
        <f>IF(AG60=0,0,IF(AG$4=MAX('Assumptions'!$C$151,'Assumptions'!$C$9),1,AF61*(1+CHOOSE(AG$6,'Assumptions'!$C$152,'Assumptions'!$C$153,'Assumptions'!$C$154))))</f>
        <v/>
      </c>
      <c r="AH61" s="51">
        <f>IF(AH60=0,0,IF(AH$4=MAX('Assumptions'!$C$151,'Assumptions'!$C$9),1,AG61*(1+CHOOSE(AH$6,'Assumptions'!$C$152,'Assumptions'!$C$153,'Assumptions'!$C$154))))</f>
        <v/>
      </c>
      <c r="AI61" s="51">
        <f>IF(AI60=0,0,IF(AI$4=MAX('Assumptions'!$C$151,'Assumptions'!$C$9),1,AH61*(1+CHOOSE(AI$6,'Assumptions'!$C$152,'Assumptions'!$C$153,'Assumptions'!$C$154))))</f>
        <v/>
      </c>
      <c r="AJ61" s="51">
        <f>IF(AJ60=0,0,IF(AJ$4=MAX('Assumptions'!$C$151,'Assumptions'!$C$9),1,AI61*(1+CHOOSE(AJ$6,'Assumptions'!$C$152,'Assumptions'!$C$153,'Assumptions'!$C$154))))</f>
        <v/>
      </c>
      <c r="AK61" s="51">
        <f>IF(AK60=0,0,IF(AK$4=MAX('Assumptions'!$C$151,'Assumptions'!$C$9),1,AJ61*(1+CHOOSE(AK$6,'Assumptions'!$C$152,'Assumptions'!$C$153,'Assumptions'!$C$154))))</f>
        <v/>
      </c>
      <c r="AL61" s="51">
        <f>IF(AL60=0,0,IF(AL$4=MAX('Assumptions'!$C$151,'Assumptions'!$C$9),1,AK61*(1+CHOOSE(AL$6,'Assumptions'!$C$152,'Assumptions'!$C$153,'Assumptions'!$C$154))))</f>
        <v/>
      </c>
    </row>
    <row r="62">
      <c r="A62" s="7" t="inlineStr">
        <is>
          <t xml:space="preserve">   Product-months live (products x sales index x season)</t>
        </is>
      </c>
      <c r="B62" s="9" t="inlineStr">
        <is>
          <t>prod-mo</t>
        </is>
      </c>
      <c r="C62" s="56">
        <f>C18*C61*C$7</f>
        <v/>
      </c>
      <c r="D62" s="56">
        <f>D18*D61*D$7</f>
        <v/>
      </c>
      <c r="E62" s="56">
        <f>E18*E61*E$7</f>
        <v/>
      </c>
      <c r="F62" s="56">
        <f>F18*F61*F$7</f>
        <v/>
      </c>
      <c r="G62" s="56">
        <f>G18*G61*G$7</f>
        <v/>
      </c>
      <c r="H62" s="56">
        <f>H18*H61*H$7</f>
        <v/>
      </c>
      <c r="I62" s="56">
        <f>I18*I61*I$7</f>
        <v/>
      </c>
      <c r="J62" s="56">
        <f>J18*J61*J$7</f>
        <v/>
      </c>
      <c r="K62" s="56">
        <f>K18*K61*K$7</f>
        <v/>
      </c>
      <c r="L62" s="56">
        <f>L18*L61*L$7</f>
        <v/>
      </c>
      <c r="M62" s="56">
        <f>M18*M61*M$7</f>
        <v/>
      </c>
      <c r="N62" s="56">
        <f>N18*N61*N$7</f>
        <v/>
      </c>
      <c r="O62" s="56">
        <f>O18*O61*O$7</f>
        <v/>
      </c>
      <c r="P62" s="56">
        <f>P18*P61*P$7</f>
        <v/>
      </c>
      <c r="Q62" s="56">
        <f>Q18*Q61*Q$7</f>
        <v/>
      </c>
      <c r="R62" s="56">
        <f>R18*R61*R$7</f>
        <v/>
      </c>
      <c r="S62" s="56">
        <f>S18*S61*S$7</f>
        <v/>
      </c>
      <c r="T62" s="56">
        <f>T18*T61*T$7</f>
        <v/>
      </c>
      <c r="U62" s="56">
        <f>U18*U61*U$7</f>
        <v/>
      </c>
      <c r="V62" s="56">
        <f>V18*V61*V$7</f>
        <v/>
      </c>
      <c r="W62" s="56">
        <f>W18*W61*W$7</f>
        <v/>
      </c>
      <c r="X62" s="56">
        <f>X18*X61*X$7</f>
        <v/>
      </c>
      <c r="Y62" s="56">
        <f>Y18*Y61*Y$7</f>
        <v/>
      </c>
      <c r="Z62" s="56">
        <f>Z18*Z61*Z$7</f>
        <v/>
      </c>
      <c r="AA62" s="56">
        <f>AA18*AA61*AA$7</f>
        <v/>
      </c>
      <c r="AB62" s="56">
        <f>AB18*AB61*AB$7</f>
        <v/>
      </c>
      <c r="AC62" s="56">
        <f>AC18*AC61*AC$7</f>
        <v/>
      </c>
      <c r="AD62" s="56">
        <f>AD18*AD61*AD$7</f>
        <v/>
      </c>
      <c r="AE62" s="56">
        <f>AE18*AE61*AE$7</f>
        <v/>
      </c>
      <c r="AF62" s="56">
        <f>AF18*AF61*AF$7</f>
        <v/>
      </c>
      <c r="AG62" s="56">
        <f>AG18*AG61*AG$7</f>
        <v/>
      </c>
      <c r="AH62" s="56">
        <f>AH18*AH61*AH$7</f>
        <v/>
      </c>
      <c r="AI62" s="56">
        <f>AI18*AI61*AI$7</f>
        <v/>
      </c>
      <c r="AJ62" s="56">
        <f>AJ18*AJ61*AJ$7</f>
        <v/>
      </c>
      <c r="AK62" s="56">
        <f>AK18*AK61*AK$7</f>
        <v/>
      </c>
      <c r="AL62" s="56">
        <f>AL18*AL61*AL$7</f>
        <v/>
      </c>
      <c r="AM62" s="57">
        <f>SUMIF($C$6:$AL$6,1,C62:AL62)</f>
        <v/>
      </c>
      <c r="AN62" s="57">
        <f>SUMIF($C$6:$AL$6,2,C62:AL62)</f>
        <v/>
      </c>
      <c r="AO62" s="57">
        <f>SUMIF($C$6:$AL$6,3,C62:AL62)</f>
        <v/>
      </c>
      <c r="AP62" s="57">
        <f>SUM(C62:AL62)</f>
        <v/>
      </c>
    </row>
    <row r="63">
      <c r="A63" s="7" t="inlineStr">
        <is>
          <t xml:space="preserve">   Orders per product per month (with review ramp)</t>
        </is>
      </c>
      <c r="B63" s="9" t="inlineStr">
        <is>
          <t>orders</t>
        </is>
      </c>
      <c r="C63" s="51">
        <f>'Assumptions'!$C$155*MIN(1,(C$4-MAX('Assumptions'!$C$151,'Assumptions'!$C$9)+1)/'Assumptions'!$C$11)*C60</f>
        <v/>
      </c>
      <c r="D63" s="51">
        <f>'Assumptions'!$C$155*MIN(1,(D$4-MAX('Assumptions'!$C$151,'Assumptions'!$C$9)+1)/'Assumptions'!$C$11)*D60</f>
        <v/>
      </c>
      <c r="E63" s="51">
        <f>'Assumptions'!$C$155*MIN(1,(E$4-MAX('Assumptions'!$C$151,'Assumptions'!$C$9)+1)/'Assumptions'!$C$11)*E60</f>
        <v/>
      </c>
      <c r="F63" s="51">
        <f>'Assumptions'!$C$155*MIN(1,(F$4-MAX('Assumptions'!$C$151,'Assumptions'!$C$9)+1)/'Assumptions'!$C$11)*F60</f>
        <v/>
      </c>
      <c r="G63" s="51">
        <f>'Assumptions'!$C$155*MIN(1,(G$4-MAX('Assumptions'!$C$151,'Assumptions'!$C$9)+1)/'Assumptions'!$C$11)*G60</f>
        <v/>
      </c>
      <c r="H63" s="51">
        <f>'Assumptions'!$C$155*MIN(1,(H$4-MAX('Assumptions'!$C$151,'Assumptions'!$C$9)+1)/'Assumptions'!$C$11)*H60</f>
        <v/>
      </c>
      <c r="I63" s="51">
        <f>'Assumptions'!$C$155*MIN(1,(I$4-MAX('Assumptions'!$C$151,'Assumptions'!$C$9)+1)/'Assumptions'!$C$11)*I60</f>
        <v/>
      </c>
      <c r="J63" s="51">
        <f>'Assumptions'!$C$155*MIN(1,(J$4-MAX('Assumptions'!$C$151,'Assumptions'!$C$9)+1)/'Assumptions'!$C$11)*J60</f>
        <v/>
      </c>
      <c r="K63" s="51">
        <f>'Assumptions'!$C$155*MIN(1,(K$4-MAX('Assumptions'!$C$151,'Assumptions'!$C$9)+1)/'Assumptions'!$C$11)*K60</f>
        <v/>
      </c>
      <c r="L63" s="51">
        <f>'Assumptions'!$C$155*MIN(1,(L$4-MAX('Assumptions'!$C$151,'Assumptions'!$C$9)+1)/'Assumptions'!$C$11)*L60</f>
        <v/>
      </c>
      <c r="M63" s="51">
        <f>'Assumptions'!$C$155*MIN(1,(M$4-MAX('Assumptions'!$C$151,'Assumptions'!$C$9)+1)/'Assumptions'!$C$11)*M60</f>
        <v/>
      </c>
      <c r="N63" s="51">
        <f>'Assumptions'!$C$155*MIN(1,(N$4-MAX('Assumptions'!$C$151,'Assumptions'!$C$9)+1)/'Assumptions'!$C$11)*N60</f>
        <v/>
      </c>
      <c r="O63" s="51">
        <f>'Assumptions'!$C$155*MIN(1,(O$4-MAX('Assumptions'!$C$151,'Assumptions'!$C$9)+1)/'Assumptions'!$C$11)*O60</f>
        <v/>
      </c>
      <c r="P63" s="51">
        <f>'Assumptions'!$C$155*MIN(1,(P$4-MAX('Assumptions'!$C$151,'Assumptions'!$C$9)+1)/'Assumptions'!$C$11)*P60</f>
        <v/>
      </c>
      <c r="Q63" s="51">
        <f>'Assumptions'!$C$155*MIN(1,(Q$4-MAX('Assumptions'!$C$151,'Assumptions'!$C$9)+1)/'Assumptions'!$C$11)*Q60</f>
        <v/>
      </c>
      <c r="R63" s="51">
        <f>'Assumptions'!$C$155*MIN(1,(R$4-MAX('Assumptions'!$C$151,'Assumptions'!$C$9)+1)/'Assumptions'!$C$11)*R60</f>
        <v/>
      </c>
      <c r="S63" s="51">
        <f>'Assumptions'!$C$155*MIN(1,(S$4-MAX('Assumptions'!$C$151,'Assumptions'!$C$9)+1)/'Assumptions'!$C$11)*S60</f>
        <v/>
      </c>
      <c r="T63" s="51">
        <f>'Assumptions'!$C$155*MIN(1,(T$4-MAX('Assumptions'!$C$151,'Assumptions'!$C$9)+1)/'Assumptions'!$C$11)*T60</f>
        <v/>
      </c>
      <c r="U63" s="51">
        <f>'Assumptions'!$C$155*MIN(1,(U$4-MAX('Assumptions'!$C$151,'Assumptions'!$C$9)+1)/'Assumptions'!$C$11)*U60</f>
        <v/>
      </c>
      <c r="V63" s="51">
        <f>'Assumptions'!$C$155*MIN(1,(V$4-MAX('Assumptions'!$C$151,'Assumptions'!$C$9)+1)/'Assumptions'!$C$11)*V60</f>
        <v/>
      </c>
      <c r="W63" s="51">
        <f>'Assumptions'!$C$155*MIN(1,(W$4-MAX('Assumptions'!$C$151,'Assumptions'!$C$9)+1)/'Assumptions'!$C$11)*W60</f>
        <v/>
      </c>
      <c r="X63" s="51">
        <f>'Assumptions'!$C$155*MIN(1,(X$4-MAX('Assumptions'!$C$151,'Assumptions'!$C$9)+1)/'Assumptions'!$C$11)*X60</f>
        <v/>
      </c>
      <c r="Y63" s="51">
        <f>'Assumptions'!$C$155*MIN(1,(Y$4-MAX('Assumptions'!$C$151,'Assumptions'!$C$9)+1)/'Assumptions'!$C$11)*Y60</f>
        <v/>
      </c>
      <c r="Z63" s="51">
        <f>'Assumptions'!$C$155*MIN(1,(Z$4-MAX('Assumptions'!$C$151,'Assumptions'!$C$9)+1)/'Assumptions'!$C$11)*Z60</f>
        <v/>
      </c>
      <c r="AA63" s="51">
        <f>'Assumptions'!$C$155*MIN(1,(AA$4-MAX('Assumptions'!$C$151,'Assumptions'!$C$9)+1)/'Assumptions'!$C$11)*AA60</f>
        <v/>
      </c>
      <c r="AB63" s="51">
        <f>'Assumptions'!$C$155*MIN(1,(AB$4-MAX('Assumptions'!$C$151,'Assumptions'!$C$9)+1)/'Assumptions'!$C$11)*AB60</f>
        <v/>
      </c>
      <c r="AC63" s="51">
        <f>'Assumptions'!$C$155*MIN(1,(AC$4-MAX('Assumptions'!$C$151,'Assumptions'!$C$9)+1)/'Assumptions'!$C$11)*AC60</f>
        <v/>
      </c>
      <c r="AD63" s="51">
        <f>'Assumptions'!$C$155*MIN(1,(AD$4-MAX('Assumptions'!$C$151,'Assumptions'!$C$9)+1)/'Assumptions'!$C$11)*AD60</f>
        <v/>
      </c>
      <c r="AE63" s="51">
        <f>'Assumptions'!$C$155*MIN(1,(AE$4-MAX('Assumptions'!$C$151,'Assumptions'!$C$9)+1)/'Assumptions'!$C$11)*AE60</f>
        <v/>
      </c>
      <c r="AF63" s="51">
        <f>'Assumptions'!$C$155*MIN(1,(AF$4-MAX('Assumptions'!$C$151,'Assumptions'!$C$9)+1)/'Assumptions'!$C$11)*AF60</f>
        <v/>
      </c>
      <c r="AG63" s="51">
        <f>'Assumptions'!$C$155*MIN(1,(AG$4-MAX('Assumptions'!$C$151,'Assumptions'!$C$9)+1)/'Assumptions'!$C$11)*AG60</f>
        <v/>
      </c>
      <c r="AH63" s="51">
        <f>'Assumptions'!$C$155*MIN(1,(AH$4-MAX('Assumptions'!$C$151,'Assumptions'!$C$9)+1)/'Assumptions'!$C$11)*AH60</f>
        <v/>
      </c>
      <c r="AI63" s="51">
        <f>'Assumptions'!$C$155*MIN(1,(AI$4-MAX('Assumptions'!$C$151,'Assumptions'!$C$9)+1)/'Assumptions'!$C$11)*AI60</f>
        <v/>
      </c>
      <c r="AJ63" s="51">
        <f>'Assumptions'!$C$155*MIN(1,(AJ$4-MAX('Assumptions'!$C$151,'Assumptions'!$C$9)+1)/'Assumptions'!$C$11)*AJ60</f>
        <v/>
      </c>
      <c r="AK63" s="51">
        <f>'Assumptions'!$C$155*MIN(1,(AK$4-MAX('Assumptions'!$C$151,'Assumptions'!$C$9)+1)/'Assumptions'!$C$11)*AK60</f>
        <v/>
      </c>
      <c r="AL63" s="51">
        <f>'Assumptions'!$C$155*MIN(1,(AL$4-MAX('Assumptions'!$C$151,'Assumptions'!$C$9)+1)/'Assumptions'!$C$11)*AL60</f>
        <v/>
      </c>
    </row>
    <row r="64">
      <c r="A64" s="7" t="inlineStr">
        <is>
          <t xml:space="preserve">   Orders</t>
        </is>
      </c>
      <c r="B64" s="9" t="inlineStr">
        <is>
          <t>orders</t>
        </is>
      </c>
      <c r="C64" s="56">
        <f>C62*C63</f>
        <v/>
      </c>
      <c r="D64" s="56">
        <f>D62*D63</f>
        <v/>
      </c>
      <c r="E64" s="56">
        <f>E62*E63</f>
        <v/>
      </c>
      <c r="F64" s="56">
        <f>F62*F63</f>
        <v/>
      </c>
      <c r="G64" s="56">
        <f>G62*G63</f>
        <v/>
      </c>
      <c r="H64" s="56">
        <f>H62*H63</f>
        <v/>
      </c>
      <c r="I64" s="56">
        <f>I62*I63</f>
        <v/>
      </c>
      <c r="J64" s="56">
        <f>J62*J63</f>
        <v/>
      </c>
      <c r="K64" s="56">
        <f>K62*K63</f>
        <v/>
      </c>
      <c r="L64" s="56">
        <f>L62*L63</f>
        <v/>
      </c>
      <c r="M64" s="56">
        <f>M62*M63</f>
        <v/>
      </c>
      <c r="N64" s="56">
        <f>N62*N63</f>
        <v/>
      </c>
      <c r="O64" s="56">
        <f>O62*O63</f>
        <v/>
      </c>
      <c r="P64" s="56">
        <f>P62*P63</f>
        <v/>
      </c>
      <c r="Q64" s="56">
        <f>Q62*Q63</f>
        <v/>
      </c>
      <c r="R64" s="56">
        <f>R62*R63</f>
        <v/>
      </c>
      <c r="S64" s="56">
        <f>S62*S63</f>
        <v/>
      </c>
      <c r="T64" s="56">
        <f>T62*T63</f>
        <v/>
      </c>
      <c r="U64" s="56">
        <f>U62*U63</f>
        <v/>
      </c>
      <c r="V64" s="56">
        <f>V62*V63</f>
        <v/>
      </c>
      <c r="W64" s="56">
        <f>W62*W63</f>
        <v/>
      </c>
      <c r="X64" s="56">
        <f>X62*X63</f>
        <v/>
      </c>
      <c r="Y64" s="56">
        <f>Y62*Y63</f>
        <v/>
      </c>
      <c r="Z64" s="56">
        <f>Z62*Z63</f>
        <v/>
      </c>
      <c r="AA64" s="56">
        <f>AA62*AA63</f>
        <v/>
      </c>
      <c r="AB64" s="56">
        <f>AB62*AB63</f>
        <v/>
      </c>
      <c r="AC64" s="56">
        <f>AC62*AC63</f>
        <v/>
      </c>
      <c r="AD64" s="56">
        <f>AD62*AD63</f>
        <v/>
      </c>
      <c r="AE64" s="56">
        <f>AE62*AE63</f>
        <v/>
      </c>
      <c r="AF64" s="56">
        <f>AF62*AF63</f>
        <v/>
      </c>
      <c r="AG64" s="56">
        <f>AG62*AG63</f>
        <v/>
      </c>
      <c r="AH64" s="56">
        <f>AH62*AH63</f>
        <v/>
      </c>
      <c r="AI64" s="56">
        <f>AI62*AI63</f>
        <v/>
      </c>
      <c r="AJ64" s="56">
        <f>AJ62*AJ63</f>
        <v/>
      </c>
      <c r="AK64" s="56">
        <f>AK62*AK63</f>
        <v/>
      </c>
      <c r="AL64" s="56">
        <f>AL62*AL63</f>
        <v/>
      </c>
      <c r="AM64" s="57">
        <f>SUMIF($C$6:$AL$6,1,C64:AL64)</f>
        <v/>
      </c>
      <c r="AN64" s="57">
        <f>SUMIF($C$6:$AL$6,2,C64:AL64)</f>
        <v/>
      </c>
      <c r="AO64" s="57">
        <f>SUMIF($C$6:$AL$6,3,C64:AL64)</f>
        <v/>
      </c>
      <c r="AP64" s="57">
        <f>SUM(C64:AL64)</f>
        <v/>
      </c>
    </row>
    <row r="65">
      <c r="A65" s="7" t="inlineStr">
        <is>
          <t xml:space="preserve">   Items sold</t>
        </is>
      </c>
      <c r="B65" s="9" t="inlineStr">
        <is>
          <t>items</t>
        </is>
      </c>
      <c r="C65" s="14">
        <f>C64*'Assumptions'!$C$156</f>
        <v/>
      </c>
      <c r="D65" s="14">
        <f>D64*'Assumptions'!$C$156</f>
        <v/>
      </c>
      <c r="E65" s="14">
        <f>E64*'Assumptions'!$C$156</f>
        <v/>
      </c>
      <c r="F65" s="14">
        <f>F64*'Assumptions'!$C$156</f>
        <v/>
      </c>
      <c r="G65" s="14">
        <f>G64*'Assumptions'!$C$156</f>
        <v/>
      </c>
      <c r="H65" s="14">
        <f>H64*'Assumptions'!$C$156</f>
        <v/>
      </c>
      <c r="I65" s="14">
        <f>I64*'Assumptions'!$C$156</f>
        <v/>
      </c>
      <c r="J65" s="14">
        <f>J64*'Assumptions'!$C$156</f>
        <v/>
      </c>
      <c r="K65" s="14">
        <f>K64*'Assumptions'!$C$156</f>
        <v/>
      </c>
      <c r="L65" s="14">
        <f>L64*'Assumptions'!$C$156</f>
        <v/>
      </c>
      <c r="M65" s="14">
        <f>M64*'Assumptions'!$C$156</f>
        <v/>
      </c>
      <c r="N65" s="14">
        <f>N64*'Assumptions'!$C$156</f>
        <v/>
      </c>
      <c r="O65" s="14">
        <f>O64*'Assumptions'!$C$156</f>
        <v/>
      </c>
      <c r="P65" s="14">
        <f>P64*'Assumptions'!$C$156</f>
        <v/>
      </c>
      <c r="Q65" s="14">
        <f>Q64*'Assumptions'!$C$156</f>
        <v/>
      </c>
      <c r="R65" s="14">
        <f>R64*'Assumptions'!$C$156</f>
        <v/>
      </c>
      <c r="S65" s="14">
        <f>S64*'Assumptions'!$C$156</f>
        <v/>
      </c>
      <c r="T65" s="14">
        <f>T64*'Assumptions'!$C$156</f>
        <v/>
      </c>
      <c r="U65" s="14">
        <f>U64*'Assumptions'!$C$156</f>
        <v/>
      </c>
      <c r="V65" s="14">
        <f>V64*'Assumptions'!$C$156</f>
        <v/>
      </c>
      <c r="W65" s="14">
        <f>W64*'Assumptions'!$C$156</f>
        <v/>
      </c>
      <c r="X65" s="14">
        <f>X64*'Assumptions'!$C$156</f>
        <v/>
      </c>
      <c r="Y65" s="14">
        <f>Y64*'Assumptions'!$C$156</f>
        <v/>
      </c>
      <c r="Z65" s="14">
        <f>Z64*'Assumptions'!$C$156</f>
        <v/>
      </c>
      <c r="AA65" s="14">
        <f>AA64*'Assumptions'!$C$156</f>
        <v/>
      </c>
      <c r="AB65" s="14">
        <f>AB64*'Assumptions'!$C$156</f>
        <v/>
      </c>
      <c r="AC65" s="14">
        <f>AC64*'Assumptions'!$C$156</f>
        <v/>
      </c>
      <c r="AD65" s="14">
        <f>AD64*'Assumptions'!$C$156</f>
        <v/>
      </c>
      <c r="AE65" s="14">
        <f>AE64*'Assumptions'!$C$156</f>
        <v/>
      </c>
      <c r="AF65" s="14">
        <f>AF64*'Assumptions'!$C$156</f>
        <v/>
      </c>
      <c r="AG65" s="14">
        <f>AG64*'Assumptions'!$C$156</f>
        <v/>
      </c>
      <c r="AH65" s="14">
        <f>AH64*'Assumptions'!$C$156</f>
        <v/>
      </c>
      <c r="AI65" s="14">
        <f>AI64*'Assumptions'!$C$156</f>
        <v/>
      </c>
      <c r="AJ65" s="14">
        <f>AJ64*'Assumptions'!$C$156</f>
        <v/>
      </c>
      <c r="AK65" s="14">
        <f>AK64*'Assumptions'!$C$156</f>
        <v/>
      </c>
      <c r="AL65" s="14">
        <f>AL64*'Assumptions'!$C$156</f>
        <v/>
      </c>
      <c r="AM65" s="57">
        <f>SUMIF($C$6:$AL$6,1,C65:AL65)</f>
        <v/>
      </c>
      <c r="AN65" s="57">
        <f>SUMIF($C$6:$AL$6,2,C65:AL65)</f>
        <v/>
      </c>
      <c r="AO65" s="57">
        <f>SUMIF($C$6:$AL$6,3,C65:AL65)</f>
        <v/>
      </c>
      <c r="AP65" s="57">
        <f>SUM(C65:AL65)</f>
        <v/>
      </c>
    </row>
    <row r="66">
      <c r="A66" s="7" t="inlineStr">
        <is>
          <t xml:space="preserve">   Average order value</t>
        </is>
      </c>
      <c r="B66" s="9" t="inlineStr">
        <is>
          <t>$</t>
        </is>
      </c>
      <c r="C66" s="16">
        <f>'Unit Economics'!$E$53*'Assumptions'!$C$156*C60</f>
        <v/>
      </c>
      <c r="D66" s="16">
        <f>'Unit Economics'!$E$53*'Assumptions'!$C$156*D60</f>
        <v/>
      </c>
      <c r="E66" s="16">
        <f>'Unit Economics'!$E$53*'Assumptions'!$C$156*E60</f>
        <v/>
      </c>
      <c r="F66" s="16">
        <f>'Unit Economics'!$E$53*'Assumptions'!$C$156*F60</f>
        <v/>
      </c>
      <c r="G66" s="16">
        <f>'Unit Economics'!$E$53*'Assumptions'!$C$156*G60</f>
        <v/>
      </c>
      <c r="H66" s="16">
        <f>'Unit Economics'!$E$53*'Assumptions'!$C$156*H60</f>
        <v/>
      </c>
      <c r="I66" s="16">
        <f>'Unit Economics'!$E$53*'Assumptions'!$C$156*I60</f>
        <v/>
      </c>
      <c r="J66" s="16">
        <f>'Unit Economics'!$E$53*'Assumptions'!$C$156*J60</f>
        <v/>
      </c>
      <c r="K66" s="16">
        <f>'Unit Economics'!$E$53*'Assumptions'!$C$156*K60</f>
        <v/>
      </c>
      <c r="L66" s="16">
        <f>'Unit Economics'!$E$53*'Assumptions'!$C$156*L60</f>
        <v/>
      </c>
      <c r="M66" s="16">
        <f>'Unit Economics'!$E$53*'Assumptions'!$C$156*M60</f>
        <v/>
      </c>
      <c r="N66" s="16">
        <f>'Unit Economics'!$E$53*'Assumptions'!$C$156*N60</f>
        <v/>
      </c>
      <c r="O66" s="16">
        <f>'Unit Economics'!$E$53*'Assumptions'!$C$156*O60</f>
        <v/>
      </c>
      <c r="P66" s="16">
        <f>'Unit Economics'!$E$53*'Assumptions'!$C$156*P60</f>
        <v/>
      </c>
      <c r="Q66" s="16">
        <f>'Unit Economics'!$E$53*'Assumptions'!$C$156*Q60</f>
        <v/>
      </c>
      <c r="R66" s="16">
        <f>'Unit Economics'!$E$53*'Assumptions'!$C$156*R60</f>
        <v/>
      </c>
      <c r="S66" s="16">
        <f>'Unit Economics'!$E$53*'Assumptions'!$C$156*S60</f>
        <v/>
      </c>
      <c r="T66" s="16">
        <f>'Unit Economics'!$E$53*'Assumptions'!$C$156*T60</f>
        <v/>
      </c>
      <c r="U66" s="16">
        <f>'Unit Economics'!$E$53*'Assumptions'!$C$156*U60</f>
        <v/>
      </c>
      <c r="V66" s="16">
        <f>'Unit Economics'!$E$53*'Assumptions'!$C$156*V60</f>
        <v/>
      </c>
      <c r="W66" s="16">
        <f>'Unit Economics'!$E$53*'Assumptions'!$C$156*W60</f>
        <v/>
      </c>
      <c r="X66" s="16">
        <f>'Unit Economics'!$E$53*'Assumptions'!$C$156*X60</f>
        <v/>
      </c>
      <c r="Y66" s="16">
        <f>'Unit Economics'!$E$53*'Assumptions'!$C$156*Y60</f>
        <v/>
      </c>
      <c r="Z66" s="16">
        <f>'Unit Economics'!$E$53*'Assumptions'!$C$156*Z60</f>
        <v/>
      </c>
      <c r="AA66" s="16">
        <f>'Unit Economics'!$E$53*'Assumptions'!$C$156*AA60</f>
        <v/>
      </c>
      <c r="AB66" s="16">
        <f>'Unit Economics'!$E$53*'Assumptions'!$C$156*AB60</f>
        <v/>
      </c>
      <c r="AC66" s="16">
        <f>'Unit Economics'!$E$53*'Assumptions'!$C$156*AC60</f>
        <v/>
      </c>
      <c r="AD66" s="16">
        <f>'Unit Economics'!$E$53*'Assumptions'!$C$156*AD60</f>
        <v/>
      </c>
      <c r="AE66" s="16">
        <f>'Unit Economics'!$E$53*'Assumptions'!$C$156*AE60</f>
        <v/>
      </c>
      <c r="AF66" s="16">
        <f>'Unit Economics'!$E$53*'Assumptions'!$C$156*AF60</f>
        <v/>
      </c>
      <c r="AG66" s="16">
        <f>'Unit Economics'!$E$53*'Assumptions'!$C$156*AG60</f>
        <v/>
      </c>
      <c r="AH66" s="16">
        <f>'Unit Economics'!$E$53*'Assumptions'!$C$156*AH60</f>
        <v/>
      </c>
      <c r="AI66" s="16">
        <f>'Unit Economics'!$E$53*'Assumptions'!$C$156*AI60</f>
        <v/>
      </c>
      <c r="AJ66" s="16">
        <f>'Unit Economics'!$E$53*'Assumptions'!$C$156*AJ60</f>
        <v/>
      </c>
      <c r="AK66" s="16">
        <f>'Unit Economics'!$E$53*'Assumptions'!$C$156*AK60</f>
        <v/>
      </c>
      <c r="AL66" s="16">
        <f>'Unit Economics'!$E$53*'Assumptions'!$C$156*AL60</f>
        <v/>
      </c>
    </row>
    <row r="67">
      <c r="A67" s="7" t="inlineStr">
        <is>
          <t xml:space="preserve">   Gross sales (price paid by customers)</t>
        </is>
      </c>
      <c r="B67" s="9" t="inlineStr">
        <is>
          <t>$</t>
        </is>
      </c>
      <c r="C67" s="8">
        <f>C65*'Unit Economics'!$E$53</f>
        <v/>
      </c>
      <c r="D67" s="8">
        <f>D65*'Unit Economics'!$E$53</f>
        <v/>
      </c>
      <c r="E67" s="8">
        <f>E65*'Unit Economics'!$E$53</f>
        <v/>
      </c>
      <c r="F67" s="8">
        <f>F65*'Unit Economics'!$E$53</f>
        <v/>
      </c>
      <c r="G67" s="8">
        <f>G65*'Unit Economics'!$E$53</f>
        <v/>
      </c>
      <c r="H67" s="8">
        <f>H65*'Unit Economics'!$E$53</f>
        <v/>
      </c>
      <c r="I67" s="8">
        <f>I65*'Unit Economics'!$E$53</f>
        <v/>
      </c>
      <c r="J67" s="8">
        <f>J65*'Unit Economics'!$E$53</f>
        <v/>
      </c>
      <c r="K67" s="8">
        <f>K65*'Unit Economics'!$E$53</f>
        <v/>
      </c>
      <c r="L67" s="8">
        <f>L65*'Unit Economics'!$E$53</f>
        <v/>
      </c>
      <c r="M67" s="8">
        <f>M65*'Unit Economics'!$E$53</f>
        <v/>
      </c>
      <c r="N67" s="8">
        <f>N65*'Unit Economics'!$E$53</f>
        <v/>
      </c>
      <c r="O67" s="8">
        <f>O65*'Unit Economics'!$E$53</f>
        <v/>
      </c>
      <c r="P67" s="8">
        <f>P65*'Unit Economics'!$E$53</f>
        <v/>
      </c>
      <c r="Q67" s="8">
        <f>Q65*'Unit Economics'!$E$53</f>
        <v/>
      </c>
      <c r="R67" s="8">
        <f>R65*'Unit Economics'!$E$53</f>
        <v/>
      </c>
      <c r="S67" s="8">
        <f>S65*'Unit Economics'!$E$53</f>
        <v/>
      </c>
      <c r="T67" s="8">
        <f>T65*'Unit Economics'!$E$53</f>
        <v/>
      </c>
      <c r="U67" s="8">
        <f>U65*'Unit Economics'!$E$53</f>
        <v/>
      </c>
      <c r="V67" s="8">
        <f>V65*'Unit Economics'!$E$53</f>
        <v/>
      </c>
      <c r="W67" s="8">
        <f>W65*'Unit Economics'!$E$53</f>
        <v/>
      </c>
      <c r="X67" s="8">
        <f>X65*'Unit Economics'!$E$53</f>
        <v/>
      </c>
      <c r="Y67" s="8">
        <f>Y65*'Unit Economics'!$E$53</f>
        <v/>
      </c>
      <c r="Z67" s="8">
        <f>Z65*'Unit Economics'!$E$53</f>
        <v/>
      </c>
      <c r="AA67" s="8">
        <f>AA65*'Unit Economics'!$E$53</f>
        <v/>
      </c>
      <c r="AB67" s="8">
        <f>AB65*'Unit Economics'!$E$53</f>
        <v/>
      </c>
      <c r="AC67" s="8">
        <f>AC65*'Unit Economics'!$E$53</f>
        <v/>
      </c>
      <c r="AD67" s="8">
        <f>AD65*'Unit Economics'!$E$53</f>
        <v/>
      </c>
      <c r="AE67" s="8">
        <f>AE65*'Unit Economics'!$E$53</f>
        <v/>
      </c>
      <c r="AF67" s="8">
        <f>AF65*'Unit Economics'!$E$53</f>
        <v/>
      </c>
      <c r="AG67" s="8">
        <f>AG65*'Unit Economics'!$E$53</f>
        <v/>
      </c>
      <c r="AH67" s="8">
        <f>AH65*'Unit Economics'!$E$53</f>
        <v/>
      </c>
      <c r="AI67" s="8">
        <f>AI65*'Unit Economics'!$E$53</f>
        <v/>
      </c>
      <c r="AJ67" s="8">
        <f>AJ65*'Unit Economics'!$E$53</f>
        <v/>
      </c>
      <c r="AK67" s="8">
        <f>AK65*'Unit Economics'!$E$53</f>
        <v/>
      </c>
      <c r="AL67" s="8">
        <f>AL65*'Unit Economics'!$E$53</f>
        <v/>
      </c>
      <c r="AM67" s="47">
        <f>SUMIF($C$6:$AL$6,1,C67:AL67)</f>
        <v/>
      </c>
      <c r="AN67" s="47">
        <f>SUMIF($C$6:$AL$6,2,C67:AL67)</f>
        <v/>
      </c>
      <c r="AO67" s="47">
        <f>SUMIF($C$6:$AL$6,3,C67:AL67)</f>
        <v/>
      </c>
      <c r="AP67" s="47">
        <f>SUM(C67:AL67)</f>
        <v/>
      </c>
    </row>
    <row r="68">
      <c r="A68" s="7" t="inlineStr">
        <is>
          <t xml:space="preserve">   Net contribution to AlphaPlay</t>
        </is>
      </c>
      <c r="B68" s="9" t="inlineStr">
        <is>
          <t>$</t>
        </is>
      </c>
      <c r="C68" s="8">
        <f>C65*'Unit Economics'!$F$53</f>
        <v/>
      </c>
      <c r="D68" s="8">
        <f>D65*'Unit Economics'!$F$53</f>
        <v/>
      </c>
      <c r="E68" s="8">
        <f>E65*'Unit Economics'!$F$53</f>
        <v/>
      </c>
      <c r="F68" s="8">
        <f>F65*'Unit Economics'!$F$53</f>
        <v/>
      </c>
      <c r="G68" s="8">
        <f>G65*'Unit Economics'!$F$53</f>
        <v/>
      </c>
      <c r="H68" s="8">
        <f>H65*'Unit Economics'!$F$53</f>
        <v/>
      </c>
      <c r="I68" s="8">
        <f>I65*'Unit Economics'!$F$53</f>
        <v/>
      </c>
      <c r="J68" s="8">
        <f>J65*'Unit Economics'!$F$53</f>
        <v/>
      </c>
      <c r="K68" s="8">
        <f>K65*'Unit Economics'!$F$53</f>
        <v/>
      </c>
      <c r="L68" s="8">
        <f>L65*'Unit Economics'!$F$53</f>
        <v/>
      </c>
      <c r="M68" s="8">
        <f>M65*'Unit Economics'!$F$53</f>
        <v/>
      </c>
      <c r="N68" s="8">
        <f>N65*'Unit Economics'!$F$53</f>
        <v/>
      </c>
      <c r="O68" s="8">
        <f>O65*'Unit Economics'!$F$53</f>
        <v/>
      </c>
      <c r="P68" s="8">
        <f>P65*'Unit Economics'!$F$53</f>
        <v/>
      </c>
      <c r="Q68" s="8">
        <f>Q65*'Unit Economics'!$F$53</f>
        <v/>
      </c>
      <c r="R68" s="8">
        <f>R65*'Unit Economics'!$F$53</f>
        <v/>
      </c>
      <c r="S68" s="8">
        <f>S65*'Unit Economics'!$F$53</f>
        <v/>
      </c>
      <c r="T68" s="8">
        <f>T65*'Unit Economics'!$F$53</f>
        <v/>
      </c>
      <c r="U68" s="8">
        <f>U65*'Unit Economics'!$F$53</f>
        <v/>
      </c>
      <c r="V68" s="8">
        <f>V65*'Unit Economics'!$F$53</f>
        <v/>
      </c>
      <c r="W68" s="8">
        <f>W65*'Unit Economics'!$F$53</f>
        <v/>
      </c>
      <c r="X68" s="8">
        <f>X65*'Unit Economics'!$F$53</f>
        <v/>
      </c>
      <c r="Y68" s="8">
        <f>Y65*'Unit Economics'!$F$53</f>
        <v/>
      </c>
      <c r="Z68" s="8">
        <f>Z65*'Unit Economics'!$F$53</f>
        <v/>
      </c>
      <c r="AA68" s="8">
        <f>AA65*'Unit Economics'!$F$53</f>
        <v/>
      </c>
      <c r="AB68" s="8">
        <f>AB65*'Unit Economics'!$F$53</f>
        <v/>
      </c>
      <c r="AC68" s="8">
        <f>AC65*'Unit Economics'!$F$53</f>
        <v/>
      </c>
      <c r="AD68" s="8">
        <f>AD65*'Unit Economics'!$F$53</f>
        <v/>
      </c>
      <c r="AE68" s="8">
        <f>AE65*'Unit Economics'!$F$53</f>
        <v/>
      </c>
      <c r="AF68" s="8">
        <f>AF65*'Unit Economics'!$F$53</f>
        <v/>
      </c>
      <c r="AG68" s="8">
        <f>AG65*'Unit Economics'!$F$53</f>
        <v/>
      </c>
      <c r="AH68" s="8">
        <f>AH65*'Unit Economics'!$F$53</f>
        <v/>
      </c>
      <c r="AI68" s="8">
        <f>AI65*'Unit Economics'!$F$53</f>
        <v/>
      </c>
      <c r="AJ68" s="8">
        <f>AJ65*'Unit Economics'!$F$53</f>
        <v/>
      </c>
      <c r="AK68" s="8">
        <f>AK65*'Unit Economics'!$F$53</f>
        <v/>
      </c>
      <c r="AL68" s="8">
        <f>AL65*'Unit Economics'!$F$53</f>
        <v/>
      </c>
      <c r="AM68" s="47">
        <f>SUMIF($C$6:$AL$6,1,C68:AL68)</f>
        <v/>
      </c>
      <c r="AN68" s="47">
        <f>SUMIF($C$6:$AL$6,2,C68:AL68)</f>
        <v/>
      </c>
      <c r="AO68" s="47">
        <f>SUMIF($C$6:$AL$6,3,C68:AL68)</f>
        <v/>
      </c>
      <c r="AP68" s="47">
        <f>SUM(C68:AL68)</f>
        <v/>
      </c>
    </row>
    <row r="69">
      <c r="A69" s="5" t="inlineStr">
        <is>
          <t>30-Day Screen Reset written course (Wave 2)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  <c r="AC69" s="6" t="n"/>
      <c r="AD69" s="6" t="n"/>
      <c r="AE69" s="6" t="n"/>
      <c r="AF69" s="6" t="n"/>
      <c r="AG69" s="6" t="n"/>
      <c r="AH69" s="6" t="n"/>
      <c r="AI69" s="6" t="n"/>
      <c r="AJ69" s="6" t="n"/>
      <c r="AK69" s="6" t="n"/>
      <c r="AL69" s="6" t="n"/>
      <c r="AM69" s="6" t="n"/>
      <c r="AN69" s="6" t="n"/>
      <c r="AO69" s="6" t="n"/>
      <c r="AP69" s="6" t="n"/>
    </row>
    <row r="70">
      <c r="A70" s="7" t="inlineStr">
        <is>
          <t xml:space="preserve">   Active (1 = live)</t>
        </is>
      </c>
      <c r="B70" s="9" t="inlineStr">
        <is>
          <t>flag</t>
        </is>
      </c>
      <c r="C70" s="18">
        <f>IF(AND('Assumptions'!$C$158=1,C$4&gt;=MAX('Assumptions'!$C$159,'Assumptions'!$C$9)),1,0)</f>
        <v/>
      </c>
      <c r="D70" s="18">
        <f>IF(AND('Assumptions'!$C$158=1,D$4&gt;=MAX('Assumptions'!$C$159,'Assumptions'!$C$9)),1,0)</f>
        <v/>
      </c>
      <c r="E70" s="18">
        <f>IF(AND('Assumptions'!$C$158=1,E$4&gt;=MAX('Assumptions'!$C$159,'Assumptions'!$C$9)),1,0)</f>
        <v/>
      </c>
      <c r="F70" s="18">
        <f>IF(AND('Assumptions'!$C$158=1,F$4&gt;=MAX('Assumptions'!$C$159,'Assumptions'!$C$9)),1,0)</f>
        <v/>
      </c>
      <c r="G70" s="18">
        <f>IF(AND('Assumptions'!$C$158=1,G$4&gt;=MAX('Assumptions'!$C$159,'Assumptions'!$C$9)),1,0)</f>
        <v/>
      </c>
      <c r="H70" s="18">
        <f>IF(AND('Assumptions'!$C$158=1,H$4&gt;=MAX('Assumptions'!$C$159,'Assumptions'!$C$9)),1,0)</f>
        <v/>
      </c>
      <c r="I70" s="18">
        <f>IF(AND('Assumptions'!$C$158=1,I$4&gt;=MAX('Assumptions'!$C$159,'Assumptions'!$C$9)),1,0)</f>
        <v/>
      </c>
      <c r="J70" s="18">
        <f>IF(AND('Assumptions'!$C$158=1,J$4&gt;=MAX('Assumptions'!$C$159,'Assumptions'!$C$9)),1,0)</f>
        <v/>
      </c>
      <c r="K70" s="18">
        <f>IF(AND('Assumptions'!$C$158=1,K$4&gt;=MAX('Assumptions'!$C$159,'Assumptions'!$C$9)),1,0)</f>
        <v/>
      </c>
      <c r="L70" s="18">
        <f>IF(AND('Assumptions'!$C$158=1,L$4&gt;=MAX('Assumptions'!$C$159,'Assumptions'!$C$9)),1,0)</f>
        <v/>
      </c>
      <c r="M70" s="18">
        <f>IF(AND('Assumptions'!$C$158=1,M$4&gt;=MAX('Assumptions'!$C$159,'Assumptions'!$C$9)),1,0)</f>
        <v/>
      </c>
      <c r="N70" s="18">
        <f>IF(AND('Assumptions'!$C$158=1,N$4&gt;=MAX('Assumptions'!$C$159,'Assumptions'!$C$9)),1,0)</f>
        <v/>
      </c>
      <c r="O70" s="18">
        <f>IF(AND('Assumptions'!$C$158=1,O$4&gt;=MAX('Assumptions'!$C$159,'Assumptions'!$C$9)),1,0)</f>
        <v/>
      </c>
      <c r="P70" s="18">
        <f>IF(AND('Assumptions'!$C$158=1,P$4&gt;=MAX('Assumptions'!$C$159,'Assumptions'!$C$9)),1,0)</f>
        <v/>
      </c>
      <c r="Q70" s="18">
        <f>IF(AND('Assumptions'!$C$158=1,Q$4&gt;=MAX('Assumptions'!$C$159,'Assumptions'!$C$9)),1,0)</f>
        <v/>
      </c>
      <c r="R70" s="18">
        <f>IF(AND('Assumptions'!$C$158=1,R$4&gt;=MAX('Assumptions'!$C$159,'Assumptions'!$C$9)),1,0)</f>
        <v/>
      </c>
      <c r="S70" s="18">
        <f>IF(AND('Assumptions'!$C$158=1,S$4&gt;=MAX('Assumptions'!$C$159,'Assumptions'!$C$9)),1,0)</f>
        <v/>
      </c>
      <c r="T70" s="18">
        <f>IF(AND('Assumptions'!$C$158=1,T$4&gt;=MAX('Assumptions'!$C$159,'Assumptions'!$C$9)),1,0)</f>
        <v/>
      </c>
      <c r="U70" s="18">
        <f>IF(AND('Assumptions'!$C$158=1,U$4&gt;=MAX('Assumptions'!$C$159,'Assumptions'!$C$9)),1,0)</f>
        <v/>
      </c>
      <c r="V70" s="18">
        <f>IF(AND('Assumptions'!$C$158=1,V$4&gt;=MAX('Assumptions'!$C$159,'Assumptions'!$C$9)),1,0)</f>
        <v/>
      </c>
      <c r="W70" s="18">
        <f>IF(AND('Assumptions'!$C$158=1,W$4&gt;=MAX('Assumptions'!$C$159,'Assumptions'!$C$9)),1,0)</f>
        <v/>
      </c>
      <c r="X70" s="18">
        <f>IF(AND('Assumptions'!$C$158=1,X$4&gt;=MAX('Assumptions'!$C$159,'Assumptions'!$C$9)),1,0)</f>
        <v/>
      </c>
      <c r="Y70" s="18">
        <f>IF(AND('Assumptions'!$C$158=1,Y$4&gt;=MAX('Assumptions'!$C$159,'Assumptions'!$C$9)),1,0)</f>
        <v/>
      </c>
      <c r="Z70" s="18">
        <f>IF(AND('Assumptions'!$C$158=1,Z$4&gt;=MAX('Assumptions'!$C$159,'Assumptions'!$C$9)),1,0)</f>
        <v/>
      </c>
      <c r="AA70" s="18">
        <f>IF(AND('Assumptions'!$C$158=1,AA$4&gt;=MAX('Assumptions'!$C$159,'Assumptions'!$C$9)),1,0)</f>
        <v/>
      </c>
      <c r="AB70" s="18">
        <f>IF(AND('Assumptions'!$C$158=1,AB$4&gt;=MAX('Assumptions'!$C$159,'Assumptions'!$C$9)),1,0)</f>
        <v/>
      </c>
      <c r="AC70" s="18">
        <f>IF(AND('Assumptions'!$C$158=1,AC$4&gt;=MAX('Assumptions'!$C$159,'Assumptions'!$C$9)),1,0)</f>
        <v/>
      </c>
      <c r="AD70" s="18">
        <f>IF(AND('Assumptions'!$C$158=1,AD$4&gt;=MAX('Assumptions'!$C$159,'Assumptions'!$C$9)),1,0)</f>
        <v/>
      </c>
      <c r="AE70" s="18">
        <f>IF(AND('Assumptions'!$C$158=1,AE$4&gt;=MAX('Assumptions'!$C$159,'Assumptions'!$C$9)),1,0)</f>
        <v/>
      </c>
      <c r="AF70" s="18">
        <f>IF(AND('Assumptions'!$C$158=1,AF$4&gt;=MAX('Assumptions'!$C$159,'Assumptions'!$C$9)),1,0)</f>
        <v/>
      </c>
      <c r="AG70" s="18">
        <f>IF(AND('Assumptions'!$C$158=1,AG$4&gt;=MAX('Assumptions'!$C$159,'Assumptions'!$C$9)),1,0)</f>
        <v/>
      </c>
      <c r="AH70" s="18">
        <f>IF(AND('Assumptions'!$C$158=1,AH$4&gt;=MAX('Assumptions'!$C$159,'Assumptions'!$C$9)),1,0)</f>
        <v/>
      </c>
      <c r="AI70" s="18">
        <f>IF(AND('Assumptions'!$C$158=1,AI$4&gt;=MAX('Assumptions'!$C$159,'Assumptions'!$C$9)),1,0)</f>
        <v/>
      </c>
      <c r="AJ70" s="18">
        <f>IF(AND('Assumptions'!$C$158=1,AJ$4&gt;=MAX('Assumptions'!$C$159,'Assumptions'!$C$9)),1,0)</f>
        <v/>
      </c>
      <c r="AK70" s="18">
        <f>IF(AND('Assumptions'!$C$158=1,AK$4&gt;=MAX('Assumptions'!$C$159,'Assumptions'!$C$9)),1,0)</f>
        <v/>
      </c>
      <c r="AL70" s="18">
        <f>IF(AND('Assumptions'!$C$158=1,AL$4&gt;=MAX('Assumptions'!$C$159,'Assumptions'!$C$9)),1,0)</f>
        <v/>
      </c>
    </row>
    <row r="71">
      <c r="A71" s="7" t="inlineStr">
        <is>
          <t xml:space="preserve">   Subscribers reached (list last month x reach)</t>
        </is>
      </c>
      <c r="B71" s="9" t="inlineStr">
        <is>
          <t>people</t>
        </is>
      </c>
      <c r="C71" s="15">
        <f>IF(C70=0,0,0*'Assumptions'!$C$162)</f>
        <v/>
      </c>
      <c r="D71" s="15">
        <f>IF(D70=0,0,C114*'Assumptions'!$C$162)</f>
        <v/>
      </c>
      <c r="E71" s="15">
        <f>IF(E70=0,0,D114*'Assumptions'!$C$162)</f>
        <v/>
      </c>
      <c r="F71" s="15">
        <f>IF(F70=0,0,E114*'Assumptions'!$C$162)</f>
        <v/>
      </c>
      <c r="G71" s="15">
        <f>IF(G70=0,0,F114*'Assumptions'!$C$162)</f>
        <v/>
      </c>
      <c r="H71" s="15">
        <f>IF(H70=0,0,G114*'Assumptions'!$C$162)</f>
        <v/>
      </c>
      <c r="I71" s="15">
        <f>IF(I70=0,0,H114*'Assumptions'!$C$162)</f>
        <v/>
      </c>
      <c r="J71" s="15">
        <f>IF(J70=0,0,I114*'Assumptions'!$C$162)</f>
        <v/>
      </c>
      <c r="K71" s="15">
        <f>IF(K70=0,0,J114*'Assumptions'!$C$162)</f>
        <v/>
      </c>
      <c r="L71" s="15">
        <f>IF(L70=0,0,K114*'Assumptions'!$C$162)</f>
        <v/>
      </c>
      <c r="M71" s="15">
        <f>IF(M70=0,0,L114*'Assumptions'!$C$162)</f>
        <v/>
      </c>
      <c r="N71" s="15">
        <f>IF(N70=0,0,M114*'Assumptions'!$C$162)</f>
        <v/>
      </c>
      <c r="O71" s="15">
        <f>IF(O70=0,0,N114*'Assumptions'!$C$162)</f>
        <v/>
      </c>
      <c r="P71" s="15">
        <f>IF(P70=0,0,O114*'Assumptions'!$C$162)</f>
        <v/>
      </c>
      <c r="Q71" s="15">
        <f>IF(Q70=0,0,P114*'Assumptions'!$C$162)</f>
        <v/>
      </c>
      <c r="R71" s="15">
        <f>IF(R70=0,0,Q114*'Assumptions'!$C$162)</f>
        <v/>
      </c>
      <c r="S71" s="15">
        <f>IF(S70=0,0,R114*'Assumptions'!$C$162)</f>
        <v/>
      </c>
      <c r="T71" s="15">
        <f>IF(T70=0,0,S114*'Assumptions'!$C$162)</f>
        <v/>
      </c>
      <c r="U71" s="15">
        <f>IF(U70=0,0,T114*'Assumptions'!$C$162)</f>
        <v/>
      </c>
      <c r="V71" s="15">
        <f>IF(V70=0,0,U114*'Assumptions'!$C$162)</f>
        <v/>
      </c>
      <c r="W71" s="15">
        <f>IF(W70=0,0,V114*'Assumptions'!$C$162)</f>
        <v/>
      </c>
      <c r="X71" s="15">
        <f>IF(X70=0,0,W114*'Assumptions'!$C$162)</f>
        <v/>
      </c>
      <c r="Y71" s="15">
        <f>IF(Y70=0,0,X114*'Assumptions'!$C$162)</f>
        <v/>
      </c>
      <c r="Z71" s="15">
        <f>IF(Z70=0,0,Y114*'Assumptions'!$C$162)</f>
        <v/>
      </c>
      <c r="AA71" s="15">
        <f>IF(AA70=0,0,Z114*'Assumptions'!$C$162)</f>
        <v/>
      </c>
      <c r="AB71" s="15">
        <f>IF(AB70=0,0,AA114*'Assumptions'!$C$162)</f>
        <v/>
      </c>
      <c r="AC71" s="15">
        <f>IF(AC70=0,0,AB114*'Assumptions'!$C$162)</f>
        <v/>
      </c>
      <c r="AD71" s="15">
        <f>IF(AD70=0,0,AC114*'Assumptions'!$C$162)</f>
        <v/>
      </c>
      <c r="AE71" s="15">
        <f>IF(AE70=0,0,AD114*'Assumptions'!$C$162)</f>
        <v/>
      </c>
      <c r="AF71" s="15">
        <f>IF(AF70=0,0,AE114*'Assumptions'!$C$162)</f>
        <v/>
      </c>
      <c r="AG71" s="15">
        <f>IF(AG70=0,0,AF114*'Assumptions'!$C$162)</f>
        <v/>
      </c>
      <c r="AH71" s="15">
        <f>IF(AH70=0,0,AG114*'Assumptions'!$C$162)</f>
        <v/>
      </c>
      <c r="AI71" s="15">
        <f>IF(AI70=0,0,AH114*'Assumptions'!$C$162)</f>
        <v/>
      </c>
      <c r="AJ71" s="15">
        <f>IF(AJ70=0,0,AI114*'Assumptions'!$C$162)</f>
        <v/>
      </c>
      <c r="AK71" s="15">
        <f>IF(AK70=0,0,AJ114*'Assumptions'!$C$162)</f>
        <v/>
      </c>
      <c r="AL71" s="15">
        <f>IF(AL70=0,0,AK114*'Assumptions'!$C$162)</f>
        <v/>
      </c>
    </row>
    <row r="72">
      <c r="A72" s="7" t="inlineStr">
        <is>
          <t xml:space="preserve">   Subscribers reached by the offer</t>
        </is>
      </c>
      <c r="B72" s="9" t="inlineStr">
        <is>
          <t>visits</t>
        </is>
      </c>
      <c r="C72" s="58">
        <f>C71*C$7</f>
        <v/>
      </c>
      <c r="D72" s="58">
        <f>D71*D$7</f>
        <v/>
      </c>
      <c r="E72" s="58">
        <f>E71*E$7</f>
        <v/>
      </c>
      <c r="F72" s="58">
        <f>F71*F$7</f>
        <v/>
      </c>
      <c r="G72" s="58">
        <f>G71*G$7</f>
        <v/>
      </c>
      <c r="H72" s="58">
        <f>H71*H$7</f>
        <v/>
      </c>
      <c r="I72" s="58">
        <f>I71*I$7</f>
        <v/>
      </c>
      <c r="J72" s="58">
        <f>J71*J$7</f>
        <v/>
      </c>
      <c r="K72" s="58">
        <f>K71*K$7</f>
        <v/>
      </c>
      <c r="L72" s="58">
        <f>L71*L$7</f>
        <v/>
      </c>
      <c r="M72" s="58">
        <f>M71*M$7</f>
        <v/>
      </c>
      <c r="N72" s="58">
        <f>N71*N$7</f>
        <v/>
      </c>
      <c r="O72" s="58">
        <f>O71*O$7</f>
        <v/>
      </c>
      <c r="P72" s="58">
        <f>P71*P$7</f>
        <v/>
      </c>
      <c r="Q72" s="58">
        <f>Q71*Q$7</f>
        <v/>
      </c>
      <c r="R72" s="58">
        <f>R71*R$7</f>
        <v/>
      </c>
      <c r="S72" s="58">
        <f>S71*S$7</f>
        <v/>
      </c>
      <c r="T72" s="58">
        <f>T71*T$7</f>
        <v/>
      </c>
      <c r="U72" s="58">
        <f>U71*U$7</f>
        <v/>
      </c>
      <c r="V72" s="58">
        <f>V71*V$7</f>
        <v/>
      </c>
      <c r="W72" s="58">
        <f>W71*W$7</f>
        <v/>
      </c>
      <c r="X72" s="58">
        <f>X71*X$7</f>
        <v/>
      </c>
      <c r="Y72" s="58">
        <f>Y71*Y$7</f>
        <v/>
      </c>
      <c r="Z72" s="58">
        <f>Z71*Z$7</f>
        <v/>
      </c>
      <c r="AA72" s="58">
        <f>AA71*AA$7</f>
        <v/>
      </c>
      <c r="AB72" s="58">
        <f>AB71*AB$7</f>
        <v/>
      </c>
      <c r="AC72" s="58">
        <f>AC71*AC$7</f>
        <v/>
      </c>
      <c r="AD72" s="58">
        <f>AD71*AD$7</f>
        <v/>
      </c>
      <c r="AE72" s="58">
        <f>AE71*AE$7</f>
        <v/>
      </c>
      <c r="AF72" s="58">
        <f>AF71*AF$7</f>
        <v/>
      </c>
      <c r="AG72" s="58">
        <f>AG71*AG$7</f>
        <v/>
      </c>
      <c r="AH72" s="58">
        <f>AH71*AH$7</f>
        <v/>
      </c>
      <c r="AI72" s="58">
        <f>AI71*AI$7</f>
        <v/>
      </c>
      <c r="AJ72" s="58">
        <f>AJ71*AJ$7</f>
        <v/>
      </c>
      <c r="AK72" s="58">
        <f>AK71*AK$7</f>
        <v/>
      </c>
      <c r="AL72" s="58">
        <f>AL71*AL$7</f>
        <v/>
      </c>
      <c r="AM72" s="57">
        <f>SUMIF($C$6:$AL$6,1,C72:AL72)</f>
        <v/>
      </c>
      <c r="AN72" s="57">
        <f>SUMIF($C$6:$AL$6,2,C72:AL72)</f>
        <v/>
      </c>
      <c r="AO72" s="57">
        <f>SUMIF($C$6:$AL$6,3,C72:AL72)</f>
        <v/>
      </c>
      <c r="AP72" s="57">
        <f>SUM(C72:AL72)</f>
        <v/>
      </c>
    </row>
    <row r="73">
      <c r="A73" s="7" t="inlineStr">
        <is>
          <t xml:space="preserve">   Conversion rate (with review ramp)</t>
        </is>
      </c>
      <c r="B73" s="9" t="inlineStr">
        <is>
          <t>%</t>
        </is>
      </c>
      <c r="C73" s="59">
        <f>'Assumptions'!$C$160*MIN(1,(C$4-MAX('Assumptions'!$C$159,'Assumptions'!$C$9)+1)/'Assumptions'!$C$11)*C70</f>
        <v/>
      </c>
      <c r="D73" s="59">
        <f>'Assumptions'!$C$160*MIN(1,(D$4-MAX('Assumptions'!$C$159,'Assumptions'!$C$9)+1)/'Assumptions'!$C$11)*D70</f>
        <v/>
      </c>
      <c r="E73" s="59">
        <f>'Assumptions'!$C$160*MIN(1,(E$4-MAX('Assumptions'!$C$159,'Assumptions'!$C$9)+1)/'Assumptions'!$C$11)*E70</f>
        <v/>
      </c>
      <c r="F73" s="59">
        <f>'Assumptions'!$C$160*MIN(1,(F$4-MAX('Assumptions'!$C$159,'Assumptions'!$C$9)+1)/'Assumptions'!$C$11)*F70</f>
        <v/>
      </c>
      <c r="G73" s="59">
        <f>'Assumptions'!$C$160*MIN(1,(G$4-MAX('Assumptions'!$C$159,'Assumptions'!$C$9)+1)/'Assumptions'!$C$11)*G70</f>
        <v/>
      </c>
      <c r="H73" s="59">
        <f>'Assumptions'!$C$160*MIN(1,(H$4-MAX('Assumptions'!$C$159,'Assumptions'!$C$9)+1)/'Assumptions'!$C$11)*H70</f>
        <v/>
      </c>
      <c r="I73" s="59">
        <f>'Assumptions'!$C$160*MIN(1,(I$4-MAX('Assumptions'!$C$159,'Assumptions'!$C$9)+1)/'Assumptions'!$C$11)*I70</f>
        <v/>
      </c>
      <c r="J73" s="59">
        <f>'Assumptions'!$C$160*MIN(1,(J$4-MAX('Assumptions'!$C$159,'Assumptions'!$C$9)+1)/'Assumptions'!$C$11)*J70</f>
        <v/>
      </c>
      <c r="K73" s="59">
        <f>'Assumptions'!$C$160*MIN(1,(K$4-MAX('Assumptions'!$C$159,'Assumptions'!$C$9)+1)/'Assumptions'!$C$11)*K70</f>
        <v/>
      </c>
      <c r="L73" s="59">
        <f>'Assumptions'!$C$160*MIN(1,(L$4-MAX('Assumptions'!$C$159,'Assumptions'!$C$9)+1)/'Assumptions'!$C$11)*L70</f>
        <v/>
      </c>
      <c r="M73" s="59">
        <f>'Assumptions'!$C$160*MIN(1,(M$4-MAX('Assumptions'!$C$159,'Assumptions'!$C$9)+1)/'Assumptions'!$C$11)*M70</f>
        <v/>
      </c>
      <c r="N73" s="59">
        <f>'Assumptions'!$C$160*MIN(1,(N$4-MAX('Assumptions'!$C$159,'Assumptions'!$C$9)+1)/'Assumptions'!$C$11)*N70</f>
        <v/>
      </c>
      <c r="O73" s="59">
        <f>'Assumptions'!$C$160*MIN(1,(O$4-MAX('Assumptions'!$C$159,'Assumptions'!$C$9)+1)/'Assumptions'!$C$11)*O70</f>
        <v/>
      </c>
      <c r="P73" s="59">
        <f>'Assumptions'!$C$160*MIN(1,(P$4-MAX('Assumptions'!$C$159,'Assumptions'!$C$9)+1)/'Assumptions'!$C$11)*P70</f>
        <v/>
      </c>
      <c r="Q73" s="59">
        <f>'Assumptions'!$C$160*MIN(1,(Q$4-MAX('Assumptions'!$C$159,'Assumptions'!$C$9)+1)/'Assumptions'!$C$11)*Q70</f>
        <v/>
      </c>
      <c r="R73" s="59">
        <f>'Assumptions'!$C$160*MIN(1,(R$4-MAX('Assumptions'!$C$159,'Assumptions'!$C$9)+1)/'Assumptions'!$C$11)*R70</f>
        <v/>
      </c>
      <c r="S73" s="59">
        <f>'Assumptions'!$C$160*MIN(1,(S$4-MAX('Assumptions'!$C$159,'Assumptions'!$C$9)+1)/'Assumptions'!$C$11)*S70</f>
        <v/>
      </c>
      <c r="T73" s="59">
        <f>'Assumptions'!$C$160*MIN(1,(T$4-MAX('Assumptions'!$C$159,'Assumptions'!$C$9)+1)/'Assumptions'!$C$11)*T70</f>
        <v/>
      </c>
      <c r="U73" s="59">
        <f>'Assumptions'!$C$160*MIN(1,(U$4-MAX('Assumptions'!$C$159,'Assumptions'!$C$9)+1)/'Assumptions'!$C$11)*U70</f>
        <v/>
      </c>
      <c r="V73" s="59">
        <f>'Assumptions'!$C$160*MIN(1,(V$4-MAX('Assumptions'!$C$159,'Assumptions'!$C$9)+1)/'Assumptions'!$C$11)*V70</f>
        <v/>
      </c>
      <c r="W73" s="59">
        <f>'Assumptions'!$C$160*MIN(1,(W$4-MAX('Assumptions'!$C$159,'Assumptions'!$C$9)+1)/'Assumptions'!$C$11)*W70</f>
        <v/>
      </c>
      <c r="X73" s="59">
        <f>'Assumptions'!$C$160*MIN(1,(X$4-MAX('Assumptions'!$C$159,'Assumptions'!$C$9)+1)/'Assumptions'!$C$11)*X70</f>
        <v/>
      </c>
      <c r="Y73" s="59">
        <f>'Assumptions'!$C$160*MIN(1,(Y$4-MAX('Assumptions'!$C$159,'Assumptions'!$C$9)+1)/'Assumptions'!$C$11)*Y70</f>
        <v/>
      </c>
      <c r="Z73" s="59">
        <f>'Assumptions'!$C$160*MIN(1,(Z$4-MAX('Assumptions'!$C$159,'Assumptions'!$C$9)+1)/'Assumptions'!$C$11)*Z70</f>
        <v/>
      </c>
      <c r="AA73" s="59">
        <f>'Assumptions'!$C$160*MIN(1,(AA$4-MAX('Assumptions'!$C$159,'Assumptions'!$C$9)+1)/'Assumptions'!$C$11)*AA70</f>
        <v/>
      </c>
      <c r="AB73" s="59">
        <f>'Assumptions'!$C$160*MIN(1,(AB$4-MAX('Assumptions'!$C$159,'Assumptions'!$C$9)+1)/'Assumptions'!$C$11)*AB70</f>
        <v/>
      </c>
      <c r="AC73" s="59">
        <f>'Assumptions'!$C$160*MIN(1,(AC$4-MAX('Assumptions'!$C$159,'Assumptions'!$C$9)+1)/'Assumptions'!$C$11)*AC70</f>
        <v/>
      </c>
      <c r="AD73" s="59">
        <f>'Assumptions'!$C$160*MIN(1,(AD$4-MAX('Assumptions'!$C$159,'Assumptions'!$C$9)+1)/'Assumptions'!$C$11)*AD70</f>
        <v/>
      </c>
      <c r="AE73" s="59">
        <f>'Assumptions'!$C$160*MIN(1,(AE$4-MAX('Assumptions'!$C$159,'Assumptions'!$C$9)+1)/'Assumptions'!$C$11)*AE70</f>
        <v/>
      </c>
      <c r="AF73" s="59">
        <f>'Assumptions'!$C$160*MIN(1,(AF$4-MAX('Assumptions'!$C$159,'Assumptions'!$C$9)+1)/'Assumptions'!$C$11)*AF70</f>
        <v/>
      </c>
      <c r="AG73" s="59">
        <f>'Assumptions'!$C$160*MIN(1,(AG$4-MAX('Assumptions'!$C$159,'Assumptions'!$C$9)+1)/'Assumptions'!$C$11)*AG70</f>
        <v/>
      </c>
      <c r="AH73" s="59">
        <f>'Assumptions'!$C$160*MIN(1,(AH$4-MAX('Assumptions'!$C$159,'Assumptions'!$C$9)+1)/'Assumptions'!$C$11)*AH70</f>
        <v/>
      </c>
      <c r="AI73" s="59">
        <f>'Assumptions'!$C$160*MIN(1,(AI$4-MAX('Assumptions'!$C$159,'Assumptions'!$C$9)+1)/'Assumptions'!$C$11)*AI70</f>
        <v/>
      </c>
      <c r="AJ73" s="59">
        <f>'Assumptions'!$C$160*MIN(1,(AJ$4-MAX('Assumptions'!$C$159,'Assumptions'!$C$9)+1)/'Assumptions'!$C$11)*AJ70</f>
        <v/>
      </c>
      <c r="AK73" s="59">
        <f>'Assumptions'!$C$160*MIN(1,(AK$4-MAX('Assumptions'!$C$159,'Assumptions'!$C$9)+1)/'Assumptions'!$C$11)*AK70</f>
        <v/>
      </c>
      <c r="AL73" s="59">
        <f>'Assumptions'!$C$160*MIN(1,(AL$4-MAX('Assumptions'!$C$159,'Assumptions'!$C$9)+1)/'Assumptions'!$C$11)*AL70</f>
        <v/>
      </c>
    </row>
    <row r="74">
      <c r="A74" s="7" t="inlineStr">
        <is>
          <t xml:space="preserve">   Orders</t>
        </is>
      </c>
      <c r="B74" s="9" t="inlineStr">
        <is>
          <t>orders</t>
        </is>
      </c>
      <c r="C74" s="56">
        <f>C72*C73</f>
        <v/>
      </c>
      <c r="D74" s="56">
        <f>D72*D73</f>
        <v/>
      </c>
      <c r="E74" s="56">
        <f>E72*E73</f>
        <v/>
      </c>
      <c r="F74" s="56">
        <f>F72*F73</f>
        <v/>
      </c>
      <c r="G74" s="56">
        <f>G72*G73</f>
        <v/>
      </c>
      <c r="H74" s="56">
        <f>H72*H73</f>
        <v/>
      </c>
      <c r="I74" s="56">
        <f>I72*I73</f>
        <v/>
      </c>
      <c r="J74" s="56">
        <f>J72*J73</f>
        <v/>
      </c>
      <c r="K74" s="56">
        <f>K72*K73</f>
        <v/>
      </c>
      <c r="L74" s="56">
        <f>L72*L73</f>
        <v/>
      </c>
      <c r="M74" s="56">
        <f>M72*M73</f>
        <v/>
      </c>
      <c r="N74" s="56">
        <f>N72*N73</f>
        <v/>
      </c>
      <c r="O74" s="56">
        <f>O72*O73</f>
        <v/>
      </c>
      <c r="P74" s="56">
        <f>P72*P73</f>
        <v/>
      </c>
      <c r="Q74" s="56">
        <f>Q72*Q73</f>
        <v/>
      </c>
      <c r="R74" s="56">
        <f>R72*R73</f>
        <v/>
      </c>
      <c r="S74" s="56">
        <f>S72*S73</f>
        <v/>
      </c>
      <c r="T74" s="56">
        <f>T72*T73</f>
        <v/>
      </c>
      <c r="U74" s="56">
        <f>U72*U73</f>
        <v/>
      </c>
      <c r="V74" s="56">
        <f>V72*V73</f>
        <v/>
      </c>
      <c r="W74" s="56">
        <f>W72*W73</f>
        <v/>
      </c>
      <c r="X74" s="56">
        <f>X72*X73</f>
        <v/>
      </c>
      <c r="Y74" s="56">
        <f>Y72*Y73</f>
        <v/>
      </c>
      <c r="Z74" s="56">
        <f>Z72*Z73</f>
        <v/>
      </c>
      <c r="AA74" s="56">
        <f>AA72*AA73</f>
        <v/>
      </c>
      <c r="AB74" s="56">
        <f>AB72*AB73</f>
        <v/>
      </c>
      <c r="AC74" s="56">
        <f>AC72*AC73</f>
        <v/>
      </c>
      <c r="AD74" s="56">
        <f>AD72*AD73</f>
        <v/>
      </c>
      <c r="AE74" s="56">
        <f>AE72*AE73</f>
        <v/>
      </c>
      <c r="AF74" s="56">
        <f>AF72*AF73</f>
        <v/>
      </c>
      <c r="AG74" s="56">
        <f>AG72*AG73</f>
        <v/>
      </c>
      <c r="AH74" s="56">
        <f>AH72*AH73</f>
        <v/>
      </c>
      <c r="AI74" s="56">
        <f>AI72*AI73</f>
        <v/>
      </c>
      <c r="AJ74" s="56">
        <f>AJ72*AJ73</f>
        <v/>
      </c>
      <c r="AK74" s="56">
        <f>AK72*AK73</f>
        <v/>
      </c>
      <c r="AL74" s="56">
        <f>AL72*AL73</f>
        <v/>
      </c>
      <c r="AM74" s="57">
        <f>SUMIF($C$6:$AL$6,1,C74:AL74)</f>
        <v/>
      </c>
      <c r="AN74" s="57">
        <f>SUMIF($C$6:$AL$6,2,C74:AL74)</f>
        <v/>
      </c>
      <c r="AO74" s="57">
        <f>SUMIF($C$6:$AL$6,3,C74:AL74)</f>
        <v/>
      </c>
      <c r="AP74" s="57">
        <f>SUM(C74:AL74)</f>
        <v/>
      </c>
    </row>
    <row r="75">
      <c r="A75" s="7" t="inlineStr">
        <is>
          <t xml:space="preserve">   Items sold</t>
        </is>
      </c>
      <c r="B75" s="9" t="inlineStr">
        <is>
          <t>items</t>
        </is>
      </c>
      <c r="C75" s="14">
        <f>C74*'Assumptions'!$C$161</f>
        <v/>
      </c>
      <c r="D75" s="14">
        <f>D74*'Assumptions'!$C$161</f>
        <v/>
      </c>
      <c r="E75" s="14">
        <f>E74*'Assumptions'!$C$161</f>
        <v/>
      </c>
      <c r="F75" s="14">
        <f>F74*'Assumptions'!$C$161</f>
        <v/>
      </c>
      <c r="G75" s="14">
        <f>G74*'Assumptions'!$C$161</f>
        <v/>
      </c>
      <c r="H75" s="14">
        <f>H74*'Assumptions'!$C$161</f>
        <v/>
      </c>
      <c r="I75" s="14">
        <f>I74*'Assumptions'!$C$161</f>
        <v/>
      </c>
      <c r="J75" s="14">
        <f>J74*'Assumptions'!$C$161</f>
        <v/>
      </c>
      <c r="K75" s="14">
        <f>K74*'Assumptions'!$C$161</f>
        <v/>
      </c>
      <c r="L75" s="14">
        <f>L74*'Assumptions'!$C$161</f>
        <v/>
      </c>
      <c r="M75" s="14">
        <f>M74*'Assumptions'!$C$161</f>
        <v/>
      </c>
      <c r="N75" s="14">
        <f>N74*'Assumptions'!$C$161</f>
        <v/>
      </c>
      <c r="O75" s="14">
        <f>O74*'Assumptions'!$C$161</f>
        <v/>
      </c>
      <c r="P75" s="14">
        <f>P74*'Assumptions'!$C$161</f>
        <v/>
      </c>
      <c r="Q75" s="14">
        <f>Q74*'Assumptions'!$C$161</f>
        <v/>
      </c>
      <c r="R75" s="14">
        <f>R74*'Assumptions'!$C$161</f>
        <v/>
      </c>
      <c r="S75" s="14">
        <f>S74*'Assumptions'!$C$161</f>
        <v/>
      </c>
      <c r="T75" s="14">
        <f>T74*'Assumptions'!$C$161</f>
        <v/>
      </c>
      <c r="U75" s="14">
        <f>U74*'Assumptions'!$C$161</f>
        <v/>
      </c>
      <c r="V75" s="14">
        <f>V74*'Assumptions'!$C$161</f>
        <v/>
      </c>
      <c r="W75" s="14">
        <f>W74*'Assumptions'!$C$161</f>
        <v/>
      </c>
      <c r="X75" s="14">
        <f>X74*'Assumptions'!$C$161</f>
        <v/>
      </c>
      <c r="Y75" s="14">
        <f>Y74*'Assumptions'!$C$161</f>
        <v/>
      </c>
      <c r="Z75" s="14">
        <f>Z74*'Assumptions'!$C$161</f>
        <v/>
      </c>
      <c r="AA75" s="14">
        <f>AA74*'Assumptions'!$C$161</f>
        <v/>
      </c>
      <c r="AB75" s="14">
        <f>AB74*'Assumptions'!$C$161</f>
        <v/>
      </c>
      <c r="AC75" s="14">
        <f>AC74*'Assumptions'!$C$161</f>
        <v/>
      </c>
      <c r="AD75" s="14">
        <f>AD74*'Assumptions'!$C$161</f>
        <v/>
      </c>
      <c r="AE75" s="14">
        <f>AE74*'Assumptions'!$C$161</f>
        <v/>
      </c>
      <c r="AF75" s="14">
        <f>AF74*'Assumptions'!$C$161</f>
        <v/>
      </c>
      <c r="AG75" s="14">
        <f>AG74*'Assumptions'!$C$161</f>
        <v/>
      </c>
      <c r="AH75" s="14">
        <f>AH74*'Assumptions'!$C$161</f>
        <v/>
      </c>
      <c r="AI75" s="14">
        <f>AI74*'Assumptions'!$C$161</f>
        <v/>
      </c>
      <c r="AJ75" s="14">
        <f>AJ74*'Assumptions'!$C$161</f>
        <v/>
      </c>
      <c r="AK75" s="14">
        <f>AK74*'Assumptions'!$C$161</f>
        <v/>
      </c>
      <c r="AL75" s="14">
        <f>AL74*'Assumptions'!$C$161</f>
        <v/>
      </c>
      <c r="AM75" s="57">
        <f>SUMIF($C$6:$AL$6,1,C75:AL75)</f>
        <v/>
      </c>
      <c r="AN75" s="57">
        <f>SUMIF($C$6:$AL$6,2,C75:AL75)</f>
        <v/>
      </c>
      <c r="AO75" s="57">
        <f>SUMIF($C$6:$AL$6,3,C75:AL75)</f>
        <v/>
      </c>
      <c r="AP75" s="57">
        <f>SUM(C75:AL75)</f>
        <v/>
      </c>
    </row>
    <row r="76">
      <c r="A76" s="7" t="inlineStr">
        <is>
          <t xml:space="preserve">   Average order value</t>
        </is>
      </c>
      <c r="B76" s="9" t="inlineStr">
        <is>
          <t>$</t>
        </is>
      </c>
      <c r="C76" s="16">
        <f>'Unit Economics'!$E$54*'Assumptions'!$C$161*C70</f>
        <v/>
      </c>
      <c r="D76" s="16">
        <f>'Unit Economics'!$E$54*'Assumptions'!$C$161*D70</f>
        <v/>
      </c>
      <c r="E76" s="16">
        <f>'Unit Economics'!$E$54*'Assumptions'!$C$161*E70</f>
        <v/>
      </c>
      <c r="F76" s="16">
        <f>'Unit Economics'!$E$54*'Assumptions'!$C$161*F70</f>
        <v/>
      </c>
      <c r="G76" s="16">
        <f>'Unit Economics'!$E$54*'Assumptions'!$C$161*G70</f>
        <v/>
      </c>
      <c r="H76" s="16">
        <f>'Unit Economics'!$E$54*'Assumptions'!$C$161*H70</f>
        <v/>
      </c>
      <c r="I76" s="16">
        <f>'Unit Economics'!$E$54*'Assumptions'!$C$161*I70</f>
        <v/>
      </c>
      <c r="J76" s="16">
        <f>'Unit Economics'!$E$54*'Assumptions'!$C$161*J70</f>
        <v/>
      </c>
      <c r="K76" s="16">
        <f>'Unit Economics'!$E$54*'Assumptions'!$C$161*K70</f>
        <v/>
      </c>
      <c r="L76" s="16">
        <f>'Unit Economics'!$E$54*'Assumptions'!$C$161*L70</f>
        <v/>
      </c>
      <c r="M76" s="16">
        <f>'Unit Economics'!$E$54*'Assumptions'!$C$161*M70</f>
        <v/>
      </c>
      <c r="N76" s="16">
        <f>'Unit Economics'!$E$54*'Assumptions'!$C$161*N70</f>
        <v/>
      </c>
      <c r="O76" s="16">
        <f>'Unit Economics'!$E$54*'Assumptions'!$C$161*O70</f>
        <v/>
      </c>
      <c r="P76" s="16">
        <f>'Unit Economics'!$E$54*'Assumptions'!$C$161*P70</f>
        <v/>
      </c>
      <c r="Q76" s="16">
        <f>'Unit Economics'!$E$54*'Assumptions'!$C$161*Q70</f>
        <v/>
      </c>
      <c r="R76" s="16">
        <f>'Unit Economics'!$E$54*'Assumptions'!$C$161*R70</f>
        <v/>
      </c>
      <c r="S76" s="16">
        <f>'Unit Economics'!$E$54*'Assumptions'!$C$161*S70</f>
        <v/>
      </c>
      <c r="T76" s="16">
        <f>'Unit Economics'!$E$54*'Assumptions'!$C$161*T70</f>
        <v/>
      </c>
      <c r="U76" s="16">
        <f>'Unit Economics'!$E$54*'Assumptions'!$C$161*U70</f>
        <v/>
      </c>
      <c r="V76" s="16">
        <f>'Unit Economics'!$E$54*'Assumptions'!$C$161*V70</f>
        <v/>
      </c>
      <c r="W76" s="16">
        <f>'Unit Economics'!$E$54*'Assumptions'!$C$161*W70</f>
        <v/>
      </c>
      <c r="X76" s="16">
        <f>'Unit Economics'!$E$54*'Assumptions'!$C$161*X70</f>
        <v/>
      </c>
      <c r="Y76" s="16">
        <f>'Unit Economics'!$E$54*'Assumptions'!$C$161*Y70</f>
        <v/>
      </c>
      <c r="Z76" s="16">
        <f>'Unit Economics'!$E$54*'Assumptions'!$C$161*Z70</f>
        <v/>
      </c>
      <c r="AA76" s="16">
        <f>'Unit Economics'!$E$54*'Assumptions'!$C$161*AA70</f>
        <v/>
      </c>
      <c r="AB76" s="16">
        <f>'Unit Economics'!$E$54*'Assumptions'!$C$161*AB70</f>
        <v/>
      </c>
      <c r="AC76" s="16">
        <f>'Unit Economics'!$E$54*'Assumptions'!$C$161*AC70</f>
        <v/>
      </c>
      <c r="AD76" s="16">
        <f>'Unit Economics'!$E$54*'Assumptions'!$C$161*AD70</f>
        <v/>
      </c>
      <c r="AE76" s="16">
        <f>'Unit Economics'!$E$54*'Assumptions'!$C$161*AE70</f>
        <v/>
      </c>
      <c r="AF76" s="16">
        <f>'Unit Economics'!$E$54*'Assumptions'!$C$161*AF70</f>
        <v/>
      </c>
      <c r="AG76" s="16">
        <f>'Unit Economics'!$E$54*'Assumptions'!$C$161*AG70</f>
        <v/>
      </c>
      <c r="AH76" s="16">
        <f>'Unit Economics'!$E$54*'Assumptions'!$C$161*AH70</f>
        <v/>
      </c>
      <c r="AI76" s="16">
        <f>'Unit Economics'!$E$54*'Assumptions'!$C$161*AI70</f>
        <v/>
      </c>
      <c r="AJ76" s="16">
        <f>'Unit Economics'!$E$54*'Assumptions'!$C$161*AJ70</f>
        <v/>
      </c>
      <c r="AK76" s="16">
        <f>'Unit Economics'!$E$54*'Assumptions'!$C$161*AK70</f>
        <v/>
      </c>
      <c r="AL76" s="16">
        <f>'Unit Economics'!$E$54*'Assumptions'!$C$161*AL70</f>
        <v/>
      </c>
    </row>
    <row r="77">
      <c r="A77" s="7" t="inlineStr">
        <is>
          <t xml:space="preserve">   Gross sales (price paid by customers)</t>
        </is>
      </c>
      <c r="B77" s="9" t="inlineStr">
        <is>
          <t>$</t>
        </is>
      </c>
      <c r="C77" s="8">
        <f>C75*'Unit Economics'!$E$54</f>
        <v/>
      </c>
      <c r="D77" s="8">
        <f>D75*'Unit Economics'!$E$54</f>
        <v/>
      </c>
      <c r="E77" s="8">
        <f>E75*'Unit Economics'!$E$54</f>
        <v/>
      </c>
      <c r="F77" s="8">
        <f>F75*'Unit Economics'!$E$54</f>
        <v/>
      </c>
      <c r="G77" s="8">
        <f>G75*'Unit Economics'!$E$54</f>
        <v/>
      </c>
      <c r="H77" s="8">
        <f>H75*'Unit Economics'!$E$54</f>
        <v/>
      </c>
      <c r="I77" s="8">
        <f>I75*'Unit Economics'!$E$54</f>
        <v/>
      </c>
      <c r="J77" s="8">
        <f>J75*'Unit Economics'!$E$54</f>
        <v/>
      </c>
      <c r="K77" s="8">
        <f>K75*'Unit Economics'!$E$54</f>
        <v/>
      </c>
      <c r="L77" s="8">
        <f>L75*'Unit Economics'!$E$54</f>
        <v/>
      </c>
      <c r="M77" s="8">
        <f>M75*'Unit Economics'!$E$54</f>
        <v/>
      </c>
      <c r="N77" s="8">
        <f>N75*'Unit Economics'!$E$54</f>
        <v/>
      </c>
      <c r="O77" s="8">
        <f>O75*'Unit Economics'!$E$54</f>
        <v/>
      </c>
      <c r="P77" s="8">
        <f>P75*'Unit Economics'!$E$54</f>
        <v/>
      </c>
      <c r="Q77" s="8">
        <f>Q75*'Unit Economics'!$E$54</f>
        <v/>
      </c>
      <c r="R77" s="8">
        <f>R75*'Unit Economics'!$E$54</f>
        <v/>
      </c>
      <c r="S77" s="8">
        <f>S75*'Unit Economics'!$E$54</f>
        <v/>
      </c>
      <c r="T77" s="8">
        <f>T75*'Unit Economics'!$E$54</f>
        <v/>
      </c>
      <c r="U77" s="8">
        <f>U75*'Unit Economics'!$E$54</f>
        <v/>
      </c>
      <c r="V77" s="8">
        <f>V75*'Unit Economics'!$E$54</f>
        <v/>
      </c>
      <c r="W77" s="8">
        <f>W75*'Unit Economics'!$E$54</f>
        <v/>
      </c>
      <c r="X77" s="8">
        <f>X75*'Unit Economics'!$E$54</f>
        <v/>
      </c>
      <c r="Y77" s="8">
        <f>Y75*'Unit Economics'!$E$54</f>
        <v/>
      </c>
      <c r="Z77" s="8">
        <f>Z75*'Unit Economics'!$E$54</f>
        <v/>
      </c>
      <c r="AA77" s="8">
        <f>AA75*'Unit Economics'!$E$54</f>
        <v/>
      </c>
      <c r="AB77" s="8">
        <f>AB75*'Unit Economics'!$E$54</f>
        <v/>
      </c>
      <c r="AC77" s="8">
        <f>AC75*'Unit Economics'!$E$54</f>
        <v/>
      </c>
      <c r="AD77" s="8">
        <f>AD75*'Unit Economics'!$E$54</f>
        <v/>
      </c>
      <c r="AE77" s="8">
        <f>AE75*'Unit Economics'!$E$54</f>
        <v/>
      </c>
      <c r="AF77" s="8">
        <f>AF75*'Unit Economics'!$E$54</f>
        <v/>
      </c>
      <c r="AG77" s="8">
        <f>AG75*'Unit Economics'!$E$54</f>
        <v/>
      </c>
      <c r="AH77" s="8">
        <f>AH75*'Unit Economics'!$E$54</f>
        <v/>
      </c>
      <c r="AI77" s="8">
        <f>AI75*'Unit Economics'!$E$54</f>
        <v/>
      </c>
      <c r="AJ77" s="8">
        <f>AJ75*'Unit Economics'!$E$54</f>
        <v/>
      </c>
      <c r="AK77" s="8">
        <f>AK75*'Unit Economics'!$E$54</f>
        <v/>
      </c>
      <c r="AL77" s="8">
        <f>AL75*'Unit Economics'!$E$54</f>
        <v/>
      </c>
      <c r="AM77" s="47">
        <f>SUMIF($C$6:$AL$6,1,C77:AL77)</f>
        <v/>
      </c>
      <c r="AN77" s="47">
        <f>SUMIF($C$6:$AL$6,2,C77:AL77)</f>
        <v/>
      </c>
      <c r="AO77" s="47">
        <f>SUMIF($C$6:$AL$6,3,C77:AL77)</f>
        <v/>
      </c>
      <c r="AP77" s="47">
        <f>SUM(C77:AL77)</f>
        <v/>
      </c>
    </row>
    <row r="78">
      <c r="A78" s="7" t="inlineStr">
        <is>
          <t xml:space="preserve">   Net contribution to AlphaPlay</t>
        </is>
      </c>
      <c r="B78" s="9" t="inlineStr">
        <is>
          <t>$</t>
        </is>
      </c>
      <c r="C78" s="8">
        <f>C75*'Unit Economics'!$F$54</f>
        <v/>
      </c>
      <c r="D78" s="8">
        <f>D75*'Unit Economics'!$F$54</f>
        <v/>
      </c>
      <c r="E78" s="8">
        <f>E75*'Unit Economics'!$F$54</f>
        <v/>
      </c>
      <c r="F78" s="8">
        <f>F75*'Unit Economics'!$F$54</f>
        <v/>
      </c>
      <c r="G78" s="8">
        <f>G75*'Unit Economics'!$F$54</f>
        <v/>
      </c>
      <c r="H78" s="8">
        <f>H75*'Unit Economics'!$F$54</f>
        <v/>
      </c>
      <c r="I78" s="8">
        <f>I75*'Unit Economics'!$F$54</f>
        <v/>
      </c>
      <c r="J78" s="8">
        <f>J75*'Unit Economics'!$F$54</f>
        <v/>
      </c>
      <c r="K78" s="8">
        <f>K75*'Unit Economics'!$F$54</f>
        <v/>
      </c>
      <c r="L78" s="8">
        <f>L75*'Unit Economics'!$F$54</f>
        <v/>
      </c>
      <c r="M78" s="8">
        <f>M75*'Unit Economics'!$F$54</f>
        <v/>
      </c>
      <c r="N78" s="8">
        <f>N75*'Unit Economics'!$F$54</f>
        <v/>
      </c>
      <c r="O78" s="8">
        <f>O75*'Unit Economics'!$F$54</f>
        <v/>
      </c>
      <c r="P78" s="8">
        <f>P75*'Unit Economics'!$F$54</f>
        <v/>
      </c>
      <c r="Q78" s="8">
        <f>Q75*'Unit Economics'!$F$54</f>
        <v/>
      </c>
      <c r="R78" s="8">
        <f>R75*'Unit Economics'!$F$54</f>
        <v/>
      </c>
      <c r="S78" s="8">
        <f>S75*'Unit Economics'!$F$54</f>
        <v/>
      </c>
      <c r="T78" s="8">
        <f>T75*'Unit Economics'!$F$54</f>
        <v/>
      </c>
      <c r="U78" s="8">
        <f>U75*'Unit Economics'!$F$54</f>
        <v/>
      </c>
      <c r="V78" s="8">
        <f>V75*'Unit Economics'!$F$54</f>
        <v/>
      </c>
      <c r="W78" s="8">
        <f>W75*'Unit Economics'!$F$54</f>
        <v/>
      </c>
      <c r="X78" s="8">
        <f>X75*'Unit Economics'!$F$54</f>
        <v/>
      </c>
      <c r="Y78" s="8">
        <f>Y75*'Unit Economics'!$F$54</f>
        <v/>
      </c>
      <c r="Z78" s="8">
        <f>Z75*'Unit Economics'!$F$54</f>
        <v/>
      </c>
      <c r="AA78" s="8">
        <f>AA75*'Unit Economics'!$F$54</f>
        <v/>
      </c>
      <c r="AB78" s="8">
        <f>AB75*'Unit Economics'!$F$54</f>
        <v/>
      </c>
      <c r="AC78" s="8">
        <f>AC75*'Unit Economics'!$F$54</f>
        <v/>
      </c>
      <c r="AD78" s="8">
        <f>AD75*'Unit Economics'!$F$54</f>
        <v/>
      </c>
      <c r="AE78" s="8">
        <f>AE75*'Unit Economics'!$F$54</f>
        <v/>
      </c>
      <c r="AF78" s="8">
        <f>AF75*'Unit Economics'!$F$54</f>
        <v/>
      </c>
      <c r="AG78" s="8">
        <f>AG75*'Unit Economics'!$F$54</f>
        <v/>
      </c>
      <c r="AH78" s="8">
        <f>AH75*'Unit Economics'!$F$54</f>
        <v/>
      </c>
      <c r="AI78" s="8">
        <f>AI75*'Unit Economics'!$F$54</f>
        <v/>
      </c>
      <c r="AJ78" s="8">
        <f>AJ75*'Unit Economics'!$F$54</f>
        <v/>
      </c>
      <c r="AK78" s="8">
        <f>AK75*'Unit Economics'!$F$54</f>
        <v/>
      </c>
      <c r="AL78" s="8">
        <f>AL75*'Unit Economics'!$F$54</f>
        <v/>
      </c>
      <c r="AM78" s="47">
        <f>SUMIF($C$6:$AL$6,1,C78:AL78)</f>
        <v/>
      </c>
      <c r="AN78" s="47">
        <f>SUMIF($C$6:$AL$6,2,C78:AL78)</f>
        <v/>
      </c>
      <c r="AO78" s="47">
        <f>SUMIF($C$6:$AL$6,3,C78:AL78)</f>
        <v/>
      </c>
      <c r="AP78" s="47">
        <f>SUM(C78:AL78)</f>
        <v/>
      </c>
    </row>
    <row r="79">
      <c r="A79" s="5" t="inlineStr">
        <is>
          <t>Board book: pre-sale, then 3PL and Amazon FBA (gated option; off in base)</t>
        </is>
      </c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  <c r="AC79" s="6" t="n"/>
      <c r="AD79" s="6" t="n"/>
      <c r="AE79" s="6" t="n"/>
      <c r="AF79" s="6" t="n"/>
      <c r="AG79" s="6" t="n"/>
      <c r="AH79" s="6" t="n"/>
      <c r="AI79" s="6" t="n"/>
      <c r="AJ79" s="6" t="n"/>
      <c r="AK79" s="6" t="n"/>
      <c r="AL79" s="6" t="n"/>
      <c r="AM79" s="6" t="n"/>
      <c r="AN79" s="6" t="n"/>
      <c r="AO79" s="6" t="n"/>
      <c r="AP79" s="6" t="n"/>
    </row>
    <row r="80">
      <c r="A80" s="7" t="inlineStr">
        <is>
          <t xml:space="preserve">   Active (1 = live)</t>
        </is>
      </c>
      <c r="B80" s="9" t="inlineStr">
        <is>
          <t>flag</t>
        </is>
      </c>
      <c r="C80" s="18">
        <f>IF(AND('Assumptions'!$C$164=1,C$4&gt;=MAX('Assumptions'!$C$165,'Assumptions'!$C$9)),1,0)</f>
        <v/>
      </c>
      <c r="D80" s="18">
        <f>IF(AND('Assumptions'!$C$164=1,D$4&gt;=MAX('Assumptions'!$C$165,'Assumptions'!$C$9)),1,0)</f>
        <v/>
      </c>
      <c r="E80" s="18">
        <f>IF(AND('Assumptions'!$C$164=1,E$4&gt;=MAX('Assumptions'!$C$165,'Assumptions'!$C$9)),1,0)</f>
        <v/>
      </c>
      <c r="F80" s="18">
        <f>IF(AND('Assumptions'!$C$164=1,F$4&gt;=MAX('Assumptions'!$C$165,'Assumptions'!$C$9)),1,0)</f>
        <v/>
      </c>
      <c r="G80" s="18">
        <f>IF(AND('Assumptions'!$C$164=1,G$4&gt;=MAX('Assumptions'!$C$165,'Assumptions'!$C$9)),1,0)</f>
        <v/>
      </c>
      <c r="H80" s="18">
        <f>IF(AND('Assumptions'!$C$164=1,H$4&gt;=MAX('Assumptions'!$C$165,'Assumptions'!$C$9)),1,0)</f>
        <v/>
      </c>
      <c r="I80" s="18">
        <f>IF(AND('Assumptions'!$C$164=1,I$4&gt;=MAX('Assumptions'!$C$165,'Assumptions'!$C$9)),1,0)</f>
        <v/>
      </c>
      <c r="J80" s="18">
        <f>IF(AND('Assumptions'!$C$164=1,J$4&gt;=MAX('Assumptions'!$C$165,'Assumptions'!$C$9)),1,0)</f>
        <v/>
      </c>
      <c r="K80" s="18">
        <f>IF(AND('Assumptions'!$C$164=1,K$4&gt;=MAX('Assumptions'!$C$165,'Assumptions'!$C$9)),1,0)</f>
        <v/>
      </c>
      <c r="L80" s="18">
        <f>IF(AND('Assumptions'!$C$164=1,L$4&gt;=MAX('Assumptions'!$C$165,'Assumptions'!$C$9)),1,0)</f>
        <v/>
      </c>
      <c r="M80" s="18">
        <f>IF(AND('Assumptions'!$C$164=1,M$4&gt;=MAX('Assumptions'!$C$165,'Assumptions'!$C$9)),1,0)</f>
        <v/>
      </c>
      <c r="N80" s="18">
        <f>IF(AND('Assumptions'!$C$164=1,N$4&gt;=MAX('Assumptions'!$C$165,'Assumptions'!$C$9)),1,0)</f>
        <v/>
      </c>
      <c r="O80" s="18">
        <f>IF(AND('Assumptions'!$C$164=1,O$4&gt;=MAX('Assumptions'!$C$165,'Assumptions'!$C$9)),1,0)</f>
        <v/>
      </c>
      <c r="P80" s="18">
        <f>IF(AND('Assumptions'!$C$164=1,P$4&gt;=MAX('Assumptions'!$C$165,'Assumptions'!$C$9)),1,0)</f>
        <v/>
      </c>
      <c r="Q80" s="18">
        <f>IF(AND('Assumptions'!$C$164=1,Q$4&gt;=MAX('Assumptions'!$C$165,'Assumptions'!$C$9)),1,0)</f>
        <v/>
      </c>
      <c r="R80" s="18">
        <f>IF(AND('Assumptions'!$C$164=1,R$4&gt;=MAX('Assumptions'!$C$165,'Assumptions'!$C$9)),1,0)</f>
        <v/>
      </c>
      <c r="S80" s="18">
        <f>IF(AND('Assumptions'!$C$164=1,S$4&gt;=MAX('Assumptions'!$C$165,'Assumptions'!$C$9)),1,0)</f>
        <v/>
      </c>
      <c r="T80" s="18">
        <f>IF(AND('Assumptions'!$C$164=1,T$4&gt;=MAX('Assumptions'!$C$165,'Assumptions'!$C$9)),1,0)</f>
        <v/>
      </c>
      <c r="U80" s="18">
        <f>IF(AND('Assumptions'!$C$164=1,U$4&gt;=MAX('Assumptions'!$C$165,'Assumptions'!$C$9)),1,0)</f>
        <v/>
      </c>
      <c r="V80" s="18">
        <f>IF(AND('Assumptions'!$C$164=1,V$4&gt;=MAX('Assumptions'!$C$165,'Assumptions'!$C$9)),1,0)</f>
        <v/>
      </c>
      <c r="W80" s="18">
        <f>IF(AND('Assumptions'!$C$164=1,W$4&gt;=MAX('Assumptions'!$C$165,'Assumptions'!$C$9)),1,0)</f>
        <v/>
      </c>
      <c r="X80" s="18">
        <f>IF(AND('Assumptions'!$C$164=1,X$4&gt;=MAX('Assumptions'!$C$165,'Assumptions'!$C$9)),1,0)</f>
        <v/>
      </c>
      <c r="Y80" s="18">
        <f>IF(AND('Assumptions'!$C$164=1,Y$4&gt;=MAX('Assumptions'!$C$165,'Assumptions'!$C$9)),1,0)</f>
        <v/>
      </c>
      <c r="Z80" s="18">
        <f>IF(AND('Assumptions'!$C$164=1,Z$4&gt;=MAX('Assumptions'!$C$165,'Assumptions'!$C$9)),1,0)</f>
        <v/>
      </c>
      <c r="AA80" s="18">
        <f>IF(AND('Assumptions'!$C$164=1,AA$4&gt;=MAX('Assumptions'!$C$165,'Assumptions'!$C$9)),1,0)</f>
        <v/>
      </c>
      <c r="AB80" s="18">
        <f>IF(AND('Assumptions'!$C$164=1,AB$4&gt;=MAX('Assumptions'!$C$165,'Assumptions'!$C$9)),1,0)</f>
        <v/>
      </c>
      <c r="AC80" s="18">
        <f>IF(AND('Assumptions'!$C$164=1,AC$4&gt;=MAX('Assumptions'!$C$165,'Assumptions'!$C$9)),1,0)</f>
        <v/>
      </c>
      <c r="AD80" s="18">
        <f>IF(AND('Assumptions'!$C$164=1,AD$4&gt;=MAX('Assumptions'!$C$165,'Assumptions'!$C$9)),1,0)</f>
        <v/>
      </c>
      <c r="AE80" s="18">
        <f>IF(AND('Assumptions'!$C$164=1,AE$4&gt;=MAX('Assumptions'!$C$165,'Assumptions'!$C$9)),1,0)</f>
        <v/>
      </c>
      <c r="AF80" s="18">
        <f>IF(AND('Assumptions'!$C$164=1,AF$4&gt;=MAX('Assumptions'!$C$165,'Assumptions'!$C$9)),1,0)</f>
        <v/>
      </c>
      <c r="AG80" s="18">
        <f>IF(AND('Assumptions'!$C$164=1,AG$4&gt;=MAX('Assumptions'!$C$165,'Assumptions'!$C$9)),1,0)</f>
        <v/>
      </c>
      <c r="AH80" s="18">
        <f>IF(AND('Assumptions'!$C$164=1,AH$4&gt;=MAX('Assumptions'!$C$165,'Assumptions'!$C$9)),1,0)</f>
        <v/>
      </c>
      <c r="AI80" s="18">
        <f>IF(AND('Assumptions'!$C$164=1,AI$4&gt;=MAX('Assumptions'!$C$165,'Assumptions'!$C$9)),1,0)</f>
        <v/>
      </c>
      <c r="AJ80" s="18">
        <f>IF(AND('Assumptions'!$C$164=1,AJ$4&gt;=MAX('Assumptions'!$C$165,'Assumptions'!$C$9)),1,0)</f>
        <v/>
      </c>
      <c r="AK80" s="18">
        <f>IF(AND('Assumptions'!$C$164=1,AK$4&gt;=MAX('Assumptions'!$C$165,'Assumptions'!$C$9)),1,0)</f>
        <v/>
      </c>
      <c r="AL80" s="18">
        <f>IF(AND('Assumptions'!$C$164=1,AL$4&gt;=MAX('Assumptions'!$C$165,'Assumptions'!$C$9)),1,0)</f>
        <v/>
      </c>
    </row>
    <row r="81">
      <c r="A81" s="7" t="inlineStr">
        <is>
          <t xml:space="preserve">   Traffic trend (before seasonality)</t>
        </is>
      </c>
      <c r="B81" s="9" t="inlineStr">
        <is>
          <t>visits</t>
        </is>
      </c>
      <c r="C81" s="15">
        <f>IF(C80=0,0,'Assumptions'!$C$166)</f>
        <v/>
      </c>
      <c r="D81" s="15">
        <f>IF(D80=0,0,IF(D$4=MAX('Assumptions'!$C$165,'Assumptions'!$C$9),'Assumptions'!$C$166,C81*(1+CHOOSE(D$6,'Assumptions'!$C$167,'Assumptions'!$C$168,'Assumptions'!$C$169))))</f>
        <v/>
      </c>
      <c r="E81" s="15">
        <f>IF(E80=0,0,IF(E$4=MAX('Assumptions'!$C$165,'Assumptions'!$C$9),'Assumptions'!$C$166,D81*(1+CHOOSE(E$6,'Assumptions'!$C$167,'Assumptions'!$C$168,'Assumptions'!$C$169))))</f>
        <v/>
      </c>
      <c r="F81" s="15">
        <f>IF(F80=0,0,IF(F$4=MAX('Assumptions'!$C$165,'Assumptions'!$C$9),'Assumptions'!$C$166,E81*(1+CHOOSE(F$6,'Assumptions'!$C$167,'Assumptions'!$C$168,'Assumptions'!$C$169))))</f>
        <v/>
      </c>
      <c r="G81" s="15">
        <f>IF(G80=0,0,IF(G$4=MAX('Assumptions'!$C$165,'Assumptions'!$C$9),'Assumptions'!$C$166,F81*(1+CHOOSE(G$6,'Assumptions'!$C$167,'Assumptions'!$C$168,'Assumptions'!$C$169))))</f>
        <v/>
      </c>
      <c r="H81" s="15">
        <f>IF(H80=0,0,IF(H$4=MAX('Assumptions'!$C$165,'Assumptions'!$C$9),'Assumptions'!$C$166,G81*(1+CHOOSE(H$6,'Assumptions'!$C$167,'Assumptions'!$C$168,'Assumptions'!$C$169))))</f>
        <v/>
      </c>
      <c r="I81" s="15">
        <f>IF(I80=0,0,IF(I$4=MAX('Assumptions'!$C$165,'Assumptions'!$C$9),'Assumptions'!$C$166,H81*(1+CHOOSE(I$6,'Assumptions'!$C$167,'Assumptions'!$C$168,'Assumptions'!$C$169))))</f>
        <v/>
      </c>
      <c r="J81" s="15">
        <f>IF(J80=0,0,IF(J$4=MAX('Assumptions'!$C$165,'Assumptions'!$C$9),'Assumptions'!$C$166,I81*(1+CHOOSE(J$6,'Assumptions'!$C$167,'Assumptions'!$C$168,'Assumptions'!$C$169))))</f>
        <v/>
      </c>
      <c r="K81" s="15">
        <f>IF(K80=0,0,IF(K$4=MAX('Assumptions'!$C$165,'Assumptions'!$C$9),'Assumptions'!$C$166,J81*(1+CHOOSE(K$6,'Assumptions'!$C$167,'Assumptions'!$C$168,'Assumptions'!$C$169))))</f>
        <v/>
      </c>
      <c r="L81" s="15">
        <f>IF(L80=0,0,IF(L$4=MAX('Assumptions'!$C$165,'Assumptions'!$C$9),'Assumptions'!$C$166,K81*(1+CHOOSE(L$6,'Assumptions'!$C$167,'Assumptions'!$C$168,'Assumptions'!$C$169))))</f>
        <v/>
      </c>
      <c r="M81" s="15">
        <f>IF(M80=0,0,IF(M$4=MAX('Assumptions'!$C$165,'Assumptions'!$C$9),'Assumptions'!$C$166,L81*(1+CHOOSE(M$6,'Assumptions'!$C$167,'Assumptions'!$C$168,'Assumptions'!$C$169))))</f>
        <v/>
      </c>
      <c r="N81" s="15">
        <f>IF(N80=0,0,IF(N$4=MAX('Assumptions'!$C$165,'Assumptions'!$C$9),'Assumptions'!$C$166,M81*(1+CHOOSE(N$6,'Assumptions'!$C$167,'Assumptions'!$C$168,'Assumptions'!$C$169))))</f>
        <v/>
      </c>
      <c r="O81" s="15">
        <f>IF(O80=0,0,IF(O$4=MAX('Assumptions'!$C$165,'Assumptions'!$C$9),'Assumptions'!$C$166,N81*(1+CHOOSE(O$6,'Assumptions'!$C$167,'Assumptions'!$C$168,'Assumptions'!$C$169))))</f>
        <v/>
      </c>
      <c r="P81" s="15">
        <f>IF(P80=0,0,IF(P$4=MAX('Assumptions'!$C$165,'Assumptions'!$C$9),'Assumptions'!$C$166,O81*(1+CHOOSE(P$6,'Assumptions'!$C$167,'Assumptions'!$C$168,'Assumptions'!$C$169))))</f>
        <v/>
      </c>
      <c r="Q81" s="15">
        <f>IF(Q80=0,0,IF(Q$4=MAX('Assumptions'!$C$165,'Assumptions'!$C$9),'Assumptions'!$C$166,P81*(1+CHOOSE(Q$6,'Assumptions'!$C$167,'Assumptions'!$C$168,'Assumptions'!$C$169))))</f>
        <v/>
      </c>
      <c r="R81" s="15">
        <f>IF(R80=0,0,IF(R$4=MAX('Assumptions'!$C$165,'Assumptions'!$C$9),'Assumptions'!$C$166,Q81*(1+CHOOSE(R$6,'Assumptions'!$C$167,'Assumptions'!$C$168,'Assumptions'!$C$169))))</f>
        <v/>
      </c>
      <c r="S81" s="15">
        <f>IF(S80=0,0,IF(S$4=MAX('Assumptions'!$C$165,'Assumptions'!$C$9),'Assumptions'!$C$166,R81*(1+CHOOSE(S$6,'Assumptions'!$C$167,'Assumptions'!$C$168,'Assumptions'!$C$169))))</f>
        <v/>
      </c>
      <c r="T81" s="15">
        <f>IF(T80=0,0,IF(T$4=MAX('Assumptions'!$C$165,'Assumptions'!$C$9),'Assumptions'!$C$166,S81*(1+CHOOSE(T$6,'Assumptions'!$C$167,'Assumptions'!$C$168,'Assumptions'!$C$169))))</f>
        <v/>
      </c>
      <c r="U81" s="15">
        <f>IF(U80=0,0,IF(U$4=MAX('Assumptions'!$C$165,'Assumptions'!$C$9),'Assumptions'!$C$166,T81*(1+CHOOSE(U$6,'Assumptions'!$C$167,'Assumptions'!$C$168,'Assumptions'!$C$169))))</f>
        <v/>
      </c>
      <c r="V81" s="15">
        <f>IF(V80=0,0,IF(V$4=MAX('Assumptions'!$C$165,'Assumptions'!$C$9),'Assumptions'!$C$166,U81*(1+CHOOSE(V$6,'Assumptions'!$C$167,'Assumptions'!$C$168,'Assumptions'!$C$169))))</f>
        <v/>
      </c>
      <c r="W81" s="15">
        <f>IF(W80=0,0,IF(W$4=MAX('Assumptions'!$C$165,'Assumptions'!$C$9),'Assumptions'!$C$166,V81*(1+CHOOSE(W$6,'Assumptions'!$C$167,'Assumptions'!$C$168,'Assumptions'!$C$169))))</f>
        <v/>
      </c>
      <c r="X81" s="15">
        <f>IF(X80=0,0,IF(X$4=MAX('Assumptions'!$C$165,'Assumptions'!$C$9),'Assumptions'!$C$166,W81*(1+CHOOSE(X$6,'Assumptions'!$C$167,'Assumptions'!$C$168,'Assumptions'!$C$169))))</f>
        <v/>
      </c>
      <c r="Y81" s="15">
        <f>IF(Y80=0,0,IF(Y$4=MAX('Assumptions'!$C$165,'Assumptions'!$C$9),'Assumptions'!$C$166,X81*(1+CHOOSE(Y$6,'Assumptions'!$C$167,'Assumptions'!$C$168,'Assumptions'!$C$169))))</f>
        <v/>
      </c>
      <c r="Z81" s="15">
        <f>IF(Z80=0,0,IF(Z$4=MAX('Assumptions'!$C$165,'Assumptions'!$C$9),'Assumptions'!$C$166,Y81*(1+CHOOSE(Z$6,'Assumptions'!$C$167,'Assumptions'!$C$168,'Assumptions'!$C$169))))</f>
        <v/>
      </c>
      <c r="AA81" s="15">
        <f>IF(AA80=0,0,IF(AA$4=MAX('Assumptions'!$C$165,'Assumptions'!$C$9),'Assumptions'!$C$166,Z81*(1+CHOOSE(AA$6,'Assumptions'!$C$167,'Assumptions'!$C$168,'Assumptions'!$C$169))))</f>
        <v/>
      </c>
      <c r="AB81" s="15">
        <f>IF(AB80=0,0,IF(AB$4=MAX('Assumptions'!$C$165,'Assumptions'!$C$9),'Assumptions'!$C$166,AA81*(1+CHOOSE(AB$6,'Assumptions'!$C$167,'Assumptions'!$C$168,'Assumptions'!$C$169))))</f>
        <v/>
      </c>
      <c r="AC81" s="15">
        <f>IF(AC80=0,0,IF(AC$4=MAX('Assumptions'!$C$165,'Assumptions'!$C$9),'Assumptions'!$C$166,AB81*(1+CHOOSE(AC$6,'Assumptions'!$C$167,'Assumptions'!$C$168,'Assumptions'!$C$169))))</f>
        <v/>
      </c>
      <c r="AD81" s="15">
        <f>IF(AD80=0,0,IF(AD$4=MAX('Assumptions'!$C$165,'Assumptions'!$C$9),'Assumptions'!$C$166,AC81*(1+CHOOSE(AD$6,'Assumptions'!$C$167,'Assumptions'!$C$168,'Assumptions'!$C$169))))</f>
        <v/>
      </c>
      <c r="AE81" s="15">
        <f>IF(AE80=0,0,IF(AE$4=MAX('Assumptions'!$C$165,'Assumptions'!$C$9),'Assumptions'!$C$166,AD81*(1+CHOOSE(AE$6,'Assumptions'!$C$167,'Assumptions'!$C$168,'Assumptions'!$C$169))))</f>
        <v/>
      </c>
      <c r="AF81" s="15">
        <f>IF(AF80=0,0,IF(AF$4=MAX('Assumptions'!$C$165,'Assumptions'!$C$9),'Assumptions'!$C$166,AE81*(1+CHOOSE(AF$6,'Assumptions'!$C$167,'Assumptions'!$C$168,'Assumptions'!$C$169))))</f>
        <v/>
      </c>
      <c r="AG81" s="15">
        <f>IF(AG80=0,0,IF(AG$4=MAX('Assumptions'!$C$165,'Assumptions'!$C$9),'Assumptions'!$C$166,AF81*(1+CHOOSE(AG$6,'Assumptions'!$C$167,'Assumptions'!$C$168,'Assumptions'!$C$169))))</f>
        <v/>
      </c>
      <c r="AH81" s="15">
        <f>IF(AH80=0,0,IF(AH$4=MAX('Assumptions'!$C$165,'Assumptions'!$C$9),'Assumptions'!$C$166,AG81*(1+CHOOSE(AH$6,'Assumptions'!$C$167,'Assumptions'!$C$168,'Assumptions'!$C$169))))</f>
        <v/>
      </c>
      <c r="AI81" s="15">
        <f>IF(AI80=0,0,IF(AI$4=MAX('Assumptions'!$C$165,'Assumptions'!$C$9),'Assumptions'!$C$166,AH81*(1+CHOOSE(AI$6,'Assumptions'!$C$167,'Assumptions'!$C$168,'Assumptions'!$C$169))))</f>
        <v/>
      </c>
      <c r="AJ81" s="15">
        <f>IF(AJ80=0,0,IF(AJ$4=MAX('Assumptions'!$C$165,'Assumptions'!$C$9),'Assumptions'!$C$166,AI81*(1+CHOOSE(AJ$6,'Assumptions'!$C$167,'Assumptions'!$C$168,'Assumptions'!$C$169))))</f>
        <v/>
      </c>
      <c r="AK81" s="15">
        <f>IF(AK80=0,0,IF(AK$4=MAX('Assumptions'!$C$165,'Assumptions'!$C$9),'Assumptions'!$C$166,AJ81*(1+CHOOSE(AK$6,'Assumptions'!$C$167,'Assumptions'!$C$168,'Assumptions'!$C$169))))</f>
        <v/>
      </c>
      <c r="AL81" s="15">
        <f>IF(AL80=0,0,IF(AL$4=MAX('Assumptions'!$C$165,'Assumptions'!$C$9),'Assumptions'!$C$166,AK81*(1+CHOOSE(AL$6,'Assumptions'!$C$167,'Assumptions'!$C$168,'Assumptions'!$C$169))))</f>
        <v/>
      </c>
    </row>
    <row r="82">
      <c r="A82" s="7" t="inlineStr">
        <is>
          <t xml:space="preserve">   Product-page sessions (site + Amazon)</t>
        </is>
      </c>
      <c r="B82" s="9" t="inlineStr">
        <is>
          <t>visits</t>
        </is>
      </c>
      <c r="C82" s="58">
        <f>C81*C$7</f>
        <v/>
      </c>
      <c r="D82" s="58">
        <f>D81*D$7</f>
        <v/>
      </c>
      <c r="E82" s="58">
        <f>E81*E$7</f>
        <v/>
      </c>
      <c r="F82" s="58">
        <f>F81*F$7</f>
        <v/>
      </c>
      <c r="G82" s="58">
        <f>G81*G$7</f>
        <v/>
      </c>
      <c r="H82" s="58">
        <f>H81*H$7</f>
        <v/>
      </c>
      <c r="I82" s="58">
        <f>I81*I$7</f>
        <v/>
      </c>
      <c r="J82" s="58">
        <f>J81*J$7</f>
        <v/>
      </c>
      <c r="K82" s="58">
        <f>K81*K$7</f>
        <v/>
      </c>
      <c r="L82" s="58">
        <f>L81*L$7</f>
        <v/>
      </c>
      <c r="M82" s="58">
        <f>M81*M$7</f>
        <v/>
      </c>
      <c r="N82" s="58">
        <f>N81*N$7</f>
        <v/>
      </c>
      <c r="O82" s="58">
        <f>O81*O$7</f>
        <v/>
      </c>
      <c r="P82" s="58">
        <f>P81*P$7</f>
        <v/>
      </c>
      <c r="Q82" s="58">
        <f>Q81*Q$7</f>
        <v/>
      </c>
      <c r="R82" s="58">
        <f>R81*R$7</f>
        <v/>
      </c>
      <c r="S82" s="58">
        <f>S81*S$7</f>
        <v/>
      </c>
      <c r="T82" s="58">
        <f>T81*T$7</f>
        <v/>
      </c>
      <c r="U82" s="58">
        <f>U81*U$7</f>
        <v/>
      </c>
      <c r="V82" s="58">
        <f>V81*V$7</f>
        <v/>
      </c>
      <c r="W82" s="58">
        <f>W81*W$7</f>
        <v/>
      </c>
      <c r="X82" s="58">
        <f>X81*X$7</f>
        <v/>
      </c>
      <c r="Y82" s="58">
        <f>Y81*Y$7</f>
        <v/>
      </c>
      <c r="Z82" s="58">
        <f>Z81*Z$7</f>
        <v/>
      </c>
      <c r="AA82" s="58">
        <f>AA81*AA$7</f>
        <v/>
      </c>
      <c r="AB82" s="58">
        <f>AB81*AB$7</f>
        <v/>
      </c>
      <c r="AC82" s="58">
        <f>AC81*AC$7</f>
        <v/>
      </c>
      <c r="AD82" s="58">
        <f>AD81*AD$7</f>
        <v/>
      </c>
      <c r="AE82" s="58">
        <f>AE81*AE$7</f>
        <v/>
      </c>
      <c r="AF82" s="58">
        <f>AF81*AF$7</f>
        <v/>
      </c>
      <c r="AG82" s="58">
        <f>AG81*AG$7</f>
        <v/>
      </c>
      <c r="AH82" s="58">
        <f>AH81*AH$7</f>
        <v/>
      </c>
      <c r="AI82" s="58">
        <f>AI81*AI$7</f>
        <v/>
      </c>
      <c r="AJ82" s="58">
        <f>AJ81*AJ$7</f>
        <v/>
      </c>
      <c r="AK82" s="58">
        <f>AK81*AK$7</f>
        <v/>
      </c>
      <c r="AL82" s="58">
        <f>AL81*AL$7</f>
        <v/>
      </c>
      <c r="AM82" s="57">
        <f>SUMIF($C$6:$AL$6,1,C82:AL82)</f>
        <v/>
      </c>
      <c r="AN82" s="57">
        <f>SUMIF($C$6:$AL$6,2,C82:AL82)</f>
        <v/>
      </c>
      <c r="AO82" s="57">
        <f>SUMIF($C$6:$AL$6,3,C82:AL82)</f>
        <v/>
      </c>
      <c r="AP82" s="57">
        <f>SUM(C82:AL82)</f>
        <v/>
      </c>
    </row>
    <row r="83">
      <c r="A83" s="7" t="inlineStr">
        <is>
          <t xml:space="preserve">   Conversion rate (with review ramp)</t>
        </is>
      </c>
      <c r="B83" s="9" t="inlineStr">
        <is>
          <t>%</t>
        </is>
      </c>
      <c r="C83" s="59">
        <f>'Assumptions'!$C$170*MIN(1,(C$4-MAX('Assumptions'!$C$165,'Assumptions'!$C$9)+1)/'Assumptions'!$C$11)*C80</f>
        <v/>
      </c>
      <c r="D83" s="59">
        <f>'Assumptions'!$C$170*MIN(1,(D$4-MAX('Assumptions'!$C$165,'Assumptions'!$C$9)+1)/'Assumptions'!$C$11)*D80</f>
        <v/>
      </c>
      <c r="E83" s="59">
        <f>'Assumptions'!$C$170*MIN(1,(E$4-MAX('Assumptions'!$C$165,'Assumptions'!$C$9)+1)/'Assumptions'!$C$11)*E80</f>
        <v/>
      </c>
      <c r="F83" s="59">
        <f>'Assumptions'!$C$170*MIN(1,(F$4-MAX('Assumptions'!$C$165,'Assumptions'!$C$9)+1)/'Assumptions'!$C$11)*F80</f>
        <v/>
      </c>
      <c r="G83" s="59">
        <f>'Assumptions'!$C$170*MIN(1,(G$4-MAX('Assumptions'!$C$165,'Assumptions'!$C$9)+1)/'Assumptions'!$C$11)*G80</f>
        <v/>
      </c>
      <c r="H83" s="59">
        <f>'Assumptions'!$C$170*MIN(1,(H$4-MAX('Assumptions'!$C$165,'Assumptions'!$C$9)+1)/'Assumptions'!$C$11)*H80</f>
        <v/>
      </c>
      <c r="I83" s="59">
        <f>'Assumptions'!$C$170*MIN(1,(I$4-MAX('Assumptions'!$C$165,'Assumptions'!$C$9)+1)/'Assumptions'!$C$11)*I80</f>
        <v/>
      </c>
      <c r="J83" s="59">
        <f>'Assumptions'!$C$170*MIN(1,(J$4-MAX('Assumptions'!$C$165,'Assumptions'!$C$9)+1)/'Assumptions'!$C$11)*J80</f>
        <v/>
      </c>
      <c r="K83" s="59">
        <f>'Assumptions'!$C$170*MIN(1,(K$4-MAX('Assumptions'!$C$165,'Assumptions'!$C$9)+1)/'Assumptions'!$C$11)*K80</f>
        <v/>
      </c>
      <c r="L83" s="59">
        <f>'Assumptions'!$C$170*MIN(1,(L$4-MAX('Assumptions'!$C$165,'Assumptions'!$C$9)+1)/'Assumptions'!$C$11)*L80</f>
        <v/>
      </c>
      <c r="M83" s="59">
        <f>'Assumptions'!$C$170*MIN(1,(M$4-MAX('Assumptions'!$C$165,'Assumptions'!$C$9)+1)/'Assumptions'!$C$11)*M80</f>
        <v/>
      </c>
      <c r="N83" s="59">
        <f>'Assumptions'!$C$170*MIN(1,(N$4-MAX('Assumptions'!$C$165,'Assumptions'!$C$9)+1)/'Assumptions'!$C$11)*N80</f>
        <v/>
      </c>
      <c r="O83" s="59">
        <f>'Assumptions'!$C$170*MIN(1,(O$4-MAX('Assumptions'!$C$165,'Assumptions'!$C$9)+1)/'Assumptions'!$C$11)*O80</f>
        <v/>
      </c>
      <c r="P83" s="59">
        <f>'Assumptions'!$C$170*MIN(1,(P$4-MAX('Assumptions'!$C$165,'Assumptions'!$C$9)+1)/'Assumptions'!$C$11)*P80</f>
        <v/>
      </c>
      <c r="Q83" s="59">
        <f>'Assumptions'!$C$170*MIN(1,(Q$4-MAX('Assumptions'!$C$165,'Assumptions'!$C$9)+1)/'Assumptions'!$C$11)*Q80</f>
        <v/>
      </c>
      <c r="R83" s="59">
        <f>'Assumptions'!$C$170*MIN(1,(R$4-MAX('Assumptions'!$C$165,'Assumptions'!$C$9)+1)/'Assumptions'!$C$11)*R80</f>
        <v/>
      </c>
      <c r="S83" s="59">
        <f>'Assumptions'!$C$170*MIN(1,(S$4-MAX('Assumptions'!$C$165,'Assumptions'!$C$9)+1)/'Assumptions'!$C$11)*S80</f>
        <v/>
      </c>
      <c r="T83" s="59">
        <f>'Assumptions'!$C$170*MIN(1,(T$4-MAX('Assumptions'!$C$165,'Assumptions'!$C$9)+1)/'Assumptions'!$C$11)*T80</f>
        <v/>
      </c>
      <c r="U83" s="59">
        <f>'Assumptions'!$C$170*MIN(1,(U$4-MAX('Assumptions'!$C$165,'Assumptions'!$C$9)+1)/'Assumptions'!$C$11)*U80</f>
        <v/>
      </c>
      <c r="V83" s="59">
        <f>'Assumptions'!$C$170*MIN(1,(V$4-MAX('Assumptions'!$C$165,'Assumptions'!$C$9)+1)/'Assumptions'!$C$11)*V80</f>
        <v/>
      </c>
      <c r="W83" s="59">
        <f>'Assumptions'!$C$170*MIN(1,(W$4-MAX('Assumptions'!$C$165,'Assumptions'!$C$9)+1)/'Assumptions'!$C$11)*W80</f>
        <v/>
      </c>
      <c r="X83" s="59">
        <f>'Assumptions'!$C$170*MIN(1,(X$4-MAX('Assumptions'!$C$165,'Assumptions'!$C$9)+1)/'Assumptions'!$C$11)*X80</f>
        <v/>
      </c>
      <c r="Y83" s="59">
        <f>'Assumptions'!$C$170*MIN(1,(Y$4-MAX('Assumptions'!$C$165,'Assumptions'!$C$9)+1)/'Assumptions'!$C$11)*Y80</f>
        <v/>
      </c>
      <c r="Z83" s="59">
        <f>'Assumptions'!$C$170*MIN(1,(Z$4-MAX('Assumptions'!$C$165,'Assumptions'!$C$9)+1)/'Assumptions'!$C$11)*Z80</f>
        <v/>
      </c>
      <c r="AA83" s="59">
        <f>'Assumptions'!$C$170*MIN(1,(AA$4-MAX('Assumptions'!$C$165,'Assumptions'!$C$9)+1)/'Assumptions'!$C$11)*AA80</f>
        <v/>
      </c>
      <c r="AB83" s="59">
        <f>'Assumptions'!$C$170*MIN(1,(AB$4-MAX('Assumptions'!$C$165,'Assumptions'!$C$9)+1)/'Assumptions'!$C$11)*AB80</f>
        <v/>
      </c>
      <c r="AC83" s="59">
        <f>'Assumptions'!$C$170*MIN(1,(AC$4-MAX('Assumptions'!$C$165,'Assumptions'!$C$9)+1)/'Assumptions'!$C$11)*AC80</f>
        <v/>
      </c>
      <c r="AD83" s="59">
        <f>'Assumptions'!$C$170*MIN(1,(AD$4-MAX('Assumptions'!$C$165,'Assumptions'!$C$9)+1)/'Assumptions'!$C$11)*AD80</f>
        <v/>
      </c>
      <c r="AE83" s="59">
        <f>'Assumptions'!$C$170*MIN(1,(AE$4-MAX('Assumptions'!$C$165,'Assumptions'!$C$9)+1)/'Assumptions'!$C$11)*AE80</f>
        <v/>
      </c>
      <c r="AF83" s="59">
        <f>'Assumptions'!$C$170*MIN(1,(AF$4-MAX('Assumptions'!$C$165,'Assumptions'!$C$9)+1)/'Assumptions'!$C$11)*AF80</f>
        <v/>
      </c>
      <c r="AG83" s="59">
        <f>'Assumptions'!$C$170*MIN(1,(AG$4-MAX('Assumptions'!$C$165,'Assumptions'!$C$9)+1)/'Assumptions'!$C$11)*AG80</f>
        <v/>
      </c>
      <c r="AH83" s="59">
        <f>'Assumptions'!$C$170*MIN(1,(AH$4-MAX('Assumptions'!$C$165,'Assumptions'!$C$9)+1)/'Assumptions'!$C$11)*AH80</f>
        <v/>
      </c>
      <c r="AI83" s="59">
        <f>'Assumptions'!$C$170*MIN(1,(AI$4-MAX('Assumptions'!$C$165,'Assumptions'!$C$9)+1)/'Assumptions'!$C$11)*AI80</f>
        <v/>
      </c>
      <c r="AJ83" s="59">
        <f>'Assumptions'!$C$170*MIN(1,(AJ$4-MAX('Assumptions'!$C$165,'Assumptions'!$C$9)+1)/'Assumptions'!$C$11)*AJ80</f>
        <v/>
      </c>
      <c r="AK83" s="59">
        <f>'Assumptions'!$C$170*MIN(1,(AK$4-MAX('Assumptions'!$C$165,'Assumptions'!$C$9)+1)/'Assumptions'!$C$11)*AK80</f>
        <v/>
      </c>
      <c r="AL83" s="59">
        <f>'Assumptions'!$C$170*MIN(1,(AL$4-MAX('Assumptions'!$C$165,'Assumptions'!$C$9)+1)/'Assumptions'!$C$11)*AL80</f>
        <v/>
      </c>
    </row>
    <row r="84">
      <c r="A84" s="7" t="inlineStr">
        <is>
          <t xml:space="preserve">   Orders recognized (x go flag; a missed pre-sale is refunded)</t>
        </is>
      </c>
      <c r="B84" s="9" t="inlineStr">
        <is>
          <t>orders</t>
        </is>
      </c>
      <c r="C84" s="56">
        <f>C82*C83*$B$14</f>
        <v/>
      </c>
      <c r="D84" s="56">
        <f>D82*D83*$B$14</f>
        <v/>
      </c>
      <c r="E84" s="56">
        <f>E82*E83*$B$14</f>
        <v/>
      </c>
      <c r="F84" s="56">
        <f>F82*F83*$B$14</f>
        <v/>
      </c>
      <c r="G84" s="56">
        <f>G82*G83*$B$14</f>
        <v/>
      </c>
      <c r="H84" s="56">
        <f>H82*H83*$B$14</f>
        <v/>
      </c>
      <c r="I84" s="56">
        <f>I82*I83*$B$14</f>
        <v/>
      </c>
      <c r="J84" s="56">
        <f>J82*J83*$B$14</f>
        <v/>
      </c>
      <c r="K84" s="56">
        <f>K82*K83*$B$14</f>
        <v/>
      </c>
      <c r="L84" s="56">
        <f>L82*L83*$B$14</f>
        <v/>
      </c>
      <c r="M84" s="56">
        <f>M82*M83*$B$14</f>
        <v/>
      </c>
      <c r="N84" s="56">
        <f>N82*N83*$B$14</f>
        <v/>
      </c>
      <c r="O84" s="56">
        <f>O82*O83*$B$14</f>
        <v/>
      </c>
      <c r="P84" s="56">
        <f>P82*P83*$B$14</f>
        <v/>
      </c>
      <c r="Q84" s="56">
        <f>Q82*Q83*$B$14</f>
        <v/>
      </c>
      <c r="R84" s="56">
        <f>R82*R83*$B$14</f>
        <v/>
      </c>
      <c r="S84" s="56">
        <f>S82*S83*$B$14</f>
        <v/>
      </c>
      <c r="T84" s="56">
        <f>T82*T83*$B$14</f>
        <v/>
      </c>
      <c r="U84" s="56">
        <f>U82*U83*$B$14</f>
        <v/>
      </c>
      <c r="V84" s="56">
        <f>V82*V83*$B$14</f>
        <v/>
      </c>
      <c r="W84" s="56">
        <f>W82*W83*$B$14</f>
        <v/>
      </c>
      <c r="X84" s="56">
        <f>X82*X83*$B$14</f>
        <v/>
      </c>
      <c r="Y84" s="56">
        <f>Y82*Y83*$B$14</f>
        <v/>
      </c>
      <c r="Z84" s="56">
        <f>Z82*Z83*$B$14</f>
        <v/>
      </c>
      <c r="AA84" s="56">
        <f>AA82*AA83*$B$14</f>
        <v/>
      </c>
      <c r="AB84" s="56">
        <f>AB82*AB83*$B$14</f>
        <v/>
      </c>
      <c r="AC84" s="56">
        <f>AC82*AC83*$B$14</f>
        <v/>
      </c>
      <c r="AD84" s="56">
        <f>AD82*AD83*$B$14</f>
        <v/>
      </c>
      <c r="AE84" s="56">
        <f>AE82*AE83*$B$14</f>
        <v/>
      </c>
      <c r="AF84" s="56">
        <f>AF82*AF83*$B$14</f>
        <v/>
      </c>
      <c r="AG84" s="56">
        <f>AG82*AG83*$B$14</f>
        <v/>
      </c>
      <c r="AH84" s="56">
        <f>AH82*AH83*$B$14</f>
        <v/>
      </c>
      <c r="AI84" s="56">
        <f>AI82*AI83*$B$14</f>
        <v/>
      </c>
      <c r="AJ84" s="56">
        <f>AJ82*AJ83*$B$14</f>
        <v/>
      </c>
      <c r="AK84" s="56">
        <f>AK82*AK83*$B$14</f>
        <v/>
      </c>
      <c r="AL84" s="56">
        <f>AL82*AL83*$B$14</f>
        <v/>
      </c>
      <c r="AM84" s="57">
        <f>SUMIF($C$6:$AL$6,1,C84:AL84)</f>
        <v/>
      </c>
      <c r="AN84" s="57">
        <f>SUMIF($C$6:$AL$6,2,C84:AL84)</f>
        <v/>
      </c>
      <c r="AO84" s="57">
        <f>SUMIF($C$6:$AL$6,3,C84:AL84)</f>
        <v/>
      </c>
      <c r="AP84" s="57">
        <f>SUM(C84:AL84)</f>
        <v/>
      </c>
    </row>
    <row r="85">
      <c r="A85" s="7" t="inlineStr">
        <is>
          <t xml:space="preserve">   Items sold</t>
        </is>
      </c>
      <c r="B85" s="9" t="inlineStr">
        <is>
          <t>items</t>
        </is>
      </c>
      <c r="C85" s="14">
        <f>C84*'Assumptions'!$C$171</f>
        <v/>
      </c>
      <c r="D85" s="14">
        <f>D84*'Assumptions'!$C$171</f>
        <v/>
      </c>
      <c r="E85" s="14">
        <f>E84*'Assumptions'!$C$171</f>
        <v/>
      </c>
      <c r="F85" s="14">
        <f>F84*'Assumptions'!$C$171</f>
        <v/>
      </c>
      <c r="G85" s="14">
        <f>G84*'Assumptions'!$C$171</f>
        <v/>
      </c>
      <c r="H85" s="14">
        <f>H84*'Assumptions'!$C$171</f>
        <v/>
      </c>
      <c r="I85" s="14">
        <f>I84*'Assumptions'!$C$171</f>
        <v/>
      </c>
      <c r="J85" s="14">
        <f>J84*'Assumptions'!$C$171</f>
        <v/>
      </c>
      <c r="K85" s="14">
        <f>K84*'Assumptions'!$C$171</f>
        <v/>
      </c>
      <c r="L85" s="14">
        <f>L84*'Assumptions'!$C$171</f>
        <v/>
      </c>
      <c r="M85" s="14">
        <f>M84*'Assumptions'!$C$171</f>
        <v/>
      </c>
      <c r="N85" s="14">
        <f>N84*'Assumptions'!$C$171</f>
        <v/>
      </c>
      <c r="O85" s="14">
        <f>O84*'Assumptions'!$C$171</f>
        <v/>
      </c>
      <c r="P85" s="14">
        <f>P84*'Assumptions'!$C$171</f>
        <v/>
      </c>
      <c r="Q85" s="14">
        <f>Q84*'Assumptions'!$C$171</f>
        <v/>
      </c>
      <c r="R85" s="14">
        <f>R84*'Assumptions'!$C$171</f>
        <v/>
      </c>
      <c r="S85" s="14">
        <f>S84*'Assumptions'!$C$171</f>
        <v/>
      </c>
      <c r="T85" s="14">
        <f>T84*'Assumptions'!$C$171</f>
        <v/>
      </c>
      <c r="U85" s="14">
        <f>U84*'Assumptions'!$C$171</f>
        <v/>
      </c>
      <c r="V85" s="14">
        <f>V84*'Assumptions'!$C$171</f>
        <v/>
      </c>
      <c r="W85" s="14">
        <f>W84*'Assumptions'!$C$171</f>
        <v/>
      </c>
      <c r="X85" s="14">
        <f>X84*'Assumptions'!$C$171</f>
        <v/>
      </c>
      <c r="Y85" s="14">
        <f>Y84*'Assumptions'!$C$171</f>
        <v/>
      </c>
      <c r="Z85" s="14">
        <f>Z84*'Assumptions'!$C$171</f>
        <v/>
      </c>
      <c r="AA85" s="14">
        <f>AA84*'Assumptions'!$C$171</f>
        <v/>
      </c>
      <c r="AB85" s="14">
        <f>AB84*'Assumptions'!$C$171</f>
        <v/>
      </c>
      <c r="AC85" s="14">
        <f>AC84*'Assumptions'!$C$171</f>
        <v/>
      </c>
      <c r="AD85" s="14">
        <f>AD84*'Assumptions'!$C$171</f>
        <v/>
      </c>
      <c r="AE85" s="14">
        <f>AE84*'Assumptions'!$C$171</f>
        <v/>
      </c>
      <c r="AF85" s="14">
        <f>AF84*'Assumptions'!$C$171</f>
        <v/>
      </c>
      <c r="AG85" s="14">
        <f>AG84*'Assumptions'!$C$171</f>
        <v/>
      </c>
      <c r="AH85" s="14">
        <f>AH84*'Assumptions'!$C$171</f>
        <v/>
      </c>
      <c r="AI85" s="14">
        <f>AI84*'Assumptions'!$C$171</f>
        <v/>
      </c>
      <c r="AJ85" s="14">
        <f>AJ84*'Assumptions'!$C$171</f>
        <v/>
      </c>
      <c r="AK85" s="14">
        <f>AK84*'Assumptions'!$C$171</f>
        <v/>
      </c>
      <c r="AL85" s="14">
        <f>AL84*'Assumptions'!$C$171</f>
        <v/>
      </c>
      <c r="AM85" s="57">
        <f>SUMIF($C$6:$AL$6,1,C85:AL85)</f>
        <v/>
      </c>
      <c r="AN85" s="57">
        <f>SUMIF($C$6:$AL$6,2,C85:AL85)</f>
        <v/>
      </c>
      <c r="AO85" s="57">
        <f>SUMIF($C$6:$AL$6,3,C85:AL85)</f>
        <v/>
      </c>
      <c r="AP85" s="57">
        <f>SUM(C85:AL85)</f>
        <v/>
      </c>
    </row>
    <row r="86">
      <c r="A86" s="7" t="inlineStr">
        <is>
          <t xml:space="preserve">   Average order value</t>
        </is>
      </c>
      <c r="B86" s="9" t="inlineStr">
        <is>
          <t>$</t>
        </is>
      </c>
      <c r="C86" s="16">
        <f>'Unit Economics'!$E$55*'Assumptions'!$C$171*C80</f>
        <v/>
      </c>
      <c r="D86" s="16">
        <f>'Unit Economics'!$E$55*'Assumptions'!$C$171*D80</f>
        <v/>
      </c>
      <c r="E86" s="16">
        <f>'Unit Economics'!$E$55*'Assumptions'!$C$171*E80</f>
        <v/>
      </c>
      <c r="F86" s="16">
        <f>'Unit Economics'!$E$55*'Assumptions'!$C$171*F80</f>
        <v/>
      </c>
      <c r="G86" s="16">
        <f>'Unit Economics'!$E$55*'Assumptions'!$C$171*G80</f>
        <v/>
      </c>
      <c r="H86" s="16">
        <f>'Unit Economics'!$E$55*'Assumptions'!$C$171*H80</f>
        <v/>
      </c>
      <c r="I86" s="16">
        <f>'Unit Economics'!$E$55*'Assumptions'!$C$171*I80</f>
        <v/>
      </c>
      <c r="J86" s="16">
        <f>'Unit Economics'!$E$55*'Assumptions'!$C$171*J80</f>
        <v/>
      </c>
      <c r="K86" s="16">
        <f>'Unit Economics'!$E$55*'Assumptions'!$C$171*K80</f>
        <v/>
      </c>
      <c r="L86" s="16">
        <f>'Unit Economics'!$E$55*'Assumptions'!$C$171*L80</f>
        <v/>
      </c>
      <c r="M86" s="16">
        <f>'Unit Economics'!$E$55*'Assumptions'!$C$171*M80</f>
        <v/>
      </c>
      <c r="N86" s="16">
        <f>'Unit Economics'!$E$55*'Assumptions'!$C$171*N80</f>
        <v/>
      </c>
      <c r="O86" s="16">
        <f>'Unit Economics'!$E$55*'Assumptions'!$C$171*O80</f>
        <v/>
      </c>
      <c r="P86" s="16">
        <f>'Unit Economics'!$E$55*'Assumptions'!$C$171*P80</f>
        <v/>
      </c>
      <c r="Q86" s="16">
        <f>'Unit Economics'!$E$55*'Assumptions'!$C$171*Q80</f>
        <v/>
      </c>
      <c r="R86" s="16">
        <f>'Unit Economics'!$E$55*'Assumptions'!$C$171*R80</f>
        <v/>
      </c>
      <c r="S86" s="16">
        <f>'Unit Economics'!$E$55*'Assumptions'!$C$171*S80</f>
        <v/>
      </c>
      <c r="T86" s="16">
        <f>'Unit Economics'!$E$55*'Assumptions'!$C$171*T80</f>
        <v/>
      </c>
      <c r="U86" s="16">
        <f>'Unit Economics'!$E$55*'Assumptions'!$C$171*U80</f>
        <v/>
      </c>
      <c r="V86" s="16">
        <f>'Unit Economics'!$E$55*'Assumptions'!$C$171*V80</f>
        <v/>
      </c>
      <c r="W86" s="16">
        <f>'Unit Economics'!$E$55*'Assumptions'!$C$171*W80</f>
        <v/>
      </c>
      <c r="X86" s="16">
        <f>'Unit Economics'!$E$55*'Assumptions'!$C$171*X80</f>
        <v/>
      </c>
      <c r="Y86" s="16">
        <f>'Unit Economics'!$E$55*'Assumptions'!$C$171*Y80</f>
        <v/>
      </c>
      <c r="Z86" s="16">
        <f>'Unit Economics'!$E$55*'Assumptions'!$C$171*Z80</f>
        <v/>
      </c>
      <c r="AA86" s="16">
        <f>'Unit Economics'!$E$55*'Assumptions'!$C$171*AA80</f>
        <v/>
      </c>
      <c r="AB86" s="16">
        <f>'Unit Economics'!$E$55*'Assumptions'!$C$171*AB80</f>
        <v/>
      </c>
      <c r="AC86" s="16">
        <f>'Unit Economics'!$E$55*'Assumptions'!$C$171*AC80</f>
        <v/>
      </c>
      <c r="AD86" s="16">
        <f>'Unit Economics'!$E$55*'Assumptions'!$C$171*AD80</f>
        <v/>
      </c>
      <c r="AE86" s="16">
        <f>'Unit Economics'!$E$55*'Assumptions'!$C$171*AE80</f>
        <v/>
      </c>
      <c r="AF86" s="16">
        <f>'Unit Economics'!$E$55*'Assumptions'!$C$171*AF80</f>
        <v/>
      </c>
      <c r="AG86" s="16">
        <f>'Unit Economics'!$E$55*'Assumptions'!$C$171*AG80</f>
        <v/>
      </c>
      <c r="AH86" s="16">
        <f>'Unit Economics'!$E$55*'Assumptions'!$C$171*AH80</f>
        <v/>
      </c>
      <c r="AI86" s="16">
        <f>'Unit Economics'!$E$55*'Assumptions'!$C$171*AI80</f>
        <v/>
      </c>
      <c r="AJ86" s="16">
        <f>'Unit Economics'!$E$55*'Assumptions'!$C$171*AJ80</f>
        <v/>
      </c>
      <c r="AK86" s="16">
        <f>'Unit Economics'!$E$55*'Assumptions'!$C$171*AK80</f>
        <v/>
      </c>
      <c r="AL86" s="16">
        <f>'Unit Economics'!$E$55*'Assumptions'!$C$171*AL80</f>
        <v/>
      </c>
    </row>
    <row r="87">
      <c r="A87" s="7" t="inlineStr">
        <is>
          <t xml:space="preserve">   Gross sales (price paid by customers)</t>
        </is>
      </c>
      <c r="B87" s="9" t="inlineStr">
        <is>
          <t>$</t>
        </is>
      </c>
      <c r="C87" s="8">
        <f>C85*'Unit Economics'!$E$55</f>
        <v/>
      </c>
      <c r="D87" s="8">
        <f>D85*'Unit Economics'!$E$55</f>
        <v/>
      </c>
      <c r="E87" s="8">
        <f>E85*'Unit Economics'!$E$55</f>
        <v/>
      </c>
      <c r="F87" s="8">
        <f>F85*'Unit Economics'!$E$55</f>
        <v/>
      </c>
      <c r="G87" s="8">
        <f>G85*'Unit Economics'!$E$55</f>
        <v/>
      </c>
      <c r="H87" s="8">
        <f>H85*'Unit Economics'!$E$55</f>
        <v/>
      </c>
      <c r="I87" s="8">
        <f>I85*'Unit Economics'!$E$55</f>
        <v/>
      </c>
      <c r="J87" s="8">
        <f>J85*'Unit Economics'!$E$55</f>
        <v/>
      </c>
      <c r="K87" s="8">
        <f>K85*'Unit Economics'!$E$55</f>
        <v/>
      </c>
      <c r="L87" s="8">
        <f>L85*'Unit Economics'!$E$55</f>
        <v/>
      </c>
      <c r="M87" s="8">
        <f>M85*'Unit Economics'!$E$55</f>
        <v/>
      </c>
      <c r="N87" s="8">
        <f>N85*'Unit Economics'!$E$55</f>
        <v/>
      </c>
      <c r="O87" s="8">
        <f>O85*'Unit Economics'!$E$55</f>
        <v/>
      </c>
      <c r="P87" s="8">
        <f>P85*'Unit Economics'!$E$55</f>
        <v/>
      </c>
      <c r="Q87" s="8">
        <f>Q85*'Unit Economics'!$E$55</f>
        <v/>
      </c>
      <c r="R87" s="8">
        <f>R85*'Unit Economics'!$E$55</f>
        <v/>
      </c>
      <c r="S87" s="8">
        <f>S85*'Unit Economics'!$E$55</f>
        <v/>
      </c>
      <c r="T87" s="8">
        <f>T85*'Unit Economics'!$E$55</f>
        <v/>
      </c>
      <c r="U87" s="8">
        <f>U85*'Unit Economics'!$E$55</f>
        <v/>
      </c>
      <c r="V87" s="8">
        <f>V85*'Unit Economics'!$E$55</f>
        <v/>
      </c>
      <c r="W87" s="8">
        <f>W85*'Unit Economics'!$E$55</f>
        <v/>
      </c>
      <c r="X87" s="8">
        <f>X85*'Unit Economics'!$E$55</f>
        <v/>
      </c>
      <c r="Y87" s="8">
        <f>Y85*'Unit Economics'!$E$55</f>
        <v/>
      </c>
      <c r="Z87" s="8">
        <f>Z85*'Unit Economics'!$E$55</f>
        <v/>
      </c>
      <c r="AA87" s="8">
        <f>AA85*'Unit Economics'!$E$55</f>
        <v/>
      </c>
      <c r="AB87" s="8">
        <f>AB85*'Unit Economics'!$E$55</f>
        <v/>
      </c>
      <c r="AC87" s="8">
        <f>AC85*'Unit Economics'!$E$55</f>
        <v/>
      </c>
      <c r="AD87" s="8">
        <f>AD85*'Unit Economics'!$E$55</f>
        <v/>
      </c>
      <c r="AE87" s="8">
        <f>AE85*'Unit Economics'!$E$55</f>
        <v/>
      </c>
      <c r="AF87" s="8">
        <f>AF85*'Unit Economics'!$E$55</f>
        <v/>
      </c>
      <c r="AG87" s="8">
        <f>AG85*'Unit Economics'!$E$55</f>
        <v/>
      </c>
      <c r="AH87" s="8">
        <f>AH85*'Unit Economics'!$E$55</f>
        <v/>
      </c>
      <c r="AI87" s="8">
        <f>AI85*'Unit Economics'!$E$55</f>
        <v/>
      </c>
      <c r="AJ87" s="8">
        <f>AJ85*'Unit Economics'!$E$55</f>
        <v/>
      </c>
      <c r="AK87" s="8">
        <f>AK85*'Unit Economics'!$E$55</f>
        <v/>
      </c>
      <c r="AL87" s="8">
        <f>AL85*'Unit Economics'!$E$55</f>
        <v/>
      </c>
      <c r="AM87" s="47">
        <f>SUMIF($C$6:$AL$6,1,C87:AL87)</f>
        <v/>
      </c>
      <c r="AN87" s="47">
        <f>SUMIF($C$6:$AL$6,2,C87:AL87)</f>
        <v/>
      </c>
      <c r="AO87" s="47">
        <f>SUMIF($C$6:$AL$6,3,C87:AL87)</f>
        <v/>
      </c>
      <c r="AP87" s="47">
        <f>SUM(C87:AL87)</f>
        <v/>
      </c>
    </row>
    <row r="88">
      <c r="A88" s="7" t="inlineStr">
        <is>
          <t xml:space="preserve">   Net contribution to AlphaPlay</t>
        </is>
      </c>
      <c r="B88" s="9" t="inlineStr">
        <is>
          <t>$</t>
        </is>
      </c>
      <c r="C88" s="8">
        <f>C85*IF(C$4&lt;$B$11,'Unit Economics'!$M$36,'Unit Economics'!$F$55)</f>
        <v/>
      </c>
      <c r="D88" s="8">
        <f>D85*IF(D$4&lt;$B$11,'Unit Economics'!$M$36,'Unit Economics'!$F$55)</f>
        <v/>
      </c>
      <c r="E88" s="8">
        <f>E85*IF(E$4&lt;$B$11,'Unit Economics'!$M$36,'Unit Economics'!$F$55)</f>
        <v/>
      </c>
      <c r="F88" s="8">
        <f>F85*IF(F$4&lt;$B$11,'Unit Economics'!$M$36,'Unit Economics'!$F$55)</f>
        <v/>
      </c>
      <c r="G88" s="8">
        <f>G85*IF(G$4&lt;$B$11,'Unit Economics'!$M$36,'Unit Economics'!$F$55)</f>
        <v/>
      </c>
      <c r="H88" s="8">
        <f>H85*IF(H$4&lt;$B$11,'Unit Economics'!$M$36,'Unit Economics'!$F$55)</f>
        <v/>
      </c>
      <c r="I88" s="8">
        <f>I85*IF(I$4&lt;$B$11,'Unit Economics'!$M$36,'Unit Economics'!$F$55)</f>
        <v/>
      </c>
      <c r="J88" s="8">
        <f>J85*IF(J$4&lt;$B$11,'Unit Economics'!$M$36,'Unit Economics'!$F$55)</f>
        <v/>
      </c>
      <c r="K88" s="8">
        <f>K85*IF(K$4&lt;$B$11,'Unit Economics'!$M$36,'Unit Economics'!$F$55)</f>
        <v/>
      </c>
      <c r="L88" s="8">
        <f>L85*IF(L$4&lt;$B$11,'Unit Economics'!$M$36,'Unit Economics'!$F$55)</f>
        <v/>
      </c>
      <c r="M88" s="8">
        <f>M85*IF(M$4&lt;$B$11,'Unit Economics'!$M$36,'Unit Economics'!$F$55)</f>
        <v/>
      </c>
      <c r="N88" s="8">
        <f>N85*IF(N$4&lt;$B$11,'Unit Economics'!$M$36,'Unit Economics'!$F$55)</f>
        <v/>
      </c>
      <c r="O88" s="8">
        <f>O85*IF(O$4&lt;$B$11,'Unit Economics'!$M$36,'Unit Economics'!$F$55)</f>
        <v/>
      </c>
      <c r="P88" s="8">
        <f>P85*IF(P$4&lt;$B$11,'Unit Economics'!$M$36,'Unit Economics'!$F$55)</f>
        <v/>
      </c>
      <c r="Q88" s="8">
        <f>Q85*IF(Q$4&lt;$B$11,'Unit Economics'!$M$36,'Unit Economics'!$F$55)</f>
        <v/>
      </c>
      <c r="R88" s="8">
        <f>R85*IF(R$4&lt;$B$11,'Unit Economics'!$M$36,'Unit Economics'!$F$55)</f>
        <v/>
      </c>
      <c r="S88" s="8">
        <f>S85*IF(S$4&lt;$B$11,'Unit Economics'!$M$36,'Unit Economics'!$F$55)</f>
        <v/>
      </c>
      <c r="T88" s="8">
        <f>T85*IF(T$4&lt;$B$11,'Unit Economics'!$M$36,'Unit Economics'!$F$55)</f>
        <v/>
      </c>
      <c r="U88" s="8">
        <f>U85*IF(U$4&lt;$B$11,'Unit Economics'!$M$36,'Unit Economics'!$F$55)</f>
        <v/>
      </c>
      <c r="V88" s="8">
        <f>V85*IF(V$4&lt;$B$11,'Unit Economics'!$M$36,'Unit Economics'!$F$55)</f>
        <v/>
      </c>
      <c r="W88" s="8">
        <f>W85*IF(W$4&lt;$B$11,'Unit Economics'!$M$36,'Unit Economics'!$F$55)</f>
        <v/>
      </c>
      <c r="X88" s="8">
        <f>X85*IF(X$4&lt;$B$11,'Unit Economics'!$M$36,'Unit Economics'!$F$55)</f>
        <v/>
      </c>
      <c r="Y88" s="8">
        <f>Y85*IF(Y$4&lt;$B$11,'Unit Economics'!$M$36,'Unit Economics'!$F$55)</f>
        <v/>
      </c>
      <c r="Z88" s="8">
        <f>Z85*IF(Z$4&lt;$B$11,'Unit Economics'!$M$36,'Unit Economics'!$F$55)</f>
        <v/>
      </c>
      <c r="AA88" s="8">
        <f>AA85*IF(AA$4&lt;$B$11,'Unit Economics'!$M$36,'Unit Economics'!$F$55)</f>
        <v/>
      </c>
      <c r="AB88" s="8">
        <f>AB85*IF(AB$4&lt;$B$11,'Unit Economics'!$M$36,'Unit Economics'!$F$55)</f>
        <v/>
      </c>
      <c r="AC88" s="8">
        <f>AC85*IF(AC$4&lt;$B$11,'Unit Economics'!$M$36,'Unit Economics'!$F$55)</f>
        <v/>
      </c>
      <c r="AD88" s="8">
        <f>AD85*IF(AD$4&lt;$B$11,'Unit Economics'!$M$36,'Unit Economics'!$F$55)</f>
        <v/>
      </c>
      <c r="AE88" s="8">
        <f>AE85*IF(AE$4&lt;$B$11,'Unit Economics'!$M$36,'Unit Economics'!$F$55)</f>
        <v/>
      </c>
      <c r="AF88" s="8">
        <f>AF85*IF(AF$4&lt;$B$11,'Unit Economics'!$M$36,'Unit Economics'!$F$55)</f>
        <v/>
      </c>
      <c r="AG88" s="8">
        <f>AG85*IF(AG$4&lt;$B$11,'Unit Economics'!$M$36,'Unit Economics'!$F$55)</f>
        <v/>
      </c>
      <c r="AH88" s="8">
        <f>AH85*IF(AH$4&lt;$B$11,'Unit Economics'!$M$36,'Unit Economics'!$F$55)</f>
        <v/>
      </c>
      <c r="AI88" s="8">
        <f>AI85*IF(AI$4&lt;$B$11,'Unit Economics'!$M$36,'Unit Economics'!$F$55)</f>
        <v/>
      </c>
      <c r="AJ88" s="8">
        <f>AJ85*IF(AJ$4&lt;$B$11,'Unit Economics'!$M$36,'Unit Economics'!$F$55)</f>
        <v/>
      </c>
      <c r="AK88" s="8">
        <f>AK85*IF(AK$4&lt;$B$11,'Unit Economics'!$M$36,'Unit Economics'!$F$55)</f>
        <v/>
      </c>
      <c r="AL88" s="8">
        <f>AL85*IF(AL$4&lt;$B$11,'Unit Economics'!$M$36,'Unit Economics'!$F$55)</f>
        <v/>
      </c>
      <c r="AM88" s="47">
        <f>SUMIF($C$6:$AL$6,1,C88:AL88)</f>
        <v/>
      </c>
      <c r="AN88" s="47">
        <f>SUMIF($C$6:$AL$6,2,C88:AL88)</f>
        <v/>
      </c>
      <c r="AO88" s="47">
        <f>SUMIF($C$6:$AL$6,3,C88:AL88)</f>
        <v/>
      </c>
      <c r="AP88" s="47">
        <f>SUM(C88:AL88)</f>
        <v/>
      </c>
    </row>
    <row r="89">
      <c r="A89" s="7" t="inlineStr">
        <is>
          <t xml:space="preserve">   Items ordered (demand before the go / no-go test)</t>
        </is>
      </c>
      <c r="B89" s="9" t="inlineStr">
        <is>
          <t>items</t>
        </is>
      </c>
      <c r="C89" s="14">
        <f>C82*C83*'Assumptions'!$C$171</f>
        <v/>
      </c>
      <c r="D89" s="14">
        <f>D82*D83*'Assumptions'!$C$171</f>
        <v/>
      </c>
      <c r="E89" s="14">
        <f>E82*E83*'Assumptions'!$C$171</f>
        <v/>
      </c>
      <c r="F89" s="14">
        <f>F82*F83*'Assumptions'!$C$171</f>
        <v/>
      </c>
      <c r="G89" s="14">
        <f>G82*G83*'Assumptions'!$C$171</f>
        <v/>
      </c>
      <c r="H89" s="14">
        <f>H82*H83*'Assumptions'!$C$171</f>
        <v/>
      </c>
      <c r="I89" s="14">
        <f>I82*I83*'Assumptions'!$C$171</f>
        <v/>
      </c>
      <c r="J89" s="14">
        <f>J82*J83*'Assumptions'!$C$171</f>
        <v/>
      </c>
      <c r="K89" s="14">
        <f>K82*K83*'Assumptions'!$C$171</f>
        <v/>
      </c>
      <c r="L89" s="14">
        <f>L82*L83*'Assumptions'!$C$171</f>
        <v/>
      </c>
      <c r="M89" s="14">
        <f>M82*M83*'Assumptions'!$C$171</f>
        <v/>
      </c>
      <c r="N89" s="14">
        <f>N82*N83*'Assumptions'!$C$171</f>
        <v/>
      </c>
      <c r="O89" s="14">
        <f>O82*O83*'Assumptions'!$C$171</f>
        <v/>
      </c>
      <c r="P89" s="14">
        <f>P82*P83*'Assumptions'!$C$171</f>
        <v/>
      </c>
      <c r="Q89" s="14">
        <f>Q82*Q83*'Assumptions'!$C$171</f>
        <v/>
      </c>
      <c r="R89" s="14">
        <f>R82*R83*'Assumptions'!$C$171</f>
        <v/>
      </c>
      <c r="S89" s="14">
        <f>S82*S83*'Assumptions'!$C$171</f>
        <v/>
      </c>
      <c r="T89" s="14">
        <f>T82*T83*'Assumptions'!$C$171</f>
        <v/>
      </c>
      <c r="U89" s="14">
        <f>U82*U83*'Assumptions'!$C$171</f>
        <v/>
      </c>
      <c r="V89" s="14">
        <f>V82*V83*'Assumptions'!$C$171</f>
        <v/>
      </c>
      <c r="W89" s="14">
        <f>W82*W83*'Assumptions'!$C$171</f>
        <v/>
      </c>
      <c r="X89" s="14">
        <f>X82*X83*'Assumptions'!$C$171</f>
        <v/>
      </c>
      <c r="Y89" s="14">
        <f>Y82*Y83*'Assumptions'!$C$171</f>
        <v/>
      </c>
      <c r="Z89" s="14">
        <f>Z82*Z83*'Assumptions'!$C$171</f>
        <v/>
      </c>
      <c r="AA89" s="14">
        <f>AA82*AA83*'Assumptions'!$C$171</f>
        <v/>
      </c>
      <c r="AB89" s="14">
        <f>AB82*AB83*'Assumptions'!$C$171</f>
        <v/>
      </c>
      <c r="AC89" s="14">
        <f>AC82*AC83*'Assumptions'!$C$171</f>
        <v/>
      </c>
      <c r="AD89" s="14">
        <f>AD82*AD83*'Assumptions'!$C$171</f>
        <v/>
      </c>
      <c r="AE89" s="14">
        <f>AE82*AE83*'Assumptions'!$C$171</f>
        <v/>
      </c>
      <c r="AF89" s="14">
        <f>AF82*AF83*'Assumptions'!$C$171</f>
        <v/>
      </c>
      <c r="AG89" s="14">
        <f>AG82*AG83*'Assumptions'!$C$171</f>
        <v/>
      </c>
      <c r="AH89" s="14">
        <f>AH82*AH83*'Assumptions'!$C$171</f>
        <v/>
      </c>
      <c r="AI89" s="14">
        <f>AI82*AI83*'Assumptions'!$C$171</f>
        <v/>
      </c>
      <c r="AJ89" s="14">
        <f>AJ82*AJ83*'Assumptions'!$C$171</f>
        <v/>
      </c>
      <c r="AK89" s="14">
        <f>AK82*AK83*'Assumptions'!$C$171</f>
        <v/>
      </c>
      <c r="AL89" s="14">
        <f>AL82*AL83*'Assumptions'!$C$171</f>
        <v/>
      </c>
      <c r="AM89" s="57">
        <f>SUMIF($C$6:$AL$6,1,C89:AL89)</f>
        <v/>
      </c>
      <c r="AN89" s="57">
        <f>SUMIF($C$6:$AL$6,2,C89:AL89)</f>
        <v/>
      </c>
      <c r="AO89" s="57">
        <f>SUMIF($C$6:$AL$6,3,C89:AL89)</f>
        <v/>
      </c>
      <c r="AP89" s="57">
        <f>SUM(C89:AL89)</f>
        <v/>
      </c>
    </row>
    <row r="90">
      <c r="A90" s="5" t="inlineStr">
        <is>
          <t>School and group licenses + TPT (overlay only if counsel clears in writing; off in base)</t>
        </is>
      </c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  <c r="AC90" s="6" t="n"/>
      <c r="AD90" s="6" t="n"/>
      <c r="AE90" s="6" t="n"/>
      <c r="AF90" s="6" t="n"/>
      <c r="AG90" s="6" t="n"/>
      <c r="AH90" s="6" t="n"/>
      <c r="AI90" s="6" t="n"/>
      <c r="AJ90" s="6" t="n"/>
      <c r="AK90" s="6" t="n"/>
      <c r="AL90" s="6" t="n"/>
      <c r="AM90" s="6" t="n"/>
      <c r="AN90" s="6" t="n"/>
      <c r="AO90" s="6" t="n"/>
      <c r="AP90" s="6" t="n"/>
    </row>
    <row r="91">
      <c r="A91" s="7" t="inlineStr">
        <is>
          <t xml:space="preserve">   Active (1 = live)</t>
        </is>
      </c>
      <c r="B91" s="9" t="inlineStr">
        <is>
          <t>flag</t>
        </is>
      </c>
      <c r="C91" s="18">
        <f>IF(AND('Assumptions'!$C$173=1,C$4&gt;=MAX('Assumptions'!$C$174,'Assumptions'!$C$9)),1,0)</f>
        <v/>
      </c>
      <c r="D91" s="18">
        <f>IF(AND('Assumptions'!$C$173=1,D$4&gt;=MAX('Assumptions'!$C$174,'Assumptions'!$C$9)),1,0)</f>
        <v/>
      </c>
      <c r="E91" s="18">
        <f>IF(AND('Assumptions'!$C$173=1,E$4&gt;=MAX('Assumptions'!$C$174,'Assumptions'!$C$9)),1,0)</f>
        <v/>
      </c>
      <c r="F91" s="18">
        <f>IF(AND('Assumptions'!$C$173=1,F$4&gt;=MAX('Assumptions'!$C$174,'Assumptions'!$C$9)),1,0)</f>
        <v/>
      </c>
      <c r="G91" s="18">
        <f>IF(AND('Assumptions'!$C$173=1,G$4&gt;=MAX('Assumptions'!$C$174,'Assumptions'!$C$9)),1,0)</f>
        <v/>
      </c>
      <c r="H91" s="18">
        <f>IF(AND('Assumptions'!$C$173=1,H$4&gt;=MAX('Assumptions'!$C$174,'Assumptions'!$C$9)),1,0)</f>
        <v/>
      </c>
      <c r="I91" s="18">
        <f>IF(AND('Assumptions'!$C$173=1,I$4&gt;=MAX('Assumptions'!$C$174,'Assumptions'!$C$9)),1,0)</f>
        <v/>
      </c>
      <c r="J91" s="18">
        <f>IF(AND('Assumptions'!$C$173=1,J$4&gt;=MAX('Assumptions'!$C$174,'Assumptions'!$C$9)),1,0)</f>
        <v/>
      </c>
      <c r="K91" s="18">
        <f>IF(AND('Assumptions'!$C$173=1,K$4&gt;=MAX('Assumptions'!$C$174,'Assumptions'!$C$9)),1,0)</f>
        <v/>
      </c>
      <c r="L91" s="18">
        <f>IF(AND('Assumptions'!$C$173=1,L$4&gt;=MAX('Assumptions'!$C$174,'Assumptions'!$C$9)),1,0)</f>
        <v/>
      </c>
      <c r="M91" s="18">
        <f>IF(AND('Assumptions'!$C$173=1,M$4&gt;=MAX('Assumptions'!$C$174,'Assumptions'!$C$9)),1,0)</f>
        <v/>
      </c>
      <c r="N91" s="18">
        <f>IF(AND('Assumptions'!$C$173=1,N$4&gt;=MAX('Assumptions'!$C$174,'Assumptions'!$C$9)),1,0)</f>
        <v/>
      </c>
      <c r="O91" s="18">
        <f>IF(AND('Assumptions'!$C$173=1,O$4&gt;=MAX('Assumptions'!$C$174,'Assumptions'!$C$9)),1,0)</f>
        <v/>
      </c>
      <c r="P91" s="18">
        <f>IF(AND('Assumptions'!$C$173=1,P$4&gt;=MAX('Assumptions'!$C$174,'Assumptions'!$C$9)),1,0)</f>
        <v/>
      </c>
      <c r="Q91" s="18">
        <f>IF(AND('Assumptions'!$C$173=1,Q$4&gt;=MAX('Assumptions'!$C$174,'Assumptions'!$C$9)),1,0)</f>
        <v/>
      </c>
      <c r="R91" s="18">
        <f>IF(AND('Assumptions'!$C$173=1,R$4&gt;=MAX('Assumptions'!$C$174,'Assumptions'!$C$9)),1,0)</f>
        <v/>
      </c>
      <c r="S91" s="18">
        <f>IF(AND('Assumptions'!$C$173=1,S$4&gt;=MAX('Assumptions'!$C$174,'Assumptions'!$C$9)),1,0)</f>
        <v/>
      </c>
      <c r="T91" s="18">
        <f>IF(AND('Assumptions'!$C$173=1,T$4&gt;=MAX('Assumptions'!$C$174,'Assumptions'!$C$9)),1,0)</f>
        <v/>
      </c>
      <c r="U91" s="18">
        <f>IF(AND('Assumptions'!$C$173=1,U$4&gt;=MAX('Assumptions'!$C$174,'Assumptions'!$C$9)),1,0)</f>
        <v/>
      </c>
      <c r="V91" s="18">
        <f>IF(AND('Assumptions'!$C$173=1,V$4&gt;=MAX('Assumptions'!$C$174,'Assumptions'!$C$9)),1,0)</f>
        <v/>
      </c>
      <c r="W91" s="18">
        <f>IF(AND('Assumptions'!$C$173=1,W$4&gt;=MAX('Assumptions'!$C$174,'Assumptions'!$C$9)),1,0)</f>
        <v/>
      </c>
      <c r="X91" s="18">
        <f>IF(AND('Assumptions'!$C$173=1,X$4&gt;=MAX('Assumptions'!$C$174,'Assumptions'!$C$9)),1,0)</f>
        <v/>
      </c>
      <c r="Y91" s="18">
        <f>IF(AND('Assumptions'!$C$173=1,Y$4&gt;=MAX('Assumptions'!$C$174,'Assumptions'!$C$9)),1,0)</f>
        <v/>
      </c>
      <c r="Z91" s="18">
        <f>IF(AND('Assumptions'!$C$173=1,Z$4&gt;=MAX('Assumptions'!$C$174,'Assumptions'!$C$9)),1,0)</f>
        <v/>
      </c>
      <c r="AA91" s="18">
        <f>IF(AND('Assumptions'!$C$173=1,AA$4&gt;=MAX('Assumptions'!$C$174,'Assumptions'!$C$9)),1,0)</f>
        <v/>
      </c>
      <c r="AB91" s="18">
        <f>IF(AND('Assumptions'!$C$173=1,AB$4&gt;=MAX('Assumptions'!$C$174,'Assumptions'!$C$9)),1,0)</f>
        <v/>
      </c>
      <c r="AC91" s="18">
        <f>IF(AND('Assumptions'!$C$173=1,AC$4&gt;=MAX('Assumptions'!$C$174,'Assumptions'!$C$9)),1,0)</f>
        <v/>
      </c>
      <c r="AD91" s="18">
        <f>IF(AND('Assumptions'!$C$173=1,AD$4&gt;=MAX('Assumptions'!$C$174,'Assumptions'!$C$9)),1,0)</f>
        <v/>
      </c>
      <c r="AE91" s="18">
        <f>IF(AND('Assumptions'!$C$173=1,AE$4&gt;=MAX('Assumptions'!$C$174,'Assumptions'!$C$9)),1,0)</f>
        <v/>
      </c>
      <c r="AF91" s="18">
        <f>IF(AND('Assumptions'!$C$173=1,AF$4&gt;=MAX('Assumptions'!$C$174,'Assumptions'!$C$9)),1,0)</f>
        <v/>
      </c>
      <c r="AG91" s="18">
        <f>IF(AND('Assumptions'!$C$173=1,AG$4&gt;=MAX('Assumptions'!$C$174,'Assumptions'!$C$9)),1,0)</f>
        <v/>
      </c>
      <c r="AH91" s="18">
        <f>IF(AND('Assumptions'!$C$173=1,AH$4&gt;=MAX('Assumptions'!$C$174,'Assumptions'!$C$9)),1,0)</f>
        <v/>
      </c>
      <c r="AI91" s="18">
        <f>IF(AND('Assumptions'!$C$173=1,AI$4&gt;=MAX('Assumptions'!$C$174,'Assumptions'!$C$9)),1,0)</f>
        <v/>
      </c>
      <c r="AJ91" s="18">
        <f>IF(AND('Assumptions'!$C$173=1,AJ$4&gt;=MAX('Assumptions'!$C$174,'Assumptions'!$C$9)),1,0)</f>
        <v/>
      </c>
      <c r="AK91" s="18">
        <f>IF(AND('Assumptions'!$C$173=1,AK$4&gt;=MAX('Assumptions'!$C$174,'Assumptions'!$C$9)),1,0)</f>
        <v/>
      </c>
      <c r="AL91" s="18">
        <f>IF(AND('Assumptions'!$C$173=1,AL$4&gt;=MAX('Assumptions'!$C$174,'Assumptions'!$C$9)),1,0)</f>
        <v/>
      </c>
    </row>
    <row r="92">
      <c r="A92" s="7" t="inlineStr">
        <is>
          <t xml:space="preserve">   Traffic trend (before seasonality)</t>
        </is>
      </c>
      <c r="B92" s="9" t="inlineStr">
        <is>
          <t>visits</t>
        </is>
      </c>
      <c r="C92" s="15">
        <f>IF(C91=0,0,'Assumptions'!$C$175)</f>
        <v/>
      </c>
      <c r="D92" s="15">
        <f>IF(D91=0,0,IF(D$4=MAX('Assumptions'!$C$174,'Assumptions'!$C$9),'Assumptions'!$C$175,C92*(1+CHOOSE(D$6,'Assumptions'!$C$176,'Assumptions'!$C$177,'Assumptions'!$C$178))))</f>
        <v/>
      </c>
      <c r="E92" s="15">
        <f>IF(E91=0,0,IF(E$4=MAX('Assumptions'!$C$174,'Assumptions'!$C$9),'Assumptions'!$C$175,D92*(1+CHOOSE(E$6,'Assumptions'!$C$176,'Assumptions'!$C$177,'Assumptions'!$C$178))))</f>
        <v/>
      </c>
      <c r="F92" s="15">
        <f>IF(F91=0,0,IF(F$4=MAX('Assumptions'!$C$174,'Assumptions'!$C$9),'Assumptions'!$C$175,E92*(1+CHOOSE(F$6,'Assumptions'!$C$176,'Assumptions'!$C$177,'Assumptions'!$C$178))))</f>
        <v/>
      </c>
      <c r="G92" s="15">
        <f>IF(G91=0,0,IF(G$4=MAX('Assumptions'!$C$174,'Assumptions'!$C$9),'Assumptions'!$C$175,F92*(1+CHOOSE(G$6,'Assumptions'!$C$176,'Assumptions'!$C$177,'Assumptions'!$C$178))))</f>
        <v/>
      </c>
      <c r="H92" s="15">
        <f>IF(H91=0,0,IF(H$4=MAX('Assumptions'!$C$174,'Assumptions'!$C$9),'Assumptions'!$C$175,G92*(1+CHOOSE(H$6,'Assumptions'!$C$176,'Assumptions'!$C$177,'Assumptions'!$C$178))))</f>
        <v/>
      </c>
      <c r="I92" s="15">
        <f>IF(I91=0,0,IF(I$4=MAX('Assumptions'!$C$174,'Assumptions'!$C$9),'Assumptions'!$C$175,H92*(1+CHOOSE(I$6,'Assumptions'!$C$176,'Assumptions'!$C$177,'Assumptions'!$C$178))))</f>
        <v/>
      </c>
      <c r="J92" s="15">
        <f>IF(J91=0,0,IF(J$4=MAX('Assumptions'!$C$174,'Assumptions'!$C$9),'Assumptions'!$C$175,I92*(1+CHOOSE(J$6,'Assumptions'!$C$176,'Assumptions'!$C$177,'Assumptions'!$C$178))))</f>
        <v/>
      </c>
      <c r="K92" s="15">
        <f>IF(K91=0,0,IF(K$4=MAX('Assumptions'!$C$174,'Assumptions'!$C$9),'Assumptions'!$C$175,J92*(1+CHOOSE(K$6,'Assumptions'!$C$176,'Assumptions'!$C$177,'Assumptions'!$C$178))))</f>
        <v/>
      </c>
      <c r="L92" s="15">
        <f>IF(L91=0,0,IF(L$4=MAX('Assumptions'!$C$174,'Assumptions'!$C$9),'Assumptions'!$C$175,K92*(1+CHOOSE(L$6,'Assumptions'!$C$176,'Assumptions'!$C$177,'Assumptions'!$C$178))))</f>
        <v/>
      </c>
      <c r="M92" s="15">
        <f>IF(M91=0,0,IF(M$4=MAX('Assumptions'!$C$174,'Assumptions'!$C$9),'Assumptions'!$C$175,L92*(1+CHOOSE(M$6,'Assumptions'!$C$176,'Assumptions'!$C$177,'Assumptions'!$C$178))))</f>
        <v/>
      </c>
      <c r="N92" s="15">
        <f>IF(N91=0,0,IF(N$4=MAX('Assumptions'!$C$174,'Assumptions'!$C$9),'Assumptions'!$C$175,M92*(1+CHOOSE(N$6,'Assumptions'!$C$176,'Assumptions'!$C$177,'Assumptions'!$C$178))))</f>
        <v/>
      </c>
      <c r="O92" s="15">
        <f>IF(O91=0,0,IF(O$4=MAX('Assumptions'!$C$174,'Assumptions'!$C$9),'Assumptions'!$C$175,N92*(1+CHOOSE(O$6,'Assumptions'!$C$176,'Assumptions'!$C$177,'Assumptions'!$C$178))))</f>
        <v/>
      </c>
      <c r="P92" s="15">
        <f>IF(P91=0,0,IF(P$4=MAX('Assumptions'!$C$174,'Assumptions'!$C$9),'Assumptions'!$C$175,O92*(1+CHOOSE(P$6,'Assumptions'!$C$176,'Assumptions'!$C$177,'Assumptions'!$C$178))))</f>
        <v/>
      </c>
      <c r="Q92" s="15">
        <f>IF(Q91=0,0,IF(Q$4=MAX('Assumptions'!$C$174,'Assumptions'!$C$9),'Assumptions'!$C$175,P92*(1+CHOOSE(Q$6,'Assumptions'!$C$176,'Assumptions'!$C$177,'Assumptions'!$C$178))))</f>
        <v/>
      </c>
      <c r="R92" s="15">
        <f>IF(R91=0,0,IF(R$4=MAX('Assumptions'!$C$174,'Assumptions'!$C$9),'Assumptions'!$C$175,Q92*(1+CHOOSE(R$6,'Assumptions'!$C$176,'Assumptions'!$C$177,'Assumptions'!$C$178))))</f>
        <v/>
      </c>
      <c r="S92" s="15">
        <f>IF(S91=0,0,IF(S$4=MAX('Assumptions'!$C$174,'Assumptions'!$C$9),'Assumptions'!$C$175,R92*(1+CHOOSE(S$6,'Assumptions'!$C$176,'Assumptions'!$C$177,'Assumptions'!$C$178))))</f>
        <v/>
      </c>
      <c r="T92" s="15">
        <f>IF(T91=0,0,IF(T$4=MAX('Assumptions'!$C$174,'Assumptions'!$C$9),'Assumptions'!$C$175,S92*(1+CHOOSE(T$6,'Assumptions'!$C$176,'Assumptions'!$C$177,'Assumptions'!$C$178))))</f>
        <v/>
      </c>
      <c r="U92" s="15">
        <f>IF(U91=0,0,IF(U$4=MAX('Assumptions'!$C$174,'Assumptions'!$C$9),'Assumptions'!$C$175,T92*(1+CHOOSE(U$6,'Assumptions'!$C$176,'Assumptions'!$C$177,'Assumptions'!$C$178))))</f>
        <v/>
      </c>
      <c r="V92" s="15">
        <f>IF(V91=0,0,IF(V$4=MAX('Assumptions'!$C$174,'Assumptions'!$C$9),'Assumptions'!$C$175,U92*(1+CHOOSE(V$6,'Assumptions'!$C$176,'Assumptions'!$C$177,'Assumptions'!$C$178))))</f>
        <v/>
      </c>
      <c r="W92" s="15">
        <f>IF(W91=0,0,IF(W$4=MAX('Assumptions'!$C$174,'Assumptions'!$C$9),'Assumptions'!$C$175,V92*(1+CHOOSE(W$6,'Assumptions'!$C$176,'Assumptions'!$C$177,'Assumptions'!$C$178))))</f>
        <v/>
      </c>
      <c r="X92" s="15">
        <f>IF(X91=0,0,IF(X$4=MAX('Assumptions'!$C$174,'Assumptions'!$C$9),'Assumptions'!$C$175,W92*(1+CHOOSE(X$6,'Assumptions'!$C$176,'Assumptions'!$C$177,'Assumptions'!$C$178))))</f>
        <v/>
      </c>
      <c r="Y92" s="15">
        <f>IF(Y91=0,0,IF(Y$4=MAX('Assumptions'!$C$174,'Assumptions'!$C$9),'Assumptions'!$C$175,X92*(1+CHOOSE(Y$6,'Assumptions'!$C$176,'Assumptions'!$C$177,'Assumptions'!$C$178))))</f>
        <v/>
      </c>
      <c r="Z92" s="15">
        <f>IF(Z91=0,0,IF(Z$4=MAX('Assumptions'!$C$174,'Assumptions'!$C$9),'Assumptions'!$C$175,Y92*(1+CHOOSE(Z$6,'Assumptions'!$C$176,'Assumptions'!$C$177,'Assumptions'!$C$178))))</f>
        <v/>
      </c>
      <c r="AA92" s="15">
        <f>IF(AA91=0,0,IF(AA$4=MAX('Assumptions'!$C$174,'Assumptions'!$C$9),'Assumptions'!$C$175,Z92*(1+CHOOSE(AA$6,'Assumptions'!$C$176,'Assumptions'!$C$177,'Assumptions'!$C$178))))</f>
        <v/>
      </c>
      <c r="AB92" s="15">
        <f>IF(AB91=0,0,IF(AB$4=MAX('Assumptions'!$C$174,'Assumptions'!$C$9),'Assumptions'!$C$175,AA92*(1+CHOOSE(AB$6,'Assumptions'!$C$176,'Assumptions'!$C$177,'Assumptions'!$C$178))))</f>
        <v/>
      </c>
      <c r="AC92" s="15">
        <f>IF(AC91=0,0,IF(AC$4=MAX('Assumptions'!$C$174,'Assumptions'!$C$9),'Assumptions'!$C$175,AB92*(1+CHOOSE(AC$6,'Assumptions'!$C$176,'Assumptions'!$C$177,'Assumptions'!$C$178))))</f>
        <v/>
      </c>
      <c r="AD92" s="15">
        <f>IF(AD91=0,0,IF(AD$4=MAX('Assumptions'!$C$174,'Assumptions'!$C$9),'Assumptions'!$C$175,AC92*(1+CHOOSE(AD$6,'Assumptions'!$C$176,'Assumptions'!$C$177,'Assumptions'!$C$178))))</f>
        <v/>
      </c>
      <c r="AE92" s="15">
        <f>IF(AE91=0,0,IF(AE$4=MAX('Assumptions'!$C$174,'Assumptions'!$C$9),'Assumptions'!$C$175,AD92*(1+CHOOSE(AE$6,'Assumptions'!$C$176,'Assumptions'!$C$177,'Assumptions'!$C$178))))</f>
        <v/>
      </c>
      <c r="AF92" s="15">
        <f>IF(AF91=0,0,IF(AF$4=MAX('Assumptions'!$C$174,'Assumptions'!$C$9),'Assumptions'!$C$175,AE92*(1+CHOOSE(AF$6,'Assumptions'!$C$176,'Assumptions'!$C$177,'Assumptions'!$C$178))))</f>
        <v/>
      </c>
      <c r="AG92" s="15">
        <f>IF(AG91=0,0,IF(AG$4=MAX('Assumptions'!$C$174,'Assumptions'!$C$9),'Assumptions'!$C$175,AF92*(1+CHOOSE(AG$6,'Assumptions'!$C$176,'Assumptions'!$C$177,'Assumptions'!$C$178))))</f>
        <v/>
      </c>
      <c r="AH92" s="15">
        <f>IF(AH91=0,0,IF(AH$4=MAX('Assumptions'!$C$174,'Assumptions'!$C$9),'Assumptions'!$C$175,AG92*(1+CHOOSE(AH$6,'Assumptions'!$C$176,'Assumptions'!$C$177,'Assumptions'!$C$178))))</f>
        <v/>
      </c>
      <c r="AI92" s="15">
        <f>IF(AI91=0,0,IF(AI$4=MAX('Assumptions'!$C$174,'Assumptions'!$C$9),'Assumptions'!$C$175,AH92*(1+CHOOSE(AI$6,'Assumptions'!$C$176,'Assumptions'!$C$177,'Assumptions'!$C$178))))</f>
        <v/>
      </c>
      <c r="AJ92" s="15">
        <f>IF(AJ91=0,0,IF(AJ$4=MAX('Assumptions'!$C$174,'Assumptions'!$C$9),'Assumptions'!$C$175,AI92*(1+CHOOSE(AJ$6,'Assumptions'!$C$176,'Assumptions'!$C$177,'Assumptions'!$C$178))))</f>
        <v/>
      </c>
      <c r="AK92" s="15">
        <f>IF(AK91=0,0,IF(AK$4=MAX('Assumptions'!$C$174,'Assumptions'!$C$9),'Assumptions'!$C$175,AJ92*(1+CHOOSE(AK$6,'Assumptions'!$C$176,'Assumptions'!$C$177,'Assumptions'!$C$178))))</f>
        <v/>
      </c>
      <c r="AL92" s="15">
        <f>IF(AL91=0,0,IF(AL$4=MAX('Assumptions'!$C$174,'Assumptions'!$C$9),'Assumptions'!$C$175,AK92*(1+CHOOSE(AL$6,'Assumptions'!$C$176,'Assumptions'!$C$177,'Assumptions'!$C$178))))</f>
        <v/>
      </c>
    </row>
    <row r="93">
      <c r="A93" s="7" t="inlineStr">
        <is>
          <t xml:space="preserve">   Schools/orgs page + TPT views</t>
        </is>
      </c>
      <c r="B93" s="9" t="inlineStr">
        <is>
          <t>visits</t>
        </is>
      </c>
      <c r="C93" s="58">
        <f>C92*C$8</f>
        <v/>
      </c>
      <c r="D93" s="58">
        <f>D92*D$8</f>
        <v/>
      </c>
      <c r="E93" s="58">
        <f>E92*E$8</f>
        <v/>
      </c>
      <c r="F93" s="58">
        <f>F92*F$8</f>
        <v/>
      </c>
      <c r="G93" s="58">
        <f>G92*G$8</f>
        <v/>
      </c>
      <c r="H93" s="58">
        <f>H92*H$8</f>
        <v/>
      </c>
      <c r="I93" s="58">
        <f>I92*I$8</f>
        <v/>
      </c>
      <c r="J93" s="58">
        <f>J92*J$8</f>
        <v/>
      </c>
      <c r="K93" s="58">
        <f>K92*K$8</f>
        <v/>
      </c>
      <c r="L93" s="58">
        <f>L92*L$8</f>
        <v/>
      </c>
      <c r="M93" s="58">
        <f>M92*M$8</f>
        <v/>
      </c>
      <c r="N93" s="58">
        <f>N92*N$8</f>
        <v/>
      </c>
      <c r="O93" s="58">
        <f>O92*O$8</f>
        <v/>
      </c>
      <c r="P93" s="58">
        <f>P92*P$8</f>
        <v/>
      </c>
      <c r="Q93" s="58">
        <f>Q92*Q$8</f>
        <v/>
      </c>
      <c r="R93" s="58">
        <f>R92*R$8</f>
        <v/>
      </c>
      <c r="S93" s="58">
        <f>S92*S$8</f>
        <v/>
      </c>
      <c r="T93" s="58">
        <f>T92*T$8</f>
        <v/>
      </c>
      <c r="U93" s="58">
        <f>U92*U$8</f>
        <v/>
      </c>
      <c r="V93" s="58">
        <f>V92*V$8</f>
        <v/>
      </c>
      <c r="W93" s="58">
        <f>W92*W$8</f>
        <v/>
      </c>
      <c r="X93" s="58">
        <f>X92*X$8</f>
        <v/>
      </c>
      <c r="Y93" s="58">
        <f>Y92*Y$8</f>
        <v/>
      </c>
      <c r="Z93" s="58">
        <f>Z92*Z$8</f>
        <v/>
      </c>
      <c r="AA93" s="58">
        <f>AA92*AA$8</f>
        <v/>
      </c>
      <c r="AB93" s="58">
        <f>AB92*AB$8</f>
        <v/>
      </c>
      <c r="AC93" s="58">
        <f>AC92*AC$8</f>
        <v/>
      </c>
      <c r="AD93" s="58">
        <f>AD92*AD$8</f>
        <v/>
      </c>
      <c r="AE93" s="58">
        <f>AE92*AE$8</f>
        <v/>
      </c>
      <c r="AF93" s="58">
        <f>AF92*AF$8</f>
        <v/>
      </c>
      <c r="AG93" s="58">
        <f>AG92*AG$8</f>
        <v/>
      </c>
      <c r="AH93" s="58">
        <f>AH92*AH$8</f>
        <v/>
      </c>
      <c r="AI93" s="58">
        <f>AI92*AI$8</f>
        <v/>
      </c>
      <c r="AJ93" s="58">
        <f>AJ92*AJ$8</f>
        <v/>
      </c>
      <c r="AK93" s="58">
        <f>AK92*AK$8</f>
        <v/>
      </c>
      <c r="AL93" s="58">
        <f>AL92*AL$8</f>
        <v/>
      </c>
      <c r="AM93" s="57">
        <f>SUMIF($C$6:$AL$6,1,C93:AL93)</f>
        <v/>
      </c>
      <c r="AN93" s="57">
        <f>SUMIF($C$6:$AL$6,2,C93:AL93)</f>
        <v/>
      </c>
      <c r="AO93" s="57">
        <f>SUMIF($C$6:$AL$6,3,C93:AL93)</f>
        <v/>
      </c>
      <c r="AP93" s="57">
        <f>SUM(C93:AL93)</f>
        <v/>
      </c>
    </row>
    <row r="94">
      <c r="A94" s="7" t="inlineStr">
        <is>
          <t xml:space="preserve">   Conversion rate (with review ramp)</t>
        </is>
      </c>
      <c r="B94" s="9" t="inlineStr">
        <is>
          <t>%</t>
        </is>
      </c>
      <c r="C94" s="59">
        <f>'Assumptions'!$C$179*MIN(1,(C$4-MAX('Assumptions'!$C$174,'Assumptions'!$C$9)+1)/'Assumptions'!$C$11)*C91</f>
        <v/>
      </c>
      <c r="D94" s="59">
        <f>'Assumptions'!$C$179*MIN(1,(D$4-MAX('Assumptions'!$C$174,'Assumptions'!$C$9)+1)/'Assumptions'!$C$11)*D91</f>
        <v/>
      </c>
      <c r="E94" s="59">
        <f>'Assumptions'!$C$179*MIN(1,(E$4-MAX('Assumptions'!$C$174,'Assumptions'!$C$9)+1)/'Assumptions'!$C$11)*E91</f>
        <v/>
      </c>
      <c r="F94" s="59">
        <f>'Assumptions'!$C$179*MIN(1,(F$4-MAX('Assumptions'!$C$174,'Assumptions'!$C$9)+1)/'Assumptions'!$C$11)*F91</f>
        <v/>
      </c>
      <c r="G94" s="59">
        <f>'Assumptions'!$C$179*MIN(1,(G$4-MAX('Assumptions'!$C$174,'Assumptions'!$C$9)+1)/'Assumptions'!$C$11)*G91</f>
        <v/>
      </c>
      <c r="H94" s="59">
        <f>'Assumptions'!$C$179*MIN(1,(H$4-MAX('Assumptions'!$C$174,'Assumptions'!$C$9)+1)/'Assumptions'!$C$11)*H91</f>
        <v/>
      </c>
      <c r="I94" s="59">
        <f>'Assumptions'!$C$179*MIN(1,(I$4-MAX('Assumptions'!$C$174,'Assumptions'!$C$9)+1)/'Assumptions'!$C$11)*I91</f>
        <v/>
      </c>
      <c r="J94" s="59">
        <f>'Assumptions'!$C$179*MIN(1,(J$4-MAX('Assumptions'!$C$174,'Assumptions'!$C$9)+1)/'Assumptions'!$C$11)*J91</f>
        <v/>
      </c>
      <c r="K94" s="59">
        <f>'Assumptions'!$C$179*MIN(1,(K$4-MAX('Assumptions'!$C$174,'Assumptions'!$C$9)+1)/'Assumptions'!$C$11)*K91</f>
        <v/>
      </c>
      <c r="L94" s="59">
        <f>'Assumptions'!$C$179*MIN(1,(L$4-MAX('Assumptions'!$C$174,'Assumptions'!$C$9)+1)/'Assumptions'!$C$11)*L91</f>
        <v/>
      </c>
      <c r="M94" s="59">
        <f>'Assumptions'!$C$179*MIN(1,(M$4-MAX('Assumptions'!$C$174,'Assumptions'!$C$9)+1)/'Assumptions'!$C$11)*M91</f>
        <v/>
      </c>
      <c r="N94" s="59">
        <f>'Assumptions'!$C$179*MIN(1,(N$4-MAX('Assumptions'!$C$174,'Assumptions'!$C$9)+1)/'Assumptions'!$C$11)*N91</f>
        <v/>
      </c>
      <c r="O94" s="59">
        <f>'Assumptions'!$C$179*MIN(1,(O$4-MAX('Assumptions'!$C$174,'Assumptions'!$C$9)+1)/'Assumptions'!$C$11)*O91</f>
        <v/>
      </c>
      <c r="P94" s="59">
        <f>'Assumptions'!$C$179*MIN(1,(P$4-MAX('Assumptions'!$C$174,'Assumptions'!$C$9)+1)/'Assumptions'!$C$11)*P91</f>
        <v/>
      </c>
      <c r="Q94" s="59">
        <f>'Assumptions'!$C$179*MIN(1,(Q$4-MAX('Assumptions'!$C$174,'Assumptions'!$C$9)+1)/'Assumptions'!$C$11)*Q91</f>
        <v/>
      </c>
      <c r="R94" s="59">
        <f>'Assumptions'!$C$179*MIN(1,(R$4-MAX('Assumptions'!$C$174,'Assumptions'!$C$9)+1)/'Assumptions'!$C$11)*R91</f>
        <v/>
      </c>
      <c r="S94" s="59">
        <f>'Assumptions'!$C$179*MIN(1,(S$4-MAX('Assumptions'!$C$174,'Assumptions'!$C$9)+1)/'Assumptions'!$C$11)*S91</f>
        <v/>
      </c>
      <c r="T94" s="59">
        <f>'Assumptions'!$C$179*MIN(1,(T$4-MAX('Assumptions'!$C$174,'Assumptions'!$C$9)+1)/'Assumptions'!$C$11)*T91</f>
        <v/>
      </c>
      <c r="U94" s="59">
        <f>'Assumptions'!$C$179*MIN(1,(U$4-MAX('Assumptions'!$C$174,'Assumptions'!$C$9)+1)/'Assumptions'!$C$11)*U91</f>
        <v/>
      </c>
      <c r="V94" s="59">
        <f>'Assumptions'!$C$179*MIN(1,(V$4-MAX('Assumptions'!$C$174,'Assumptions'!$C$9)+1)/'Assumptions'!$C$11)*V91</f>
        <v/>
      </c>
      <c r="W94" s="59">
        <f>'Assumptions'!$C$179*MIN(1,(W$4-MAX('Assumptions'!$C$174,'Assumptions'!$C$9)+1)/'Assumptions'!$C$11)*W91</f>
        <v/>
      </c>
      <c r="X94" s="59">
        <f>'Assumptions'!$C$179*MIN(1,(X$4-MAX('Assumptions'!$C$174,'Assumptions'!$C$9)+1)/'Assumptions'!$C$11)*X91</f>
        <v/>
      </c>
      <c r="Y94" s="59">
        <f>'Assumptions'!$C$179*MIN(1,(Y$4-MAX('Assumptions'!$C$174,'Assumptions'!$C$9)+1)/'Assumptions'!$C$11)*Y91</f>
        <v/>
      </c>
      <c r="Z94" s="59">
        <f>'Assumptions'!$C$179*MIN(1,(Z$4-MAX('Assumptions'!$C$174,'Assumptions'!$C$9)+1)/'Assumptions'!$C$11)*Z91</f>
        <v/>
      </c>
      <c r="AA94" s="59">
        <f>'Assumptions'!$C$179*MIN(1,(AA$4-MAX('Assumptions'!$C$174,'Assumptions'!$C$9)+1)/'Assumptions'!$C$11)*AA91</f>
        <v/>
      </c>
      <c r="AB94" s="59">
        <f>'Assumptions'!$C$179*MIN(1,(AB$4-MAX('Assumptions'!$C$174,'Assumptions'!$C$9)+1)/'Assumptions'!$C$11)*AB91</f>
        <v/>
      </c>
      <c r="AC94" s="59">
        <f>'Assumptions'!$C$179*MIN(1,(AC$4-MAX('Assumptions'!$C$174,'Assumptions'!$C$9)+1)/'Assumptions'!$C$11)*AC91</f>
        <v/>
      </c>
      <c r="AD94" s="59">
        <f>'Assumptions'!$C$179*MIN(1,(AD$4-MAX('Assumptions'!$C$174,'Assumptions'!$C$9)+1)/'Assumptions'!$C$11)*AD91</f>
        <v/>
      </c>
      <c r="AE94" s="59">
        <f>'Assumptions'!$C$179*MIN(1,(AE$4-MAX('Assumptions'!$C$174,'Assumptions'!$C$9)+1)/'Assumptions'!$C$11)*AE91</f>
        <v/>
      </c>
      <c r="AF94" s="59">
        <f>'Assumptions'!$C$179*MIN(1,(AF$4-MAX('Assumptions'!$C$174,'Assumptions'!$C$9)+1)/'Assumptions'!$C$11)*AF91</f>
        <v/>
      </c>
      <c r="AG94" s="59">
        <f>'Assumptions'!$C$179*MIN(1,(AG$4-MAX('Assumptions'!$C$174,'Assumptions'!$C$9)+1)/'Assumptions'!$C$11)*AG91</f>
        <v/>
      </c>
      <c r="AH94" s="59">
        <f>'Assumptions'!$C$179*MIN(1,(AH$4-MAX('Assumptions'!$C$174,'Assumptions'!$C$9)+1)/'Assumptions'!$C$11)*AH91</f>
        <v/>
      </c>
      <c r="AI94" s="59">
        <f>'Assumptions'!$C$179*MIN(1,(AI$4-MAX('Assumptions'!$C$174,'Assumptions'!$C$9)+1)/'Assumptions'!$C$11)*AI91</f>
        <v/>
      </c>
      <c r="AJ94" s="59">
        <f>'Assumptions'!$C$179*MIN(1,(AJ$4-MAX('Assumptions'!$C$174,'Assumptions'!$C$9)+1)/'Assumptions'!$C$11)*AJ91</f>
        <v/>
      </c>
      <c r="AK94" s="59">
        <f>'Assumptions'!$C$179*MIN(1,(AK$4-MAX('Assumptions'!$C$174,'Assumptions'!$C$9)+1)/'Assumptions'!$C$11)*AK91</f>
        <v/>
      </c>
      <c r="AL94" s="59">
        <f>'Assumptions'!$C$179*MIN(1,(AL$4-MAX('Assumptions'!$C$174,'Assumptions'!$C$9)+1)/'Assumptions'!$C$11)*AL91</f>
        <v/>
      </c>
    </row>
    <row r="95">
      <c r="A95" s="7" t="inlineStr">
        <is>
          <t xml:space="preserve">   Orders</t>
        </is>
      </c>
      <c r="B95" s="9" t="inlineStr">
        <is>
          <t>orders</t>
        </is>
      </c>
      <c r="C95" s="56">
        <f>C93*C94</f>
        <v/>
      </c>
      <c r="D95" s="56">
        <f>D93*D94</f>
        <v/>
      </c>
      <c r="E95" s="56">
        <f>E93*E94</f>
        <v/>
      </c>
      <c r="F95" s="56">
        <f>F93*F94</f>
        <v/>
      </c>
      <c r="G95" s="56">
        <f>G93*G94</f>
        <v/>
      </c>
      <c r="H95" s="56">
        <f>H93*H94</f>
        <v/>
      </c>
      <c r="I95" s="56">
        <f>I93*I94</f>
        <v/>
      </c>
      <c r="J95" s="56">
        <f>J93*J94</f>
        <v/>
      </c>
      <c r="K95" s="56">
        <f>K93*K94</f>
        <v/>
      </c>
      <c r="L95" s="56">
        <f>L93*L94</f>
        <v/>
      </c>
      <c r="M95" s="56">
        <f>M93*M94</f>
        <v/>
      </c>
      <c r="N95" s="56">
        <f>N93*N94</f>
        <v/>
      </c>
      <c r="O95" s="56">
        <f>O93*O94</f>
        <v/>
      </c>
      <c r="P95" s="56">
        <f>P93*P94</f>
        <v/>
      </c>
      <c r="Q95" s="56">
        <f>Q93*Q94</f>
        <v/>
      </c>
      <c r="R95" s="56">
        <f>R93*R94</f>
        <v/>
      </c>
      <c r="S95" s="56">
        <f>S93*S94</f>
        <v/>
      </c>
      <c r="T95" s="56">
        <f>T93*T94</f>
        <v/>
      </c>
      <c r="U95" s="56">
        <f>U93*U94</f>
        <v/>
      </c>
      <c r="V95" s="56">
        <f>V93*V94</f>
        <v/>
      </c>
      <c r="W95" s="56">
        <f>W93*W94</f>
        <v/>
      </c>
      <c r="X95" s="56">
        <f>X93*X94</f>
        <v/>
      </c>
      <c r="Y95" s="56">
        <f>Y93*Y94</f>
        <v/>
      </c>
      <c r="Z95" s="56">
        <f>Z93*Z94</f>
        <v/>
      </c>
      <c r="AA95" s="56">
        <f>AA93*AA94</f>
        <v/>
      </c>
      <c r="AB95" s="56">
        <f>AB93*AB94</f>
        <v/>
      </c>
      <c r="AC95" s="56">
        <f>AC93*AC94</f>
        <v/>
      </c>
      <c r="AD95" s="56">
        <f>AD93*AD94</f>
        <v/>
      </c>
      <c r="AE95" s="56">
        <f>AE93*AE94</f>
        <v/>
      </c>
      <c r="AF95" s="56">
        <f>AF93*AF94</f>
        <v/>
      </c>
      <c r="AG95" s="56">
        <f>AG93*AG94</f>
        <v/>
      </c>
      <c r="AH95" s="56">
        <f>AH93*AH94</f>
        <v/>
      </c>
      <c r="AI95" s="56">
        <f>AI93*AI94</f>
        <v/>
      </c>
      <c r="AJ95" s="56">
        <f>AJ93*AJ94</f>
        <v/>
      </c>
      <c r="AK95" s="56">
        <f>AK93*AK94</f>
        <v/>
      </c>
      <c r="AL95" s="56">
        <f>AL93*AL94</f>
        <v/>
      </c>
      <c r="AM95" s="57">
        <f>SUMIF($C$6:$AL$6,1,C95:AL95)</f>
        <v/>
      </c>
      <c r="AN95" s="57">
        <f>SUMIF($C$6:$AL$6,2,C95:AL95)</f>
        <v/>
      </c>
      <c r="AO95" s="57">
        <f>SUMIF($C$6:$AL$6,3,C95:AL95)</f>
        <v/>
      </c>
      <c r="AP95" s="57">
        <f>SUM(C95:AL95)</f>
        <v/>
      </c>
    </row>
    <row r="96">
      <c r="A96" s="7" t="inlineStr">
        <is>
          <t xml:space="preserve">   Items sold</t>
        </is>
      </c>
      <c r="B96" s="9" t="inlineStr">
        <is>
          <t>items</t>
        </is>
      </c>
      <c r="C96" s="14">
        <f>C95*'Assumptions'!$C$180</f>
        <v/>
      </c>
      <c r="D96" s="14">
        <f>D95*'Assumptions'!$C$180</f>
        <v/>
      </c>
      <c r="E96" s="14">
        <f>E95*'Assumptions'!$C$180</f>
        <v/>
      </c>
      <c r="F96" s="14">
        <f>F95*'Assumptions'!$C$180</f>
        <v/>
      </c>
      <c r="G96" s="14">
        <f>G95*'Assumptions'!$C$180</f>
        <v/>
      </c>
      <c r="H96" s="14">
        <f>H95*'Assumptions'!$C$180</f>
        <v/>
      </c>
      <c r="I96" s="14">
        <f>I95*'Assumptions'!$C$180</f>
        <v/>
      </c>
      <c r="J96" s="14">
        <f>J95*'Assumptions'!$C$180</f>
        <v/>
      </c>
      <c r="K96" s="14">
        <f>K95*'Assumptions'!$C$180</f>
        <v/>
      </c>
      <c r="L96" s="14">
        <f>L95*'Assumptions'!$C$180</f>
        <v/>
      </c>
      <c r="M96" s="14">
        <f>M95*'Assumptions'!$C$180</f>
        <v/>
      </c>
      <c r="N96" s="14">
        <f>N95*'Assumptions'!$C$180</f>
        <v/>
      </c>
      <c r="O96" s="14">
        <f>O95*'Assumptions'!$C$180</f>
        <v/>
      </c>
      <c r="P96" s="14">
        <f>P95*'Assumptions'!$C$180</f>
        <v/>
      </c>
      <c r="Q96" s="14">
        <f>Q95*'Assumptions'!$C$180</f>
        <v/>
      </c>
      <c r="R96" s="14">
        <f>R95*'Assumptions'!$C$180</f>
        <v/>
      </c>
      <c r="S96" s="14">
        <f>S95*'Assumptions'!$C$180</f>
        <v/>
      </c>
      <c r="T96" s="14">
        <f>T95*'Assumptions'!$C$180</f>
        <v/>
      </c>
      <c r="U96" s="14">
        <f>U95*'Assumptions'!$C$180</f>
        <v/>
      </c>
      <c r="V96" s="14">
        <f>V95*'Assumptions'!$C$180</f>
        <v/>
      </c>
      <c r="W96" s="14">
        <f>W95*'Assumptions'!$C$180</f>
        <v/>
      </c>
      <c r="X96" s="14">
        <f>X95*'Assumptions'!$C$180</f>
        <v/>
      </c>
      <c r="Y96" s="14">
        <f>Y95*'Assumptions'!$C$180</f>
        <v/>
      </c>
      <c r="Z96" s="14">
        <f>Z95*'Assumptions'!$C$180</f>
        <v/>
      </c>
      <c r="AA96" s="14">
        <f>AA95*'Assumptions'!$C$180</f>
        <v/>
      </c>
      <c r="AB96" s="14">
        <f>AB95*'Assumptions'!$C$180</f>
        <v/>
      </c>
      <c r="AC96" s="14">
        <f>AC95*'Assumptions'!$C$180</f>
        <v/>
      </c>
      <c r="AD96" s="14">
        <f>AD95*'Assumptions'!$C$180</f>
        <v/>
      </c>
      <c r="AE96" s="14">
        <f>AE95*'Assumptions'!$C$180</f>
        <v/>
      </c>
      <c r="AF96" s="14">
        <f>AF95*'Assumptions'!$C$180</f>
        <v/>
      </c>
      <c r="AG96" s="14">
        <f>AG95*'Assumptions'!$C$180</f>
        <v/>
      </c>
      <c r="AH96" s="14">
        <f>AH95*'Assumptions'!$C$180</f>
        <v/>
      </c>
      <c r="AI96" s="14">
        <f>AI95*'Assumptions'!$C$180</f>
        <v/>
      </c>
      <c r="AJ96" s="14">
        <f>AJ95*'Assumptions'!$C$180</f>
        <v/>
      </c>
      <c r="AK96" s="14">
        <f>AK95*'Assumptions'!$C$180</f>
        <v/>
      </c>
      <c r="AL96" s="14">
        <f>AL95*'Assumptions'!$C$180</f>
        <v/>
      </c>
      <c r="AM96" s="57">
        <f>SUMIF($C$6:$AL$6,1,C96:AL96)</f>
        <v/>
      </c>
      <c r="AN96" s="57">
        <f>SUMIF($C$6:$AL$6,2,C96:AL96)</f>
        <v/>
      </c>
      <c r="AO96" s="57">
        <f>SUMIF($C$6:$AL$6,3,C96:AL96)</f>
        <v/>
      </c>
      <c r="AP96" s="57">
        <f>SUM(C96:AL96)</f>
        <v/>
      </c>
    </row>
    <row r="97">
      <c r="A97" s="7" t="inlineStr">
        <is>
          <t xml:space="preserve">   Average order value</t>
        </is>
      </c>
      <c r="B97" s="9" t="inlineStr">
        <is>
          <t>$</t>
        </is>
      </c>
      <c r="C97" s="16">
        <f>'Unit Economics'!$E$56*'Assumptions'!$C$180*C91</f>
        <v/>
      </c>
      <c r="D97" s="16">
        <f>'Unit Economics'!$E$56*'Assumptions'!$C$180*D91</f>
        <v/>
      </c>
      <c r="E97" s="16">
        <f>'Unit Economics'!$E$56*'Assumptions'!$C$180*E91</f>
        <v/>
      </c>
      <c r="F97" s="16">
        <f>'Unit Economics'!$E$56*'Assumptions'!$C$180*F91</f>
        <v/>
      </c>
      <c r="G97" s="16">
        <f>'Unit Economics'!$E$56*'Assumptions'!$C$180*G91</f>
        <v/>
      </c>
      <c r="H97" s="16">
        <f>'Unit Economics'!$E$56*'Assumptions'!$C$180*H91</f>
        <v/>
      </c>
      <c r="I97" s="16">
        <f>'Unit Economics'!$E$56*'Assumptions'!$C$180*I91</f>
        <v/>
      </c>
      <c r="J97" s="16">
        <f>'Unit Economics'!$E$56*'Assumptions'!$C$180*J91</f>
        <v/>
      </c>
      <c r="K97" s="16">
        <f>'Unit Economics'!$E$56*'Assumptions'!$C$180*K91</f>
        <v/>
      </c>
      <c r="L97" s="16">
        <f>'Unit Economics'!$E$56*'Assumptions'!$C$180*L91</f>
        <v/>
      </c>
      <c r="M97" s="16">
        <f>'Unit Economics'!$E$56*'Assumptions'!$C$180*M91</f>
        <v/>
      </c>
      <c r="N97" s="16">
        <f>'Unit Economics'!$E$56*'Assumptions'!$C$180*N91</f>
        <v/>
      </c>
      <c r="O97" s="16">
        <f>'Unit Economics'!$E$56*'Assumptions'!$C$180*O91</f>
        <v/>
      </c>
      <c r="P97" s="16">
        <f>'Unit Economics'!$E$56*'Assumptions'!$C$180*P91</f>
        <v/>
      </c>
      <c r="Q97" s="16">
        <f>'Unit Economics'!$E$56*'Assumptions'!$C$180*Q91</f>
        <v/>
      </c>
      <c r="R97" s="16">
        <f>'Unit Economics'!$E$56*'Assumptions'!$C$180*R91</f>
        <v/>
      </c>
      <c r="S97" s="16">
        <f>'Unit Economics'!$E$56*'Assumptions'!$C$180*S91</f>
        <v/>
      </c>
      <c r="T97" s="16">
        <f>'Unit Economics'!$E$56*'Assumptions'!$C$180*T91</f>
        <v/>
      </c>
      <c r="U97" s="16">
        <f>'Unit Economics'!$E$56*'Assumptions'!$C$180*U91</f>
        <v/>
      </c>
      <c r="V97" s="16">
        <f>'Unit Economics'!$E$56*'Assumptions'!$C$180*V91</f>
        <v/>
      </c>
      <c r="W97" s="16">
        <f>'Unit Economics'!$E$56*'Assumptions'!$C$180*W91</f>
        <v/>
      </c>
      <c r="X97" s="16">
        <f>'Unit Economics'!$E$56*'Assumptions'!$C$180*X91</f>
        <v/>
      </c>
      <c r="Y97" s="16">
        <f>'Unit Economics'!$E$56*'Assumptions'!$C$180*Y91</f>
        <v/>
      </c>
      <c r="Z97" s="16">
        <f>'Unit Economics'!$E$56*'Assumptions'!$C$180*Z91</f>
        <v/>
      </c>
      <c r="AA97" s="16">
        <f>'Unit Economics'!$E$56*'Assumptions'!$C$180*AA91</f>
        <v/>
      </c>
      <c r="AB97" s="16">
        <f>'Unit Economics'!$E$56*'Assumptions'!$C$180*AB91</f>
        <v/>
      </c>
      <c r="AC97" s="16">
        <f>'Unit Economics'!$E$56*'Assumptions'!$C$180*AC91</f>
        <v/>
      </c>
      <c r="AD97" s="16">
        <f>'Unit Economics'!$E$56*'Assumptions'!$C$180*AD91</f>
        <v/>
      </c>
      <c r="AE97" s="16">
        <f>'Unit Economics'!$E$56*'Assumptions'!$C$180*AE91</f>
        <v/>
      </c>
      <c r="AF97" s="16">
        <f>'Unit Economics'!$E$56*'Assumptions'!$C$180*AF91</f>
        <v/>
      </c>
      <c r="AG97" s="16">
        <f>'Unit Economics'!$E$56*'Assumptions'!$C$180*AG91</f>
        <v/>
      </c>
      <c r="AH97" s="16">
        <f>'Unit Economics'!$E$56*'Assumptions'!$C$180*AH91</f>
        <v/>
      </c>
      <c r="AI97" s="16">
        <f>'Unit Economics'!$E$56*'Assumptions'!$C$180*AI91</f>
        <v/>
      </c>
      <c r="AJ97" s="16">
        <f>'Unit Economics'!$E$56*'Assumptions'!$C$180*AJ91</f>
        <v/>
      </c>
      <c r="AK97" s="16">
        <f>'Unit Economics'!$E$56*'Assumptions'!$C$180*AK91</f>
        <v/>
      </c>
      <c r="AL97" s="16">
        <f>'Unit Economics'!$E$56*'Assumptions'!$C$180*AL91</f>
        <v/>
      </c>
    </row>
    <row r="98">
      <c r="A98" s="7" t="inlineStr">
        <is>
          <t xml:space="preserve">   Gross sales (price paid by customers)</t>
        </is>
      </c>
      <c r="B98" s="9" t="inlineStr">
        <is>
          <t>$</t>
        </is>
      </c>
      <c r="C98" s="8">
        <f>C96*'Unit Economics'!$E$56</f>
        <v/>
      </c>
      <c r="D98" s="8">
        <f>D96*'Unit Economics'!$E$56</f>
        <v/>
      </c>
      <c r="E98" s="8">
        <f>E96*'Unit Economics'!$E$56</f>
        <v/>
      </c>
      <c r="F98" s="8">
        <f>F96*'Unit Economics'!$E$56</f>
        <v/>
      </c>
      <c r="G98" s="8">
        <f>G96*'Unit Economics'!$E$56</f>
        <v/>
      </c>
      <c r="H98" s="8">
        <f>H96*'Unit Economics'!$E$56</f>
        <v/>
      </c>
      <c r="I98" s="8">
        <f>I96*'Unit Economics'!$E$56</f>
        <v/>
      </c>
      <c r="J98" s="8">
        <f>J96*'Unit Economics'!$E$56</f>
        <v/>
      </c>
      <c r="K98" s="8">
        <f>K96*'Unit Economics'!$E$56</f>
        <v/>
      </c>
      <c r="L98" s="8">
        <f>L96*'Unit Economics'!$E$56</f>
        <v/>
      </c>
      <c r="M98" s="8">
        <f>M96*'Unit Economics'!$E$56</f>
        <v/>
      </c>
      <c r="N98" s="8">
        <f>N96*'Unit Economics'!$E$56</f>
        <v/>
      </c>
      <c r="O98" s="8">
        <f>O96*'Unit Economics'!$E$56</f>
        <v/>
      </c>
      <c r="P98" s="8">
        <f>P96*'Unit Economics'!$E$56</f>
        <v/>
      </c>
      <c r="Q98" s="8">
        <f>Q96*'Unit Economics'!$E$56</f>
        <v/>
      </c>
      <c r="R98" s="8">
        <f>R96*'Unit Economics'!$E$56</f>
        <v/>
      </c>
      <c r="S98" s="8">
        <f>S96*'Unit Economics'!$E$56</f>
        <v/>
      </c>
      <c r="T98" s="8">
        <f>T96*'Unit Economics'!$E$56</f>
        <v/>
      </c>
      <c r="U98" s="8">
        <f>U96*'Unit Economics'!$E$56</f>
        <v/>
      </c>
      <c r="V98" s="8">
        <f>V96*'Unit Economics'!$E$56</f>
        <v/>
      </c>
      <c r="W98" s="8">
        <f>W96*'Unit Economics'!$E$56</f>
        <v/>
      </c>
      <c r="X98" s="8">
        <f>X96*'Unit Economics'!$E$56</f>
        <v/>
      </c>
      <c r="Y98" s="8">
        <f>Y96*'Unit Economics'!$E$56</f>
        <v/>
      </c>
      <c r="Z98" s="8">
        <f>Z96*'Unit Economics'!$E$56</f>
        <v/>
      </c>
      <c r="AA98" s="8">
        <f>AA96*'Unit Economics'!$E$56</f>
        <v/>
      </c>
      <c r="AB98" s="8">
        <f>AB96*'Unit Economics'!$E$56</f>
        <v/>
      </c>
      <c r="AC98" s="8">
        <f>AC96*'Unit Economics'!$E$56</f>
        <v/>
      </c>
      <c r="AD98" s="8">
        <f>AD96*'Unit Economics'!$E$56</f>
        <v/>
      </c>
      <c r="AE98" s="8">
        <f>AE96*'Unit Economics'!$E$56</f>
        <v/>
      </c>
      <c r="AF98" s="8">
        <f>AF96*'Unit Economics'!$E$56</f>
        <v/>
      </c>
      <c r="AG98" s="8">
        <f>AG96*'Unit Economics'!$E$56</f>
        <v/>
      </c>
      <c r="AH98" s="8">
        <f>AH96*'Unit Economics'!$E$56</f>
        <v/>
      </c>
      <c r="AI98" s="8">
        <f>AI96*'Unit Economics'!$E$56</f>
        <v/>
      </c>
      <c r="AJ98" s="8">
        <f>AJ96*'Unit Economics'!$E$56</f>
        <v/>
      </c>
      <c r="AK98" s="8">
        <f>AK96*'Unit Economics'!$E$56</f>
        <v/>
      </c>
      <c r="AL98" s="8">
        <f>AL96*'Unit Economics'!$E$56</f>
        <v/>
      </c>
      <c r="AM98" s="47">
        <f>SUMIF($C$6:$AL$6,1,C98:AL98)</f>
        <v/>
      </c>
      <c r="AN98" s="47">
        <f>SUMIF($C$6:$AL$6,2,C98:AL98)</f>
        <v/>
      </c>
      <c r="AO98" s="47">
        <f>SUMIF($C$6:$AL$6,3,C98:AL98)</f>
        <v/>
      </c>
      <c r="AP98" s="47">
        <f>SUM(C98:AL98)</f>
        <v/>
      </c>
    </row>
    <row r="99">
      <c r="A99" s="7" t="inlineStr">
        <is>
          <t xml:space="preserve">   Net contribution to AlphaPlay</t>
        </is>
      </c>
      <c r="B99" s="9" t="inlineStr">
        <is>
          <t>$</t>
        </is>
      </c>
      <c r="C99" s="8">
        <f>C96*'Unit Economics'!$F$56</f>
        <v/>
      </c>
      <c r="D99" s="8">
        <f>D96*'Unit Economics'!$F$56</f>
        <v/>
      </c>
      <c r="E99" s="8">
        <f>E96*'Unit Economics'!$F$56</f>
        <v/>
      </c>
      <c r="F99" s="8">
        <f>F96*'Unit Economics'!$F$56</f>
        <v/>
      </c>
      <c r="G99" s="8">
        <f>G96*'Unit Economics'!$F$56</f>
        <v/>
      </c>
      <c r="H99" s="8">
        <f>H96*'Unit Economics'!$F$56</f>
        <v/>
      </c>
      <c r="I99" s="8">
        <f>I96*'Unit Economics'!$F$56</f>
        <v/>
      </c>
      <c r="J99" s="8">
        <f>J96*'Unit Economics'!$F$56</f>
        <v/>
      </c>
      <c r="K99" s="8">
        <f>K96*'Unit Economics'!$F$56</f>
        <v/>
      </c>
      <c r="L99" s="8">
        <f>L96*'Unit Economics'!$F$56</f>
        <v/>
      </c>
      <c r="M99" s="8">
        <f>M96*'Unit Economics'!$F$56</f>
        <v/>
      </c>
      <c r="N99" s="8">
        <f>N96*'Unit Economics'!$F$56</f>
        <v/>
      </c>
      <c r="O99" s="8">
        <f>O96*'Unit Economics'!$F$56</f>
        <v/>
      </c>
      <c r="P99" s="8">
        <f>P96*'Unit Economics'!$F$56</f>
        <v/>
      </c>
      <c r="Q99" s="8">
        <f>Q96*'Unit Economics'!$F$56</f>
        <v/>
      </c>
      <c r="R99" s="8">
        <f>R96*'Unit Economics'!$F$56</f>
        <v/>
      </c>
      <c r="S99" s="8">
        <f>S96*'Unit Economics'!$F$56</f>
        <v/>
      </c>
      <c r="T99" s="8">
        <f>T96*'Unit Economics'!$F$56</f>
        <v/>
      </c>
      <c r="U99" s="8">
        <f>U96*'Unit Economics'!$F$56</f>
        <v/>
      </c>
      <c r="V99" s="8">
        <f>V96*'Unit Economics'!$F$56</f>
        <v/>
      </c>
      <c r="W99" s="8">
        <f>W96*'Unit Economics'!$F$56</f>
        <v/>
      </c>
      <c r="X99" s="8">
        <f>X96*'Unit Economics'!$F$56</f>
        <v/>
      </c>
      <c r="Y99" s="8">
        <f>Y96*'Unit Economics'!$F$56</f>
        <v/>
      </c>
      <c r="Z99" s="8">
        <f>Z96*'Unit Economics'!$F$56</f>
        <v/>
      </c>
      <c r="AA99" s="8">
        <f>AA96*'Unit Economics'!$F$56</f>
        <v/>
      </c>
      <c r="AB99" s="8">
        <f>AB96*'Unit Economics'!$F$56</f>
        <v/>
      </c>
      <c r="AC99" s="8">
        <f>AC96*'Unit Economics'!$F$56</f>
        <v/>
      </c>
      <c r="AD99" s="8">
        <f>AD96*'Unit Economics'!$F$56</f>
        <v/>
      </c>
      <c r="AE99" s="8">
        <f>AE96*'Unit Economics'!$F$56</f>
        <v/>
      </c>
      <c r="AF99" s="8">
        <f>AF96*'Unit Economics'!$F$56</f>
        <v/>
      </c>
      <c r="AG99" s="8">
        <f>AG96*'Unit Economics'!$F$56</f>
        <v/>
      </c>
      <c r="AH99" s="8">
        <f>AH96*'Unit Economics'!$F$56</f>
        <v/>
      </c>
      <c r="AI99" s="8">
        <f>AI96*'Unit Economics'!$F$56</f>
        <v/>
      </c>
      <c r="AJ99" s="8">
        <f>AJ96*'Unit Economics'!$F$56</f>
        <v/>
      </c>
      <c r="AK99" s="8">
        <f>AK96*'Unit Economics'!$F$56</f>
        <v/>
      </c>
      <c r="AL99" s="8">
        <f>AL96*'Unit Economics'!$F$56</f>
        <v/>
      </c>
      <c r="AM99" s="47">
        <f>SUMIF($C$6:$AL$6,1,C99:AL99)</f>
        <v/>
      </c>
      <c r="AN99" s="47">
        <f>SUMIF($C$6:$AL$6,2,C99:AL99)</f>
        <v/>
      </c>
      <c r="AO99" s="47">
        <f>SUMIF($C$6:$AL$6,3,C99:AL99)</f>
        <v/>
      </c>
      <c r="AP99" s="47">
        <f>SUM(C99:AL99)</f>
        <v/>
      </c>
    </row>
    <row r="100">
      <c r="A100" s="5" t="inlineStr">
        <is>
          <t>Retail and wholesale: Faire, Walmart Marketplace (off in base)</t>
        </is>
      </c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  <c r="AC100" s="6" t="n"/>
      <c r="AD100" s="6" t="n"/>
      <c r="AE100" s="6" t="n"/>
      <c r="AF100" s="6" t="n"/>
      <c r="AG100" s="6" t="n"/>
      <c r="AH100" s="6" t="n"/>
      <c r="AI100" s="6" t="n"/>
      <c r="AJ100" s="6" t="n"/>
      <c r="AK100" s="6" t="n"/>
      <c r="AL100" s="6" t="n"/>
      <c r="AM100" s="6" t="n"/>
      <c r="AN100" s="6" t="n"/>
      <c r="AO100" s="6" t="n"/>
      <c r="AP100" s="6" t="n"/>
    </row>
    <row r="101">
      <c r="A101" s="7" t="inlineStr">
        <is>
          <t xml:space="preserve">   Active (1 = live)</t>
        </is>
      </c>
      <c r="B101" s="9" t="inlineStr">
        <is>
          <t>flag</t>
        </is>
      </c>
      <c r="C101" s="18">
        <f>IF(AND('Assumptions'!$C$182=1,C$4&gt;=MAX('Assumptions'!$C$183,'Assumptions'!$C$9)),1,0)</f>
        <v/>
      </c>
      <c r="D101" s="18">
        <f>IF(AND('Assumptions'!$C$182=1,D$4&gt;=MAX('Assumptions'!$C$183,'Assumptions'!$C$9)),1,0)</f>
        <v/>
      </c>
      <c r="E101" s="18">
        <f>IF(AND('Assumptions'!$C$182=1,E$4&gt;=MAX('Assumptions'!$C$183,'Assumptions'!$C$9)),1,0)</f>
        <v/>
      </c>
      <c r="F101" s="18">
        <f>IF(AND('Assumptions'!$C$182=1,F$4&gt;=MAX('Assumptions'!$C$183,'Assumptions'!$C$9)),1,0)</f>
        <v/>
      </c>
      <c r="G101" s="18">
        <f>IF(AND('Assumptions'!$C$182=1,G$4&gt;=MAX('Assumptions'!$C$183,'Assumptions'!$C$9)),1,0)</f>
        <v/>
      </c>
      <c r="H101" s="18">
        <f>IF(AND('Assumptions'!$C$182=1,H$4&gt;=MAX('Assumptions'!$C$183,'Assumptions'!$C$9)),1,0)</f>
        <v/>
      </c>
      <c r="I101" s="18">
        <f>IF(AND('Assumptions'!$C$182=1,I$4&gt;=MAX('Assumptions'!$C$183,'Assumptions'!$C$9)),1,0)</f>
        <v/>
      </c>
      <c r="J101" s="18">
        <f>IF(AND('Assumptions'!$C$182=1,J$4&gt;=MAX('Assumptions'!$C$183,'Assumptions'!$C$9)),1,0)</f>
        <v/>
      </c>
      <c r="K101" s="18">
        <f>IF(AND('Assumptions'!$C$182=1,K$4&gt;=MAX('Assumptions'!$C$183,'Assumptions'!$C$9)),1,0)</f>
        <v/>
      </c>
      <c r="L101" s="18">
        <f>IF(AND('Assumptions'!$C$182=1,L$4&gt;=MAX('Assumptions'!$C$183,'Assumptions'!$C$9)),1,0)</f>
        <v/>
      </c>
      <c r="M101" s="18">
        <f>IF(AND('Assumptions'!$C$182=1,M$4&gt;=MAX('Assumptions'!$C$183,'Assumptions'!$C$9)),1,0)</f>
        <v/>
      </c>
      <c r="N101" s="18">
        <f>IF(AND('Assumptions'!$C$182=1,N$4&gt;=MAX('Assumptions'!$C$183,'Assumptions'!$C$9)),1,0)</f>
        <v/>
      </c>
      <c r="O101" s="18">
        <f>IF(AND('Assumptions'!$C$182=1,O$4&gt;=MAX('Assumptions'!$C$183,'Assumptions'!$C$9)),1,0)</f>
        <v/>
      </c>
      <c r="P101" s="18">
        <f>IF(AND('Assumptions'!$C$182=1,P$4&gt;=MAX('Assumptions'!$C$183,'Assumptions'!$C$9)),1,0)</f>
        <v/>
      </c>
      <c r="Q101" s="18">
        <f>IF(AND('Assumptions'!$C$182=1,Q$4&gt;=MAX('Assumptions'!$C$183,'Assumptions'!$C$9)),1,0)</f>
        <v/>
      </c>
      <c r="R101" s="18">
        <f>IF(AND('Assumptions'!$C$182=1,R$4&gt;=MAX('Assumptions'!$C$183,'Assumptions'!$C$9)),1,0)</f>
        <v/>
      </c>
      <c r="S101" s="18">
        <f>IF(AND('Assumptions'!$C$182=1,S$4&gt;=MAX('Assumptions'!$C$183,'Assumptions'!$C$9)),1,0)</f>
        <v/>
      </c>
      <c r="T101" s="18">
        <f>IF(AND('Assumptions'!$C$182=1,T$4&gt;=MAX('Assumptions'!$C$183,'Assumptions'!$C$9)),1,0)</f>
        <v/>
      </c>
      <c r="U101" s="18">
        <f>IF(AND('Assumptions'!$C$182=1,U$4&gt;=MAX('Assumptions'!$C$183,'Assumptions'!$C$9)),1,0)</f>
        <v/>
      </c>
      <c r="V101" s="18">
        <f>IF(AND('Assumptions'!$C$182=1,V$4&gt;=MAX('Assumptions'!$C$183,'Assumptions'!$C$9)),1,0)</f>
        <v/>
      </c>
      <c r="W101" s="18">
        <f>IF(AND('Assumptions'!$C$182=1,W$4&gt;=MAX('Assumptions'!$C$183,'Assumptions'!$C$9)),1,0)</f>
        <v/>
      </c>
      <c r="X101" s="18">
        <f>IF(AND('Assumptions'!$C$182=1,X$4&gt;=MAX('Assumptions'!$C$183,'Assumptions'!$C$9)),1,0)</f>
        <v/>
      </c>
      <c r="Y101" s="18">
        <f>IF(AND('Assumptions'!$C$182=1,Y$4&gt;=MAX('Assumptions'!$C$183,'Assumptions'!$C$9)),1,0)</f>
        <v/>
      </c>
      <c r="Z101" s="18">
        <f>IF(AND('Assumptions'!$C$182=1,Z$4&gt;=MAX('Assumptions'!$C$183,'Assumptions'!$C$9)),1,0)</f>
        <v/>
      </c>
      <c r="AA101" s="18">
        <f>IF(AND('Assumptions'!$C$182=1,AA$4&gt;=MAX('Assumptions'!$C$183,'Assumptions'!$C$9)),1,0)</f>
        <v/>
      </c>
      <c r="AB101" s="18">
        <f>IF(AND('Assumptions'!$C$182=1,AB$4&gt;=MAX('Assumptions'!$C$183,'Assumptions'!$C$9)),1,0)</f>
        <v/>
      </c>
      <c r="AC101" s="18">
        <f>IF(AND('Assumptions'!$C$182=1,AC$4&gt;=MAX('Assumptions'!$C$183,'Assumptions'!$C$9)),1,0)</f>
        <v/>
      </c>
      <c r="AD101" s="18">
        <f>IF(AND('Assumptions'!$C$182=1,AD$4&gt;=MAX('Assumptions'!$C$183,'Assumptions'!$C$9)),1,0)</f>
        <v/>
      </c>
      <c r="AE101" s="18">
        <f>IF(AND('Assumptions'!$C$182=1,AE$4&gt;=MAX('Assumptions'!$C$183,'Assumptions'!$C$9)),1,0)</f>
        <v/>
      </c>
      <c r="AF101" s="18">
        <f>IF(AND('Assumptions'!$C$182=1,AF$4&gt;=MAX('Assumptions'!$C$183,'Assumptions'!$C$9)),1,0)</f>
        <v/>
      </c>
      <c r="AG101" s="18">
        <f>IF(AND('Assumptions'!$C$182=1,AG$4&gt;=MAX('Assumptions'!$C$183,'Assumptions'!$C$9)),1,0)</f>
        <v/>
      </c>
      <c r="AH101" s="18">
        <f>IF(AND('Assumptions'!$C$182=1,AH$4&gt;=MAX('Assumptions'!$C$183,'Assumptions'!$C$9)),1,0)</f>
        <v/>
      </c>
      <c r="AI101" s="18">
        <f>IF(AND('Assumptions'!$C$182=1,AI$4&gt;=MAX('Assumptions'!$C$183,'Assumptions'!$C$9)),1,0)</f>
        <v/>
      </c>
      <c r="AJ101" s="18">
        <f>IF(AND('Assumptions'!$C$182=1,AJ$4&gt;=MAX('Assumptions'!$C$183,'Assumptions'!$C$9)),1,0)</f>
        <v/>
      </c>
      <c r="AK101" s="18">
        <f>IF(AND('Assumptions'!$C$182=1,AK$4&gt;=MAX('Assumptions'!$C$183,'Assumptions'!$C$9)),1,0)</f>
        <v/>
      </c>
      <c r="AL101" s="18">
        <f>IF(AND('Assumptions'!$C$182=1,AL$4&gt;=MAX('Assumptions'!$C$183,'Assumptions'!$C$9)),1,0)</f>
        <v/>
      </c>
    </row>
    <row r="102">
      <c r="A102" s="7" t="inlineStr">
        <is>
          <t xml:space="preserve">   Traffic trend (before seasonality)</t>
        </is>
      </c>
      <c r="B102" s="9" t="inlineStr">
        <is>
          <t>visits</t>
        </is>
      </c>
      <c r="C102" s="15">
        <f>IF(C101=0,0,'Assumptions'!$C$184)</f>
        <v/>
      </c>
      <c r="D102" s="15">
        <f>IF(D101=0,0,IF(D$4=MAX('Assumptions'!$C$183,'Assumptions'!$C$9),'Assumptions'!$C$184,C102*(1+CHOOSE(D$6,'Assumptions'!$C$185,'Assumptions'!$C$186,'Assumptions'!$C$187))))</f>
        <v/>
      </c>
      <c r="E102" s="15">
        <f>IF(E101=0,0,IF(E$4=MAX('Assumptions'!$C$183,'Assumptions'!$C$9),'Assumptions'!$C$184,D102*(1+CHOOSE(E$6,'Assumptions'!$C$185,'Assumptions'!$C$186,'Assumptions'!$C$187))))</f>
        <v/>
      </c>
      <c r="F102" s="15">
        <f>IF(F101=0,0,IF(F$4=MAX('Assumptions'!$C$183,'Assumptions'!$C$9),'Assumptions'!$C$184,E102*(1+CHOOSE(F$6,'Assumptions'!$C$185,'Assumptions'!$C$186,'Assumptions'!$C$187))))</f>
        <v/>
      </c>
      <c r="G102" s="15">
        <f>IF(G101=0,0,IF(G$4=MAX('Assumptions'!$C$183,'Assumptions'!$C$9),'Assumptions'!$C$184,F102*(1+CHOOSE(G$6,'Assumptions'!$C$185,'Assumptions'!$C$186,'Assumptions'!$C$187))))</f>
        <v/>
      </c>
      <c r="H102" s="15">
        <f>IF(H101=0,0,IF(H$4=MAX('Assumptions'!$C$183,'Assumptions'!$C$9),'Assumptions'!$C$184,G102*(1+CHOOSE(H$6,'Assumptions'!$C$185,'Assumptions'!$C$186,'Assumptions'!$C$187))))</f>
        <v/>
      </c>
      <c r="I102" s="15">
        <f>IF(I101=0,0,IF(I$4=MAX('Assumptions'!$C$183,'Assumptions'!$C$9),'Assumptions'!$C$184,H102*(1+CHOOSE(I$6,'Assumptions'!$C$185,'Assumptions'!$C$186,'Assumptions'!$C$187))))</f>
        <v/>
      </c>
      <c r="J102" s="15">
        <f>IF(J101=0,0,IF(J$4=MAX('Assumptions'!$C$183,'Assumptions'!$C$9),'Assumptions'!$C$184,I102*(1+CHOOSE(J$6,'Assumptions'!$C$185,'Assumptions'!$C$186,'Assumptions'!$C$187))))</f>
        <v/>
      </c>
      <c r="K102" s="15">
        <f>IF(K101=0,0,IF(K$4=MAX('Assumptions'!$C$183,'Assumptions'!$C$9),'Assumptions'!$C$184,J102*(1+CHOOSE(K$6,'Assumptions'!$C$185,'Assumptions'!$C$186,'Assumptions'!$C$187))))</f>
        <v/>
      </c>
      <c r="L102" s="15">
        <f>IF(L101=0,0,IF(L$4=MAX('Assumptions'!$C$183,'Assumptions'!$C$9),'Assumptions'!$C$184,K102*(1+CHOOSE(L$6,'Assumptions'!$C$185,'Assumptions'!$C$186,'Assumptions'!$C$187))))</f>
        <v/>
      </c>
      <c r="M102" s="15">
        <f>IF(M101=0,0,IF(M$4=MAX('Assumptions'!$C$183,'Assumptions'!$C$9),'Assumptions'!$C$184,L102*(1+CHOOSE(M$6,'Assumptions'!$C$185,'Assumptions'!$C$186,'Assumptions'!$C$187))))</f>
        <v/>
      </c>
      <c r="N102" s="15">
        <f>IF(N101=0,0,IF(N$4=MAX('Assumptions'!$C$183,'Assumptions'!$C$9),'Assumptions'!$C$184,M102*(1+CHOOSE(N$6,'Assumptions'!$C$185,'Assumptions'!$C$186,'Assumptions'!$C$187))))</f>
        <v/>
      </c>
      <c r="O102" s="15">
        <f>IF(O101=0,0,IF(O$4=MAX('Assumptions'!$C$183,'Assumptions'!$C$9),'Assumptions'!$C$184,N102*(1+CHOOSE(O$6,'Assumptions'!$C$185,'Assumptions'!$C$186,'Assumptions'!$C$187))))</f>
        <v/>
      </c>
      <c r="P102" s="15">
        <f>IF(P101=0,0,IF(P$4=MAX('Assumptions'!$C$183,'Assumptions'!$C$9),'Assumptions'!$C$184,O102*(1+CHOOSE(P$6,'Assumptions'!$C$185,'Assumptions'!$C$186,'Assumptions'!$C$187))))</f>
        <v/>
      </c>
      <c r="Q102" s="15">
        <f>IF(Q101=0,0,IF(Q$4=MAX('Assumptions'!$C$183,'Assumptions'!$C$9),'Assumptions'!$C$184,P102*(1+CHOOSE(Q$6,'Assumptions'!$C$185,'Assumptions'!$C$186,'Assumptions'!$C$187))))</f>
        <v/>
      </c>
      <c r="R102" s="15">
        <f>IF(R101=0,0,IF(R$4=MAX('Assumptions'!$C$183,'Assumptions'!$C$9),'Assumptions'!$C$184,Q102*(1+CHOOSE(R$6,'Assumptions'!$C$185,'Assumptions'!$C$186,'Assumptions'!$C$187))))</f>
        <v/>
      </c>
      <c r="S102" s="15">
        <f>IF(S101=0,0,IF(S$4=MAX('Assumptions'!$C$183,'Assumptions'!$C$9),'Assumptions'!$C$184,R102*(1+CHOOSE(S$6,'Assumptions'!$C$185,'Assumptions'!$C$186,'Assumptions'!$C$187))))</f>
        <v/>
      </c>
      <c r="T102" s="15">
        <f>IF(T101=0,0,IF(T$4=MAX('Assumptions'!$C$183,'Assumptions'!$C$9),'Assumptions'!$C$184,S102*(1+CHOOSE(T$6,'Assumptions'!$C$185,'Assumptions'!$C$186,'Assumptions'!$C$187))))</f>
        <v/>
      </c>
      <c r="U102" s="15">
        <f>IF(U101=0,0,IF(U$4=MAX('Assumptions'!$C$183,'Assumptions'!$C$9),'Assumptions'!$C$184,T102*(1+CHOOSE(U$6,'Assumptions'!$C$185,'Assumptions'!$C$186,'Assumptions'!$C$187))))</f>
        <v/>
      </c>
      <c r="V102" s="15">
        <f>IF(V101=0,0,IF(V$4=MAX('Assumptions'!$C$183,'Assumptions'!$C$9),'Assumptions'!$C$184,U102*(1+CHOOSE(V$6,'Assumptions'!$C$185,'Assumptions'!$C$186,'Assumptions'!$C$187))))</f>
        <v/>
      </c>
      <c r="W102" s="15">
        <f>IF(W101=0,0,IF(W$4=MAX('Assumptions'!$C$183,'Assumptions'!$C$9),'Assumptions'!$C$184,V102*(1+CHOOSE(W$6,'Assumptions'!$C$185,'Assumptions'!$C$186,'Assumptions'!$C$187))))</f>
        <v/>
      </c>
      <c r="X102" s="15">
        <f>IF(X101=0,0,IF(X$4=MAX('Assumptions'!$C$183,'Assumptions'!$C$9),'Assumptions'!$C$184,W102*(1+CHOOSE(X$6,'Assumptions'!$C$185,'Assumptions'!$C$186,'Assumptions'!$C$187))))</f>
        <v/>
      </c>
      <c r="Y102" s="15">
        <f>IF(Y101=0,0,IF(Y$4=MAX('Assumptions'!$C$183,'Assumptions'!$C$9),'Assumptions'!$C$184,X102*(1+CHOOSE(Y$6,'Assumptions'!$C$185,'Assumptions'!$C$186,'Assumptions'!$C$187))))</f>
        <v/>
      </c>
      <c r="Z102" s="15">
        <f>IF(Z101=0,0,IF(Z$4=MAX('Assumptions'!$C$183,'Assumptions'!$C$9),'Assumptions'!$C$184,Y102*(1+CHOOSE(Z$6,'Assumptions'!$C$185,'Assumptions'!$C$186,'Assumptions'!$C$187))))</f>
        <v/>
      </c>
      <c r="AA102" s="15">
        <f>IF(AA101=0,0,IF(AA$4=MAX('Assumptions'!$C$183,'Assumptions'!$C$9),'Assumptions'!$C$184,Z102*(1+CHOOSE(AA$6,'Assumptions'!$C$185,'Assumptions'!$C$186,'Assumptions'!$C$187))))</f>
        <v/>
      </c>
      <c r="AB102" s="15">
        <f>IF(AB101=0,0,IF(AB$4=MAX('Assumptions'!$C$183,'Assumptions'!$C$9),'Assumptions'!$C$184,AA102*(1+CHOOSE(AB$6,'Assumptions'!$C$185,'Assumptions'!$C$186,'Assumptions'!$C$187))))</f>
        <v/>
      </c>
      <c r="AC102" s="15">
        <f>IF(AC101=0,0,IF(AC$4=MAX('Assumptions'!$C$183,'Assumptions'!$C$9),'Assumptions'!$C$184,AB102*(1+CHOOSE(AC$6,'Assumptions'!$C$185,'Assumptions'!$C$186,'Assumptions'!$C$187))))</f>
        <v/>
      </c>
      <c r="AD102" s="15">
        <f>IF(AD101=0,0,IF(AD$4=MAX('Assumptions'!$C$183,'Assumptions'!$C$9),'Assumptions'!$C$184,AC102*(1+CHOOSE(AD$6,'Assumptions'!$C$185,'Assumptions'!$C$186,'Assumptions'!$C$187))))</f>
        <v/>
      </c>
      <c r="AE102" s="15">
        <f>IF(AE101=0,0,IF(AE$4=MAX('Assumptions'!$C$183,'Assumptions'!$C$9),'Assumptions'!$C$184,AD102*(1+CHOOSE(AE$6,'Assumptions'!$C$185,'Assumptions'!$C$186,'Assumptions'!$C$187))))</f>
        <v/>
      </c>
      <c r="AF102" s="15">
        <f>IF(AF101=0,0,IF(AF$4=MAX('Assumptions'!$C$183,'Assumptions'!$C$9),'Assumptions'!$C$184,AE102*(1+CHOOSE(AF$6,'Assumptions'!$C$185,'Assumptions'!$C$186,'Assumptions'!$C$187))))</f>
        <v/>
      </c>
      <c r="AG102" s="15">
        <f>IF(AG101=0,0,IF(AG$4=MAX('Assumptions'!$C$183,'Assumptions'!$C$9),'Assumptions'!$C$184,AF102*(1+CHOOSE(AG$6,'Assumptions'!$C$185,'Assumptions'!$C$186,'Assumptions'!$C$187))))</f>
        <v/>
      </c>
      <c r="AH102" s="15">
        <f>IF(AH101=0,0,IF(AH$4=MAX('Assumptions'!$C$183,'Assumptions'!$C$9),'Assumptions'!$C$184,AG102*(1+CHOOSE(AH$6,'Assumptions'!$C$185,'Assumptions'!$C$186,'Assumptions'!$C$187))))</f>
        <v/>
      </c>
      <c r="AI102" s="15">
        <f>IF(AI101=0,0,IF(AI$4=MAX('Assumptions'!$C$183,'Assumptions'!$C$9),'Assumptions'!$C$184,AH102*(1+CHOOSE(AI$6,'Assumptions'!$C$185,'Assumptions'!$C$186,'Assumptions'!$C$187))))</f>
        <v/>
      </c>
      <c r="AJ102" s="15">
        <f>IF(AJ101=0,0,IF(AJ$4=MAX('Assumptions'!$C$183,'Assumptions'!$C$9),'Assumptions'!$C$184,AI102*(1+CHOOSE(AJ$6,'Assumptions'!$C$185,'Assumptions'!$C$186,'Assumptions'!$C$187))))</f>
        <v/>
      </c>
      <c r="AK102" s="15">
        <f>IF(AK101=0,0,IF(AK$4=MAX('Assumptions'!$C$183,'Assumptions'!$C$9),'Assumptions'!$C$184,AJ102*(1+CHOOSE(AK$6,'Assumptions'!$C$185,'Assumptions'!$C$186,'Assumptions'!$C$187))))</f>
        <v/>
      </c>
      <c r="AL102" s="15">
        <f>IF(AL101=0,0,IF(AL$4=MAX('Assumptions'!$C$183,'Assumptions'!$C$9),'Assumptions'!$C$184,AK102*(1+CHOOSE(AL$6,'Assumptions'!$C$185,'Assumptions'!$C$186,'Assumptions'!$C$187))))</f>
        <v/>
      </c>
    </row>
    <row r="103">
      <c r="A103" s="7" t="inlineStr">
        <is>
          <t xml:space="preserve">   Retailer and marketplace views</t>
        </is>
      </c>
      <c r="B103" s="9" t="inlineStr">
        <is>
          <t>visits</t>
        </is>
      </c>
      <c r="C103" s="58">
        <f>C102*C$7</f>
        <v/>
      </c>
      <c r="D103" s="58">
        <f>D102*D$7</f>
        <v/>
      </c>
      <c r="E103" s="58">
        <f>E102*E$7</f>
        <v/>
      </c>
      <c r="F103" s="58">
        <f>F102*F$7</f>
        <v/>
      </c>
      <c r="G103" s="58">
        <f>G102*G$7</f>
        <v/>
      </c>
      <c r="H103" s="58">
        <f>H102*H$7</f>
        <v/>
      </c>
      <c r="I103" s="58">
        <f>I102*I$7</f>
        <v/>
      </c>
      <c r="J103" s="58">
        <f>J102*J$7</f>
        <v/>
      </c>
      <c r="K103" s="58">
        <f>K102*K$7</f>
        <v/>
      </c>
      <c r="L103" s="58">
        <f>L102*L$7</f>
        <v/>
      </c>
      <c r="M103" s="58">
        <f>M102*M$7</f>
        <v/>
      </c>
      <c r="N103" s="58">
        <f>N102*N$7</f>
        <v/>
      </c>
      <c r="O103" s="58">
        <f>O102*O$7</f>
        <v/>
      </c>
      <c r="P103" s="58">
        <f>P102*P$7</f>
        <v/>
      </c>
      <c r="Q103" s="58">
        <f>Q102*Q$7</f>
        <v/>
      </c>
      <c r="R103" s="58">
        <f>R102*R$7</f>
        <v/>
      </c>
      <c r="S103" s="58">
        <f>S102*S$7</f>
        <v/>
      </c>
      <c r="T103" s="58">
        <f>T102*T$7</f>
        <v/>
      </c>
      <c r="U103" s="58">
        <f>U102*U$7</f>
        <v/>
      </c>
      <c r="V103" s="58">
        <f>V102*V$7</f>
        <v/>
      </c>
      <c r="W103" s="58">
        <f>W102*W$7</f>
        <v/>
      </c>
      <c r="X103" s="58">
        <f>X102*X$7</f>
        <v/>
      </c>
      <c r="Y103" s="58">
        <f>Y102*Y$7</f>
        <v/>
      </c>
      <c r="Z103" s="58">
        <f>Z102*Z$7</f>
        <v/>
      </c>
      <c r="AA103" s="58">
        <f>AA102*AA$7</f>
        <v/>
      </c>
      <c r="AB103" s="58">
        <f>AB102*AB$7</f>
        <v/>
      </c>
      <c r="AC103" s="58">
        <f>AC102*AC$7</f>
        <v/>
      </c>
      <c r="AD103" s="58">
        <f>AD102*AD$7</f>
        <v/>
      </c>
      <c r="AE103" s="58">
        <f>AE102*AE$7</f>
        <v/>
      </c>
      <c r="AF103" s="58">
        <f>AF102*AF$7</f>
        <v/>
      </c>
      <c r="AG103" s="58">
        <f>AG102*AG$7</f>
        <v/>
      </c>
      <c r="AH103" s="58">
        <f>AH102*AH$7</f>
        <v/>
      </c>
      <c r="AI103" s="58">
        <f>AI102*AI$7</f>
        <v/>
      </c>
      <c r="AJ103" s="58">
        <f>AJ102*AJ$7</f>
        <v/>
      </c>
      <c r="AK103" s="58">
        <f>AK102*AK$7</f>
        <v/>
      </c>
      <c r="AL103" s="58">
        <f>AL102*AL$7</f>
        <v/>
      </c>
      <c r="AM103" s="57">
        <f>SUMIF($C$6:$AL$6,1,C103:AL103)</f>
        <v/>
      </c>
      <c r="AN103" s="57">
        <f>SUMIF($C$6:$AL$6,2,C103:AL103)</f>
        <v/>
      </c>
      <c r="AO103" s="57">
        <f>SUMIF($C$6:$AL$6,3,C103:AL103)</f>
        <v/>
      </c>
      <c r="AP103" s="57">
        <f>SUM(C103:AL103)</f>
        <v/>
      </c>
    </row>
    <row r="104">
      <c r="A104" s="7" t="inlineStr">
        <is>
          <t xml:space="preserve">   Conversion rate (with review ramp)</t>
        </is>
      </c>
      <c r="B104" s="9" t="inlineStr">
        <is>
          <t>%</t>
        </is>
      </c>
      <c r="C104" s="59">
        <f>'Assumptions'!$C$188*MIN(1,(C$4-MAX('Assumptions'!$C$183,'Assumptions'!$C$9)+1)/'Assumptions'!$C$11)*C101</f>
        <v/>
      </c>
      <c r="D104" s="59">
        <f>'Assumptions'!$C$188*MIN(1,(D$4-MAX('Assumptions'!$C$183,'Assumptions'!$C$9)+1)/'Assumptions'!$C$11)*D101</f>
        <v/>
      </c>
      <c r="E104" s="59">
        <f>'Assumptions'!$C$188*MIN(1,(E$4-MAX('Assumptions'!$C$183,'Assumptions'!$C$9)+1)/'Assumptions'!$C$11)*E101</f>
        <v/>
      </c>
      <c r="F104" s="59">
        <f>'Assumptions'!$C$188*MIN(1,(F$4-MAX('Assumptions'!$C$183,'Assumptions'!$C$9)+1)/'Assumptions'!$C$11)*F101</f>
        <v/>
      </c>
      <c r="G104" s="59">
        <f>'Assumptions'!$C$188*MIN(1,(G$4-MAX('Assumptions'!$C$183,'Assumptions'!$C$9)+1)/'Assumptions'!$C$11)*G101</f>
        <v/>
      </c>
      <c r="H104" s="59">
        <f>'Assumptions'!$C$188*MIN(1,(H$4-MAX('Assumptions'!$C$183,'Assumptions'!$C$9)+1)/'Assumptions'!$C$11)*H101</f>
        <v/>
      </c>
      <c r="I104" s="59">
        <f>'Assumptions'!$C$188*MIN(1,(I$4-MAX('Assumptions'!$C$183,'Assumptions'!$C$9)+1)/'Assumptions'!$C$11)*I101</f>
        <v/>
      </c>
      <c r="J104" s="59">
        <f>'Assumptions'!$C$188*MIN(1,(J$4-MAX('Assumptions'!$C$183,'Assumptions'!$C$9)+1)/'Assumptions'!$C$11)*J101</f>
        <v/>
      </c>
      <c r="K104" s="59">
        <f>'Assumptions'!$C$188*MIN(1,(K$4-MAX('Assumptions'!$C$183,'Assumptions'!$C$9)+1)/'Assumptions'!$C$11)*K101</f>
        <v/>
      </c>
      <c r="L104" s="59">
        <f>'Assumptions'!$C$188*MIN(1,(L$4-MAX('Assumptions'!$C$183,'Assumptions'!$C$9)+1)/'Assumptions'!$C$11)*L101</f>
        <v/>
      </c>
      <c r="M104" s="59">
        <f>'Assumptions'!$C$188*MIN(1,(M$4-MAX('Assumptions'!$C$183,'Assumptions'!$C$9)+1)/'Assumptions'!$C$11)*M101</f>
        <v/>
      </c>
      <c r="N104" s="59">
        <f>'Assumptions'!$C$188*MIN(1,(N$4-MAX('Assumptions'!$C$183,'Assumptions'!$C$9)+1)/'Assumptions'!$C$11)*N101</f>
        <v/>
      </c>
      <c r="O104" s="59">
        <f>'Assumptions'!$C$188*MIN(1,(O$4-MAX('Assumptions'!$C$183,'Assumptions'!$C$9)+1)/'Assumptions'!$C$11)*O101</f>
        <v/>
      </c>
      <c r="P104" s="59">
        <f>'Assumptions'!$C$188*MIN(1,(P$4-MAX('Assumptions'!$C$183,'Assumptions'!$C$9)+1)/'Assumptions'!$C$11)*P101</f>
        <v/>
      </c>
      <c r="Q104" s="59">
        <f>'Assumptions'!$C$188*MIN(1,(Q$4-MAX('Assumptions'!$C$183,'Assumptions'!$C$9)+1)/'Assumptions'!$C$11)*Q101</f>
        <v/>
      </c>
      <c r="R104" s="59">
        <f>'Assumptions'!$C$188*MIN(1,(R$4-MAX('Assumptions'!$C$183,'Assumptions'!$C$9)+1)/'Assumptions'!$C$11)*R101</f>
        <v/>
      </c>
      <c r="S104" s="59">
        <f>'Assumptions'!$C$188*MIN(1,(S$4-MAX('Assumptions'!$C$183,'Assumptions'!$C$9)+1)/'Assumptions'!$C$11)*S101</f>
        <v/>
      </c>
      <c r="T104" s="59">
        <f>'Assumptions'!$C$188*MIN(1,(T$4-MAX('Assumptions'!$C$183,'Assumptions'!$C$9)+1)/'Assumptions'!$C$11)*T101</f>
        <v/>
      </c>
      <c r="U104" s="59">
        <f>'Assumptions'!$C$188*MIN(1,(U$4-MAX('Assumptions'!$C$183,'Assumptions'!$C$9)+1)/'Assumptions'!$C$11)*U101</f>
        <v/>
      </c>
      <c r="V104" s="59">
        <f>'Assumptions'!$C$188*MIN(1,(V$4-MAX('Assumptions'!$C$183,'Assumptions'!$C$9)+1)/'Assumptions'!$C$11)*V101</f>
        <v/>
      </c>
      <c r="W104" s="59">
        <f>'Assumptions'!$C$188*MIN(1,(W$4-MAX('Assumptions'!$C$183,'Assumptions'!$C$9)+1)/'Assumptions'!$C$11)*W101</f>
        <v/>
      </c>
      <c r="X104" s="59">
        <f>'Assumptions'!$C$188*MIN(1,(X$4-MAX('Assumptions'!$C$183,'Assumptions'!$C$9)+1)/'Assumptions'!$C$11)*X101</f>
        <v/>
      </c>
      <c r="Y104" s="59">
        <f>'Assumptions'!$C$188*MIN(1,(Y$4-MAX('Assumptions'!$C$183,'Assumptions'!$C$9)+1)/'Assumptions'!$C$11)*Y101</f>
        <v/>
      </c>
      <c r="Z104" s="59">
        <f>'Assumptions'!$C$188*MIN(1,(Z$4-MAX('Assumptions'!$C$183,'Assumptions'!$C$9)+1)/'Assumptions'!$C$11)*Z101</f>
        <v/>
      </c>
      <c r="AA104" s="59">
        <f>'Assumptions'!$C$188*MIN(1,(AA$4-MAX('Assumptions'!$C$183,'Assumptions'!$C$9)+1)/'Assumptions'!$C$11)*AA101</f>
        <v/>
      </c>
      <c r="AB104" s="59">
        <f>'Assumptions'!$C$188*MIN(1,(AB$4-MAX('Assumptions'!$C$183,'Assumptions'!$C$9)+1)/'Assumptions'!$C$11)*AB101</f>
        <v/>
      </c>
      <c r="AC104" s="59">
        <f>'Assumptions'!$C$188*MIN(1,(AC$4-MAX('Assumptions'!$C$183,'Assumptions'!$C$9)+1)/'Assumptions'!$C$11)*AC101</f>
        <v/>
      </c>
      <c r="AD104" s="59">
        <f>'Assumptions'!$C$188*MIN(1,(AD$4-MAX('Assumptions'!$C$183,'Assumptions'!$C$9)+1)/'Assumptions'!$C$11)*AD101</f>
        <v/>
      </c>
      <c r="AE104" s="59">
        <f>'Assumptions'!$C$188*MIN(1,(AE$4-MAX('Assumptions'!$C$183,'Assumptions'!$C$9)+1)/'Assumptions'!$C$11)*AE101</f>
        <v/>
      </c>
      <c r="AF104" s="59">
        <f>'Assumptions'!$C$188*MIN(1,(AF$4-MAX('Assumptions'!$C$183,'Assumptions'!$C$9)+1)/'Assumptions'!$C$11)*AF101</f>
        <v/>
      </c>
      <c r="AG104" s="59">
        <f>'Assumptions'!$C$188*MIN(1,(AG$4-MAX('Assumptions'!$C$183,'Assumptions'!$C$9)+1)/'Assumptions'!$C$11)*AG101</f>
        <v/>
      </c>
      <c r="AH104" s="59">
        <f>'Assumptions'!$C$188*MIN(1,(AH$4-MAX('Assumptions'!$C$183,'Assumptions'!$C$9)+1)/'Assumptions'!$C$11)*AH101</f>
        <v/>
      </c>
      <c r="AI104" s="59">
        <f>'Assumptions'!$C$188*MIN(1,(AI$4-MAX('Assumptions'!$C$183,'Assumptions'!$C$9)+1)/'Assumptions'!$C$11)*AI101</f>
        <v/>
      </c>
      <c r="AJ104" s="59">
        <f>'Assumptions'!$C$188*MIN(1,(AJ$4-MAX('Assumptions'!$C$183,'Assumptions'!$C$9)+1)/'Assumptions'!$C$11)*AJ101</f>
        <v/>
      </c>
      <c r="AK104" s="59">
        <f>'Assumptions'!$C$188*MIN(1,(AK$4-MAX('Assumptions'!$C$183,'Assumptions'!$C$9)+1)/'Assumptions'!$C$11)*AK101</f>
        <v/>
      </c>
      <c r="AL104" s="59">
        <f>'Assumptions'!$C$188*MIN(1,(AL$4-MAX('Assumptions'!$C$183,'Assumptions'!$C$9)+1)/'Assumptions'!$C$11)*AL101</f>
        <v/>
      </c>
    </row>
    <row r="105">
      <c r="A105" s="7" t="inlineStr">
        <is>
          <t xml:space="preserve">   Orders</t>
        </is>
      </c>
      <c r="B105" s="9" t="inlineStr">
        <is>
          <t>orders</t>
        </is>
      </c>
      <c r="C105" s="56">
        <f>C103*C104</f>
        <v/>
      </c>
      <c r="D105" s="56">
        <f>D103*D104</f>
        <v/>
      </c>
      <c r="E105" s="56">
        <f>E103*E104</f>
        <v/>
      </c>
      <c r="F105" s="56">
        <f>F103*F104</f>
        <v/>
      </c>
      <c r="G105" s="56">
        <f>G103*G104</f>
        <v/>
      </c>
      <c r="H105" s="56">
        <f>H103*H104</f>
        <v/>
      </c>
      <c r="I105" s="56">
        <f>I103*I104</f>
        <v/>
      </c>
      <c r="J105" s="56">
        <f>J103*J104</f>
        <v/>
      </c>
      <c r="K105" s="56">
        <f>K103*K104</f>
        <v/>
      </c>
      <c r="L105" s="56">
        <f>L103*L104</f>
        <v/>
      </c>
      <c r="M105" s="56">
        <f>M103*M104</f>
        <v/>
      </c>
      <c r="N105" s="56">
        <f>N103*N104</f>
        <v/>
      </c>
      <c r="O105" s="56">
        <f>O103*O104</f>
        <v/>
      </c>
      <c r="P105" s="56">
        <f>P103*P104</f>
        <v/>
      </c>
      <c r="Q105" s="56">
        <f>Q103*Q104</f>
        <v/>
      </c>
      <c r="R105" s="56">
        <f>R103*R104</f>
        <v/>
      </c>
      <c r="S105" s="56">
        <f>S103*S104</f>
        <v/>
      </c>
      <c r="T105" s="56">
        <f>T103*T104</f>
        <v/>
      </c>
      <c r="U105" s="56">
        <f>U103*U104</f>
        <v/>
      </c>
      <c r="V105" s="56">
        <f>V103*V104</f>
        <v/>
      </c>
      <c r="W105" s="56">
        <f>W103*W104</f>
        <v/>
      </c>
      <c r="X105" s="56">
        <f>X103*X104</f>
        <v/>
      </c>
      <c r="Y105" s="56">
        <f>Y103*Y104</f>
        <v/>
      </c>
      <c r="Z105" s="56">
        <f>Z103*Z104</f>
        <v/>
      </c>
      <c r="AA105" s="56">
        <f>AA103*AA104</f>
        <v/>
      </c>
      <c r="AB105" s="56">
        <f>AB103*AB104</f>
        <v/>
      </c>
      <c r="AC105" s="56">
        <f>AC103*AC104</f>
        <v/>
      </c>
      <c r="AD105" s="56">
        <f>AD103*AD104</f>
        <v/>
      </c>
      <c r="AE105" s="56">
        <f>AE103*AE104</f>
        <v/>
      </c>
      <c r="AF105" s="56">
        <f>AF103*AF104</f>
        <v/>
      </c>
      <c r="AG105" s="56">
        <f>AG103*AG104</f>
        <v/>
      </c>
      <c r="AH105" s="56">
        <f>AH103*AH104</f>
        <v/>
      </c>
      <c r="AI105" s="56">
        <f>AI103*AI104</f>
        <v/>
      </c>
      <c r="AJ105" s="56">
        <f>AJ103*AJ104</f>
        <v/>
      </c>
      <c r="AK105" s="56">
        <f>AK103*AK104</f>
        <v/>
      </c>
      <c r="AL105" s="56">
        <f>AL103*AL104</f>
        <v/>
      </c>
      <c r="AM105" s="57">
        <f>SUMIF($C$6:$AL$6,1,C105:AL105)</f>
        <v/>
      </c>
      <c r="AN105" s="57">
        <f>SUMIF($C$6:$AL$6,2,C105:AL105)</f>
        <v/>
      </c>
      <c r="AO105" s="57">
        <f>SUMIF($C$6:$AL$6,3,C105:AL105)</f>
        <v/>
      </c>
      <c r="AP105" s="57">
        <f>SUM(C105:AL105)</f>
        <v/>
      </c>
    </row>
    <row r="106">
      <c r="A106" s="7" t="inlineStr">
        <is>
          <t xml:space="preserve">   Items sold</t>
        </is>
      </c>
      <c r="B106" s="9" t="inlineStr">
        <is>
          <t>items</t>
        </is>
      </c>
      <c r="C106" s="14">
        <f>C105*'Assumptions'!$C$189</f>
        <v/>
      </c>
      <c r="D106" s="14">
        <f>D105*'Assumptions'!$C$189</f>
        <v/>
      </c>
      <c r="E106" s="14">
        <f>E105*'Assumptions'!$C$189</f>
        <v/>
      </c>
      <c r="F106" s="14">
        <f>F105*'Assumptions'!$C$189</f>
        <v/>
      </c>
      <c r="G106" s="14">
        <f>G105*'Assumptions'!$C$189</f>
        <v/>
      </c>
      <c r="H106" s="14">
        <f>H105*'Assumptions'!$C$189</f>
        <v/>
      </c>
      <c r="I106" s="14">
        <f>I105*'Assumptions'!$C$189</f>
        <v/>
      </c>
      <c r="J106" s="14">
        <f>J105*'Assumptions'!$C$189</f>
        <v/>
      </c>
      <c r="K106" s="14">
        <f>K105*'Assumptions'!$C$189</f>
        <v/>
      </c>
      <c r="L106" s="14">
        <f>L105*'Assumptions'!$C$189</f>
        <v/>
      </c>
      <c r="M106" s="14">
        <f>M105*'Assumptions'!$C$189</f>
        <v/>
      </c>
      <c r="N106" s="14">
        <f>N105*'Assumptions'!$C$189</f>
        <v/>
      </c>
      <c r="O106" s="14">
        <f>O105*'Assumptions'!$C$189</f>
        <v/>
      </c>
      <c r="P106" s="14">
        <f>P105*'Assumptions'!$C$189</f>
        <v/>
      </c>
      <c r="Q106" s="14">
        <f>Q105*'Assumptions'!$C$189</f>
        <v/>
      </c>
      <c r="R106" s="14">
        <f>R105*'Assumptions'!$C$189</f>
        <v/>
      </c>
      <c r="S106" s="14">
        <f>S105*'Assumptions'!$C$189</f>
        <v/>
      </c>
      <c r="T106" s="14">
        <f>T105*'Assumptions'!$C$189</f>
        <v/>
      </c>
      <c r="U106" s="14">
        <f>U105*'Assumptions'!$C$189</f>
        <v/>
      </c>
      <c r="V106" s="14">
        <f>V105*'Assumptions'!$C$189</f>
        <v/>
      </c>
      <c r="W106" s="14">
        <f>W105*'Assumptions'!$C$189</f>
        <v/>
      </c>
      <c r="X106" s="14">
        <f>X105*'Assumptions'!$C$189</f>
        <v/>
      </c>
      <c r="Y106" s="14">
        <f>Y105*'Assumptions'!$C$189</f>
        <v/>
      </c>
      <c r="Z106" s="14">
        <f>Z105*'Assumptions'!$C$189</f>
        <v/>
      </c>
      <c r="AA106" s="14">
        <f>AA105*'Assumptions'!$C$189</f>
        <v/>
      </c>
      <c r="AB106" s="14">
        <f>AB105*'Assumptions'!$C$189</f>
        <v/>
      </c>
      <c r="AC106" s="14">
        <f>AC105*'Assumptions'!$C$189</f>
        <v/>
      </c>
      <c r="AD106" s="14">
        <f>AD105*'Assumptions'!$C$189</f>
        <v/>
      </c>
      <c r="AE106" s="14">
        <f>AE105*'Assumptions'!$C$189</f>
        <v/>
      </c>
      <c r="AF106" s="14">
        <f>AF105*'Assumptions'!$C$189</f>
        <v/>
      </c>
      <c r="AG106" s="14">
        <f>AG105*'Assumptions'!$C$189</f>
        <v/>
      </c>
      <c r="AH106" s="14">
        <f>AH105*'Assumptions'!$C$189</f>
        <v/>
      </c>
      <c r="AI106" s="14">
        <f>AI105*'Assumptions'!$C$189</f>
        <v/>
      </c>
      <c r="AJ106" s="14">
        <f>AJ105*'Assumptions'!$C$189</f>
        <v/>
      </c>
      <c r="AK106" s="14">
        <f>AK105*'Assumptions'!$C$189</f>
        <v/>
      </c>
      <c r="AL106" s="14">
        <f>AL105*'Assumptions'!$C$189</f>
        <v/>
      </c>
      <c r="AM106" s="57">
        <f>SUMIF($C$6:$AL$6,1,C106:AL106)</f>
        <v/>
      </c>
      <c r="AN106" s="57">
        <f>SUMIF($C$6:$AL$6,2,C106:AL106)</f>
        <v/>
      </c>
      <c r="AO106" s="57">
        <f>SUMIF($C$6:$AL$6,3,C106:AL106)</f>
        <v/>
      </c>
      <c r="AP106" s="57">
        <f>SUM(C106:AL106)</f>
        <v/>
      </c>
    </row>
    <row r="107">
      <c r="A107" s="7" t="inlineStr">
        <is>
          <t xml:space="preserve">   Average order value</t>
        </is>
      </c>
      <c r="B107" s="9" t="inlineStr">
        <is>
          <t>$</t>
        </is>
      </c>
      <c r="C107" s="16">
        <f>'Unit Economics'!$E$57*'Assumptions'!$C$189*C101</f>
        <v/>
      </c>
      <c r="D107" s="16">
        <f>'Unit Economics'!$E$57*'Assumptions'!$C$189*D101</f>
        <v/>
      </c>
      <c r="E107" s="16">
        <f>'Unit Economics'!$E$57*'Assumptions'!$C$189*E101</f>
        <v/>
      </c>
      <c r="F107" s="16">
        <f>'Unit Economics'!$E$57*'Assumptions'!$C$189*F101</f>
        <v/>
      </c>
      <c r="G107" s="16">
        <f>'Unit Economics'!$E$57*'Assumptions'!$C$189*G101</f>
        <v/>
      </c>
      <c r="H107" s="16">
        <f>'Unit Economics'!$E$57*'Assumptions'!$C$189*H101</f>
        <v/>
      </c>
      <c r="I107" s="16">
        <f>'Unit Economics'!$E$57*'Assumptions'!$C$189*I101</f>
        <v/>
      </c>
      <c r="J107" s="16">
        <f>'Unit Economics'!$E$57*'Assumptions'!$C$189*J101</f>
        <v/>
      </c>
      <c r="K107" s="16">
        <f>'Unit Economics'!$E$57*'Assumptions'!$C$189*K101</f>
        <v/>
      </c>
      <c r="L107" s="16">
        <f>'Unit Economics'!$E$57*'Assumptions'!$C$189*L101</f>
        <v/>
      </c>
      <c r="M107" s="16">
        <f>'Unit Economics'!$E$57*'Assumptions'!$C$189*M101</f>
        <v/>
      </c>
      <c r="N107" s="16">
        <f>'Unit Economics'!$E$57*'Assumptions'!$C$189*N101</f>
        <v/>
      </c>
      <c r="O107" s="16">
        <f>'Unit Economics'!$E$57*'Assumptions'!$C$189*O101</f>
        <v/>
      </c>
      <c r="P107" s="16">
        <f>'Unit Economics'!$E$57*'Assumptions'!$C$189*P101</f>
        <v/>
      </c>
      <c r="Q107" s="16">
        <f>'Unit Economics'!$E$57*'Assumptions'!$C$189*Q101</f>
        <v/>
      </c>
      <c r="R107" s="16">
        <f>'Unit Economics'!$E$57*'Assumptions'!$C$189*R101</f>
        <v/>
      </c>
      <c r="S107" s="16">
        <f>'Unit Economics'!$E$57*'Assumptions'!$C$189*S101</f>
        <v/>
      </c>
      <c r="T107" s="16">
        <f>'Unit Economics'!$E$57*'Assumptions'!$C$189*T101</f>
        <v/>
      </c>
      <c r="U107" s="16">
        <f>'Unit Economics'!$E$57*'Assumptions'!$C$189*U101</f>
        <v/>
      </c>
      <c r="V107" s="16">
        <f>'Unit Economics'!$E$57*'Assumptions'!$C$189*V101</f>
        <v/>
      </c>
      <c r="W107" s="16">
        <f>'Unit Economics'!$E$57*'Assumptions'!$C$189*W101</f>
        <v/>
      </c>
      <c r="X107" s="16">
        <f>'Unit Economics'!$E$57*'Assumptions'!$C$189*X101</f>
        <v/>
      </c>
      <c r="Y107" s="16">
        <f>'Unit Economics'!$E$57*'Assumptions'!$C$189*Y101</f>
        <v/>
      </c>
      <c r="Z107" s="16">
        <f>'Unit Economics'!$E$57*'Assumptions'!$C$189*Z101</f>
        <v/>
      </c>
      <c r="AA107" s="16">
        <f>'Unit Economics'!$E$57*'Assumptions'!$C$189*AA101</f>
        <v/>
      </c>
      <c r="AB107" s="16">
        <f>'Unit Economics'!$E$57*'Assumptions'!$C$189*AB101</f>
        <v/>
      </c>
      <c r="AC107" s="16">
        <f>'Unit Economics'!$E$57*'Assumptions'!$C$189*AC101</f>
        <v/>
      </c>
      <c r="AD107" s="16">
        <f>'Unit Economics'!$E$57*'Assumptions'!$C$189*AD101</f>
        <v/>
      </c>
      <c r="AE107" s="16">
        <f>'Unit Economics'!$E$57*'Assumptions'!$C$189*AE101</f>
        <v/>
      </c>
      <c r="AF107" s="16">
        <f>'Unit Economics'!$E$57*'Assumptions'!$C$189*AF101</f>
        <v/>
      </c>
      <c r="AG107" s="16">
        <f>'Unit Economics'!$E$57*'Assumptions'!$C$189*AG101</f>
        <v/>
      </c>
      <c r="AH107" s="16">
        <f>'Unit Economics'!$E$57*'Assumptions'!$C$189*AH101</f>
        <v/>
      </c>
      <c r="AI107" s="16">
        <f>'Unit Economics'!$E$57*'Assumptions'!$C$189*AI101</f>
        <v/>
      </c>
      <c r="AJ107" s="16">
        <f>'Unit Economics'!$E$57*'Assumptions'!$C$189*AJ101</f>
        <v/>
      </c>
      <c r="AK107" s="16">
        <f>'Unit Economics'!$E$57*'Assumptions'!$C$189*AK101</f>
        <v/>
      </c>
      <c r="AL107" s="16">
        <f>'Unit Economics'!$E$57*'Assumptions'!$C$189*AL101</f>
        <v/>
      </c>
    </row>
    <row r="108">
      <c r="A108" s="7" t="inlineStr">
        <is>
          <t xml:space="preserve">   Gross sales (price paid by customers)</t>
        </is>
      </c>
      <c r="B108" s="9" t="inlineStr">
        <is>
          <t>$</t>
        </is>
      </c>
      <c r="C108" s="8">
        <f>C106*'Unit Economics'!$E$57</f>
        <v/>
      </c>
      <c r="D108" s="8">
        <f>D106*'Unit Economics'!$E$57</f>
        <v/>
      </c>
      <c r="E108" s="8">
        <f>E106*'Unit Economics'!$E$57</f>
        <v/>
      </c>
      <c r="F108" s="8">
        <f>F106*'Unit Economics'!$E$57</f>
        <v/>
      </c>
      <c r="G108" s="8">
        <f>G106*'Unit Economics'!$E$57</f>
        <v/>
      </c>
      <c r="H108" s="8">
        <f>H106*'Unit Economics'!$E$57</f>
        <v/>
      </c>
      <c r="I108" s="8">
        <f>I106*'Unit Economics'!$E$57</f>
        <v/>
      </c>
      <c r="J108" s="8">
        <f>J106*'Unit Economics'!$E$57</f>
        <v/>
      </c>
      <c r="K108" s="8">
        <f>K106*'Unit Economics'!$E$57</f>
        <v/>
      </c>
      <c r="L108" s="8">
        <f>L106*'Unit Economics'!$E$57</f>
        <v/>
      </c>
      <c r="M108" s="8">
        <f>M106*'Unit Economics'!$E$57</f>
        <v/>
      </c>
      <c r="N108" s="8">
        <f>N106*'Unit Economics'!$E$57</f>
        <v/>
      </c>
      <c r="O108" s="8">
        <f>O106*'Unit Economics'!$E$57</f>
        <v/>
      </c>
      <c r="P108" s="8">
        <f>P106*'Unit Economics'!$E$57</f>
        <v/>
      </c>
      <c r="Q108" s="8">
        <f>Q106*'Unit Economics'!$E$57</f>
        <v/>
      </c>
      <c r="R108" s="8">
        <f>R106*'Unit Economics'!$E$57</f>
        <v/>
      </c>
      <c r="S108" s="8">
        <f>S106*'Unit Economics'!$E$57</f>
        <v/>
      </c>
      <c r="T108" s="8">
        <f>T106*'Unit Economics'!$E$57</f>
        <v/>
      </c>
      <c r="U108" s="8">
        <f>U106*'Unit Economics'!$E$57</f>
        <v/>
      </c>
      <c r="V108" s="8">
        <f>V106*'Unit Economics'!$E$57</f>
        <v/>
      </c>
      <c r="W108" s="8">
        <f>W106*'Unit Economics'!$E$57</f>
        <v/>
      </c>
      <c r="X108" s="8">
        <f>X106*'Unit Economics'!$E$57</f>
        <v/>
      </c>
      <c r="Y108" s="8">
        <f>Y106*'Unit Economics'!$E$57</f>
        <v/>
      </c>
      <c r="Z108" s="8">
        <f>Z106*'Unit Economics'!$E$57</f>
        <v/>
      </c>
      <c r="AA108" s="8">
        <f>AA106*'Unit Economics'!$E$57</f>
        <v/>
      </c>
      <c r="AB108" s="8">
        <f>AB106*'Unit Economics'!$E$57</f>
        <v/>
      </c>
      <c r="AC108" s="8">
        <f>AC106*'Unit Economics'!$E$57</f>
        <v/>
      </c>
      <c r="AD108" s="8">
        <f>AD106*'Unit Economics'!$E$57</f>
        <v/>
      </c>
      <c r="AE108" s="8">
        <f>AE106*'Unit Economics'!$E$57</f>
        <v/>
      </c>
      <c r="AF108" s="8">
        <f>AF106*'Unit Economics'!$E$57</f>
        <v/>
      </c>
      <c r="AG108" s="8">
        <f>AG106*'Unit Economics'!$E$57</f>
        <v/>
      </c>
      <c r="AH108" s="8">
        <f>AH106*'Unit Economics'!$E$57</f>
        <v/>
      </c>
      <c r="AI108" s="8">
        <f>AI106*'Unit Economics'!$E$57</f>
        <v/>
      </c>
      <c r="AJ108" s="8">
        <f>AJ106*'Unit Economics'!$E$57</f>
        <v/>
      </c>
      <c r="AK108" s="8">
        <f>AK106*'Unit Economics'!$E$57</f>
        <v/>
      </c>
      <c r="AL108" s="8">
        <f>AL106*'Unit Economics'!$E$57</f>
        <v/>
      </c>
      <c r="AM108" s="47">
        <f>SUMIF($C$6:$AL$6,1,C108:AL108)</f>
        <v/>
      </c>
      <c r="AN108" s="47">
        <f>SUMIF($C$6:$AL$6,2,C108:AL108)</f>
        <v/>
      </c>
      <c r="AO108" s="47">
        <f>SUMIF($C$6:$AL$6,3,C108:AL108)</f>
        <v/>
      </c>
      <c r="AP108" s="47">
        <f>SUM(C108:AL108)</f>
        <v/>
      </c>
    </row>
    <row r="109">
      <c r="A109" s="7" t="inlineStr">
        <is>
          <t xml:space="preserve">   Net contribution to AlphaPlay</t>
        </is>
      </c>
      <c r="B109" s="9" t="inlineStr">
        <is>
          <t>$</t>
        </is>
      </c>
      <c r="C109" s="8">
        <f>C106*'Unit Economics'!$F$57</f>
        <v/>
      </c>
      <c r="D109" s="8">
        <f>D106*'Unit Economics'!$F$57</f>
        <v/>
      </c>
      <c r="E109" s="8">
        <f>E106*'Unit Economics'!$F$57</f>
        <v/>
      </c>
      <c r="F109" s="8">
        <f>F106*'Unit Economics'!$F$57</f>
        <v/>
      </c>
      <c r="G109" s="8">
        <f>G106*'Unit Economics'!$F$57</f>
        <v/>
      </c>
      <c r="H109" s="8">
        <f>H106*'Unit Economics'!$F$57</f>
        <v/>
      </c>
      <c r="I109" s="8">
        <f>I106*'Unit Economics'!$F$57</f>
        <v/>
      </c>
      <c r="J109" s="8">
        <f>J106*'Unit Economics'!$F$57</f>
        <v/>
      </c>
      <c r="K109" s="8">
        <f>K106*'Unit Economics'!$F$57</f>
        <v/>
      </c>
      <c r="L109" s="8">
        <f>L106*'Unit Economics'!$F$57</f>
        <v/>
      </c>
      <c r="M109" s="8">
        <f>M106*'Unit Economics'!$F$57</f>
        <v/>
      </c>
      <c r="N109" s="8">
        <f>N106*'Unit Economics'!$F$57</f>
        <v/>
      </c>
      <c r="O109" s="8">
        <f>O106*'Unit Economics'!$F$57</f>
        <v/>
      </c>
      <c r="P109" s="8">
        <f>P106*'Unit Economics'!$F$57</f>
        <v/>
      </c>
      <c r="Q109" s="8">
        <f>Q106*'Unit Economics'!$F$57</f>
        <v/>
      </c>
      <c r="R109" s="8">
        <f>R106*'Unit Economics'!$F$57</f>
        <v/>
      </c>
      <c r="S109" s="8">
        <f>S106*'Unit Economics'!$F$57</f>
        <v/>
      </c>
      <c r="T109" s="8">
        <f>T106*'Unit Economics'!$F$57</f>
        <v/>
      </c>
      <c r="U109" s="8">
        <f>U106*'Unit Economics'!$F$57</f>
        <v/>
      </c>
      <c r="V109" s="8">
        <f>V106*'Unit Economics'!$F$57</f>
        <v/>
      </c>
      <c r="W109" s="8">
        <f>W106*'Unit Economics'!$F$57</f>
        <v/>
      </c>
      <c r="X109" s="8">
        <f>X106*'Unit Economics'!$F$57</f>
        <v/>
      </c>
      <c r="Y109" s="8">
        <f>Y106*'Unit Economics'!$F$57</f>
        <v/>
      </c>
      <c r="Z109" s="8">
        <f>Z106*'Unit Economics'!$F$57</f>
        <v/>
      </c>
      <c r="AA109" s="8">
        <f>AA106*'Unit Economics'!$F$57</f>
        <v/>
      </c>
      <c r="AB109" s="8">
        <f>AB106*'Unit Economics'!$F$57</f>
        <v/>
      </c>
      <c r="AC109" s="8">
        <f>AC106*'Unit Economics'!$F$57</f>
        <v/>
      </c>
      <c r="AD109" s="8">
        <f>AD106*'Unit Economics'!$F$57</f>
        <v/>
      </c>
      <c r="AE109" s="8">
        <f>AE106*'Unit Economics'!$F$57</f>
        <v/>
      </c>
      <c r="AF109" s="8">
        <f>AF106*'Unit Economics'!$F$57</f>
        <v/>
      </c>
      <c r="AG109" s="8">
        <f>AG106*'Unit Economics'!$F$57</f>
        <v/>
      </c>
      <c r="AH109" s="8">
        <f>AH106*'Unit Economics'!$F$57</f>
        <v/>
      </c>
      <c r="AI109" s="8">
        <f>AI106*'Unit Economics'!$F$57</f>
        <v/>
      </c>
      <c r="AJ109" s="8">
        <f>AJ106*'Unit Economics'!$F$57</f>
        <v/>
      </c>
      <c r="AK109" s="8">
        <f>AK106*'Unit Economics'!$F$57</f>
        <v/>
      </c>
      <c r="AL109" s="8">
        <f>AL106*'Unit Economics'!$F$57</f>
        <v/>
      </c>
      <c r="AM109" s="47">
        <f>SUMIF($C$6:$AL$6,1,C109:AL109)</f>
        <v/>
      </c>
      <c r="AN109" s="47">
        <f>SUMIF($C$6:$AL$6,2,C109:AL109)</f>
        <v/>
      </c>
      <c r="AO109" s="47">
        <f>SUMIF($C$6:$AL$6,3,C109:AL109)</f>
        <v/>
      </c>
      <c r="AP109" s="47">
        <f>SUM(C109:AL109)</f>
        <v/>
      </c>
    </row>
    <row r="110">
      <c r="A110" s="5" t="inlineStr">
        <is>
          <t>Email list (owned audience)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  <c r="AC110" s="6" t="n"/>
      <c r="AD110" s="6" t="n"/>
      <c r="AE110" s="6" t="n"/>
      <c r="AF110" s="6" t="n"/>
      <c r="AG110" s="6" t="n"/>
      <c r="AH110" s="6" t="n"/>
      <c r="AI110" s="6" t="n"/>
      <c r="AJ110" s="6" t="n"/>
      <c r="AK110" s="6" t="n"/>
      <c r="AL110" s="6" t="n"/>
      <c r="AM110" s="6" t="n"/>
      <c r="AN110" s="6" t="n"/>
      <c r="AO110" s="6" t="n"/>
      <c r="AP110" s="6" t="n"/>
    </row>
    <row r="111">
      <c r="A111" s="7" t="inlineStr">
        <is>
          <t xml:space="preserve">   Implied own-site sessions (site product-months x orders per product / site conversion)</t>
        </is>
      </c>
      <c r="B111" s="9" t="inlineStr">
        <is>
          <t>visits</t>
        </is>
      </c>
      <c r="C111" s="15">
        <f>C22*'Assumptions'!$C$122/'Assumptions'!$C$124</f>
        <v/>
      </c>
      <c r="D111" s="15">
        <f>D22*'Assumptions'!$C$122/'Assumptions'!$C$124</f>
        <v/>
      </c>
      <c r="E111" s="15">
        <f>E22*'Assumptions'!$C$122/'Assumptions'!$C$124</f>
        <v/>
      </c>
      <c r="F111" s="15">
        <f>F22*'Assumptions'!$C$122/'Assumptions'!$C$124</f>
        <v/>
      </c>
      <c r="G111" s="15">
        <f>G22*'Assumptions'!$C$122/'Assumptions'!$C$124</f>
        <v/>
      </c>
      <c r="H111" s="15">
        <f>H22*'Assumptions'!$C$122/'Assumptions'!$C$124</f>
        <v/>
      </c>
      <c r="I111" s="15">
        <f>I22*'Assumptions'!$C$122/'Assumptions'!$C$124</f>
        <v/>
      </c>
      <c r="J111" s="15">
        <f>J22*'Assumptions'!$C$122/'Assumptions'!$C$124</f>
        <v/>
      </c>
      <c r="K111" s="15">
        <f>K22*'Assumptions'!$C$122/'Assumptions'!$C$124</f>
        <v/>
      </c>
      <c r="L111" s="15">
        <f>L22*'Assumptions'!$C$122/'Assumptions'!$C$124</f>
        <v/>
      </c>
      <c r="M111" s="15">
        <f>M22*'Assumptions'!$C$122/'Assumptions'!$C$124</f>
        <v/>
      </c>
      <c r="N111" s="15">
        <f>N22*'Assumptions'!$C$122/'Assumptions'!$C$124</f>
        <v/>
      </c>
      <c r="O111" s="15">
        <f>O22*'Assumptions'!$C$122/'Assumptions'!$C$124</f>
        <v/>
      </c>
      <c r="P111" s="15">
        <f>P22*'Assumptions'!$C$122/'Assumptions'!$C$124</f>
        <v/>
      </c>
      <c r="Q111" s="15">
        <f>Q22*'Assumptions'!$C$122/'Assumptions'!$C$124</f>
        <v/>
      </c>
      <c r="R111" s="15">
        <f>R22*'Assumptions'!$C$122/'Assumptions'!$C$124</f>
        <v/>
      </c>
      <c r="S111" s="15">
        <f>S22*'Assumptions'!$C$122/'Assumptions'!$C$124</f>
        <v/>
      </c>
      <c r="T111" s="15">
        <f>T22*'Assumptions'!$C$122/'Assumptions'!$C$124</f>
        <v/>
      </c>
      <c r="U111" s="15">
        <f>U22*'Assumptions'!$C$122/'Assumptions'!$C$124</f>
        <v/>
      </c>
      <c r="V111" s="15">
        <f>V22*'Assumptions'!$C$122/'Assumptions'!$C$124</f>
        <v/>
      </c>
      <c r="W111" s="15">
        <f>W22*'Assumptions'!$C$122/'Assumptions'!$C$124</f>
        <v/>
      </c>
      <c r="X111" s="15">
        <f>X22*'Assumptions'!$C$122/'Assumptions'!$C$124</f>
        <v/>
      </c>
      <c r="Y111" s="15">
        <f>Y22*'Assumptions'!$C$122/'Assumptions'!$C$124</f>
        <v/>
      </c>
      <c r="Z111" s="15">
        <f>Z22*'Assumptions'!$C$122/'Assumptions'!$C$124</f>
        <v/>
      </c>
      <c r="AA111" s="15">
        <f>AA22*'Assumptions'!$C$122/'Assumptions'!$C$124</f>
        <v/>
      </c>
      <c r="AB111" s="15">
        <f>AB22*'Assumptions'!$C$122/'Assumptions'!$C$124</f>
        <v/>
      </c>
      <c r="AC111" s="15">
        <f>AC22*'Assumptions'!$C$122/'Assumptions'!$C$124</f>
        <v/>
      </c>
      <c r="AD111" s="15">
        <f>AD22*'Assumptions'!$C$122/'Assumptions'!$C$124</f>
        <v/>
      </c>
      <c r="AE111" s="15">
        <f>AE22*'Assumptions'!$C$122/'Assumptions'!$C$124</f>
        <v/>
      </c>
      <c r="AF111" s="15">
        <f>AF22*'Assumptions'!$C$122/'Assumptions'!$C$124</f>
        <v/>
      </c>
      <c r="AG111" s="15">
        <f>AG22*'Assumptions'!$C$122/'Assumptions'!$C$124</f>
        <v/>
      </c>
      <c r="AH111" s="15">
        <f>AH22*'Assumptions'!$C$122/'Assumptions'!$C$124</f>
        <v/>
      </c>
      <c r="AI111" s="15">
        <f>AI22*'Assumptions'!$C$122/'Assumptions'!$C$124</f>
        <v/>
      </c>
      <c r="AJ111" s="15">
        <f>AJ22*'Assumptions'!$C$122/'Assumptions'!$C$124</f>
        <v/>
      </c>
      <c r="AK111" s="15">
        <f>AK22*'Assumptions'!$C$122/'Assumptions'!$C$124</f>
        <v/>
      </c>
      <c r="AL111" s="15">
        <f>AL22*'Assumptions'!$C$122/'Assumptions'!$C$124</f>
        <v/>
      </c>
      <c r="AM111" s="57">
        <f>SUMIF($C$6:$AL$6,1,C111:AL111)</f>
        <v/>
      </c>
      <c r="AN111" s="57">
        <f>SUMIF($C$6:$AL$6,2,C111:AL111)</f>
        <v/>
      </c>
      <c r="AO111" s="57">
        <f>SUMIF($C$6:$AL$6,3,C111:AL111)</f>
        <v/>
      </c>
      <c r="AP111" s="57">
        <f>SUM(C111:AL111)</f>
        <v/>
      </c>
    </row>
    <row r="112">
      <c r="A112" s="7" t="inlineStr">
        <is>
          <t xml:space="preserve">   New subscribers (own-site visitors + non-Etsy buyers via bonus QR)</t>
        </is>
      </c>
      <c r="B112" s="9" t="inlineStr">
        <is>
          <t>people</t>
        </is>
      </c>
      <c r="C112" s="15">
        <f>C111*'Assumptions'!$C$192+(C24+C44+C54+C64+C84)*'Assumptions'!$C$193</f>
        <v/>
      </c>
      <c r="D112" s="15">
        <f>D111*'Assumptions'!$C$192+(D24+D44+D54+D64+D84)*'Assumptions'!$C$193</f>
        <v/>
      </c>
      <c r="E112" s="15">
        <f>E111*'Assumptions'!$C$192+(E24+E44+E54+E64+E84)*'Assumptions'!$C$193</f>
        <v/>
      </c>
      <c r="F112" s="15">
        <f>F111*'Assumptions'!$C$192+(F24+F44+F54+F64+F84)*'Assumptions'!$C$193</f>
        <v/>
      </c>
      <c r="G112" s="15">
        <f>G111*'Assumptions'!$C$192+(G24+G44+G54+G64+G84)*'Assumptions'!$C$193</f>
        <v/>
      </c>
      <c r="H112" s="15">
        <f>H111*'Assumptions'!$C$192+(H24+H44+H54+H64+H84)*'Assumptions'!$C$193</f>
        <v/>
      </c>
      <c r="I112" s="15">
        <f>I111*'Assumptions'!$C$192+(I24+I44+I54+I64+I84)*'Assumptions'!$C$193</f>
        <v/>
      </c>
      <c r="J112" s="15">
        <f>J111*'Assumptions'!$C$192+(J24+J44+J54+J64+J84)*'Assumptions'!$C$193</f>
        <v/>
      </c>
      <c r="K112" s="15">
        <f>K111*'Assumptions'!$C$192+(K24+K44+K54+K64+K84)*'Assumptions'!$C$193</f>
        <v/>
      </c>
      <c r="L112" s="15">
        <f>L111*'Assumptions'!$C$192+(L24+L44+L54+L64+L84)*'Assumptions'!$C$193</f>
        <v/>
      </c>
      <c r="M112" s="15">
        <f>M111*'Assumptions'!$C$192+(M24+M44+M54+M64+M84)*'Assumptions'!$C$193</f>
        <v/>
      </c>
      <c r="N112" s="15">
        <f>N111*'Assumptions'!$C$192+(N24+N44+N54+N64+N84)*'Assumptions'!$C$193</f>
        <v/>
      </c>
      <c r="O112" s="15">
        <f>O111*'Assumptions'!$C$192+(O24+O44+O54+O64+O84)*'Assumptions'!$C$193</f>
        <v/>
      </c>
      <c r="P112" s="15">
        <f>P111*'Assumptions'!$C$192+(P24+P44+P54+P64+P84)*'Assumptions'!$C$193</f>
        <v/>
      </c>
      <c r="Q112" s="15">
        <f>Q111*'Assumptions'!$C$192+(Q24+Q44+Q54+Q64+Q84)*'Assumptions'!$C$193</f>
        <v/>
      </c>
      <c r="R112" s="15">
        <f>R111*'Assumptions'!$C$192+(R24+R44+R54+R64+R84)*'Assumptions'!$C$193</f>
        <v/>
      </c>
      <c r="S112" s="15">
        <f>S111*'Assumptions'!$C$192+(S24+S44+S54+S64+S84)*'Assumptions'!$C$193</f>
        <v/>
      </c>
      <c r="T112" s="15">
        <f>T111*'Assumptions'!$C$192+(T24+T44+T54+T64+T84)*'Assumptions'!$C$193</f>
        <v/>
      </c>
      <c r="U112" s="15">
        <f>U111*'Assumptions'!$C$192+(U24+U44+U54+U64+U84)*'Assumptions'!$C$193</f>
        <v/>
      </c>
      <c r="V112" s="15">
        <f>V111*'Assumptions'!$C$192+(V24+V44+V54+V64+V84)*'Assumptions'!$C$193</f>
        <v/>
      </c>
      <c r="W112" s="15">
        <f>W111*'Assumptions'!$C$192+(W24+W44+W54+W64+W84)*'Assumptions'!$C$193</f>
        <v/>
      </c>
      <c r="X112" s="15">
        <f>X111*'Assumptions'!$C$192+(X24+X44+X54+X64+X84)*'Assumptions'!$C$193</f>
        <v/>
      </c>
      <c r="Y112" s="15">
        <f>Y111*'Assumptions'!$C$192+(Y24+Y44+Y54+Y64+Y84)*'Assumptions'!$C$193</f>
        <v/>
      </c>
      <c r="Z112" s="15">
        <f>Z111*'Assumptions'!$C$192+(Z24+Z44+Z54+Z64+Z84)*'Assumptions'!$C$193</f>
        <v/>
      </c>
      <c r="AA112" s="15">
        <f>AA111*'Assumptions'!$C$192+(AA24+AA44+AA54+AA64+AA84)*'Assumptions'!$C$193</f>
        <v/>
      </c>
      <c r="AB112" s="15">
        <f>AB111*'Assumptions'!$C$192+(AB24+AB44+AB54+AB64+AB84)*'Assumptions'!$C$193</f>
        <v/>
      </c>
      <c r="AC112" s="15">
        <f>AC111*'Assumptions'!$C$192+(AC24+AC44+AC54+AC64+AC84)*'Assumptions'!$C$193</f>
        <v/>
      </c>
      <c r="AD112" s="15">
        <f>AD111*'Assumptions'!$C$192+(AD24+AD44+AD54+AD64+AD84)*'Assumptions'!$C$193</f>
        <v/>
      </c>
      <c r="AE112" s="15">
        <f>AE111*'Assumptions'!$C$192+(AE24+AE44+AE54+AE64+AE84)*'Assumptions'!$C$193</f>
        <v/>
      </c>
      <c r="AF112" s="15">
        <f>AF111*'Assumptions'!$C$192+(AF24+AF44+AF54+AF64+AF84)*'Assumptions'!$C$193</f>
        <v/>
      </c>
      <c r="AG112" s="15">
        <f>AG111*'Assumptions'!$C$192+(AG24+AG44+AG54+AG64+AG84)*'Assumptions'!$C$193</f>
        <v/>
      </c>
      <c r="AH112" s="15">
        <f>AH111*'Assumptions'!$C$192+(AH24+AH44+AH54+AH64+AH84)*'Assumptions'!$C$193</f>
        <v/>
      </c>
      <c r="AI112" s="15">
        <f>AI111*'Assumptions'!$C$192+(AI24+AI44+AI54+AI64+AI84)*'Assumptions'!$C$193</f>
        <v/>
      </c>
      <c r="AJ112" s="15">
        <f>AJ111*'Assumptions'!$C$192+(AJ24+AJ44+AJ54+AJ64+AJ84)*'Assumptions'!$C$193</f>
        <v/>
      </c>
      <c r="AK112" s="15">
        <f>AK111*'Assumptions'!$C$192+(AK24+AK44+AK54+AK64+AK84)*'Assumptions'!$C$193</f>
        <v/>
      </c>
      <c r="AL112" s="15">
        <f>AL111*'Assumptions'!$C$192+(AL24+AL44+AL54+AL64+AL84)*'Assumptions'!$C$193</f>
        <v/>
      </c>
      <c r="AM112" s="57">
        <f>SUMIF($C$6:$AL$6,1,C112:AL112)</f>
        <v/>
      </c>
      <c r="AN112" s="57">
        <f>SUMIF($C$6:$AL$6,2,C112:AL112)</f>
        <v/>
      </c>
      <c r="AO112" s="57">
        <f>SUMIF($C$6:$AL$6,3,C112:AL112)</f>
        <v/>
      </c>
      <c r="AP112" s="57">
        <f>SUM(C112:AL112)</f>
        <v/>
      </c>
    </row>
    <row r="113">
      <c r="A113" s="7" t="inlineStr">
        <is>
          <t xml:space="preserve">   Unsubscribes</t>
        </is>
      </c>
      <c r="B113" s="9" t="inlineStr">
        <is>
          <t>people</t>
        </is>
      </c>
      <c r="C113" s="58">
        <f>0</f>
        <v/>
      </c>
      <c r="D113" s="15">
        <f>C114*'Assumptions'!$C$194</f>
        <v/>
      </c>
      <c r="E113" s="15">
        <f>D114*'Assumptions'!$C$194</f>
        <v/>
      </c>
      <c r="F113" s="15">
        <f>E114*'Assumptions'!$C$194</f>
        <v/>
      </c>
      <c r="G113" s="15">
        <f>F114*'Assumptions'!$C$194</f>
        <v/>
      </c>
      <c r="H113" s="15">
        <f>G114*'Assumptions'!$C$194</f>
        <v/>
      </c>
      <c r="I113" s="15">
        <f>H114*'Assumptions'!$C$194</f>
        <v/>
      </c>
      <c r="J113" s="15">
        <f>I114*'Assumptions'!$C$194</f>
        <v/>
      </c>
      <c r="K113" s="15">
        <f>J114*'Assumptions'!$C$194</f>
        <v/>
      </c>
      <c r="L113" s="15">
        <f>K114*'Assumptions'!$C$194</f>
        <v/>
      </c>
      <c r="M113" s="15">
        <f>L114*'Assumptions'!$C$194</f>
        <v/>
      </c>
      <c r="N113" s="15">
        <f>M114*'Assumptions'!$C$194</f>
        <v/>
      </c>
      <c r="O113" s="15">
        <f>N114*'Assumptions'!$C$194</f>
        <v/>
      </c>
      <c r="P113" s="15">
        <f>O114*'Assumptions'!$C$194</f>
        <v/>
      </c>
      <c r="Q113" s="15">
        <f>P114*'Assumptions'!$C$194</f>
        <v/>
      </c>
      <c r="R113" s="15">
        <f>Q114*'Assumptions'!$C$194</f>
        <v/>
      </c>
      <c r="S113" s="15">
        <f>R114*'Assumptions'!$C$194</f>
        <v/>
      </c>
      <c r="T113" s="15">
        <f>S114*'Assumptions'!$C$194</f>
        <v/>
      </c>
      <c r="U113" s="15">
        <f>T114*'Assumptions'!$C$194</f>
        <v/>
      </c>
      <c r="V113" s="15">
        <f>U114*'Assumptions'!$C$194</f>
        <v/>
      </c>
      <c r="W113" s="15">
        <f>V114*'Assumptions'!$C$194</f>
        <v/>
      </c>
      <c r="X113" s="15">
        <f>W114*'Assumptions'!$C$194</f>
        <v/>
      </c>
      <c r="Y113" s="15">
        <f>X114*'Assumptions'!$C$194</f>
        <v/>
      </c>
      <c r="Z113" s="15">
        <f>Y114*'Assumptions'!$C$194</f>
        <v/>
      </c>
      <c r="AA113" s="15">
        <f>Z114*'Assumptions'!$C$194</f>
        <v/>
      </c>
      <c r="AB113" s="15">
        <f>AA114*'Assumptions'!$C$194</f>
        <v/>
      </c>
      <c r="AC113" s="15">
        <f>AB114*'Assumptions'!$C$194</f>
        <v/>
      </c>
      <c r="AD113" s="15">
        <f>AC114*'Assumptions'!$C$194</f>
        <v/>
      </c>
      <c r="AE113" s="15">
        <f>AD114*'Assumptions'!$C$194</f>
        <v/>
      </c>
      <c r="AF113" s="15">
        <f>AE114*'Assumptions'!$C$194</f>
        <v/>
      </c>
      <c r="AG113" s="15">
        <f>AF114*'Assumptions'!$C$194</f>
        <v/>
      </c>
      <c r="AH113" s="15">
        <f>AG114*'Assumptions'!$C$194</f>
        <v/>
      </c>
      <c r="AI113" s="15">
        <f>AH114*'Assumptions'!$C$194</f>
        <v/>
      </c>
      <c r="AJ113" s="15">
        <f>AI114*'Assumptions'!$C$194</f>
        <v/>
      </c>
      <c r="AK113" s="15">
        <f>AJ114*'Assumptions'!$C$194</f>
        <v/>
      </c>
      <c r="AL113" s="15">
        <f>AK114*'Assumptions'!$C$194</f>
        <v/>
      </c>
      <c r="AM113" s="57">
        <f>SUMIF($C$6:$AL$6,1,C113:AL113)</f>
        <v/>
      </c>
      <c r="AN113" s="57">
        <f>SUMIF($C$6:$AL$6,2,C113:AL113)</f>
        <v/>
      </c>
      <c r="AO113" s="57">
        <f>SUMIF($C$6:$AL$6,3,C113:AL113)</f>
        <v/>
      </c>
      <c r="AP113" s="57">
        <f>SUM(C113:AL113)</f>
        <v/>
      </c>
    </row>
    <row r="114">
      <c r="A114" s="7" t="inlineStr">
        <is>
          <t xml:space="preserve">   Subscribers at month end</t>
        </is>
      </c>
      <c r="B114" s="9" t="inlineStr">
        <is>
          <t>people</t>
        </is>
      </c>
      <c r="C114" s="58">
        <f>C112-C113</f>
        <v/>
      </c>
      <c r="D114" s="58">
        <f>D112-D113+C114</f>
        <v/>
      </c>
      <c r="E114" s="58">
        <f>E112-E113+D114</f>
        <v/>
      </c>
      <c r="F114" s="58">
        <f>F112-F113+E114</f>
        <v/>
      </c>
      <c r="G114" s="58">
        <f>G112-G113+F114</f>
        <v/>
      </c>
      <c r="H114" s="58">
        <f>H112-H113+G114</f>
        <v/>
      </c>
      <c r="I114" s="58">
        <f>I112-I113+H114</f>
        <v/>
      </c>
      <c r="J114" s="58">
        <f>J112-J113+I114</f>
        <v/>
      </c>
      <c r="K114" s="58">
        <f>K112-K113+J114</f>
        <v/>
      </c>
      <c r="L114" s="58">
        <f>L112-L113+K114</f>
        <v/>
      </c>
      <c r="M114" s="58">
        <f>M112-M113+L114</f>
        <v/>
      </c>
      <c r="N114" s="58">
        <f>N112-N113+M114</f>
        <v/>
      </c>
      <c r="O114" s="58">
        <f>O112-O113+N114</f>
        <v/>
      </c>
      <c r="P114" s="58">
        <f>P112-P113+O114</f>
        <v/>
      </c>
      <c r="Q114" s="58">
        <f>Q112-Q113+P114</f>
        <v/>
      </c>
      <c r="R114" s="58">
        <f>R112-R113+Q114</f>
        <v/>
      </c>
      <c r="S114" s="58">
        <f>S112-S113+R114</f>
        <v/>
      </c>
      <c r="T114" s="58">
        <f>T112-T113+S114</f>
        <v/>
      </c>
      <c r="U114" s="58">
        <f>U112-U113+T114</f>
        <v/>
      </c>
      <c r="V114" s="58">
        <f>V112-V113+U114</f>
        <v/>
      </c>
      <c r="W114" s="58">
        <f>W112-W113+V114</f>
        <v/>
      </c>
      <c r="X114" s="58">
        <f>X112-X113+W114</f>
        <v/>
      </c>
      <c r="Y114" s="58">
        <f>Y112-Y113+X114</f>
        <v/>
      </c>
      <c r="Z114" s="58">
        <f>Z112-Z113+Y114</f>
        <v/>
      </c>
      <c r="AA114" s="58">
        <f>AA112-AA113+Z114</f>
        <v/>
      </c>
      <c r="AB114" s="58">
        <f>AB112-AB113+AA114</f>
        <v/>
      </c>
      <c r="AC114" s="58">
        <f>AC112-AC113+AB114</f>
        <v/>
      </c>
      <c r="AD114" s="58">
        <f>AD112-AD113+AC114</f>
        <v/>
      </c>
      <c r="AE114" s="58">
        <f>AE112-AE113+AD114</f>
        <v/>
      </c>
      <c r="AF114" s="58">
        <f>AF112-AF113+AE114</f>
        <v/>
      </c>
      <c r="AG114" s="58">
        <f>AG112-AG113+AF114</f>
        <v/>
      </c>
      <c r="AH114" s="58">
        <f>AH112-AH113+AG114</f>
        <v/>
      </c>
      <c r="AI114" s="58">
        <f>AI112-AI113+AH114</f>
        <v/>
      </c>
      <c r="AJ114" s="58">
        <f>AJ112-AJ113+AI114</f>
        <v/>
      </c>
      <c r="AK114" s="58">
        <f>AK112-AK113+AJ114</f>
        <v/>
      </c>
      <c r="AL114" s="58">
        <f>AL112-AL113+AK114</f>
        <v/>
      </c>
      <c r="AM114" s="57">
        <f>N114</f>
        <v/>
      </c>
      <c r="AN114" s="57">
        <f>Z114</f>
        <v/>
      </c>
      <c r="AO114" s="57">
        <f>AL114</f>
        <v/>
      </c>
      <c r="AP114" s="57">
        <f>AL114</f>
        <v/>
      </c>
    </row>
    <row r="115">
      <c r="A115" s="5" t="inlineStr">
        <is>
          <t>Totals and operating result</t>
        </is>
      </c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  <c r="AC115" s="6" t="n"/>
      <c r="AD115" s="6" t="n"/>
      <c r="AE115" s="6" t="n"/>
      <c r="AF115" s="6" t="n"/>
      <c r="AG115" s="6" t="n"/>
      <c r="AH115" s="6" t="n"/>
      <c r="AI115" s="6" t="n"/>
      <c r="AJ115" s="6" t="n"/>
      <c r="AK115" s="6" t="n"/>
      <c r="AL115" s="6" t="n"/>
      <c r="AM115" s="6" t="n"/>
      <c r="AN115" s="6" t="n"/>
      <c r="AO115" s="6" t="n"/>
      <c r="AP115" s="6" t="n"/>
    </row>
    <row r="116">
      <c r="A116" s="7" t="inlineStr">
        <is>
          <t>Total orders</t>
        </is>
      </c>
      <c r="B116" s="9" t="inlineStr">
        <is>
          <t>orders</t>
        </is>
      </c>
      <c r="C116" s="58">
        <f>C24+C34+C44+C54+C64+C74+C84+C95+C105</f>
        <v/>
      </c>
      <c r="D116" s="58">
        <f>D24+D34+D44+D54+D64+D74+D84+D95+D105</f>
        <v/>
      </c>
      <c r="E116" s="58">
        <f>E24+E34+E44+E54+E64+E74+E84+E95+E105</f>
        <v/>
      </c>
      <c r="F116" s="58">
        <f>F24+F34+F44+F54+F64+F74+F84+F95+F105</f>
        <v/>
      </c>
      <c r="G116" s="58">
        <f>G24+G34+G44+G54+G64+G74+G84+G95+G105</f>
        <v/>
      </c>
      <c r="H116" s="58">
        <f>H24+H34+H44+H54+H64+H74+H84+H95+H105</f>
        <v/>
      </c>
      <c r="I116" s="58">
        <f>I24+I34+I44+I54+I64+I74+I84+I95+I105</f>
        <v/>
      </c>
      <c r="J116" s="58">
        <f>J24+J34+J44+J54+J64+J74+J84+J95+J105</f>
        <v/>
      </c>
      <c r="K116" s="58">
        <f>K24+K34+K44+K54+K64+K74+K84+K95+K105</f>
        <v/>
      </c>
      <c r="L116" s="58">
        <f>L24+L34+L44+L54+L64+L74+L84+L95+L105</f>
        <v/>
      </c>
      <c r="M116" s="58">
        <f>M24+M34+M44+M54+M64+M74+M84+M95+M105</f>
        <v/>
      </c>
      <c r="N116" s="58">
        <f>N24+N34+N44+N54+N64+N74+N84+N95+N105</f>
        <v/>
      </c>
      <c r="O116" s="58">
        <f>O24+O34+O44+O54+O64+O74+O84+O95+O105</f>
        <v/>
      </c>
      <c r="P116" s="58">
        <f>P24+P34+P44+P54+P64+P74+P84+P95+P105</f>
        <v/>
      </c>
      <c r="Q116" s="58">
        <f>Q24+Q34+Q44+Q54+Q64+Q74+Q84+Q95+Q105</f>
        <v/>
      </c>
      <c r="R116" s="58">
        <f>R24+R34+R44+R54+R64+R74+R84+R95+R105</f>
        <v/>
      </c>
      <c r="S116" s="58">
        <f>S24+S34+S44+S54+S64+S74+S84+S95+S105</f>
        <v/>
      </c>
      <c r="T116" s="58">
        <f>T24+T34+T44+T54+T64+T74+T84+T95+T105</f>
        <v/>
      </c>
      <c r="U116" s="58">
        <f>U24+U34+U44+U54+U64+U74+U84+U95+U105</f>
        <v/>
      </c>
      <c r="V116" s="58">
        <f>V24+V34+V44+V54+V64+V74+V84+V95+V105</f>
        <v/>
      </c>
      <c r="W116" s="58">
        <f>W24+W34+W44+W54+W64+W74+W84+W95+W105</f>
        <v/>
      </c>
      <c r="X116" s="58">
        <f>X24+X34+X44+X54+X64+X74+X84+X95+X105</f>
        <v/>
      </c>
      <c r="Y116" s="58">
        <f>Y24+Y34+Y44+Y54+Y64+Y74+Y84+Y95+Y105</f>
        <v/>
      </c>
      <c r="Z116" s="58">
        <f>Z24+Z34+Z44+Z54+Z64+Z74+Z84+Z95+Z105</f>
        <v/>
      </c>
      <c r="AA116" s="58">
        <f>AA24+AA34+AA44+AA54+AA64+AA74+AA84+AA95+AA105</f>
        <v/>
      </c>
      <c r="AB116" s="58">
        <f>AB24+AB34+AB44+AB54+AB64+AB74+AB84+AB95+AB105</f>
        <v/>
      </c>
      <c r="AC116" s="58">
        <f>AC24+AC34+AC44+AC54+AC64+AC74+AC84+AC95+AC105</f>
        <v/>
      </c>
      <c r="AD116" s="58">
        <f>AD24+AD34+AD44+AD54+AD64+AD74+AD84+AD95+AD105</f>
        <v/>
      </c>
      <c r="AE116" s="58">
        <f>AE24+AE34+AE44+AE54+AE64+AE74+AE84+AE95+AE105</f>
        <v/>
      </c>
      <c r="AF116" s="58">
        <f>AF24+AF34+AF44+AF54+AF64+AF74+AF84+AF95+AF105</f>
        <v/>
      </c>
      <c r="AG116" s="58">
        <f>AG24+AG34+AG44+AG54+AG64+AG74+AG84+AG95+AG105</f>
        <v/>
      </c>
      <c r="AH116" s="58">
        <f>AH24+AH34+AH44+AH54+AH64+AH74+AH84+AH95+AH105</f>
        <v/>
      </c>
      <c r="AI116" s="58">
        <f>AI24+AI34+AI44+AI54+AI64+AI74+AI84+AI95+AI105</f>
        <v/>
      </c>
      <c r="AJ116" s="58">
        <f>AJ24+AJ34+AJ44+AJ54+AJ64+AJ74+AJ84+AJ95+AJ105</f>
        <v/>
      </c>
      <c r="AK116" s="58">
        <f>AK24+AK34+AK44+AK54+AK64+AK74+AK84+AK95+AK105</f>
        <v/>
      </c>
      <c r="AL116" s="58">
        <f>AL24+AL34+AL44+AL54+AL64+AL74+AL84+AL95+AL105</f>
        <v/>
      </c>
      <c r="AM116" s="57">
        <f>SUMIF($C$6:$AL$6,1,C116:AL116)</f>
        <v/>
      </c>
      <c r="AN116" s="57">
        <f>SUMIF($C$6:$AL$6,2,C116:AL116)</f>
        <v/>
      </c>
      <c r="AO116" s="57">
        <f>SUMIF($C$6:$AL$6,3,C116:AL116)</f>
        <v/>
      </c>
      <c r="AP116" s="57">
        <f>SUM(C116:AL116)</f>
        <v/>
      </c>
    </row>
    <row r="117">
      <c r="A117" s="7" t="inlineStr">
        <is>
          <t>Total items sold</t>
        </is>
      </c>
      <c r="B117" s="9" t="inlineStr">
        <is>
          <t>items</t>
        </is>
      </c>
      <c r="C117" s="58">
        <f>C25+C35+C45+C55+C65+C75+C85+C96+C106</f>
        <v/>
      </c>
      <c r="D117" s="58">
        <f>D25+D35+D45+D55+D65+D75+D85+D96+D106</f>
        <v/>
      </c>
      <c r="E117" s="58">
        <f>E25+E35+E45+E55+E65+E75+E85+E96+E106</f>
        <v/>
      </c>
      <c r="F117" s="58">
        <f>F25+F35+F45+F55+F65+F75+F85+F96+F106</f>
        <v/>
      </c>
      <c r="G117" s="58">
        <f>G25+G35+G45+G55+G65+G75+G85+G96+G106</f>
        <v/>
      </c>
      <c r="H117" s="58">
        <f>H25+H35+H45+H55+H65+H75+H85+H96+H106</f>
        <v/>
      </c>
      <c r="I117" s="58">
        <f>I25+I35+I45+I55+I65+I75+I85+I96+I106</f>
        <v/>
      </c>
      <c r="J117" s="58">
        <f>J25+J35+J45+J55+J65+J75+J85+J96+J106</f>
        <v/>
      </c>
      <c r="K117" s="58">
        <f>K25+K35+K45+K55+K65+K75+K85+K96+K106</f>
        <v/>
      </c>
      <c r="L117" s="58">
        <f>L25+L35+L45+L55+L65+L75+L85+L96+L106</f>
        <v/>
      </c>
      <c r="M117" s="58">
        <f>M25+M35+M45+M55+M65+M75+M85+M96+M106</f>
        <v/>
      </c>
      <c r="N117" s="58">
        <f>N25+N35+N45+N55+N65+N75+N85+N96+N106</f>
        <v/>
      </c>
      <c r="O117" s="58">
        <f>O25+O35+O45+O55+O65+O75+O85+O96+O106</f>
        <v/>
      </c>
      <c r="P117" s="58">
        <f>P25+P35+P45+P55+P65+P75+P85+P96+P106</f>
        <v/>
      </c>
      <c r="Q117" s="58">
        <f>Q25+Q35+Q45+Q55+Q65+Q75+Q85+Q96+Q106</f>
        <v/>
      </c>
      <c r="R117" s="58">
        <f>R25+R35+R45+R55+R65+R75+R85+R96+R106</f>
        <v/>
      </c>
      <c r="S117" s="58">
        <f>S25+S35+S45+S55+S65+S75+S85+S96+S106</f>
        <v/>
      </c>
      <c r="T117" s="58">
        <f>T25+T35+T45+T55+T65+T75+T85+T96+T106</f>
        <v/>
      </c>
      <c r="U117" s="58">
        <f>U25+U35+U45+U55+U65+U75+U85+U96+U106</f>
        <v/>
      </c>
      <c r="V117" s="58">
        <f>V25+V35+V45+V55+V65+V75+V85+V96+V106</f>
        <v/>
      </c>
      <c r="W117" s="58">
        <f>W25+W35+W45+W55+W65+W75+W85+W96+W106</f>
        <v/>
      </c>
      <c r="X117" s="58">
        <f>X25+X35+X45+X55+X65+X75+X85+X96+X106</f>
        <v/>
      </c>
      <c r="Y117" s="58">
        <f>Y25+Y35+Y45+Y55+Y65+Y75+Y85+Y96+Y106</f>
        <v/>
      </c>
      <c r="Z117" s="58">
        <f>Z25+Z35+Z45+Z55+Z65+Z75+Z85+Z96+Z106</f>
        <v/>
      </c>
      <c r="AA117" s="58">
        <f>AA25+AA35+AA45+AA55+AA65+AA75+AA85+AA96+AA106</f>
        <v/>
      </c>
      <c r="AB117" s="58">
        <f>AB25+AB35+AB45+AB55+AB65+AB75+AB85+AB96+AB106</f>
        <v/>
      </c>
      <c r="AC117" s="58">
        <f>AC25+AC35+AC45+AC55+AC65+AC75+AC85+AC96+AC106</f>
        <v/>
      </c>
      <c r="AD117" s="58">
        <f>AD25+AD35+AD45+AD55+AD65+AD75+AD85+AD96+AD106</f>
        <v/>
      </c>
      <c r="AE117" s="58">
        <f>AE25+AE35+AE45+AE55+AE65+AE75+AE85+AE96+AE106</f>
        <v/>
      </c>
      <c r="AF117" s="58">
        <f>AF25+AF35+AF45+AF55+AF65+AF75+AF85+AF96+AF106</f>
        <v/>
      </c>
      <c r="AG117" s="58">
        <f>AG25+AG35+AG45+AG55+AG65+AG75+AG85+AG96+AG106</f>
        <v/>
      </c>
      <c r="AH117" s="58">
        <f>AH25+AH35+AH45+AH55+AH65+AH75+AH85+AH96+AH106</f>
        <v/>
      </c>
      <c r="AI117" s="58">
        <f>AI25+AI35+AI45+AI55+AI65+AI75+AI85+AI96+AI106</f>
        <v/>
      </c>
      <c r="AJ117" s="58">
        <f>AJ25+AJ35+AJ45+AJ55+AJ65+AJ75+AJ85+AJ96+AJ106</f>
        <v/>
      </c>
      <c r="AK117" s="58">
        <f>AK25+AK35+AK45+AK55+AK65+AK75+AK85+AK96+AK106</f>
        <v/>
      </c>
      <c r="AL117" s="58">
        <f>AL25+AL35+AL45+AL55+AL65+AL75+AL85+AL96+AL106</f>
        <v/>
      </c>
      <c r="AM117" s="57">
        <f>SUMIF($C$6:$AL$6,1,C117:AL117)</f>
        <v/>
      </c>
      <c r="AN117" s="57">
        <f>SUMIF($C$6:$AL$6,2,C117:AL117)</f>
        <v/>
      </c>
      <c r="AO117" s="57">
        <f>SUMIF($C$6:$AL$6,3,C117:AL117)</f>
        <v/>
      </c>
      <c r="AP117" s="57">
        <f>SUM(C117:AL117)</f>
        <v/>
      </c>
    </row>
    <row r="118">
      <c r="A118" s="7" t="inlineStr">
        <is>
          <t>Cumulative orders</t>
        </is>
      </c>
      <c r="B118" s="9" t="inlineStr">
        <is>
          <t>orders</t>
        </is>
      </c>
      <c r="C118" s="58">
        <f>C116</f>
        <v/>
      </c>
      <c r="D118" s="58">
        <f>D116+C118</f>
        <v/>
      </c>
      <c r="E118" s="58">
        <f>E116+D118</f>
        <v/>
      </c>
      <c r="F118" s="58">
        <f>F116+E118</f>
        <v/>
      </c>
      <c r="G118" s="58">
        <f>G116+F118</f>
        <v/>
      </c>
      <c r="H118" s="58">
        <f>H116+G118</f>
        <v/>
      </c>
      <c r="I118" s="58">
        <f>I116+H118</f>
        <v/>
      </c>
      <c r="J118" s="58">
        <f>J116+I118</f>
        <v/>
      </c>
      <c r="K118" s="58">
        <f>K116+J118</f>
        <v/>
      </c>
      <c r="L118" s="58">
        <f>L116+K118</f>
        <v/>
      </c>
      <c r="M118" s="58">
        <f>M116+L118</f>
        <v/>
      </c>
      <c r="N118" s="58">
        <f>N116+M118</f>
        <v/>
      </c>
      <c r="O118" s="58">
        <f>O116+N118</f>
        <v/>
      </c>
      <c r="P118" s="58">
        <f>P116+O118</f>
        <v/>
      </c>
      <c r="Q118" s="58">
        <f>Q116+P118</f>
        <v/>
      </c>
      <c r="R118" s="58">
        <f>R116+Q118</f>
        <v/>
      </c>
      <c r="S118" s="58">
        <f>S116+R118</f>
        <v/>
      </c>
      <c r="T118" s="58">
        <f>T116+S118</f>
        <v/>
      </c>
      <c r="U118" s="58">
        <f>U116+T118</f>
        <v/>
      </c>
      <c r="V118" s="58">
        <f>V116+U118</f>
        <v/>
      </c>
      <c r="W118" s="58">
        <f>W116+V118</f>
        <v/>
      </c>
      <c r="X118" s="58">
        <f>X116+W118</f>
        <v/>
      </c>
      <c r="Y118" s="58">
        <f>Y116+X118</f>
        <v/>
      </c>
      <c r="Z118" s="58">
        <f>Z116+Y118</f>
        <v/>
      </c>
      <c r="AA118" s="58">
        <f>AA116+Z118</f>
        <v/>
      </c>
      <c r="AB118" s="58">
        <f>AB116+AA118</f>
        <v/>
      </c>
      <c r="AC118" s="58">
        <f>AC116+AB118</f>
        <v/>
      </c>
      <c r="AD118" s="58">
        <f>AD116+AC118</f>
        <v/>
      </c>
      <c r="AE118" s="58">
        <f>AE116+AD118</f>
        <v/>
      </c>
      <c r="AF118" s="58">
        <f>AF116+AE118</f>
        <v/>
      </c>
      <c r="AG118" s="58">
        <f>AG116+AF118</f>
        <v/>
      </c>
      <c r="AH118" s="58">
        <f>AH116+AG118</f>
        <v/>
      </c>
      <c r="AI118" s="58">
        <f>AI116+AH118</f>
        <v/>
      </c>
      <c r="AJ118" s="58">
        <f>AJ116+AI118</f>
        <v/>
      </c>
      <c r="AK118" s="58">
        <f>AK116+AJ118</f>
        <v/>
      </c>
      <c r="AL118" s="58">
        <f>AL116+AK118</f>
        <v/>
      </c>
      <c r="AM118" s="57">
        <f>N118</f>
        <v/>
      </c>
      <c r="AN118" s="57">
        <f>Z118</f>
        <v/>
      </c>
      <c r="AO118" s="57">
        <f>AL118</f>
        <v/>
      </c>
      <c r="AP118" s="57">
        <f>AL118</f>
        <v/>
      </c>
    </row>
    <row r="119">
      <c r="A119" s="7" t="inlineStr">
        <is>
          <t>Cumulative items sold</t>
        </is>
      </c>
      <c r="B119" s="9" t="inlineStr">
        <is>
          <t>items</t>
        </is>
      </c>
      <c r="C119" s="58">
        <f>C117</f>
        <v/>
      </c>
      <c r="D119" s="58">
        <f>D117+C119</f>
        <v/>
      </c>
      <c r="E119" s="58">
        <f>E117+D119</f>
        <v/>
      </c>
      <c r="F119" s="58">
        <f>F117+E119</f>
        <v/>
      </c>
      <c r="G119" s="58">
        <f>G117+F119</f>
        <v/>
      </c>
      <c r="H119" s="58">
        <f>H117+G119</f>
        <v/>
      </c>
      <c r="I119" s="58">
        <f>I117+H119</f>
        <v/>
      </c>
      <c r="J119" s="58">
        <f>J117+I119</f>
        <v/>
      </c>
      <c r="K119" s="58">
        <f>K117+J119</f>
        <v/>
      </c>
      <c r="L119" s="58">
        <f>L117+K119</f>
        <v/>
      </c>
      <c r="M119" s="58">
        <f>M117+L119</f>
        <v/>
      </c>
      <c r="N119" s="58">
        <f>N117+M119</f>
        <v/>
      </c>
      <c r="O119" s="58">
        <f>O117+N119</f>
        <v/>
      </c>
      <c r="P119" s="58">
        <f>P117+O119</f>
        <v/>
      </c>
      <c r="Q119" s="58">
        <f>Q117+P119</f>
        <v/>
      </c>
      <c r="R119" s="58">
        <f>R117+Q119</f>
        <v/>
      </c>
      <c r="S119" s="58">
        <f>S117+R119</f>
        <v/>
      </c>
      <c r="T119" s="58">
        <f>T117+S119</f>
        <v/>
      </c>
      <c r="U119" s="58">
        <f>U117+T119</f>
        <v/>
      </c>
      <c r="V119" s="58">
        <f>V117+U119</f>
        <v/>
      </c>
      <c r="W119" s="58">
        <f>W117+V119</f>
        <v/>
      </c>
      <c r="X119" s="58">
        <f>X117+W119</f>
        <v/>
      </c>
      <c r="Y119" s="58">
        <f>Y117+X119</f>
        <v/>
      </c>
      <c r="Z119" s="58">
        <f>Z117+Y119</f>
        <v/>
      </c>
      <c r="AA119" s="58">
        <f>AA117+Z119</f>
        <v/>
      </c>
      <c r="AB119" s="58">
        <f>AB117+AA119</f>
        <v/>
      </c>
      <c r="AC119" s="58">
        <f>AC117+AB119</f>
        <v/>
      </c>
      <c r="AD119" s="58">
        <f>AD117+AC119</f>
        <v/>
      </c>
      <c r="AE119" s="58">
        <f>AE117+AD119</f>
        <v/>
      </c>
      <c r="AF119" s="58">
        <f>AF117+AE119</f>
        <v/>
      </c>
      <c r="AG119" s="58">
        <f>AG117+AF119</f>
        <v/>
      </c>
      <c r="AH119" s="58">
        <f>AH117+AG119</f>
        <v/>
      </c>
      <c r="AI119" s="58">
        <f>AI117+AH119</f>
        <v/>
      </c>
      <c r="AJ119" s="58">
        <f>AJ117+AI119</f>
        <v/>
      </c>
      <c r="AK119" s="58">
        <f>AK117+AJ119</f>
        <v/>
      </c>
      <c r="AL119" s="58">
        <f>AL117+AK119</f>
        <v/>
      </c>
      <c r="AM119" s="57">
        <f>N119</f>
        <v/>
      </c>
      <c r="AN119" s="57">
        <f>Z119</f>
        <v/>
      </c>
      <c r="AO119" s="57">
        <f>AL119</f>
        <v/>
      </c>
      <c r="AP119" s="57">
        <f>AL119</f>
        <v/>
      </c>
    </row>
    <row r="120">
      <c r="A120" s="60" t="inlineStr">
        <is>
          <t>Total gross sales (customer prices, excl. sales tax/VAT)</t>
        </is>
      </c>
      <c r="B120" s="61" t="inlineStr">
        <is>
          <t>$</t>
        </is>
      </c>
      <c r="C120" s="62">
        <f>C27+C37+C47+C57+C67+C77+C87+C98+C108</f>
        <v/>
      </c>
      <c r="D120" s="62">
        <f>D27+D37+D47+D57+D67+D77+D87+D98+D108</f>
        <v/>
      </c>
      <c r="E120" s="62">
        <f>E27+E37+E47+E57+E67+E77+E87+E98+E108</f>
        <v/>
      </c>
      <c r="F120" s="62">
        <f>F27+F37+F47+F57+F67+F77+F87+F98+F108</f>
        <v/>
      </c>
      <c r="G120" s="62">
        <f>G27+G37+G47+G57+G67+G77+G87+G98+G108</f>
        <v/>
      </c>
      <c r="H120" s="62">
        <f>H27+H37+H47+H57+H67+H77+H87+H98+H108</f>
        <v/>
      </c>
      <c r="I120" s="62">
        <f>I27+I37+I47+I57+I67+I77+I87+I98+I108</f>
        <v/>
      </c>
      <c r="J120" s="62">
        <f>J27+J37+J47+J57+J67+J77+J87+J98+J108</f>
        <v/>
      </c>
      <c r="K120" s="62">
        <f>K27+K37+K47+K57+K67+K77+K87+K98+K108</f>
        <v/>
      </c>
      <c r="L120" s="62">
        <f>L27+L37+L47+L57+L67+L77+L87+L98+L108</f>
        <v/>
      </c>
      <c r="M120" s="62">
        <f>M27+M37+M47+M57+M67+M77+M87+M98+M108</f>
        <v/>
      </c>
      <c r="N120" s="62">
        <f>N27+N37+N47+N57+N67+N77+N87+N98+N108</f>
        <v/>
      </c>
      <c r="O120" s="62">
        <f>O27+O37+O47+O57+O67+O77+O87+O98+O108</f>
        <v/>
      </c>
      <c r="P120" s="62">
        <f>P27+P37+P47+P57+P67+P77+P87+P98+P108</f>
        <v/>
      </c>
      <c r="Q120" s="62">
        <f>Q27+Q37+Q47+Q57+Q67+Q77+Q87+Q98+Q108</f>
        <v/>
      </c>
      <c r="R120" s="62">
        <f>R27+R37+R47+R57+R67+R77+R87+R98+R108</f>
        <v/>
      </c>
      <c r="S120" s="62">
        <f>S27+S37+S47+S57+S67+S77+S87+S98+S108</f>
        <v/>
      </c>
      <c r="T120" s="62">
        <f>T27+T37+T47+T57+T67+T77+T87+T98+T108</f>
        <v/>
      </c>
      <c r="U120" s="62">
        <f>U27+U37+U47+U57+U67+U77+U87+U98+U108</f>
        <v/>
      </c>
      <c r="V120" s="62">
        <f>V27+V37+V47+V57+V67+V77+V87+V98+V108</f>
        <v/>
      </c>
      <c r="W120" s="62">
        <f>W27+W37+W47+W57+W67+W77+W87+W98+W108</f>
        <v/>
      </c>
      <c r="X120" s="62">
        <f>X27+X37+X47+X57+X67+X77+X87+X98+X108</f>
        <v/>
      </c>
      <c r="Y120" s="62">
        <f>Y27+Y37+Y47+Y57+Y67+Y77+Y87+Y98+Y108</f>
        <v/>
      </c>
      <c r="Z120" s="62">
        <f>Z27+Z37+Z47+Z57+Z67+Z77+Z87+Z98+Z108</f>
        <v/>
      </c>
      <c r="AA120" s="62">
        <f>AA27+AA37+AA47+AA57+AA67+AA77+AA87+AA98+AA108</f>
        <v/>
      </c>
      <c r="AB120" s="62">
        <f>AB27+AB37+AB47+AB57+AB67+AB77+AB87+AB98+AB108</f>
        <v/>
      </c>
      <c r="AC120" s="62">
        <f>AC27+AC37+AC47+AC57+AC67+AC77+AC87+AC98+AC108</f>
        <v/>
      </c>
      <c r="AD120" s="62">
        <f>AD27+AD37+AD47+AD57+AD67+AD77+AD87+AD98+AD108</f>
        <v/>
      </c>
      <c r="AE120" s="62">
        <f>AE27+AE37+AE47+AE57+AE67+AE77+AE87+AE98+AE108</f>
        <v/>
      </c>
      <c r="AF120" s="62">
        <f>AF27+AF37+AF47+AF57+AF67+AF77+AF87+AF98+AF108</f>
        <v/>
      </c>
      <c r="AG120" s="62">
        <f>AG27+AG37+AG47+AG57+AG67+AG77+AG87+AG98+AG108</f>
        <v/>
      </c>
      <c r="AH120" s="62">
        <f>AH27+AH37+AH47+AH57+AH67+AH77+AH87+AH98+AH108</f>
        <v/>
      </c>
      <c r="AI120" s="62">
        <f>AI27+AI37+AI47+AI57+AI67+AI77+AI87+AI98+AI108</f>
        <v/>
      </c>
      <c r="AJ120" s="62">
        <f>AJ27+AJ37+AJ47+AJ57+AJ67+AJ77+AJ87+AJ98+AJ108</f>
        <v/>
      </c>
      <c r="AK120" s="62">
        <f>AK27+AK37+AK47+AK57+AK67+AK77+AK87+AK98+AK108</f>
        <v/>
      </c>
      <c r="AL120" s="62">
        <f>AL27+AL37+AL47+AL57+AL67+AL77+AL87+AL98+AL108</f>
        <v/>
      </c>
      <c r="AM120" s="63">
        <f>SUMIF($C$6:$AL$6,1,C120:AL120)</f>
        <v/>
      </c>
      <c r="AN120" s="63">
        <f>SUMIF($C$6:$AL$6,2,C120:AL120)</f>
        <v/>
      </c>
      <c r="AO120" s="63">
        <f>SUMIF($C$6:$AL$6,3,C120:AL120)</f>
        <v/>
      </c>
      <c r="AP120" s="63">
        <f>SUM(C120:AL120)</f>
        <v/>
      </c>
    </row>
    <row r="121">
      <c r="A121" s="60" t="inlineStr">
        <is>
          <t>Total net contribution (after platform, payment, print/POD and fulfilment costs)</t>
        </is>
      </c>
      <c r="B121" s="61" t="inlineStr">
        <is>
          <t>$</t>
        </is>
      </c>
      <c r="C121" s="62">
        <f>C28+C38+C48+C58+C68+C78+C88+C99+C109</f>
        <v/>
      </c>
      <c r="D121" s="62">
        <f>D28+D38+D48+D58+D68+D78+D88+D99+D109</f>
        <v/>
      </c>
      <c r="E121" s="62">
        <f>E28+E38+E48+E58+E68+E78+E88+E99+E109</f>
        <v/>
      </c>
      <c r="F121" s="62">
        <f>F28+F38+F48+F58+F68+F78+F88+F99+F109</f>
        <v/>
      </c>
      <c r="G121" s="62">
        <f>G28+G38+G48+G58+G68+G78+G88+G99+G109</f>
        <v/>
      </c>
      <c r="H121" s="62">
        <f>H28+H38+H48+H58+H68+H78+H88+H99+H109</f>
        <v/>
      </c>
      <c r="I121" s="62">
        <f>I28+I38+I48+I58+I68+I78+I88+I99+I109</f>
        <v/>
      </c>
      <c r="J121" s="62">
        <f>J28+J38+J48+J58+J68+J78+J88+J99+J109</f>
        <v/>
      </c>
      <c r="K121" s="62">
        <f>K28+K38+K48+K58+K68+K78+K88+K99+K109</f>
        <v/>
      </c>
      <c r="L121" s="62">
        <f>L28+L38+L48+L58+L68+L78+L88+L99+L109</f>
        <v/>
      </c>
      <c r="M121" s="62">
        <f>M28+M38+M48+M58+M68+M78+M88+M99+M109</f>
        <v/>
      </c>
      <c r="N121" s="62">
        <f>N28+N38+N48+N58+N68+N78+N88+N99+N109</f>
        <v/>
      </c>
      <c r="O121" s="62">
        <f>O28+O38+O48+O58+O68+O78+O88+O99+O109</f>
        <v/>
      </c>
      <c r="P121" s="62">
        <f>P28+P38+P48+P58+P68+P78+P88+P99+P109</f>
        <v/>
      </c>
      <c r="Q121" s="62">
        <f>Q28+Q38+Q48+Q58+Q68+Q78+Q88+Q99+Q109</f>
        <v/>
      </c>
      <c r="R121" s="62">
        <f>R28+R38+R48+R58+R68+R78+R88+R99+R109</f>
        <v/>
      </c>
      <c r="S121" s="62">
        <f>S28+S38+S48+S58+S68+S78+S88+S99+S109</f>
        <v/>
      </c>
      <c r="T121" s="62">
        <f>T28+T38+T48+T58+T68+T78+T88+T99+T109</f>
        <v/>
      </c>
      <c r="U121" s="62">
        <f>U28+U38+U48+U58+U68+U78+U88+U99+U109</f>
        <v/>
      </c>
      <c r="V121" s="62">
        <f>V28+V38+V48+V58+V68+V78+V88+V99+V109</f>
        <v/>
      </c>
      <c r="W121" s="62">
        <f>W28+W38+W48+W58+W68+W78+W88+W99+W109</f>
        <v/>
      </c>
      <c r="X121" s="62">
        <f>X28+X38+X48+X58+X68+X78+X88+X99+X109</f>
        <v/>
      </c>
      <c r="Y121" s="62">
        <f>Y28+Y38+Y48+Y58+Y68+Y78+Y88+Y99+Y109</f>
        <v/>
      </c>
      <c r="Z121" s="62">
        <f>Z28+Z38+Z48+Z58+Z68+Z78+Z88+Z99+Z109</f>
        <v/>
      </c>
      <c r="AA121" s="62">
        <f>AA28+AA38+AA48+AA58+AA68+AA78+AA88+AA99+AA109</f>
        <v/>
      </c>
      <c r="AB121" s="62">
        <f>AB28+AB38+AB48+AB58+AB68+AB78+AB88+AB99+AB109</f>
        <v/>
      </c>
      <c r="AC121" s="62">
        <f>AC28+AC38+AC48+AC58+AC68+AC78+AC88+AC99+AC109</f>
        <v/>
      </c>
      <c r="AD121" s="62">
        <f>AD28+AD38+AD48+AD58+AD68+AD78+AD88+AD99+AD109</f>
        <v/>
      </c>
      <c r="AE121" s="62">
        <f>AE28+AE38+AE48+AE58+AE68+AE78+AE88+AE99+AE109</f>
        <v/>
      </c>
      <c r="AF121" s="62">
        <f>AF28+AF38+AF48+AF58+AF68+AF78+AF88+AF99+AF109</f>
        <v/>
      </c>
      <c r="AG121" s="62">
        <f>AG28+AG38+AG48+AG58+AG68+AG78+AG88+AG99+AG109</f>
        <v/>
      </c>
      <c r="AH121" s="62">
        <f>AH28+AH38+AH48+AH58+AH68+AH78+AH88+AH99+AH109</f>
        <v/>
      </c>
      <c r="AI121" s="62">
        <f>AI28+AI38+AI48+AI58+AI68+AI78+AI88+AI99+AI109</f>
        <v/>
      </c>
      <c r="AJ121" s="62">
        <f>AJ28+AJ38+AJ48+AJ58+AJ68+AJ78+AJ88+AJ99+AJ109</f>
        <v/>
      </c>
      <c r="AK121" s="62">
        <f>AK28+AK38+AK48+AK58+AK68+AK78+AK88+AK99+AK109</f>
        <v/>
      </c>
      <c r="AL121" s="62">
        <f>AL28+AL38+AL48+AL58+AL68+AL78+AL88+AL99+AL109</f>
        <v/>
      </c>
      <c r="AM121" s="63">
        <f>SUMIF($C$6:$AL$6,1,C121:AL121)</f>
        <v/>
      </c>
      <c r="AN121" s="63">
        <f>SUMIF($C$6:$AL$6,2,C121:AL121)</f>
        <v/>
      </c>
      <c r="AO121" s="63">
        <f>SUMIF($C$6:$AL$6,3,C121:AL121)</f>
        <v/>
      </c>
      <c r="AP121" s="63">
        <f>SUM(C121:AL121)</f>
        <v/>
      </c>
    </row>
    <row r="122">
      <c r="A122" s="7" t="inlineStr">
        <is>
          <t>Net contribution as % of gross sales</t>
        </is>
      </c>
      <c r="B122" s="9" t="inlineStr">
        <is>
          <t>%</t>
        </is>
      </c>
      <c r="C122" s="39">
        <f>IF(C120=0,0,C121/C120)</f>
        <v/>
      </c>
      <c r="D122" s="39">
        <f>IF(D120=0,0,D121/D120)</f>
        <v/>
      </c>
      <c r="E122" s="39">
        <f>IF(E120=0,0,E121/E120)</f>
        <v/>
      </c>
      <c r="F122" s="39">
        <f>IF(F120=0,0,F121/F120)</f>
        <v/>
      </c>
      <c r="G122" s="39">
        <f>IF(G120=0,0,G121/G120)</f>
        <v/>
      </c>
      <c r="H122" s="39">
        <f>IF(H120=0,0,H121/H120)</f>
        <v/>
      </c>
      <c r="I122" s="39">
        <f>IF(I120=0,0,I121/I120)</f>
        <v/>
      </c>
      <c r="J122" s="39">
        <f>IF(J120=0,0,J121/J120)</f>
        <v/>
      </c>
      <c r="K122" s="39">
        <f>IF(K120=0,0,K121/K120)</f>
        <v/>
      </c>
      <c r="L122" s="39">
        <f>IF(L120=0,0,L121/L120)</f>
        <v/>
      </c>
      <c r="M122" s="39">
        <f>IF(M120=0,0,M121/M120)</f>
        <v/>
      </c>
      <c r="N122" s="39">
        <f>IF(N120=0,0,N121/N120)</f>
        <v/>
      </c>
      <c r="O122" s="39">
        <f>IF(O120=0,0,O121/O120)</f>
        <v/>
      </c>
      <c r="P122" s="39">
        <f>IF(P120=0,0,P121/P120)</f>
        <v/>
      </c>
      <c r="Q122" s="39">
        <f>IF(Q120=0,0,Q121/Q120)</f>
        <v/>
      </c>
      <c r="R122" s="39">
        <f>IF(R120=0,0,R121/R120)</f>
        <v/>
      </c>
      <c r="S122" s="39">
        <f>IF(S120=0,0,S121/S120)</f>
        <v/>
      </c>
      <c r="T122" s="39">
        <f>IF(T120=0,0,T121/T120)</f>
        <v/>
      </c>
      <c r="U122" s="39">
        <f>IF(U120=0,0,U121/U120)</f>
        <v/>
      </c>
      <c r="V122" s="39">
        <f>IF(V120=0,0,V121/V120)</f>
        <v/>
      </c>
      <c r="W122" s="39">
        <f>IF(W120=0,0,W121/W120)</f>
        <v/>
      </c>
      <c r="X122" s="39">
        <f>IF(X120=0,0,X121/X120)</f>
        <v/>
      </c>
      <c r="Y122" s="39">
        <f>IF(Y120=0,0,Y121/Y120)</f>
        <v/>
      </c>
      <c r="Z122" s="39">
        <f>IF(Z120=0,0,Z121/Z120)</f>
        <v/>
      </c>
      <c r="AA122" s="39">
        <f>IF(AA120=0,0,AA121/AA120)</f>
        <v/>
      </c>
      <c r="AB122" s="39">
        <f>IF(AB120=0,0,AB121/AB120)</f>
        <v/>
      </c>
      <c r="AC122" s="39">
        <f>IF(AC120=0,0,AC121/AC120)</f>
        <v/>
      </c>
      <c r="AD122" s="39">
        <f>IF(AD120=0,0,AD121/AD120)</f>
        <v/>
      </c>
      <c r="AE122" s="39">
        <f>IF(AE120=0,0,AE121/AE120)</f>
        <v/>
      </c>
      <c r="AF122" s="39">
        <f>IF(AF120=0,0,AF121/AF120)</f>
        <v/>
      </c>
      <c r="AG122" s="39">
        <f>IF(AG120=0,0,AG121/AG120)</f>
        <v/>
      </c>
      <c r="AH122" s="39">
        <f>IF(AH120=0,0,AH121/AH120)</f>
        <v/>
      </c>
      <c r="AI122" s="39">
        <f>IF(AI120=0,0,AI121/AI120)</f>
        <v/>
      </c>
      <c r="AJ122" s="39">
        <f>IF(AJ120=0,0,AJ121/AJ120)</f>
        <v/>
      </c>
      <c r="AK122" s="39">
        <f>IF(AK120=0,0,AK121/AK120)</f>
        <v/>
      </c>
      <c r="AL122" s="39">
        <f>IF(AL120=0,0,AL121/AL120)</f>
        <v/>
      </c>
    </row>
    <row r="123">
      <c r="A123" s="7" t="inlineStr">
        <is>
          <t>Paid advertising (optional tests; no revenue credit)</t>
        </is>
      </c>
      <c r="B123" s="9" t="inlineStr">
        <is>
          <t>$</t>
        </is>
      </c>
      <c r="C123" s="8">
        <f>IF(C$4&gt;='Assumptions'!$C$197,CHOOSE(C$6,'Assumptions'!$C$198,'Assumptions'!$C$199,'Assumptions'!$C$200),0)</f>
        <v/>
      </c>
      <c r="D123" s="8">
        <f>IF(D$4&gt;='Assumptions'!$C$197,CHOOSE(D$6,'Assumptions'!$C$198,'Assumptions'!$C$199,'Assumptions'!$C$200),0)</f>
        <v/>
      </c>
      <c r="E123" s="8">
        <f>IF(E$4&gt;='Assumptions'!$C$197,CHOOSE(E$6,'Assumptions'!$C$198,'Assumptions'!$C$199,'Assumptions'!$C$200),0)</f>
        <v/>
      </c>
      <c r="F123" s="8">
        <f>IF(F$4&gt;='Assumptions'!$C$197,CHOOSE(F$6,'Assumptions'!$C$198,'Assumptions'!$C$199,'Assumptions'!$C$200),0)</f>
        <v/>
      </c>
      <c r="G123" s="8">
        <f>IF(G$4&gt;='Assumptions'!$C$197,CHOOSE(G$6,'Assumptions'!$C$198,'Assumptions'!$C$199,'Assumptions'!$C$200),0)</f>
        <v/>
      </c>
      <c r="H123" s="8">
        <f>IF(H$4&gt;='Assumptions'!$C$197,CHOOSE(H$6,'Assumptions'!$C$198,'Assumptions'!$C$199,'Assumptions'!$C$200),0)</f>
        <v/>
      </c>
      <c r="I123" s="8">
        <f>IF(I$4&gt;='Assumptions'!$C$197,CHOOSE(I$6,'Assumptions'!$C$198,'Assumptions'!$C$199,'Assumptions'!$C$200),0)</f>
        <v/>
      </c>
      <c r="J123" s="8">
        <f>IF(J$4&gt;='Assumptions'!$C$197,CHOOSE(J$6,'Assumptions'!$C$198,'Assumptions'!$C$199,'Assumptions'!$C$200),0)</f>
        <v/>
      </c>
      <c r="K123" s="8">
        <f>IF(K$4&gt;='Assumptions'!$C$197,CHOOSE(K$6,'Assumptions'!$C$198,'Assumptions'!$C$199,'Assumptions'!$C$200),0)</f>
        <v/>
      </c>
      <c r="L123" s="8">
        <f>IF(L$4&gt;='Assumptions'!$C$197,CHOOSE(L$6,'Assumptions'!$C$198,'Assumptions'!$C$199,'Assumptions'!$C$200),0)</f>
        <v/>
      </c>
      <c r="M123" s="8">
        <f>IF(M$4&gt;='Assumptions'!$C$197,CHOOSE(M$6,'Assumptions'!$C$198,'Assumptions'!$C$199,'Assumptions'!$C$200),0)</f>
        <v/>
      </c>
      <c r="N123" s="8">
        <f>IF(N$4&gt;='Assumptions'!$C$197,CHOOSE(N$6,'Assumptions'!$C$198,'Assumptions'!$C$199,'Assumptions'!$C$200),0)</f>
        <v/>
      </c>
      <c r="O123" s="8">
        <f>IF(O$4&gt;='Assumptions'!$C$197,CHOOSE(O$6,'Assumptions'!$C$198,'Assumptions'!$C$199,'Assumptions'!$C$200),0)</f>
        <v/>
      </c>
      <c r="P123" s="8">
        <f>IF(P$4&gt;='Assumptions'!$C$197,CHOOSE(P$6,'Assumptions'!$C$198,'Assumptions'!$C$199,'Assumptions'!$C$200),0)</f>
        <v/>
      </c>
      <c r="Q123" s="8">
        <f>IF(Q$4&gt;='Assumptions'!$C$197,CHOOSE(Q$6,'Assumptions'!$C$198,'Assumptions'!$C$199,'Assumptions'!$C$200),0)</f>
        <v/>
      </c>
      <c r="R123" s="8">
        <f>IF(R$4&gt;='Assumptions'!$C$197,CHOOSE(R$6,'Assumptions'!$C$198,'Assumptions'!$C$199,'Assumptions'!$C$200),0)</f>
        <v/>
      </c>
      <c r="S123" s="8">
        <f>IF(S$4&gt;='Assumptions'!$C$197,CHOOSE(S$6,'Assumptions'!$C$198,'Assumptions'!$C$199,'Assumptions'!$C$200),0)</f>
        <v/>
      </c>
      <c r="T123" s="8">
        <f>IF(T$4&gt;='Assumptions'!$C$197,CHOOSE(T$6,'Assumptions'!$C$198,'Assumptions'!$C$199,'Assumptions'!$C$200),0)</f>
        <v/>
      </c>
      <c r="U123" s="8">
        <f>IF(U$4&gt;='Assumptions'!$C$197,CHOOSE(U$6,'Assumptions'!$C$198,'Assumptions'!$C$199,'Assumptions'!$C$200),0)</f>
        <v/>
      </c>
      <c r="V123" s="8">
        <f>IF(V$4&gt;='Assumptions'!$C$197,CHOOSE(V$6,'Assumptions'!$C$198,'Assumptions'!$C$199,'Assumptions'!$C$200),0)</f>
        <v/>
      </c>
      <c r="W123" s="8">
        <f>IF(W$4&gt;='Assumptions'!$C$197,CHOOSE(W$6,'Assumptions'!$C$198,'Assumptions'!$C$199,'Assumptions'!$C$200),0)</f>
        <v/>
      </c>
      <c r="X123" s="8">
        <f>IF(X$4&gt;='Assumptions'!$C$197,CHOOSE(X$6,'Assumptions'!$C$198,'Assumptions'!$C$199,'Assumptions'!$C$200),0)</f>
        <v/>
      </c>
      <c r="Y123" s="8">
        <f>IF(Y$4&gt;='Assumptions'!$C$197,CHOOSE(Y$6,'Assumptions'!$C$198,'Assumptions'!$C$199,'Assumptions'!$C$200),0)</f>
        <v/>
      </c>
      <c r="Z123" s="8">
        <f>IF(Z$4&gt;='Assumptions'!$C$197,CHOOSE(Z$6,'Assumptions'!$C$198,'Assumptions'!$C$199,'Assumptions'!$C$200),0)</f>
        <v/>
      </c>
      <c r="AA123" s="8">
        <f>IF(AA$4&gt;='Assumptions'!$C$197,CHOOSE(AA$6,'Assumptions'!$C$198,'Assumptions'!$C$199,'Assumptions'!$C$200),0)</f>
        <v/>
      </c>
      <c r="AB123" s="8">
        <f>IF(AB$4&gt;='Assumptions'!$C$197,CHOOSE(AB$6,'Assumptions'!$C$198,'Assumptions'!$C$199,'Assumptions'!$C$200),0)</f>
        <v/>
      </c>
      <c r="AC123" s="8">
        <f>IF(AC$4&gt;='Assumptions'!$C$197,CHOOSE(AC$6,'Assumptions'!$C$198,'Assumptions'!$C$199,'Assumptions'!$C$200),0)</f>
        <v/>
      </c>
      <c r="AD123" s="8">
        <f>IF(AD$4&gt;='Assumptions'!$C$197,CHOOSE(AD$6,'Assumptions'!$C$198,'Assumptions'!$C$199,'Assumptions'!$C$200),0)</f>
        <v/>
      </c>
      <c r="AE123" s="8">
        <f>IF(AE$4&gt;='Assumptions'!$C$197,CHOOSE(AE$6,'Assumptions'!$C$198,'Assumptions'!$C$199,'Assumptions'!$C$200),0)</f>
        <v/>
      </c>
      <c r="AF123" s="8">
        <f>IF(AF$4&gt;='Assumptions'!$C$197,CHOOSE(AF$6,'Assumptions'!$C$198,'Assumptions'!$C$199,'Assumptions'!$C$200),0)</f>
        <v/>
      </c>
      <c r="AG123" s="8">
        <f>IF(AG$4&gt;='Assumptions'!$C$197,CHOOSE(AG$6,'Assumptions'!$C$198,'Assumptions'!$C$199,'Assumptions'!$C$200),0)</f>
        <v/>
      </c>
      <c r="AH123" s="8">
        <f>IF(AH$4&gt;='Assumptions'!$C$197,CHOOSE(AH$6,'Assumptions'!$C$198,'Assumptions'!$C$199,'Assumptions'!$C$200),0)</f>
        <v/>
      </c>
      <c r="AI123" s="8">
        <f>IF(AI$4&gt;='Assumptions'!$C$197,CHOOSE(AI$6,'Assumptions'!$C$198,'Assumptions'!$C$199,'Assumptions'!$C$200),0)</f>
        <v/>
      </c>
      <c r="AJ123" s="8">
        <f>IF(AJ$4&gt;='Assumptions'!$C$197,CHOOSE(AJ$6,'Assumptions'!$C$198,'Assumptions'!$C$199,'Assumptions'!$C$200),0)</f>
        <v/>
      </c>
      <c r="AK123" s="8">
        <f>IF(AK$4&gt;='Assumptions'!$C$197,CHOOSE(AK$6,'Assumptions'!$C$198,'Assumptions'!$C$199,'Assumptions'!$C$200),0)</f>
        <v/>
      </c>
      <c r="AL123" s="8">
        <f>IF(AL$4&gt;='Assumptions'!$C$197,CHOOSE(AL$6,'Assumptions'!$C$198,'Assumptions'!$C$199,'Assumptions'!$C$200),0)</f>
        <v/>
      </c>
      <c r="AM123" s="47">
        <f>SUMIF($C$6:$AL$6,1,C123:AL123)</f>
        <v/>
      </c>
      <c r="AN123" s="47">
        <f>SUMIF($C$6:$AL$6,2,C123:AL123)</f>
        <v/>
      </c>
      <c r="AO123" s="47">
        <f>SUMIF($C$6:$AL$6,3,C123:AL123)</f>
        <v/>
      </c>
      <c r="AP123" s="47">
        <f>SUM(C123:AL123)</f>
        <v/>
      </c>
    </row>
    <row r="124">
      <c r="A124" s="7" t="inlineStr">
        <is>
          <t>Operating costs (Monthly Operating Costs tab)</t>
        </is>
      </c>
      <c r="B124" s="9" t="inlineStr">
        <is>
          <t>$</t>
        </is>
      </c>
      <c r="C124" s="8">
        <f>'Monthly Operating Costs'!O$37</f>
        <v/>
      </c>
      <c r="D124" s="8">
        <f>'Monthly Operating Costs'!P$37</f>
        <v/>
      </c>
      <c r="E124" s="8">
        <f>'Monthly Operating Costs'!Q$37</f>
        <v/>
      </c>
      <c r="F124" s="8">
        <f>'Monthly Operating Costs'!R$37</f>
        <v/>
      </c>
      <c r="G124" s="8">
        <f>'Monthly Operating Costs'!S$37</f>
        <v/>
      </c>
      <c r="H124" s="8">
        <f>'Monthly Operating Costs'!T$37</f>
        <v/>
      </c>
      <c r="I124" s="8">
        <f>'Monthly Operating Costs'!U$37</f>
        <v/>
      </c>
      <c r="J124" s="8">
        <f>'Monthly Operating Costs'!V$37</f>
        <v/>
      </c>
      <c r="K124" s="8">
        <f>'Monthly Operating Costs'!W$37</f>
        <v/>
      </c>
      <c r="L124" s="8">
        <f>'Monthly Operating Costs'!X$37</f>
        <v/>
      </c>
      <c r="M124" s="8">
        <f>'Monthly Operating Costs'!Y$37</f>
        <v/>
      </c>
      <c r="N124" s="8">
        <f>'Monthly Operating Costs'!Z$37</f>
        <v/>
      </c>
      <c r="O124" s="8">
        <f>'Monthly Operating Costs'!AA$37</f>
        <v/>
      </c>
      <c r="P124" s="8">
        <f>'Monthly Operating Costs'!AB$37</f>
        <v/>
      </c>
      <c r="Q124" s="8">
        <f>'Monthly Operating Costs'!AC$37</f>
        <v/>
      </c>
      <c r="R124" s="8">
        <f>'Monthly Operating Costs'!AD$37</f>
        <v/>
      </c>
      <c r="S124" s="8">
        <f>'Monthly Operating Costs'!AE$37</f>
        <v/>
      </c>
      <c r="T124" s="8">
        <f>'Monthly Operating Costs'!AF$37</f>
        <v/>
      </c>
      <c r="U124" s="8">
        <f>'Monthly Operating Costs'!AG$37</f>
        <v/>
      </c>
      <c r="V124" s="8">
        <f>'Monthly Operating Costs'!AH$37</f>
        <v/>
      </c>
      <c r="W124" s="8">
        <f>'Monthly Operating Costs'!AI$37</f>
        <v/>
      </c>
      <c r="X124" s="8">
        <f>'Monthly Operating Costs'!AJ$37</f>
        <v/>
      </c>
      <c r="Y124" s="8">
        <f>'Monthly Operating Costs'!AK$37</f>
        <v/>
      </c>
      <c r="Z124" s="8">
        <f>'Monthly Operating Costs'!AL$37</f>
        <v/>
      </c>
      <c r="AA124" s="8">
        <f>'Monthly Operating Costs'!AM$37</f>
        <v/>
      </c>
      <c r="AB124" s="8">
        <f>'Monthly Operating Costs'!AN$37</f>
        <v/>
      </c>
      <c r="AC124" s="8">
        <f>'Monthly Operating Costs'!AO$37</f>
        <v/>
      </c>
      <c r="AD124" s="8">
        <f>'Monthly Operating Costs'!AP$37</f>
        <v/>
      </c>
      <c r="AE124" s="8">
        <f>'Monthly Operating Costs'!AQ$37</f>
        <v/>
      </c>
      <c r="AF124" s="8">
        <f>'Monthly Operating Costs'!AR$37</f>
        <v/>
      </c>
      <c r="AG124" s="8">
        <f>'Monthly Operating Costs'!AS$37</f>
        <v/>
      </c>
      <c r="AH124" s="8">
        <f>'Monthly Operating Costs'!AT$37</f>
        <v/>
      </c>
      <c r="AI124" s="8">
        <f>'Monthly Operating Costs'!AU$37</f>
        <v/>
      </c>
      <c r="AJ124" s="8">
        <f>'Monthly Operating Costs'!AV$37</f>
        <v/>
      </c>
      <c r="AK124" s="8">
        <f>'Monthly Operating Costs'!AW$37</f>
        <v/>
      </c>
      <c r="AL124" s="8">
        <f>'Monthly Operating Costs'!AX$37</f>
        <v/>
      </c>
      <c r="AM124" s="47">
        <f>SUMIF($C$6:$AL$6,1,C124:AL124)</f>
        <v/>
      </c>
      <c r="AN124" s="47">
        <f>SUMIF($C$6:$AL$6,2,C124:AL124)</f>
        <v/>
      </c>
      <c r="AO124" s="47">
        <f>SUMIF($C$6:$AL$6,3,C124:AL124)</f>
        <v/>
      </c>
      <c r="AP124" s="47">
        <f>SUM(C124:AL124)</f>
        <v/>
      </c>
    </row>
    <row r="125">
      <c r="A125" s="7" t="inlineStr">
        <is>
          <t>Wave fixed costs (3PL minimum, Seller Central, retail EDI/insurance uplift)</t>
        </is>
      </c>
      <c r="B125" s="9" t="inlineStr">
        <is>
          <t>$</t>
        </is>
      </c>
      <c r="C125" s="8">
        <f>IF(AND($B$14=1,C$4&gt;=$B$11),'Assumptions'!$C$69+'Assumptions'!$C$70,0)+IF(C101=1,'Retail Readiness Costs'!$H$36,0)</f>
        <v/>
      </c>
      <c r="D125" s="8">
        <f>IF(AND($B$14=1,D$4&gt;=$B$11),'Assumptions'!$C$69+'Assumptions'!$C$70,0)+IF(D101=1,'Retail Readiness Costs'!$H$36,0)</f>
        <v/>
      </c>
      <c r="E125" s="8">
        <f>IF(AND($B$14=1,E$4&gt;=$B$11),'Assumptions'!$C$69+'Assumptions'!$C$70,0)+IF(E101=1,'Retail Readiness Costs'!$H$36,0)</f>
        <v/>
      </c>
      <c r="F125" s="8">
        <f>IF(AND($B$14=1,F$4&gt;=$B$11),'Assumptions'!$C$69+'Assumptions'!$C$70,0)+IF(F101=1,'Retail Readiness Costs'!$H$36,0)</f>
        <v/>
      </c>
      <c r="G125" s="8">
        <f>IF(AND($B$14=1,G$4&gt;=$B$11),'Assumptions'!$C$69+'Assumptions'!$C$70,0)+IF(G101=1,'Retail Readiness Costs'!$H$36,0)</f>
        <v/>
      </c>
      <c r="H125" s="8">
        <f>IF(AND($B$14=1,H$4&gt;=$B$11),'Assumptions'!$C$69+'Assumptions'!$C$70,0)+IF(H101=1,'Retail Readiness Costs'!$H$36,0)</f>
        <v/>
      </c>
      <c r="I125" s="8">
        <f>IF(AND($B$14=1,I$4&gt;=$B$11),'Assumptions'!$C$69+'Assumptions'!$C$70,0)+IF(I101=1,'Retail Readiness Costs'!$H$36,0)</f>
        <v/>
      </c>
      <c r="J125" s="8">
        <f>IF(AND($B$14=1,J$4&gt;=$B$11),'Assumptions'!$C$69+'Assumptions'!$C$70,0)+IF(J101=1,'Retail Readiness Costs'!$H$36,0)</f>
        <v/>
      </c>
      <c r="K125" s="8">
        <f>IF(AND($B$14=1,K$4&gt;=$B$11),'Assumptions'!$C$69+'Assumptions'!$C$70,0)+IF(K101=1,'Retail Readiness Costs'!$H$36,0)</f>
        <v/>
      </c>
      <c r="L125" s="8">
        <f>IF(AND($B$14=1,L$4&gt;=$B$11),'Assumptions'!$C$69+'Assumptions'!$C$70,0)+IF(L101=1,'Retail Readiness Costs'!$H$36,0)</f>
        <v/>
      </c>
      <c r="M125" s="8">
        <f>IF(AND($B$14=1,M$4&gt;=$B$11),'Assumptions'!$C$69+'Assumptions'!$C$70,0)+IF(M101=1,'Retail Readiness Costs'!$H$36,0)</f>
        <v/>
      </c>
      <c r="N125" s="8">
        <f>IF(AND($B$14=1,N$4&gt;=$B$11),'Assumptions'!$C$69+'Assumptions'!$C$70,0)+IF(N101=1,'Retail Readiness Costs'!$H$36,0)</f>
        <v/>
      </c>
      <c r="O125" s="8">
        <f>IF(AND($B$14=1,O$4&gt;=$B$11),'Assumptions'!$C$69+'Assumptions'!$C$70,0)+IF(O101=1,'Retail Readiness Costs'!$H$36,0)</f>
        <v/>
      </c>
      <c r="P125" s="8">
        <f>IF(AND($B$14=1,P$4&gt;=$B$11),'Assumptions'!$C$69+'Assumptions'!$C$70,0)+IF(P101=1,'Retail Readiness Costs'!$H$36,0)</f>
        <v/>
      </c>
      <c r="Q125" s="8">
        <f>IF(AND($B$14=1,Q$4&gt;=$B$11),'Assumptions'!$C$69+'Assumptions'!$C$70,0)+IF(Q101=1,'Retail Readiness Costs'!$H$36,0)</f>
        <v/>
      </c>
      <c r="R125" s="8">
        <f>IF(AND($B$14=1,R$4&gt;=$B$11),'Assumptions'!$C$69+'Assumptions'!$C$70,0)+IF(R101=1,'Retail Readiness Costs'!$H$36,0)</f>
        <v/>
      </c>
      <c r="S125" s="8">
        <f>IF(AND($B$14=1,S$4&gt;=$B$11),'Assumptions'!$C$69+'Assumptions'!$C$70,0)+IF(S101=1,'Retail Readiness Costs'!$H$36,0)</f>
        <v/>
      </c>
      <c r="T125" s="8">
        <f>IF(AND($B$14=1,T$4&gt;=$B$11),'Assumptions'!$C$69+'Assumptions'!$C$70,0)+IF(T101=1,'Retail Readiness Costs'!$H$36,0)</f>
        <v/>
      </c>
      <c r="U125" s="8">
        <f>IF(AND($B$14=1,U$4&gt;=$B$11),'Assumptions'!$C$69+'Assumptions'!$C$70,0)+IF(U101=1,'Retail Readiness Costs'!$H$36,0)</f>
        <v/>
      </c>
      <c r="V125" s="8">
        <f>IF(AND($B$14=1,V$4&gt;=$B$11),'Assumptions'!$C$69+'Assumptions'!$C$70,0)+IF(V101=1,'Retail Readiness Costs'!$H$36,0)</f>
        <v/>
      </c>
      <c r="W125" s="8">
        <f>IF(AND($B$14=1,W$4&gt;=$B$11),'Assumptions'!$C$69+'Assumptions'!$C$70,0)+IF(W101=1,'Retail Readiness Costs'!$H$36,0)</f>
        <v/>
      </c>
      <c r="X125" s="8">
        <f>IF(AND($B$14=1,X$4&gt;=$B$11),'Assumptions'!$C$69+'Assumptions'!$C$70,0)+IF(X101=1,'Retail Readiness Costs'!$H$36,0)</f>
        <v/>
      </c>
      <c r="Y125" s="8">
        <f>IF(AND($B$14=1,Y$4&gt;=$B$11),'Assumptions'!$C$69+'Assumptions'!$C$70,0)+IF(Y101=1,'Retail Readiness Costs'!$H$36,0)</f>
        <v/>
      </c>
      <c r="Z125" s="8">
        <f>IF(AND($B$14=1,Z$4&gt;=$B$11),'Assumptions'!$C$69+'Assumptions'!$C$70,0)+IF(Z101=1,'Retail Readiness Costs'!$H$36,0)</f>
        <v/>
      </c>
      <c r="AA125" s="8">
        <f>IF(AND($B$14=1,AA$4&gt;=$B$11),'Assumptions'!$C$69+'Assumptions'!$C$70,0)+IF(AA101=1,'Retail Readiness Costs'!$H$36,0)</f>
        <v/>
      </c>
      <c r="AB125" s="8">
        <f>IF(AND($B$14=1,AB$4&gt;=$B$11),'Assumptions'!$C$69+'Assumptions'!$C$70,0)+IF(AB101=1,'Retail Readiness Costs'!$H$36,0)</f>
        <v/>
      </c>
      <c r="AC125" s="8">
        <f>IF(AND($B$14=1,AC$4&gt;=$B$11),'Assumptions'!$C$69+'Assumptions'!$C$70,0)+IF(AC101=1,'Retail Readiness Costs'!$H$36,0)</f>
        <v/>
      </c>
      <c r="AD125" s="8">
        <f>IF(AND($B$14=1,AD$4&gt;=$B$11),'Assumptions'!$C$69+'Assumptions'!$C$70,0)+IF(AD101=1,'Retail Readiness Costs'!$H$36,0)</f>
        <v/>
      </c>
      <c r="AE125" s="8">
        <f>IF(AND($B$14=1,AE$4&gt;=$B$11),'Assumptions'!$C$69+'Assumptions'!$C$70,0)+IF(AE101=1,'Retail Readiness Costs'!$H$36,0)</f>
        <v/>
      </c>
      <c r="AF125" s="8">
        <f>IF(AND($B$14=1,AF$4&gt;=$B$11),'Assumptions'!$C$69+'Assumptions'!$C$70,0)+IF(AF101=1,'Retail Readiness Costs'!$H$36,0)</f>
        <v/>
      </c>
      <c r="AG125" s="8">
        <f>IF(AND($B$14=1,AG$4&gt;=$B$11),'Assumptions'!$C$69+'Assumptions'!$C$70,0)+IF(AG101=1,'Retail Readiness Costs'!$H$36,0)</f>
        <v/>
      </c>
      <c r="AH125" s="8">
        <f>IF(AND($B$14=1,AH$4&gt;=$B$11),'Assumptions'!$C$69+'Assumptions'!$C$70,0)+IF(AH101=1,'Retail Readiness Costs'!$H$36,0)</f>
        <v/>
      </c>
      <c r="AI125" s="8">
        <f>IF(AND($B$14=1,AI$4&gt;=$B$11),'Assumptions'!$C$69+'Assumptions'!$C$70,0)+IF(AI101=1,'Retail Readiness Costs'!$H$36,0)</f>
        <v/>
      </c>
      <c r="AJ125" s="8">
        <f>IF(AND($B$14=1,AJ$4&gt;=$B$11),'Assumptions'!$C$69+'Assumptions'!$C$70,0)+IF(AJ101=1,'Retail Readiness Costs'!$H$36,0)</f>
        <v/>
      </c>
      <c r="AK125" s="8">
        <f>IF(AND($B$14=1,AK$4&gt;=$B$11),'Assumptions'!$C$69+'Assumptions'!$C$70,0)+IF(AK101=1,'Retail Readiness Costs'!$H$36,0)</f>
        <v/>
      </c>
      <c r="AL125" s="8">
        <f>IF(AND($B$14=1,AL$4&gt;=$B$11),'Assumptions'!$C$69+'Assumptions'!$C$70,0)+IF(AL101=1,'Retail Readiness Costs'!$H$36,0)</f>
        <v/>
      </c>
      <c r="AM125" s="47">
        <f>SUMIF($C$6:$AL$6,1,C125:AL125)</f>
        <v/>
      </c>
      <c r="AN125" s="47">
        <f>SUMIF($C$6:$AL$6,2,C125:AL125)</f>
        <v/>
      </c>
      <c r="AO125" s="47">
        <f>SUMIF($C$6:$AL$6,3,C125:AL125)</f>
        <v/>
      </c>
      <c r="AP125" s="47">
        <f>SUM(C125:AL125)</f>
        <v/>
      </c>
    </row>
    <row r="126">
      <c r="A126" s="60" t="inlineStr">
        <is>
          <t>NET OPERATING RESULT (before one-time costs)</t>
        </is>
      </c>
      <c r="B126" s="61" t="inlineStr">
        <is>
          <t>$</t>
        </is>
      </c>
      <c r="C126" s="62">
        <f>C121-C123-C124-C125</f>
        <v/>
      </c>
      <c r="D126" s="62">
        <f>D121-D123-D124-D125</f>
        <v/>
      </c>
      <c r="E126" s="62">
        <f>E121-E123-E124-E125</f>
        <v/>
      </c>
      <c r="F126" s="62">
        <f>F121-F123-F124-F125</f>
        <v/>
      </c>
      <c r="G126" s="62">
        <f>G121-G123-G124-G125</f>
        <v/>
      </c>
      <c r="H126" s="62">
        <f>H121-H123-H124-H125</f>
        <v/>
      </c>
      <c r="I126" s="62">
        <f>I121-I123-I124-I125</f>
        <v/>
      </c>
      <c r="J126" s="62">
        <f>J121-J123-J124-J125</f>
        <v/>
      </c>
      <c r="K126" s="62">
        <f>K121-K123-K124-K125</f>
        <v/>
      </c>
      <c r="L126" s="62">
        <f>L121-L123-L124-L125</f>
        <v/>
      </c>
      <c r="M126" s="62">
        <f>M121-M123-M124-M125</f>
        <v/>
      </c>
      <c r="N126" s="62">
        <f>N121-N123-N124-N125</f>
        <v/>
      </c>
      <c r="O126" s="62">
        <f>O121-O123-O124-O125</f>
        <v/>
      </c>
      <c r="P126" s="62">
        <f>P121-P123-P124-P125</f>
        <v/>
      </c>
      <c r="Q126" s="62">
        <f>Q121-Q123-Q124-Q125</f>
        <v/>
      </c>
      <c r="R126" s="62">
        <f>R121-R123-R124-R125</f>
        <v/>
      </c>
      <c r="S126" s="62">
        <f>S121-S123-S124-S125</f>
        <v/>
      </c>
      <c r="T126" s="62">
        <f>T121-T123-T124-T125</f>
        <v/>
      </c>
      <c r="U126" s="62">
        <f>U121-U123-U124-U125</f>
        <v/>
      </c>
      <c r="V126" s="62">
        <f>V121-V123-V124-V125</f>
        <v/>
      </c>
      <c r="W126" s="62">
        <f>W121-W123-W124-W125</f>
        <v/>
      </c>
      <c r="X126" s="62">
        <f>X121-X123-X124-X125</f>
        <v/>
      </c>
      <c r="Y126" s="62">
        <f>Y121-Y123-Y124-Y125</f>
        <v/>
      </c>
      <c r="Z126" s="62">
        <f>Z121-Z123-Z124-Z125</f>
        <v/>
      </c>
      <c r="AA126" s="62">
        <f>AA121-AA123-AA124-AA125</f>
        <v/>
      </c>
      <c r="AB126" s="62">
        <f>AB121-AB123-AB124-AB125</f>
        <v/>
      </c>
      <c r="AC126" s="62">
        <f>AC121-AC123-AC124-AC125</f>
        <v/>
      </c>
      <c r="AD126" s="62">
        <f>AD121-AD123-AD124-AD125</f>
        <v/>
      </c>
      <c r="AE126" s="62">
        <f>AE121-AE123-AE124-AE125</f>
        <v/>
      </c>
      <c r="AF126" s="62">
        <f>AF121-AF123-AF124-AF125</f>
        <v/>
      </c>
      <c r="AG126" s="62">
        <f>AG121-AG123-AG124-AG125</f>
        <v/>
      </c>
      <c r="AH126" s="62">
        <f>AH121-AH123-AH124-AH125</f>
        <v/>
      </c>
      <c r="AI126" s="62">
        <f>AI121-AI123-AI124-AI125</f>
        <v/>
      </c>
      <c r="AJ126" s="62">
        <f>AJ121-AJ123-AJ124-AJ125</f>
        <v/>
      </c>
      <c r="AK126" s="62">
        <f>AK121-AK123-AK124-AK125</f>
        <v/>
      </c>
      <c r="AL126" s="62">
        <f>AL121-AL123-AL124-AL125</f>
        <v/>
      </c>
      <c r="AM126" s="63">
        <f>SUMIF($C$6:$AL$6,1,C126:AL126)</f>
        <v/>
      </c>
      <c r="AN126" s="63">
        <f>SUMIF($C$6:$AL$6,2,C126:AL126)</f>
        <v/>
      </c>
      <c r="AO126" s="63">
        <f>SUMIF($C$6:$AL$6,3,C126:AL126)</f>
        <v/>
      </c>
      <c r="AP126" s="63">
        <f>SUM(C126:AL126)</f>
        <v/>
      </c>
    </row>
    <row r="127">
      <c r="A127" s="7" t="inlineStr">
        <is>
          <t xml:space="preserve">   Trailing-12-month operating result (months available so far)</t>
        </is>
      </c>
      <c r="B127" s="9" t="inlineStr">
        <is>
          <t>$</t>
        </is>
      </c>
      <c r="C127" s="19">
        <f>SUM(C126:C126)</f>
        <v/>
      </c>
      <c r="D127" s="19">
        <f>SUM(C126:D126)</f>
        <v/>
      </c>
      <c r="E127" s="19">
        <f>SUM(C126:E126)</f>
        <v/>
      </c>
      <c r="F127" s="19">
        <f>SUM(C126:F126)</f>
        <v/>
      </c>
      <c r="G127" s="19">
        <f>SUM(C126:G126)</f>
        <v/>
      </c>
      <c r="H127" s="19">
        <f>SUM(C126:H126)</f>
        <v/>
      </c>
      <c r="I127" s="19">
        <f>SUM(C126:I126)</f>
        <v/>
      </c>
      <c r="J127" s="19">
        <f>SUM(C126:J126)</f>
        <v/>
      </c>
      <c r="K127" s="19">
        <f>SUM(C126:K126)</f>
        <v/>
      </c>
      <c r="L127" s="19">
        <f>SUM(C126:L126)</f>
        <v/>
      </c>
      <c r="M127" s="19">
        <f>SUM(C126:M126)</f>
        <v/>
      </c>
      <c r="N127" s="19">
        <f>SUM(C126:N126)</f>
        <v/>
      </c>
      <c r="O127" s="19">
        <f>SUM(D126:O126)</f>
        <v/>
      </c>
      <c r="P127" s="19">
        <f>SUM(E126:P126)</f>
        <v/>
      </c>
      <c r="Q127" s="19">
        <f>SUM(F126:Q126)</f>
        <v/>
      </c>
      <c r="R127" s="19">
        <f>SUM(G126:R126)</f>
        <v/>
      </c>
      <c r="S127" s="19">
        <f>SUM(H126:S126)</f>
        <v/>
      </c>
      <c r="T127" s="19">
        <f>SUM(I126:T126)</f>
        <v/>
      </c>
      <c r="U127" s="19">
        <f>SUM(J126:U126)</f>
        <v/>
      </c>
      <c r="V127" s="19">
        <f>SUM(K126:V126)</f>
        <v/>
      </c>
      <c r="W127" s="19">
        <f>SUM(L126:W126)</f>
        <v/>
      </c>
      <c r="X127" s="19">
        <f>SUM(M126:X126)</f>
        <v/>
      </c>
      <c r="Y127" s="19">
        <f>SUM(N126:Y126)</f>
        <v/>
      </c>
      <c r="Z127" s="19">
        <f>SUM(O126:Z126)</f>
        <v/>
      </c>
      <c r="AA127" s="19">
        <f>SUM(P126:AA126)</f>
        <v/>
      </c>
      <c r="AB127" s="19">
        <f>SUM(Q126:AB126)</f>
        <v/>
      </c>
      <c r="AC127" s="19">
        <f>SUM(R126:AC126)</f>
        <v/>
      </c>
      <c r="AD127" s="19">
        <f>SUM(S126:AD126)</f>
        <v/>
      </c>
      <c r="AE127" s="19">
        <f>SUM(T126:AE126)</f>
        <v/>
      </c>
      <c r="AF127" s="19">
        <f>SUM(U126:AF126)</f>
        <v/>
      </c>
      <c r="AG127" s="19">
        <f>SUM(V126:AG126)</f>
        <v/>
      </c>
      <c r="AH127" s="19">
        <f>SUM(W126:AH126)</f>
        <v/>
      </c>
      <c r="AI127" s="19">
        <f>SUM(X126:AI126)</f>
        <v/>
      </c>
      <c r="AJ127" s="19">
        <f>SUM(Y126:AJ126)</f>
        <v/>
      </c>
      <c r="AK127" s="19">
        <f>SUM(Z126:AK126)</f>
        <v/>
      </c>
      <c r="AL127" s="19">
        <f>SUM(AA126:AL126)</f>
        <v/>
      </c>
    </row>
    <row r="128">
      <c r="A128" s="7" t="inlineStr">
        <is>
          <t>One-time startup costs (Startup Costs tab, included items)</t>
        </is>
      </c>
      <c r="B128" s="9" t="inlineStr">
        <is>
          <t>$</t>
        </is>
      </c>
      <c r="C128" s="8">
        <f>SUMPRODUCT(('Startup Costs'!$F$6:$F$39=C$4)*'Startup Costs'!$G$6:$G$39*'Startup Costs'!$E$6:$E$39)</f>
        <v/>
      </c>
      <c r="D128" s="8">
        <f>SUMPRODUCT(('Startup Costs'!$F$6:$F$39=D$4)*'Startup Costs'!$G$6:$G$39*'Startup Costs'!$E$6:$E$39)</f>
        <v/>
      </c>
      <c r="E128" s="8">
        <f>SUMPRODUCT(('Startup Costs'!$F$6:$F$39=E$4)*'Startup Costs'!$G$6:$G$39*'Startup Costs'!$E$6:$E$39)</f>
        <v/>
      </c>
      <c r="F128" s="8">
        <f>SUMPRODUCT(('Startup Costs'!$F$6:$F$39=F$4)*'Startup Costs'!$G$6:$G$39*'Startup Costs'!$E$6:$E$39)</f>
        <v/>
      </c>
      <c r="G128" s="8">
        <f>SUMPRODUCT(('Startup Costs'!$F$6:$F$39=G$4)*'Startup Costs'!$G$6:$G$39*'Startup Costs'!$E$6:$E$39)</f>
        <v/>
      </c>
      <c r="H128" s="8">
        <f>SUMPRODUCT(('Startup Costs'!$F$6:$F$39=H$4)*'Startup Costs'!$G$6:$G$39*'Startup Costs'!$E$6:$E$39)</f>
        <v/>
      </c>
      <c r="I128" s="8">
        <f>SUMPRODUCT(('Startup Costs'!$F$6:$F$39=I$4)*'Startup Costs'!$G$6:$G$39*'Startup Costs'!$E$6:$E$39)</f>
        <v/>
      </c>
      <c r="J128" s="8">
        <f>SUMPRODUCT(('Startup Costs'!$F$6:$F$39=J$4)*'Startup Costs'!$G$6:$G$39*'Startup Costs'!$E$6:$E$39)</f>
        <v/>
      </c>
      <c r="K128" s="8">
        <f>SUMPRODUCT(('Startup Costs'!$F$6:$F$39=K$4)*'Startup Costs'!$G$6:$G$39*'Startup Costs'!$E$6:$E$39)</f>
        <v/>
      </c>
      <c r="L128" s="8">
        <f>SUMPRODUCT(('Startup Costs'!$F$6:$F$39=L$4)*'Startup Costs'!$G$6:$G$39*'Startup Costs'!$E$6:$E$39)</f>
        <v/>
      </c>
      <c r="M128" s="8">
        <f>SUMPRODUCT(('Startup Costs'!$F$6:$F$39=M$4)*'Startup Costs'!$G$6:$G$39*'Startup Costs'!$E$6:$E$39)</f>
        <v/>
      </c>
      <c r="N128" s="8">
        <f>SUMPRODUCT(('Startup Costs'!$F$6:$F$39=N$4)*'Startup Costs'!$G$6:$G$39*'Startup Costs'!$E$6:$E$39)</f>
        <v/>
      </c>
      <c r="O128" s="8">
        <f>SUMPRODUCT(('Startup Costs'!$F$6:$F$39=O$4)*'Startup Costs'!$G$6:$G$39*'Startup Costs'!$E$6:$E$39)</f>
        <v/>
      </c>
      <c r="P128" s="8">
        <f>SUMPRODUCT(('Startup Costs'!$F$6:$F$39=P$4)*'Startup Costs'!$G$6:$G$39*'Startup Costs'!$E$6:$E$39)</f>
        <v/>
      </c>
      <c r="Q128" s="8">
        <f>SUMPRODUCT(('Startup Costs'!$F$6:$F$39=Q$4)*'Startup Costs'!$G$6:$G$39*'Startup Costs'!$E$6:$E$39)</f>
        <v/>
      </c>
      <c r="R128" s="8">
        <f>SUMPRODUCT(('Startup Costs'!$F$6:$F$39=R$4)*'Startup Costs'!$G$6:$G$39*'Startup Costs'!$E$6:$E$39)</f>
        <v/>
      </c>
      <c r="S128" s="8">
        <f>SUMPRODUCT(('Startup Costs'!$F$6:$F$39=S$4)*'Startup Costs'!$G$6:$G$39*'Startup Costs'!$E$6:$E$39)</f>
        <v/>
      </c>
      <c r="T128" s="8">
        <f>SUMPRODUCT(('Startup Costs'!$F$6:$F$39=T$4)*'Startup Costs'!$G$6:$G$39*'Startup Costs'!$E$6:$E$39)</f>
        <v/>
      </c>
      <c r="U128" s="8">
        <f>SUMPRODUCT(('Startup Costs'!$F$6:$F$39=U$4)*'Startup Costs'!$G$6:$G$39*'Startup Costs'!$E$6:$E$39)</f>
        <v/>
      </c>
      <c r="V128" s="8">
        <f>SUMPRODUCT(('Startup Costs'!$F$6:$F$39=V$4)*'Startup Costs'!$G$6:$G$39*'Startup Costs'!$E$6:$E$39)</f>
        <v/>
      </c>
      <c r="W128" s="8">
        <f>SUMPRODUCT(('Startup Costs'!$F$6:$F$39=W$4)*'Startup Costs'!$G$6:$G$39*'Startup Costs'!$E$6:$E$39)</f>
        <v/>
      </c>
      <c r="X128" s="8">
        <f>SUMPRODUCT(('Startup Costs'!$F$6:$F$39=X$4)*'Startup Costs'!$G$6:$G$39*'Startup Costs'!$E$6:$E$39)</f>
        <v/>
      </c>
      <c r="Y128" s="8">
        <f>SUMPRODUCT(('Startup Costs'!$F$6:$F$39=Y$4)*'Startup Costs'!$G$6:$G$39*'Startup Costs'!$E$6:$E$39)</f>
        <v/>
      </c>
      <c r="Z128" s="8">
        <f>SUMPRODUCT(('Startup Costs'!$F$6:$F$39=Z$4)*'Startup Costs'!$G$6:$G$39*'Startup Costs'!$E$6:$E$39)</f>
        <v/>
      </c>
      <c r="AA128" s="8">
        <f>SUMPRODUCT(('Startup Costs'!$F$6:$F$39=AA$4)*'Startup Costs'!$G$6:$G$39*'Startup Costs'!$E$6:$E$39)</f>
        <v/>
      </c>
      <c r="AB128" s="8">
        <f>SUMPRODUCT(('Startup Costs'!$F$6:$F$39=AB$4)*'Startup Costs'!$G$6:$G$39*'Startup Costs'!$E$6:$E$39)</f>
        <v/>
      </c>
      <c r="AC128" s="8">
        <f>SUMPRODUCT(('Startup Costs'!$F$6:$F$39=AC$4)*'Startup Costs'!$G$6:$G$39*'Startup Costs'!$E$6:$E$39)</f>
        <v/>
      </c>
      <c r="AD128" s="8">
        <f>SUMPRODUCT(('Startup Costs'!$F$6:$F$39=AD$4)*'Startup Costs'!$G$6:$G$39*'Startup Costs'!$E$6:$E$39)</f>
        <v/>
      </c>
      <c r="AE128" s="8">
        <f>SUMPRODUCT(('Startup Costs'!$F$6:$F$39=AE$4)*'Startup Costs'!$G$6:$G$39*'Startup Costs'!$E$6:$E$39)</f>
        <v/>
      </c>
      <c r="AF128" s="8">
        <f>SUMPRODUCT(('Startup Costs'!$F$6:$F$39=AF$4)*'Startup Costs'!$G$6:$G$39*'Startup Costs'!$E$6:$E$39)</f>
        <v/>
      </c>
      <c r="AG128" s="8">
        <f>SUMPRODUCT(('Startup Costs'!$F$6:$F$39=AG$4)*'Startup Costs'!$G$6:$G$39*'Startup Costs'!$E$6:$E$39)</f>
        <v/>
      </c>
      <c r="AH128" s="8">
        <f>SUMPRODUCT(('Startup Costs'!$F$6:$F$39=AH$4)*'Startup Costs'!$G$6:$G$39*'Startup Costs'!$E$6:$E$39)</f>
        <v/>
      </c>
      <c r="AI128" s="8">
        <f>SUMPRODUCT(('Startup Costs'!$F$6:$F$39=AI$4)*'Startup Costs'!$G$6:$G$39*'Startup Costs'!$E$6:$E$39)</f>
        <v/>
      </c>
      <c r="AJ128" s="8">
        <f>SUMPRODUCT(('Startup Costs'!$F$6:$F$39=AJ$4)*'Startup Costs'!$G$6:$G$39*'Startup Costs'!$E$6:$E$39)</f>
        <v/>
      </c>
      <c r="AK128" s="8">
        <f>SUMPRODUCT(('Startup Costs'!$F$6:$F$39=AK$4)*'Startup Costs'!$G$6:$G$39*'Startup Costs'!$E$6:$E$39)</f>
        <v/>
      </c>
      <c r="AL128" s="8">
        <f>SUMPRODUCT(('Startup Costs'!$F$6:$F$39=AL$4)*'Startup Costs'!$G$6:$G$39*'Startup Costs'!$E$6:$E$39)</f>
        <v/>
      </c>
      <c r="AM128" s="47">
        <f>SUMIF($C$6:$AL$6,1,C128:AL128)</f>
        <v/>
      </c>
      <c r="AN128" s="47">
        <f>SUMIF($C$6:$AL$6,2,C128:AL128)</f>
        <v/>
      </c>
      <c r="AO128" s="47">
        <f>SUMIF($C$6:$AL$6,3,C128:AL128)</f>
        <v/>
      </c>
      <c r="AP128" s="47">
        <f>SUM(C128:AL128)</f>
        <v/>
      </c>
    </row>
    <row r="129">
      <c r="A129" s="7" t="inlineStr">
        <is>
          <t>One-time wave costs (board-book pre-sale/print, retail readiness, school setup)</t>
        </is>
      </c>
      <c r="B129" s="9" t="inlineStr">
        <is>
          <t>$</t>
        </is>
      </c>
      <c r="C129" s="8">
        <f>IF(AND('Assumptions'!$C$164=1,C$4=MAX(1,MAX('Assumptions'!$C$165,'Assumptions'!$C$9)-1)),'Retail Readiness Costs'!$H$11,0)+IF(AND($B$14=1,C$4=$B$11),'Retail Readiness Costs'!$H$20,0)+IF(AND('Assumptions'!$C$164=1,$B$14=0,C$4=$B$11),'Assumptions'!$C$74,0)+IF(AND('Assumptions'!$C$182=1,C$4=MAX(1,MAX('Assumptions'!$C$183,'Assumptions'!$C$9)-'Assumptions'!$C$77)),'Retail Readiness Costs'!$H$30,0)+IF(AND('Assumptions'!$C$173=1,C$4=MAX('Assumptions'!$C$174,'Assumptions'!$C$9)),'Assumptions'!$C$76,0)</f>
        <v/>
      </c>
      <c r="D129" s="8">
        <f>IF(AND('Assumptions'!$C$164=1,D$4=MAX(1,MAX('Assumptions'!$C$165,'Assumptions'!$C$9)-1)),'Retail Readiness Costs'!$H$11,0)+IF(AND($B$14=1,D$4=$B$11),'Retail Readiness Costs'!$H$20,0)+IF(AND('Assumptions'!$C$164=1,$B$14=0,D$4=$B$11),'Assumptions'!$C$74,0)+IF(AND('Assumptions'!$C$182=1,D$4=MAX(1,MAX('Assumptions'!$C$183,'Assumptions'!$C$9)-'Assumptions'!$C$77)),'Retail Readiness Costs'!$H$30,0)+IF(AND('Assumptions'!$C$173=1,D$4=MAX('Assumptions'!$C$174,'Assumptions'!$C$9)),'Assumptions'!$C$76,0)</f>
        <v/>
      </c>
      <c r="E129" s="8">
        <f>IF(AND('Assumptions'!$C$164=1,E$4=MAX(1,MAX('Assumptions'!$C$165,'Assumptions'!$C$9)-1)),'Retail Readiness Costs'!$H$11,0)+IF(AND($B$14=1,E$4=$B$11),'Retail Readiness Costs'!$H$20,0)+IF(AND('Assumptions'!$C$164=1,$B$14=0,E$4=$B$11),'Assumptions'!$C$74,0)+IF(AND('Assumptions'!$C$182=1,E$4=MAX(1,MAX('Assumptions'!$C$183,'Assumptions'!$C$9)-'Assumptions'!$C$77)),'Retail Readiness Costs'!$H$30,0)+IF(AND('Assumptions'!$C$173=1,E$4=MAX('Assumptions'!$C$174,'Assumptions'!$C$9)),'Assumptions'!$C$76,0)</f>
        <v/>
      </c>
      <c r="F129" s="8">
        <f>IF(AND('Assumptions'!$C$164=1,F$4=MAX(1,MAX('Assumptions'!$C$165,'Assumptions'!$C$9)-1)),'Retail Readiness Costs'!$H$11,0)+IF(AND($B$14=1,F$4=$B$11),'Retail Readiness Costs'!$H$20,0)+IF(AND('Assumptions'!$C$164=1,$B$14=0,F$4=$B$11),'Assumptions'!$C$74,0)+IF(AND('Assumptions'!$C$182=1,F$4=MAX(1,MAX('Assumptions'!$C$183,'Assumptions'!$C$9)-'Assumptions'!$C$77)),'Retail Readiness Costs'!$H$30,0)+IF(AND('Assumptions'!$C$173=1,F$4=MAX('Assumptions'!$C$174,'Assumptions'!$C$9)),'Assumptions'!$C$76,0)</f>
        <v/>
      </c>
      <c r="G129" s="8">
        <f>IF(AND('Assumptions'!$C$164=1,G$4=MAX(1,MAX('Assumptions'!$C$165,'Assumptions'!$C$9)-1)),'Retail Readiness Costs'!$H$11,0)+IF(AND($B$14=1,G$4=$B$11),'Retail Readiness Costs'!$H$20,0)+IF(AND('Assumptions'!$C$164=1,$B$14=0,G$4=$B$11),'Assumptions'!$C$74,0)+IF(AND('Assumptions'!$C$182=1,G$4=MAX(1,MAX('Assumptions'!$C$183,'Assumptions'!$C$9)-'Assumptions'!$C$77)),'Retail Readiness Costs'!$H$30,0)+IF(AND('Assumptions'!$C$173=1,G$4=MAX('Assumptions'!$C$174,'Assumptions'!$C$9)),'Assumptions'!$C$76,0)</f>
        <v/>
      </c>
      <c r="H129" s="8">
        <f>IF(AND('Assumptions'!$C$164=1,H$4=MAX(1,MAX('Assumptions'!$C$165,'Assumptions'!$C$9)-1)),'Retail Readiness Costs'!$H$11,0)+IF(AND($B$14=1,H$4=$B$11),'Retail Readiness Costs'!$H$20,0)+IF(AND('Assumptions'!$C$164=1,$B$14=0,H$4=$B$11),'Assumptions'!$C$74,0)+IF(AND('Assumptions'!$C$182=1,H$4=MAX(1,MAX('Assumptions'!$C$183,'Assumptions'!$C$9)-'Assumptions'!$C$77)),'Retail Readiness Costs'!$H$30,0)+IF(AND('Assumptions'!$C$173=1,H$4=MAX('Assumptions'!$C$174,'Assumptions'!$C$9)),'Assumptions'!$C$76,0)</f>
        <v/>
      </c>
      <c r="I129" s="8">
        <f>IF(AND('Assumptions'!$C$164=1,I$4=MAX(1,MAX('Assumptions'!$C$165,'Assumptions'!$C$9)-1)),'Retail Readiness Costs'!$H$11,0)+IF(AND($B$14=1,I$4=$B$11),'Retail Readiness Costs'!$H$20,0)+IF(AND('Assumptions'!$C$164=1,$B$14=0,I$4=$B$11),'Assumptions'!$C$74,0)+IF(AND('Assumptions'!$C$182=1,I$4=MAX(1,MAX('Assumptions'!$C$183,'Assumptions'!$C$9)-'Assumptions'!$C$77)),'Retail Readiness Costs'!$H$30,0)+IF(AND('Assumptions'!$C$173=1,I$4=MAX('Assumptions'!$C$174,'Assumptions'!$C$9)),'Assumptions'!$C$76,0)</f>
        <v/>
      </c>
      <c r="J129" s="8">
        <f>IF(AND('Assumptions'!$C$164=1,J$4=MAX(1,MAX('Assumptions'!$C$165,'Assumptions'!$C$9)-1)),'Retail Readiness Costs'!$H$11,0)+IF(AND($B$14=1,J$4=$B$11),'Retail Readiness Costs'!$H$20,0)+IF(AND('Assumptions'!$C$164=1,$B$14=0,J$4=$B$11),'Assumptions'!$C$74,0)+IF(AND('Assumptions'!$C$182=1,J$4=MAX(1,MAX('Assumptions'!$C$183,'Assumptions'!$C$9)-'Assumptions'!$C$77)),'Retail Readiness Costs'!$H$30,0)+IF(AND('Assumptions'!$C$173=1,J$4=MAX('Assumptions'!$C$174,'Assumptions'!$C$9)),'Assumptions'!$C$76,0)</f>
        <v/>
      </c>
      <c r="K129" s="8">
        <f>IF(AND('Assumptions'!$C$164=1,K$4=MAX(1,MAX('Assumptions'!$C$165,'Assumptions'!$C$9)-1)),'Retail Readiness Costs'!$H$11,0)+IF(AND($B$14=1,K$4=$B$11),'Retail Readiness Costs'!$H$20,0)+IF(AND('Assumptions'!$C$164=1,$B$14=0,K$4=$B$11),'Assumptions'!$C$74,0)+IF(AND('Assumptions'!$C$182=1,K$4=MAX(1,MAX('Assumptions'!$C$183,'Assumptions'!$C$9)-'Assumptions'!$C$77)),'Retail Readiness Costs'!$H$30,0)+IF(AND('Assumptions'!$C$173=1,K$4=MAX('Assumptions'!$C$174,'Assumptions'!$C$9)),'Assumptions'!$C$76,0)</f>
        <v/>
      </c>
      <c r="L129" s="8">
        <f>IF(AND('Assumptions'!$C$164=1,L$4=MAX(1,MAX('Assumptions'!$C$165,'Assumptions'!$C$9)-1)),'Retail Readiness Costs'!$H$11,0)+IF(AND($B$14=1,L$4=$B$11),'Retail Readiness Costs'!$H$20,0)+IF(AND('Assumptions'!$C$164=1,$B$14=0,L$4=$B$11),'Assumptions'!$C$74,0)+IF(AND('Assumptions'!$C$182=1,L$4=MAX(1,MAX('Assumptions'!$C$183,'Assumptions'!$C$9)-'Assumptions'!$C$77)),'Retail Readiness Costs'!$H$30,0)+IF(AND('Assumptions'!$C$173=1,L$4=MAX('Assumptions'!$C$174,'Assumptions'!$C$9)),'Assumptions'!$C$76,0)</f>
        <v/>
      </c>
      <c r="M129" s="8">
        <f>IF(AND('Assumptions'!$C$164=1,M$4=MAX(1,MAX('Assumptions'!$C$165,'Assumptions'!$C$9)-1)),'Retail Readiness Costs'!$H$11,0)+IF(AND($B$14=1,M$4=$B$11),'Retail Readiness Costs'!$H$20,0)+IF(AND('Assumptions'!$C$164=1,$B$14=0,M$4=$B$11),'Assumptions'!$C$74,0)+IF(AND('Assumptions'!$C$182=1,M$4=MAX(1,MAX('Assumptions'!$C$183,'Assumptions'!$C$9)-'Assumptions'!$C$77)),'Retail Readiness Costs'!$H$30,0)+IF(AND('Assumptions'!$C$173=1,M$4=MAX('Assumptions'!$C$174,'Assumptions'!$C$9)),'Assumptions'!$C$76,0)</f>
        <v/>
      </c>
      <c r="N129" s="8">
        <f>IF(AND('Assumptions'!$C$164=1,N$4=MAX(1,MAX('Assumptions'!$C$165,'Assumptions'!$C$9)-1)),'Retail Readiness Costs'!$H$11,0)+IF(AND($B$14=1,N$4=$B$11),'Retail Readiness Costs'!$H$20,0)+IF(AND('Assumptions'!$C$164=1,$B$14=0,N$4=$B$11),'Assumptions'!$C$74,0)+IF(AND('Assumptions'!$C$182=1,N$4=MAX(1,MAX('Assumptions'!$C$183,'Assumptions'!$C$9)-'Assumptions'!$C$77)),'Retail Readiness Costs'!$H$30,0)+IF(AND('Assumptions'!$C$173=1,N$4=MAX('Assumptions'!$C$174,'Assumptions'!$C$9)),'Assumptions'!$C$76,0)</f>
        <v/>
      </c>
      <c r="O129" s="8">
        <f>IF(AND('Assumptions'!$C$164=1,O$4=MAX(1,MAX('Assumptions'!$C$165,'Assumptions'!$C$9)-1)),'Retail Readiness Costs'!$H$11,0)+IF(AND($B$14=1,O$4=$B$11),'Retail Readiness Costs'!$H$20,0)+IF(AND('Assumptions'!$C$164=1,$B$14=0,O$4=$B$11),'Assumptions'!$C$74,0)+IF(AND('Assumptions'!$C$182=1,O$4=MAX(1,MAX('Assumptions'!$C$183,'Assumptions'!$C$9)-'Assumptions'!$C$77)),'Retail Readiness Costs'!$H$30,0)+IF(AND('Assumptions'!$C$173=1,O$4=MAX('Assumptions'!$C$174,'Assumptions'!$C$9)),'Assumptions'!$C$76,0)</f>
        <v/>
      </c>
      <c r="P129" s="8">
        <f>IF(AND('Assumptions'!$C$164=1,P$4=MAX(1,MAX('Assumptions'!$C$165,'Assumptions'!$C$9)-1)),'Retail Readiness Costs'!$H$11,0)+IF(AND($B$14=1,P$4=$B$11),'Retail Readiness Costs'!$H$20,0)+IF(AND('Assumptions'!$C$164=1,$B$14=0,P$4=$B$11),'Assumptions'!$C$74,0)+IF(AND('Assumptions'!$C$182=1,P$4=MAX(1,MAX('Assumptions'!$C$183,'Assumptions'!$C$9)-'Assumptions'!$C$77)),'Retail Readiness Costs'!$H$30,0)+IF(AND('Assumptions'!$C$173=1,P$4=MAX('Assumptions'!$C$174,'Assumptions'!$C$9)),'Assumptions'!$C$76,0)</f>
        <v/>
      </c>
      <c r="Q129" s="8">
        <f>IF(AND('Assumptions'!$C$164=1,Q$4=MAX(1,MAX('Assumptions'!$C$165,'Assumptions'!$C$9)-1)),'Retail Readiness Costs'!$H$11,0)+IF(AND($B$14=1,Q$4=$B$11),'Retail Readiness Costs'!$H$20,0)+IF(AND('Assumptions'!$C$164=1,$B$14=0,Q$4=$B$11),'Assumptions'!$C$74,0)+IF(AND('Assumptions'!$C$182=1,Q$4=MAX(1,MAX('Assumptions'!$C$183,'Assumptions'!$C$9)-'Assumptions'!$C$77)),'Retail Readiness Costs'!$H$30,0)+IF(AND('Assumptions'!$C$173=1,Q$4=MAX('Assumptions'!$C$174,'Assumptions'!$C$9)),'Assumptions'!$C$76,0)</f>
        <v/>
      </c>
      <c r="R129" s="8">
        <f>IF(AND('Assumptions'!$C$164=1,R$4=MAX(1,MAX('Assumptions'!$C$165,'Assumptions'!$C$9)-1)),'Retail Readiness Costs'!$H$11,0)+IF(AND($B$14=1,R$4=$B$11),'Retail Readiness Costs'!$H$20,0)+IF(AND('Assumptions'!$C$164=1,$B$14=0,R$4=$B$11),'Assumptions'!$C$74,0)+IF(AND('Assumptions'!$C$182=1,R$4=MAX(1,MAX('Assumptions'!$C$183,'Assumptions'!$C$9)-'Assumptions'!$C$77)),'Retail Readiness Costs'!$H$30,0)+IF(AND('Assumptions'!$C$173=1,R$4=MAX('Assumptions'!$C$174,'Assumptions'!$C$9)),'Assumptions'!$C$76,0)</f>
        <v/>
      </c>
      <c r="S129" s="8">
        <f>IF(AND('Assumptions'!$C$164=1,S$4=MAX(1,MAX('Assumptions'!$C$165,'Assumptions'!$C$9)-1)),'Retail Readiness Costs'!$H$11,0)+IF(AND($B$14=1,S$4=$B$11),'Retail Readiness Costs'!$H$20,0)+IF(AND('Assumptions'!$C$164=1,$B$14=0,S$4=$B$11),'Assumptions'!$C$74,0)+IF(AND('Assumptions'!$C$182=1,S$4=MAX(1,MAX('Assumptions'!$C$183,'Assumptions'!$C$9)-'Assumptions'!$C$77)),'Retail Readiness Costs'!$H$30,0)+IF(AND('Assumptions'!$C$173=1,S$4=MAX('Assumptions'!$C$174,'Assumptions'!$C$9)),'Assumptions'!$C$76,0)</f>
        <v/>
      </c>
      <c r="T129" s="8">
        <f>IF(AND('Assumptions'!$C$164=1,T$4=MAX(1,MAX('Assumptions'!$C$165,'Assumptions'!$C$9)-1)),'Retail Readiness Costs'!$H$11,0)+IF(AND($B$14=1,T$4=$B$11),'Retail Readiness Costs'!$H$20,0)+IF(AND('Assumptions'!$C$164=1,$B$14=0,T$4=$B$11),'Assumptions'!$C$74,0)+IF(AND('Assumptions'!$C$182=1,T$4=MAX(1,MAX('Assumptions'!$C$183,'Assumptions'!$C$9)-'Assumptions'!$C$77)),'Retail Readiness Costs'!$H$30,0)+IF(AND('Assumptions'!$C$173=1,T$4=MAX('Assumptions'!$C$174,'Assumptions'!$C$9)),'Assumptions'!$C$76,0)</f>
        <v/>
      </c>
      <c r="U129" s="8">
        <f>IF(AND('Assumptions'!$C$164=1,U$4=MAX(1,MAX('Assumptions'!$C$165,'Assumptions'!$C$9)-1)),'Retail Readiness Costs'!$H$11,0)+IF(AND($B$14=1,U$4=$B$11),'Retail Readiness Costs'!$H$20,0)+IF(AND('Assumptions'!$C$164=1,$B$14=0,U$4=$B$11),'Assumptions'!$C$74,0)+IF(AND('Assumptions'!$C$182=1,U$4=MAX(1,MAX('Assumptions'!$C$183,'Assumptions'!$C$9)-'Assumptions'!$C$77)),'Retail Readiness Costs'!$H$30,0)+IF(AND('Assumptions'!$C$173=1,U$4=MAX('Assumptions'!$C$174,'Assumptions'!$C$9)),'Assumptions'!$C$76,0)</f>
        <v/>
      </c>
      <c r="V129" s="8">
        <f>IF(AND('Assumptions'!$C$164=1,V$4=MAX(1,MAX('Assumptions'!$C$165,'Assumptions'!$C$9)-1)),'Retail Readiness Costs'!$H$11,0)+IF(AND($B$14=1,V$4=$B$11),'Retail Readiness Costs'!$H$20,0)+IF(AND('Assumptions'!$C$164=1,$B$14=0,V$4=$B$11),'Assumptions'!$C$74,0)+IF(AND('Assumptions'!$C$182=1,V$4=MAX(1,MAX('Assumptions'!$C$183,'Assumptions'!$C$9)-'Assumptions'!$C$77)),'Retail Readiness Costs'!$H$30,0)+IF(AND('Assumptions'!$C$173=1,V$4=MAX('Assumptions'!$C$174,'Assumptions'!$C$9)),'Assumptions'!$C$76,0)</f>
        <v/>
      </c>
      <c r="W129" s="8">
        <f>IF(AND('Assumptions'!$C$164=1,W$4=MAX(1,MAX('Assumptions'!$C$165,'Assumptions'!$C$9)-1)),'Retail Readiness Costs'!$H$11,0)+IF(AND($B$14=1,W$4=$B$11),'Retail Readiness Costs'!$H$20,0)+IF(AND('Assumptions'!$C$164=1,$B$14=0,W$4=$B$11),'Assumptions'!$C$74,0)+IF(AND('Assumptions'!$C$182=1,W$4=MAX(1,MAX('Assumptions'!$C$183,'Assumptions'!$C$9)-'Assumptions'!$C$77)),'Retail Readiness Costs'!$H$30,0)+IF(AND('Assumptions'!$C$173=1,W$4=MAX('Assumptions'!$C$174,'Assumptions'!$C$9)),'Assumptions'!$C$76,0)</f>
        <v/>
      </c>
      <c r="X129" s="8">
        <f>IF(AND('Assumptions'!$C$164=1,X$4=MAX(1,MAX('Assumptions'!$C$165,'Assumptions'!$C$9)-1)),'Retail Readiness Costs'!$H$11,0)+IF(AND($B$14=1,X$4=$B$11),'Retail Readiness Costs'!$H$20,0)+IF(AND('Assumptions'!$C$164=1,$B$14=0,X$4=$B$11),'Assumptions'!$C$74,0)+IF(AND('Assumptions'!$C$182=1,X$4=MAX(1,MAX('Assumptions'!$C$183,'Assumptions'!$C$9)-'Assumptions'!$C$77)),'Retail Readiness Costs'!$H$30,0)+IF(AND('Assumptions'!$C$173=1,X$4=MAX('Assumptions'!$C$174,'Assumptions'!$C$9)),'Assumptions'!$C$76,0)</f>
        <v/>
      </c>
      <c r="Y129" s="8">
        <f>IF(AND('Assumptions'!$C$164=1,Y$4=MAX(1,MAX('Assumptions'!$C$165,'Assumptions'!$C$9)-1)),'Retail Readiness Costs'!$H$11,0)+IF(AND($B$14=1,Y$4=$B$11),'Retail Readiness Costs'!$H$20,0)+IF(AND('Assumptions'!$C$164=1,$B$14=0,Y$4=$B$11),'Assumptions'!$C$74,0)+IF(AND('Assumptions'!$C$182=1,Y$4=MAX(1,MAX('Assumptions'!$C$183,'Assumptions'!$C$9)-'Assumptions'!$C$77)),'Retail Readiness Costs'!$H$30,0)+IF(AND('Assumptions'!$C$173=1,Y$4=MAX('Assumptions'!$C$174,'Assumptions'!$C$9)),'Assumptions'!$C$76,0)</f>
        <v/>
      </c>
      <c r="Z129" s="8">
        <f>IF(AND('Assumptions'!$C$164=1,Z$4=MAX(1,MAX('Assumptions'!$C$165,'Assumptions'!$C$9)-1)),'Retail Readiness Costs'!$H$11,0)+IF(AND($B$14=1,Z$4=$B$11),'Retail Readiness Costs'!$H$20,0)+IF(AND('Assumptions'!$C$164=1,$B$14=0,Z$4=$B$11),'Assumptions'!$C$74,0)+IF(AND('Assumptions'!$C$182=1,Z$4=MAX(1,MAX('Assumptions'!$C$183,'Assumptions'!$C$9)-'Assumptions'!$C$77)),'Retail Readiness Costs'!$H$30,0)+IF(AND('Assumptions'!$C$173=1,Z$4=MAX('Assumptions'!$C$174,'Assumptions'!$C$9)),'Assumptions'!$C$76,0)</f>
        <v/>
      </c>
      <c r="AA129" s="8">
        <f>IF(AND('Assumptions'!$C$164=1,AA$4=MAX(1,MAX('Assumptions'!$C$165,'Assumptions'!$C$9)-1)),'Retail Readiness Costs'!$H$11,0)+IF(AND($B$14=1,AA$4=$B$11),'Retail Readiness Costs'!$H$20,0)+IF(AND('Assumptions'!$C$164=1,$B$14=0,AA$4=$B$11),'Assumptions'!$C$74,0)+IF(AND('Assumptions'!$C$182=1,AA$4=MAX(1,MAX('Assumptions'!$C$183,'Assumptions'!$C$9)-'Assumptions'!$C$77)),'Retail Readiness Costs'!$H$30,0)+IF(AND('Assumptions'!$C$173=1,AA$4=MAX('Assumptions'!$C$174,'Assumptions'!$C$9)),'Assumptions'!$C$76,0)</f>
        <v/>
      </c>
      <c r="AB129" s="8">
        <f>IF(AND('Assumptions'!$C$164=1,AB$4=MAX(1,MAX('Assumptions'!$C$165,'Assumptions'!$C$9)-1)),'Retail Readiness Costs'!$H$11,0)+IF(AND($B$14=1,AB$4=$B$11),'Retail Readiness Costs'!$H$20,0)+IF(AND('Assumptions'!$C$164=1,$B$14=0,AB$4=$B$11),'Assumptions'!$C$74,0)+IF(AND('Assumptions'!$C$182=1,AB$4=MAX(1,MAX('Assumptions'!$C$183,'Assumptions'!$C$9)-'Assumptions'!$C$77)),'Retail Readiness Costs'!$H$30,0)+IF(AND('Assumptions'!$C$173=1,AB$4=MAX('Assumptions'!$C$174,'Assumptions'!$C$9)),'Assumptions'!$C$76,0)</f>
        <v/>
      </c>
      <c r="AC129" s="8">
        <f>IF(AND('Assumptions'!$C$164=1,AC$4=MAX(1,MAX('Assumptions'!$C$165,'Assumptions'!$C$9)-1)),'Retail Readiness Costs'!$H$11,0)+IF(AND($B$14=1,AC$4=$B$11),'Retail Readiness Costs'!$H$20,0)+IF(AND('Assumptions'!$C$164=1,$B$14=0,AC$4=$B$11),'Assumptions'!$C$74,0)+IF(AND('Assumptions'!$C$182=1,AC$4=MAX(1,MAX('Assumptions'!$C$183,'Assumptions'!$C$9)-'Assumptions'!$C$77)),'Retail Readiness Costs'!$H$30,0)+IF(AND('Assumptions'!$C$173=1,AC$4=MAX('Assumptions'!$C$174,'Assumptions'!$C$9)),'Assumptions'!$C$76,0)</f>
        <v/>
      </c>
      <c r="AD129" s="8">
        <f>IF(AND('Assumptions'!$C$164=1,AD$4=MAX(1,MAX('Assumptions'!$C$165,'Assumptions'!$C$9)-1)),'Retail Readiness Costs'!$H$11,0)+IF(AND($B$14=1,AD$4=$B$11),'Retail Readiness Costs'!$H$20,0)+IF(AND('Assumptions'!$C$164=1,$B$14=0,AD$4=$B$11),'Assumptions'!$C$74,0)+IF(AND('Assumptions'!$C$182=1,AD$4=MAX(1,MAX('Assumptions'!$C$183,'Assumptions'!$C$9)-'Assumptions'!$C$77)),'Retail Readiness Costs'!$H$30,0)+IF(AND('Assumptions'!$C$173=1,AD$4=MAX('Assumptions'!$C$174,'Assumptions'!$C$9)),'Assumptions'!$C$76,0)</f>
        <v/>
      </c>
      <c r="AE129" s="8">
        <f>IF(AND('Assumptions'!$C$164=1,AE$4=MAX(1,MAX('Assumptions'!$C$165,'Assumptions'!$C$9)-1)),'Retail Readiness Costs'!$H$11,0)+IF(AND($B$14=1,AE$4=$B$11),'Retail Readiness Costs'!$H$20,0)+IF(AND('Assumptions'!$C$164=1,$B$14=0,AE$4=$B$11),'Assumptions'!$C$74,0)+IF(AND('Assumptions'!$C$182=1,AE$4=MAX(1,MAX('Assumptions'!$C$183,'Assumptions'!$C$9)-'Assumptions'!$C$77)),'Retail Readiness Costs'!$H$30,0)+IF(AND('Assumptions'!$C$173=1,AE$4=MAX('Assumptions'!$C$174,'Assumptions'!$C$9)),'Assumptions'!$C$76,0)</f>
        <v/>
      </c>
      <c r="AF129" s="8">
        <f>IF(AND('Assumptions'!$C$164=1,AF$4=MAX(1,MAX('Assumptions'!$C$165,'Assumptions'!$C$9)-1)),'Retail Readiness Costs'!$H$11,0)+IF(AND($B$14=1,AF$4=$B$11),'Retail Readiness Costs'!$H$20,0)+IF(AND('Assumptions'!$C$164=1,$B$14=0,AF$4=$B$11),'Assumptions'!$C$74,0)+IF(AND('Assumptions'!$C$182=1,AF$4=MAX(1,MAX('Assumptions'!$C$183,'Assumptions'!$C$9)-'Assumptions'!$C$77)),'Retail Readiness Costs'!$H$30,0)+IF(AND('Assumptions'!$C$173=1,AF$4=MAX('Assumptions'!$C$174,'Assumptions'!$C$9)),'Assumptions'!$C$76,0)</f>
        <v/>
      </c>
      <c r="AG129" s="8">
        <f>IF(AND('Assumptions'!$C$164=1,AG$4=MAX(1,MAX('Assumptions'!$C$165,'Assumptions'!$C$9)-1)),'Retail Readiness Costs'!$H$11,0)+IF(AND($B$14=1,AG$4=$B$11),'Retail Readiness Costs'!$H$20,0)+IF(AND('Assumptions'!$C$164=1,$B$14=0,AG$4=$B$11),'Assumptions'!$C$74,0)+IF(AND('Assumptions'!$C$182=1,AG$4=MAX(1,MAX('Assumptions'!$C$183,'Assumptions'!$C$9)-'Assumptions'!$C$77)),'Retail Readiness Costs'!$H$30,0)+IF(AND('Assumptions'!$C$173=1,AG$4=MAX('Assumptions'!$C$174,'Assumptions'!$C$9)),'Assumptions'!$C$76,0)</f>
        <v/>
      </c>
      <c r="AH129" s="8">
        <f>IF(AND('Assumptions'!$C$164=1,AH$4=MAX(1,MAX('Assumptions'!$C$165,'Assumptions'!$C$9)-1)),'Retail Readiness Costs'!$H$11,0)+IF(AND($B$14=1,AH$4=$B$11),'Retail Readiness Costs'!$H$20,0)+IF(AND('Assumptions'!$C$164=1,$B$14=0,AH$4=$B$11),'Assumptions'!$C$74,0)+IF(AND('Assumptions'!$C$182=1,AH$4=MAX(1,MAX('Assumptions'!$C$183,'Assumptions'!$C$9)-'Assumptions'!$C$77)),'Retail Readiness Costs'!$H$30,0)+IF(AND('Assumptions'!$C$173=1,AH$4=MAX('Assumptions'!$C$174,'Assumptions'!$C$9)),'Assumptions'!$C$76,0)</f>
        <v/>
      </c>
      <c r="AI129" s="8">
        <f>IF(AND('Assumptions'!$C$164=1,AI$4=MAX(1,MAX('Assumptions'!$C$165,'Assumptions'!$C$9)-1)),'Retail Readiness Costs'!$H$11,0)+IF(AND($B$14=1,AI$4=$B$11),'Retail Readiness Costs'!$H$20,0)+IF(AND('Assumptions'!$C$164=1,$B$14=0,AI$4=$B$11),'Assumptions'!$C$74,0)+IF(AND('Assumptions'!$C$182=1,AI$4=MAX(1,MAX('Assumptions'!$C$183,'Assumptions'!$C$9)-'Assumptions'!$C$77)),'Retail Readiness Costs'!$H$30,0)+IF(AND('Assumptions'!$C$173=1,AI$4=MAX('Assumptions'!$C$174,'Assumptions'!$C$9)),'Assumptions'!$C$76,0)</f>
        <v/>
      </c>
      <c r="AJ129" s="8">
        <f>IF(AND('Assumptions'!$C$164=1,AJ$4=MAX(1,MAX('Assumptions'!$C$165,'Assumptions'!$C$9)-1)),'Retail Readiness Costs'!$H$11,0)+IF(AND($B$14=1,AJ$4=$B$11),'Retail Readiness Costs'!$H$20,0)+IF(AND('Assumptions'!$C$164=1,$B$14=0,AJ$4=$B$11),'Assumptions'!$C$74,0)+IF(AND('Assumptions'!$C$182=1,AJ$4=MAX(1,MAX('Assumptions'!$C$183,'Assumptions'!$C$9)-'Assumptions'!$C$77)),'Retail Readiness Costs'!$H$30,0)+IF(AND('Assumptions'!$C$173=1,AJ$4=MAX('Assumptions'!$C$174,'Assumptions'!$C$9)),'Assumptions'!$C$76,0)</f>
        <v/>
      </c>
      <c r="AK129" s="8">
        <f>IF(AND('Assumptions'!$C$164=1,AK$4=MAX(1,MAX('Assumptions'!$C$165,'Assumptions'!$C$9)-1)),'Retail Readiness Costs'!$H$11,0)+IF(AND($B$14=1,AK$4=$B$11),'Retail Readiness Costs'!$H$20,0)+IF(AND('Assumptions'!$C$164=1,$B$14=0,AK$4=$B$11),'Assumptions'!$C$74,0)+IF(AND('Assumptions'!$C$182=1,AK$4=MAX(1,MAX('Assumptions'!$C$183,'Assumptions'!$C$9)-'Assumptions'!$C$77)),'Retail Readiness Costs'!$H$30,0)+IF(AND('Assumptions'!$C$173=1,AK$4=MAX('Assumptions'!$C$174,'Assumptions'!$C$9)),'Assumptions'!$C$76,0)</f>
        <v/>
      </c>
      <c r="AL129" s="8">
        <f>IF(AND('Assumptions'!$C$164=1,AL$4=MAX(1,MAX('Assumptions'!$C$165,'Assumptions'!$C$9)-1)),'Retail Readiness Costs'!$H$11,0)+IF(AND($B$14=1,AL$4=$B$11),'Retail Readiness Costs'!$H$20,0)+IF(AND('Assumptions'!$C$164=1,$B$14=0,AL$4=$B$11),'Assumptions'!$C$74,0)+IF(AND('Assumptions'!$C$182=1,AL$4=MAX(1,MAX('Assumptions'!$C$183,'Assumptions'!$C$9)-'Assumptions'!$C$77)),'Retail Readiness Costs'!$H$30,0)+IF(AND('Assumptions'!$C$173=1,AL$4=MAX('Assumptions'!$C$174,'Assumptions'!$C$9)),'Assumptions'!$C$76,0)</f>
        <v/>
      </c>
      <c r="AM129" s="47">
        <f>SUMIF($C$6:$AL$6,1,C129:AL129)</f>
        <v/>
      </c>
      <c r="AN129" s="47">
        <f>SUMIF($C$6:$AL$6,2,C129:AL129)</f>
        <v/>
      </c>
      <c r="AO129" s="47">
        <f>SUMIF($C$6:$AL$6,3,C129:AL129)</f>
        <v/>
      </c>
      <c r="AP129" s="47">
        <f>SUM(C129:AL129)</f>
        <v/>
      </c>
    </row>
    <row r="130">
      <c r="A130" s="7" t="inlineStr">
        <is>
          <t>Net result after one-time costs</t>
        </is>
      </c>
      <c r="B130" s="9" t="inlineStr">
        <is>
          <t>$</t>
        </is>
      </c>
      <c r="C130" s="19">
        <f>C126-C128-C129</f>
        <v/>
      </c>
      <c r="D130" s="19">
        <f>D126-D128-D129</f>
        <v/>
      </c>
      <c r="E130" s="19">
        <f>E126-E128-E129</f>
        <v/>
      </c>
      <c r="F130" s="19">
        <f>F126-F128-F129</f>
        <v/>
      </c>
      <c r="G130" s="19">
        <f>G126-G128-G129</f>
        <v/>
      </c>
      <c r="H130" s="19">
        <f>H126-H128-H129</f>
        <v/>
      </c>
      <c r="I130" s="19">
        <f>I126-I128-I129</f>
        <v/>
      </c>
      <c r="J130" s="19">
        <f>J126-J128-J129</f>
        <v/>
      </c>
      <c r="K130" s="19">
        <f>K126-K128-K129</f>
        <v/>
      </c>
      <c r="L130" s="19">
        <f>L126-L128-L129</f>
        <v/>
      </c>
      <c r="M130" s="19">
        <f>M126-M128-M129</f>
        <v/>
      </c>
      <c r="N130" s="19">
        <f>N126-N128-N129</f>
        <v/>
      </c>
      <c r="O130" s="19">
        <f>O126-O128-O129</f>
        <v/>
      </c>
      <c r="P130" s="19">
        <f>P126-P128-P129</f>
        <v/>
      </c>
      <c r="Q130" s="19">
        <f>Q126-Q128-Q129</f>
        <v/>
      </c>
      <c r="R130" s="19">
        <f>R126-R128-R129</f>
        <v/>
      </c>
      <c r="S130" s="19">
        <f>S126-S128-S129</f>
        <v/>
      </c>
      <c r="T130" s="19">
        <f>T126-T128-T129</f>
        <v/>
      </c>
      <c r="U130" s="19">
        <f>U126-U128-U129</f>
        <v/>
      </c>
      <c r="V130" s="19">
        <f>V126-V128-V129</f>
        <v/>
      </c>
      <c r="W130" s="19">
        <f>W126-W128-W129</f>
        <v/>
      </c>
      <c r="X130" s="19">
        <f>X126-X128-X129</f>
        <v/>
      </c>
      <c r="Y130" s="19">
        <f>Y126-Y128-Y129</f>
        <v/>
      </c>
      <c r="Z130" s="19">
        <f>Z126-Z128-Z129</f>
        <v/>
      </c>
      <c r="AA130" s="19">
        <f>AA126-AA128-AA129</f>
        <v/>
      </c>
      <c r="AB130" s="19">
        <f>AB126-AB128-AB129</f>
        <v/>
      </c>
      <c r="AC130" s="19">
        <f>AC126-AC128-AC129</f>
        <v/>
      </c>
      <c r="AD130" s="19">
        <f>AD126-AD128-AD129</f>
        <v/>
      </c>
      <c r="AE130" s="19">
        <f>AE126-AE128-AE129</f>
        <v/>
      </c>
      <c r="AF130" s="19">
        <f>AF126-AF128-AF129</f>
        <v/>
      </c>
      <c r="AG130" s="19">
        <f>AG126-AG128-AG129</f>
        <v/>
      </c>
      <c r="AH130" s="19">
        <f>AH126-AH128-AH129</f>
        <v/>
      </c>
      <c r="AI130" s="19">
        <f>AI126-AI128-AI129</f>
        <v/>
      </c>
      <c r="AJ130" s="19">
        <f>AJ126-AJ128-AJ129</f>
        <v/>
      </c>
      <c r="AK130" s="19">
        <f>AK126-AK128-AK129</f>
        <v/>
      </c>
      <c r="AL130" s="19">
        <f>AL126-AL128-AL129</f>
        <v/>
      </c>
      <c r="AM130" s="47">
        <f>SUMIF($C$6:$AL$6,1,C130:AL130)</f>
        <v/>
      </c>
      <c r="AN130" s="47">
        <f>SUMIF($C$6:$AL$6,2,C130:AL130)</f>
        <v/>
      </c>
      <c r="AO130" s="47">
        <f>SUMIF($C$6:$AL$6,3,C130:AL130)</f>
        <v/>
      </c>
      <c r="AP130" s="47">
        <f>SUM(C130:AL130)</f>
        <v/>
      </c>
    </row>
    <row r="131">
      <c r="A131" s="7" t="inlineStr">
        <is>
          <t>Cumulative net result</t>
        </is>
      </c>
      <c r="B131" s="9" t="inlineStr">
        <is>
          <t>$</t>
        </is>
      </c>
      <c r="C131" s="19">
        <f>C130</f>
        <v/>
      </c>
      <c r="D131" s="19">
        <f>D130+C131</f>
        <v/>
      </c>
      <c r="E131" s="19">
        <f>E130+D131</f>
        <v/>
      </c>
      <c r="F131" s="19">
        <f>F130+E131</f>
        <v/>
      </c>
      <c r="G131" s="19">
        <f>G130+F131</f>
        <v/>
      </c>
      <c r="H131" s="19">
        <f>H130+G131</f>
        <v/>
      </c>
      <c r="I131" s="19">
        <f>I130+H131</f>
        <v/>
      </c>
      <c r="J131" s="19">
        <f>J130+I131</f>
        <v/>
      </c>
      <c r="K131" s="19">
        <f>K130+J131</f>
        <v/>
      </c>
      <c r="L131" s="19">
        <f>L130+K131</f>
        <v/>
      </c>
      <c r="M131" s="19">
        <f>M130+L131</f>
        <v/>
      </c>
      <c r="N131" s="19">
        <f>N130+M131</f>
        <v/>
      </c>
      <c r="O131" s="19">
        <f>O130+N131</f>
        <v/>
      </c>
      <c r="P131" s="19">
        <f>P130+O131</f>
        <v/>
      </c>
      <c r="Q131" s="19">
        <f>Q130+P131</f>
        <v/>
      </c>
      <c r="R131" s="19">
        <f>R130+Q131</f>
        <v/>
      </c>
      <c r="S131" s="19">
        <f>S130+R131</f>
        <v/>
      </c>
      <c r="T131" s="19">
        <f>T130+S131</f>
        <v/>
      </c>
      <c r="U131" s="19">
        <f>U130+T131</f>
        <v/>
      </c>
      <c r="V131" s="19">
        <f>V130+U131</f>
        <v/>
      </c>
      <c r="W131" s="19">
        <f>W130+V131</f>
        <v/>
      </c>
      <c r="X131" s="19">
        <f>X130+W131</f>
        <v/>
      </c>
      <c r="Y131" s="19">
        <f>Y130+X131</f>
        <v/>
      </c>
      <c r="Z131" s="19">
        <f>Z130+Y131</f>
        <v/>
      </c>
      <c r="AA131" s="19">
        <f>AA130+Z131</f>
        <v/>
      </c>
      <c r="AB131" s="19">
        <f>AB130+AA131</f>
        <v/>
      </c>
      <c r="AC131" s="19">
        <f>AC130+AB131</f>
        <v/>
      </c>
      <c r="AD131" s="19">
        <f>AD130+AC131</f>
        <v/>
      </c>
      <c r="AE131" s="19">
        <f>AE130+AD131</f>
        <v/>
      </c>
      <c r="AF131" s="19">
        <f>AF130+AE131</f>
        <v/>
      </c>
      <c r="AG131" s="19">
        <f>AG130+AF131</f>
        <v/>
      </c>
      <c r="AH131" s="19">
        <f>AH130+AG131</f>
        <v/>
      </c>
      <c r="AI131" s="19">
        <f>AI130+AH131</f>
        <v/>
      </c>
      <c r="AJ131" s="19">
        <f>AJ130+AI131</f>
        <v/>
      </c>
      <c r="AK131" s="19">
        <f>AK130+AJ131</f>
        <v/>
      </c>
      <c r="AL131" s="19">
        <f>AL130+AK131</f>
        <v/>
      </c>
      <c r="AM131" s="47">
        <f>N131</f>
        <v/>
      </c>
      <c r="AN131" s="47">
        <f>Z131</f>
        <v/>
      </c>
      <c r="AO131" s="47">
        <f>AL131</f>
        <v/>
      </c>
      <c r="AP131" s="47">
        <f>AL131</f>
        <v/>
      </c>
    </row>
    <row r="132">
      <c r="A132" s="5" t="inlineStr">
        <is>
          <t>Held inventory (board book and retail; stock sits at a 3PL or Amazon, never with the founder)</t>
        </is>
      </c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  <c r="AC132" s="6" t="n"/>
      <c r="AD132" s="6" t="n"/>
      <c r="AE132" s="6" t="n"/>
      <c r="AF132" s="6" t="n"/>
      <c r="AG132" s="6" t="n"/>
      <c r="AH132" s="6" t="n"/>
      <c r="AI132" s="6" t="n"/>
      <c r="AJ132" s="6" t="n"/>
      <c r="AK132" s="6" t="n"/>
      <c r="AL132" s="6" t="n"/>
      <c r="AM132" s="6" t="n"/>
      <c r="AN132" s="6" t="n"/>
      <c r="AO132" s="6" t="n"/>
      <c r="AP132" s="6" t="n"/>
    </row>
    <row r="133">
      <c r="A133" s="7" t="inlineStr">
        <is>
          <t xml:space="preserve">   Physical items sold from held stock (board book + retail)</t>
        </is>
      </c>
      <c r="B133" s="9" t="inlineStr">
        <is>
          <t>items</t>
        </is>
      </c>
      <c r="C133" s="58">
        <f>C85+C106</f>
        <v/>
      </c>
      <c r="D133" s="58">
        <f>D85+D106</f>
        <v/>
      </c>
      <c r="E133" s="58">
        <f>E85+E106</f>
        <v/>
      </c>
      <c r="F133" s="58">
        <f>F85+F106</f>
        <v/>
      </c>
      <c r="G133" s="58">
        <f>G85+G106</f>
        <v/>
      </c>
      <c r="H133" s="58">
        <f>H85+H106</f>
        <v/>
      </c>
      <c r="I133" s="58">
        <f>I85+I106</f>
        <v/>
      </c>
      <c r="J133" s="58">
        <f>J85+J106</f>
        <v/>
      </c>
      <c r="K133" s="58">
        <f>K85+K106</f>
        <v/>
      </c>
      <c r="L133" s="58">
        <f>L85+L106</f>
        <v/>
      </c>
      <c r="M133" s="58">
        <f>M85+M106</f>
        <v/>
      </c>
      <c r="N133" s="58">
        <f>N85+N106</f>
        <v/>
      </c>
      <c r="O133" s="58">
        <f>O85+O106</f>
        <v/>
      </c>
      <c r="P133" s="58">
        <f>P85+P106</f>
        <v/>
      </c>
      <c r="Q133" s="58">
        <f>Q85+Q106</f>
        <v/>
      </c>
      <c r="R133" s="58">
        <f>R85+R106</f>
        <v/>
      </c>
      <c r="S133" s="58">
        <f>S85+S106</f>
        <v/>
      </c>
      <c r="T133" s="58">
        <f>T85+T106</f>
        <v/>
      </c>
      <c r="U133" s="58">
        <f>U85+U106</f>
        <v/>
      </c>
      <c r="V133" s="58">
        <f>V85+V106</f>
        <v/>
      </c>
      <c r="W133" s="58">
        <f>W85+W106</f>
        <v/>
      </c>
      <c r="X133" s="58">
        <f>X85+X106</f>
        <v/>
      </c>
      <c r="Y133" s="58">
        <f>Y85+Y106</f>
        <v/>
      </c>
      <c r="Z133" s="58">
        <f>Z85+Z106</f>
        <v/>
      </c>
      <c r="AA133" s="58">
        <f>AA85+AA106</f>
        <v/>
      </c>
      <c r="AB133" s="58">
        <f>AB85+AB106</f>
        <v/>
      </c>
      <c r="AC133" s="58">
        <f>AC85+AC106</f>
        <v/>
      </c>
      <c r="AD133" s="58">
        <f>AD85+AD106</f>
        <v/>
      </c>
      <c r="AE133" s="58">
        <f>AE85+AE106</f>
        <v/>
      </c>
      <c r="AF133" s="58">
        <f>AF85+AF106</f>
        <v/>
      </c>
      <c r="AG133" s="58">
        <f>AG85+AG106</f>
        <v/>
      </c>
      <c r="AH133" s="58">
        <f>AH85+AH106</f>
        <v/>
      </c>
      <c r="AI133" s="58">
        <f>AI85+AI106</f>
        <v/>
      </c>
      <c r="AJ133" s="58">
        <f>AJ85+AJ106</f>
        <v/>
      </c>
      <c r="AK133" s="58">
        <f>AK85+AK106</f>
        <v/>
      </c>
      <c r="AL133" s="58">
        <f>AL85+AL106</f>
        <v/>
      </c>
      <c r="AM133" s="57">
        <f>SUMIF($C$6:$AL$6,1,C133:AL133)</f>
        <v/>
      </c>
      <c r="AN133" s="57">
        <f>SUMIF($C$6:$AL$6,2,C133:AL133)</f>
        <v/>
      </c>
      <c r="AO133" s="57">
        <f>SUMIF($C$6:$AL$6,3,C133:AL133)</f>
        <v/>
      </c>
      <c r="AP133" s="57">
        <f>SUM(C133:AL133)</f>
        <v/>
      </c>
    </row>
    <row r="134">
      <c r="A134" s="7" t="inlineStr">
        <is>
          <t xml:space="preserve">   Cumulative physical items</t>
        </is>
      </c>
      <c r="B134" s="9" t="inlineStr">
        <is>
          <t>items</t>
        </is>
      </c>
      <c r="C134" s="58">
        <f>C133</f>
        <v/>
      </c>
      <c r="D134" s="58">
        <f>D133+C134</f>
        <v/>
      </c>
      <c r="E134" s="58">
        <f>E133+D134</f>
        <v/>
      </c>
      <c r="F134" s="58">
        <f>F133+E134</f>
        <v/>
      </c>
      <c r="G134" s="58">
        <f>G133+F134</f>
        <v/>
      </c>
      <c r="H134" s="58">
        <f>H133+G134</f>
        <v/>
      </c>
      <c r="I134" s="58">
        <f>I133+H134</f>
        <v/>
      </c>
      <c r="J134" s="58">
        <f>J133+I134</f>
        <v/>
      </c>
      <c r="K134" s="58">
        <f>K133+J134</f>
        <v/>
      </c>
      <c r="L134" s="58">
        <f>L133+K134</f>
        <v/>
      </c>
      <c r="M134" s="58">
        <f>M133+L134</f>
        <v/>
      </c>
      <c r="N134" s="58">
        <f>N133+M134</f>
        <v/>
      </c>
      <c r="O134" s="58">
        <f>O133+N134</f>
        <v/>
      </c>
      <c r="P134" s="58">
        <f>P133+O134</f>
        <v/>
      </c>
      <c r="Q134" s="58">
        <f>Q133+P134</f>
        <v/>
      </c>
      <c r="R134" s="58">
        <f>R133+Q134</f>
        <v/>
      </c>
      <c r="S134" s="58">
        <f>S133+R134</f>
        <v/>
      </c>
      <c r="T134" s="58">
        <f>T133+S134</f>
        <v/>
      </c>
      <c r="U134" s="58">
        <f>U133+T134</f>
        <v/>
      </c>
      <c r="V134" s="58">
        <f>V133+U134</f>
        <v/>
      </c>
      <c r="W134" s="58">
        <f>W133+V134</f>
        <v/>
      </c>
      <c r="X134" s="58">
        <f>X133+W134</f>
        <v/>
      </c>
      <c r="Y134" s="58">
        <f>Y133+X134</f>
        <v/>
      </c>
      <c r="Z134" s="58">
        <f>Z133+Y134</f>
        <v/>
      </c>
      <c r="AA134" s="58">
        <f>AA133+Z134</f>
        <v/>
      </c>
      <c r="AB134" s="58">
        <f>AB133+AA134</f>
        <v/>
      </c>
      <c r="AC134" s="58">
        <f>AC133+AB134</f>
        <v/>
      </c>
      <c r="AD134" s="58">
        <f>AD133+AC134</f>
        <v/>
      </c>
      <c r="AE134" s="58">
        <f>AE133+AD134</f>
        <v/>
      </c>
      <c r="AF134" s="58">
        <f>AF133+AE134</f>
        <v/>
      </c>
      <c r="AG134" s="58">
        <f>AG133+AF134</f>
        <v/>
      </c>
      <c r="AH134" s="58">
        <f>AH133+AG134</f>
        <v/>
      </c>
      <c r="AI134" s="58">
        <f>AI133+AH134</f>
        <v/>
      </c>
      <c r="AJ134" s="58">
        <f>AJ133+AI134</f>
        <v/>
      </c>
      <c r="AK134" s="58">
        <f>AK133+AJ134</f>
        <v/>
      </c>
      <c r="AL134" s="58">
        <f>AL133+AK134</f>
        <v/>
      </c>
      <c r="AM134" s="57">
        <f>N134</f>
        <v/>
      </c>
      <c r="AN134" s="57">
        <f>Z134</f>
        <v/>
      </c>
      <c r="AO134" s="57">
        <f>AL134</f>
        <v/>
      </c>
      <c r="AP134" s="57">
        <f>AL134</f>
        <v/>
      </c>
    </row>
    <row r="135">
      <c r="A135" s="7" t="inlineStr">
        <is>
          <t xml:space="preserve">   Copies ordered from the printer (first run + reorders at the reorder point)</t>
        </is>
      </c>
      <c r="B135" s="9" t="inlineStr">
        <is>
          <t>copies</t>
        </is>
      </c>
      <c r="C135" s="15">
        <f>IF($B$15=0,0,IF(C$4=$B$11,$B$15,IF(C$4&gt;$B$11,IF(0-C133&lt;'Assumptions'!$C$75*C133,$B$15,0),0)))</f>
        <v/>
      </c>
      <c r="D135" s="15">
        <f>IF($B$15=0,0,IF(D$4=$B$11,$B$15,IF(D$4&gt;$B$11,IF(C138-D133&lt;'Assumptions'!$C$75*D133,$B$15,0),0)))</f>
        <v/>
      </c>
      <c r="E135" s="15">
        <f>IF($B$15=0,0,IF(E$4=$B$11,$B$15,IF(E$4&gt;$B$11,IF(D138-E133&lt;'Assumptions'!$C$75*E133,$B$15,0),0)))</f>
        <v/>
      </c>
      <c r="F135" s="15">
        <f>IF($B$15=0,0,IF(F$4=$B$11,$B$15,IF(F$4&gt;$B$11,IF(E138-F133&lt;'Assumptions'!$C$75*F133,$B$15,0),0)))</f>
        <v/>
      </c>
      <c r="G135" s="15">
        <f>IF($B$15=0,0,IF(G$4=$B$11,$B$15,IF(G$4&gt;$B$11,IF(F138-G133&lt;'Assumptions'!$C$75*G133,$B$15,0),0)))</f>
        <v/>
      </c>
      <c r="H135" s="15">
        <f>IF($B$15=0,0,IF(H$4=$B$11,$B$15,IF(H$4&gt;$B$11,IF(G138-H133&lt;'Assumptions'!$C$75*H133,$B$15,0),0)))</f>
        <v/>
      </c>
      <c r="I135" s="15">
        <f>IF($B$15=0,0,IF(I$4=$B$11,$B$15,IF(I$4&gt;$B$11,IF(H138-I133&lt;'Assumptions'!$C$75*I133,$B$15,0),0)))</f>
        <v/>
      </c>
      <c r="J135" s="15">
        <f>IF($B$15=0,0,IF(J$4=$B$11,$B$15,IF(J$4&gt;$B$11,IF(I138-J133&lt;'Assumptions'!$C$75*J133,$B$15,0),0)))</f>
        <v/>
      </c>
      <c r="K135" s="15">
        <f>IF($B$15=0,0,IF(K$4=$B$11,$B$15,IF(K$4&gt;$B$11,IF(J138-K133&lt;'Assumptions'!$C$75*K133,$B$15,0),0)))</f>
        <v/>
      </c>
      <c r="L135" s="15">
        <f>IF($B$15=0,0,IF(L$4=$B$11,$B$15,IF(L$4&gt;$B$11,IF(K138-L133&lt;'Assumptions'!$C$75*L133,$B$15,0),0)))</f>
        <v/>
      </c>
      <c r="M135" s="15">
        <f>IF($B$15=0,0,IF(M$4=$B$11,$B$15,IF(M$4&gt;$B$11,IF(L138-M133&lt;'Assumptions'!$C$75*M133,$B$15,0),0)))</f>
        <v/>
      </c>
      <c r="N135" s="15">
        <f>IF($B$15=0,0,IF(N$4=$B$11,$B$15,IF(N$4&gt;$B$11,IF(M138-N133&lt;'Assumptions'!$C$75*N133,$B$15,0),0)))</f>
        <v/>
      </c>
      <c r="O135" s="15">
        <f>IF($B$15=0,0,IF(O$4=$B$11,$B$15,IF(O$4&gt;$B$11,IF(N138-O133&lt;'Assumptions'!$C$75*O133,$B$15,0),0)))</f>
        <v/>
      </c>
      <c r="P135" s="15">
        <f>IF($B$15=0,0,IF(P$4=$B$11,$B$15,IF(P$4&gt;$B$11,IF(O138-P133&lt;'Assumptions'!$C$75*P133,$B$15,0),0)))</f>
        <v/>
      </c>
      <c r="Q135" s="15">
        <f>IF($B$15=0,0,IF(Q$4=$B$11,$B$15,IF(Q$4&gt;$B$11,IF(P138-Q133&lt;'Assumptions'!$C$75*Q133,$B$15,0),0)))</f>
        <v/>
      </c>
      <c r="R135" s="15">
        <f>IF($B$15=0,0,IF(R$4=$B$11,$B$15,IF(R$4&gt;$B$11,IF(Q138-R133&lt;'Assumptions'!$C$75*R133,$B$15,0),0)))</f>
        <v/>
      </c>
      <c r="S135" s="15">
        <f>IF($B$15=0,0,IF(S$4=$B$11,$B$15,IF(S$4&gt;$B$11,IF(R138-S133&lt;'Assumptions'!$C$75*S133,$B$15,0),0)))</f>
        <v/>
      </c>
      <c r="T135" s="15">
        <f>IF($B$15=0,0,IF(T$4=$B$11,$B$15,IF(T$4&gt;$B$11,IF(S138-T133&lt;'Assumptions'!$C$75*T133,$B$15,0),0)))</f>
        <v/>
      </c>
      <c r="U135" s="15">
        <f>IF($B$15=0,0,IF(U$4=$B$11,$B$15,IF(U$4&gt;$B$11,IF(T138-U133&lt;'Assumptions'!$C$75*U133,$B$15,0),0)))</f>
        <v/>
      </c>
      <c r="V135" s="15">
        <f>IF($B$15=0,0,IF(V$4=$B$11,$B$15,IF(V$4&gt;$B$11,IF(U138-V133&lt;'Assumptions'!$C$75*V133,$B$15,0),0)))</f>
        <v/>
      </c>
      <c r="W135" s="15">
        <f>IF($B$15=0,0,IF(W$4=$B$11,$B$15,IF(W$4&gt;$B$11,IF(V138-W133&lt;'Assumptions'!$C$75*W133,$B$15,0),0)))</f>
        <v/>
      </c>
      <c r="X135" s="15">
        <f>IF($B$15=0,0,IF(X$4=$B$11,$B$15,IF(X$4&gt;$B$11,IF(W138-X133&lt;'Assumptions'!$C$75*X133,$B$15,0),0)))</f>
        <v/>
      </c>
      <c r="Y135" s="15">
        <f>IF($B$15=0,0,IF(Y$4=$B$11,$B$15,IF(Y$4&gt;$B$11,IF(X138-Y133&lt;'Assumptions'!$C$75*Y133,$B$15,0),0)))</f>
        <v/>
      </c>
      <c r="Z135" s="15">
        <f>IF($B$15=0,0,IF(Z$4=$B$11,$B$15,IF(Z$4&gt;$B$11,IF(Y138-Z133&lt;'Assumptions'!$C$75*Z133,$B$15,0),0)))</f>
        <v/>
      </c>
      <c r="AA135" s="15">
        <f>IF($B$15=0,0,IF(AA$4=$B$11,$B$15,IF(AA$4&gt;$B$11,IF(Z138-AA133&lt;'Assumptions'!$C$75*AA133,$B$15,0),0)))</f>
        <v/>
      </c>
      <c r="AB135" s="15">
        <f>IF($B$15=0,0,IF(AB$4=$B$11,$B$15,IF(AB$4&gt;$B$11,IF(AA138-AB133&lt;'Assumptions'!$C$75*AB133,$B$15,0),0)))</f>
        <v/>
      </c>
      <c r="AC135" s="15">
        <f>IF($B$15=0,0,IF(AC$4=$B$11,$B$15,IF(AC$4&gt;$B$11,IF(AB138-AC133&lt;'Assumptions'!$C$75*AC133,$B$15,0),0)))</f>
        <v/>
      </c>
      <c r="AD135" s="15">
        <f>IF($B$15=0,0,IF(AD$4=$B$11,$B$15,IF(AD$4&gt;$B$11,IF(AC138-AD133&lt;'Assumptions'!$C$75*AD133,$B$15,0),0)))</f>
        <v/>
      </c>
      <c r="AE135" s="15">
        <f>IF($B$15=0,0,IF(AE$4=$B$11,$B$15,IF(AE$4&gt;$B$11,IF(AD138-AE133&lt;'Assumptions'!$C$75*AE133,$B$15,0),0)))</f>
        <v/>
      </c>
      <c r="AF135" s="15">
        <f>IF($B$15=0,0,IF(AF$4=$B$11,$B$15,IF(AF$4&gt;$B$11,IF(AE138-AF133&lt;'Assumptions'!$C$75*AF133,$B$15,0),0)))</f>
        <v/>
      </c>
      <c r="AG135" s="15">
        <f>IF($B$15=0,0,IF(AG$4=$B$11,$B$15,IF(AG$4&gt;$B$11,IF(AF138-AG133&lt;'Assumptions'!$C$75*AG133,$B$15,0),0)))</f>
        <v/>
      </c>
      <c r="AH135" s="15">
        <f>IF($B$15=0,0,IF(AH$4=$B$11,$B$15,IF(AH$4&gt;$B$11,IF(AG138-AH133&lt;'Assumptions'!$C$75*AH133,$B$15,0),0)))</f>
        <v/>
      </c>
      <c r="AI135" s="15">
        <f>IF($B$15=0,0,IF(AI$4=$B$11,$B$15,IF(AI$4&gt;$B$11,IF(AH138-AI133&lt;'Assumptions'!$C$75*AI133,$B$15,0),0)))</f>
        <v/>
      </c>
      <c r="AJ135" s="15">
        <f>IF($B$15=0,0,IF(AJ$4=$B$11,$B$15,IF(AJ$4&gt;$B$11,IF(AI138-AJ133&lt;'Assumptions'!$C$75*AJ133,$B$15,0),0)))</f>
        <v/>
      </c>
      <c r="AK135" s="15">
        <f>IF($B$15=0,0,IF(AK$4=$B$11,$B$15,IF(AK$4&gt;$B$11,IF(AJ138-AK133&lt;'Assumptions'!$C$75*AK133,$B$15,0),0)))</f>
        <v/>
      </c>
      <c r="AL135" s="15">
        <f>IF($B$15=0,0,IF(AL$4=$B$11,$B$15,IF(AL$4&gt;$B$11,IF(AK138-AL133&lt;'Assumptions'!$C$75*AL133,$B$15,0),0)))</f>
        <v/>
      </c>
      <c r="AM135" s="57">
        <f>SUMIF($C$6:$AL$6,1,C135:AL135)</f>
        <v/>
      </c>
      <c r="AN135" s="57">
        <f>SUMIF($C$6:$AL$6,2,C135:AL135)</f>
        <v/>
      </c>
      <c r="AO135" s="57">
        <f>SUMIF($C$6:$AL$6,3,C135:AL135)</f>
        <v/>
      </c>
      <c r="AP135" s="57">
        <f>SUM(C135:AL135)</f>
        <v/>
      </c>
    </row>
    <row r="136">
      <c r="A136" s="7" t="inlineStr">
        <is>
          <t xml:space="preserve">   Inventory purchases (cash; not in operating result)</t>
        </is>
      </c>
      <c r="B136" s="9" t="inlineStr">
        <is>
          <t>$</t>
        </is>
      </c>
      <c r="C136" s="8">
        <f>C135*'Assumptions'!$C$66</f>
        <v/>
      </c>
      <c r="D136" s="8">
        <f>D135*'Assumptions'!$C$66</f>
        <v/>
      </c>
      <c r="E136" s="8">
        <f>E135*'Assumptions'!$C$66</f>
        <v/>
      </c>
      <c r="F136" s="8">
        <f>F135*'Assumptions'!$C$66</f>
        <v/>
      </c>
      <c r="G136" s="8">
        <f>G135*'Assumptions'!$C$66</f>
        <v/>
      </c>
      <c r="H136" s="8">
        <f>H135*'Assumptions'!$C$66</f>
        <v/>
      </c>
      <c r="I136" s="8">
        <f>I135*'Assumptions'!$C$66</f>
        <v/>
      </c>
      <c r="J136" s="8">
        <f>J135*'Assumptions'!$C$66</f>
        <v/>
      </c>
      <c r="K136" s="8">
        <f>K135*'Assumptions'!$C$66</f>
        <v/>
      </c>
      <c r="L136" s="8">
        <f>L135*'Assumptions'!$C$66</f>
        <v/>
      </c>
      <c r="M136" s="8">
        <f>M135*'Assumptions'!$C$66</f>
        <v/>
      </c>
      <c r="N136" s="8">
        <f>N135*'Assumptions'!$C$66</f>
        <v/>
      </c>
      <c r="O136" s="8">
        <f>O135*'Assumptions'!$C$66</f>
        <v/>
      </c>
      <c r="P136" s="8">
        <f>P135*'Assumptions'!$C$66</f>
        <v/>
      </c>
      <c r="Q136" s="8">
        <f>Q135*'Assumptions'!$C$66</f>
        <v/>
      </c>
      <c r="R136" s="8">
        <f>R135*'Assumptions'!$C$66</f>
        <v/>
      </c>
      <c r="S136" s="8">
        <f>S135*'Assumptions'!$C$66</f>
        <v/>
      </c>
      <c r="T136" s="8">
        <f>T135*'Assumptions'!$C$66</f>
        <v/>
      </c>
      <c r="U136" s="8">
        <f>U135*'Assumptions'!$C$66</f>
        <v/>
      </c>
      <c r="V136" s="8">
        <f>V135*'Assumptions'!$C$66</f>
        <v/>
      </c>
      <c r="W136" s="8">
        <f>W135*'Assumptions'!$C$66</f>
        <v/>
      </c>
      <c r="X136" s="8">
        <f>X135*'Assumptions'!$C$66</f>
        <v/>
      </c>
      <c r="Y136" s="8">
        <f>Y135*'Assumptions'!$C$66</f>
        <v/>
      </c>
      <c r="Z136" s="8">
        <f>Z135*'Assumptions'!$C$66</f>
        <v/>
      </c>
      <c r="AA136" s="8">
        <f>AA135*'Assumptions'!$C$66</f>
        <v/>
      </c>
      <c r="AB136" s="8">
        <f>AB135*'Assumptions'!$C$66</f>
        <v/>
      </c>
      <c r="AC136" s="8">
        <f>AC135*'Assumptions'!$C$66</f>
        <v/>
      </c>
      <c r="AD136" s="8">
        <f>AD135*'Assumptions'!$C$66</f>
        <v/>
      </c>
      <c r="AE136" s="8">
        <f>AE135*'Assumptions'!$C$66</f>
        <v/>
      </c>
      <c r="AF136" s="8">
        <f>AF135*'Assumptions'!$C$66</f>
        <v/>
      </c>
      <c r="AG136" s="8">
        <f>AG135*'Assumptions'!$C$66</f>
        <v/>
      </c>
      <c r="AH136" s="8">
        <f>AH135*'Assumptions'!$C$66</f>
        <v/>
      </c>
      <c r="AI136" s="8">
        <f>AI135*'Assumptions'!$C$66</f>
        <v/>
      </c>
      <c r="AJ136" s="8">
        <f>AJ135*'Assumptions'!$C$66</f>
        <v/>
      </c>
      <c r="AK136" s="8">
        <f>AK135*'Assumptions'!$C$66</f>
        <v/>
      </c>
      <c r="AL136" s="8">
        <f>AL135*'Assumptions'!$C$66</f>
        <v/>
      </c>
      <c r="AM136" s="47">
        <f>SUMIF($C$6:$AL$6,1,C136:AL136)</f>
        <v/>
      </c>
      <c r="AN136" s="47">
        <f>SUMIF($C$6:$AL$6,2,C136:AL136)</f>
        <v/>
      </c>
      <c r="AO136" s="47">
        <f>SUMIF($C$6:$AL$6,3,C136:AL136)</f>
        <v/>
      </c>
      <c r="AP136" s="47">
        <f>SUM(C136:AL136)</f>
        <v/>
      </c>
    </row>
    <row r="137">
      <c r="A137" s="7" t="inlineStr">
        <is>
          <t xml:space="preserve">   Cumulative copies ordered</t>
        </is>
      </c>
      <c r="B137" s="9" t="inlineStr">
        <is>
          <t>copies</t>
        </is>
      </c>
      <c r="C137" s="58">
        <f>C135</f>
        <v/>
      </c>
      <c r="D137" s="58">
        <f>D135+C137</f>
        <v/>
      </c>
      <c r="E137" s="58">
        <f>E135+D137</f>
        <v/>
      </c>
      <c r="F137" s="58">
        <f>F135+E137</f>
        <v/>
      </c>
      <c r="G137" s="58">
        <f>G135+F137</f>
        <v/>
      </c>
      <c r="H137" s="58">
        <f>H135+G137</f>
        <v/>
      </c>
      <c r="I137" s="58">
        <f>I135+H137</f>
        <v/>
      </c>
      <c r="J137" s="58">
        <f>J135+I137</f>
        <v/>
      </c>
      <c r="K137" s="58">
        <f>K135+J137</f>
        <v/>
      </c>
      <c r="L137" s="58">
        <f>L135+K137</f>
        <v/>
      </c>
      <c r="M137" s="58">
        <f>M135+L137</f>
        <v/>
      </c>
      <c r="N137" s="58">
        <f>N135+M137</f>
        <v/>
      </c>
      <c r="O137" s="58">
        <f>O135+N137</f>
        <v/>
      </c>
      <c r="P137" s="58">
        <f>P135+O137</f>
        <v/>
      </c>
      <c r="Q137" s="58">
        <f>Q135+P137</f>
        <v/>
      </c>
      <c r="R137" s="58">
        <f>R135+Q137</f>
        <v/>
      </c>
      <c r="S137" s="58">
        <f>S135+R137</f>
        <v/>
      </c>
      <c r="T137" s="58">
        <f>T135+S137</f>
        <v/>
      </c>
      <c r="U137" s="58">
        <f>U135+T137</f>
        <v/>
      </c>
      <c r="V137" s="58">
        <f>V135+U137</f>
        <v/>
      </c>
      <c r="W137" s="58">
        <f>W135+V137</f>
        <v/>
      </c>
      <c r="X137" s="58">
        <f>X135+W137</f>
        <v/>
      </c>
      <c r="Y137" s="58">
        <f>Y135+X137</f>
        <v/>
      </c>
      <c r="Z137" s="58">
        <f>Z135+Y137</f>
        <v/>
      </c>
      <c r="AA137" s="58">
        <f>AA135+Z137</f>
        <v/>
      </c>
      <c r="AB137" s="58">
        <f>AB135+AA137</f>
        <v/>
      </c>
      <c r="AC137" s="58">
        <f>AC135+AB137</f>
        <v/>
      </c>
      <c r="AD137" s="58">
        <f>AD135+AC137</f>
        <v/>
      </c>
      <c r="AE137" s="58">
        <f>AE135+AD137</f>
        <v/>
      </c>
      <c r="AF137" s="58">
        <f>AF135+AE137</f>
        <v/>
      </c>
      <c r="AG137" s="58">
        <f>AG135+AF137</f>
        <v/>
      </c>
      <c r="AH137" s="58">
        <f>AH135+AG137</f>
        <v/>
      </c>
      <c r="AI137" s="58">
        <f>AI135+AH137</f>
        <v/>
      </c>
      <c r="AJ137" s="58">
        <f>AJ135+AI137</f>
        <v/>
      </c>
      <c r="AK137" s="58">
        <f>AK135+AJ137</f>
        <v/>
      </c>
      <c r="AL137" s="58">
        <f>AL135+AK137</f>
        <v/>
      </c>
      <c r="AM137" s="57">
        <f>N137</f>
        <v/>
      </c>
      <c r="AN137" s="57">
        <f>Z137</f>
        <v/>
      </c>
      <c r="AO137" s="57">
        <f>AL137</f>
        <v/>
      </c>
      <c r="AP137" s="57">
        <f>AL137</f>
        <v/>
      </c>
    </row>
    <row r="138">
      <c r="A138" s="7" t="inlineStr">
        <is>
          <t xml:space="preserve">   Copies at the 3PL (negative = pre-sale copies still owed)</t>
        </is>
      </c>
      <c r="B138" s="9" t="inlineStr">
        <is>
          <t>copies</t>
        </is>
      </c>
      <c r="C138" s="58">
        <f>C137-C134</f>
        <v/>
      </c>
      <c r="D138" s="58">
        <f>D137-D134</f>
        <v/>
      </c>
      <c r="E138" s="58">
        <f>E137-E134</f>
        <v/>
      </c>
      <c r="F138" s="58">
        <f>F137-F134</f>
        <v/>
      </c>
      <c r="G138" s="58">
        <f>G137-G134</f>
        <v/>
      </c>
      <c r="H138" s="58">
        <f>H137-H134</f>
        <v/>
      </c>
      <c r="I138" s="58">
        <f>I137-I134</f>
        <v/>
      </c>
      <c r="J138" s="58">
        <f>J137-J134</f>
        <v/>
      </c>
      <c r="K138" s="58">
        <f>K137-K134</f>
        <v/>
      </c>
      <c r="L138" s="58">
        <f>L137-L134</f>
        <v/>
      </c>
      <c r="M138" s="58">
        <f>M137-M134</f>
        <v/>
      </c>
      <c r="N138" s="58">
        <f>N137-N134</f>
        <v/>
      </c>
      <c r="O138" s="58">
        <f>O137-O134</f>
        <v/>
      </c>
      <c r="P138" s="58">
        <f>P137-P134</f>
        <v/>
      </c>
      <c r="Q138" s="58">
        <f>Q137-Q134</f>
        <v/>
      </c>
      <c r="R138" s="58">
        <f>R137-R134</f>
        <v/>
      </c>
      <c r="S138" s="58">
        <f>S137-S134</f>
        <v/>
      </c>
      <c r="T138" s="58">
        <f>T137-T134</f>
        <v/>
      </c>
      <c r="U138" s="58">
        <f>U137-U134</f>
        <v/>
      </c>
      <c r="V138" s="58">
        <f>V137-V134</f>
        <v/>
      </c>
      <c r="W138" s="58">
        <f>W137-W134</f>
        <v/>
      </c>
      <c r="X138" s="58">
        <f>X137-X134</f>
        <v/>
      </c>
      <c r="Y138" s="58">
        <f>Y137-Y134</f>
        <v/>
      </c>
      <c r="Z138" s="58">
        <f>Z137-Z134</f>
        <v/>
      </c>
      <c r="AA138" s="58">
        <f>AA137-AA134</f>
        <v/>
      </c>
      <c r="AB138" s="58">
        <f>AB137-AB134</f>
        <v/>
      </c>
      <c r="AC138" s="58">
        <f>AC137-AC134</f>
        <v/>
      </c>
      <c r="AD138" s="58">
        <f>AD137-AD134</f>
        <v/>
      </c>
      <c r="AE138" s="58">
        <f>AE137-AE134</f>
        <v/>
      </c>
      <c r="AF138" s="58">
        <f>AF137-AF134</f>
        <v/>
      </c>
      <c r="AG138" s="58">
        <f>AG137-AG134</f>
        <v/>
      </c>
      <c r="AH138" s="58">
        <f>AH137-AH134</f>
        <v/>
      </c>
      <c r="AI138" s="58">
        <f>AI137-AI134</f>
        <v/>
      </c>
      <c r="AJ138" s="58">
        <f>AJ137-AJ134</f>
        <v/>
      </c>
      <c r="AK138" s="58">
        <f>AK137-AK134</f>
        <v/>
      </c>
      <c r="AL138" s="58">
        <f>AL137-AL134</f>
        <v/>
      </c>
      <c r="AM138" s="57">
        <f>N138</f>
        <v/>
      </c>
      <c r="AN138" s="57">
        <f>Z138</f>
        <v/>
      </c>
      <c r="AO138" s="57">
        <f>AL138</f>
        <v/>
      </c>
      <c r="AP138" s="57">
        <f>AL138</f>
        <v/>
      </c>
    </row>
    <row r="139">
      <c r="A139" s="5" t="inlineStr">
        <is>
          <t>Break-even helper rows</t>
        </is>
      </c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  <c r="AC139" s="6" t="n"/>
      <c r="AD139" s="6" t="n"/>
      <c r="AE139" s="6" t="n"/>
      <c r="AF139" s="6" t="n"/>
      <c r="AG139" s="6" t="n"/>
      <c r="AH139" s="6" t="n"/>
      <c r="AI139" s="6" t="n"/>
      <c r="AJ139" s="6" t="n"/>
      <c r="AK139" s="6" t="n"/>
      <c r="AL139" s="6" t="n"/>
      <c r="AM139" s="6" t="n"/>
      <c r="AN139" s="6" t="n"/>
      <c r="AO139" s="6" t="n"/>
      <c r="AP139" s="6" t="n"/>
    </row>
    <row r="140">
      <c r="A140" s="7" t="inlineStr">
        <is>
          <t xml:space="preserve">   Month # if monthly operating result &gt;= 0</t>
        </is>
      </c>
      <c r="B140" s="9" t="inlineStr">
        <is>
          <t>month</t>
        </is>
      </c>
      <c r="C140" s="43">
        <f>IF(C126&gt;=0,C$4,"")</f>
        <v/>
      </c>
      <c r="D140" s="43">
        <f>IF(D126&gt;=0,D$4,"")</f>
        <v/>
      </c>
      <c r="E140" s="43">
        <f>IF(E126&gt;=0,E$4,"")</f>
        <v/>
      </c>
      <c r="F140" s="43">
        <f>IF(F126&gt;=0,F$4,"")</f>
        <v/>
      </c>
      <c r="G140" s="43">
        <f>IF(G126&gt;=0,G$4,"")</f>
        <v/>
      </c>
      <c r="H140" s="43">
        <f>IF(H126&gt;=0,H$4,"")</f>
        <v/>
      </c>
      <c r="I140" s="43">
        <f>IF(I126&gt;=0,I$4,"")</f>
        <v/>
      </c>
      <c r="J140" s="43">
        <f>IF(J126&gt;=0,J$4,"")</f>
        <v/>
      </c>
      <c r="K140" s="43">
        <f>IF(K126&gt;=0,K$4,"")</f>
        <v/>
      </c>
      <c r="L140" s="43">
        <f>IF(L126&gt;=0,L$4,"")</f>
        <v/>
      </c>
      <c r="M140" s="43">
        <f>IF(M126&gt;=0,M$4,"")</f>
        <v/>
      </c>
      <c r="N140" s="43">
        <f>IF(N126&gt;=0,N$4,"")</f>
        <v/>
      </c>
      <c r="O140" s="43">
        <f>IF(O126&gt;=0,O$4,"")</f>
        <v/>
      </c>
      <c r="P140" s="43">
        <f>IF(P126&gt;=0,P$4,"")</f>
        <v/>
      </c>
      <c r="Q140" s="43">
        <f>IF(Q126&gt;=0,Q$4,"")</f>
        <v/>
      </c>
      <c r="R140" s="43">
        <f>IF(R126&gt;=0,R$4,"")</f>
        <v/>
      </c>
      <c r="S140" s="43">
        <f>IF(S126&gt;=0,S$4,"")</f>
        <v/>
      </c>
      <c r="T140" s="43">
        <f>IF(T126&gt;=0,T$4,"")</f>
        <v/>
      </c>
      <c r="U140" s="43">
        <f>IF(U126&gt;=0,U$4,"")</f>
        <v/>
      </c>
      <c r="V140" s="43">
        <f>IF(V126&gt;=0,V$4,"")</f>
        <v/>
      </c>
      <c r="W140" s="43">
        <f>IF(W126&gt;=0,W$4,"")</f>
        <v/>
      </c>
      <c r="X140" s="43">
        <f>IF(X126&gt;=0,X$4,"")</f>
        <v/>
      </c>
      <c r="Y140" s="43">
        <f>IF(Y126&gt;=0,Y$4,"")</f>
        <v/>
      </c>
      <c r="Z140" s="43">
        <f>IF(Z126&gt;=0,Z$4,"")</f>
        <v/>
      </c>
      <c r="AA140" s="43">
        <f>IF(AA126&gt;=0,AA$4,"")</f>
        <v/>
      </c>
      <c r="AB140" s="43">
        <f>IF(AB126&gt;=0,AB$4,"")</f>
        <v/>
      </c>
      <c r="AC140" s="43">
        <f>IF(AC126&gt;=0,AC$4,"")</f>
        <v/>
      </c>
      <c r="AD140" s="43">
        <f>IF(AD126&gt;=0,AD$4,"")</f>
        <v/>
      </c>
      <c r="AE140" s="43">
        <f>IF(AE126&gt;=0,AE$4,"")</f>
        <v/>
      </c>
      <c r="AF140" s="43">
        <f>IF(AF126&gt;=0,AF$4,"")</f>
        <v/>
      </c>
      <c r="AG140" s="43">
        <f>IF(AG126&gt;=0,AG$4,"")</f>
        <v/>
      </c>
      <c r="AH140" s="43">
        <f>IF(AH126&gt;=0,AH$4,"")</f>
        <v/>
      </c>
      <c r="AI140" s="43">
        <f>IF(AI126&gt;=0,AI$4,"")</f>
        <v/>
      </c>
      <c r="AJ140" s="43">
        <f>IF(AJ126&gt;=0,AJ$4,"")</f>
        <v/>
      </c>
      <c r="AK140" s="43">
        <f>IF(AK126&gt;=0,AK$4,"")</f>
        <v/>
      </c>
      <c r="AL140" s="43">
        <f>IF(AL126&gt;=0,AL$4,"")</f>
        <v/>
      </c>
    </row>
    <row r="141">
      <c r="A141" s="7" t="inlineStr">
        <is>
          <t xml:space="preserve">   Month # if monthly operating result stays &gt;= 0 through month 36</t>
        </is>
      </c>
      <c r="B141" s="9" t="inlineStr">
        <is>
          <t>month</t>
        </is>
      </c>
      <c r="C141" s="43">
        <f>IF(COUNTIF(C126:$AL126,"&lt;0")=0,C$4,"")</f>
        <v/>
      </c>
      <c r="D141" s="43">
        <f>IF(COUNTIF(D126:$AL126,"&lt;0")=0,D$4,"")</f>
        <v/>
      </c>
      <c r="E141" s="43">
        <f>IF(COUNTIF(E126:$AL126,"&lt;0")=0,E$4,"")</f>
        <v/>
      </c>
      <c r="F141" s="43">
        <f>IF(COUNTIF(F126:$AL126,"&lt;0")=0,F$4,"")</f>
        <v/>
      </c>
      <c r="G141" s="43">
        <f>IF(COUNTIF(G126:$AL126,"&lt;0")=0,G$4,"")</f>
        <v/>
      </c>
      <c r="H141" s="43">
        <f>IF(COUNTIF(H126:$AL126,"&lt;0")=0,H$4,"")</f>
        <v/>
      </c>
      <c r="I141" s="43">
        <f>IF(COUNTIF(I126:$AL126,"&lt;0")=0,I$4,"")</f>
        <v/>
      </c>
      <c r="J141" s="43">
        <f>IF(COUNTIF(J126:$AL126,"&lt;0")=0,J$4,"")</f>
        <v/>
      </c>
      <c r="K141" s="43">
        <f>IF(COUNTIF(K126:$AL126,"&lt;0")=0,K$4,"")</f>
        <v/>
      </c>
      <c r="L141" s="43">
        <f>IF(COUNTIF(L126:$AL126,"&lt;0")=0,L$4,"")</f>
        <v/>
      </c>
      <c r="M141" s="43">
        <f>IF(COUNTIF(M126:$AL126,"&lt;0")=0,M$4,"")</f>
        <v/>
      </c>
      <c r="N141" s="43">
        <f>IF(COUNTIF(N126:$AL126,"&lt;0")=0,N$4,"")</f>
        <v/>
      </c>
      <c r="O141" s="43">
        <f>IF(COUNTIF(O126:$AL126,"&lt;0")=0,O$4,"")</f>
        <v/>
      </c>
      <c r="P141" s="43">
        <f>IF(COUNTIF(P126:$AL126,"&lt;0")=0,P$4,"")</f>
        <v/>
      </c>
      <c r="Q141" s="43">
        <f>IF(COUNTIF(Q126:$AL126,"&lt;0")=0,Q$4,"")</f>
        <v/>
      </c>
      <c r="R141" s="43">
        <f>IF(COUNTIF(R126:$AL126,"&lt;0")=0,R$4,"")</f>
        <v/>
      </c>
      <c r="S141" s="43">
        <f>IF(COUNTIF(S126:$AL126,"&lt;0")=0,S$4,"")</f>
        <v/>
      </c>
      <c r="T141" s="43">
        <f>IF(COUNTIF(T126:$AL126,"&lt;0")=0,T$4,"")</f>
        <v/>
      </c>
      <c r="U141" s="43">
        <f>IF(COUNTIF(U126:$AL126,"&lt;0")=0,U$4,"")</f>
        <v/>
      </c>
      <c r="V141" s="43">
        <f>IF(COUNTIF(V126:$AL126,"&lt;0")=0,V$4,"")</f>
        <v/>
      </c>
      <c r="W141" s="43">
        <f>IF(COUNTIF(W126:$AL126,"&lt;0")=0,W$4,"")</f>
        <v/>
      </c>
      <c r="X141" s="43">
        <f>IF(COUNTIF(X126:$AL126,"&lt;0")=0,X$4,"")</f>
        <v/>
      </c>
      <c r="Y141" s="43">
        <f>IF(COUNTIF(Y126:$AL126,"&lt;0")=0,Y$4,"")</f>
        <v/>
      </c>
      <c r="Z141" s="43">
        <f>IF(COUNTIF(Z126:$AL126,"&lt;0")=0,Z$4,"")</f>
        <v/>
      </c>
      <c r="AA141" s="43">
        <f>IF(COUNTIF(AA126:$AL126,"&lt;0")=0,AA$4,"")</f>
        <v/>
      </c>
      <c r="AB141" s="43">
        <f>IF(COUNTIF(AB126:$AL126,"&lt;0")=0,AB$4,"")</f>
        <v/>
      </c>
      <c r="AC141" s="43">
        <f>IF(COUNTIF(AC126:$AL126,"&lt;0")=0,AC$4,"")</f>
        <v/>
      </c>
      <c r="AD141" s="43">
        <f>IF(COUNTIF(AD126:$AL126,"&lt;0")=0,AD$4,"")</f>
        <v/>
      </c>
      <c r="AE141" s="43">
        <f>IF(COUNTIF(AE126:$AL126,"&lt;0")=0,AE$4,"")</f>
        <v/>
      </c>
      <c r="AF141" s="43">
        <f>IF(COUNTIF(AF126:$AL126,"&lt;0")=0,AF$4,"")</f>
        <v/>
      </c>
      <c r="AG141" s="43">
        <f>IF(COUNTIF(AG126:$AL126,"&lt;0")=0,AG$4,"")</f>
        <v/>
      </c>
      <c r="AH141" s="43">
        <f>IF(COUNTIF(AH126:$AL126,"&lt;0")=0,AH$4,"")</f>
        <v/>
      </c>
      <c r="AI141" s="43">
        <f>IF(COUNTIF(AI126:$AL126,"&lt;0")=0,AI$4,"")</f>
        <v/>
      </c>
      <c r="AJ141" s="43">
        <f>IF(COUNTIF(AJ126:$AL126,"&lt;0")=0,AJ$4,"")</f>
        <v/>
      </c>
      <c r="AK141" s="43">
        <f>IF(COUNTIF(AK126:$AL126,"&lt;0")=0,AK$4,"")</f>
        <v/>
      </c>
      <c r="AL141" s="43">
        <f>IF(COUNTIF(AL126:$AL126,"&lt;0")=0,AL$4,"")</f>
        <v/>
      </c>
    </row>
    <row r="142">
      <c r="A142" s="7" t="inlineStr">
        <is>
          <t xml:space="preserve">   Month # if trailing-12-month result stays &gt;= 0 through month 36 (headline)</t>
        </is>
      </c>
      <c r="B142" s="9" t="inlineStr">
        <is>
          <t>month</t>
        </is>
      </c>
      <c r="C142" s="43">
        <f>IF(COUNTIF(C127:$AL127,"&lt;0")=0,C$4,"")</f>
        <v/>
      </c>
      <c r="D142" s="43">
        <f>IF(COUNTIF(D127:$AL127,"&lt;0")=0,D$4,"")</f>
        <v/>
      </c>
      <c r="E142" s="43">
        <f>IF(COUNTIF(E127:$AL127,"&lt;0")=0,E$4,"")</f>
        <v/>
      </c>
      <c r="F142" s="43">
        <f>IF(COUNTIF(F127:$AL127,"&lt;0")=0,F$4,"")</f>
        <v/>
      </c>
      <c r="G142" s="43">
        <f>IF(COUNTIF(G127:$AL127,"&lt;0")=0,G$4,"")</f>
        <v/>
      </c>
      <c r="H142" s="43">
        <f>IF(COUNTIF(H127:$AL127,"&lt;0")=0,H$4,"")</f>
        <v/>
      </c>
      <c r="I142" s="43">
        <f>IF(COUNTIF(I127:$AL127,"&lt;0")=0,I$4,"")</f>
        <v/>
      </c>
      <c r="J142" s="43">
        <f>IF(COUNTIF(J127:$AL127,"&lt;0")=0,J$4,"")</f>
        <v/>
      </c>
      <c r="K142" s="43">
        <f>IF(COUNTIF(K127:$AL127,"&lt;0")=0,K$4,"")</f>
        <v/>
      </c>
      <c r="L142" s="43">
        <f>IF(COUNTIF(L127:$AL127,"&lt;0")=0,L$4,"")</f>
        <v/>
      </c>
      <c r="M142" s="43">
        <f>IF(COUNTIF(M127:$AL127,"&lt;0")=0,M$4,"")</f>
        <v/>
      </c>
      <c r="N142" s="43">
        <f>IF(COUNTIF(N127:$AL127,"&lt;0")=0,N$4,"")</f>
        <v/>
      </c>
      <c r="O142" s="43">
        <f>IF(COUNTIF(O127:$AL127,"&lt;0")=0,O$4,"")</f>
        <v/>
      </c>
      <c r="P142" s="43">
        <f>IF(COUNTIF(P127:$AL127,"&lt;0")=0,P$4,"")</f>
        <v/>
      </c>
      <c r="Q142" s="43">
        <f>IF(COUNTIF(Q127:$AL127,"&lt;0")=0,Q$4,"")</f>
        <v/>
      </c>
      <c r="R142" s="43">
        <f>IF(COUNTIF(R127:$AL127,"&lt;0")=0,R$4,"")</f>
        <v/>
      </c>
      <c r="S142" s="43">
        <f>IF(COUNTIF(S127:$AL127,"&lt;0")=0,S$4,"")</f>
        <v/>
      </c>
      <c r="T142" s="43">
        <f>IF(COUNTIF(T127:$AL127,"&lt;0")=0,T$4,"")</f>
        <v/>
      </c>
      <c r="U142" s="43">
        <f>IF(COUNTIF(U127:$AL127,"&lt;0")=0,U$4,"")</f>
        <v/>
      </c>
      <c r="V142" s="43">
        <f>IF(COUNTIF(V127:$AL127,"&lt;0")=0,V$4,"")</f>
        <v/>
      </c>
      <c r="W142" s="43">
        <f>IF(COUNTIF(W127:$AL127,"&lt;0")=0,W$4,"")</f>
        <v/>
      </c>
      <c r="X142" s="43">
        <f>IF(COUNTIF(X127:$AL127,"&lt;0")=0,X$4,"")</f>
        <v/>
      </c>
      <c r="Y142" s="43">
        <f>IF(COUNTIF(Y127:$AL127,"&lt;0")=0,Y$4,"")</f>
        <v/>
      </c>
      <c r="Z142" s="43">
        <f>IF(COUNTIF(Z127:$AL127,"&lt;0")=0,Z$4,"")</f>
        <v/>
      </c>
      <c r="AA142" s="43">
        <f>IF(COUNTIF(AA127:$AL127,"&lt;0")=0,AA$4,"")</f>
        <v/>
      </c>
      <c r="AB142" s="43">
        <f>IF(COUNTIF(AB127:$AL127,"&lt;0")=0,AB$4,"")</f>
        <v/>
      </c>
      <c r="AC142" s="43">
        <f>IF(COUNTIF(AC127:$AL127,"&lt;0")=0,AC$4,"")</f>
        <v/>
      </c>
      <c r="AD142" s="43">
        <f>IF(COUNTIF(AD127:$AL127,"&lt;0")=0,AD$4,"")</f>
        <v/>
      </c>
      <c r="AE142" s="43">
        <f>IF(COUNTIF(AE127:$AL127,"&lt;0")=0,AE$4,"")</f>
        <v/>
      </c>
      <c r="AF142" s="43">
        <f>IF(COUNTIF(AF127:$AL127,"&lt;0")=0,AF$4,"")</f>
        <v/>
      </c>
      <c r="AG142" s="43">
        <f>IF(COUNTIF(AG127:$AL127,"&lt;0")=0,AG$4,"")</f>
        <v/>
      </c>
      <c r="AH142" s="43">
        <f>IF(COUNTIF(AH127:$AL127,"&lt;0")=0,AH$4,"")</f>
        <v/>
      </c>
      <c r="AI142" s="43">
        <f>IF(COUNTIF(AI127:$AL127,"&lt;0")=0,AI$4,"")</f>
        <v/>
      </c>
      <c r="AJ142" s="43">
        <f>IF(COUNTIF(AJ127:$AL127,"&lt;0")=0,AJ$4,"")</f>
        <v/>
      </c>
      <c r="AK142" s="43">
        <f>IF(COUNTIF(AK127:$AL127,"&lt;0")=0,AK$4,"")</f>
        <v/>
      </c>
      <c r="AL142" s="43">
        <f>IF(COUNTIF(AL127:$AL127,"&lt;0")=0,AL$4,"")</f>
        <v/>
      </c>
    </row>
    <row r="144">
      <c r="A144" s="3" t="inlineStr">
        <is>
          <t>EXPECTED SCENARIO</t>
        </is>
      </c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  <c r="AI144" s="4" t="n"/>
      <c r="AJ144" s="4" t="n"/>
      <c r="AK144" s="4" t="n"/>
      <c r="AL144" s="4" t="n"/>
      <c r="AM144" s="4" t="n"/>
      <c r="AN144" s="4" t="n"/>
      <c r="AO144" s="4" t="n"/>
      <c r="AP144" s="4" t="n"/>
    </row>
    <row r="145">
      <c r="A145" s="7" t="inlineStr">
        <is>
          <t>Board-book print decision month (pre-sale ends), model month # (0 = board book off)</t>
        </is>
      </c>
      <c r="B145" s="52">
        <f>IF('Assumptions'!$D$164=1,MAX('Assumptions'!$D$165,'Assumptions'!$C$9)+'Assumptions'!$C$72,0)</f>
        <v/>
      </c>
    </row>
    <row r="146">
      <c r="A146" s="7" t="inlineStr">
        <is>
          <t>Pre-sale copies ordered before the print decision (demand)</t>
        </is>
      </c>
      <c r="B146" s="53">
        <f>IF($B$145=0,0,SUMPRODUCT(($C$4:$AL$4&gt;=MAX('Assumptions'!$D$165,'Assumptions'!$C$9))*($C$4:$AL$4&lt;$B$145)*($C$223:$AL$223)))</f>
        <v/>
      </c>
    </row>
    <row r="147">
      <c r="A147" s="7" t="inlineStr">
        <is>
          <t>Go line: pre-sale copies needed to fund the planned run + print-month costs + 15% buffer (BLIND-SPOTS #16)</t>
        </is>
      </c>
      <c r="B147" s="53">
        <f>IF($B$145=0,0,ROUNDUP(('Assumptions'!$C$58*'Assumptions'!$C$66+'Retail Readiness Costs'!$H$20)*(1+'Assumptions'!$C$73)/('Assumptions'!$C$57*(1-'Assumptions'!$C$24)-'Assumptions'!$C$25-'Assumptions'!$C$67-'Assumptions'!$C$48),0))</f>
        <v/>
      </c>
    </row>
    <row r="148">
      <c r="A148" s="7" t="inlineStr">
        <is>
          <t>Go (1) / no-go (0): print only if pre-sale copies reach the go line; otherwise refund the pre-sale</t>
        </is>
      </c>
      <c r="B148" s="54">
        <f>IF(AND($B$145&gt;0,$B$146&gt;=$B$147),1,0)</f>
        <v/>
      </c>
    </row>
    <row r="149">
      <c r="A149" s="7" t="inlineStr">
        <is>
          <t>First offset run = max(planned run, pre-sale x (1 + buffer)), rounded up to 100; 0 if no-go</t>
        </is>
      </c>
      <c r="B149" s="53">
        <f>IF($B$148=0,0,MAX('Assumptions'!$C$58,ROUNDUP($B$146*(1+'Assumptions'!$C$71)/100,0)*100))</f>
        <v/>
      </c>
    </row>
    <row r="151">
      <c r="A151" s="5" t="inlineStr">
        <is>
          <t>Digital catalog (shared by the own site, Etsy and the merchant of record)</t>
        </is>
      </c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  <c r="AC151" s="6" t="n"/>
      <c r="AD151" s="6" t="n"/>
      <c r="AE151" s="6" t="n"/>
      <c r="AF151" s="6" t="n"/>
      <c r="AG151" s="6" t="n"/>
      <c r="AH151" s="6" t="n"/>
      <c r="AI151" s="6" t="n"/>
      <c r="AJ151" s="6" t="n"/>
      <c r="AK151" s="6" t="n"/>
      <c r="AL151" s="6" t="n"/>
      <c r="AM151" s="6" t="n"/>
      <c r="AN151" s="6" t="n"/>
      <c r="AO151" s="6" t="n"/>
      <c r="AP151" s="6" t="n"/>
    </row>
    <row r="152">
      <c r="A152" s="7" t="inlineStr">
        <is>
          <t xml:space="preserve">   Digital products live</t>
        </is>
      </c>
      <c r="B152" s="9" t="inlineStr">
        <is>
          <t>products</t>
        </is>
      </c>
      <c r="C152" s="14">
        <f>IF(C$4&lt;'Assumptions'!$C$9,0,MIN('Assumptions'!$D$112,'Assumptions'!$D$110+'Assumptions'!$D$111*(C$4-'Assumptions'!$C$9)))</f>
        <v/>
      </c>
      <c r="D152" s="14">
        <f>IF(D$4&lt;'Assumptions'!$C$9,0,MIN('Assumptions'!$D$112,'Assumptions'!$D$110+'Assumptions'!$D$111*(D$4-'Assumptions'!$C$9)))</f>
        <v/>
      </c>
      <c r="E152" s="14">
        <f>IF(E$4&lt;'Assumptions'!$C$9,0,MIN('Assumptions'!$D$112,'Assumptions'!$D$110+'Assumptions'!$D$111*(E$4-'Assumptions'!$C$9)))</f>
        <v/>
      </c>
      <c r="F152" s="14">
        <f>IF(F$4&lt;'Assumptions'!$C$9,0,MIN('Assumptions'!$D$112,'Assumptions'!$D$110+'Assumptions'!$D$111*(F$4-'Assumptions'!$C$9)))</f>
        <v/>
      </c>
      <c r="G152" s="14">
        <f>IF(G$4&lt;'Assumptions'!$C$9,0,MIN('Assumptions'!$D$112,'Assumptions'!$D$110+'Assumptions'!$D$111*(G$4-'Assumptions'!$C$9)))</f>
        <v/>
      </c>
      <c r="H152" s="14">
        <f>IF(H$4&lt;'Assumptions'!$C$9,0,MIN('Assumptions'!$D$112,'Assumptions'!$D$110+'Assumptions'!$D$111*(H$4-'Assumptions'!$C$9)))</f>
        <v/>
      </c>
      <c r="I152" s="14">
        <f>IF(I$4&lt;'Assumptions'!$C$9,0,MIN('Assumptions'!$D$112,'Assumptions'!$D$110+'Assumptions'!$D$111*(I$4-'Assumptions'!$C$9)))</f>
        <v/>
      </c>
      <c r="J152" s="14">
        <f>IF(J$4&lt;'Assumptions'!$C$9,0,MIN('Assumptions'!$D$112,'Assumptions'!$D$110+'Assumptions'!$D$111*(J$4-'Assumptions'!$C$9)))</f>
        <v/>
      </c>
      <c r="K152" s="14">
        <f>IF(K$4&lt;'Assumptions'!$C$9,0,MIN('Assumptions'!$D$112,'Assumptions'!$D$110+'Assumptions'!$D$111*(K$4-'Assumptions'!$C$9)))</f>
        <v/>
      </c>
      <c r="L152" s="14">
        <f>IF(L$4&lt;'Assumptions'!$C$9,0,MIN('Assumptions'!$D$112,'Assumptions'!$D$110+'Assumptions'!$D$111*(L$4-'Assumptions'!$C$9)))</f>
        <v/>
      </c>
      <c r="M152" s="14">
        <f>IF(M$4&lt;'Assumptions'!$C$9,0,MIN('Assumptions'!$D$112,'Assumptions'!$D$110+'Assumptions'!$D$111*(M$4-'Assumptions'!$C$9)))</f>
        <v/>
      </c>
      <c r="N152" s="14">
        <f>IF(N$4&lt;'Assumptions'!$C$9,0,MIN('Assumptions'!$D$112,'Assumptions'!$D$110+'Assumptions'!$D$111*(N$4-'Assumptions'!$C$9)))</f>
        <v/>
      </c>
      <c r="O152" s="14">
        <f>IF(O$4&lt;'Assumptions'!$C$9,0,MIN('Assumptions'!$D$112,'Assumptions'!$D$110+'Assumptions'!$D$111*(O$4-'Assumptions'!$C$9)))</f>
        <v/>
      </c>
      <c r="P152" s="14">
        <f>IF(P$4&lt;'Assumptions'!$C$9,0,MIN('Assumptions'!$D$112,'Assumptions'!$D$110+'Assumptions'!$D$111*(P$4-'Assumptions'!$C$9)))</f>
        <v/>
      </c>
      <c r="Q152" s="14">
        <f>IF(Q$4&lt;'Assumptions'!$C$9,0,MIN('Assumptions'!$D$112,'Assumptions'!$D$110+'Assumptions'!$D$111*(Q$4-'Assumptions'!$C$9)))</f>
        <v/>
      </c>
      <c r="R152" s="14">
        <f>IF(R$4&lt;'Assumptions'!$C$9,0,MIN('Assumptions'!$D$112,'Assumptions'!$D$110+'Assumptions'!$D$111*(R$4-'Assumptions'!$C$9)))</f>
        <v/>
      </c>
      <c r="S152" s="14">
        <f>IF(S$4&lt;'Assumptions'!$C$9,0,MIN('Assumptions'!$D$112,'Assumptions'!$D$110+'Assumptions'!$D$111*(S$4-'Assumptions'!$C$9)))</f>
        <v/>
      </c>
      <c r="T152" s="14">
        <f>IF(T$4&lt;'Assumptions'!$C$9,0,MIN('Assumptions'!$D$112,'Assumptions'!$D$110+'Assumptions'!$D$111*(T$4-'Assumptions'!$C$9)))</f>
        <v/>
      </c>
      <c r="U152" s="14">
        <f>IF(U$4&lt;'Assumptions'!$C$9,0,MIN('Assumptions'!$D$112,'Assumptions'!$D$110+'Assumptions'!$D$111*(U$4-'Assumptions'!$C$9)))</f>
        <v/>
      </c>
      <c r="V152" s="14">
        <f>IF(V$4&lt;'Assumptions'!$C$9,0,MIN('Assumptions'!$D$112,'Assumptions'!$D$110+'Assumptions'!$D$111*(V$4-'Assumptions'!$C$9)))</f>
        <v/>
      </c>
      <c r="W152" s="14">
        <f>IF(W$4&lt;'Assumptions'!$C$9,0,MIN('Assumptions'!$D$112,'Assumptions'!$D$110+'Assumptions'!$D$111*(W$4-'Assumptions'!$C$9)))</f>
        <v/>
      </c>
      <c r="X152" s="14">
        <f>IF(X$4&lt;'Assumptions'!$C$9,0,MIN('Assumptions'!$D$112,'Assumptions'!$D$110+'Assumptions'!$D$111*(X$4-'Assumptions'!$C$9)))</f>
        <v/>
      </c>
      <c r="Y152" s="14">
        <f>IF(Y$4&lt;'Assumptions'!$C$9,0,MIN('Assumptions'!$D$112,'Assumptions'!$D$110+'Assumptions'!$D$111*(Y$4-'Assumptions'!$C$9)))</f>
        <v/>
      </c>
      <c r="Z152" s="14">
        <f>IF(Z$4&lt;'Assumptions'!$C$9,0,MIN('Assumptions'!$D$112,'Assumptions'!$D$110+'Assumptions'!$D$111*(Z$4-'Assumptions'!$C$9)))</f>
        <v/>
      </c>
      <c r="AA152" s="14">
        <f>IF(AA$4&lt;'Assumptions'!$C$9,0,MIN('Assumptions'!$D$112,'Assumptions'!$D$110+'Assumptions'!$D$111*(AA$4-'Assumptions'!$C$9)))</f>
        <v/>
      </c>
      <c r="AB152" s="14">
        <f>IF(AB$4&lt;'Assumptions'!$C$9,0,MIN('Assumptions'!$D$112,'Assumptions'!$D$110+'Assumptions'!$D$111*(AB$4-'Assumptions'!$C$9)))</f>
        <v/>
      </c>
      <c r="AC152" s="14">
        <f>IF(AC$4&lt;'Assumptions'!$C$9,0,MIN('Assumptions'!$D$112,'Assumptions'!$D$110+'Assumptions'!$D$111*(AC$4-'Assumptions'!$C$9)))</f>
        <v/>
      </c>
      <c r="AD152" s="14">
        <f>IF(AD$4&lt;'Assumptions'!$C$9,0,MIN('Assumptions'!$D$112,'Assumptions'!$D$110+'Assumptions'!$D$111*(AD$4-'Assumptions'!$C$9)))</f>
        <v/>
      </c>
      <c r="AE152" s="14">
        <f>IF(AE$4&lt;'Assumptions'!$C$9,0,MIN('Assumptions'!$D$112,'Assumptions'!$D$110+'Assumptions'!$D$111*(AE$4-'Assumptions'!$C$9)))</f>
        <v/>
      </c>
      <c r="AF152" s="14">
        <f>IF(AF$4&lt;'Assumptions'!$C$9,0,MIN('Assumptions'!$D$112,'Assumptions'!$D$110+'Assumptions'!$D$111*(AF$4-'Assumptions'!$C$9)))</f>
        <v/>
      </c>
      <c r="AG152" s="14">
        <f>IF(AG$4&lt;'Assumptions'!$C$9,0,MIN('Assumptions'!$D$112,'Assumptions'!$D$110+'Assumptions'!$D$111*(AG$4-'Assumptions'!$C$9)))</f>
        <v/>
      </c>
      <c r="AH152" s="14">
        <f>IF(AH$4&lt;'Assumptions'!$C$9,0,MIN('Assumptions'!$D$112,'Assumptions'!$D$110+'Assumptions'!$D$111*(AH$4-'Assumptions'!$C$9)))</f>
        <v/>
      </c>
      <c r="AI152" s="14">
        <f>IF(AI$4&lt;'Assumptions'!$C$9,0,MIN('Assumptions'!$D$112,'Assumptions'!$D$110+'Assumptions'!$D$111*(AI$4-'Assumptions'!$C$9)))</f>
        <v/>
      </c>
      <c r="AJ152" s="14">
        <f>IF(AJ$4&lt;'Assumptions'!$C$9,0,MIN('Assumptions'!$D$112,'Assumptions'!$D$110+'Assumptions'!$D$111*(AJ$4-'Assumptions'!$C$9)))</f>
        <v/>
      </c>
      <c r="AK152" s="14">
        <f>IF(AK$4&lt;'Assumptions'!$C$9,0,MIN('Assumptions'!$D$112,'Assumptions'!$D$110+'Assumptions'!$D$111*(AK$4-'Assumptions'!$C$9)))</f>
        <v/>
      </c>
      <c r="AL152" s="14">
        <f>IF(AL$4&lt;'Assumptions'!$C$9,0,MIN('Assumptions'!$D$112,'Assumptions'!$D$110+'Assumptions'!$D$111*(AL$4-'Assumptions'!$C$9)))</f>
        <v/>
      </c>
    </row>
    <row r="153">
      <c r="A153" s="5" t="inlineStr">
        <is>
          <t>Own site: printables and PDFs (Shopify)</t>
        </is>
      </c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  <c r="AC153" s="6" t="n"/>
      <c r="AD153" s="6" t="n"/>
      <c r="AE153" s="6" t="n"/>
      <c r="AF153" s="6" t="n"/>
      <c r="AG153" s="6" t="n"/>
      <c r="AH153" s="6" t="n"/>
      <c r="AI153" s="6" t="n"/>
      <c r="AJ153" s="6" t="n"/>
      <c r="AK153" s="6" t="n"/>
      <c r="AL153" s="6" t="n"/>
      <c r="AM153" s="6" t="n"/>
      <c r="AN153" s="6" t="n"/>
      <c r="AO153" s="6" t="n"/>
      <c r="AP153" s="6" t="n"/>
    </row>
    <row r="154">
      <c r="A154" s="7" t="inlineStr">
        <is>
          <t xml:space="preserve">   Active (1 = live)</t>
        </is>
      </c>
      <c r="B154" s="9" t="inlineStr">
        <is>
          <t>flag</t>
        </is>
      </c>
      <c r="C154" s="18">
        <f>IF(AND('Assumptions'!$D$117=1,C$4&gt;=MAX('Assumptions'!$D$118,'Assumptions'!$C$9)),1,0)</f>
        <v/>
      </c>
      <c r="D154" s="18">
        <f>IF(AND('Assumptions'!$D$117=1,D$4&gt;=MAX('Assumptions'!$D$118,'Assumptions'!$C$9)),1,0)</f>
        <v/>
      </c>
      <c r="E154" s="18">
        <f>IF(AND('Assumptions'!$D$117=1,E$4&gt;=MAX('Assumptions'!$D$118,'Assumptions'!$C$9)),1,0)</f>
        <v/>
      </c>
      <c r="F154" s="18">
        <f>IF(AND('Assumptions'!$D$117=1,F$4&gt;=MAX('Assumptions'!$D$118,'Assumptions'!$C$9)),1,0)</f>
        <v/>
      </c>
      <c r="G154" s="18">
        <f>IF(AND('Assumptions'!$D$117=1,G$4&gt;=MAX('Assumptions'!$D$118,'Assumptions'!$C$9)),1,0)</f>
        <v/>
      </c>
      <c r="H154" s="18">
        <f>IF(AND('Assumptions'!$D$117=1,H$4&gt;=MAX('Assumptions'!$D$118,'Assumptions'!$C$9)),1,0)</f>
        <v/>
      </c>
      <c r="I154" s="18">
        <f>IF(AND('Assumptions'!$D$117=1,I$4&gt;=MAX('Assumptions'!$D$118,'Assumptions'!$C$9)),1,0)</f>
        <v/>
      </c>
      <c r="J154" s="18">
        <f>IF(AND('Assumptions'!$D$117=1,J$4&gt;=MAX('Assumptions'!$D$118,'Assumptions'!$C$9)),1,0)</f>
        <v/>
      </c>
      <c r="K154" s="18">
        <f>IF(AND('Assumptions'!$D$117=1,K$4&gt;=MAX('Assumptions'!$D$118,'Assumptions'!$C$9)),1,0)</f>
        <v/>
      </c>
      <c r="L154" s="18">
        <f>IF(AND('Assumptions'!$D$117=1,L$4&gt;=MAX('Assumptions'!$D$118,'Assumptions'!$C$9)),1,0)</f>
        <v/>
      </c>
      <c r="M154" s="18">
        <f>IF(AND('Assumptions'!$D$117=1,M$4&gt;=MAX('Assumptions'!$D$118,'Assumptions'!$C$9)),1,0)</f>
        <v/>
      </c>
      <c r="N154" s="18">
        <f>IF(AND('Assumptions'!$D$117=1,N$4&gt;=MAX('Assumptions'!$D$118,'Assumptions'!$C$9)),1,0)</f>
        <v/>
      </c>
      <c r="O154" s="18">
        <f>IF(AND('Assumptions'!$D$117=1,O$4&gt;=MAX('Assumptions'!$D$118,'Assumptions'!$C$9)),1,0)</f>
        <v/>
      </c>
      <c r="P154" s="18">
        <f>IF(AND('Assumptions'!$D$117=1,P$4&gt;=MAX('Assumptions'!$D$118,'Assumptions'!$C$9)),1,0)</f>
        <v/>
      </c>
      <c r="Q154" s="18">
        <f>IF(AND('Assumptions'!$D$117=1,Q$4&gt;=MAX('Assumptions'!$D$118,'Assumptions'!$C$9)),1,0)</f>
        <v/>
      </c>
      <c r="R154" s="18">
        <f>IF(AND('Assumptions'!$D$117=1,R$4&gt;=MAX('Assumptions'!$D$118,'Assumptions'!$C$9)),1,0)</f>
        <v/>
      </c>
      <c r="S154" s="18">
        <f>IF(AND('Assumptions'!$D$117=1,S$4&gt;=MAX('Assumptions'!$D$118,'Assumptions'!$C$9)),1,0)</f>
        <v/>
      </c>
      <c r="T154" s="18">
        <f>IF(AND('Assumptions'!$D$117=1,T$4&gt;=MAX('Assumptions'!$D$118,'Assumptions'!$C$9)),1,0)</f>
        <v/>
      </c>
      <c r="U154" s="18">
        <f>IF(AND('Assumptions'!$D$117=1,U$4&gt;=MAX('Assumptions'!$D$118,'Assumptions'!$C$9)),1,0)</f>
        <v/>
      </c>
      <c r="V154" s="18">
        <f>IF(AND('Assumptions'!$D$117=1,V$4&gt;=MAX('Assumptions'!$D$118,'Assumptions'!$C$9)),1,0)</f>
        <v/>
      </c>
      <c r="W154" s="18">
        <f>IF(AND('Assumptions'!$D$117=1,W$4&gt;=MAX('Assumptions'!$D$118,'Assumptions'!$C$9)),1,0)</f>
        <v/>
      </c>
      <c r="X154" s="18">
        <f>IF(AND('Assumptions'!$D$117=1,X$4&gt;=MAX('Assumptions'!$D$118,'Assumptions'!$C$9)),1,0)</f>
        <v/>
      </c>
      <c r="Y154" s="18">
        <f>IF(AND('Assumptions'!$D$117=1,Y$4&gt;=MAX('Assumptions'!$D$118,'Assumptions'!$C$9)),1,0)</f>
        <v/>
      </c>
      <c r="Z154" s="18">
        <f>IF(AND('Assumptions'!$D$117=1,Z$4&gt;=MAX('Assumptions'!$D$118,'Assumptions'!$C$9)),1,0)</f>
        <v/>
      </c>
      <c r="AA154" s="18">
        <f>IF(AND('Assumptions'!$D$117=1,AA$4&gt;=MAX('Assumptions'!$D$118,'Assumptions'!$C$9)),1,0)</f>
        <v/>
      </c>
      <c r="AB154" s="18">
        <f>IF(AND('Assumptions'!$D$117=1,AB$4&gt;=MAX('Assumptions'!$D$118,'Assumptions'!$C$9)),1,0)</f>
        <v/>
      </c>
      <c r="AC154" s="18">
        <f>IF(AND('Assumptions'!$D$117=1,AC$4&gt;=MAX('Assumptions'!$D$118,'Assumptions'!$C$9)),1,0)</f>
        <v/>
      </c>
      <c r="AD154" s="18">
        <f>IF(AND('Assumptions'!$D$117=1,AD$4&gt;=MAX('Assumptions'!$D$118,'Assumptions'!$C$9)),1,0)</f>
        <v/>
      </c>
      <c r="AE154" s="18">
        <f>IF(AND('Assumptions'!$D$117=1,AE$4&gt;=MAX('Assumptions'!$D$118,'Assumptions'!$C$9)),1,0)</f>
        <v/>
      </c>
      <c r="AF154" s="18">
        <f>IF(AND('Assumptions'!$D$117=1,AF$4&gt;=MAX('Assumptions'!$D$118,'Assumptions'!$C$9)),1,0)</f>
        <v/>
      </c>
      <c r="AG154" s="18">
        <f>IF(AND('Assumptions'!$D$117=1,AG$4&gt;=MAX('Assumptions'!$D$118,'Assumptions'!$C$9)),1,0)</f>
        <v/>
      </c>
      <c r="AH154" s="18">
        <f>IF(AND('Assumptions'!$D$117=1,AH$4&gt;=MAX('Assumptions'!$D$118,'Assumptions'!$C$9)),1,0)</f>
        <v/>
      </c>
      <c r="AI154" s="18">
        <f>IF(AND('Assumptions'!$D$117=1,AI$4&gt;=MAX('Assumptions'!$D$118,'Assumptions'!$C$9)),1,0)</f>
        <v/>
      </c>
      <c r="AJ154" s="18">
        <f>IF(AND('Assumptions'!$D$117=1,AJ$4&gt;=MAX('Assumptions'!$D$118,'Assumptions'!$C$9)),1,0)</f>
        <v/>
      </c>
      <c r="AK154" s="18">
        <f>IF(AND('Assumptions'!$D$117=1,AK$4&gt;=MAX('Assumptions'!$D$118,'Assumptions'!$C$9)),1,0)</f>
        <v/>
      </c>
      <c r="AL154" s="18">
        <f>IF(AND('Assumptions'!$D$117=1,AL$4&gt;=MAX('Assumptions'!$D$118,'Assumptions'!$C$9)),1,0)</f>
        <v/>
      </c>
    </row>
    <row r="155">
      <c r="A155" s="7" t="inlineStr">
        <is>
          <t xml:space="preserve">   Sales-per-product index (1.00 in the launch month)</t>
        </is>
      </c>
      <c r="B155" s="9" t="inlineStr">
        <is>
          <t>index</t>
        </is>
      </c>
      <c r="C155" s="55">
        <f>IF(C154=0,0,1)</f>
        <v/>
      </c>
      <c r="D155" s="51">
        <f>IF(D154=0,0,IF(D$4=MAX('Assumptions'!$D$118,'Assumptions'!$C$9),1,C155*(1+CHOOSE(D$6,'Assumptions'!$D$119,'Assumptions'!$D$120,'Assumptions'!$D$121))))</f>
        <v/>
      </c>
      <c r="E155" s="51">
        <f>IF(E154=0,0,IF(E$4=MAX('Assumptions'!$D$118,'Assumptions'!$C$9),1,D155*(1+CHOOSE(E$6,'Assumptions'!$D$119,'Assumptions'!$D$120,'Assumptions'!$D$121))))</f>
        <v/>
      </c>
      <c r="F155" s="51">
        <f>IF(F154=0,0,IF(F$4=MAX('Assumptions'!$D$118,'Assumptions'!$C$9),1,E155*(1+CHOOSE(F$6,'Assumptions'!$D$119,'Assumptions'!$D$120,'Assumptions'!$D$121))))</f>
        <v/>
      </c>
      <c r="G155" s="51">
        <f>IF(G154=0,0,IF(G$4=MAX('Assumptions'!$D$118,'Assumptions'!$C$9),1,F155*(1+CHOOSE(G$6,'Assumptions'!$D$119,'Assumptions'!$D$120,'Assumptions'!$D$121))))</f>
        <v/>
      </c>
      <c r="H155" s="51">
        <f>IF(H154=0,0,IF(H$4=MAX('Assumptions'!$D$118,'Assumptions'!$C$9),1,G155*(1+CHOOSE(H$6,'Assumptions'!$D$119,'Assumptions'!$D$120,'Assumptions'!$D$121))))</f>
        <v/>
      </c>
      <c r="I155" s="51">
        <f>IF(I154=0,0,IF(I$4=MAX('Assumptions'!$D$118,'Assumptions'!$C$9),1,H155*(1+CHOOSE(I$6,'Assumptions'!$D$119,'Assumptions'!$D$120,'Assumptions'!$D$121))))</f>
        <v/>
      </c>
      <c r="J155" s="51">
        <f>IF(J154=0,0,IF(J$4=MAX('Assumptions'!$D$118,'Assumptions'!$C$9),1,I155*(1+CHOOSE(J$6,'Assumptions'!$D$119,'Assumptions'!$D$120,'Assumptions'!$D$121))))</f>
        <v/>
      </c>
      <c r="K155" s="51">
        <f>IF(K154=0,0,IF(K$4=MAX('Assumptions'!$D$118,'Assumptions'!$C$9),1,J155*(1+CHOOSE(K$6,'Assumptions'!$D$119,'Assumptions'!$D$120,'Assumptions'!$D$121))))</f>
        <v/>
      </c>
      <c r="L155" s="51">
        <f>IF(L154=0,0,IF(L$4=MAX('Assumptions'!$D$118,'Assumptions'!$C$9),1,K155*(1+CHOOSE(L$6,'Assumptions'!$D$119,'Assumptions'!$D$120,'Assumptions'!$D$121))))</f>
        <v/>
      </c>
      <c r="M155" s="51">
        <f>IF(M154=0,0,IF(M$4=MAX('Assumptions'!$D$118,'Assumptions'!$C$9),1,L155*(1+CHOOSE(M$6,'Assumptions'!$D$119,'Assumptions'!$D$120,'Assumptions'!$D$121))))</f>
        <v/>
      </c>
      <c r="N155" s="51">
        <f>IF(N154=0,0,IF(N$4=MAX('Assumptions'!$D$118,'Assumptions'!$C$9),1,M155*(1+CHOOSE(N$6,'Assumptions'!$D$119,'Assumptions'!$D$120,'Assumptions'!$D$121))))</f>
        <v/>
      </c>
      <c r="O155" s="51">
        <f>IF(O154=0,0,IF(O$4=MAX('Assumptions'!$D$118,'Assumptions'!$C$9),1,N155*(1+CHOOSE(O$6,'Assumptions'!$D$119,'Assumptions'!$D$120,'Assumptions'!$D$121))))</f>
        <v/>
      </c>
      <c r="P155" s="51">
        <f>IF(P154=0,0,IF(P$4=MAX('Assumptions'!$D$118,'Assumptions'!$C$9),1,O155*(1+CHOOSE(P$6,'Assumptions'!$D$119,'Assumptions'!$D$120,'Assumptions'!$D$121))))</f>
        <v/>
      </c>
      <c r="Q155" s="51">
        <f>IF(Q154=0,0,IF(Q$4=MAX('Assumptions'!$D$118,'Assumptions'!$C$9),1,P155*(1+CHOOSE(Q$6,'Assumptions'!$D$119,'Assumptions'!$D$120,'Assumptions'!$D$121))))</f>
        <v/>
      </c>
      <c r="R155" s="51">
        <f>IF(R154=0,0,IF(R$4=MAX('Assumptions'!$D$118,'Assumptions'!$C$9),1,Q155*(1+CHOOSE(R$6,'Assumptions'!$D$119,'Assumptions'!$D$120,'Assumptions'!$D$121))))</f>
        <v/>
      </c>
      <c r="S155" s="51">
        <f>IF(S154=0,0,IF(S$4=MAX('Assumptions'!$D$118,'Assumptions'!$C$9),1,R155*(1+CHOOSE(S$6,'Assumptions'!$D$119,'Assumptions'!$D$120,'Assumptions'!$D$121))))</f>
        <v/>
      </c>
      <c r="T155" s="51">
        <f>IF(T154=0,0,IF(T$4=MAX('Assumptions'!$D$118,'Assumptions'!$C$9),1,S155*(1+CHOOSE(T$6,'Assumptions'!$D$119,'Assumptions'!$D$120,'Assumptions'!$D$121))))</f>
        <v/>
      </c>
      <c r="U155" s="51">
        <f>IF(U154=0,0,IF(U$4=MAX('Assumptions'!$D$118,'Assumptions'!$C$9),1,T155*(1+CHOOSE(U$6,'Assumptions'!$D$119,'Assumptions'!$D$120,'Assumptions'!$D$121))))</f>
        <v/>
      </c>
      <c r="V155" s="51">
        <f>IF(V154=0,0,IF(V$4=MAX('Assumptions'!$D$118,'Assumptions'!$C$9),1,U155*(1+CHOOSE(V$6,'Assumptions'!$D$119,'Assumptions'!$D$120,'Assumptions'!$D$121))))</f>
        <v/>
      </c>
      <c r="W155" s="51">
        <f>IF(W154=0,0,IF(W$4=MAX('Assumptions'!$D$118,'Assumptions'!$C$9),1,V155*(1+CHOOSE(W$6,'Assumptions'!$D$119,'Assumptions'!$D$120,'Assumptions'!$D$121))))</f>
        <v/>
      </c>
      <c r="X155" s="51">
        <f>IF(X154=0,0,IF(X$4=MAX('Assumptions'!$D$118,'Assumptions'!$C$9),1,W155*(1+CHOOSE(X$6,'Assumptions'!$D$119,'Assumptions'!$D$120,'Assumptions'!$D$121))))</f>
        <v/>
      </c>
      <c r="Y155" s="51">
        <f>IF(Y154=0,0,IF(Y$4=MAX('Assumptions'!$D$118,'Assumptions'!$C$9),1,X155*(1+CHOOSE(Y$6,'Assumptions'!$D$119,'Assumptions'!$D$120,'Assumptions'!$D$121))))</f>
        <v/>
      </c>
      <c r="Z155" s="51">
        <f>IF(Z154=0,0,IF(Z$4=MAX('Assumptions'!$D$118,'Assumptions'!$C$9),1,Y155*(1+CHOOSE(Z$6,'Assumptions'!$D$119,'Assumptions'!$D$120,'Assumptions'!$D$121))))</f>
        <v/>
      </c>
      <c r="AA155" s="51">
        <f>IF(AA154=0,0,IF(AA$4=MAX('Assumptions'!$D$118,'Assumptions'!$C$9),1,Z155*(1+CHOOSE(AA$6,'Assumptions'!$D$119,'Assumptions'!$D$120,'Assumptions'!$D$121))))</f>
        <v/>
      </c>
      <c r="AB155" s="51">
        <f>IF(AB154=0,0,IF(AB$4=MAX('Assumptions'!$D$118,'Assumptions'!$C$9),1,AA155*(1+CHOOSE(AB$6,'Assumptions'!$D$119,'Assumptions'!$D$120,'Assumptions'!$D$121))))</f>
        <v/>
      </c>
      <c r="AC155" s="51">
        <f>IF(AC154=0,0,IF(AC$4=MAX('Assumptions'!$D$118,'Assumptions'!$C$9),1,AB155*(1+CHOOSE(AC$6,'Assumptions'!$D$119,'Assumptions'!$D$120,'Assumptions'!$D$121))))</f>
        <v/>
      </c>
      <c r="AD155" s="51">
        <f>IF(AD154=0,0,IF(AD$4=MAX('Assumptions'!$D$118,'Assumptions'!$C$9),1,AC155*(1+CHOOSE(AD$6,'Assumptions'!$D$119,'Assumptions'!$D$120,'Assumptions'!$D$121))))</f>
        <v/>
      </c>
      <c r="AE155" s="51">
        <f>IF(AE154=0,0,IF(AE$4=MAX('Assumptions'!$D$118,'Assumptions'!$C$9),1,AD155*(1+CHOOSE(AE$6,'Assumptions'!$D$119,'Assumptions'!$D$120,'Assumptions'!$D$121))))</f>
        <v/>
      </c>
      <c r="AF155" s="51">
        <f>IF(AF154=0,0,IF(AF$4=MAX('Assumptions'!$D$118,'Assumptions'!$C$9),1,AE155*(1+CHOOSE(AF$6,'Assumptions'!$D$119,'Assumptions'!$D$120,'Assumptions'!$D$121))))</f>
        <v/>
      </c>
      <c r="AG155" s="51">
        <f>IF(AG154=0,0,IF(AG$4=MAX('Assumptions'!$D$118,'Assumptions'!$C$9),1,AF155*(1+CHOOSE(AG$6,'Assumptions'!$D$119,'Assumptions'!$D$120,'Assumptions'!$D$121))))</f>
        <v/>
      </c>
      <c r="AH155" s="51">
        <f>IF(AH154=0,0,IF(AH$4=MAX('Assumptions'!$D$118,'Assumptions'!$C$9),1,AG155*(1+CHOOSE(AH$6,'Assumptions'!$D$119,'Assumptions'!$D$120,'Assumptions'!$D$121))))</f>
        <v/>
      </c>
      <c r="AI155" s="51">
        <f>IF(AI154=0,0,IF(AI$4=MAX('Assumptions'!$D$118,'Assumptions'!$C$9),1,AH155*(1+CHOOSE(AI$6,'Assumptions'!$D$119,'Assumptions'!$D$120,'Assumptions'!$D$121))))</f>
        <v/>
      </c>
      <c r="AJ155" s="51">
        <f>IF(AJ154=0,0,IF(AJ$4=MAX('Assumptions'!$D$118,'Assumptions'!$C$9),1,AI155*(1+CHOOSE(AJ$6,'Assumptions'!$D$119,'Assumptions'!$D$120,'Assumptions'!$D$121))))</f>
        <v/>
      </c>
      <c r="AK155" s="51">
        <f>IF(AK154=0,0,IF(AK$4=MAX('Assumptions'!$D$118,'Assumptions'!$C$9),1,AJ155*(1+CHOOSE(AK$6,'Assumptions'!$D$119,'Assumptions'!$D$120,'Assumptions'!$D$121))))</f>
        <v/>
      </c>
      <c r="AL155" s="51">
        <f>IF(AL154=0,0,IF(AL$4=MAX('Assumptions'!$D$118,'Assumptions'!$C$9),1,AK155*(1+CHOOSE(AL$6,'Assumptions'!$D$119,'Assumptions'!$D$120,'Assumptions'!$D$121))))</f>
        <v/>
      </c>
    </row>
    <row r="156">
      <c r="A156" s="7" t="inlineStr">
        <is>
          <t xml:space="preserve">   Product-months live (products x sales index x season)</t>
        </is>
      </c>
      <c r="B156" s="9" t="inlineStr">
        <is>
          <t>prod-mo</t>
        </is>
      </c>
      <c r="C156" s="56">
        <f>C152*C155*C$7</f>
        <v/>
      </c>
      <c r="D156" s="56">
        <f>D152*D155*D$7</f>
        <v/>
      </c>
      <c r="E156" s="56">
        <f>E152*E155*E$7</f>
        <v/>
      </c>
      <c r="F156" s="56">
        <f>F152*F155*F$7</f>
        <v/>
      </c>
      <c r="G156" s="56">
        <f>G152*G155*G$7</f>
        <v/>
      </c>
      <c r="H156" s="56">
        <f>H152*H155*H$7</f>
        <v/>
      </c>
      <c r="I156" s="56">
        <f>I152*I155*I$7</f>
        <v/>
      </c>
      <c r="J156" s="56">
        <f>J152*J155*J$7</f>
        <v/>
      </c>
      <c r="K156" s="56">
        <f>K152*K155*K$7</f>
        <v/>
      </c>
      <c r="L156" s="56">
        <f>L152*L155*L$7</f>
        <v/>
      </c>
      <c r="M156" s="56">
        <f>M152*M155*M$7</f>
        <v/>
      </c>
      <c r="N156" s="56">
        <f>N152*N155*N$7</f>
        <v/>
      </c>
      <c r="O156" s="56">
        <f>O152*O155*O$7</f>
        <v/>
      </c>
      <c r="P156" s="56">
        <f>P152*P155*P$7</f>
        <v/>
      </c>
      <c r="Q156" s="56">
        <f>Q152*Q155*Q$7</f>
        <v/>
      </c>
      <c r="R156" s="56">
        <f>R152*R155*R$7</f>
        <v/>
      </c>
      <c r="S156" s="56">
        <f>S152*S155*S$7</f>
        <v/>
      </c>
      <c r="T156" s="56">
        <f>T152*T155*T$7</f>
        <v/>
      </c>
      <c r="U156" s="56">
        <f>U152*U155*U$7</f>
        <v/>
      </c>
      <c r="V156" s="56">
        <f>V152*V155*V$7</f>
        <v/>
      </c>
      <c r="W156" s="56">
        <f>W152*W155*W$7</f>
        <v/>
      </c>
      <c r="X156" s="56">
        <f>X152*X155*X$7</f>
        <v/>
      </c>
      <c r="Y156" s="56">
        <f>Y152*Y155*Y$7</f>
        <v/>
      </c>
      <c r="Z156" s="56">
        <f>Z152*Z155*Z$7</f>
        <v/>
      </c>
      <c r="AA156" s="56">
        <f>AA152*AA155*AA$7</f>
        <v/>
      </c>
      <c r="AB156" s="56">
        <f>AB152*AB155*AB$7</f>
        <v/>
      </c>
      <c r="AC156" s="56">
        <f>AC152*AC155*AC$7</f>
        <v/>
      </c>
      <c r="AD156" s="56">
        <f>AD152*AD155*AD$7</f>
        <v/>
      </c>
      <c r="AE156" s="56">
        <f>AE152*AE155*AE$7</f>
        <v/>
      </c>
      <c r="AF156" s="56">
        <f>AF152*AF155*AF$7</f>
        <v/>
      </c>
      <c r="AG156" s="56">
        <f>AG152*AG155*AG$7</f>
        <v/>
      </c>
      <c r="AH156" s="56">
        <f>AH152*AH155*AH$7</f>
        <v/>
      </c>
      <c r="AI156" s="56">
        <f>AI152*AI155*AI$7</f>
        <v/>
      </c>
      <c r="AJ156" s="56">
        <f>AJ152*AJ155*AJ$7</f>
        <v/>
      </c>
      <c r="AK156" s="56">
        <f>AK152*AK155*AK$7</f>
        <v/>
      </c>
      <c r="AL156" s="56">
        <f>AL152*AL155*AL$7</f>
        <v/>
      </c>
      <c r="AM156" s="57">
        <f>SUMIF($C$6:$AL$6,1,C156:AL156)</f>
        <v/>
      </c>
      <c r="AN156" s="57">
        <f>SUMIF($C$6:$AL$6,2,C156:AL156)</f>
        <v/>
      </c>
      <c r="AO156" s="57">
        <f>SUMIF($C$6:$AL$6,3,C156:AL156)</f>
        <v/>
      </c>
      <c r="AP156" s="57">
        <f>SUM(C156:AL156)</f>
        <v/>
      </c>
    </row>
    <row r="157">
      <c r="A157" s="7" t="inlineStr">
        <is>
          <t xml:space="preserve">   Orders per product per month (with review ramp)</t>
        </is>
      </c>
      <c r="B157" s="9" t="inlineStr">
        <is>
          <t>orders</t>
        </is>
      </c>
      <c r="C157" s="51">
        <f>'Assumptions'!$D$122*MIN(1,(C$4-MAX('Assumptions'!$D$118,'Assumptions'!$C$9)+1)/'Assumptions'!$C$11)*C154</f>
        <v/>
      </c>
      <c r="D157" s="51">
        <f>'Assumptions'!$D$122*MIN(1,(D$4-MAX('Assumptions'!$D$118,'Assumptions'!$C$9)+1)/'Assumptions'!$C$11)*D154</f>
        <v/>
      </c>
      <c r="E157" s="51">
        <f>'Assumptions'!$D$122*MIN(1,(E$4-MAX('Assumptions'!$D$118,'Assumptions'!$C$9)+1)/'Assumptions'!$C$11)*E154</f>
        <v/>
      </c>
      <c r="F157" s="51">
        <f>'Assumptions'!$D$122*MIN(1,(F$4-MAX('Assumptions'!$D$118,'Assumptions'!$C$9)+1)/'Assumptions'!$C$11)*F154</f>
        <v/>
      </c>
      <c r="G157" s="51">
        <f>'Assumptions'!$D$122*MIN(1,(G$4-MAX('Assumptions'!$D$118,'Assumptions'!$C$9)+1)/'Assumptions'!$C$11)*G154</f>
        <v/>
      </c>
      <c r="H157" s="51">
        <f>'Assumptions'!$D$122*MIN(1,(H$4-MAX('Assumptions'!$D$118,'Assumptions'!$C$9)+1)/'Assumptions'!$C$11)*H154</f>
        <v/>
      </c>
      <c r="I157" s="51">
        <f>'Assumptions'!$D$122*MIN(1,(I$4-MAX('Assumptions'!$D$118,'Assumptions'!$C$9)+1)/'Assumptions'!$C$11)*I154</f>
        <v/>
      </c>
      <c r="J157" s="51">
        <f>'Assumptions'!$D$122*MIN(1,(J$4-MAX('Assumptions'!$D$118,'Assumptions'!$C$9)+1)/'Assumptions'!$C$11)*J154</f>
        <v/>
      </c>
      <c r="K157" s="51">
        <f>'Assumptions'!$D$122*MIN(1,(K$4-MAX('Assumptions'!$D$118,'Assumptions'!$C$9)+1)/'Assumptions'!$C$11)*K154</f>
        <v/>
      </c>
      <c r="L157" s="51">
        <f>'Assumptions'!$D$122*MIN(1,(L$4-MAX('Assumptions'!$D$118,'Assumptions'!$C$9)+1)/'Assumptions'!$C$11)*L154</f>
        <v/>
      </c>
      <c r="M157" s="51">
        <f>'Assumptions'!$D$122*MIN(1,(M$4-MAX('Assumptions'!$D$118,'Assumptions'!$C$9)+1)/'Assumptions'!$C$11)*M154</f>
        <v/>
      </c>
      <c r="N157" s="51">
        <f>'Assumptions'!$D$122*MIN(1,(N$4-MAX('Assumptions'!$D$118,'Assumptions'!$C$9)+1)/'Assumptions'!$C$11)*N154</f>
        <v/>
      </c>
      <c r="O157" s="51">
        <f>'Assumptions'!$D$122*MIN(1,(O$4-MAX('Assumptions'!$D$118,'Assumptions'!$C$9)+1)/'Assumptions'!$C$11)*O154</f>
        <v/>
      </c>
      <c r="P157" s="51">
        <f>'Assumptions'!$D$122*MIN(1,(P$4-MAX('Assumptions'!$D$118,'Assumptions'!$C$9)+1)/'Assumptions'!$C$11)*P154</f>
        <v/>
      </c>
      <c r="Q157" s="51">
        <f>'Assumptions'!$D$122*MIN(1,(Q$4-MAX('Assumptions'!$D$118,'Assumptions'!$C$9)+1)/'Assumptions'!$C$11)*Q154</f>
        <v/>
      </c>
      <c r="R157" s="51">
        <f>'Assumptions'!$D$122*MIN(1,(R$4-MAX('Assumptions'!$D$118,'Assumptions'!$C$9)+1)/'Assumptions'!$C$11)*R154</f>
        <v/>
      </c>
      <c r="S157" s="51">
        <f>'Assumptions'!$D$122*MIN(1,(S$4-MAX('Assumptions'!$D$118,'Assumptions'!$C$9)+1)/'Assumptions'!$C$11)*S154</f>
        <v/>
      </c>
      <c r="T157" s="51">
        <f>'Assumptions'!$D$122*MIN(1,(T$4-MAX('Assumptions'!$D$118,'Assumptions'!$C$9)+1)/'Assumptions'!$C$11)*T154</f>
        <v/>
      </c>
      <c r="U157" s="51">
        <f>'Assumptions'!$D$122*MIN(1,(U$4-MAX('Assumptions'!$D$118,'Assumptions'!$C$9)+1)/'Assumptions'!$C$11)*U154</f>
        <v/>
      </c>
      <c r="V157" s="51">
        <f>'Assumptions'!$D$122*MIN(1,(V$4-MAX('Assumptions'!$D$118,'Assumptions'!$C$9)+1)/'Assumptions'!$C$11)*V154</f>
        <v/>
      </c>
      <c r="W157" s="51">
        <f>'Assumptions'!$D$122*MIN(1,(W$4-MAX('Assumptions'!$D$118,'Assumptions'!$C$9)+1)/'Assumptions'!$C$11)*W154</f>
        <v/>
      </c>
      <c r="X157" s="51">
        <f>'Assumptions'!$D$122*MIN(1,(X$4-MAX('Assumptions'!$D$118,'Assumptions'!$C$9)+1)/'Assumptions'!$C$11)*X154</f>
        <v/>
      </c>
      <c r="Y157" s="51">
        <f>'Assumptions'!$D$122*MIN(1,(Y$4-MAX('Assumptions'!$D$118,'Assumptions'!$C$9)+1)/'Assumptions'!$C$11)*Y154</f>
        <v/>
      </c>
      <c r="Z157" s="51">
        <f>'Assumptions'!$D$122*MIN(1,(Z$4-MAX('Assumptions'!$D$118,'Assumptions'!$C$9)+1)/'Assumptions'!$C$11)*Z154</f>
        <v/>
      </c>
      <c r="AA157" s="51">
        <f>'Assumptions'!$D$122*MIN(1,(AA$4-MAX('Assumptions'!$D$118,'Assumptions'!$C$9)+1)/'Assumptions'!$C$11)*AA154</f>
        <v/>
      </c>
      <c r="AB157" s="51">
        <f>'Assumptions'!$D$122*MIN(1,(AB$4-MAX('Assumptions'!$D$118,'Assumptions'!$C$9)+1)/'Assumptions'!$C$11)*AB154</f>
        <v/>
      </c>
      <c r="AC157" s="51">
        <f>'Assumptions'!$D$122*MIN(1,(AC$4-MAX('Assumptions'!$D$118,'Assumptions'!$C$9)+1)/'Assumptions'!$C$11)*AC154</f>
        <v/>
      </c>
      <c r="AD157" s="51">
        <f>'Assumptions'!$D$122*MIN(1,(AD$4-MAX('Assumptions'!$D$118,'Assumptions'!$C$9)+1)/'Assumptions'!$C$11)*AD154</f>
        <v/>
      </c>
      <c r="AE157" s="51">
        <f>'Assumptions'!$D$122*MIN(1,(AE$4-MAX('Assumptions'!$D$118,'Assumptions'!$C$9)+1)/'Assumptions'!$C$11)*AE154</f>
        <v/>
      </c>
      <c r="AF157" s="51">
        <f>'Assumptions'!$D$122*MIN(1,(AF$4-MAX('Assumptions'!$D$118,'Assumptions'!$C$9)+1)/'Assumptions'!$C$11)*AF154</f>
        <v/>
      </c>
      <c r="AG157" s="51">
        <f>'Assumptions'!$D$122*MIN(1,(AG$4-MAX('Assumptions'!$D$118,'Assumptions'!$C$9)+1)/'Assumptions'!$C$11)*AG154</f>
        <v/>
      </c>
      <c r="AH157" s="51">
        <f>'Assumptions'!$D$122*MIN(1,(AH$4-MAX('Assumptions'!$D$118,'Assumptions'!$C$9)+1)/'Assumptions'!$C$11)*AH154</f>
        <v/>
      </c>
      <c r="AI157" s="51">
        <f>'Assumptions'!$D$122*MIN(1,(AI$4-MAX('Assumptions'!$D$118,'Assumptions'!$C$9)+1)/'Assumptions'!$C$11)*AI154</f>
        <v/>
      </c>
      <c r="AJ157" s="51">
        <f>'Assumptions'!$D$122*MIN(1,(AJ$4-MAX('Assumptions'!$D$118,'Assumptions'!$C$9)+1)/'Assumptions'!$C$11)*AJ154</f>
        <v/>
      </c>
      <c r="AK157" s="51">
        <f>'Assumptions'!$D$122*MIN(1,(AK$4-MAX('Assumptions'!$D$118,'Assumptions'!$C$9)+1)/'Assumptions'!$C$11)*AK154</f>
        <v/>
      </c>
      <c r="AL157" s="51">
        <f>'Assumptions'!$D$122*MIN(1,(AL$4-MAX('Assumptions'!$D$118,'Assumptions'!$C$9)+1)/'Assumptions'!$C$11)*AL154</f>
        <v/>
      </c>
    </row>
    <row r="158">
      <c r="A158" s="7" t="inlineStr">
        <is>
          <t xml:space="preserve">   Orders</t>
        </is>
      </c>
      <c r="B158" s="9" t="inlineStr">
        <is>
          <t>orders</t>
        </is>
      </c>
      <c r="C158" s="56">
        <f>C156*C157</f>
        <v/>
      </c>
      <c r="D158" s="56">
        <f>D156*D157</f>
        <v/>
      </c>
      <c r="E158" s="56">
        <f>E156*E157</f>
        <v/>
      </c>
      <c r="F158" s="56">
        <f>F156*F157</f>
        <v/>
      </c>
      <c r="G158" s="56">
        <f>G156*G157</f>
        <v/>
      </c>
      <c r="H158" s="56">
        <f>H156*H157</f>
        <v/>
      </c>
      <c r="I158" s="56">
        <f>I156*I157</f>
        <v/>
      </c>
      <c r="J158" s="56">
        <f>J156*J157</f>
        <v/>
      </c>
      <c r="K158" s="56">
        <f>K156*K157</f>
        <v/>
      </c>
      <c r="L158" s="56">
        <f>L156*L157</f>
        <v/>
      </c>
      <c r="M158" s="56">
        <f>M156*M157</f>
        <v/>
      </c>
      <c r="N158" s="56">
        <f>N156*N157</f>
        <v/>
      </c>
      <c r="O158" s="56">
        <f>O156*O157</f>
        <v/>
      </c>
      <c r="P158" s="56">
        <f>P156*P157</f>
        <v/>
      </c>
      <c r="Q158" s="56">
        <f>Q156*Q157</f>
        <v/>
      </c>
      <c r="R158" s="56">
        <f>R156*R157</f>
        <v/>
      </c>
      <c r="S158" s="56">
        <f>S156*S157</f>
        <v/>
      </c>
      <c r="T158" s="56">
        <f>T156*T157</f>
        <v/>
      </c>
      <c r="U158" s="56">
        <f>U156*U157</f>
        <v/>
      </c>
      <c r="V158" s="56">
        <f>V156*V157</f>
        <v/>
      </c>
      <c r="W158" s="56">
        <f>W156*W157</f>
        <v/>
      </c>
      <c r="X158" s="56">
        <f>X156*X157</f>
        <v/>
      </c>
      <c r="Y158" s="56">
        <f>Y156*Y157</f>
        <v/>
      </c>
      <c r="Z158" s="56">
        <f>Z156*Z157</f>
        <v/>
      </c>
      <c r="AA158" s="56">
        <f>AA156*AA157</f>
        <v/>
      </c>
      <c r="AB158" s="56">
        <f>AB156*AB157</f>
        <v/>
      </c>
      <c r="AC158" s="56">
        <f>AC156*AC157</f>
        <v/>
      </c>
      <c r="AD158" s="56">
        <f>AD156*AD157</f>
        <v/>
      </c>
      <c r="AE158" s="56">
        <f>AE156*AE157</f>
        <v/>
      </c>
      <c r="AF158" s="56">
        <f>AF156*AF157</f>
        <v/>
      </c>
      <c r="AG158" s="56">
        <f>AG156*AG157</f>
        <v/>
      </c>
      <c r="AH158" s="56">
        <f>AH156*AH157</f>
        <v/>
      </c>
      <c r="AI158" s="56">
        <f>AI156*AI157</f>
        <v/>
      </c>
      <c r="AJ158" s="56">
        <f>AJ156*AJ157</f>
        <v/>
      </c>
      <c r="AK158" s="56">
        <f>AK156*AK157</f>
        <v/>
      </c>
      <c r="AL158" s="56">
        <f>AL156*AL157</f>
        <v/>
      </c>
      <c r="AM158" s="57">
        <f>SUMIF($C$6:$AL$6,1,C158:AL158)</f>
        <v/>
      </c>
      <c r="AN158" s="57">
        <f>SUMIF($C$6:$AL$6,2,C158:AL158)</f>
        <v/>
      </c>
      <c r="AO158" s="57">
        <f>SUMIF($C$6:$AL$6,3,C158:AL158)</f>
        <v/>
      </c>
      <c r="AP158" s="57">
        <f>SUM(C158:AL158)</f>
        <v/>
      </c>
    </row>
    <row r="159">
      <c r="A159" s="7" t="inlineStr">
        <is>
          <t xml:space="preserve">   Items sold</t>
        </is>
      </c>
      <c r="B159" s="9" t="inlineStr">
        <is>
          <t>items</t>
        </is>
      </c>
      <c r="C159" s="14">
        <f>C158*'Assumptions'!$D$123</f>
        <v/>
      </c>
      <c r="D159" s="14">
        <f>D158*'Assumptions'!$D$123</f>
        <v/>
      </c>
      <c r="E159" s="14">
        <f>E158*'Assumptions'!$D$123</f>
        <v/>
      </c>
      <c r="F159" s="14">
        <f>F158*'Assumptions'!$D$123</f>
        <v/>
      </c>
      <c r="G159" s="14">
        <f>G158*'Assumptions'!$D$123</f>
        <v/>
      </c>
      <c r="H159" s="14">
        <f>H158*'Assumptions'!$D$123</f>
        <v/>
      </c>
      <c r="I159" s="14">
        <f>I158*'Assumptions'!$D$123</f>
        <v/>
      </c>
      <c r="J159" s="14">
        <f>J158*'Assumptions'!$D$123</f>
        <v/>
      </c>
      <c r="K159" s="14">
        <f>K158*'Assumptions'!$D$123</f>
        <v/>
      </c>
      <c r="L159" s="14">
        <f>L158*'Assumptions'!$D$123</f>
        <v/>
      </c>
      <c r="M159" s="14">
        <f>M158*'Assumptions'!$D$123</f>
        <v/>
      </c>
      <c r="N159" s="14">
        <f>N158*'Assumptions'!$D$123</f>
        <v/>
      </c>
      <c r="O159" s="14">
        <f>O158*'Assumptions'!$D$123</f>
        <v/>
      </c>
      <c r="P159" s="14">
        <f>P158*'Assumptions'!$D$123</f>
        <v/>
      </c>
      <c r="Q159" s="14">
        <f>Q158*'Assumptions'!$D$123</f>
        <v/>
      </c>
      <c r="R159" s="14">
        <f>R158*'Assumptions'!$D$123</f>
        <v/>
      </c>
      <c r="S159" s="14">
        <f>S158*'Assumptions'!$D$123</f>
        <v/>
      </c>
      <c r="T159" s="14">
        <f>T158*'Assumptions'!$D$123</f>
        <v/>
      </c>
      <c r="U159" s="14">
        <f>U158*'Assumptions'!$D$123</f>
        <v/>
      </c>
      <c r="V159" s="14">
        <f>V158*'Assumptions'!$D$123</f>
        <v/>
      </c>
      <c r="W159" s="14">
        <f>W158*'Assumptions'!$D$123</f>
        <v/>
      </c>
      <c r="X159" s="14">
        <f>X158*'Assumptions'!$D$123</f>
        <v/>
      </c>
      <c r="Y159" s="14">
        <f>Y158*'Assumptions'!$D$123</f>
        <v/>
      </c>
      <c r="Z159" s="14">
        <f>Z158*'Assumptions'!$D$123</f>
        <v/>
      </c>
      <c r="AA159" s="14">
        <f>AA158*'Assumptions'!$D$123</f>
        <v/>
      </c>
      <c r="AB159" s="14">
        <f>AB158*'Assumptions'!$D$123</f>
        <v/>
      </c>
      <c r="AC159" s="14">
        <f>AC158*'Assumptions'!$D$123</f>
        <v/>
      </c>
      <c r="AD159" s="14">
        <f>AD158*'Assumptions'!$D$123</f>
        <v/>
      </c>
      <c r="AE159" s="14">
        <f>AE158*'Assumptions'!$D$123</f>
        <v/>
      </c>
      <c r="AF159" s="14">
        <f>AF158*'Assumptions'!$D$123</f>
        <v/>
      </c>
      <c r="AG159" s="14">
        <f>AG158*'Assumptions'!$D$123</f>
        <v/>
      </c>
      <c r="AH159" s="14">
        <f>AH158*'Assumptions'!$D$123</f>
        <v/>
      </c>
      <c r="AI159" s="14">
        <f>AI158*'Assumptions'!$D$123</f>
        <v/>
      </c>
      <c r="AJ159" s="14">
        <f>AJ158*'Assumptions'!$D$123</f>
        <v/>
      </c>
      <c r="AK159" s="14">
        <f>AK158*'Assumptions'!$D$123</f>
        <v/>
      </c>
      <c r="AL159" s="14">
        <f>AL158*'Assumptions'!$D$123</f>
        <v/>
      </c>
      <c r="AM159" s="57">
        <f>SUMIF($C$6:$AL$6,1,C159:AL159)</f>
        <v/>
      </c>
      <c r="AN159" s="57">
        <f>SUMIF($C$6:$AL$6,2,C159:AL159)</f>
        <v/>
      </c>
      <c r="AO159" s="57">
        <f>SUMIF($C$6:$AL$6,3,C159:AL159)</f>
        <v/>
      </c>
      <c r="AP159" s="57">
        <f>SUM(C159:AL159)</f>
        <v/>
      </c>
    </row>
    <row r="160">
      <c r="A160" s="7" t="inlineStr">
        <is>
          <t xml:space="preserve">   Average order value</t>
        </is>
      </c>
      <c r="B160" s="9" t="inlineStr">
        <is>
          <t>$</t>
        </is>
      </c>
      <c r="C160" s="16">
        <f>'Unit Economics'!$E$49*'Assumptions'!$D$123*C154</f>
        <v/>
      </c>
      <c r="D160" s="16">
        <f>'Unit Economics'!$E$49*'Assumptions'!$D$123*D154</f>
        <v/>
      </c>
      <c r="E160" s="16">
        <f>'Unit Economics'!$E$49*'Assumptions'!$D$123*E154</f>
        <v/>
      </c>
      <c r="F160" s="16">
        <f>'Unit Economics'!$E$49*'Assumptions'!$D$123*F154</f>
        <v/>
      </c>
      <c r="G160" s="16">
        <f>'Unit Economics'!$E$49*'Assumptions'!$D$123*G154</f>
        <v/>
      </c>
      <c r="H160" s="16">
        <f>'Unit Economics'!$E$49*'Assumptions'!$D$123*H154</f>
        <v/>
      </c>
      <c r="I160" s="16">
        <f>'Unit Economics'!$E$49*'Assumptions'!$D$123*I154</f>
        <v/>
      </c>
      <c r="J160" s="16">
        <f>'Unit Economics'!$E$49*'Assumptions'!$D$123*J154</f>
        <v/>
      </c>
      <c r="K160" s="16">
        <f>'Unit Economics'!$E$49*'Assumptions'!$D$123*K154</f>
        <v/>
      </c>
      <c r="L160" s="16">
        <f>'Unit Economics'!$E$49*'Assumptions'!$D$123*L154</f>
        <v/>
      </c>
      <c r="M160" s="16">
        <f>'Unit Economics'!$E$49*'Assumptions'!$D$123*M154</f>
        <v/>
      </c>
      <c r="N160" s="16">
        <f>'Unit Economics'!$E$49*'Assumptions'!$D$123*N154</f>
        <v/>
      </c>
      <c r="O160" s="16">
        <f>'Unit Economics'!$E$49*'Assumptions'!$D$123*O154</f>
        <v/>
      </c>
      <c r="P160" s="16">
        <f>'Unit Economics'!$E$49*'Assumptions'!$D$123*P154</f>
        <v/>
      </c>
      <c r="Q160" s="16">
        <f>'Unit Economics'!$E$49*'Assumptions'!$D$123*Q154</f>
        <v/>
      </c>
      <c r="R160" s="16">
        <f>'Unit Economics'!$E$49*'Assumptions'!$D$123*R154</f>
        <v/>
      </c>
      <c r="S160" s="16">
        <f>'Unit Economics'!$E$49*'Assumptions'!$D$123*S154</f>
        <v/>
      </c>
      <c r="T160" s="16">
        <f>'Unit Economics'!$E$49*'Assumptions'!$D$123*T154</f>
        <v/>
      </c>
      <c r="U160" s="16">
        <f>'Unit Economics'!$E$49*'Assumptions'!$D$123*U154</f>
        <v/>
      </c>
      <c r="V160" s="16">
        <f>'Unit Economics'!$E$49*'Assumptions'!$D$123*V154</f>
        <v/>
      </c>
      <c r="W160" s="16">
        <f>'Unit Economics'!$E$49*'Assumptions'!$D$123*W154</f>
        <v/>
      </c>
      <c r="X160" s="16">
        <f>'Unit Economics'!$E$49*'Assumptions'!$D$123*X154</f>
        <v/>
      </c>
      <c r="Y160" s="16">
        <f>'Unit Economics'!$E$49*'Assumptions'!$D$123*Y154</f>
        <v/>
      </c>
      <c r="Z160" s="16">
        <f>'Unit Economics'!$E$49*'Assumptions'!$D$123*Z154</f>
        <v/>
      </c>
      <c r="AA160" s="16">
        <f>'Unit Economics'!$E$49*'Assumptions'!$D$123*AA154</f>
        <v/>
      </c>
      <c r="AB160" s="16">
        <f>'Unit Economics'!$E$49*'Assumptions'!$D$123*AB154</f>
        <v/>
      </c>
      <c r="AC160" s="16">
        <f>'Unit Economics'!$E$49*'Assumptions'!$D$123*AC154</f>
        <v/>
      </c>
      <c r="AD160" s="16">
        <f>'Unit Economics'!$E$49*'Assumptions'!$D$123*AD154</f>
        <v/>
      </c>
      <c r="AE160" s="16">
        <f>'Unit Economics'!$E$49*'Assumptions'!$D$123*AE154</f>
        <v/>
      </c>
      <c r="AF160" s="16">
        <f>'Unit Economics'!$E$49*'Assumptions'!$D$123*AF154</f>
        <v/>
      </c>
      <c r="AG160" s="16">
        <f>'Unit Economics'!$E$49*'Assumptions'!$D$123*AG154</f>
        <v/>
      </c>
      <c r="AH160" s="16">
        <f>'Unit Economics'!$E$49*'Assumptions'!$D$123*AH154</f>
        <v/>
      </c>
      <c r="AI160" s="16">
        <f>'Unit Economics'!$E$49*'Assumptions'!$D$123*AI154</f>
        <v/>
      </c>
      <c r="AJ160" s="16">
        <f>'Unit Economics'!$E$49*'Assumptions'!$D$123*AJ154</f>
        <v/>
      </c>
      <c r="AK160" s="16">
        <f>'Unit Economics'!$E$49*'Assumptions'!$D$123*AK154</f>
        <v/>
      </c>
      <c r="AL160" s="16">
        <f>'Unit Economics'!$E$49*'Assumptions'!$D$123*AL154</f>
        <v/>
      </c>
    </row>
    <row r="161">
      <c r="A161" s="7" t="inlineStr">
        <is>
          <t xml:space="preserve">   Gross sales (price paid by customers)</t>
        </is>
      </c>
      <c r="B161" s="9" t="inlineStr">
        <is>
          <t>$</t>
        </is>
      </c>
      <c r="C161" s="8">
        <f>C159*'Unit Economics'!$E$49</f>
        <v/>
      </c>
      <c r="D161" s="8">
        <f>D159*'Unit Economics'!$E$49</f>
        <v/>
      </c>
      <c r="E161" s="8">
        <f>E159*'Unit Economics'!$E$49</f>
        <v/>
      </c>
      <c r="F161" s="8">
        <f>F159*'Unit Economics'!$E$49</f>
        <v/>
      </c>
      <c r="G161" s="8">
        <f>G159*'Unit Economics'!$E$49</f>
        <v/>
      </c>
      <c r="H161" s="8">
        <f>H159*'Unit Economics'!$E$49</f>
        <v/>
      </c>
      <c r="I161" s="8">
        <f>I159*'Unit Economics'!$E$49</f>
        <v/>
      </c>
      <c r="J161" s="8">
        <f>J159*'Unit Economics'!$E$49</f>
        <v/>
      </c>
      <c r="K161" s="8">
        <f>K159*'Unit Economics'!$E$49</f>
        <v/>
      </c>
      <c r="L161" s="8">
        <f>L159*'Unit Economics'!$E$49</f>
        <v/>
      </c>
      <c r="M161" s="8">
        <f>M159*'Unit Economics'!$E$49</f>
        <v/>
      </c>
      <c r="N161" s="8">
        <f>N159*'Unit Economics'!$E$49</f>
        <v/>
      </c>
      <c r="O161" s="8">
        <f>O159*'Unit Economics'!$E$49</f>
        <v/>
      </c>
      <c r="P161" s="8">
        <f>P159*'Unit Economics'!$E$49</f>
        <v/>
      </c>
      <c r="Q161" s="8">
        <f>Q159*'Unit Economics'!$E$49</f>
        <v/>
      </c>
      <c r="R161" s="8">
        <f>R159*'Unit Economics'!$E$49</f>
        <v/>
      </c>
      <c r="S161" s="8">
        <f>S159*'Unit Economics'!$E$49</f>
        <v/>
      </c>
      <c r="T161" s="8">
        <f>T159*'Unit Economics'!$E$49</f>
        <v/>
      </c>
      <c r="U161" s="8">
        <f>U159*'Unit Economics'!$E$49</f>
        <v/>
      </c>
      <c r="V161" s="8">
        <f>V159*'Unit Economics'!$E$49</f>
        <v/>
      </c>
      <c r="W161" s="8">
        <f>W159*'Unit Economics'!$E$49</f>
        <v/>
      </c>
      <c r="X161" s="8">
        <f>X159*'Unit Economics'!$E$49</f>
        <v/>
      </c>
      <c r="Y161" s="8">
        <f>Y159*'Unit Economics'!$E$49</f>
        <v/>
      </c>
      <c r="Z161" s="8">
        <f>Z159*'Unit Economics'!$E$49</f>
        <v/>
      </c>
      <c r="AA161" s="8">
        <f>AA159*'Unit Economics'!$E$49</f>
        <v/>
      </c>
      <c r="AB161" s="8">
        <f>AB159*'Unit Economics'!$E$49</f>
        <v/>
      </c>
      <c r="AC161" s="8">
        <f>AC159*'Unit Economics'!$E$49</f>
        <v/>
      </c>
      <c r="AD161" s="8">
        <f>AD159*'Unit Economics'!$E$49</f>
        <v/>
      </c>
      <c r="AE161" s="8">
        <f>AE159*'Unit Economics'!$E$49</f>
        <v/>
      </c>
      <c r="AF161" s="8">
        <f>AF159*'Unit Economics'!$E$49</f>
        <v/>
      </c>
      <c r="AG161" s="8">
        <f>AG159*'Unit Economics'!$E$49</f>
        <v/>
      </c>
      <c r="AH161" s="8">
        <f>AH159*'Unit Economics'!$E$49</f>
        <v/>
      </c>
      <c r="AI161" s="8">
        <f>AI159*'Unit Economics'!$E$49</f>
        <v/>
      </c>
      <c r="AJ161" s="8">
        <f>AJ159*'Unit Economics'!$E$49</f>
        <v/>
      </c>
      <c r="AK161" s="8">
        <f>AK159*'Unit Economics'!$E$49</f>
        <v/>
      </c>
      <c r="AL161" s="8">
        <f>AL159*'Unit Economics'!$E$49</f>
        <v/>
      </c>
      <c r="AM161" s="47">
        <f>SUMIF($C$6:$AL$6,1,C161:AL161)</f>
        <v/>
      </c>
      <c r="AN161" s="47">
        <f>SUMIF($C$6:$AL$6,2,C161:AL161)</f>
        <v/>
      </c>
      <c r="AO161" s="47">
        <f>SUMIF($C$6:$AL$6,3,C161:AL161)</f>
        <v/>
      </c>
      <c r="AP161" s="47">
        <f>SUM(C161:AL161)</f>
        <v/>
      </c>
    </row>
    <row r="162">
      <c r="A162" s="7" t="inlineStr">
        <is>
          <t xml:space="preserve">   Net contribution to AlphaPlay</t>
        </is>
      </c>
      <c r="B162" s="9" t="inlineStr">
        <is>
          <t>$</t>
        </is>
      </c>
      <c r="C162" s="8">
        <f>C159*'Unit Economics'!$F$49</f>
        <v/>
      </c>
      <c r="D162" s="8">
        <f>D159*'Unit Economics'!$F$49</f>
        <v/>
      </c>
      <c r="E162" s="8">
        <f>E159*'Unit Economics'!$F$49</f>
        <v/>
      </c>
      <c r="F162" s="8">
        <f>F159*'Unit Economics'!$F$49</f>
        <v/>
      </c>
      <c r="G162" s="8">
        <f>G159*'Unit Economics'!$F$49</f>
        <v/>
      </c>
      <c r="H162" s="8">
        <f>H159*'Unit Economics'!$F$49</f>
        <v/>
      </c>
      <c r="I162" s="8">
        <f>I159*'Unit Economics'!$F$49</f>
        <v/>
      </c>
      <c r="J162" s="8">
        <f>J159*'Unit Economics'!$F$49</f>
        <v/>
      </c>
      <c r="K162" s="8">
        <f>K159*'Unit Economics'!$F$49</f>
        <v/>
      </c>
      <c r="L162" s="8">
        <f>L159*'Unit Economics'!$F$49</f>
        <v/>
      </c>
      <c r="M162" s="8">
        <f>M159*'Unit Economics'!$F$49</f>
        <v/>
      </c>
      <c r="N162" s="8">
        <f>N159*'Unit Economics'!$F$49</f>
        <v/>
      </c>
      <c r="O162" s="8">
        <f>O159*'Unit Economics'!$F$49</f>
        <v/>
      </c>
      <c r="P162" s="8">
        <f>P159*'Unit Economics'!$F$49</f>
        <v/>
      </c>
      <c r="Q162" s="8">
        <f>Q159*'Unit Economics'!$F$49</f>
        <v/>
      </c>
      <c r="R162" s="8">
        <f>R159*'Unit Economics'!$F$49</f>
        <v/>
      </c>
      <c r="S162" s="8">
        <f>S159*'Unit Economics'!$F$49</f>
        <v/>
      </c>
      <c r="T162" s="8">
        <f>T159*'Unit Economics'!$F$49</f>
        <v/>
      </c>
      <c r="U162" s="8">
        <f>U159*'Unit Economics'!$F$49</f>
        <v/>
      </c>
      <c r="V162" s="8">
        <f>V159*'Unit Economics'!$F$49</f>
        <v/>
      </c>
      <c r="W162" s="8">
        <f>W159*'Unit Economics'!$F$49</f>
        <v/>
      </c>
      <c r="X162" s="8">
        <f>X159*'Unit Economics'!$F$49</f>
        <v/>
      </c>
      <c r="Y162" s="8">
        <f>Y159*'Unit Economics'!$F$49</f>
        <v/>
      </c>
      <c r="Z162" s="8">
        <f>Z159*'Unit Economics'!$F$49</f>
        <v/>
      </c>
      <c r="AA162" s="8">
        <f>AA159*'Unit Economics'!$F$49</f>
        <v/>
      </c>
      <c r="AB162" s="8">
        <f>AB159*'Unit Economics'!$F$49</f>
        <v/>
      </c>
      <c r="AC162" s="8">
        <f>AC159*'Unit Economics'!$F$49</f>
        <v/>
      </c>
      <c r="AD162" s="8">
        <f>AD159*'Unit Economics'!$F$49</f>
        <v/>
      </c>
      <c r="AE162" s="8">
        <f>AE159*'Unit Economics'!$F$49</f>
        <v/>
      </c>
      <c r="AF162" s="8">
        <f>AF159*'Unit Economics'!$F$49</f>
        <v/>
      </c>
      <c r="AG162" s="8">
        <f>AG159*'Unit Economics'!$F$49</f>
        <v/>
      </c>
      <c r="AH162" s="8">
        <f>AH159*'Unit Economics'!$F$49</f>
        <v/>
      </c>
      <c r="AI162" s="8">
        <f>AI159*'Unit Economics'!$F$49</f>
        <v/>
      </c>
      <c r="AJ162" s="8">
        <f>AJ159*'Unit Economics'!$F$49</f>
        <v/>
      </c>
      <c r="AK162" s="8">
        <f>AK159*'Unit Economics'!$F$49</f>
        <v/>
      </c>
      <c r="AL162" s="8">
        <f>AL159*'Unit Economics'!$F$49</f>
        <v/>
      </c>
      <c r="AM162" s="47">
        <f>SUMIF($C$6:$AL$6,1,C162:AL162)</f>
        <v/>
      </c>
      <c r="AN162" s="47">
        <f>SUMIF($C$6:$AL$6,2,C162:AL162)</f>
        <v/>
      </c>
      <c r="AO162" s="47">
        <f>SUMIF($C$6:$AL$6,3,C162:AL162)</f>
        <v/>
      </c>
      <c r="AP162" s="47">
        <f>SUM(C162:AL162)</f>
        <v/>
      </c>
    </row>
    <row r="163">
      <c r="A163" s="5" t="inlineStr">
        <is>
          <t>Etsy: printables</t>
        </is>
      </c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  <c r="AC163" s="6" t="n"/>
      <c r="AD163" s="6" t="n"/>
      <c r="AE163" s="6" t="n"/>
      <c r="AF163" s="6" t="n"/>
      <c r="AG163" s="6" t="n"/>
      <c r="AH163" s="6" t="n"/>
      <c r="AI163" s="6" t="n"/>
      <c r="AJ163" s="6" t="n"/>
      <c r="AK163" s="6" t="n"/>
      <c r="AL163" s="6" t="n"/>
      <c r="AM163" s="6" t="n"/>
      <c r="AN163" s="6" t="n"/>
      <c r="AO163" s="6" t="n"/>
      <c r="AP163" s="6" t="n"/>
    </row>
    <row r="164">
      <c r="A164" s="7" t="inlineStr">
        <is>
          <t xml:space="preserve">   Active (1 = live)</t>
        </is>
      </c>
      <c r="B164" s="9" t="inlineStr">
        <is>
          <t>flag</t>
        </is>
      </c>
      <c r="C164" s="18">
        <f>IF(AND('Assumptions'!$D$126=1,C$4&gt;=MAX('Assumptions'!$D$127,'Assumptions'!$C$9)),1,0)</f>
        <v/>
      </c>
      <c r="D164" s="18">
        <f>IF(AND('Assumptions'!$D$126=1,D$4&gt;=MAX('Assumptions'!$D$127,'Assumptions'!$C$9)),1,0)</f>
        <v/>
      </c>
      <c r="E164" s="18">
        <f>IF(AND('Assumptions'!$D$126=1,E$4&gt;=MAX('Assumptions'!$D$127,'Assumptions'!$C$9)),1,0)</f>
        <v/>
      </c>
      <c r="F164" s="18">
        <f>IF(AND('Assumptions'!$D$126=1,F$4&gt;=MAX('Assumptions'!$D$127,'Assumptions'!$C$9)),1,0)</f>
        <v/>
      </c>
      <c r="G164" s="18">
        <f>IF(AND('Assumptions'!$D$126=1,G$4&gt;=MAX('Assumptions'!$D$127,'Assumptions'!$C$9)),1,0)</f>
        <v/>
      </c>
      <c r="H164" s="18">
        <f>IF(AND('Assumptions'!$D$126=1,H$4&gt;=MAX('Assumptions'!$D$127,'Assumptions'!$C$9)),1,0)</f>
        <v/>
      </c>
      <c r="I164" s="18">
        <f>IF(AND('Assumptions'!$D$126=1,I$4&gt;=MAX('Assumptions'!$D$127,'Assumptions'!$C$9)),1,0)</f>
        <v/>
      </c>
      <c r="J164" s="18">
        <f>IF(AND('Assumptions'!$D$126=1,J$4&gt;=MAX('Assumptions'!$D$127,'Assumptions'!$C$9)),1,0)</f>
        <v/>
      </c>
      <c r="K164" s="18">
        <f>IF(AND('Assumptions'!$D$126=1,K$4&gt;=MAX('Assumptions'!$D$127,'Assumptions'!$C$9)),1,0)</f>
        <v/>
      </c>
      <c r="L164" s="18">
        <f>IF(AND('Assumptions'!$D$126=1,L$4&gt;=MAX('Assumptions'!$D$127,'Assumptions'!$C$9)),1,0)</f>
        <v/>
      </c>
      <c r="M164" s="18">
        <f>IF(AND('Assumptions'!$D$126=1,M$4&gt;=MAX('Assumptions'!$D$127,'Assumptions'!$C$9)),1,0)</f>
        <v/>
      </c>
      <c r="N164" s="18">
        <f>IF(AND('Assumptions'!$D$126=1,N$4&gt;=MAX('Assumptions'!$D$127,'Assumptions'!$C$9)),1,0)</f>
        <v/>
      </c>
      <c r="O164" s="18">
        <f>IF(AND('Assumptions'!$D$126=1,O$4&gt;=MAX('Assumptions'!$D$127,'Assumptions'!$C$9)),1,0)</f>
        <v/>
      </c>
      <c r="P164" s="18">
        <f>IF(AND('Assumptions'!$D$126=1,P$4&gt;=MAX('Assumptions'!$D$127,'Assumptions'!$C$9)),1,0)</f>
        <v/>
      </c>
      <c r="Q164" s="18">
        <f>IF(AND('Assumptions'!$D$126=1,Q$4&gt;=MAX('Assumptions'!$D$127,'Assumptions'!$C$9)),1,0)</f>
        <v/>
      </c>
      <c r="R164" s="18">
        <f>IF(AND('Assumptions'!$D$126=1,R$4&gt;=MAX('Assumptions'!$D$127,'Assumptions'!$C$9)),1,0)</f>
        <v/>
      </c>
      <c r="S164" s="18">
        <f>IF(AND('Assumptions'!$D$126=1,S$4&gt;=MAX('Assumptions'!$D$127,'Assumptions'!$C$9)),1,0)</f>
        <v/>
      </c>
      <c r="T164" s="18">
        <f>IF(AND('Assumptions'!$D$126=1,T$4&gt;=MAX('Assumptions'!$D$127,'Assumptions'!$C$9)),1,0)</f>
        <v/>
      </c>
      <c r="U164" s="18">
        <f>IF(AND('Assumptions'!$D$126=1,U$4&gt;=MAX('Assumptions'!$D$127,'Assumptions'!$C$9)),1,0)</f>
        <v/>
      </c>
      <c r="V164" s="18">
        <f>IF(AND('Assumptions'!$D$126=1,V$4&gt;=MAX('Assumptions'!$D$127,'Assumptions'!$C$9)),1,0)</f>
        <v/>
      </c>
      <c r="W164" s="18">
        <f>IF(AND('Assumptions'!$D$126=1,W$4&gt;=MAX('Assumptions'!$D$127,'Assumptions'!$C$9)),1,0)</f>
        <v/>
      </c>
      <c r="X164" s="18">
        <f>IF(AND('Assumptions'!$D$126=1,X$4&gt;=MAX('Assumptions'!$D$127,'Assumptions'!$C$9)),1,0)</f>
        <v/>
      </c>
      <c r="Y164" s="18">
        <f>IF(AND('Assumptions'!$D$126=1,Y$4&gt;=MAX('Assumptions'!$D$127,'Assumptions'!$C$9)),1,0)</f>
        <v/>
      </c>
      <c r="Z164" s="18">
        <f>IF(AND('Assumptions'!$D$126=1,Z$4&gt;=MAX('Assumptions'!$D$127,'Assumptions'!$C$9)),1,0)</f>
        <v/>
      </c>
      <c r="AA164" s="18">
        <f>IF(AND('Assumptions'!$D$126=1,AA$4&gt;=MAX('Assumptions'!$D$127,'Assumptions'!$C$9)),1,0)</f>
        <v/>
      </c>
      <c r="AB164" s="18">
        <f>IF(AND('Assumptions'!$D$126=1,AB$4&gt;=MAX('Assumptions'!$D$127,'Assumptions'!$C$9)),1,0)</f>
        <v/>
      </c>
      <c r="AC164" s="18">
        <f>IF(AND('Assumptions'!$D$126=1,AC$4&gt;=MAX('Assumptions'!$D$127,'Assumptions'!$C$9)),1,0)</f>
        <v/>
      </c>
      <c r="AD164" s="18">
        <f>IF(AND('Assumptions'!$D$126=1,AD$4&gt;=MAX('Assumptions'!$D$127,'Assumptions'!$C$9)),1,0)</f>
        <v/>
      </c>
      <c r="AE164" s="18">
        <f>IF(AND('Assumptions'!$D$126=1,AE$4&gt;=MAX('Assumptions'!$D$127,'Assumptions'!$C$9)),1,0)</f>
        <v/>
      </c>
      <c r="AF164" s="18">
        <f>IF(AND('Assumptions'!$D$126=1,AF$4&gt;=MAX('Assumptions'!$D$127,'Assumptions'!$C$9)),1,0)</f>
        <v/>
      </c>
      <c r="AG164" s="18">
        <f>IF(AND('Assumptions'!$D$126=1,AG$4&gt;=MAX('Assumptions'!$D$127,'Assumptions'!$C$9)),1,0)</f>
        <v/>
      </c>
      <c r="AH164" s="18">
        <f>IF(AND('Assumptions'!$D$126=1,AH$4&gt;=MAX('Assumptions'!$D$127,'Assumptions'!$C$9)),1,0)</f>
        <v/>
      </c>
      <c r="AI164" s="18">
        <f>IF(AND('Assumptions'!$D$126=1,AI$4&gt;=MAX('Assumptions'!$D$127,'Assumptions'!$C$9)),1,0)</f>
        <v/>
      </c>
      <c r="AJ164" s="18">
        <f>IF(AND('Assumptions'!$D$126=1,AJ$4&gt;=MAX('Assumptions'!$D$127,'Assumptions'!$C$9)),1,0)</f>
        <v/>
      </c>
      <c r="AK164" s="18">
        <f>IF(AND('Assumptions'!$D$126=1,AK$4&gt;=MAX('Assumptions'!$D$127,'Assumptions'!$C$9)),1,0)</f>
        <v/>
      </c>
      <c r="AL164" s="18">
        <f>IF(AND('Assumptions'!$D$126=1,AL$4&gt;=MAX('Assumptions'!$D$127,'Assumptions'!$C$9)),1,0)</f>
        <v/>
      </c>
    </row>
    <row r="165">
      <c r="A165" s="7" t="inlineStr">
        <is>
          <t xml:space="preserve">   Sales-per-product index (1.00 in the launch month)</t>
        </is>
      </c>
      <c r="B165" s="9" t="inlineStr">
        <is>
          <t>index</t>
        </is>
      </c>
      <c r="C165" s="55">
        <f>IF(C164=0,0,1)</f>
        <v/>
      </c>
      <c r="D165" s="51">
        <f>IF(D164=0,0,IF(D$4=MAX('Assumptions'!$D$127,'Assumptions'!$C$9),1,C165*(1+CHOOSE(D$6,'Assumptions'!$D$128,'Assumptions'!$D$129,'Assumptions'!$D$130))))</f>
        <v/>
      </c>
      <c r="E165" s="51">
        <f>IF(E164=0,0,IF(E$4=MAX('Assumptions'!$D$127,'Assumptions'!$C$9),1,D165*(1+CHOOSE(E$6,'Assumptions'!$D$128,'Assumptions'!$D$129,'Assumptions'!$D$130))))</f>
        <v/>
      </c>
      <c r="F165" s="51">
        <f>IF(F164=0,0,IF(F$4=MAX('Assumptions'!$D$127,'Assumptions'!$C$9),1,E165*(1+CHOOSE(F$6,'Assumptions'!$D$128,'Assumptions'!$D$129,'Assumptions'!$D$130))))</f>
        <v/>
      </c>
      <c r="G165" s="51">
        <f>IF(G164=0,0,IF(G$4=MAX('Assumptions'!$D$127,'Assumptions'!$C$9),1,F165*(1+CHOOSE(G$6,'Assumptions'!$D$128,'Assumptions'!$D$129,'Assumptions'!$D$130))))</f>
        <v/>
      </c>
      <c r="H165" s="51">
        <f>IF(H164=0,0,IF(H$4=MAX('Assumptions'!$D$127,'Assumptions'!$C$9),1,G165*(1+CHOOSE(H$6,'Assumptions'!$D$128,'Assumptions'!$D$129,'Assumptions'!$D$130))))</f>
        <v/>
      </c>
      <c r="I165" s="51">
        <f>IF(I164=0,0,IF(I$4=MAX('Assumptions'!$D$127,'Assumptions'!$C$9),1,H165*(1+CHOOSE(I$6,'Assumptions'!$D$128,'Assumptions'!$D$129,'Assumptions'!$D$130))))</f>
        <v/>
      </c>
      <c r="J165" s="51">
        <f>IF(J164=0,0,IF(J$4=MAX('Assumptions'!$D$127,'Assumptions'!$C$9),1,I165*(1+CHOOSE(J$6,'Assumptions'!$D$128,'Assumptions'!$D$129,'Assumptions'!$D$130))))</f>
        <v/>
      </c>
      <c r="K165" s="51">
        <f>IF(K164=0,0,IF(K$4=MAX('Assumptions'!$D$127,'Assumptions'!$C$9),1,J165*(1+CHOOSE(K$6,'Assumptions'!$D$128,'Assumptions'!$D$129,'Assumptions'!$D$130))))</f>
        <v/>
      </c>
      <c r="L165" s="51">
        <f>IF(L164=0,0,IF(L$4=MAX('Assumptions'!$D$127,'Assumptions'!$C$9),1,K165*(1+CHOOSE(L$6,'Assumptions'!$D$128,'Assumptions'!$D$129,'Assumptions'!$D$130))))</f>
        <v/>
      </c>
      <c r="M165" s="51">
        <f>IF(M164=0,0,IF(M$4=MAX('Assumptions'!$D$127,'Assumptions'!$C$9),1,L165*(1+CHOOSE(M$6,'Assumptions'!$D$128,'Assumptions'!$D$129,'Assumptions'!$D$130))))</f>
        <v/>
      </c>
      <c r="N165" s="51">
        <f>IF(N164=0,0,IF(N$4=MAX('Assumptions'!$D$127,'Assumptions'!$C$9),1,M165*(1+CHOOSE(N$6,'Assumptions'!$D$128,'Assumptions'!$D$129,'Assumptions'!$D$130))))</f>
        <v/>
      </c>
      <c r="O165" s="51">
        <f>IF(O164=0,0,IF(O$4=MAX('Assumptions'!$D$127,'Assumptions'!$C$9),1,N165*(1+CHOOSE(O$6,'Assumptions'!$D$128,'Assumptions'!$D$129,'Assumptions'!$D$130))))</f>
        <v/>
      </c>
      <c r="P165" s="51">
        <f>IF(P164=0,0,IF(P$4=MAX('Assumptions'!$D$127,'Assumptions'!$C$9),1,O165*(1+CHOOSE(P$6,'Assumptions'!$D$128,'Assumptions'!$D$129,'Assumptions'!$D$130))))</f>
        <v/>
      </c>
      <c r="Q165" s="51">
        <f>IF(Q164=0,0,IF(Q$4=MAX('Assumptions'!$D$127,'Assumptions'!$C$9),1,P165*(1+CHOOSE(Q$6,'Assumptions'!$D$128,'Assumptions'!$D$129,'Assumptions'!$D$130))))</f>
        <v/>
      </c>
      <c r="R165" s="51">
        <f>IF(R164=0,0,IF(R$4=MAX('Assumptions'!$D$127,'Assumptions'!$C$9),1,Q165*(1+CHOOSE(R$6,'Assumptions'!$D$128,'Assumptions'!$D$129,'Assumptions'!$D$130))))</f>
        <v/>
      </c>
      <c r="S165" s="51">
        <f>IF(S164=0,0,IF(S$4=MAX('Assumptions'!$D$127,'Assumptions'!$C$9),1,R165*(1+CHOOSE(S$6,'Assumptions'!$D$128,'Assumptions'!$D$129,'Assumptions'!$D$130))))</f>
        <v/>
      </c>
      <c r="T165" s="51">
        <f>IF(T164=0,0,IF(T$4=MAX('Assumptions'!$D$127,'Assumptions'!$C$9),1,S165*(1+CHOOSE(T$6,'Assumptions'!$D$128,'Assumptions'!$D$129,'Assumptions'!$D$130))))</f>
        <v/>
      </c>
      <c r="U165" s="51">
        <f>IF(U164=0,0,IF(U$4=MAX('Assumptions'!$D$127,'Assumptions'!$C$9),1,T165*(1+CHOOSE(U$6,'Assumptions'!$D$128,'Assumptions'!$D$129,'Assumptions'!$D$130))))</f>
        <v/>
      </c>
      <c r="V165" s="51">
        <f>IF(V164=0,0,IF(V$4=MAX('Assumptions'!$D$127,'Assumptions'!$C$9),1,U165*(1+CHOOSE(V$6,'Assumptions'!$D$128,'Assumptions'!$D$129,'Assumptions'!$D$130))))</f>
        <v/>
      </c>
      <c r="W165" s="51">
        <f>IF(W164=0,0,IF(W$4=MAX('Assumptions'!$D$127,'Assumptions'!$C$9),1,V165*(1+CHOOSE(W$6,'Assumptions'!$D$128,'Assumptions'!$D$129,'Assumptions'!$D$130))))</f>
        <v/>
      </c>
      <c r="X165" s="51">
        <f>IF(X164=0,0,IF(X$4=MAX('Assumptions'!$D$127,'Assumptions'!$C$9),1,W165*(1+CHOOSE(X$6,'Assumptions'!$D$128,'Assumptions'!$D$129,'Assumptions'!$D$130))))</f>
        <v/>
      </c>
      <c r="Y165" s="51">
        <f>IF(Y164=0,0,IF(Y$4=MAX('Assumptions'!$D$127,'Assumptions'!$C$9),1,X165*(1+CHOOSE(Y$6,'Assumptions'!$D$128,'Assumptions'!$D$129,'Assumptions'!$D$130))))</f>
        <v/>
      </c>
      <c r="Z165" s="51">
        <f>IF(Z164=0,0,IF(Z$4=MAX('Assumptions'!$D$127,'Assumptions'!$C$9),1,Y165*(1+CHOOSE(Z$6,'Assumptions'!$D$128,'Assumptions'!$D$129,'Assumptions'!$D$130))))</f>
        <v/>
      </c>
      <c r="AA165" s="51">
        <f>IF(AA164=0,0,IF(AA$4=MAX('Assumptions'!$D$127,'Assumptions'!$C$9),1,Z165*(1+CHOOSE(AA$6,'Assumptions'!$D$128,'Assumptions'!$D$129,'Assumptions'!$D$130))))</f>
        <v/>
      </c>
      <c r="AB165" s="51">
        <f>IF(AB164=0,0,IF(AB$4=MAX('Assumptions'!$D$127,'Assumptions'!$C$9),1,AA165*(1+CHOOSE(AB$6,'Assumptions'!$D$128,'Assumptions'!$D$129,'Assumptions'!$D$130))))</f>
        <v/>
      </c>
      <c r="AC165" s="51">
        <f>IF(AC164=0,0,IF(AC$4=MAX('Assumptions'!$D$127,'Assumptions'!$C$9),1,AB165*(1+CHOOSE(AC$6,'Assumptions'!$D$128,'Assumptions'!$D$129,'Assumptions'!$D$130))))</f>
        <v/>
      </c>
      <c r="AD165" s="51">
        <f>IF(AD164=0,0,IF(AD$4=MAX('Assumptions'!$D$127,'Assumptions'!$C$9),1,AC165*(1+CHOOSE(AD$6,'Assumptions'!$D$128,'Assumptions'!$D$129,'Assumptions'!$D$130))))</f>
        <v/>
      </c>
      <c r="AE165" s="51">
        <f>IF(AE164=0,0,IF(AE$4=MAX('Assumptions'!$D$127,'Assumptions'!$C$9),1,AD165*(1+CHOOSE(AE$6,'Assumptions'!$D$128,'Assumptions'!$D$129,'Assumptions'!$D$130))))</f>
        <v/>
      </c>
      <c r="AF165" s="51">
        <f>IF(AF164=0,0,IF(AF$4=MAX('Assumptions'!$D$127,'Assumptions'!$C$9),1,AE165*(1+CHOOSE(AF$6,'Assumptions'!$D$128,'Assumptions'!$D$129,'Assumptions'!$D$130))))</f>
        <v/>
      </c>
      <c r="AG165" s="51">
        <f>IF(AG164=0,0,IF(AG$4=MAX('Assumptions'!$D$127,'Assumptions'!$C$9),1,AF165*(1+CHOOSE(AG$6,'Assumptions'!$D$128,'Assumptions'!$D$129,'Assumptions'!$D$130))))</f>
        <v/>
      </c>
      <c r="AH165" s="51">
        <f>IF(AH164=0,0,IF(AH$4=MAX('Assumptions'!$D$127,'Assumptions'!$C$9),1,AG165*(1+CHOOSE(AH$6,'Assumptions'!$D$128,'Assumptions'!$D$129,'Assumptions'!$D$130))))</f>
        <v/>
      </c>
      <c r="AI165" s="51">
        <f>IF(AI164=0,0,IF(AI$4=MAX('Assumptions'!$D$127,'Assumptions'!$C$9),1,AH165*(1+CHOOSE(AI$6,'Assumptions'!$D$128,'Assumptions'!$D$129,'Assumptions'!$D$130))))</f>
        <v/>
      </c>
      <c r="AJ165" s="51">
        <f>IF(AJ164=0,0,IF(AJ$4=MAX('Assumptions'!$D$127,'Assumptions'!$C$9),1,AI165*(1+CHOOSE(AJ$6,'Assumptions'!$D$128,'Assumptions'!$D$129,'Assumptions'!$D$130))))</f>
        <v/>
      </c>
      <c r="AK165" s="51">
        <f>IF(AK164=0,0,IF(AK$4=MAX('Assumptions'!$D$127,'Assumptions'!$C$9),1,AJ165*(1+CHOOSE(AK$6,'Assumptions'!$D$128,'Assumptions'!$D$129,'Assumptions'!$D$130))))</f>
        <v/>
      </c>
      <c r="AL165" s="51">
        <f>IF(AL164=0,0,IF(AL$4=MAX('Assumptions'!$D$127,'Assumptions'!$C$9),1,AK165*(1+CHOOSE(AL$6,'Assumptions'!$D$128,'Assumptions'!$D$129,'Assumptions'!$D$130))))</f>
        <v/>
      </c>
    </row>
    <row r="166">
      <c r="A166" s="7" t="inlineStr">
        <is>
          <t xml:space="preserve">   Product-months live (products x sales index x season)</t>
        </is>
      </c>
      <c r="B166" s="9" t="inlineStr">
        <is>
          <t>prod-mo</t>
        </is>
      </c>
      <c r="C166" s="56">
        <f>C152*C165*C$7</f>
        <v/>
      </c>
      <c r="D166" s="56">
        <f>D152*D165*D$7</f>
        <v/>
      </c>
      <c r="E166" s="56">
        <f>E152*E165*E$7</f>
        <v/>
      </c>
      <c r="F166" s="56">
        <f>F152*F165*F$7</f>
        <v/>
      </c>
      <c r="G166" s="56">
        <f>G152*G165*G$7</f>
        <v/>
      </c>
      <c r="H166" s="56">
        <f>H152*H165*H$7</f>
        <v/>
      </c>
      <c r="I166" s="56">
        <f>I152*I165*I$7</f>
        <v/>
      </c>
      <c r="J166" s="56">
        <f>J152*J165*J$7</f>
        <v/>
      </c>
      <c r="K166" s="56">
        <f>K152*K165*K$7</f>
        <v/>
      </c>
      <c r="L166" s="56">
        <f>L152*L165*L$7</f>
        <v/>
      </c>
      <c r="M166" s="56">
        <f>M152*M165*M$7</f>
        <v/>
      </c>
      <c r="N166" s="56">
        <f>N152*N165*N$7</f>
        <v/>
      </c>
      <c r="O166" s="56">
        <f>O152*O165*O$7</f>
        <v/>
      </c>
      <c r="P166" s="56">
        <f>P152*P165*P$7</f>
        <v/>
      </c>
      <c r="Q166" s="56">
        <f>Q152*Q165*Q$7</f>
        <v/>
      </c>
      <c r="R166" s="56">
        <f>R152*R165*R$7</f>
        <v/>
      </c>
      <c r="S166" s="56">
        <f>S152*S165*S$7</f>
        <v/>
      </c>
      <c r="T166" s="56">
        <f>T152*T165*T$7</f>
        <v/>
      </c>
      <c r="U166" s="56">
        <f>U152*U165*U$7</f>
        <v/>
      </c>
      <c r="V166" s="56">
        <f>V152*V165*V$7</f>
        <v/>
      </c>
      <c r="W166" s="56">
        <f>W152*W165*W$7</f>
        <v/>
      </c>
      <c r="X166" s="56">
        <f>X152*X165*X$7</f>
        <v/>
      </c>
      <c r="Y166" s="56">
        <f>Y152*Y165*Y$7</f>
        <v/>
      </c>
      <c r="Z166" s="56">
        <f>Z152*Z165*Z$7</f>
        <v/>
      </c>
      <c r="AA166" s="56">
        <f>AA152*AA165*AA$7</f>
        <v/>
      </c>
      <c r="AB166" s="56">
        <f>AB152*AB165*AB$7</f>
        <v/>
      </c>
      <c r="AC166" s="56">
        <f>AC152*AC165*AC$7</f>
        <v/>
      </c>
      <c r="AD166" s="56">
        <f>AD152*AD165*AD$7</f>
        <v/>
      </c>
      <c r="AE166" s="56">
        <f>AE152*AE165*AE$7</f>
        <v/>
      </c>
      <c r="AF166" s="56">
        <f>AF152*AF165*AF$7</f>
        <v/>
      </c>
      <c r="AG166" s="56">
        <f>AG152*AG165*AG$7</f>
        <v/>
      </c>
      <c r="AH166" s="56">
        <f>AH152*AH165*AH$7</f>
        <v/>
      </c>
      <c r="AI166" s="56">
        <f>AI152*AI165*AI$7</f>
        <v/>
      </c>
      <c r="AJ166" s="56">
        <f>AJ152*AJ165*AJ$7</f>
        <v/>
      </c>
      <c r="AK166" s="56">
        <f>AK152*AK165*AK$7</f>
        <v/>
      </c>
      <c r="AL166" s="56">
        <f>AL152*AL165*AL$7</f>
        <v/>
      </c>
      <c r="AM166" s="57">
        <f>SUMIF($C$6:$AL$6,1,C166:AL166)</f>
        <v/>
      </c>
      <c r="AN166" s="57">
        <f>SUMIF($C$6:$AL$6,2,C166:AL166)</f>
        <v/>
      </c>
      <c r="AO166" s="57">
        <f>SUMIF($C$6:$AL$6,3,C166:AL166)</f>
        <v/>
      </c>
      <c r="AP166" s="57">
        <f>SUM(C166:AL166)</f>
        <v/>
      </c>
    </row>
    <row r="167">
      <c r="A167" s="7" t="inlineStr">
        <is>
          <t xml:space="preserve">   Orders per product per month (with review ramp)</t>
        </is>
      </c>
      <c r="B167" s="9" t="inlineStr">
        <is>
          <t>orders</t>
        </is>
      </c>
      <c r="C167" s="51">
        <f>'Assumptions'!$D$131*MIN(1,(C$4-MAX('Assumptions'!$D$127,'Assumptions'!$C$9)+1)/'Assumptions'!$C$11)*C164</f>
        <v/>
      </c>
      <c r="D167" s="51">
        <f>'Assumptions'!$D$131*MIN(1,(D$4-MAX('Assumptions'!$D$127,'Assumptions'!$C$9)+1)/'Assumptions'!$C$11)*D164</f>
        <v/>
      </c>
      <c r="E167" s="51">
        <f>'Assumptions'!$D$131*MIN(1,(E$4-MAX('Assumptions'!$D$127,'Assumptions'!$C$9)+1)/'Assumptions'!$C$11)*E164</f>
        <v/>
      </c>
      <c r="F167" s="51">
        <f>'Assumptions'!$D$131*MIN(1,(F$4-MAX('Assumptions'!$D$127,'Assumptions'!$C$9)+1)/'Assumptions'!$C$11)*F164</f>
        <v/>
      </c>
      <c r="G167" s="51">
        <f>'Assumptions'!$D$131*MIN(1,(G$4-MAX('Assumptions'!$D$127,'Assumptions'!$C$9)+1)/'Assumptions'!$C$11)*G164</f>
        <v/>
      </c>
      <c r="H167" s="51">
        <f>'Assumptions'!$D$131*MIN(1,(H$4-MAX('Assumptions'!$D$127,'Assumptions'!$C$9)+1)/'Assumptions'!$C$11)*H164</f>
        <v/>
      </c>
      <c r="I167" s="51">
        <f>'Assumptions'!$D$131*MIN(1,(I$4-MAX('Assumptions'!$D$127,'Assumptions'!$C$9)+1)/'Assumptions'!$C$11)*I164</f>
        <v/>
      </c>
      <c r="J167" s="51">
        <f>'Assumptions'!$D$131*MIN(1,(J$4-MAX('Assumptions'!$D$127,'Assumptions'!$C$9)+1)/'Assumptions'!$C$11)*J164</f>
        <v/>
      </c>
      <c r="K167" s="51">
        <f>'Assumptions'!$D$131*MIN(1,(K$4-MAX('Assumptions'!$D$127,'Assumptions'!$C$9)+1)/'Assumptions'!$C$11)*K164</f>
        <v/>
      </c>
      <c r="L167" s="51">
        <f>'Assumptions'!$D$131*MIN(1,(L$4-MAX('Assumptions'!$D$127,'Assumptions'!$C$9)+1)/'Assumptions'!$C$11)*L164</f>
        <v/>
      </c>
      <c r="M167" s="51">
        <f>'Assumptions'!$D$131*MIN(1,(M$4-MAX('Assumptions'!$D$127,'Assumptions'!$C$9)+1)/'Assumptions'!$C$11)*M164</f>
        <v/>
      </c>
      <c r="N167" s="51">
        <f>'Assumptions'!$D$131*MIN(1,(N$4-MAX('Assumptions'!$D$127,'Assumptions'!$C$9)+1)/'Assumptions'!$C$11)*N164</f>
        <v/>
      </c>
      <c r="O167" s="51">
        <f>'Assumptions'!$D$131*MIN(1,(O$4-MAX('Assumptions'!$D$127,'Assumptions'!$C$9)+1)/'Assumptions'!$C$11)*O164</f>
        <v/>
      </c>
      <c r="P167" s="51">
        <f>'Assumptions'!$D$131*MIN(1,(P$4-MAX('Assumptions'!$D$127,'Assumptions'!$C$9)+1)/'Assumptions'!$C$11)*P164</f>
        <v/>
      </c>
      <c r="Q167" s="51">
        <f>'Assumptions'!$D$131*MIN(1,(Q$4-MAX('Assumptions'!$D$127,'Assumptions'!$C$9)+1)/'Assumptions'!$C$11)*Q164</f>
        <v/>
      </c>
      <c r="R167" s="51">
        <f>'Assumptions'!$D$131*MIN(1,(R$4-MAX('Assumptions'!$D$127,'Assumptions'!$C$9)+1)/'Assumptions'!$C$11)*R164</f>
        <v/>
      </c>
      <c r="S167" s="51">
        <f>'Assumptions'!$D$131*MIN(1,(S$4-MAX('Assumptions'!$D$127,'Assumptions'!$C$9)+1)/'Assumptions'!$C$11)*S164</f>
        <v/>
      </c>
      <c r="T167" s="51">
        <f>'Assumptions'!$D$131*MIN(1,(T$4-MAX('Assumptions'!$D$127,'Assumptions'!$C$9)+1)/'Assumptions'!$C$11)*T164</f>
        <v/>
      </c>
      <c r="U167" s="51">
        <f>'Assumptions'!$D$131*MIN(1,(U$4-MAX('Assumptions'!$D$127,'Assumptions'!$C$9)+1)/'Assumptions'!$C$11)*U164</f>
        <v/>
      </c>
      <c r="V167" s="51">
        <f>'Assumptions'!$D$131*MIN(1,(V$4-MAX('Assumptions'!$D$127,'Assumptions'!$C$9)+1)/'Assumptions'!$C$11)*V164</f>
        <v/>
      </c>
      <c r="W167" s="51">
        <f>'Assumptions'!$D$131*MIN(1,(W$4-MAX('Assumptions'!$D$127,'Assumptions'!$C$9)+1)/'Assumptions'!$C$11)*W164</f>
        <v/>
      </c>
      <c r="X167" s="51">
        <f>'Assumptions'!$D$131*MIN(1,(X$4-MAX('Assumptions'!$D$127,'Assumptions'!$C$9)+1)/'Assumptions'!$C$11)*X164</f>
        <v/>
      </c>
      <c r="Y167" s="51">
        <f>'Assumptions'!$D$131*MIN(1,(Y$4-MAX('Assumptions'!$D$127,'Assumptions'!$C$9)+1)/'Assumptions'!$C$11)*Y164</f>
        <v/>
      </c>
      <c r="Z167" s="51">
        <f>'Assumptions'!$D$131*MIN(1,(Z$4-MAX('Assumptions'!$D$127,'Assumptions'!$C$9)+1)/'Assumptions'!$C$11)*Z164</f>
        <v/>
      </c>
      <c r="AA167" s="51">
        <f>'Assumptions'!$D$131*MIN(1,(AA$4-MAX('Assumptions'!$D$127,'Assumptions'!$C$9)+1)/'Assumptions'!$C$11)*AA164</f>
        <v/>
      </c>
      <c r="AB167" s="51">
        <f>'Assumptions'!$D$131*MIN(1,(AB$4-MAX('Assumptions'!$D$127,'Assumptions'!$C$9)+1)/'Assumptions'!$C$11)*AB164</f>
        <v/>
      </c>
      <c r="AC167" s="51">
        <f>'Assumptions'!$D$131*MIN(1,(AC$4-MAX('Assumptions'!$D$127,'Assumptions'!$C$9)+1)/'Assumptions'!$C$11)*AC164</f>
        <v/>
      </c>
      <c r="AD167" s="51">
        <f>'Assumptions'!$D$131*MIN(1,(AD$4-MAX('Assumptions'!$D$127,'Assumptions'!$C$9)+1)/'Assumptions'!$C$11)*AD164</f>
        <v/>
      </c>
      <c r="AE167" s="51">
        <f>'Assumptions'!$D$131*MIN(1,(AE$4-MAX('Assumptions'!$D$127,'Assumptions'!$C$9)+1)/'Assumptions'!$C$11)*AE164</f>
        <v/>
      </c>
      <c r="AF167" s="51">
        <f>'Assumptions'!$D$131*MIN(1,(AF$4-MAX('Assumptions'!$D$127,'Assumptions'!$C$9)+1)/'Assumptions'!$C$11)*AF164</f>
        <v/>
      </c>
      <c r="AG167" s="51">
        <f>'Assumptions'!$D$131*MIN(1,(AG$4-MAX('Assumptions'!$D$127,'Assumptions'!$C$9)+1)/'Assumptions'!$C$11)*AG164</f>
        <v/>
      </c>
      <c r="AH167" s="51">
        <f>'Assumptions'!$D$131*MIN(1,(AH$4-MAX('Assumptions'!$D$127,'Assumptions'!$C$9)+1)/'Assumptions'!$C$11)*AH164</f>
        <v/>
      </c>
      <c r="AI167" s="51">
        <f>'Assumptions'!$D$131*MIN(1,(AI$4-MAX('Assumptions'!$D$127,'Assumptions'!$C$9)+1)/'Assumptions'!$C$11)*AI164</f>
        <v/>
      </c>
      <c r="AJ167" s="51">
        <f>'Assumptions'!$D$131*MIN(1,(AJ$4-MAX('Assumptions'!$D$127,'Assumptions'!$C$9)+1)/'Assumptions'!$C$11)*AJ164</f>
        <v/>
      </c>
      <c r="AK167" s="51">
        <f>'Assumptions'!$D$131*MIN(1,(AK$4-MAX('Assumptions'!$D$127,'Assumptions'!$C$9)+1)/'Assumptions'!$C$11)*AK164</f>
        <v/>
      </c>
      <c r="AL167" s="51">
        <f>'Assumptions'!$D$131*MIN(1,(AL$4-MAX('Assumptions'!$D$127,'Assumptions'!$C$9)+1)/'Assumptions'!$C$11)*AL164</f>
        <v/>
      </c>
    </row>
    <row r="168">
      <c r="A168" s="7" t="inlineStr">
        <is>
          <t xml:space="preserve">   Orders</t>
        </is>
      </c>
      <c r="B168" s="9" t="inlineStr">
        <is>
          <t>orders</t>
        </is>
      </c>
      <c r="C168" s="56">
        <f>C166*C167</f>
        <v/>
      </c>
      <c r="D168" s="56">
        <f>D166*D167</f>
        <v/>
      </c>
      <c r="E168" s="56">
        <f>E166*E167</f>
        <v/>
      </c>
      <c r="F168" s="56">
        <f>F166*F167</f>
        <v/>
      </c>
      <c r="G168" s="56">
        <f>G166*G167</f>
        <v/>
      </c>
      <c r="H168" s="56">
        <f>H166*H167</f>
        <v/>
      </c>
      <c r="I168" s="56">
        <f>I166*I167</f>
        <v/>
      </c>
      <c r="J168" s="56">
        <f>J166*J167</f>
        <v/>
      </c>
      <c r="K168" s="56">
        <f>K166*K167</f>
        <v/>
      </c>
      <c r="L168" s="56">
        <f>L166*L167</f>
        <v/>
      </c>
      <c r="M168" s="56">
        <f>M166*M167</f>
        <v/>
      </c>
      <c r="N168" s="56">
        <f>N166*N167</f>
        <v/>
      </c>
      <c r="O168" s="56">
        <f>O166*O167</f>
        <v/>
      </c>
      <c r="P168" s="56">
        <f>P166*P167</f>
        <v/>
      </c>
      <c r="Q168" s="56">
        <f>Q166*Q167</f>
        <v/>
      </c>
      <c r="R168" s="56">
        <f>R166*R167</f>
        <v/>
      </c>
      <c r="S168" s="56">
        <f>S166*S167</f>
        <v/>
      </c>
      <c r="T168" s="56">
        <f>T166*T167</f>
        <v/>
      </c>
      <c r="U168" s="56">
        <f>U166*U167</f>
        <v/>
      </c>
      <c r="V168" s="56">
        <f>V166*V167</f>
        <v/>
      </c>
      <c r="W168" s="56">
        <f>W166*W167</f>
        <v/>
      </c>
      <c r="X168" s="56">
        <f>X166*X167</f>
        <v/>
      </c>
      <c r="Y168" s="56">
        <f>Y166*Y167</f>
        <v/>
      </c>
      <c r="Z168" s="56">
        <f>Z166*Z167</f>
        <v/>
      </c>
      <c r="AA168" s="56">
        <f>AA166*AA167</f>
        <v/>
      </c>
      <c r="AB168" s="56">
        <f>AB166*AB167</f>
        <v/>
      </c>
      <c r="AC168" s="56">
        <f>AC166*AC167</f>
        <v/>
      </c>
      <c r="AD168" s="56">
        <f>AD166*AD167</f>
        <v/>
      </c>
      <c r="AE168" s="56">
        <f>AE166*AE167</f>
        <v/>
      </c>
      <c r="AF168" s="56">
        <f>AF166*AF167</f>
        <v/>
      </c>
      <c r="AG168" s="56">
        <f>AG166*AG167</f>
        <v/>
      </c>
      <c r="AH168" s="56">
        <f>AH166*AH167</f>
        <v/>
      </c>
      <c r="AI168" s="56">
        <f>AI166*AI167</f>
        <v/>
      </c>
      <c r="AJ168" s="56">
        <f>AJ166*AJ167</f>
        <v/>
      </c>
      <c r="AK168" s="56">
        <f>AK166*AK167</f>
        <v/>
      </c>
      <c r="AL168" s="56">
        <f>AL166*AL167</f>
        <v/>
      </c>
      <c r="AM168" s="57">
        <f>SUMIF($C$6:$AL$6,1,C168:AL168)</f>
        <v/>
      </c>
      <c r="AN168" s="57">
        <f>SUMIF($C$6:$AL$6,2,C168:AL168)</f>
        <v/>
      </c>
      <c r="AO168" s="57">
        <f>SUMIF($C$6:$AL$6,3,C168:AL168)</f>
        <v/>
      </c>
      <c r="AP168" s="57">
        <f>SUM(C168:AL168)</f>
        <v/>
      </c>
    </row>
    <row r="169">
      <c r="A169" s="7" t="inlineStr">
        <is>
          <t xml:space="preserve">   Items sold</t>
        </is>
      </c>
      <c r="B169" s="9" t="inlineStr">
        <is>
          <t>items</t>
        </is>
      </c>
      <c r="C169" s="14">
        <f>C168*'Assumptions'!$D$132</f>
        <v/>
      </c>
      <c r="D169" s="14">
        <f>D168*'Assumptions'!$D$132</f>
        <v/>
      </c>
      <c r="E169" s="14">
        <f>E168*'Assumptions'!$D$132</f>
        <v/>
      </c>
      <c r="F169" s="14">
        <f>F168*'Assumptions'!$D$132</f>
        <v/>
      </c>
      <c r="G169" s="14">
        <f>G168*'Assumptions'!$D$132</f>
        <v/>
      </c>
      <c r="H169" s="14">
        <f>H168*'Assumptions'!$D$132</f>
        <v/>
      </c>
      <c r="I169" s="14">
        <f>I168*'Assumptions'!$D$132</f>
        <v/>
      </c>
      <c r="J169" s="14">
        <f>J168*'Assumptions'!$D$132</f>
        <v/>
      </c>
      <c r="K169" s="14">
        <f>K168*'Assumptions'!$D$132</f>
        <v/>
      </c>
      <c r="L169" s="14">
        <f>L168*'Assumptions'!$D$132</f>
        <v/>
      </c>
      <c r="M169" s="14">
        <f>M168*'Assumptions'!$D$132</f>
        <v/>
      </c>
      <c r="N169" s="14">
        <f>N168*'Assumptions'!$D$132</f>
        <v/>
      </c>
      <c r="O169" s="14">
        <f>O168*'Assumptions'!$D$132</f>
        <v/>
      </c>
      <c r="P169" s="14">
        <f>P168*'Assumptions'!$D$132</f>
        <v/>
      </c>
      <c r="Q169" s="14">
        <f>Q168*'Assumptions'!$D$132</f>
        <v/>
      </c>
      <c r="R169" s="14">
        <f>R168*'Assumptions'!$D$132</f>
        <v/>
      </c>
      <c r="S169" s="14">
        <f>S168*'Assumptions'!$D$132</f>
        <v/>
      </c>
      <c r="T169" s="14">
        <f>T168*'Assumptions'!$D$132</f>
        <v/>
      </c>
      <c r="U169" s="14">
        <f>U168*'Assumptions'!$D$132</f>
        <v/>
      </c>
      <c r="V169" s="14">
        <f>V168*'Assumptions'!$D$132</f>
        <v/>
      </c>
      <c r="W169" s="14">
        <f>W168*'Assumptions'!$D$132</f>
        <v/>
      </c>
      <c r="X169" s="14">
        <f>X168*'Assumptions'!$D$132</f>
        <v/>
      </c>
      <c r="Y169" s="14">
        <f>Y168*'Assumptions'!$D$132</f>
        <v/>
      </c>
      <c r="Z169" s="14">
        <f>Z168*'Assumptions'!$D$132</f>
        <v/>
      </c>
      <c r="AA169" s="14">
        <f>AA168*'Assumptions'!$D$132</f>
        <v/>
      </c>
      <c r="AB169" s="14">
        <f>AB168*'Assumptions'!$D$132</f>
        <v/>
      </c>
      <c r="AC169" s="14">
        <f>AC168*'Assumptions'!$D$132</f>
        <v/>
      </c>
      <c r="AD169" s="14">
        <f>AD168*'Assumptions'!$D$132</f>
        <v/>
      </c>
      <c r="AE169" s="14">
        <f>AE168*'Assumptions'!$D$132</f>
        <v/>
      </c>
      <c r="AF169" s="14">
        <f>AF168*'Assumptions'!$D$132</f>
        <v/>
      </c>
      <c r="AG169" s="14">
        <f>AG168*'Assumptions'!$D$132</f>
        <v/>
      </c>
      <c r="AH169" s="14">
        <f>AH168*'Assumptions'!$D$132</f>
        <v/>
      </c>
      <c r="AI169" s="14">
        <f>AI168*'Assumptions'!$D$132</f>
        <v/>
      </c>
      <c r="AJ169" s="14">
        <f>AJ168*'Assumptions'!$D$132</f>
        <v/>
      </c>
      <c r="AK169" s="14">
        <f>AK168*'Assumptions'!$D$132</f>
        <v/>
      </c>
      <c r="AL169" s="14">
        <f>AL168*'Assumptions'!$D$132</f>
        <v/>
      </c>
      <c r="AM169" s="57">
        <f>SUMIF($C$6:$AL$6,1,C169:AL169)</f>
        <v/>
      </c>
      <c r="AN169" s="57">
        <f>SUMIF($C$6:$AL$6,2,C169:AL169)</f>
        <v/>
      </c>
      <c r="AO169" s="57">
        <f>SUMIF($C$6:$AL$6,3,C169:AL169)</f>
        <v/>
      </c>
      <c r="AP169" s="57">
        <f>SUM(C169:AL169)</f>
        <v/>
      </c>
    </row>
    <row r="170">
      <c r="A170" s="7" t="inlineStr">
        <is>
          <t xml:space="preserve">   Average order value</t>
        </is>
      </c>
      <c r="B170" s="9" t="inlineStr">
        <is>
          <t>$</t>
        </is>
      </c>
      <c r="C170" s="16">
        <f>'Unit Economics'!$E$50*'Assumptions'!$D$132*C164</f>
        <v/>
      </c>
      <c r="D170" s="16">
        <f>'Unit Economics'!$E$50*'Assumptions'!$D$132*D164</f>
        <v/>
      </c>
      <c r="E170" s="16">
        <f>'Unit Economics'!$E$50*'Assumptions'!$D$132*E164</f>
        <v/>
      </c>
      <c r="F170" s="16">
        <f>'Unit Economics'!$E$50*'Assumptions'!$D$132*F164</f>
        <v/>
      </c>
      <c r="G170" s="16">
        <f>'Unit Economics'!$E$50*'Assumptions'!$D$132*G164</f>
        <v/>
      </c>
      <c r="H170" s="16">
        <f>'Unit Economics'!$E$50*'Assumptions'!$D$132*H164</f>
        <v/>
      </c>
      <c r="I170" s="16">
        <f>'Unit Economics'!$E$50*'Assumptions'!$D$132*I164</f>
        <v/>
      </c>
      <c r="J170" s="16">
        <f>'Unit Economics'!$E$50*'Assumptions'!$D$132*J164</f>
        <v/>
      </c>
      <c r="K170" s="16">
        <f>'Unit Economics'!$E$50*'Assumptions'!$D$132*K164</f>
        <v/>
      </c>
      <c r="L170" s="16">
        <f>'Unit Economics'!$E$50*'Assumptions'!$D$132*L164</f>
        <v/>
      </c>
      <c r="M170" s="16">
        <f>'Unit Economics'!$E$50*'Assumptions'!$D$132*M164</f>
        <v/>
      </c>
      <c r="N170" s="16">
        <f>'Unit Economics'!$E$50*'Assumptions'!$D$132*N164</f>
        <v/>
      </c>
      <c r="O170" s="16">
        <f>'Unit Economics'!$E$50*'Assumptions'!$D$132*O164</f>
        <v/>
      </c>
      <c r="P170" s="16">
        <f>'Unit Economics'!$E$50*'Assumptions'!$D$132*P164</f>
        <v/>
      </c>
      <c r="Q170" s="16">
        <f>'Unit Economics'!$E$50*'Assumptions'!$D$132*Q164</f>
        <v/>
      </c>
      <c r="R170" s="16">
        <f>'Unit Economics'!$E$50*'Assumptions'!$D$132*R164</f>
        <v/>
      </c>
      <c r="S170" s="16">
        <f>'Unit Economics'!$E$50*'Assumptions'!$D$132*S164</f>
        <v/>
      </c>
      <c r="T170" s="16">
        <f>'Unit Economics'!$E$50*'Assumptions'!$D$132*T164</f>
        <v/>
      </c>
      <c r="U170" s="16">
        <f>'Unit Economics'!$E$50*'Assumptions'!$D$132*U164</f>
        <v/>
      </c>
      <c r="V170" s="16">
        <f>'Unit Economics'!$E$50*'Assumptions'!$D$132*V164</f>
        <v/>
      </c>
      <c r="W170" s="16">
        <f>'Unit Economics'!$E$50*'Assumptions'!$D$132*W164</f>
        <v/>
      </c>
      <c r="X170" s="16">
        <f>'Unit Economics'!$E$50*'Assumptions'!$D$132*X164</f>
        <v/>
      </c>
      <c r="Y170" s="16">
        <f>'Unit Economics'!$E$50*'Assumptions'!$D$132*Y164</f>
        <v/>
      </c>
      <c r="Z170" s="16">
        <f>'Unit Economics'!$E$50*'Assumptions'!$D$132*Z164</f>
        <v/>
      </c>
      <c r="AA170" s="16">
        <f>'Unit Economics'!$E$50*'Assumptions'!$D$132*AA164</f>
        <v/>
      </c>
      <c r="AB170" s="16">
        <f>'Unit Economics'!$E$50*'Assumptions'!$D$132*AB164</f>
        <v/>
      </c>
      <c r="AC170" s="16">
        <f>'Unit Economics'!$E$50*'Assumptions'!$D$132*AC164</f>
        <v/>
      </c>
      <c r="AD170" s="16">
        <f>'Unit Economics'!$E$50*'Assumptions'!$D$132*AD164</f>
        <v/>
      </c>
      <c r="AE170" s="16">
        <f>'Unit Economics'!$E$50*'Assumptions'!$D$132*AE164</f>
        <v/>
      </c>
      <c r="AF170" s="16">
        <f>'Unit Economics'!$E$50*'Assumptions'!$D$132*AF164</f>
        <v/>
      </c>
      <c r="AG170" s="16">
        <f>'Unit Economics'!$E$50*'Assumptions'!$D$132*AG164</f>
        <v/>
      </c>
      <c r="AH170" s="16">
        <f>'Unit Economics'!$E$50*'Assumptions'!$D$132*AH164</f>
        <v/>
      </c>
      <c r="AI170" s="16">
        <f>'Unit Economics'!$E$50*'Assumptions'!$D$132*AI164</f>
        <v/>
      </c>
      <c r="AJ170" s="16">
        <f>'Unit Economics'!$E$50*'Assumptions'!$D$132*AJ164</f>
        <v/>
      </c>
      <c r="AK170" s="16">
        <f>'Unit Economics'!$E$50*'Assumptions'!$D$132*AK164</f>
        <v/>
      </c>
      <c r="AL170" s="16">
        <f>'Unit Economics'!$E$50*'Assumptions'!$D$132*AL164</f>
        <v/>
      </c>
    </row>
    <row r="171">
      <c r="A171" s="7" t="inlineStr">
        <is>
          <t xml:space="preserve">   Gross sales (price paid by customers)</t>
        </is>
      </c>
      <c r="B171" s="9" t="inlineStr">
        <is>
          <t>$</t>
        </is>
      </c>
      <c r="C171" s="8">
        <f>C169*'Unit Economics'!$E$50</f>
        <v/>
      </c>
      <c r="D171" s="8">
        <f>D169*'Unit Economics'!$E$50</f>
        <v/>
      </c>
      <c r="E171" s="8">
        <f>E169*'Unit Economics'!$E$50</f>
        <v/>
      </c>
      <c r="F171" s="8">
        <f>F169*'Unit Economics'!$E$50</f>
        <v/>
      </c>
      <c r="G171" s="8">
        <f>G169*'Unit Economics'!$E$50</f>
        <v/>
      </c>
      <c r="H171" s="8">
        <f>H169*'Unit Economics'!$E$50</f>
        <v/>
      </c>
      <c r="I171" s="8">
        <f>I169*'Unit Economics'!$E$50</f>
        <v/>
      </c>
      <c r="J171" s="8">
        <f>J169*'Unit Economics'!$E$50</f>
        <v/>
      </c>
      <c r="K171" s="8">
        <f>K169*'Unit Economics'!$E$50</f>
        <v/>
      </c>
      <c r="L171" s="8">
        <f>L169*'Unit Economics'!$E$50</f>
        <v/>
      </c>
      <c r="M171" s="8">
        <f>M169*'Unit Economics'!$E$50</f>
        <v/>
      </c>
      <c r="N171" s="8">
        <f>N169*'Unit Economics'!$E$50</f>
        <v/>
      </c>
      <c r="O171" s="8">
        <f>O169*'Unit Economics'!$E$50</f>
        <v/>
      </c>
      <c r="P171" s="8">
        <f>P169*'Unit Economics'!$E$50</f>
        <v/>
      </c>
      <c r="Q171" s="8">
        <f>Q169*'Unit Economics'!$E$50</f>
        <v/>
      </c>
      <c r="R171" s="8">
        <f>R169*'Unit Economics'!$E$50</f>
        <v/>
      </c>
      <c r="S171" s="8">
        <f>S169*'Unit Economics'!$E$50</f>
        <v/>
      </c>
      <c r="T171" s="8">
        <f>T169*'Unit Economics'!$E$50</f>
        <v/>
      </c>
      <c r="U171" s="8">
        <f>U169*'Unit Economics'!$E$50</f>
        <v/>
      </c>
      <c r="V171" s="8">
        <f>V169*'Unit Economics'!$E$50</f>
        <v/>
      </c>
      <c r="W171" s="8">
        <f>W169*'Unit Economics'!$E$50</f>
        <v/>
      </c>
      <c r="X171" s="8">
        <f>X169*'Unit Economics'!$E$50</f>
        <v/>
      </c>
      <c r="Y171" s="8">
        <f>Y169*'Unit Economics'!$E$50</f>
        <v/>
      </c>
      <c r="Z171" s="8">
        <f>Z169*'Unit Economics'!$E$50</f>
        <v/>
      </c>
      <c r="AA171" s="8">
        <f>AA169*'Unit Economics'!$E$50</f>
        <v/>
      </c>
      <c r="AB171" s="8">
        <f>AB169*'Unit Economics'!$E$50</f>
        <v/>
      </c>
      <c r="AC171" s="8">
        <f>AC169*'Unit Economics'!$E$50</f>
        <v/>
      </c>
      <c r="AD171" s="8">
        <f>AD169*'Unit Economics'!$E$50</f>
        <v/>
      </c>
      <c r="AE171" s="8">
        <f>AE169*'Unit Economics'!$E$50</f>
        <v/>
      </c>
      <c r="AF171" s="8">
        <f>AF169*'Unit Economics'!$E$50</f>
        <v/>
      </c>
      <c r="AG171" s="8">
        <f>AG169*'Unit Economics'!$E$50</f>
        <v/>
      </c>
      <c r="AH171" s="8">
        <f>AH169*'Unit Economics'!$E$50</f>
        <v/>
      </c>
      <c r="AI171" s="8">
        <f>AI169*'Unit Economics'!$E$50</f>
        <v/>
      </c>
      <c r="AJ171" s="8">
        <f>AJ169*'Unit Economics'!$E$50</f>
        <v/>
      </c>
      <c r="AK171" s="8">
        <f>AK169*'Unit Economics'!$E$50</f>
        <v/>
      </c>
      <c r="AL171" s="8">
        <f>AL169*'Unit Economics'!$E$50</f>
        <v/>
      </c>
      <c r="AM171" s="47">
        <f>SUMIF($C$6:$AL$6,1,C171:AL171)</f>
        <v/>
      </c>
      <c r="AN171" s="47">
        <f>SUMIF($C$6:$AL$6,2,C171:AL171)</f>
        <v/>
      </c>
      <c r="AO171" s="47">
        <f>SUMIF($C$6:$AL$6,3,C171:AL171)</f>
        <v/>
      </c>
      <c r="AP171" s="47">
        <f>SUM(C171:AL171)</f>
        <v/>
      </c>
    </row>
    <row r="172">
      <c r="A172" s="7" t="inlineStr">
        <is>
          <t xml:space="preserve">   Net contribution to AlphaPlay</t>
        </is>
      </c>
      <c r="B172" s="9" t="inlineStr">
        <is>
          <t>$</t>
        </is>
      </c>
      <c r="C172" s="8">
        <f>C169*'Unit Economics'!$F$50</f>
        <v/>
      </c>
      <c r="D172" s="8">
        <f>D169*'Unit Economics'!$F$50</f>
        <v/>
      </c>
      <c r="E172" s="8">
        <f>E169*'Unit Economics'!$F$50</f>
        <v/>
      </c>
      <c r="F172" s="8">
        <f>F169*'Unit Economics'!$F$50</f>
        <v/>
      </c>
      <c r="G172" s="8">
        <f>G169*'Unit Economics'!$F$50</f>
        <v/>
      </c>
      <c r="H172" s="8">
        <f>H169*'Unit Economics'!$F$50</f>
        <v/>
      </c>
      <c r="I172" s="8">
        <f>I169*'Unit Economics'!$F$50</f>
        <v/>
      </c>
      <c r="J172" s="8">
        <f>J169*'Unit Economics'!$F$50</f>
        <v/>
      </c>
      <c r="K172" s="8">
        <f>K169*'Unit Economics'!$F$50</f>
        <v/>
      </c>
      <c r="L172" s="8">
        <f>L169*'Unit Economics'!$F$50</f>
        <v/>
      </c>
      <c r="M172" s="8">
        <f>M169*'Unit Economics'!$F$50</f>
        <v/>
      </c>
      <c r="N172" s="8">
        <f>N169*'Unit Economics'!$F$50</f>
        <v/>
      </c>
      <c r="O172" s="8">
        <f>O169*'Unit Economics'!$F$50</f>
        <v/>
      </c>
      <c r="P172" s="8">
        <f>P169*'Unit Economics'!$F$50</f>
        <v/>
      </c>
      <c r="Q172" s="8">
        <f>Q169*'Unit Economics'!$F$50</f>
        <v/>
      </c>
      <c r="R172" s="8">
        <f>R169*'Unit Economics'!$F$50</f>
        <v/>
      </c>
      <c r="S172" s="8">
        <f>S169*'Unit Economics'!$F$50</f>
        <v/>
      </c>
      <c r="T172" s="8">
        <f>T169*'Unit Economics'!$F$50</f>
        <v/>
      </c>
      <c r="U172" s="8">
        <f>U169*'Unit Economics'!$F$50</f>
        <v/>
      </c>
      <c r="V172" s="8">
        <f>V169*'Unit Economics'!$F$50</f>
        <v/>
      </c>
      <c r="W172" s="8">
        <f>W169*'Unit Economics'!$F$50</f>
        <v/>
      </c>
      <c r="X172" s="8">
        <f>X169*'Unit Economics'!$F$50</f>
        <v/>
      </c>
      <c r="Y172" s="8">
        <f>Y169*'Unit Economics'!$F$50</f>
        <v/>
      </c>
      <c r="Z172" s="8">
        <f>Z169*'Unit Economics'!$F$50</f>
        <v/>
      </c>
      <c r="AA172" s="8">
        <f>AA169*'Unit Economics'!$F$50</f>
        <v/>
      </c>
      <c r="AB172" s="8">
        <f>AB169*'Unit Economics'!$F$50</f>
        <v/>
      </c>
      <c r="AC172" s="8">
        <f>AC169*'Unit Economics'!$F$50</f>
        <v/>
      </c>
      <c r="AD172" s="8">
        <f>AD169*'Unit Economics'!$F$50</f>
        <v/>
      </c>
      <c r="AE172" s="8">
        <f>AE169*'Unit Economics'!$F$50</f>
        <v/>
      </c>
      <c r="AF172" s="8">
        <f>AF169*'Unit Economics'!$F$50</f>
        <v/>
      </c>
      <c r="AG172" s="8">
        <f>AG169*'Unit Economics'!$F$50</f>
        <v/>
      </c>
      <c r="AH172" s="8">
        <f>AH169*'Unit Economics'!$F$50</f>
        <v/>
      </c>
      <c r="AI172" s="8">
        <f>AI169*'Unit Economics'!$F$50</f>
        <v/>
      </c>
      <c r="AJ172" s="8">
        <f>AJ169*'Unit Economics'!$F$50</f>
        <v/>
      </c>
      <c r="AK172" s="8">
        <f>AK169*'Unit Economics'!$F$50</f>
        <v/>
      </c>
      <c r="AL172" s="8">
        <f>AL169*'Unit Economics'!$F$50</f>
        <v/>
      </c>
      <c r="AM172" s="47">
        <f>SUMIF($C$6:$AL$6,1,C172:AL172)</f>
        <v/>
      </c>
      <c r="AN172" s="47">
        <f>SUMIF($C$6:$AL$6,2,C172:AL172)</f>
        <v/>
      </c>
      <c r="AO172" s="47">
        <f>SUMIF($C$6:$AL$6,3,C172:AL172)</f>
        <v/>
      </c>
      <c r="AP172" s="47">
        <f>SUM(C172:AL172)</f>
        <v/>
      </c>
    </row>
    <row r="173">
      <c r="A173" s="5" t="inlineStr">
        <is>
          <t>Amazon KDP: paperbacks</t>
        </is>
      </c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  <c r="AC173" s="6" t="n"/>
      <c r="AD173" s="6" t="n"/>
      <c r="AE173" s="6" t="n"/>
      <c r="AF173" s="6" t="n"/>
      <c r="AG173" s="6" t="n"/>
      <c r="AH173" s="6" t="n"/>
      <c r="AI173" s="6" t="n"/>
      <c r="AJ173" s="6" t="n"/>
      <c r="AK173" s="6" t="n"/>
      <c r="AL173" s="6" t="n"/>
      <c r="AM173" s="6" t="n"/>
      <c r="AN173" s="6" t="n"/>
      <c r="AO173" s="6" t="n"/>
      <c r="AP173" s="6" t="n"/>
    </row>
    <row r="174">
      <c r="A174" s="7" t="inlineStr">
        <is>
          <t xml:space="preserve">   Active (1 = live)</t>
        </is>
      </c>
      <c r="B174" s="9" t="inlineStr">
        <is>
          <t>flag</t>
        </is>
      </c>
      <c r="C174" s="18">
        <f>IF(AND('Assumptions'!$D$134=1,C$4&gt;=MAX('Assumptions'!$D$135,'Assumptions'!$C$9)),1,0)</f>
        <v/>
      </c>
      <c r="D174" s="18">
        <f>IF(AND('Assumptions'!$D$134=1,D$4&gt;=MAX('Assumptions'!$D$135,'Assumptions'!$C$9)),1,0)</f>
        <v/>
      </c>
      <c r="E174" s="18">
        <f>IF(AND('Assumptions'!$D$134=1,E$4&gt;=MAX('Assumptions'!$D$135,'Assumptions'!$C$9)),1,0)</f>
        <v/>
      </c>
      <c r="F174" s="18">
        <f>IF(AND('Assumptions'!$D$134=1,F$4&gt;=MAX('Assumptions'!$D$135,'Assumptions'!$C$9)),1,0)</f>
        <v/>
      </c>
      <c r="G174" s="18">
        <f>IF(AND('Assumptions'!$D$134=1,G$4&gt;=MAX('Assumptions'!$D$135,'Assumptions'!$C$9)),1,0)</f>
        <v/>
      </c>
      <c r="H174" s="18">
        <f>IF(AND('Assumptions'!$D$134=1,H$4&gt;=MAX('Assumptions'!$D$135,'Assumptions'!$C$9)),1,0)</f>
        <v/>
      </c>
      <c r="I174" s="18">
        <f>IF(AND('Assumptions'!$D$134=1,I$4&gt;=MAX('Assumptions'!$D$135,'Assumptions'!$C$9)),1,0)</f>
        <v/>
      </c>
      <c r="J174" s="18">
        <f>IF(AND('Assumptions'!$D$134=1,J$4&gt;=MAX('Assumptions'!$D$135,'Assumptions'!$C$9)),1,0)</f>
        <v/>
      </c>
      <c r="K174" s="18">
        <f>IF(AND('Assumptions'!$D$134=1,K$4&gt;=MAX('Assumptions'!$D$135,'Assumptions'!$C$9)),1,0)</f>
        <v/>
      </c>
      <c r="L174" s="18">
        <f>IF(AND('Assumptions'!$D$134=1,L$4&gt;=MAX('Assumptions'!$D$135,'Assumptions'!$C$9)),1,0)</f>
        <v/>
      </c>
      <c r="M174" s="18">
        <f>IF(AND('Assumptions'!$D$134=1,M$4&gt;=MAX('Assumptions'!$D$135,'Assumptions'!$C$9)),1,0)</f>
        <v/>
      </c>
      <c r="N174" s="18">
        <f>IF(AND('Assumptions'!$D$134=1,N$4&gt;=MAX('Assumptions'!$D$135,'Assumptions'!$C$9)),1,0)</f>
        <v/>
      </c>
      <c r="O174" s="18">
        <f>IF(AND('Assumptions'!$D$134=1,O$4&gt;=MAX('Assumptions'!$D$135,'Assumptions'!$C$9)),1,0)</f>
        <v/>
      </c>
      <c r="P174" s="18">
        <f>IF(AND('Assumptions'!$D$134=1,P$4&gt;=MAX('Assumptions'!$D$135,'Assumptions'!$C$9)),1,0)</f>
        <v/>
      </c>
      <c r="Q174" s="18">
        <f>IF(AND('Assumptions'!$D$134=1,Q$4&gt;=MAX('Assumptions'!$D$135,'Assumptions'!$C$9)),1,0)</f>
        <v/>
      </c>
      <c r="R174" s="18">
        <f>IF(AND('Assumptions'!$D$134=1,R$4&gt;=MAX('Assumptions'!$D$135,'Assumptions'!$C$9)),1,0)</f>
        <v/>
      </c>
      <c r="S174" s="18">
        <f>IF(AND('Assumptions'!$D$134=1,S$4&gt;=MAX('Assumptions'!$D$135,'Assumptions'!$C$9)),1,0)</f>
        <v/>
      </c>
      <c r="T174" s="18">
        <f>IF(AND('Assumptions'!$D$134=1,T$4&gt;=MAX('Assumptions'!$D$135,'Assumptions'!$C$9)),1,0)</f>
        <v/>
      </c>
      <c r="U174" s="18">
        <f>IF(AND('Assumptions'!$D$134=1,U$4&gt;=MAX('Assumptions'!$D$135,'Assumptions'!$C$9)),1,0)</f>
        <v/>
      </c>
      <c r="V174" s="18">
        <f>IF(AND('Assumptions'!$D$134=1,V$4&gt;=MAX('Assumptions'!$D$135,'Assumptions'!$C$9)),1,0)</f>
        <v/>
      </c>
      <c r="W174" s="18">
        <f>IF(AND('Assumptions'!$D$134=1,W$4&gt;=MAX('Assumptions'!$D$135,'Assumptions'!$C$9)),1,0)</f>
        <v/>
      </c>
      <c r="X174" s="18">
        <f>IF(AND('Assumptions'!$D$134=1,X$4&gt;=MAX('Assumptions'!$D$135,'Assumptions'!$C$9)),1,0)</f>
        <v/>
      </c>
      <c r="Y174" s="18">
        <f>IF(AND('Assumptions'!$D$134=1,Y$4&gt;=MAX('Assumptions'!$D$135,'Assumptions'!$C$9)),1,0)</f>
        <v/>
      </c>
      <c r="Z174" s="18">
        <f>IF(AND('Assumptions'!$D$134=1,Z$4&gt;=MAX('Assumptions'!$D$135,'Assumptions'!$C$9)),1,0)</f>
        <v/>
      </c>
      <c r="AA174" s="18">
        <f>IF(AND('Assumptions'!$D$134=1,AA$4&gt;=MAX('Assumptions'!$D$135,'Assumptions'!$C$9)),1,0)</f>
        <v/>
      </c>
      <c r="AB174" s="18">
        <f>IF(AND('Assumptions'!$D$134=1,AB$4&gt;=MAX('Assumptions'!$D$135,'Assumptions'!$C$9)),1,0)</f>
        <v/>
      </c>
      <c r="AC174" s="18">
        <f>IF(AND('Assumptions'!$D$134=1,AC$4&gt;=MAX('Assumptions'!$D$135,'Assumptions'!$C$9)),1,0)</f>
        <v/>
      </c>
      <c r="AD174" s="18">
        <f>IF(AND('Assumptions'!$D$134=1,AD$4&gt;=MAX('Assumptions'!$D$135,'Assumptions'!$C$9)),1,0)</f>
        <v/>
      </c>
      <c r="AE174" s="18">
        <f>IF(AND('Assumptions'!$D$134=1,AE$4&gt;=MAX('Assumptions'!$D$135,'Assumptions'!$C$9)),1,0)</f>
        <v/>
      </c>
      <c r="AF174" s="18">
        <f>IF(AND('Assumptions'!$D$134=1,AF$4&gt;=MAX('Assumptions'!$D$135,'Assumptions'!$C$9)),1,0)</f>
        <v/>
      </c>
      <c r="AG174" s="18">
        <f>IF(AND('Assumptions'!$D$134=1,AG$4&gt;=MAX('Assumptions'!$D$135,'Assumptions'!$C$9)),1,0)</f>
        <v/>
      </c>
      <c r="AH174" s="18">
        <f>IF(AND('Assumptions'!$D$134=1,AH$4&gt;=MAX('Assumptions'!$D$135,'Assumptions'!$C$9)),1,0)</f>
        <v/>
      </c>
      <c r="AI174" s="18">
        <f>IF(AND('Assumptions'!$D$134=1,AI$4&gt;=MAX('Assumptions'!$D$135,'Assumptions'!$C$9)),1,0)</f>
        <v/>
      </c>
      <c r="AJ174" s="18">
        <f>IF(AND('Assumptions'!$D$134=1,AJ$4&gt;=MAX('Assumptions'!$D$135,'Assumptions'!$C$9)),1,0)</f>
        <v/>
      </c>
      <c r="AK174" s="18">
        <f>IF(AND('Assumptions'!$D$134=1,AK$4&gt;=MAX('Assumptions'!$D$135,'Assumptions'!$C$9)),1,0)</f>
        <v/>
      </c>
      <c r="AL174" s="18">
        <f>IF(AND('Assumptions'!$D$134=1,AL$4&gt;=MAX('Assumptions'!$D$135,'Assumptions'!$C$9)),1,0)</f>
        <v/>
      </c>
    </row>
    <row r="175">
      <c r="A175" s="7" t="inlineStr">
        <is>
          <t xml:space="preserve">   Titles live</t>
        </is>
      </c>
      <c r="B175" s="9" t="inlineStr">
        <is>
          <t>titles</t>
        </is>
      </c>
      <c r="C175" s="14">
        <f>IF(C174=0,0,MIN('Assumptions'!$D$138,'Assumptions'!$D$136+'Assumptions'!$D$137*(C$4-MAX('Assumptions'!$D$135,'Assumptions'!$C$9))))</f>
        <v/>
      </c>
      <c r="D175" s="14">
        <f>IF(D174=0,0,MIN('Assumptions'!$D$138,'Assumptions'!$D$136+'Assumptions'!$D$137*(D$4-MAX('Assumptions'!$D$135,'Assumptions'!$C$9))))</f>
        <v/>
      </c>
      <c r="E175" s="14">
        <f>IF(E174=0,0,MIN('Assumptions'!$D$138,'Assumptions'!$D$136+'Assumptions'!$D$137*(E$4-MAX('Assumptions'!$D$135,'Assumptions'!$C$9))))</f>
        <v/>
      </c>
      <c r="F175" s="14">
        <f>IF(F174=0,0,MIN('Assumptions'!$D$138,'Assumptions'!$D$136+'Assumptions'!$D$137*(F$4-MAX('Assumptions'!$D$135,'Assumptions'!$C$9))))</f>
        <v/>
      </c>
      <c r="G175" s="14">
        <f>IF(G174=0,0,MIN('Assumptions'!$D$138,'Assumptions'!$D$136+'Assumptions'!$D$137*(G$4-MAX('Assumptions'!$D$135,'Assumptions'!$C$9))))</f>
        <v/>
      </c>
      <c r="H175" s="14">
        <f>IF(H174=0,0,MIN('Assumptions'!$D$138,'Assumptions'!$D$136+'Assumptions'!$D$137*(H$4-MAX('Assumptions'!$D$135,'Assumptions'!$C$9))))</f>
        <v/>
      </c>
      <c r="I175" s="14">
        <f>IF(I174=0,0,MIN('Assumptions'!$D$138,'Assumptions'!$D$136+'Assumptions'!$D$137*(I$4-MAX('Assumptions'!$D$135,'Assumptions'!$C$9))))</f>
        <v/>
      </c>
      <c r="J175" s="14">
        <f>IF(J174=0,0,MIN('Assumptions'!$D$138,'Assumptions'!$D$136+'Assumptions'!$D$137*(J$4-MAX('Assumptions'!$D$135,'Assumptions'!$C$9))))</f>
        <v/>
      </c>
      <c r="K175" s="14">
        <f>IF(K174=0,0,MIN('Assumptions'!$D$138,'Assumptions'!$D$136+'Assumptions'!$D$137*(K$4-MAX('Assumptions'!$D$135,'Assumptions'!$C$9))))</f>
        <v/>
      </c>
      <c r="L175" s="14">
        <f>IF(L174=0,0,MIN('Assumptions'!$D$138,'Assumptions'!$D$136+'Assumptions'!$D$137*(L$4-MAX('Assumptions'!$D$135,'Assumptions'!$C$9))))</f>
        <v/>
      </c>
      <c r="M175" s="14">
        <f>IF(M174=0,0,MIN('Assumptions'!$D$138,'Assumptions'!$D$136+'Assumptions'!$D$137*(M$4-MAX('Assumptions'!$D$135,'Assumptions'!$C$9))))</f>
        <v/>
      </c>
      <c r="N175" s="14">
        <f>IF(N174=0,0,MIN('Assumptions'!$D$138,'Assumptions'!$D$136+'Assumptions'!$D$137*(N$4-MAX('Assumptions'!$D$135,'Assumptions'!$C$9))))</f>
        <v/>
      </c>
      <c r="O175" s="14">
        <f>IF(O174=0,0,MIN('Assumptions'!$D$138,'Assumptions'!$D$136+'Assumptions'!$D$137*(O$4-MAX('Assumptions'!$D$135,'Assumptions'!$C$9))))</f>
        <v/>
      </c>
      <c r="P175" s="14">
        <f>IF(P174=0,0,MIN('Assumptions'!$D$138,'Assumptions'!$D$136+'Assumptions'!$D$137*(P$4-MAX('Assumptions'!$D$135,'Assumptions'!$C$9))))</f>
        <v/>
      </c>
      <c r="Q175" s="14">
        <f>IF(Q174=0,0,MIN('Assumptions'!$D$138,'Assumptions'!$D$136+'Assumptions'!$D$137*(Q$4-MAX('Assumptions'!$D$135,'Assumptions'!$C$9))))</f>
        <v/>
      </c>
      <c r="R175" s="14">
        <f>IF(R174=0,0,MIN('Assumptions'!$D$138,'Assumptions'!$D$136+'Assumptions'!$D$137*(R$4-MAX('Assumptions'!$D$135,'Assumptions'!$C$9))))</f>
        <v/>
      </c>
      <c r="S175" s="14">
        <f>IF(S174=0,0,MIN('Assumptions'!$D$138,'Assumptions'!$D$136+'Assumptions'!$D$137*(S$4-MAX('Assumptions'!$D$135,'Assumptions'!$C$9))))</f>
        <v/>
      </c>
      <c r="T175" s="14">
        <f>IF(T174=0,0,MIN('Assumptions'!$D$138,'Assumptions'!$D$136+'Assumptions'!$D$137*(T$4-MAX('Assumptions'!$D$135,'Assumptions'!$C$9))))</f>
        <v/>
      </c>
      <c r="U175" s="14">
        <f>IF(U174=0,0,MIN('Assumptions'!$D$138,'Assumptions'!$D$136+'Assumptions'!$D$137*(U$4-MAX('Assumptions'!$D$135,'Assumptions'!$C$9))))</f>
        <v/>
      </c>
      <c r="V175" s="14">
        <f>IF(V174=0,0,MIN('Assumptions'!$D$138,'Assumptions'!$D$136+'Assumptions'!$D$137*(V$4-MAX('Assumptions'!$D$135,'Assumptions'!$C$9))))</f>
        <v/>
      </c>
      <c r="W175" s="14">
        <f>IF(W174=0,0,MIN('Assumptions'!$D$138,'Assumptions'!$D$136+'Assumptions'!$D$137*(W$4-MAX('Assumptions'!$D$135,'Assumptions'!$C$9))))</f>
        <v/>
      </c>
      <c r="X175" s="14">
        <f>IF(X174=0,0,MIN('Assumptions'!$D$138,'Assumptions'!$D$136+'Assumptions'!$D$137*(X$4-MAX('Assumptions'!$D$135,'Assumptions'!$C$9))))</f>
        <v/>
      </c>
      <c r="Y175" s="14">
        <f>IF(Y174=0,0,MIN('Assumptions'!$D$138,'Assumptions'!$D$136+'Assumptions'!$D$137*(Y$4-MAX('Assumptions'!$D$135,'Assumptions'!$C$9))))</f>
        <v/>
      </c>
      <c r="Z175" s="14">
        <f>IF(Z174=0,0,MIN('Assumptions'!$D$138,'Assumptions'!$D$136+'Assumptions'!$D$137*(Z$4-MAX('Assumptions'!$D$135,'Assumptions'!$C$9))))</f>
        <v/>
      </c>
      <c r="AA175" s="14">
        <f>IF(AA174=0,0,MIN('Assumptions'!$D$138,'Assumptions'!$D$136+'Assumptions'!$D$137*(AA$4-MAX('Assumptions'!$D$135,'Assumptions'!$C$9))))</f>
        <v/>
      </c>
      <c r="AB175" s="14">
        <f>IF(AB174=0,0,MIN('Assumptions'!$D$138,'Assumptions'!$D$136+'Assumptions'!$D$137*(AB$4-MAX('Assumptions'!$D$135,'Assumptions'!$C$9))))</f>
        <v/>
      </c>
      <c r="AC175" s="14">
        <f>IF(AC174=0,0,MIN('Assumptions'!$D$138,'Assumptions'!$D$136+'Assumptions'!$D$137*(AC$4-MAX('Assumptions'!$D$135,'Assumptions'!$C$9))))</f>
        <v/>
      </c>
      <c r="AD175" s="14">
        <f>IF(AD174=0,0,MIN('Assumptions'!$D$138,'Assumptions'!$D$136+'Assumptions'!$D$137*(AD$4-MAX('Assumptions'!$D$135,'Assumptions'!$C$9))))</f>
        <v/>
      </c>
      <c r="AE175" s="14">
        <f>IF(AE174=0,0,MIN('Assumptions'!$D$138,'Assumptions'!$D$136+'Assumptions'!$D$137*(AE$4-MAX('Assumptions'!$D$135,'Assumptions'!$C$9))))</f>
        <v/>
      </c>
      <c r="AF175" s="14">
        <f>IF(AF174=0,0,MIN('Assumptions'!$D$138,'Assumptions'!$D$136+'Assumptions'!$D$137*(AF$4-MAX('Assumptions'!$D$135,'Assumptions'!$C$9))))</f>
        <v/>
      </c>
      <c r="AG175" s="14">
        <f>IF(AG174=0,0,MIN('Assumptions'!$D$138,'Assumptions'!$D$136+'Assumptions'!$D$137*(AG$4-MAX('Assumptions'!$D$135,'Assumptions'!$C$9))))</f>
        <v/>
      </c>
      <c r="AH175" s="14">
        <f>IF(AH174=0,0,MIN('Assumptions'!$D$138,'Assumptions'!$D$136+'Assumptions'!$D$137*(AH$4-MAX('Assumptions'!$D$135,'Assumptions'!$C$9))))</f>
        <v/>
      </c>
      <c r="AI175" s="14">
        <f>IF(AI174=0,0,MIN('Assumptions'!$D$138,'Assumptions'!$D$136+'Assumptions'!$D$137*(AI$4-MAX('Assumptions'!$D$135,'Assumptions'!$C$9))))</f>
        <v/>
      </c>
      <c r="AJ175" s="14">
        <f>IF(AJ174=0,0,MIN('Assumptions'!$D$138,'Assumptions'!$D$136+'Assumptions'!$D$137*(AJ$4-MAX('Assumptions'!$D$135,'Assumptions'!$C$9))))</f>
        <v/>
      </c>
      <c r="AK175" s="14">
        <f>IF(AK174=0,0,MIN('Assumptions'!$D$138,'Assumptions'!$D$136+'Assumptions'!$D$137*(AK$4-MAX('Assumptions'!$D$135,'Assumptions'!$C$9))))</f>
        <v/>
      </c>
      <c r="AL175" s="14">
        <f>IF(AL174=0,0,MIN('Assumptions'!$D$138,'Assumptions'!$D$136+'Assumptions'!$D$137*(AL$4-MAX('Assumptions'!$D$135,'Assumptions'!$C$9))))</f>
        <v/>
      </c>
    </row>
    <row r="176">
      <c r="A176" s="7" t="inlineStr">
        <is>
          <t xml:space="preserve">   Title-months live (titles x season)</t>
        </is>
      </c>
      <c r="B176" s="9" t="inlineStr">
        <is>
          <t>title-mo</t>
        </is>
      </c>
      <c r="C176" s="56">
        <f>C175*C$7</f>
        <v/>
      </c>
      <c r="D176" s="56">
        <f>D175*D$7</f>
        <v/>
      </c>
      <c r="E176" s="56">
        <f>E175*E$7</f>
        <v/>
      </c>
      <c r="F176" s="56">
        <f>F175*F$7</f>
        <v/>
      </c>
      <c r="G176" s="56">
        <f>G175*G$7</f>
        <v/>
      </c>
      <c r="H176" s="56">
        <f>H175*H$7</f>
        <v/>
      </c>
      <c r="I176" s="56">
        <f>I175*I$7</f>
        <v/>
      </c>
      <c r="J176" s="56">
        <f>J175*J$7</f>
        <v/>
      </c>
      <c r="K176" s="56">
        <f>K175*K$7</f>
        <v/>
      </c>
      <c r="L176" s="56">
        <f>L175*L$7</f>
        <v/>
      </c>
      <c r="M176" s="56">
        <f>M175*M$7</f>
        <v/>
      </c>
      <c r="N176" s="56">
        <f>N175*N$7</f>
        <v/>
      </c>
      <c r="O176" s="56">
        <f>O175*O$7</f>
        <v/>
      </c>
      <c r="P176" s="56">
        <f>P175*P$7</f>
        <v/>
      </c>
      <c r="Q176" s="56">
        <f>Q175*Q$7</f>
        <v/>
      </c>
      <c r="R176" s="56">
        <f>R175*R$7</f>
        <v/>
      </c>
      <c r="S176" s="56">
        <f>S175*S$7</f>
        <v/>
      </c>
      <c r="T176" s="56">
        <f>T175*T$7</f>
        <v/>
      </c>
      <c r="U176" s="56">
        <f>U175*U$7</f>
        <v/>
      </c>
      <c r="V176" s="56">
        <f>V175*V$7</f>
        <v/>
      </c>
      <c r="W176" s="56">
        <f>W175*W$7</f>
        <v/>
      </c>
      <c r="X176" s="56">
        <f>X175*X$7</f>
        <v/>
      </c>
      <c r="Y176" s="56">
        <f>Y175*Y$7</f>
        <v/>
      </c>
      <c r="Z176" s="56">
        <f>Z175*Z$7</f>
        <v/>
      </c>
      <c r="AA176" s="56">
        <f>AA175*AA$7</f>
        <v/>
      </c>
      <c r="AB176" s="56">
        <f>AB175*AB$7</f>
        <v/>
      </c>
      <c r="AC176" s="56">
        <f>AC175*AC$7</f>
        <v/>
      </c>
      <c r="AD176" s="56">
        <f>AD175*AD$7</f>
        <v/>
      </c>
      <c r="AE176" s="56">
        <f>AE175*AE$7</f>
        <v/>
      </c>
      <c r="AF176" s="56">
        <f>AF175*AF$7</f>
        <v/>
      </c>
      <c r="AG176" s="56">
        <f>AG175*AG$7</f>
        <v/>
      </c>
      <c r="AH176" s="56">
        <f>AH175*AH$7</f>
        <v/>
      </c>
      <c r="AI176" s="56">
        <f>AI175*AI$7</f>
        <v/>
      </c>
      <c r="AJ176" s="56">
        <f>AJ175*AJ$7</f>
        <v/>
      </c>
      <c r="AK176" s="56">
        <f>AK175*AK$7</f>
        <v/>
      </c>
      <c r="AL176" s="56">
        <f>AL175*AL$7</f>
        <v/>
      </c>
      <c r="AM176" s="57">
        <f>SUMIF($C$6:$AL$6,1,C176:AL176)</f>
        <v/>
      </c>
      <c r="AN176" s="57">
        <f>SUMIF($C$6:$AL$6,2,C176:AL176)</f>
        <v/>
      </c>
      <c r="AO176" s="57">
        <f>SUMIF($C$6:$AL$6,3,C176:AL176)</f>
        <v/>
      </c>
      <c r="AP176" s="57">
        <f>SUM(C176:AL176)</f>
        <v/>
      </c>
    </row>
    <row r="177">
      <c r="A177" s="7" t="inlineStr">
        <is>
          <t xml:space="preserve">   Units per title per month (with review ramp)</t>
        </is>
      </c>
      <c r="B177" s="9" t="inlineStr">
        <is>
          <t>units</t>
        </is>
      </c>
      <c r="C177" s="51">
        <f>'Assumptions'!$D$139*MIN(1,(C$4-MAX('Assumptions'!$D$135,'Assumptions'!$C$9)+1)/'Assumptions'!$C$11)*C174</f>
        <v/>
      </c>
      <c r="D177" s="51">
        <f>'Assumptions'!$D$139*MIN(1,(D$4-MAX('Assumptions'!$D$135,'Assumptions'!$C$9)+1)/'Assumptions'!$C$11)*D174</f>
        <v/>
      </c>
      <c r="E177" s="51">
        <f>'Assumptions'!$D$139*MIN(1,(E$4-MAX('Assumptions'!$D$135,'Assumptions'!$C$9)+1)/'Assumptions'!$C$11)*E174</f>
        <v/>
      </c>
      <c r="F177" s="51">
        <f>'Assumptions'!$D$139*MIN(1,(F$4-MAX('Assumptions'!$D$135,'Assumptions'!$C$9)+1)/'Assumptions'!$C$11)*F174</f>
        <v/>
      </c>
      <c r="G177" s="51">
        <f>'Assumptions'!$D$139*MIN(1,(G$4-MAX('Assumptions'!$D$135,'Assumptions'!$C$9)+1)/'Assumptions'!$C$11)*G174</f>
        <v/>
      </c>
      <c r="H177" s="51">
        <f>'Assumptions'!$D$139*MIN(1,(H$4-MAX('Assumptions'!$D$135,'Assumptions'!$C$9)+1)/'Assumptions'!$C$11)*H174</f>
        <v/>
      </c>
      <c r="I177" s="51">
        <f>'Assumptions'!$D$139*MIN(1,(I$4-MAX('Assumptions'!$D$135,'Assumptions'!$C$9)+1)/'Assumptions'!$C$11)*I174</f>
        <v/>
      </c>
      <c r="J177" s="51">
        <f>'Assumptions'!$D$139*MIN(1,(J$4-MAX('Assumptions'!$D$135,'Assumptions'!$C$9)+1)/'Assumptions'!$C$11)*J174</f>
        <v/>
      </c>
      <c r="K177" s="51">
        <f>'Assumptions'!$D$139*MIN(1,(K$4-MAX('Assumptions'!$D$135,'Assumptions'!$C$9)+1)/'Assumptions'!$C$11)*K174</f>
        <v/>
      </c>
      <c r="L177" s="51">
        <f>'Assumptions'!$D$139*MIN(1,(L$4-MAX('Assumptions'!$D$135,'Assumptions'!$C$9)+1)/'Assumptions'!$C$11)*L174</f>
        <v/>
      </c>
      <c r="M177" s="51">
        <f>'Assumptions'!$D$139*MIN(1,(M$4-MAX('Assumptions'!$D$135,'Assumptions'!$C$9)+1)/'Assumptions'!$C$11)*M174</f>
        <v/>
      </c>
      <c r="N177" s="51">
        <f>'Assumptions'!$D$139*MIN(1,(N$4-MAX('Assumptions'!$D$135,'Assumptions'!$C$9)+1)/'Assumptions'!$C$11)*N174</f>
        <v/>
      </c>
      <c r="O177" s="51">
        <f>'Assumptions'!$D$139*MIN(1,(O$4-MAX('Assumptions'!$D$135,'Assumptions'!$C$9)+1)/'Assumptions'!$C$11)*O174</f>
        <v/>
      </c>
      <c r="P177" s="51">
        <f>'Assumptions'!$D$139*MIN(1,(P$4-MAX('Assumptions'!$D$135,'Assumptions'!$C$9)+1)/'Assumptions'!$C$11)*P174</f>
        <v/>
      </c>
      <c r="Q177" s="51">
        <f>'Assumptions'!$D$139*MIN(1,(Q$4-MAX('Assumptions'!$D$135,'Assumptions'!$C$9)+1)/'Assumptions'!$C$11)*Q174</f>
        <v/>
      </c>
      <c r="R177" s="51">
        <f>'Assumptions'!$D$139*MIN(1,(R$4-MAX('Assumptions'!$D$135,'Assumptions'!$C$9)+1)/'Assumptions'!$C$11)*R174</f>
        <v/>
      </c>
      <c r="S177" s="51">
        <f>'Assumptions'!$D$139*MIN(1,(S$4-MAX('Assumptions'!$D$135,'Assumptions'!$C$9)+1)/'Assumptions'!$C$11)*S174</f>
        <v/>
      </c>
      <c r="T177" s="51">
        <f>'Assumptions'!$D$139*MIN(1,(T$4-MAX('Assumptions'!$D$135,'Assumptions'!$C$9)+1)/'Assumptions'!$C$11)*T174</f>
        <v/>
      </c>
      <c r="U177" s="51">
        <f>'Assumptions'!$D$139*MIN(1,(U$4-MAX('Assumptions'!$D$135,'Assumptions'!$C$9)+1)/'Assumptions'!$C$11)*U174</f>
        <v/>
      </c>
      <c r="V177" s="51">
        <f>'Assumptions'!$D$139*MIN(1,(V$4-MAX('Assumptions'!$D$135,'Assumptions'!$C$9)+1)/'Assumptions'!$C$11)*V174</f>
        <v/>
      </c>
      <c r="W177" s="51">
        <f>'Assumptions'!$D$139*MIN(1,(W$4-MAX('Assumptions'!$D$135,'Assumptions'!$C$9)+1)/'Assumptions'!$C$11)*W174</f>
        <v/>
      </c>
      <c r="X177" s="51">
        <f>'Assumptions'!$D$139*MIN(1,(X$4-MAX('Assumptions'!$D$135,'Assumptions'!$C$9)+1)/'Assumptions'!$C$11)*X174</f>
        <v/>
      </c>
      <c r="Y177" s="51">
        <f>'Assumptions'!$D$139*MIN(1,(Y$4-MAX('Assumptions'!$D$135,'Assumptions'!$C$9)+1)/'Assumptions'!$C$11)*Y174</f>
        <v/>
      </c>
      <c r="Z177" s="51">
        <f>'Assumptions'!$D$139*MIN(1,(Z$4-MAX('Assumptions'!$D$135,'Assumptions'!$C$9)+1)/'Assumptions'!$C$11)*Z174</f>
        <v/>
      </c>
      <c r="AA177" s="51">
        <f>'Assumptions'!$D$139*MIN(1,(AA$4-MAX('Assumptions'!$D$135,'Assumptions'!$C$9)+1)/'Assumptions'!$C$11)*AA174</f>
        <v/>
      </c>
      <c r="AB177" s="51">
        <f>'Assumptions'!$D$139*MIN(1,(AB$4-MAX('Assumptions'!$D$135,'Assumptions'!$C$9)+1)/'Assumptions'!$C$11)*AB174</f>
        <v/>
      </c>
      <c r="AC177" s="51">
        <f>'Assumptions'!$D$139*MIN(1,(AC$4-MAX('Assumptions'!$D$135,'Assumptions'!$C$9)+1)/'Assumptions'!$C$11)*AC174</f>
        <v/>
      </c>
      <c r="AD177" s="51">
        <f>'Assumptions'!$D$139*MIN(1,(AD$4-MAX('Assumptions'!$D$135,'Assumptions'!$C$9)+1)/'Assumptions'!$C$11)*AD174</f>
        <v/>
      </c>
      <c r="AE177" s="51">
        <f>'Assumptions'!$D$139*MIN(1,(AE$4-MAX('Assumptions'!$D$135,'Assumptions'!$C$9)+1)/'Assumptions'!$C$11)*AE174</f>
        <v/>
      </c>
      <c r="AF177" s="51">
        <f>'Assumptions'!$D$139*MIN(1,(AF$4-MAX('Assumptions'!$D$135,'Assumptions'!$C$9)+1)/'Assumptions'!$C$11)*AF174</f>
        <v/>
      </c>
      <c r="AG177" s="51">
        <f>'Assumptions'!$D$139*MIN(1,(AG$4-MAX('Assumptions'!$D$135,'Assumptions'!$C$9)+1)/'Assumptions'!$C$11)*AG174</f>
        <v/>
      </c>
      <c r="AH177" s="51">
        <f>'Assumptions'!$D$139*MIN(1,(AH$4-MAX('Assumptions'!$D$135,'Assumptions'!$C$9)+1)/'Assumptions'!$C$11)*AH174</f>
        <v/>
      </c>
      <c r="AI177" s="51">
        <f>'Assumptions'!$D$139*MIN(1,(AI$4-MAX('Assumptions'!$D$135,'Assumptions'!$C$9)+1)/'Assumptions'!$C$11)*AI174</f>
        <v/>
      </c>
      <c r="AJ177" s="51">
        <f>'Assumptions'!$D$139*MIN(1,(AJ$4-MAX('Assumptions'!$D$135,'Assumptions'!$C$9)+1)/'Assumptions'!$C$11)*AJ174</f>
        <v/>
      </c>
      <c r="AK177" s="51">
        <f>'Assumptions'!$D$139*MIN(1,(AK$4-MAX('Assumptions'!$D$135,'Assumptions'!$C$9)+1)/'Assumptions'!$C$11)*AK174</f>
        <v/>
      </c>
      <c r="AL177" s="51">
        <f>'Assumptions'!$D$139*MIN(1,(AL$4-MAX('Assumptions'!$D$135,'Assumptions'!$C$9)+1)/'Assumptions'!$C$11)*AL174</f>
        <v/>
      </c>
    </row>
    <row r="178">
      <c r="A178" s="7" t="inlineStr">
        <is>
          <t xml:space="preserve">   Orders</t>
        </is>
      </c>
      <c r="B178" s="9" t="inlineStr">
        <is>
          <t>orders</t>
        </is>
      </c>
      <c r="C178" s="56">
        <f>C176*C177</f>
        <v/>
      </c>
      <c r="D178" s="56">
        <f>D176*D177</f>
        <v/>
      </c>
      <c r="E178" s="56">
        <f>E176*E177</f>
        <v/>
      </c>
      <c r="F178" s="56">
        <f>F176*F177</f>
        <v/>
      </c>
      <c r="G178" s="56">
        <f>G176*G177</f>
        <v/>
      </c>
      <c r="H178" s="56">
        <f>H176*H177</f>
        <v/>
      </c>
      <c r="I178" s="56">
        <f>I176*I177</f>
        <v/>
      </c>
      <c r="J178" s="56">
        <f>J176*J177</f>
        <v/>
      </c>
      <c r="K178" s="56">
        <f>K176*K177</f>
        <v/>
      </c>
      <c r="L178" s="56">
        <f>L176*L177</f>
        <v/>
      </c>
      <c r="M178" s="56">
        <f>M176*M177</f>
        <v/>
      </c>
      <c r="N178" s="56">
        <f>N176*N177</f>
        <v/>
      </c>
      <c r="O178" s="56">
        <f>O176*O177</f>
        <v/>
      </c>
      <c r="P178" s="56">
        <f>P176*P177</f>
        <v/>
      </c>
      <c r="Q178" s="56">
        <f>Q176*Q177</f>
        <v/>
      </c>
      <c r="R178" s="56">
        <f>R176*R177</f>
        <v/>
      </c>
      <c r="S178" s="56">
        <f>S176*S177</f>
        <v/>
      </c>
      <c r="T178" s="56">
        <f>T176*T177</f>
        <v/>
      </c>
      <c r="U178" s="56">
        <f>U176*U177</f>
        <v/>
      </c>
      <c r="V178" s="56">
        <f>V176*V177</f>
        <v/>
      </c>
      <c r="W178" s="56">
        <f>W176*W177</f>
        <v/>
      </c>
      <c r="X178" s="56">
        <f>X176*X177</f>
        <v/>
      </c>
      <c r="Y178" s="56">
        <f>Y176*Y177</f>
        <v/>
      </c>
      <c r="Z178" s="56">
        <f>Z176*Z177</f>
        <v/>
      </c>
      <c r="AA178" s="56">
        <f>AA176*AA177</f>
        <v/>
      </c>
      <c r="AB178" s="56">
        <f>AB176*AB177</f>
        <v/>
      </c>
      <c r="AC178" s="56">
        <f>AC176*AC177</f>
        <v/>
      </c>
      <c r="AD178" s="56">
        <f>AD176*AD177</f>
        <v/>
      </c>
      <c r="AE178" s="56">
        <f>AE176*AE177</f>
        <v/>
      </c>
      <c r="AF178" s="56">
        <f>AF176*AF177</f>
        <v/>
      </c>
      <c r="AG178" s="56">
        <f>AG176*AG177</f>
        <v/>
      </c>
      <c r="AH178" s="56">
        <f>AH176*AH177</f>
        <v/>
      </c>
      <c r="AI178" s="56">
        <f>AI176*AI177</f>
        <v/>
      </c>
      <c r="AJ178" s="56">
        <f>AJ176*AJ177</f>
        <v/>
      </c>
      <c r="AK178" s="56">
        <f>AK176*AK177</f>
        <v/>
      </c>
      <c r="AL178" s="56">
        <f>AL176*AL177</f>
        <v/>
      </c>
      <c r="AM178" s="57">
        <f>SUMIF($C$6:$AL$6,1,C178:AL178)</f>
        <v/>
      </c>
      <c r="AN178" s="57">
        <f>SUMIF($C$6:$AL$6,2,C178:AL178)</f>
        <v/>
      </c>
      <c r="AO178" s="57">
        <f>SUMIF($C$6:$AL$6,3,C178:AL178)</f>
        <v/>
      </c>
      <c r="AP178" s="57">
        <f>SUM(C178:AL178)</f>
        <v/>
      </c>
    </row>
    <row r="179">
      <c r="A179" s="7" t="inlineStr">
        <is>
          <t xml:space="preserve">   Items sold</t>
        </is>
      </c>
      <c r="B179" s="9" t="inlineStr">
        <is>
          <t>items</t>
        </is>
      </c>
      <c r="C179" s="14">
        <f>C178*'Assumptions'!$D$140</f>
        <v/>
      </c>
      <c r="D179" s="14">
        <f>D178*'Assumptions'!$D$140</f>
        <v/>
      </c>
      <c r="E179" s="14">
        <f>E178*'Assumptions'!$D$140</f>
        <v/>
      </c>
      <c r="F179" s="14">
        <f>F178*'Assumptions'!$D$140</f>
        <v/>
      </c>
      <c r="G179" s="14">
        <f>G178*'Assumptions'!$D$140</f>
        <v/>
      </c>
      <c r="H179" s="14">
        <f>H178*'Assumptions'!$D$140</f>
        <v/>
      </c>
      <c r="I179" s="14">
        <f>I178*'Assumptions'!$D$140</f>
        <v/>
      </c>
      <c r="J179" s="14">
        <f>J178*'Assumptions'!$D$140</f>
        <v/>
      </c>
      <c r="K179" s="14">
        <f>K178*'Assumptions'!$D$140</f>
        <v/>
      </c>
      <c r="L179" s="14">
        <f>L178*'Assumptions'!$D$140</f>
        <v/>
      </c>
      <c r="M179" s="14">
        <f>M178*'Assumptions'!$D$140</f>
        <v/>
      </c>
      <c r="N179" s="14">
        <f>N178*'Assumptions'!$D$140</f>
        <v/>
      </c>
      <c r="O179" s="14">
        <f>O178*'Assumptions'!$D$140</f>
        <v/>
      </c>
      <c r="P179" s="14">
        <f>P178*'Assumptions'!$D$140</f>
        <v/>
      </c>
      <c r="Q179" s="14">
        <f>Q178*'Assumptions'!$D$140</f>
        <v/>
      </c>
      <c r="R179" s="14">
        <f>R178*'Assumptions'!$D$140</f>
        <v/>
      </c>
      <c r="S179" s="14">
        <f>S178*'Assumptions'!$D$140</f>
        <v/>
      </c>
      <c r="T179" s="14">
        <f>T178*'Assumptions'!$D$140</f>
        <v/>
      </c>
      <c r="U179" s="14">
        <f>U178*'Assumptions'!$D$140</f>
        <v/>
      </c>
      <c r="V179" s="14">
        <f>V178*'Assumptions'!$D$140</f>
        <v/>
      </c>
      <c r="W179" s="14">
        <f>W178*'Assumptions'!$D$140</f>
        <v/>
      </c>
      <c r="X179" s="14">
        <f>X178*'Assumptions'!$D$140</f>
        <v/>
      </c>
      <c r="Y179" s="14">
        <f>Y178*'Assumptions'!$D$140</f>
        <v/>
      </c>
      <c r="Z179" s="14">
        <f>Z178*'Assumptions'!$D$140</f>
        <v/>
      </c>
      <c r="AA179" s="14">
        <f>AA178*'Assumptions'!$D$140</f>
        <v/>
      </c>
      <c r="AB179" s="14">
        <f>AB178*'Assumptions'!$D$140</f>
        <v/>
      </c>
      <c r="AC179" s="14">
        <f>AC178*'Assumptions'!$D$140</f>
        <v/>
      </c>
      <c r="AD179" s="14">
        <f>AD178*'Assumptions'!$D$140</f>
        <v/>
      </c>
      <c r="AE179" s="14">
        <f>AE178*'Assumptions'!$D$140</f>
        <v/>
      </c>
      <c r="AF179" s="14">
        <f>AF178*'Assumptions'!$D$140</f>
        <v/>
      </c>
      <c r="AG179" s="14">
        <f>AG178*'Assumptions'!$D$140</f>
        <v/>
      </c>
      <c r="AH179" s="14">
        <f>AH178*'Assumptions'!$D$140</f>
        <v/>
      </c>
      <c r="AI179" s="14">
        <f>AI178*'Assumptions'!$D$140</f>
        <v/>
      </c>
      <c r="AJ179" s="14">
        <f>AJ178*'Assumptions'!$D$140</f>
        <v/>
      </c>
      <c r="AK179" s="14">
        <f>AK178*'Assumptions'!$D$140</f>
        <v/>
      </c>
      <c r="AL179" s="14">
        <f>AL178*'Assumptions'!$D$140</f>
        <v/>
      </c>
      <c r="AM179" s="57">
        <f>SUMIF($C$6:$AL$6,1,C179:AL179)</f>
        <v/>
      </c>
      <c r="AN179" s="57">
        <f>SUMIF($C$6:$AL$6,2,C179:AL179)</f>
        <v/>
      </c>
      <c r="AO179" s="57">
        <f>SUMIF($C$6:$AL$6,3,C179:AL179)</f>
        <v/>
      </c>
      <c r="AP179" s="57">
        <f>SUM(C179:AL179)</f>
        <v/>
      </c>
    </row>
    <row r="180">
      <c r="A180" s="7" t="inlineStr">
        <is>
          <t xml:space="preserve">   Average order value</t>
        </is>
      </c>
      <c r="B180" s="9" t="inlineStr">
        <is>
          <t>$</t>
        </is>
      </c>
      <c r="C180" s="16">
        <f>'Unit Economics'!$E$51*'Assumptions'!$D$140*C174</f>
        <v/>
      </c>
      <c r="D180" s="16">
        <f>'Unit Economics'!$E$51*'Assumptions'!$D$140*D174</f>
        <v/>
      </c>
      <c r="E180" s="16">
        <f>'Unit Economics'!$E$51*'Assumptions'!$D$140*E174</f>
        <v/>
      </c>
      <c r="F180" s="16">
        <f>'Unit Economics'!$E$51*'Assumptions'!$D$140*F174</f>
        <v/>
      </c>
      <c r="G180" s="16">
        <f>'Unit Economics'!$E$51*'Assumptions'!$D$140*G174</f>
        <v/>
      </c>
      <c r="H180" s="16">
        <f>'Unit Economics'!$E$51*'Assumptions'!$D$140*H174</f>
        <v/>
      </c>
      <c r="I180" s="16">
        <f>'Unit Economics'!$E$51*'Assumptions'!$D$140*I174</f>
        <v/>
      </c>
      <c r="J180" s="16">
        <f>'Unit Economics'!$E$51*'Assumptions'!$D$140*J174</f>
        <v/>
      </c>
      <c r="K180" s="16">
        <f>'Unit Economics'!$E$51*'Assumptions'!$D$140*K174</f>
        <v/>
      </c>
      <c r="L180" s="16">
        <f>'Unit Economics'!$E$51*'Assumptions'!$D$140*L174</f>
        <v/>
      </c>
      <c r="M180" s="16">
        <f>'Unit Economics'!$E$51*'Assumptions'!$D$140*M174</f>
        <v/>
      </c>
      <c r="N180" s="16">
        <f>'Unit Economics'!$E$51*'Assumptions'!$D$140*N174</f>
        <v/>
      </c>
      <c r="O180" s="16">
        <f>'Unit Economics'!$E$51*'Assumptions'!$D$140*O174</f>
        <v/>
      </c>
      <c r="P180" s="16">
        <f>'Unit Economics'!$E$51*'Assumptions'!$D$140*P174</f>
        <v/>
      </c>
      <c r="Q180" s="16">
        <f>'Unit Economics'!$E$51*'Assumptions'!$D$140*Q174</f>
        <v/>
      </c>
      <c r="R180" s="16">
        <f>'Unit Economics'!$E$51*'Assumptions'!$D$140*R174</f>
        <v/>
      </c>
      <c r="S180" s="16">
        <f>'Unit Economics'!$E$51*'Assumptions'!$D$140*S174</f>
        <v/>
      </c>
      <c r="T180" s="16">
        <f>'Unit Economics'!$E$51*'Assumptions'!$D$140*T174</f>
        <v/>
      </c>
      <c r="U180" s="16">
        <f>'Unit Economics'!$E$51*'Assumptions'!$D$140*U174</f>
        <v/>
      </c>
      <c r="V180" s="16">
        <f>'Unit Economics'!$E$51*'Assumptions'!$D$140*V174</f>
        <v/>
      </c>
      <c r="W180" s="16">
        <f>'Unit Economics'!$E$51*'Assumptions'!$D$140*W174</f>
        <v/>
      </c>
      <c r="X180" s="16">
        <f>'Unit Economics'!$E$51*'Assumptions'!$D$140*X174</f>
        <v/>
      </c>
      <c r="Y180" s="16">
        <f>'Unit Economics'!$E$51*'Assumptions'!$D$140*Y174</f>
        <v/>
      </c>
      <c r="Z180" s="16">
        <f>'Unit Economics'!$E$51*'Assumptions'!$D$140*Z174</f>
        <v/>
      </c>
      <c r="AA180" s="16">
        <f>'Unit Economics'!$E$51*'Assumptions'!$D$140*AA174</f>
        <v/>
      </c>
      <c r="AB180" s="16">
        <f>'Unit Economics'!$E$51*'Assumptions'!$D$140*AB174</f>
        <v/>
      </c>
      <c r="AC180" s="16">
        <f>'Unit Economics'!$E$51*'Assumptions'!$D$140*AC174</f>
        <v/>
      </c>
      <c r="AD180" s="16">
        <f>'Unit Economics'!$E$51*'Assumptions'!$D$140*AD174</f>
        <v/>
      </c>
      <c r="AE180" s="16">
        <f>'Unit Economics'!$E$51*'Assumptions'!$D$140*AE174</f>
        <v/>
      </c>
      <c r="AF180" s="16">
        <f>'Unit Economics'!$E$51*'Assumptions'!$D$140*AF174</f>
        <v/>
      </c>
      <c r="AG180" s="16">
        <f>'Unit Economics'!$E$51*'Assumptions'!$D$140*AG174</f>
        <v/>
      </c>
      <c r="AH180" s="16">
        <f>'Unit Economics'!$E$51*'Assumptions'!$D$140*AH174</f>
        <v/>
      </c>
      <c r="AI180" s="16">
        <f>'Unit Economics'!$E$51*'Assumptions'!$D$140*AI174</f>
        <v/>
      </c>
      <c r="AJ180" s="16">
        <f>'Unit Economics'!$E$51*'Assumptions'!$D$140*AJ174</f>
        <v/>
      </c>
      <c r="AK180" s="16">
        <f>'Unit Economics'!$E$51*'Assumptions'!$D$140*AK174</f>
        <v/>
      </c>
      <c r="AL180" s="16">
        <f>'Unit Economics'!$E$51*'Assumptions'!$D$140*AL174</f>
        <v/>
      </c>
    </row>
    <row r="181">
      <c r="A181" s="7" t="inlineStr">
        <is>
          <t xml:space="preserve">   Gross sales (price paid by customers)</t>
        </is>
      </c>
      <c r="B181" s="9" t="inlineStr">
        <is>
          <t>$</t>
        </is>
      </c>
      <c r="C181" s="8">
        <f>C179*'Unit Economics'!$E$51</f>
        <v/>
      </c>
      <c r="D181" s="8">
        <f>D179*'Unit Economics'!$E$51</f>
        <v/>
      </c>
      <c r="E181" s="8">
        <f>E179*'Unit Economics'!$E$51</f>
        <v/>
      </c>
      <c r="F181" s="8">
        <f>F179*'Unit Economics'!$E$51</f>
        <v/>
      </c>
      <c r="G181" s="8">
        <f>G179*'Unit Economics'!$E$51</f>
        <v/>
      </c>
      <c r="H181" s="8">
        <f>H179*'Unit Economics'!$E$51</f>
        <v/>
      </c>
      <c r="I181" s="8">
        <f>I179*'Unit Economics'!$E$51</f>
        <v/>
      </c>
      <c r="J181" s="8">
        <f>J179*'Unit Economics'!$E$51</f>
        <v/>
      </c>
      <c r="K181" s="8">
        <f>K179*'Unit Economics'!$E$51</f>
        <v/>
      </c>
      <c r="L181" s="8">
        <f>L179*'Unit Economics'!$E$51</f>
        <v/>
      </c>
      <c r="M181" s="8">
        <f>M179*'Unit Economics'!$E$51</f>
        <v/>
      </c>
      <c r="N181" s="8">
        <f>N179*'Unit Economics'!$E$51</f>
        <v/>
      </c>
      <c r="O181" s="8">
        <f>O179*'Unit Economics'!$E$51</f>
        <v/>
      </c>
      <c r="P181" s="8">
        <f>P179*'Unit Economics'!$E$51</f>
        <v/>
      </c>
      <c r="Q181" s="8">
        <f>Q179*'Unit Economics'!$E$51</f>
        <v/>
      </c>
      <c r="R181" s="8">
        <f>R179*'Unit Economics'!$E$51</f>
        <v/>
      </c>
      <c r="S181" s="8">
        <f>S179*'Unit Economics'!$E$51</f>
        <v/>
      </c>
      <c r="T181" s="8">
        <f>T179*'Unit Economics'!$E$51</f>
        <v/>
      </c>
      <c r="U181" s="8">
        <f>U179*'Unit Economics'!$E$51</f>
        <v/>
      </c>
      <c r="V181" s="8">
        <f>V179*'Unit Economics'!$E$51</f>
        <v/>
      </c>
      <c r="W181" s="8">
        <f>W179*'Unit Economics'!$E$51</f>
        <v/>
      </c>
      <c r="X181" s="8">
        <f>X179*'Unit Economics'!$E$51</f>
        <v/>
      </c>
      <c r="Y181" s="8">
        <f>Y179*'Unit Economics'!$E$51</f>
        <v/>
      </c>
      <c r="Z181" s="8">
        <f>Z179*'Unit Economics'!$E$51</f>
        <v/>
      </c>
      <c r="AA181" s="8">
        <f>AA179*'Unit Economics'!$E$51</f>
        <v/>
      </c>
      <c r="AB181" s="8">
        <f>AB179*'Unit Economics'!$E$51</f>
        <v/>
      </c>
      <c r="AC181" s="8">
        <f>AC179*'Unit Economics'!$E$51</f>
        <v/>
      </c>
      <c r="AD181" s="8">
        <f>AD179*'Unit Economics'!$E$51</f>
        <v/>
      </c>
      <c r="AE181" s="8">
        <f>AE179*'Unit Economics'!$E$51</f>
        <v/>
      </c>
      <c r="AF181" s="8">
        <f>AF179*'Unit Economics'!$E$51</f>
        <v/>
      </c>
      <c r="AG181" s="8">
        <f>AG179*'Unit Economics'!$E$51</f>
        <v/>
      </c>
      <c r="AH181" s="8">
        <f>AH179*'Unit Economics'!$E$51</f>
        <v/>
      </c>
      <c r="AI181" s="8">
        <f>AI179*'Unit Economics'!$E$51</f>
        <v/>
      </c>
      <c r="AJ181" s="8">
        <f>AJ179*'Unit Economics'!$E$51</f>
        <v/>
      </c>
      <c r="AK181" s="8">
        <f>AK179*'Unit Economics'!$E$51</f>
        <v/>
      </c>
      <c r="AL181" s="8">
        <f>AL179*'Unit Economics'!$E$51</f>
        <v/>
      </c>
      <c r="AM181" s="47">
        <f>SUMIF($C$6:$AL$6,1,C181:AL181)</f>
        <v/>
      </c>
      <c r="AN181" s="47">
        <f>SUMIF($C$6:$AL$6,2,C181:AL181)</f>
        <v/>
      </c>
      <c r="AO181" s="47">
        <f>SUMIF($C$6:$AL$6,3,C181:AL181)</f>
        <v/>
      </c>
      <c r="AP181" s="47">
        <f>SUM(C181:AL181)</f>
        <v/>
      </c>
    </row>
    <row r="182">
      <c r="A182" s="7" t="inlineStr">
        <is>
          <t xml:space="preserve">   Net contribution to AlphaPlay</t>
        </is>
      </c>
      <c r="B182" s="9" t="inlineStr">
        <is>
          <t>$</t>
        </is>
      </c>
      <c r="C182" s="8">
        <f>C179*'Unit Economics'!$F$51</f>
        <v/>
      </c>
      <c r="D182" s="8">
        <f>D179*'Unit Economics'!$F$51</f>
        <v/>
      </c>
      <c r="E182" s="8">
        <f>E179*'Unit Economics'!$F$51</f>
        <v/>
      </c>
      <c r="F182" s="8">
        <f>F179*'Unit Economics'!$F$51</f>
        <v/>
      </c>
      <c r="G182" s="8">
        <f>G179*'Unit Economics'!$F$51</f>
        <v/>
      </c>
      <c r="H182" s="8">
        <f>H179*'Unit Economics'!$F$51</f>
        <v/>
      </c>
      <c r="I182" s="8">
        <f>I179*'Unit Economics'!$F$51</f>
        <v/>
      </c>
      <c r="J182" s="8">
        <f>J179*'Unit Economics'!$F$51</f>
        <v/>
      </c>
      <c r="K182" s="8">
        <f>K179*'Unit Economics'!$F$51</f>
        <v/>
      </c>
      <c r="L182" s="8">
        <f>L179*'Unit Economics'!$F$51</f>
        <v/>
      </c>
      <c r="M182" s="8">
        <f>M179*'Unit Economics'!$F$51</f>
        <v/>
      </c>
      <c r="N182" s="8">
        <f>N179*'Unit Economics'!$F$51</f>
        <v/>
      </c>
      <c r="O182" s="8">
        <f>O179*'Unit Economics'!$F$51</f>
        <v/>
      </c>
      <c r="P182" s="8">
        <f>P179*'Unit Economics'!$F$51</f>
        <v/>
      </c>
      <c r="Q182" s="8">
        <f>Q179*'Unit Economics'!$F$51</f>
        <v/>
      </c>
      <c r="R182" s="8">
        <f>R179*'Unit Economics'!$F$51</f>
        <v/>
      </c>
      <c r="S182" s="8">
        <f>S179*'Unit Economics'!$F$51</f>
        <v/>
      </c>
      <c r="T182" s="8">
        <f>T179*'Unit Economics'!$F$51</f>
        <v/>
      </c>
      <c r="U182" s="8">
        <f>U179*'Unit Economics'!$F$51</f>
        <v/>
      </c>
      <c r="V182" s="8">
        <f>V179*'Unit Economics'!$F$51</f>
        <v/>
      </c>
      <c r="W182" s="8">
        <f>W179*'Unit Economics'!$F$51</f>
        <v/>
      </c>
      <c r="X182" s="8">
        <f>X179*'Unit Economics'!$F$51</f>
        <v/>
      </c>
      <c r="Y182" s="8">
        <f>Y179*'Unit Economics'!$F$51</f>
        <v/>
      </c>
      <c r="Z182" s="8">
        <f>Z179*'Unit Economics'!$F$51</f>
        <v/>
      </c>
      <c r="AA182" s="8">
        <f>AA179*'Unit Economics'!$F$51</f>
        <v/>
      </c>
      <c r="AB182" s="8">
        <f>AB179*'Unit Economics'!$F$51</f>
        <v/>
      </c>
      <c r="AC182" s="8">
        <f>AC179*'Unit Economics'!$F$51</f>
        <v/>
      </c>
      <c r="AD182" s="8">
        <f>AD179*'Unit Economics'!$F$51</f>
        <v/>
      </c>
      <c r="AE182" s="8">
        <f>AE179*'Unit Economics'!$F$51</f>
        <v/>
      </c>
      <c r="AF182" s="8">
        <f>AF179*'Unit Economics'!$F$51</f>
        <v/>
      </c>
      <c r="AG182" s="8">
        <f>AG179*'Unit Economics'!$F$51</f>
        <v/>
      </c>
      <c r="AH182" s="8">
        <f>AH179*'Unit Economics'!$F$51</f>
        <v/>
      </c>
      <c r="AI182" s="8">
        <f>AI179*'Unit Economics'!$F$51</f>
        <v/>
      </c>
      <c r="AJ182" s="8">
        <f>AJ179*'Unit Economics'!$F$51</f>
        <v/>
      </c>
      <c r="AK182" s="8">
        <f>AK179*'Unit Economics'!$F$51</f>
        <v/>
      </c>
      <c r="AL182" s="8">
        <f>AL179*'Unit Economics'!$F$51</f>
        <v/>
      </c>
      <c r="AM182" s="47">
        <f>SUMIF($C$6:$AL$6,1,C182:AL182)</f>
        <v/>
      </c>
      <c r="AN182" s="47">
        <f>SUMIF($C$6:$AL$6,2,C182:AL182)</f>
        <v/>
      </c>
      <c r="AO182" s="47">
        <f>SUMIF($C$6:$AL$6,3,C182:AL182)</f>
        <v/>
      </c>
      <c r="AP182" s="47">
        <f>SUM(C182:AL182)</f>
        <v/>
      </c>
    </row>
    <row r="183">
      <c r="A183" s="5" t="inlineStr">
        <is>
          <t>IngramSpark: paperbacks to bookstores and libraries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  <c r="AC183" s="6" t="n"/>
      <c r="AD183" s="6" t="n"/>
      <c r="AE183" s="6" t="n"/>
      <c r="AF183" s="6" t="n"/>
      <c r="AG183" s="6" t="n"/>
      <c r="AH183" s="6" t="n"/>
      <c r="AI183" s="6" t="n"/>
      <c r="AJ183" s="6" t="n"/>
      <c r="AK183" s="6" t="n"/>
      <c r="AL183" s="6" t="n"/>
      <c r="AM183" s="6" t="n"/>
      <c r="AN183" s="6" t="n"/>
      <c r="AO183" s="6" t="n"/>
      <c r="AP183" s="6" t="n"/>
    </row>
    <row r="184">
      <c r="A184" s="7" t="inlineStr">
        <is>
          <t xml:space="preserve">   Active (1 = live)</t>
        </is>
      </c>
      <c r="B184" s="9" t="inlineStr">
        <is>
          <t>flag</t>
        </is>
      </c>
      <c r="C184" s="18">
        <f>IF(AND('Assumptions'!$D$142=1,C$4&gt;=MAX('Assumptions'!$D$143,'Assumptions'!$C$9)),1,0)</f>
        <v/>
      </c>
      <c r="D184" s="18">
        <f>IF(AND('Assumptions'!$D$142=1,D$4&gt;=MAX('Assumptions'!$D$143,'Assumptions'!$C$9)),1,0)</f>
        <v/>
      </c>
      <c r="E184" s="18">
        <f>IF(AND('Assumptions'!$D$142=1,E$4&gt;=MAX('Assumptions'!$D$143,'Assumptions'!$C$9)),1,0)</f>
        <v/>
      </c>
      <c r="F184" s="18">
        <f>IF(AND('Assumptions'!$D$142=1,F$4&gt;=MAX('Assumptions'!$D$143,'Assumptions'!$C$9)),1,0)</f>
        <v/>
      </c>
      <c r="G184" s="18">
        <f>IF(AND('Assumptions'!$D$142=1,G$4&gt;=MAX('Assumptions'!$D$143,'Assumptions'!$C$9)),1,0)</f>
        <v/>
      </c>
      <c r="H184" s="18">
        <f>IF(AND('Assumptions'!$D$142=1,H$4&gt;=MAX('Assumptions'!$D$143,'Assumptions'!$C$9)),1,0)</f>
        <v/>
      </c>
      <c r="I184" s="18">
        <f>IF(AND('Assumptions'!$D$142=1,I$4&gt;=MAX('Assumptions'!$D$143,'Assumptions'!$C$9)),1,0)</f>
        <v/>
      </c>
      <c r="J184" s="18">
        <f>IF(AND('Assumptions'!$D$142=1,J$4&gt;=MAX('Assumptions'!$D$143,'Assumptions'!$C$9)),1,0)</f>
        <v/>
      </c>
      <c r="K184" s="18">
        <f>IF(AND('Assumptions'!$D$142=1,K$4&gt;=MAX('Assumptions'!$D$143,'Assumptions'!$C$9)),1,0)</f>
        <v/>
      </c>
      <c r="L184" s="18">
        <f>IF(AND('Assumptions'!$D$142=1,L$4&gt;=MAX('Assumptions'!$D$143,'Assumptions'!$C$9)),1,0)</f>
        <v/>
      </c>
      <c r="M184" s="18">
        <f>IF(AND('Assumptions'!$D$142=1,M$4&gt;=MAX('Assumptions'!$D$143,'Assumptions'!$C$9)),1,0)</f>
        <v/>
      </c>
      <c r="N184" s="18">
        <f>IF(AND('Assumptions'!$D$142=1,N$4&gt;=MAX('Assumptions'!$D$143,'Assumptions'!$C$9)),1,0)</f>
        <v/>
      </c>
      <c r="O184" s="18">
        <f>IF(AND('Assumptions'!$D$142=1,O$4&gt;=MAX('Assumptions'!$D$143,'Assumptions'!$C$9)),1,0)</f>
        <v/>
      </c>
      <c r="P184" s="18">
        <f>IF(AND('Assumptions'!$D$142=1,P$4&gt;=MAX('Assumptions'!$D$143,'Assumptions'!$C$9)),1,0)</f>
        <v/>
      </c>
      <c r="Q184" s="18">
        <f>IF(AND('Assumptions'!$D$142=1,Q$4&gt;=MAX('Assumptions'!$D$143,'Assumptions'!$C$9)),1,0)</f>
        <v/>
      </c>
      <c r="R184" s="18">
        <f>IF(AND('Assumptions'!$D$142=1,R$4&gt;=MAX('Assumptions'!$D$143,'Assumptions'!$C$9)),1,0)</f>
        <v/>
      </c>
      <c r="S184" s="18">
        <f>IF(AND('Assumptions'!$D$142=1,S$4&gt;=MAX('Assumptions'!$D$143,'Assumptions'!$C$9)),1,0)</f>
        <v/>
      </c>
      <c r="T184" s="18">
        <f>IF(AND('Assumptions'!$D$142=1,T$4&gt;=MAX('Assumptions'!$D$143,'Assumptions'!$C$9)),1,0)</f>
        <v/>
      </c>
      <c r="U184" s="18">
        <f>IF(AND('Assumptions'!$D$142=1,U$4&gt;=MAX('Assumptions'!$D$143,'Assumptions'!$C$9)),1,0)</f>
        <v/>
      </c>
      <c r="V184" s="18">
        <f>IF(AND('Assumptions'!$D$142=1,V$4&gt;=MAX('Assumptions'!$D$143,'Assumptions'!$C$9)),1,0)</f>
        <v/>
      </c>
      <c r="W184" s="18">
        <f>IF(AND('Assumptions'!$D$142=1,W$4&gt;=MAX('Assumptions'!$D$143,'Assumptions'!$C$9)),1,0)</f>
        <v/>
      </c>
      <c r="X184" s="18">
        <f>IF(AND('Assumptions'!$D$142=1,X$4&gt;=MAX('Assumptions'!$D$143,'Assumptions'!$C$9)),1,0)</f>
        <v/>
      </c>
      <c r="Y184" s="18">
        <f>IF(AND('Assumptions'!$D$142=1,Y$4&gt;=MAX('Assumptions'!$D$143,'Assumptions'!$C$9)),1,0)</f>
        <v/>
      </c>
      <c r="Z184" s="18">
        <f>IF(AND('Assumptions'!$D$142=1,Z$4&gt;=MAX('Assumptions'!$D$143,'Assumptions'!$C$9)),1,0)</f>
        <v/>
      </c>
      <c r="AA184" s="18">
        <f>IF(AND('Assumptions'!$D$142=1,AA$4&gt;=MAX('Assumptions'!$D$143,'Assumptions'!$C$9)),1,0)</f>
        <v/>
      </c>
      <c r="AB184" s="18">
        <f>IF(AND('Assumptions'!$D$142=1,AB$4&gt;=MAX('Assumptions'!$D$143,'Assumptions'!$C$9)),1,0)</f>
        <v/>
      </c>
      <c r="AC184" s="18">
        <f>IF(AND('Assumptions'!$D$142=1,AC$4&gt;=MAX('Assumptions'!$D$143,'Assumptions'!$C$9)),1,0)</f>
        <v/>
      </c>
      <c r="AD184" s="18">
        <f>IF(AND('Assumptions'!$D$142=1,AD$4&gt;=MAX('Assumptions'!$D$143,'Assumptions'!$C$9)),1,0)</f>
        <v/>
      </c>
      <c r="AE184" s="18">
        <f>IF(AND('Assumptions'!$D$142=1,AE$4&gt;=MAX('Assumptions'!$D$143,'Assumptions'!$C$9)),1,0)</f>
        <v/>
      </c>
      <c r="AF184" s="18">
        <f>IF(AND('Assumptions'!$D$142=1,AF$4&gt;=MAX('Assumptions'!$D$143,'Assumptions'!$C$9)),1,0)</f>
        <v/>
      </c>
      <c r="AG184" s="18">
        <f>IF(AND('Assumptions'!$D$142=1,AG$4&gt;=MAX('Assumptions'!$D$143,'Assumptions'!$C$9)),1,0)</f>
        <v/>
      </c>
      <c r="AH184" s="18">
        <f>IF(AND('Assumptions'!$D$142=1,AH$4&gt;=MAX('Assumptions'!$D$143,'Assumptions'!$C$9)),1,0)</f>
        <v/>
      </c>
      <c r="AI184" s="18">
        <f>IF(AND('Assumptions'!$D$142=1,AI$4&gt;=MAX('Assumptions'!$D$143,'Assumptions'!$C$9)),1,0)</f>
        <v/>
      </c>
      <c r="AJ184" s="18">
        <f>IF(AND('Assumptions'!$D$142=1,AJ$4&gt;=MAX('Assumptions'!$D$143,'Assumptions'!$C$9)),1,0)</f>
        <v/>
      </c>
      <c r="AK184" s="18">
        <f>IF(AND('Assumptions'!$D$142=1,AK$4&gt;=MAX('Assumptions'!$D$143,'Assumptions'!$C$9)),1,0)</f>
        <v/>
      </c>
      <c r="AL184" s="18">
        <f>IF(AND('Assumptions'!$D$142=1,AL$4&gt;=MAX('Assumptions'!$D$143,'Assumptions'!$C$9)),1,0)</f>
        <v/>
      </c>
    </row>
    <row r="185">
      <c r="A185" s="7" t="inlineStr">
        <is>
          <t xml:space="preserve">   Titles live</t>
        </is>
      </c>
      <c r="B185" s="9" t="inlineStr">
        <is>
          <t>titles</t>
        </is>
      </c>
      <c r="C185" s="14">
        <f>IF(C184=0,0,MIN('Assumptions'!$D$146,'Assumptions'!$D$144+'Assumptions'!$D$145*(C$4-MAX('Assumptions'!$D$143,'Assumptions'!$C$9))))</f>
        <v/>
      </c>
      <c r="D185" s="14">
        <f>IF(D184=0,0,MIN('Assumptions'!$D$146,'Assumptions'!$D$144+'Assumptions'!$D$145*(D$4-MAX('Assumptions'!$D$143,'Assumptions'!$C$9))))</f>
        <v/>
      </c>
      <c r="E185" s="14">
        <f>IF(E184=0,0,MIN('Assumptions'!$D$146,'Assumptions'!$D$144+'Assumptions'!$D$145*(E$4-MAX('Assumptions'!$D$143,'Assumptions'!$C$9))))</f>
        <v/>
      </c>
      <c r="F185" s="14">
        <f>IF(F184=0,0,MIN('Assumptions'!$D$146,'Assumptions'!$D$144+'Assumptions'!$D$145*(F$4-MAX('Assumptions'!$D$143,'Assumptions'!$C$9))))</f>
        <v/>
      </c>
      <c r="G185" s="14">
        <f>IF(G184=0,0,MIN('Assumptions'!$D$146,'Assumptions'!$D$144+'Assumptions'!$D$145*(G$4-MAX('Assumptions'!$D$143,'Assumptions'!$C$9))))</f>
        <v/>
      </c>
      <c r="H185" s="14">
        <f>IF(H184=0,0,MIN('Assumptions'!$D$146,'Assumptions'!$D$144+'Assumptions'!$D$145*(H$4-MAX('Assumptions'!$D$143,'Assumptions'!$C$9))))</f>
        <v/>
      </c>
      <c r="I185" s="14">
        <f>IF(I184=0,0,MIN('Assumptions'!$D$146,'Assumptions'!$D$144+'Assumptions'!$D$145*(I$4-MAX('Assumptions'!$D$143,'Assumptions'!$C$9))))</f>
        <v/>
      </c>
      <c r="J185" s="14">
        <f>IF(J184=0,0,MIN('Assumptions'!$D$146,'Assumptions'!$D$144+'Assumptions'!$D$145*(J$4-MAX('Assumptions'!$D$143,'Assumptions'!$C$9))))</f>
        <v/>
      </c>
      <c r="K185" s="14">
        <f>IF(K184=0,0,MIN('Assumptions'!$D$146,'Assumptions'!$D$144+'Assumptions'!$D$145*(K$4-MAX('Assumptions'!$D$143,'Assumptions'!$C$9))))</f>
        <v/>
      </c>
      <c r="L185" s="14">
        <f>IF(L184=0,0,MIN('Assumptions'!$D$146,'Assumptions'!$D$144+'Assumptions'!$D$145*(L$4-MAX('Assumptions'!$D$143,'Assumptions'!$C$9))))</f>
        <v/>
      </c>
      <c r="M185" s="14">
        <f>IF(M184=0,0,MIN('Assumptions'!$D$146,'Assumptions'!$D$144+'Assumptions'!$D$145*(M$4-MAX('Assumptions'!$D$143,'Assumptions'!$C$9))))</f>
        <v/>
      </c>
      <c r="N185" s="14">
        <f>IF(N184=0,0,MIN('Assumptions'!$D$146,'Assumptions'!$D$144+'Assumptions'!$D$145*(N$4-MAX('Assumptions'!$D$143,'Assumptions'!$C$9))))</f>
        <v/>
      </c>
      <c r="O185" s="14">
        <f>IF(O184=0,0,MIN('Assumptions'!$D$146,'Assumptions'!$D$144+'Assumptions'!$D$145*(O$4-MAX('Assumptions'!$D$143,'Assumptions'!$C$9))))</f>
        <v/>
      </c>
      <c r="P185" s="14">
        <f>IF(P184=0,0,MIN('Assumptions'!$D$146,'Assumptions'!$D$144+'Assumptions'!$D$145*(P$4-MAX('Assumptions'!$D$143,'Assumptions'!$C$9))))</f>
        <v/>
      </c>
      <c r="Q185" s="14">
        <f>IF(Q184=0,0,MIN('Assumptions'!$D$146,'Assumptions'!$D$144+'Assumptions'!$D$145*(Q$4-MAX('Assumptions'!$D$143,'Assumptions'!$C$9))))</f>
        <v/>
      </c>
      <c r="R185" s="14">
        <f>IF(R184=0,0,MIN('Assumptions'!$D$146,'Assumptions'!$D$144+'Assumptions'!$D$145*(R$4-MAX('Assumptions'!$D$143,'Assumptions'!$C$9))))</f>
        <v/>
      </c>
      <c r="S185" s="14">
        <f>IF(S184=0,0,MIN('Assumptions'!$D$146,'Assumptions'!$D$144+'Assumptions'!$D$145*(S$4-MAX('Assumptions'!$D$143,'Assumptions'!$C$9))))</f>
        <v/>
      </c>
      <c r="T185" s="14">
        <f>IF(T184=0,0,MIN('Assumptions'!$D$146,'Assumptions'!$D$144+'Assumptions'!$D$145*(T$4-MAX('Assumptions'!$D$143,'Assumptions'!$C$9))))</f>
        <v/>
      </c>
      <c r="U185" s="14">
        <f>IF(U184=0,0,MIN('Assumptions'!$D$146,'Assumptions'!$D$144+'Assumptions'!$D$145*(U$4-MAX('Assumptions'!$D$143,'Assumptions'!$C$9))))</f>
        <v/>
      </c>
      <c r="V185" s="14">
        <f>IF(V184=0,0,MIN('Assumptions'!$D$146,'Assumptions'!$D$144+'Assumptions'!$D$145*(V$4-MAX('Assumptions'!$D$143,'Assumptions'!$C$9))))</f>
        <v/>
      </c>
      <c r="W185" s="14">
        <f>IF(W184=0,0,MIN('Assumptions'!$D$146,'Assumptions'!$D$144+'Assumptions'!$D$145*(W$4-MAX('Assumptions'!$D$143,'Assumptions'!$C$9))))</f>
        <v/>
      </c>
      <c r="X185" s="14">
        <f>IF(X184=0,0,MIN('Assumptions'!$D$146,'Assumptions'!$D$144+'Assumptions'!$D$145*(X$4-MAX('Assumptions'!$D$143,'Assumptions'!$C$9))))</f>
        <v/>
      </c>
      <c r="Y185" s="14">
        <f>IF(Y184=0,0,MIN('Assumptions'!$D$146,'Assumptions'!$D$144+'Assumptions'!$D$145*(Y$4-MAX('Assumptions'!$D$143,'Assumptions'!$C$9))))</f>
        <v/>
      </c>
      <c r="Z185" s="14">
        <f>IF(Z184=0,0,MIN('Assumptions'!$D$146,'Assumptions'!$D$144+'Assumptions'!$D$145*(Z$4-MAX('Assumptions'!$D$143,'Assumptions'!$C$9))))</f>
        <v/>
      </c>
      <c r="AA185" s="14">
        <f>IF(AA184=0,0,MIN('Assumptions'!$D$146,'Assumptions'!$D$144+'Assumptions'!$D$145*(AA$4-MAX('Assumptions'!$D$143,'Assumptions'!$C$9))))</f>
        <v/>
      </c>
      <c r="AB185" s="14">
        <f>IF(AB184=0,0,MIN('Assumptions'!$D$146,'Assumptions'!$D$144+'Assumptions'!$D$145*(AB$4-MAX('Assumptions'!$D$143,'Assumptions'!$C$9))))</f>
        <v/>
      </c>
      <c r="AC185" s="14">
        <f>IF(AC184=0,0,MIN('Assumptions'!$D$146,'Assumptions'!$D$144+'Assumptions'!$D$145*(AC$4-MAX('Assumptions'!$D$143,'Assumptions'!$C$9))))</f>
        <v/>
      </c>
      <c r="AD185" s="14">
        <f>IF(AD184=0,0,MIN('Assumptions'!$D$146,'Assumptions'!$D$144+'Assumptions'!$D$145*(AD$4-MAX('Assumptions'!$D$143,'Assumptions'!$C$9))))</f>
        <v/>
      </c>
      <c r="AE185" s="14">
        <f>IF(AE184=0,0,MIN('Assumptions'!$D$146,'Assumptions'!$D$144+'Assumptions'!$D$145*(AE$4-MAX('Assumptions'!$D$143,'Assumptions'!$C$9))))</f>
        <v/>
      </c>
      <c r="AF185" s="14">
        <f>IF(AF184=0,0,MIN('Assumptions'!$D$146,'Assumptions'!$D$144+'Assumptions'!$D$145*(AF$4-MAX('Assumptions'!$D$143,'Assumptions'!$C$9))))</f>
        <v/>
      </c>
      <c r="AG185" s="14">
        <f>IF(AG184=0,0,MIN('Assumptions'!$D$146,'Assumptions'!$D$144+'Assumptions'!$D$145*(AG$4-MAX('Assumptions'!$D$143,'Assumptions'!$C$9))))</f>
        <v/>
      </c>
      <c r="AH185" s="14">
        <f>IF(AH184=0,0,MIN('Assumptions'!$D$146,'Assumptions'!$D$144+'Assumptions'!$D$145*(AH$4-MAX('Assumptions'!$D$143,'Assumptions'!$C$9))))</f>
        <v/>
      </c>
      <c r="AI185" s="14">
        <f>IF(AI184=0,0,MIN('Assumptions'!$D$146,'Assumptions'!$D$144+'Assumptions'!$D$145*(AI$4-MAX('Assumptions'!$D$143,'Assumptions'!$C$9))))</f>
        <v/>
      </c>
      <c r="AJ185" s="14">
        <f>IF(AJ184=0,0,MIN('Assumptions'!$D$146,'Assumptions'!$D$144+'Assumptions'!$D$145*(AJ$4-MAX('Assumptions'!$D$143,'Assumptions'!$C$9))))</f>
        <v/>
      </c>
      <c r="AK185" s="14">
        <f>IF(AK184=0,0,MIN('Assumptions'!$D$146,'Assumptions'!$D$144+'Assumptions'!$D$145*(AK$4-MAX('Assumptions'!$D$143,'Assumptions'!$C$9))))</f>
        <v/>
      </c>
      <c r="AL185" s="14">
        <f>IF(AL184=0,0,MIN('Assumptions'!$D$146,'Assumptions'!$D$144+'Assumptions'!$D$145*(AL$4-MAX('Assumptions'!$D$143,'Assumptions'!$C$9))))</f>
        <v/>
      </c>
    </row>
    <row r="186">
      <c r="A186" s="7" t="inlineStr">
        <is>
          <t xml:space="preserve">   Title-months live (titles x season)</t>
        </is>
      </c>
      <c r="B186" s="9" t="inlineStr">
        <is>
          <t>title-mo</t>
        </is>
      </c>
      <c r="C186" s="56">
        <f>C185*C$7</f>
        <v/>
      </c>
      <c r="D186" s="56">
        <f>D185*D$7</f>
        <v/>
      </c>
      <c r="E186" s="56">
        <f>E185*E$7</f>
        <v/>
      </c>
      <c r="F186" s="56">
        <f>F185*F$7</f>
        <v/>
      </c>
      <c r="G186" s="56">
        <f>G185*G$7</f>
        <v/>
      </c>
      <c r="H186" s="56">
        <f>H185*H$7</f>
        <v/>
      </c>
      <c r="I186" s="56">
        <f>I185*I$7</f>
        <v/>
      </c>
      <c r="J186" s="56">
        <f>J185*J$7</f>
        <v/>
      </c>
      <c r="K186" s="56">
        <f>K185*K$7</f>
        <v/>
      </c>
      <c r="L186" s="56">
        <f>L185*L$7</f>
        <v/>
      </c>
      <c r="M186" s="56">
        <f>M185*M$7</f>
        <v/>
      </c>
      <c r="N186" s="56">
        <f>N185*N$7</f>
        <v/>
      </c>
      <c r="O186" s="56">
        <f>O185*O$7</f>
        <v/>
      </c>
      <c r="P186" s="56">
        <f>P185*P$7</f>
        <v/>
      </c>
      <c r="Q186" s="56">
        <f>Q185*Q$7</f>
        <v/>
      </c>
      <c r="R186" s="56">
        <f>R185*R$7</f>
        <v/>
      </c>
      <c r="S186" s="56">
        <f>S185*S$7</f>
        <v/>
      </c>
      <c r="T186" s="56">
        <f>T185*T$7</f>
        <v/>
      </c>
      <c r="U186" s="56">
        <f>U185*U$7</f>
        <v/>
      </c>
      <c r="V186" s="56">
        <f>V185*V$7</f>
        <v/>
      </c>
      <c r="W186" s="56">
        <f>W185*W$7</f>
        <v/>
      </c>
      <c r="X186" s="56">
        <f>X185*X$7</f>
        <v/>
      </c>
      <c r="Y186" s="56">
        <f>Y185*Y$7</f>
        <v/>
      </c>
      <c r="Z186" s="56">
        <f>Z185*Z$7</f>
        <v/>
      </c>
      <c r="AA186" s="56">
        <f>AA185*AA$7</f>
        <v/>
      </c>
      <c r="AB186" s="56">
        <f>AB185*AB$7</f>
        <v/>
      </c>
      <c r="AC186" s="56">
        <f>AC185*AC$7</f>
        <v/>
      </c>
      <c r="AD186" s="56">
        <f>AD185*AD$7</f>
        <v/>
      </c>
      <c r="AE186" s="56">
        <f>AE185*AE$7</f>
        <v/>
      </c>
      <c r="AF186" s="56">
        <f>AF185*AF$7</f>
        <v/>
      </c>
      <c r="AG186" s="56">
        <f>AG185*AG$7</f>
        <v/>
      </c>
      <c r="AH186" s="56">
        <f>AH185*AH$7</f>
        <v/>
      </c>
      <c r="AI186" s="56">
        <f>AI185*AI$7</f>
        <v/>
      </c>
      <c r="AJ186" s="56">
        <f>AJ185*AJ$7</f>
        <v/>
      </c>
      <c r="AK186" s="56">
        <f>AK185*AK$7</f>
        <v/>
      </c>
      <c r="AL186" s="56">
        <f>AL185*AL$7</f>
        <v/>
      </c>
      <c r="AM186" s="57">
        <f>SUMIF($C$6:$AL$6,1,C186:AL186)</f>
        <v/>
      </c>
      <c r="AN186" s="57">
        <f>SUMIF($C$6:$AL$6,2,C186:AL186)</f>
        <v/>
      </c>
      <c r="AO186" s="57">
        <f>SUMIF($C$6:$AL$6,3,C186:AL186)</f>
        <v/>
      </c>
      <c r="AP186" s="57">
        <f>SUM(C186:AL186)</f>
        <v/>
      </c>
    </row>
    <row r="187">
      <c r="A187" s="7" t="inlineStr">
        <is>
          <t xml:space="preserve">   Units per title per month (with review ramp)</t>
        </is>
      </c>
      <c r="B187" s="9" t="inlineStr">
        <is>
          <t>units</t>
        </is>
      </c>
      <c r="C187" s="51">
        <f>'Assumptions'!$D$147*MIN(1,(C$4-MAX('Assumptions'!$D$143,'Assumptions'!$C$9)+1)/'Assumptions'!$C$11)*C184</f>
        <v/>
      </c>
      <c r="D187" s="51">
        <f>'Assumptions'!$D$147*MIN(1,(D$4-MAX('Assumptions'!$D$143,'Assumptions'!$C$9)+1)/'Assumptions'!$C$11)*D184</f>
        <v/>
      </c>
      <c r="E187" s="51">
        <f>'Assumptions'!$D$147*MIN(1,(E$4-MAX('Assumptions'!$D$143,'Assumptions'!$C$9)+1)/'Assumptions'!$C$11)*E184</f>
        <v/>
      </c>
      <c r="F187" s="51">
        <f>'Assumptions'!$D$147*MIN(1,(F$4-MAX('Assumptions'!$D$143,'Assumptions'!$C$9)+1)/'Assumptions'!$C$11)*F184</f>
        <v/>
      </c>
      <c r="G187" s="51">
        <f>'Assumptions'!$D$147*MIN(1,(G$4-MAX('Assumptions'!$D$143,'Assumptions'!$C$9)+1)/'Assumptions'!$C$11)*G184</f>
        <v/>
      </c>
      <c r="H187" s="51">
        <f>'Assumptions'!$D$147*MIN(1,(H$4-MAX('Assumptions'!$D$143,'Assumptions'!$C$9)+1)/'Assumptions'!$C$11)*H184</f>
        <v/>
      </c>
      <c r="I187" s="51">
        <f>'Assumptions'!$D$147*MIN(1,(I$4-MAX('Assumptions'!$D$143,'Assumptions'!$C$9)+1)/'Assumptions'!$C$11)*I184</f>
        <v/>
      </c>
      <c r="J187" s="51">
        <f>'Assumptions'!$D$147*MIN(1,(J$4-MAX('Assumptions'!$D$143,'Assumptions'!$C$9)+1)/'Assumptions'!$C$11)*J184</f>
        <v/>
      </c>
      <c r="K187" s="51">
        <f>'Assumptions'!$D$147*MIN(1,(K$4-MAX('Assumptions'!$D$143,'Assumptions'!$C$9)+1)/'Assumptions'!$C$11)*K184</f>
        <v/>
      </c>
      <c r="L187" s="51">
        <f>'Assumptions'!$D$147*MIN(1,(L$4-MAX('Assumptions'!$D$143,'Assumptions'!$C$9)+1)/'Assumptions'!$C$11)*L184</f>
        <v/>
      </c>
      <c r="M187" s="51">
        <f>'Assumptions'!$D$147*MIN(1,(M$4-MAX('Assumptions'!$D$143,'Assumptions'!$C$9)+1)/'Assumptions'!$C$11)*M184</f>
        <v/>
      </c>
      <c r="N187" s="51">
        <f>'Assumptions'!$D$147*MIN(1,(N$4-MAX('Assumptions'!$D$143,'Assumptions'!$C$9)+1)/'Assumptions'!$C$11)*N184</f>
        <v/>
      </c>
      <c r="O187" s="51">
        <f>'Assumptions'!$D$147*MIN(1,(O$4-MAX('Assumptions'!$D$143,'Assumptions'!$C$9)+1)/'Assumptions'!$C$11)*O184</f>
        <v/>
      </c>
      <c r="P187" s="51">
        <f>'Assumptions'!$D$147*MIN(1,(P$4-MAX('Assumptions'!$D$143,'Assumptions'!$C$9)+1)/'Assumptions'!$C$11)*P184</f>
        <v/>
      </c>
      <c r="Q187" s="51">
        <f>'Assumptions'!$D$147*MIN(1,(Q$4-MAX('Assumptions'!$D$143,'Assumptions'!$C$9)+1)/'Assumptions'!$C$11)*Q184</f>
        <v/>
      </c>
      <c r="R187" s="51">
        <f>'Assumptions'!$D$147*MIN(1,(R$4-MAX('Assumptions'!$D$143,'Assumptions'!$C$9)+1)/'Assumptions'!$C$11)*R184</f>
        <v/>
      </c>
      <c r="S187" s="51">
        <f>'Assumptions'!$D$147*MIN(1,(S$4-MAX('Assumptions'!$D$143,'Assumptions'!$C$9)+1)/'Assumptions'!$C$11)*S184</f>
        <v/>
      </c>
      <c r="T187" s="51">
        <f>'Assumptions'!$D$147*MIN(1,(T$4-MAX('Assumptions'!$D$143,'Assumptions'!$C$9)+1)/'Assumptions'!$C$11)*T184</f>
        <v/>
      </c>
      <c r="U187" s="51">
        <f>'Assumptions'!$D$147*MIN(1,(U$4-MAX('Assumptions'!$D$143,'Assumptions'!$C$9)+1)/'Assumptions'!$C$11)*U184</f>
        <v/>
      </c>
      <c r="V187" s="51">
        <f>'Assumptions'!$D$147*MIN(1,(V$4-MAX('Assumptions'!$D$143,'Assumptions'!$C$9)+1)/'Assumptions'!$C$11)*V184</f>
        <v/>
      </c>
      <c r="W187" s="51">
        <f>'Assumptions'!$D$147*MIN(1,(W$4-MAX('Assumptions'!$D$143,'Assumptions'!$C$9)+1)/'Assumptions'!$C$11)*W184</f>
        <v/>
      </c>
      <c r="X187" s="51">
        <f>'Assumptions'!$D$147*MIN(1,(X$4-MAX('Assumptions'!$D$143,'Assumptions'!$C$9)+1)/'Assumptions'!$C$11)*X184</f>
        <v/>
      </c>
      <c r="Y187" s="51">
        <f>'Assumptions'!$D$147*MIN(1,(Y$4-MAX('Assumptions'!$D$143,'Assumptions'!$C$9)+1)/'Assumptions'!$C$11)*Y184</f>
        <v/>
      </c>
      <c r="Z187" s="51">
        <f>'Assumptions'!$D$147*MIN(1,(Z$4-MAX('Assumptions'!$D$143,'Assumptions'!$C$9)+1)/'Assumptions'!$C$11)*Z184</f>
        <v/>
      </c>
      <c r="AA187" s="51">
        <f>'Assumptions'!$D$147*MIN(1,(AA$4-MAX('Assumptions'!$D$143,'Assumptions'!$C$9)+1)/'Assumptions'!$C$11)*AA184</f>
        <v/>
      </c>
      <c r="AB187" s="51">
        <f>'Assumptions'!$D$147*MIN(1,(AB$4-MAX('Assumptions'!$D$143,'Assumptions'!$C$9)+1)/'Assumptions'!$C$11)*AB184</f>
        <v/>
      </c>
      <c r="AC187" s="51">
        <f>'Assumptions'!$D$147*MIN(1,(AC$4-MAX('Assumptions'!$D$143,'Assumptions'!$C$9)+1)/'Assumptions'!$C$11)*AC184</f>
        <v/>
      </c>
      <c r="AD187" s="51">
        <f>'Assumptions'!$D$147*MIN(1,(AD$4-MAX('Assumptions'!$D$143,'Assumptions'!$C$9)+1)/'Assumptions'!$C$11)*AD184</f>
        <v/>
      </c>
      <c r="AE187" s="51">
        <f>'Assumptions'!$D$147*MIN(1,(AE$4-MAX('Assumptions'!$D$143,'Assumptions'!$C$9)+1)/'Assumptions'!$C$11)*AE184</f>
        <v/>
      </c>
      <c r="AF187" s="51">
        <f>'Assumptions'!$D$147*MIN(1,(AF$4-MAX('Assumptions'!$D$143,'Assumptions'!$C$9)+1)/'Assumptions'!$C$11)*AF184</f>
        <v/>
      </c>
      <c r="AG187" s="51">
        <f>'Assumptions'!$D$147*MIN(1,(AG$4-MAX('Assumptions'!$D$143,'Assumptions'!$C$9)+1)/'Assumptions'!$C$11)*AG184</f>
        <v/>
      </c>
      <c r="AH187" s="51">
        <f>'Assumptions'!$D$147*MIN(1,(AH$4-MAX('Assumptions'!$D$143,'Assumptions'!$C$9)+1)/'Assumptions'!$C$11)*AH184</f>
        <v/>
      </c>
      <c r="AI187" s="51">
        <f>'Assumptions'!$D$147*MIN(1,(AI$4-MAX('Assumptions'!$D$143,'Assumptions'!$C$9)+1)/'Assumptions'!$C$11)*AI184</f>
        <v/>
      </c>
      <c r="AJ187" s="51">
        <f>'Assumptions'!$D$147*MIN(1,(AJ$4-MAX('Assumptions'!$D$143,'Assumptions'!$C$9)+1)/'Assumptions'!$C$11)*AJ184</f>
        <v/>
      </c>
      <c r="AK187" s="51">
        <f>'Assumptions'!$D$147*MIN(1,(AK$4-MAX('Assumptions'!$D$143,'Assumptions'!$C$9)+1)/'Assumptions'!$C$11)*AK184</f>
        <v/>
      </c>
      <c r="AL187" s="51">
        <f>'Assumptions'!$D$147*MIN(1,(AL$4-MAX('Assumptions'!$D$143,'Assumptions'!$C$9)+1)/'Assumptions'!$C$11)*AL184</f>
        <v/>
      </c>
    </row>
    <row r="188">
      <c r="A188" s="7" t="inlineStr">
        <is>
          <t xml:space="preserve">   Orders</t>
        </is>
      </c>
      <c r="B188" s="9" t="inlineStr">
        <is>
          <t>orders</t>
        </is>
      </c>
      <c r="C188" s="56">
        <f>C186*C187</f>
        <v/>
      </c>
      <c r="D188" s="56">
        <f>D186*D187</f>
        <v/>
      </c>
      <c r="E188" s="56">
        <f>E186*E187</f>
        <v/>
      </c>
      <c r="F188" s="56">
        <f>F186*F187</f>
        <v/>
      </c>
      <c r="G188" s="56">
        <f>G186*G187</f>
        <v/>
      </c>
      <c r="H188" s="56">
        <f>H186*H187</f>
        <v/>
      </c>
      <c r="I188" s="56">
        <f>I186*I187</f>
        <v/>
      </c>
      <c r="J188" s="56">
        <f>J186*J187</f>
        <v/>
      </c>
      <c r="K188" s="56">
        <f>K186*K187</f>
        <v/>
      </c>
      <c r="L188" s="56">
        <f>L186*L187</f>
        <v/>
      </c>
      <c r="M188" s="56">
        <f>M186*M187</f>
        <v/>
      </c>
      <c r="N188" s="56">
        <f>N186*N187</f>
        <v/>
      </c>
      <c r="O188" s="56">
        <f>O186*O187</f>
        <v/>
      </c>
      <c r="P188" s="56">
        <f>P186*P187</f>
        <v/>
      </c>
      <c r="Q188" s="56">
        <f>Q186*Q187</f>
        <v/>
      </c>
      <c r="R188" s="56">
        <f>R186*R187</f>
        <v/>
      </c>
      <c r="S188" s="56">
        <f>S186*S187</f>
        <v/>
      </c>
      <c r="T188" s="56">
        <f>T186*T187</f>
        <v/>
      </c>
      <c r="U188" s="56">
        <f>U186*U187</f>
        <v/>
      </c>
      <c r="V188" s="56">
        <f>V186*V187</f>
        <v/>
      </c>
      <c r="W188" s="56">
        <f>W186*W187</f>
        <v/>
      </c>
      <c r="X188" s="56">
        <f>X186*X187</f>
        <v/>
      </c>
      <c r="Y188" s="56">
        <f>Y186*Y187</f>
        <v/>
      </c>
      <c r="Z188" s="56">
        <f>Z186*Z187</f>
        <v/>
      </c>
      <c r="AA188" s="56">
        <f>AA186*AA187</f>
        <v/>
      </c>
      <c r="AB188" s="56">
        <f>AB186*AB187</f>
        <v/>
      </c>
      <c r="AC188" s="56">
        <f>AC186*AC187</f>
        <v/>
      </c>
      <c r="AD188" s="56">
        <f>AD186*AD187</f>
        <v/>
      </c>
      <c r="AE188" s="56">
        <f>AE186*AE187</f>
        <v/>
      </c>
      <c r="AF188" s="56">
        <f>AF186*AF187</f>
        <v/>
      </c>
      <c r="AG188" s="56">
        <f>AG186*AG187</f>
        <v/>
      </c>
      <c r="AH188" s="56">
        <f>AH186*AH187</f>
        <v/>
      </c>
      <c r="AI188" s="56">
        <f>AI186*AI187</f>
        <v/>
      </c>
      <c r="AJ188" s="56">
        <f>AJ186*AJ187</f>
        <v/>
      </c>
      <c r="AK188" s="56">
        <f>AK186*AK187</f>
        <v/>
      </c>
      <c r="AL188" s="56">
        <f>AL186*AL187</f>
        <v/>
      </c>
      <c r="AM188" s="57">
        <f>SUMIF($C$6:$AL$6,1,C188:AL188)</f>
        <v/>
      </c>
      <c r="AN188" s="57">
        <f>SUMIF($C$6:$AL$6,2,C188:AL188)</f>
        <v/>
      </c>
      <c r="AO188" s="57">
        <f>SUMIF($C$6:$AL$6,3,C188:AL188)</f>
        <v/>
      </c>
      <c r="AP188" s="57">
        <f>SUM(C188:AL188)</f>
        <v/>
      </c>
    </row>
    <row r="189">
      <c r="A189" s="7" t="inlineStr">
        <is>
          <t xml:space="preserve">   Items sold</t>
        </is>
      </c>
      <c r="B189" s="9" t="inlineStr">
        <is>
          <t>items</t>
        </is>
      </c>
      <c r="C189" s="14">
        <f>C188*'Assumptions'!$D$148</f>
        <v/>
      </c>
      <c r="D189" s="14">
        <f>D188*'Assumptions'!$D$148</f>
        <v/>
      </c>
      <c r="E189" s="14">
        <f>E188*'Assumptions'!$D$148</f>
        <v/>
      </c>
      <c r="F189" s="14">
        <f>F188*'Assumptions'!$D$148</f>
        <v/>
      </c>
      <c r="G189" s="14">
        <f>G188*'Assumptions'!$D$148</f>
        <v/>
      </c>
      <c r="H189" s="14">
        <f>H188*'Assumptions'!$D$148</f>
        <v/>
      </c>
      <c r="I189" s="14">
        <f>I188*'Assumptions'!$D$148</f>
        <v/>
      </c>
      <c r="J189" s="14">
        <f>J188*'Assumptions'!$D$148</f>
        <v/>
      </c>
      <c r="K189" s="14">
        <f>K188*'Assumptions'!$D$148</f>
        <v/>
      </c>
      <c r="L189" s="14">
        <f>L188*'Assumptions'!$D$148</f>
        <v/>
      </c>
      <c r="M189" s="14">
        <f>M188*'Assumptions'!$D$148</f>
        <v/>
      </c>
      <c r="N189" s="14">
        <f>N188*'Assumptions'!$D$148</f>
        <v/>
      </c>
      <c r="O189" s="14">
        <f>O188*'Assumptions'!$D$148</f>
        <v/>
      </c>
      <c r="P189" s="14">
        <f>P188*'Assumptions'!$D$148</f>
        <v/>
      </c>
      <c r="Q189" s="14">
        <f>Q188*'Assumptions'!$D$148</f>
        <v/>
      </c>
      <c r="R189" s="14">
        <f>R188*'Assumptions'!$D$148</f>
        <v/>
      </c>
      <c r="S189" s="14">
        <f>S188*'Assumptions'!$D$148</f>
        <v/>
      </c>
      <c r="T189" s="14">
        <f>T188*'Assumptions'!$D$148</f>
        <v/>
      </c>
      <c r="U189" s="14">
        <f>U188*'Assumptions'!$D$148</f>
        <v/>
      </c>
      <c r="V189" s="14">
        <f>V188*'Assumptions'!$D$148</f>
        <v/>
      </c>
      <c r="W189" s="14">
        <f>W188*'Assumptions'!$D$148</f>
        <v/>
      </c>
      <c r="X189" s="14">
        <f>X188*'Assumptions'!$D$148</f>
        <v/>
      </c>
      <c r="Y189" s="14">
        <f>Y188*'Assumptions'!$D$148</f>
        <v/>
      </c>
      <c r="Z189" s="14">
        <f>Z188*'Assumptions'!$D$148</f>
        <v/>
      </c>
      <c r="AA189" s="14">
        <f>AA188*'Assumptions'!$D$148</f>
        <v/>
      </c>
      <c r="AB189" s="14">
        <f>AB188*'Assumptions'!$D$148</f>
        <v/>
      </c>
      <c r="AC189" s="14">
        <f>AC188*'Assumptions'!$D$148</f>
        <v/>
      </c>
      <c r="AD189" s="14">
        <f>AD188*'Assumptions'!$D$148</f>
        <v/>
      </c>
      <c r="AE189" s="14">
        <f>AE188*'Assumptions'!$D$148</f>
        <v/>
      </c>
      <c r="AF189" s="14">
        <f>AF188*'Assumptions'!$D$148</f>
        <v/>
      </c>
      <c r="AG189" s="14">
        <f>AG188*'Assumptions'!$D$148</f>
        <v/>
      </c>
      <c r="AH189" s="14">
        <f>AH188*'Assumptions'!$D$148</f>
        <v/>
      </c>
      <c r="AI189" s="14">
        <f>AI188*'Assumptions'!$D$148</f>
        <v/>
      </c>
      <c r="AJ189" s="14">
        <f>AJ188*'Assumptions'!$D$148</f>
        <v/>
      </c>
      <c r="AK189" s="14">
        <f>AK188*'Assumptions'!$D$148</f>
        <v/>
      </c>
      <c r="AL189" s="14">
        <f>AL188*'Assumptions'!$D$148</f>
        <v/>
      </c>
      <c r="AM189" s="57">
        <f>SUMIF($C$6:$AL$6,1,C189:AL189)</f>
        <v/>
      </c>
      <c r="AN189" s="57">
        <f>SUMIF($C$6:$AL$6,2,C189:AL189)</f>
        <v/>
      </c>
      <c r="AO189" s="57">
        <f>SUMIF($C$6:$AL$6,3,C189:AL189)</f>
        <v/>
      </c>
      <c r="AP189" s="57">
        <f>SUM(C189:AL189)</f>
        <v/>
      </c>
    </row>
    <row r="190">
      <c r="A190" s="7" t="inlineStr">
        <is>
          <t xml:space="preserve">   Average order value</t>
        </is>
      </c>
      <c r="B190" s="9" t="inlineStr">
        <is>
          <t>$</t>
        </is>
      </c>
      <c r="C190" s="16">
        <f>'Unit Economics'!$E$52*'Assumptions'!$D$148*C184</f>
        <v/>
      </c>
      <c r="D190" s="16">
        <f>'Unit Economics'!$E$52*'Assumptions'!$D$148*D184</f>
        <v/>
      </c>
      <c r="E190" s="16">
        <f>'Unit Economics'!$E$52*'Assumptions'!$D$148*E184</f>
        <v/>
      </c>
      <c r="F190" s="16">
        <f>'Unit Economics'!$E$52*'Assumptions'!$D$148*F184</f>
        <v/>
      </c>
      <c r="G190" s="16">
        <f>'Unit Economics'!$E$52*'Assumptions'!$D$148*G184</f>
        <v/>
      </c>
      <c r="H190" s="16">
        <f>'Unit Economics'!$E$52*'Assumptions'!$D$148*H184</f>
        <v/>
      </c>
      <c r="I190" s="16">
        <f>'Unit Economics'!$E$52*'Assumptions'!$D$148*I184</f>
        <v/>
      </c>
      <c r="J190" s="16">
        <f>'Unit Economics'!$E$52*'Assumptions'!$D$148*J184</f>
        <v/>
      </c>
      <c r="K190" s="16">
        <f>'Unit Economics'!$E$52*'Assumptions'!$D$148*K184</f>
        <v/>
      </c>
      <c r="L190" s="16">
        <f>'Unit Economics'!$E$52*'Assumptions'!$D$148*L184</f>
        <v/>
      </c>
      <c r="M190" s="16">
        <f>'Unit Economics'!$E$52*'Assumptions'!$D$148*M184</f>
        <v/>
      </c>
      <c r="N190" s="16">
        <f>'Unit Economics'!$E$52*'Assumptions'!$D$148*N184</f>
        <v/>
      </c>
      <c r="O190" s="16">
        <f>'Unit Economics'!$E$52*'Assumptions'!$D$148*O184</f>
        <v/>
      </c>
      <c r="P190" s="16">
        <f>'Unit Economics'!$E$52*'Assumptions'!$D$148*P184</f>
        <v/>
      </c>
      <c r="Q190" s="16">
        <f>'Unit Economics'!$E$52*'Assumptions'!$D$148*Q184</f>
        <v/>
      </c>
      <c r="R190" s="16">
        <f>'Unit Economics'!$E$52*'Assumptions'!$D$148*R184</f>
        <v/>
      </c>
      <c r="S190" s="16">
        <f>'Unit Economics'!$E$52*'Assumptions'!$D$148*S184</f>
        <v/>
      </c>
      <c r="T190" s="16">
        <f>'Unit Economics'!$E$52*'Assumptions'!$D$148*T184</f>
        <v/>
      </c>
      <c r="U190" s="16">
        <f>'Unit Economics'!$E$52*'Assumptions'!$D$148*U184</f>
        <v/>
      </c>
      <c r="V190" s="16">
        <f>'Unit Economics'!$E$52*'Assumptions'!$D$148*V184</f>
        <v/>
      </c>
      <c r="W190" s="16">
        <f>'Unit Economics'!$E$52*'Assumptions'!$D$148*W184</f>
        <v/>
      </c>
      <c r="X190" s="16">
        <f>'Unit Economics'!$E$52*'Assumptions'!$D$148*X184</f>
        <v/>
      </c>
      <c r="Y190" s="16">
        <f>'Unit Economics'!$E$52*'Assumptions'!$D$148*Y184</f>
        <v/>
      </c>
      <c r="Z190" s="16">
        <f>'Unit Economics'!$E$52*'Assumptions'!$D$148*Z184</f>
        <v/>
      </c>
      <c r="AA190" s="16">
        <f>'Unit Economics'!$E$52*'Assumptions'!$D$148*AA184</f>
        <v/>
      </c>
      <c r="AB190" s="16">
        <f>'Unit Economics'!$E$52*'Assumptions'!$D$148*AB184</f>
        <v/>
      </c>
      <c r="AC190" s="16">
        <f>'Unit Economics'!$E$52*'Assumptions'!$D$148*AC184</f>
        <v/>
      </c>
      <c r="AD190" s="16">
        <f>'Unit Economics'!$E$52*'Assumptions'!$D$148*AD184</f>
        <v/>
      </c>
      <c r="AE190" s="16">
        <f>'Unit Economics'!$E$52*'Assumptions'!$D$148*AE184</f>
        <v/>
      </c>
      <c r="AF190" s="16">
        <f>'Unit Economics'!$E$52*'Assumptions'!$D$148*AF184</f>
        <v/>
      </c>
      <c r="AG190" s="16">
        <f>'Unit Economics'!$E$52*'Assumptions'!$D$148*AG184</f>
        <v/>
      </c>
      <c r="AH190" s="16">
        <f>'Unit Economics'!$E$52*'Assumptions'!$D$148*AH184</f>
        <v/>
      </c>
      <c r="AI190" s="16">
        <f>'Unit Economics'!$E$52*'Assumptions'!$D$148*AI184</f>
        <v/>
      </c>
      <c r="AJ190" s="16">
        <f>'Unit Economics'!$E$52*'Assumptions'!$D$148*AJ184</f>
        <v/>
      </c>
      <c r="AK190" s="16">
        <f>'Unit Economics'!$E$52*'Assumptions'!$D$148*AK184</f>
        <v/>
      </c>
      <c r="AL190" s="16">
        <f>'Unit Economics'!$E$52*'Assumptions'!$D$148*AL184</f>
        <v/>
      </c>
    </row>
    <row r="191">
      <c r="A191" s="7" t="inlineStr">
        <is>
          <t xml:space="preserve">   Gross sales (price paid by customers)</t>
        </is>
      </c>
      <c r="B191" s="9" t="inlineStr">
        <is>
          <t>$</t>
        </is>
      </c>
      <c r="C191" s="8">
        <f>C189*'Unit Economics'!$E$52</f>
        <v/>
      </c>
      <c r="D191" s="8">
        <f>D189*'Unit Economics'!$E$52</f>
        <v/>
      </c>
      <c r="E191" s="8">
        <f>E189*'Unit Economics'!$E$52</f>
        <v/>
      </c>
      <c r="F191" s="8">
        <f>F189*'Unit Economics'!$E$52</f>
        <v/>
      </c>
      <c r="G191" s="8">
        <f>G189*'Unit Economics'!$E$52</f>
        <v/>
      </c>
      <c r="H191" s="8">
        <f>H189*'Unit Economics'!$E$52</f>
        <v/>
      </c>
      <c r="I191" s="8">
        <f>I189*'Unit Economics'!$E$52</f>
        <v/>
      </c>
      <c r="J191" s="8">
        <f>J189*'Unit Economics'!$E$52</f>
        <v/>
      </c>
      <c r="K191" s="8">
        <f>K189*'Unit Economics'!$E$52</f>
        <v/>
      </c>
      <c r="L191" s="8">
        <f>L189*'Unit Economics'!$E$52</f>
        <v/>
      </c>
      <c r="M191" s="8">
        <f>M189*'Unit Economics'!$E$52</f>
        <v/>
      </c>
      <c r="N191" s="8">
        <f>N189*'Unit Economics'!$E$52</f>
        <v/>
      </c>
      <c r="O191" s="8">
        <f>O189*'Unit Economics'!$E$52</f>
        <v/>
      </c>
      <c r="P191" s="8">
        <f>P189*'Unit Economics'!$E$52</f>
        <v/>
      </c>
      <c r="Q191" s="8">
        <f>Q189*'Unit Economics'!$E$52</f>
        <v/>
      </c>
      <c r="R191" s="8">
        <f>R189*'Unit Economics'!$E$52</f>
        <v/>
      </c>
      <c r="S191" s="8">
        <f>S189*'Unit Economics'!$E$52</f>
        <v/>
      </c>
      <c r="T191" s="8">
        <f>T189*'Unit Economics'!$E$52</f>
        <v/>
      </c>
      <c r="U191" s="8">
        <f>U189*'Unit Economics'!$E$52</f>
        <v/>
      </c>
      <c r="V191" s="8">
        <f>V189*'Unit Economics'!$E$52</f>
        <v/>
      </c>
      <c r="W191" s="8">
        <f>W189*'Unit Economics'!$E$52</f>
        <v/>
      </c>
      <c r="X191" s="8">
        <f>X189*'Unit Economics'!$E$52</f>
        <v/>
      </c>
      <c r="Y191" s="8">
        <f>Y189*'Unit Economics'!$E$52</f>
        <v/>
      </c>
      <c r="Z191" s="8">
        <f>Z189*'Unit Economics'!$E$52</f>
        <v/>
      </c>
      <c r="AA191" s="8">
        <f>AA189*'Unit Economics'!$E$52</f>
        <v/>
      </c>
      <c r="AB191" s="8">
        <f>AB189*'Unit Economics'!$E$52</f>
        <v/>
      </c>
      <c r="AC191" s="8">
        <f>AC189*'Unit Economics'!$E$52</f>
        <v/>
      </c>
      <c r="AD191" s="8">
        <f>AD189*'Unit Economics'!$E$52</f>
        <v/>
      </c>
      <c r="AE191" s="8">
        <f>AE189*'Unit Economics'!$E$52</f>
        <v/>
      </c>
      <c r="AF191" s="8">
        <f>AF189*'Unit Economics'!$E$52</f>
        <v/>
      </c>
      <c r="AG191" s="8">
        <f>AG189*'Unit Economics'!$E$52</f>
        <v/>
      </c>
      <c r="AH191" s="8">
        <f>AH189*'Unit Economics'!$E$52</f>
        <v/>
      </c>
      <c r="AI191" s="8">
        <f>AI189*'Unit Economics'!$E$52</f>
        <v/>
      </c>
      <c r="AJ191" s="8">
        <f>AJ189*'Unit Economics'!$E$52</f>
        <v/>
      </c>
      <c r="AK191" s="8">
        <f>AK189*'Unit Economics'!$E$52</f>
        <v/>
      </c>
      <c r="AL191" s="8">
        <f>AL189*'Unit Economics'!$E$52</f>
        <v/>
      </c>
      <c r="AM191" s="47">
        <f>SUMIF($C$6:$AL$6,1,C191:AL191)</f>
        <v/>
      </c>
      <c r="AN191" s="47">
        <f>SUMIF($C$6:$AL$6,2,C191:AL191)</f>
        <v/>
      </c>
      <c r="AO191" s="47">
        <f>SUMIF($C$6:$AL$6,3,C191:AL191)</f>
        <v/>
      </c>
      <c r="AP191" s="47">
        <f>SUM(C191:AL191)</f>
        <v/>
      </c>
    </row>
    <row r="192">
      <c r="A192" s="7" t="inlineStr">
        <is>
          <t xml:space="preserve">   Net contribution to AlphaPlay</t>
        </is>
      </c>
      <c r="B192" s="9" t="inlineStr">
        <is>
          <t>$</t>
        </is>
      </c>
      <c r="C192" s="8">
        <f>C189*'Unit Economics'!$F$52</f>
        <v/>
      </c>
      <c r="D192" s="8">
        <f>D189*'Unit Economics'!$F$52</f>
        <v/>
      </c>
      <c r="E192" s="8">
        <f>E189*'Unit Economics'!$F$52</f>
        <v/>
      </c>
      <c r="F192" s="8">
        <f>F189*'Unit Economics'!$F$52</f>
        <v/>
      </c>
      <c r="G192" s="8">
        <f>G189*'Unit Economics'!$F$52</f>
        <v/>
      </c>
      <c r="H192" s="8">
        <f>H189*'Unit Economics'!$F$52</f>
        <v/>
      </c>
      <c r="I192" s="8">
        <f>I189*'Unit Economics'!$F$52</f>
        <v/>
      </c>
      <c r="J192" s="8">
        <f>J189*'Unit Economics'!$F$52</f>
        <v/>
      </c>
      <c r="K192" s="8">
        <f>K189*'Unit Economics'!$F$52</f>
        <v/>
      </c>
      <c r="L192" s="8">
        <f>L189*'Unit Economics'!$F$52</f>
        <v/>
      </c>
      <c r="M192" s="8">
        <f>M189*'Unit Economics'!$F$52</f>
        <v/>
      </c>
      <c r="N192" s="8">
        <f>N189*'Unit Economics'!$F$52</f>
        <v/>
      </c>
      <c r="O192" s="8">
        <f>O189*'Unit Economics'!$F$52</f>
        <v/>
      </c>
      <c r="P192" s="8">
        <f>P189*'Unit Economics'!$F$52</f>
        <v/>
      </c>
      <c r="Q192" s="8">
        <f>Q189*'Unit Economics'!$F$52</f>
        <v/>
      </c>
      <c r="R192" s="8">
        <f>R189*'Unit Economics'!$F$52</f>
        <v/>
      </c>
      <c r="S192" s="8">
        <f>S189*'Unit Economics'!$F$52</f>
        <v/>
      </c>
      <c r="T192" s="8">
        <f>T189*'Unit Economics'!$F$52</f>
        <v/>
      </c>
      <c r="U192" s="8">
        <f>U189*'Unit Economics'!$F$52</f>
        <v/>
      </c>
      <c r="V192" s="8">
        <f>V189*'Unit Economics'!$F$52</f>
        <v/>
      </c>
      <c r="W192" s="8">
        <f>W189*'Unit Economics'!$F$52</f>
        <v/>
      </c>
      <c r="X192" s="8">
        <f>X189*'Unit Economics'!$F$52</f>
        <v/>
      </c>
      <c r="Y192" s="8">
        <f>Y189*'Unit Economics'!$F$52</f>
        <v/>
      </c>
      <c r="Z192" s="8">
        <f>Z189*'Unit Economics'!$F$52</f>
        <v/>
      </c>
      <c r="AA192" s="8">
        <f>AA189*'Unit Economics'!$F$52</f>
        <v/>
      </c>
      <c r="AB192" s="8">
        <f>AB189*'Unit Economics'!$F$52</f>
        <v/>
      </c>
      <c r="AC192" s="8">
        <f>AC189*'Unit Economics'!$F$52</f>
        <v/>
      </c>
      <c r="AD192" s="8">
        <f>AD189*'Unit Economics'!$F$52</f>
        <v/>
      </c>
      <c r="AE192" s="8">
        <f>AE189*'Unit Economics'!$F$52</f>
        <v/>
      </c>
      <c r="AF192" s="8">
        <f>AF189*'Unit Economics'!$F$52</f>
        <v/>
      </c>
      <c r="AG192" s="8">
        <f>AG189*'Unit Economics'!$F$52</f>
        <v/>
      </c>
      <c r="AH192" s="8">
        <f>AH189*'Unit Economics'!$F$52</f>
        <v/>
      </c>
      <c r="AI192" s="8">
        <f>AI189*'Unit Economics'!$F$52</f>
        <v/>
      </c>
      <c r="AJ192" s="8">
        <f>AJ189*'Unit Economics'!$F$52</f>
        <v/>
      </c>
      <c r="AK192" s="8">
        <f>AK189*'Unit Economics'!$F$52</f>
        <v/>
      </c>
      <c r="AL192" s="8">
        <f>AL189*'Unit Economics'!$F$52</f>
        <v/>
      </c>
      <c r="AM192" s="47">
        <f>SUMIF($C$6:$AL$6,1,C192:AL192)</f>
        <v/>
      </c>
      <c r="AN192" s="47">
        <f>SUMIF($C$6:$AL$6,2,C192:AL192)</f>
        <v/>
      </c>
      <c r="AO192" s="47">
        <f>SUMIF($C$6:$AL$6,3,C192:AL192)</f>
        <v/>
      </c>
      <c r="AP192" s="47">
        <f>SUM(C192:AL192)</f>
        <v/>
      </c>
    </row>
    <row r="193">
      <c r="A193" s="5" t="inlineStr">
        <is>
          <t>International digital via merchant of record (Gumroad)</t>
        </is>
      </c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  <c r="AC193" s="6" t="n"/>
      <c r="AD193" s="6" t="n"/>
      <c r="AE193" s="6" t="n"/>
      <c r="AF193" s="6" t="n"/>
      <c r="AG193" s="6" t="n"/>
      <c r="AH193" s="6" t="n"/>
      <c r="AI193" s="6" t="n"/>
      <c r="AJ193" s="6" t="n"/>
      <c r="AK193" s="6" t="n"/>
      <c r="AL193" s="6" t="n"/>
      <c r="AM193" s="6" t="n"/>
      <c r="AN193" s="6" t="n"/>
      <c r="AO193" s="6" t="n"/>
      <c r="AP193" s="6" t="n"/>
    </row>
    <row r="194">
      <c r="A194" s="7" t="inlineStr">
        <is>
          <t xml:space="preserve">   Active (1 = live)</t>
        </is>
      </c>
      <c r="B194" s="9" t="inlineStr">
        <is>
          <t>flag</t>
        </is>
      </c>
      <c r="C194" s="18">
        <f>IF(AND('Assumptions'!$D$150=1,C$4&gt;=MAX('Assumptions'!$D$151,'Assumptions'!$C$9)),1,0)</f>
        <v/>
      </c>
      <c r="D194" s="18">
        <f>IF(AND('Assumptions'!$D$150=1,D$4&gt;=MAX('Assumptions'!$D$151,'Assumptions'!$C$9)),1,0)</f>
        <v/>
      </c>
      <c r="E194" s="18">
        <f>IF(AND('Assumptions'!$D$150=1,E$4&gt;=MAX('Assumptions'!$D$151,'Assumptions'!$C$9)),1,0)</f>
        <v/>
      </c>
      <c r="F194" s="18">
        <f>IF(AND('Assumptions'!$D$150=1,F$4&gt;=MAX('Assumptions'!$D$151,'Assumptions'!$C$9)),1,0)</f>
        <v/>
      </c>
      <c r="G194" s="18">
        <f>IF(AND('Assumptions'!$D$150=1,G$4&gt;=MAX('Assumptions'!$D$151,'Assumptions'!$C$9)),1,0)</f>
        <v/>
      </c>
      <c r="H194" s="18">
        <f>IF(AND('Assumptions'!$D$150=1,H$4&gt;=MAX('Assumptions'!$D$151,'Assumptions'!$C$9)),1,0)</f>
        <v/>
      </c>
      <c r="I194" s="18">
        <f>IF(AND('Assumptions'!$D$150=1,I$4&gt;=MAX('Assumptions'!$D$151,'Assumptions'!$C$9)),1,0)</f>
        <v/>
      </c>
      <c r="J194" s="18">
        <f>IF(AND('Assumptions'!$D$150=1,J$4&gt;=MAX('Assumptions'!$D$151,'Assumptions'!$C$9)),1,0)</f>
        <v/>
      </c>
      <c r="K194" s="18">
        <f>IF(AND('Assumptions'!$D$150=1,K$4&gt;=MAX('Assumptions'!$D$151,'Assumptions'!$C$9)),1,0)</f>
        <v/>
      </c>
      <c r="L194" s="18">
        <f>IF(AND('Assumptions'!$D$150=1,L$4&gt;=MAX('Assumptions'!$D$151,'Assumptions'!$C$9)),1,0)</f>
        <v/>
      </c>
      <c r="M194" s="18">
        <f>IF(AND('Assumptions'!$D$150=1,M$4&gt;=MAX('Assumptions'!$D$151,'Assumptions'!$C$9)),1,0)</f>
        <v/>
      </c>
      <c r="N194" s="18">
        <f>IF(AND('Assumptions'!$D$150=1,N$4&gt;=MAX('Assumptions'!$D$151,'Assumptions'!$C$9)),1,0)</f>
        <v/>
      </c>
      <c r="O194" s="18">
        <f>IF(AND('Assumptions'!$D$150=1,O$4&gt;=MAX('Assumptions'!$D$151,'Assumptions'!$C$9)),1,0)</f>
        <v/>
      </c>
      <c r="P194" s="18">
        <f>IF(AND('Assumptions'!$D$150=1,P$4&gt;=MAX('Assumptions'!$D$151,'Assumptions'!$C$9)),1,0)</f>
        <v/>
      </c>
      <c r="Q194" s="18">
        <f>IF(AND('Assumptions'!$D$150=1,Q$4&gt;=MAX('Assumptions'!$D$151,'Assumptions'!$C$9)),1,0)</f>
        <v/>
      </c>
      <c r="R194" s="18">
        <f>IF(AND('Assumptions'!$D$150=1,R$4&gt;=MAX('Assumptions'!$D$151,'Assumptions'!$C$9)),1,0)</f>
        <v/>
      </c>
      <c r="S194" s="18">
        <f>IF(AND('Assumptions'!$D$150=1,S$4&gt;=MAX('Assumptions'!$D$151,'Assumptions'!$C$9)),1,0)</f>
        <v/>
      </c>
      <c r="T194" s="18">
        <f>IF(AND('Assumptions'!$D$150=1,T$4&gt;=MAX('Assumptions'!$D$151,'Assumptions'!$C$9)),1,0)</f>
        <v/>
      </c>
      <c r="U194" s="18">
        <f>IF(AND('Assumptions'!$D$150=1,U$4&gt;=MAX('Assumptions'!$D$151,'Assumptions'!$C$9)),1,0)</f>
        <v/>
      </c>
      <c r="V194" s="18">
        <f>IF(AND('Assumptions'!$D$150=1,V$4&gt;=MAX('Assumptions'!$D$151,'Assumptions'!$C$9)),1,0)</f>
        <v/>
      </c>
      <c r="W194" s="18">
        <f>IF(AND('Assumptions'!$D$150=1,W$4&gt;=MAX('Assumptions'!$D$151,'Assumptions'!$C$9)),1,0)</f>
        <v/>
      </c>
      <c r="X194" s="18">
        <f>IF(AND('Assumptions'!$D$150=1,X$4&gt;=MAX('Assumptions'!$D$151,'Assumptions'!$C$9)),1,0)</f>
        <v/>
      </c>
      <c r="Y194" s="18">
        <f>IF(AND('Assumptions'!$D$150=1,Y$4&gt;=MAX('Assumptions'!$D$151,'Assumptions'!$C$9)),1,0)</f>
        <v/>
      </c>
      <c r="Z194" s="18">
        <f>IF(AND('Assumptions'!$D$150=1,Z$4&gt;=MAX('Assumptions'!$D$151,'Assumptions'!$C$9)),1,0)</f>
        <v/>
      </c>
      <c r="AA194" s="18">
        <f>IF(AND('Assumptions'!$D$150=1,AA$4&gt;=MAX('Assumptions'!$D$151,'Assumptions'!$C$9)),1,0)</f>
        <v/>
      </c>
      <c r="AB194" s="18">
        <f>IF(AND('Assumptions'!$D$150=1,AB$4&gt;=MAX('Assumptions'!$D$151,'Assumptions'!$C$9)),1,0)</f>
        <v/>
      </c>
      <c r="AC194" s="18">
        <f>IF(AND('Assumptions'!$D$150=1,AC$4&gt;=MAX('Assumptions'!$D$151,'Assumptions'!$C$9)),1,0)</f>
        <v/>
      </c>
      <c r="AD194" s="18">
        <f>IF(AND('Assumptions'!$D$150=1,AD$4&gt;=MAX('Assumptions'!$D$151,'Assumptions'!$C$9)),1,0)</f>
        <v/>
      </c>
      <c r="AE194" s="18">
        <f>IF(AND('Assumptions'!$D$150=1,AE$4&gt;=MAX('Assumptions'!$D$151,'Assumptions'!$C$9)),1,0)</f>
        <v/>
      </c>
      <c r="AF194" s="18">
        <f>IF(AND('Assumptions'!$D$150=1,AF$4&gt;=MAX('Assumptions'!$D$151,'Assumptions'!$C$9)),1,0)</f>
        <v/>
      </c>
      <c r="AG194" s="18">
        <f>IF(AND('Assumptions'!$D$150=1,AG$4&gt;=MAX('Assumptions'!$D$151,'Assumptions'!$C$9)),1,0)</f>
        <v/>
      </c>
      <c r="AH194" s="18">
        <f>IF(AND('Assumptions'!$D$150=1,AH$4&gt;=MAX('Assumptions'!$D$151,'Assumptions'!$C$9)),1,0)</f>
        <v/>
      </c>
      <c r="AI194" s="18">
        <f>IF(AND('Assumptions'!$D$150=1,AI$4&gt;=MAX('Assumptions'!$D$151,'Assumptions'!$C$9)),1,0)</f>
        <v/>
      </c>
      <c r="AJ194" s="18">
        <f>IF(AND('Assumptions'!$D$150=1,AJ$4&gt;=MAX('Assumptions'!$D$151,'Assumptions'!$C$9)),1,0)</f>
        <v/>
      </c>
      <c r="AK194" s="18">
        <f>IF(AND('Assumptions'!$D$150=1,AK$4&gt;=MAX('Assumptions'!$D$151,'Assumptions'!$C$9)),1,0)</f>
        <v/>
      </c>
      <c r="AL194" s="18">
        <f>IF(AND('Assumptions'!$D$150=1,AL$4&gt;=MAX('Assumptions'!$D$151,'Assumptions'!$C$9)),1,0)</f>
        <v/>
      </c>
    </row>
    <row r="195">
      <c r="A195" s="7" t="inlineStr">
        <is>
          <t xml:space="preserve">   Sales-per-product index (1.00 in the launch month)</t>
        </is>
      </c>
      <c r="B195" s="9" t="inlineStr">
        <is>
          <t>index</t>
        </is>
      </c>
      <c r="C195" s="55">
        <f>IF(C194=0,0,1)</f>
        <v/>
      </c>
      <c r="D195" s="51">
        <f>IF(D194=0,0,IF(D$4=MAX('Assumptions'!$D$151,'Assumptions'!$C$9),1,C195*(1+CHOOSE(D$6,'Assumptions'!$D$152,'Assumptions'!$D$153,'Assumptions'!$D$154))))</f>
        <v/>
      </c>
      <c r="E195" s="51">
        <f>IF(E194=0,0,IF(E$4=MAX('Assumptions'!$D$151,'Assumptions'!$C$9),1,D195*(1+CHOOSE(E$6,'Assumptions'!$D$152,'Assumptions'!$D$153,'Assumptions'!$D$154))))</f>
        <v/>
      </c>
      <c r="F195" s="51">
        <f>IF(F194=0,0,IF(F$4=MAX('Assumptions'!$D$151,'Assumptions'!$C$9),1,E195*(1+CHOOSE(F$6,'Assumptions'!$D$152,'Assumptions'!$D$153,'Assumptions'!$D$154))))</f>
        <v/>
      </c>
      <c r="G195" s="51">
        <f>IF(G194=0,0,IF(G$4=MAX('Assumptions'!$D$151,'Assumptions'!$C$9),1,F195*(1+CHOOSE(G$6,'Assumptions'!$D$152,'Assumptions'!$D$153,'Assumptions'!$D$154))))</f>
        <v/>
      </c>
      <c r="H195" s="51">
        <f>IF(H194=0,0,IF(H$4=MAX('Assumptions'!$D$151,'Assumptions'!$C$9),1,G195*(1+CHOOSE(H$6,'Assumptions'!$D$152,'Assumptions'!$D$153,'Assumptions'!$D$154))))</f>
        <v/>
      </c>
      <c r="I195" s="51">
        <f>IF(I194=0,0,IF(I$4=MAX('Assumptions'!$D$151,'Assumptions'!$C$9),1,H195*(1+CHOOSE(I$6,'Assumptions'!$D$152,'Assumptions'!$D$153,'Assumptions'!$D$154))))</f>
        <v/>
      </c>
      <c r="J195" s="51">
        <f>IF(J194=0,0,IF(J$4=MAX('Assumptions'!$D$151,'Assumptions'!$C$9),1,I195*(1+CHOOSE(J$6,'Assumptions'!$D$152,'Assumptions'!$D$153,'Assumptions'!$D$154))))</f>
        <v/>
      </c>
      <c r="K195" s="51">
        <f>IF(K194=0,0,IF(K$4=MAX('Assumptions'!$D$151,'Assumptions'!$C$9),1,J195*(1+CHOOSE(K$6,'Assumptions'!$D$152,'Assumptions'!$D$153,'Assumptions'!$D$154))))</f>
        <v/>
      </c>
      <c r="L195" s="51">
        <f>IF(L194=0,0,IF(L$4=MAX('Assumptions'!$D$151,'Assumptions'!$C$9),1,K195*(1+CHOOSE(L$6,'Assumptions'!$D$152,'Assumptions'!$D$153,'Assumptions'!$D$154))))</f>
        <v/>
      </c>
      <c r="M195" s="51">
        <f>IF(M194=0,0,IF(M$4=MAX('Assumptions'!$D$151,'Assumptions'!$C$9),1,L195*(1+CHOOSE(M$6,'Assumptions'!$D$152,'Assumptions'!$D$153,'Assumptions'!$D$154))))</f>
        <v/>
      </c>
      <c r="N195" s="51">
        <f>IF(N194=0,0,IF(N$4=MAX('Assumptions'!$D$151,'Assumptions'!$C$9),1,M195*(1+CHOOSE(N$6,'Assumptions'!$D$152,'Assumptions'!$D$153,'Assumptions'!$D$154))))</f>
        <v/>
      </c>
      <c r="O195" s="51">
        <f>IF(O194=0,0,IF(O$4=MAX('Assumptions'!$D$151,'Assumptions'!$C$9),1,N195*(1+CHOOSE(O$6,'Assumptions'!$D$152,'Assumptions'!$D$153,'Assumptions'!$D$154))))</f>
        <v/>
      </c>
      <c r="P195" s="51">
        <f>IF(P194=0,0,IF(P$4=MAX('Assumptions'!$D$151,'Assumptions'!$C$9),1,O195*(1+CHOOSE(P$6,'Assumptions'!$D$152,'Assumptions'!$D$153,'Assumptions'!$D$154))))</f>
        <v/>
      </c>
      <c r="Q195" s="51">
        <f>IF(Q194=0,0,IF(Q$4=MAX('Assumptions'!$D$151,'Assumptions'!$C$9),1,P195*(1+CHOOSE(Q$6,'Assumptions'!$D$152,'Assumptions'!$D$153,'Assumptions'!$D$154))))</f>
        <v/>
      </c>
      <c r="R195" s="51">
        <f>IF(R194=0,0,IF(R$4=MAX('Assumptions'!$D$151,'Assumptions'!$C$9),1,Q195*(1+CHOOSE(R$6,'Assumptions'!$D$152,'Assumptions'!$D$153,'Assumptions'!$D$154))))</f>
        <v/>
      </c>
      <c r="S195" s="51">
        <f>IF(S194=0,0,IF(S$4=MAX('Assumptions'!$D$151,'Assumptions'!$C$9),1,R195*(1+CHOOSE(S$6,'Assumptions'!$D$152,'Assumptions'!$D$153,'Assumptions'!$D$154))))</f>
        <v/>
      </c>
      <c r="T195" s="51">
        <f>IF(T194=0,0,IF(T$4=MAX('Assumptions'!$D$151,'Assumptions'!$C$9),1,S195*(1+CHOOSE(T$6,'Assumptions'!$D$152,'Assumptions'!$D$153,'Assumptions'!$D$154))))</f>
        <v/>
      </c>
      <c r="U195" s="51">
        <f>IF(U194=0,0,IF(U$4=MAX('Assumptions'!$D$151,'Assumptions'!$C$9),1,T195*(1+CHOOSE(U$6,'Assumptions'!$D$152,'Assumptions'!$D$153,'Assumptions'!$D$154))))</f>
        <v/>
      </c>
      <c r="V195" s="51">
        <f>IF(V194=0,0,IF(V$4=MAX('Assumptions'!$D$151,'Assumptions'!$C$9),1,U195*(1+CHOOSE(V$6,'Assumptions'!$D$152,'Assumptions'!$D$153,'Assumptions'!$D$154))))</f>
        <v/>
      </c>
      <c r="W195" s="51">
        <f>IF(W194=0,0,IF(W$4=MAX('Assumptions'!$D$151,'Assumptions'!$C$9),1,V195*(1+CHOOSE(W$6,'Assumptions'!$D$152,'Assumptions'!$D$153,'Assumptions'!$D$154))))</f>
        <v/>
      </c>
      <c r="X195" s="51">
        <f>IF(X194=0,0,IF(X$4=MAX('Assumptions'!$D$151,'Assumptions'!$C$9),1,W195*(1+CHOOSE(X$6,'Assumptions'!$D$152,'Assumptions'!$D$153,'Assumptions'!$D$154))))</f>
        <v/>
      </c>
      <c r="Y195" s="51">
        <f>IF(Y194=0,0,IF(Y$4=MAX('Assumptions'!$D$151,'Assumptions'!$C$9),1,X195*(1+CHOOSE(Y$6,'Assumptions'!$D$152,'Assumptions'!$D$153,'Assumptions'!$D$154))))</f>
        <v/>
      </c>
      <c r="Z195" s="51">
        <f>IF(Z194=0,0,IF(Z$4=MAX('Assumptions'!$D$151,'Assumptions'!$C$9),1,Y195*(1+CHOOSE(Z$6,'Assumptions'!$D$152,'Assumptions'!$D$153,'Assumptions'!$D$154))))</f>
        <v/>
      </c>
      <c r="AA195" s="51">
        <f>IF(AA194=0,0,IF(AA$4=MAX('Assumptions'!$D$151,'Assumptions'!$C$9),1,Z195*(1+CHOOSE(AA$6,'Assumptions'!$D$152,'Assumptions'!$D$153,'Assumptions'!$D$154))))</f>
        <v/>
      </c>
      <c r="AB195" s="51">
        <f>IF(AB194=0,0,IF(AB$4=MAX('Assumptions'!$D$151,'Assumptions'!$C$9),1,AA195*(1+CHOOSE(AB$6,'Assumptions'!$D$152,'Assumptions'!$D$153,'Assumptions'!$D$154))))</f>
        <v/>
      </c>
      <c r="AC195" s="51">
        <f>IF(AC194=0,0,IF(AC$4=MAX('Assumptions'!$D$151,'Assumptions'!$C$9),1,AB195*(1+CHOOSE(AC$6,'Assumptions'!$D$152,'Assumptions'!$D$153,'Assumptions'!$D$154))))</f>
        <v/>
      </c>
      <c r="AD195" s="51">
        <f>IF(AD194=0,0,IF(AD$4=MAX('Assumptions'!$D$151,'Assumptions'!$C$9),1,AC195*(1+CHOOSE(AD$6,'Assumptions'!$D$152,'Assumptions'!$D$153,'Assumptions'!$D$154))))</f>
        <v/>
      </c>
      <c r="AE195" s="51">
        <f>IF(AE194=0,0,IF(AE$4=MAX('Assumptions'!$D$151,'Assumptions'!$C$9),1,AD195*(1+CHOOSE(AE$6,'Assumptions'!$D$152,'Assumptions'!$D$153,'Assumptions'!$D$154))))</f>
        <v/>
      </c>
      <c r="AF195" s="51">
        <f>IF(AF194=0,0,IF(AF$4=MAX('Assumptions'!$D$151,'Assumptions'!$C$9),1,AE195*(1+CHOOSE(AF$6,'Assumptions'!$D$152,'Assumptions'!$D$153,'Assumptions'!$D$154))))</f>
        <v/>
      </c>
      <c r="AG195" s="51">
        <f>IF(AG194=0,0,IF(AG$4=MAX('Assumptions'!$D$151,'Assumptions'!$C$9),1,AF195*(1+CHOOSE(AG$6,'Assumptions'!$D$152,'Assumptions'!$D$153,'Assumptions'!$D$154))))</f>
        <v/>
      </c>
      <c r="AH195" s="51">
        <f>IF(AH194=0,0,IF(AH$4=MAX('Assumptions'!$D$151,'Assumptions'!$C$9),1,AG195*(1+CHOOSE(AH$6,'Assumptions'!$D$152,'Assumptions'!$D$153,'Assumptions'!$D$154))))</f>
        <v/>
      </c>
      <c r="AI195" s="51">
        <f>IF(AI194=0,0,IF(AI$4=MAX('Assumptions'!$D$151,'Assumptions'!$C$9),1,AH195*(1+CHOOSE(AI$6,'Assumptions'!$D$152,'Assumptions'!$D$153,'Assumptions'!$D$154))))</f>
        <v/>
      </c>
      <c r="AJ195" s="51">
        <f>IF(AJ194=0,0,IF(AJ$4=MAX('Assumptions'!$D$151,'Assumptions'!$C$9),1,AI195*(1+CHOOSE(AJ$6,'Assumptions'!$D$152,'Assumptions'!$D$153,'Assumptions'!$D$154))))</f>
        <v/>
      </c>
      <c r="AK195" s="51">
        <f>IF(AK194=0,0,IF(AK$4=MAX('Assumptions'!$D$151,'Assumptions'!$C$9),1,AJ195*(1+CHOOSE(AK$6,'Assumptions'!$D$152,'Assumptions'!$D$153,'Assumptions'!$D$154))))</f>
        <v/>
      </c>
      <c r="AL195" s="51">
        <f>IF(AL194=0,0,IF(AL$4=MAX('Assumptions'!$D$151,'Assumptions'!$C$9),1,AK195*(1+CHOOSE(AL$6,'Assumptions'!$D$152,'Assumptions'!$D$153,'Assumptions'!$D$154))))</f>
        <v/>
      </c>
    </row>
    <row r="196">
      <c r="A196" s="7" t="inlineStr">
        <is>
          <t xml:space="preserve">   Product-months live (products x sales index x season)</t>
        </is>
      </c>
      <c r="B196" s="9" t="inlineStr">
        <is>
          <t>prod-mo</t>
        </is>
      </c>
      <c r="C196" s="56">
        <f>C152*C195*C$7</f>
        <v/>
      </c>
      <c r="D196" s="56">
        <f>D152*D195*D$7</f>
        <v/>
      </c>
      <c r="E196" s="56">
        <f>E152*E195*E$7</f>
        <v/>
      </c>
      <c r="F196" s="56">
        <f>F152*F195*F$7</f>
        <v/>
      </c>
      <c r="G196" s="56">
        <f>G152*G195*G$7</f>
        <v/>
      </c>
      <c r="H196" s="56">
        <f>H152*H195*H$7</f>
        <v/>
      </c>
      <c r="I196" s="56">
        <f>I152*I195*I$7</f>
        <v/>
      </c>
      <c r="J196" s="56">
        <f>J152*J195*J$7</f>
        <v/>
      </c>
      <c r="K196" s="56">
        <f>K152*K195*K$7</f>
        <v/>
      </c>
      <c r="L196" s="56">
        <f>L152*L195*L$7</f>
        <v/>
      </c>
      <c r="M196" s="56">
        <f>M152*M195*M$7</f>
        <v/>
      </c>
      <c r="N196" s="56">
        <f>N152*N195*N$7</f>
        <v/>
      </c>
      <c r="O196" s="56">
        <f>O152*O195*O$7</f>
        <v/>
      </c>
      <c r="P196" s="56">
        <f>P152*P195*P$7</f>
        <v/>
      </c>
      <c r="Q196" s="56">
        <f>Q152*Q195*Q$7</f>
        <v/>
      </c>
      <c r="R196" s="56">
        <f>R152*R195*R$7</f>
        <v/>
      </c>
      <c r="S196" s="56">
        <f>S152*S195*S$7</f>
        <v/>
      </c>
      <c r="T196" s="56">
        <f>T152*T195*T$7</f>
        <v/>
      </c>
      <c r="U196" s="56">
        <f>U152*U195*U$7</f>
        <v/>
      </c>
      <c r="V196" s="56">
        <f>V152*V195*V$7</f>
        <v/>
      </c>
      <c r="W196" s="56">
        <f>W152*W195*W$7</f>
        <v/>
      </c>
      <c r="X196" s="56">
        <f>X152*X195*X$7</f>
        <v/>
      </c>
      <c r="Y196" s="56">
        <f>Y152*Y195*Y$7</f>
        <v/>
      </c>
      <c r="Z196" s="56">
        <f>Z152*Z195*Z$7</f>
        <v/>
      </c>
      <c r="AA196" s="56">
        <f>AA152*AA195*AA$7</f>
        <v/>
      </c>
      <c r="AB196" s="56">
        <f>AB152*AB195*AB$7</f>
        <v/>
      </c>
      <c r="AC196" s="56">
        <f>AC152*AC195*AC$7</f>
        <v/>
      </c>
      <c r="AD196" s="56">
        <f>AD152*AD195*AD$7</f>
        <v/>
      </c>
      <c r="AE196" s="56">
        <f>AE152*AE195*AE$7</f>
        <v/>
      </c>
      <c r="AF196" s="56">
        <f>AF152*AF195*AF$7</f>
        <v/>
      </c>
      <c r="AG196" s="56">
        <f>AG152*AG195*AG$7</f>
        <v/>
      </c>
      <c r="AH196" s="56">
        <f>AH152*AH195*AH$7</f>
        <v/>
      </c>
      <c r="AI196" s="56">
        <f>AI152*AI195*AI$7</f>
        <v/>
      </c>
      <c r="AJ196" s="56">
        <f>AJ152*AJ195*AJ$7</f>
        <v/>
      </c>
      <c r="AK196" s="56">
        <f>AK152*AK195*AK$7</f>
        <v/>
      </c>
      <c r="AL196" s="56">
        <f>AL152*AL195*AL$7</f>
        <v/>
      </c>
      <c r="AM196" s="57">
        <f>SUMIF($C$6:$AL$6,1,C196:AL196)</f>
        <v/>
      </c>
      <c r="AN196" s="57">
        <f>SUMIF($C$6:$AL$6,2,C196:AL196)</f>
        <v/>
      </c>
      <c r="AO196" s="57">
        <f>SUMIF($C$6:$AL$6,3,C196:AL196)</f>
        <v/>
      </c>
      <c r="AP196" s="57">
        <f>SUM(C196:AL196)</f>
        <v/>
      </c>
    </row>
    <row r="197">
      <c r="A197" s="7" t="inlineStr">
        <is>
          <t xml:space="preserve">   Orders per product per month (with review ramp)</t>
        </is>
      </c>
      <c r="B197" s="9" t="inlineStr">
        <is>
          <t>orders</t>
        </is>
      </c>
      <c r="C197" s="51">
        <f>'Assumptions'!$D$155*MIN(1,(C$4-MAX('Assumptions'!$D$151,'Assumptions'!$C$9)+1)/'Assumptions'!$C$11)*C194</f>
        <v/>
      </c>
      <c r="D197" s="51">
        <f>'Assumptions'!$D$155*MIN(1,(D$4-MAX('Assumptions'!$D$151,'Assumptions'!$C$9)+1)/'Assumptions'!$C$11)*D194</f>
        <v/>
      </c>
      <c r="E197" s="51">
        <f>'Assumptions'!$D$155*MIN(1,(E$4-MAX('Assumptions'!$D$151,'Assumptions'!$C$9)+1)/'Assumptions'!$C$11)*E194</f>
        <v/>
      </c>
      <c r="F197" s="51">
        <f>'Assumptions'!$D$155*MIN(1,(F$4-MAX('Assumptions'!$D$151,'Assumptions'!$C$9)+1)/'Assumptions'!$C$11)*F194</f>
        <v/>
      </c>
      <c r="G197" s="51">
        <f>'Assumptions'!$D$155*MIN(1,(G$4-MAX('Assumptions'!$D$151,'Assumptions'!$C$9)+1)/'Assumptions'!$C$11)*G194</f>
        <v/>
      </c>
      <c r="H197" s="51">
        <f>'Assumptions'!$D$155*MIN(1,(H$4-MAX('Assumptions'!$D$151,'Assumptions'!$C$9)+1)/'Assumptions'!$C$11)*H194</f>
        <v/>
      </c>
      <c r="I197" s="51">
        <f>'Assumptions'!$D$155*MIN(1,(I$4-MAX('Assumptions'!$D$151,'Assumptions'!$C$9)+1)/'Assumptions'!$C$11)*I194</f>
        <v/>
      </c>
      <c r="J197" s="51">
        <f>'Assumptions'!$D$155*MIN(1,(J$4-MAX('Assumptions'!$D$151,'Assumptions'!$C$9)+1)/'Assumptions'!$C$11)*J194</f>
        <v/>
      </c>
      <c r="K197" s="51">
        <f>'Assumptions'!$D$155*MIN(1,(K$4-MAX('Assumptions'!$D$151,'Assumptions'!$C$9)+1)/'Assumptions'!$C$11)*K194</f>
        <v/>
      </c>
      <c r="L197" s="51">
        <f>'Assumptions'!$D$155*MIN(1,(L$4-MAX('Assumptions'!$D$151,'Assumptions'!$C$9)+1)/'Assumptions'!$C$11)*L194</f>
        <v/>
      </c>
      <c r="M197" s="51">
        <f>'Assumptions'!$D$155*MIN(1,(M$4-MAX('Assumptions'!$D$151,'Assumptions'!$C$9)+1)/'Assumptions'!$C$11)*M194</f>
        <v/>
      </c>
      <c r="N197" s="51">
        <f>'Assumptions'!$D$155*MIN(1,(N$4-MAX('Assumptions'!$D$151,'Assumptions'!$C$9)+1)/'Assumptions'!$C$11)*N194</f>
        <v/>
      </c>
      <c r="O197" s="51">
        <f>'Assumptions'!$D$155*MIN(1,(O$4-MAX('Assumptions'!$D$151,'Assumptions'!$C$9)+1)/'Assumptions'!$C$11)*O194</f>
        <v/>
      </c>
      <c r="P197" s="51">
        <f>'Assumptions'!$D$155*MIN(1,(P$4-MAX('Assumptions'!$D$151,'Assumptions'!$C$9)+1)/'Assumptions'!$C$11)*P194</f>
        <v/>
      </c>
      <c r="Q197" s="51">
        <f>'Assumptions'!$D$155*MIN(1,(Q$4-MAX('Assumptions'!$D$151,'Assumptions'!$C$9)+1)/'Assumptions'!$C$11)*Q194</f>
        <v/>
      </c>
      <c r="R197" s="51">
        <f>'Assumptions'!$D$155*MIN(1,(R$4-MAX('Assumptions'!$D$151,'Assumptions'!$C$9)+1)/'Assumptions'!$C$11)*R194</f>
        <v/>
      </c>
      <c r="S197" s="51">
        <f>'Assumptions'!$D$155*MIN(1,(S$4-MAX('Assumptions'!$D$151,'Assumptions'!$C$9)+1)/'Assumptions'!$C$11)*S194</f>
        <v/>
      </c>
      <c r="T197" s="51">
        <f>'Assumptions'!$D$155*MIN(1,(T$4-MAX('Assumptions'!$D$151,'Assumptions'!$C$9)+1)/'Assumptions'!$C$11)*T194</f>
        <v/>
      </c>
      <c r="U197" s="51">
        <f>'Assumptions'!$D$155*MIN(1,(U$4-MAX('Assumptions'!$D$151,'Assumptions'!$C$9)+1)/'Assumptions'!$C$11)*U194</f>
        <v/>
      </c>
      <c r="V197" s="51">
        <f>'Assumptions'!$D$155*MIN(1,(V$4-MAX('Assumptions'!$D$151,'Assumptions'!$C$9)+1)/'Assumptions'!$C$11)*V194</f>
        <v/>
      </c>
      <c r="W197" s="51">
        <f>'Assumptions'!$D$155*MIN(1,(W$4-MAX('Assumptions'!$D$151,'Assumptions'!$C$9)+1)/'Assumptions'!$C$11)*W194</f>
        <v/>
      </c>
      <c r="X197" s="51">
        <f>'Assumptions'!$D$155*MIN(1,(X$4-MAX('Assumptions'!$D$151,'Assumptions'!$C$9)+1)/'Assumptions'!$C$11)*X194</f>
        <v/>
      </c>
      <c r="Y197" s="51">
        <f>'Assumptions'!$D$155*MIN(1,(Y$4-MAX('Assumptions'!$D$151,'Assumptions'!$C$9)+1)/'Assumptions'!$C$11)*Y194</f>
        <v/>
      </c>
      <c r="Z197" s="51">
        <f>'Assumptions'!$D$155*MIN(1,(Z$4-MAX('Assumptions'!$D$151,'Assumptions'!$C$9)+1)/'Assumptions'!$C$11)*Z194</f>
        <v/>
      </c>
      <c r="AA197" s="51">
        <f>'Assumptions'!$D$155*MIN(1,(AA$4-MAX('Assumptions'!$D$151,'Assumptions'!$C$9)+1)/'Assumptions'!$C$11)*AA194</f>
        <v/>
      </c>
      <c r="AB197" s="51">
        <f>'Assumptions'!$D$155*MIN(1,(AB$4-MAX('Assumptions'!$D$151,'Assumptions'!$C$9)+1)/'Assumptions'!$C$11)*AB194</f>
        <v/>
      </c>
      <c r="AC197" s="51">
        <f>'Assumptions'!$D$155*MIN(1,(AC$4-MAX('Assumptions'!$D$151,'Assumptions'!$C$9)+1)/'Assumptions'!$C$11)*AC194</f>
        <v/>
      </c>
      <c r="AD197" s="51">
        <f>'Assumptions'!$D$155*MIN(1,(AD$4-MAX('Assumptions'!$D$151,'Assumptions'!$C$9)+1)/'Assumptions'!$C$11)*AD194</f>
        <v/>
      </c>
      <c r="AE197" s="51">
        <f>'Assumptions'!$D$155*MIN(1,(AE$4-MAX('Assumptions'!$D$151,'Assumptions'!$C$9)+1)/'Assumptions'!$C$11)*AE194</f>
        <v/>
      </c>
      <c r="AF197" s="51">
        <f>'Assumptions'!$D$155*MIN(1,(AF$4-MAX('Assumptions'!$D$151,'Assumptions'!$C$9)+1)/'Assumptions'!$C$11)*AF194</f>
        <v/>
      </c>
      <c r="AG197" s="51">
        <f>'Assumptions'!$D$155*MIN(1,(AG$4-MAX('Assumptions'!$D$151,'Assumptions'!$C$9)+1)/'Assumptions'!$C$11)*AG194</f>
        <v/>
      </c>
      <c r="AH197" s="51">
        <f>'Assumptions'!$D$155*MIN(1,(AH$4-MAX('Assumptions'!$D$151,'Assumptions'!$C$9)+1)/'Assumptions'!$C$11)*AH194</f>
        <v/>
      </c>
      <c r="AI197" s="51">
        <f>'Assumptions'!$D$155*MIN(1,(AI$4-MAX('Assumptions'!$D$151,'Assumptions'!$C$9)+1)/'Assumptions'!$C$11)*AI194</f>
        <v/>
      </c>
      <c r="AJ197" s="51">
        <f>'Assumptions'!$D$155*MIN(1,(AJ$4-MAX('Assumptions'!$D$151,'Assumptions'!$C$9)+1)/'Assumptions'!$C$11)*AJ194</f>
        <v/>
      </c>
      <c r="AK197" s="51">
        <f>'Assumptions'!$D$155*MIN(1,(AK$4-MAX('Assumptions'!$D$151,'Assumptions'!$C$9)+1)/'Assumptions'!$C$11)*AK194</f>
        <v/>
      </c>
      <c r="AL197" s="51">
        <f>'Assumptions'!$D$155*MIN(1,(AL$4-MAX('Assumptions'!$D$151,'Assumptions'!$C$9)+1)/'Assumptions'!$C$11)*AL194</f>
        <v/>
      </c>
    </row>
    <row r="198">
      <c r="A198" s="7" t="inlineStr">
        <is>
          <t xml:space="preserve">   Orders</t>
        </is>
      </c>
      <c r="B198" s="9" t="inlineStr">
        <is>
          <t>orders</t>
        </is>
      </c>
      <c r="C198" s="56">
        <f>C196*C197</f>
        <v/>
      </c>
      <c r="D198" s="56">
        <f>D196*D197</f>
        <v/>
      </c>
      <c r="E198" s="56">
        <f>E196*E197</f>
        <v/>
      </c>
      <c r="F198" s="56">
        <f>F196*F197</f>
        <v/>
      </c>
      <c r="G198" s="56">
        <f>G196*G197</f>
        <v/>
      </c>
      <c r="H198" s="56">
        <f>H196*H197</f>
        <v/>
      </c>
      <c r="I198" s="56">
        <f>I196*I197</f>
        <v/>
      </c>
      <c r="J198" s="56">
        <f>J196*J197</f>
        <v/>
      </c>
      <c r="K198" s="56">
        <f>K196*K197</f>
        <v/>
      </c>
      <c r="L198" s="56">
        <f>L196*L197</f>
        <v/>
      </c>
      <c r="M198" s="56">
        <f>M196*M197</f>
        <v/>
      </c>
      <c r="N198" s="56">
        <f>N196*N197</f>
        <v/>
      </c>
      <c r="O198" s="56">
        <f>O196*O197</f>
        <v/>
      </c>
      <c r="P198" s="56">
        <f>P196*P197</f>
        <v/>
      </c>
      <c r="Q198" s="56">
        <f>Q196*Q197</f>
        <v/>
      </c>
      <c r="R198" s="56">
        <f>R196*R197</f>
        <v/>
      </c>
      <c r="S198" s="56">
        <f>S196*S197</f>
        <v/>
      </c>
      <c r="T198" s="56">
        <f>T196*T197</f>
        <v/>
      </c>
      <c r="U198" s="56">
        <f>U196*U197</f>
        <v/>
      </c>
      <c r="V198" s="56">
        <f>V196*V197</f>
        <v/>
      </c>
      <c r="W198" s="56">
        <f>W196*W197</f>
        <v/>
      </c>
      <c r="X198" s="56">
        <f>X196*X197</f>
        <v/>
      </c>
      <c r="Y198" s="56">
        <f>Y196*Y197</f>
        <v/>
      </c>
      <c r="Z198" s="56">
        <f>Z196*Z197</f>
        <v/>
      </c>
      <c r="AA198" s="56">
        <f>AA196*AA197</f>
        <v/>
      </c>
      <c r="AB198" s="56">
        <f>AB196*AB197</f>
        <v/>
      </c>
      <c r="AC198" s="56">
        <f>AC196*AC197</f>
        <v/>
      </c>
      <c r="AD198" s="56">
        <f>AD196*AD197</f>
        <v/>
      </c>
      <c r="AE198" s="56">
        <f>AE196*AE197</f>
        <v/>
      </c>
      <c r="AF198" s="56">
        <f>AF196*AF197</f>
        <v/>
      </c>
      <c r="AG198" s="56">
        <f>AG196*AG197</f>
        <v/>
      </c>
      <c r="AH198" s="56">
        <f>AH196*AH197</f>
        <v/>
      </c>
      <c r="AI198" s="56">
        <f>AI196*AI197</f>
        <v/>
      </c>
      <c r="AJ198" s="56">
        <f>AJ196*AJ197</f>
        <v/>
      </c>
      <c r="AK198" s="56">
        <f>AK196*AK197</f>
        <v/>
      </c>
      <c r="AL198" s="56">
        <f>AL196*AL197</f>
        <v/>
      </c>
      <c r="AM198" s="57">
        <f>SUMIF($C$6:$AL$6,1,C198:AL198)</f>
        <v/>
      </c>
      <c r="AN198" s="57">
        <f>SUMIF($C$6:$AL$6,2,C198:AL198)</f>
        <v/>
      </c>
      <c r="AO198" s="57">
        <f>SUMIF($C$6:$AL$6,3,C198:AL198)</f>
        <v/>
      </c>
      <c r="AP198" s="57">
        <f>SUM(C198:AL198)</f>
        <v/>
      </c>
    </row>
    <row r="199">
      <c r="A199" s="7" t="inlineStr">
        <is>
          <t xml:space="preserve">   Items sold</t>
        </is>
      </c>
      <c r="B199" s="9" t="inlineStr">
        <is>
          <t>items</t>
        </is>
      </c>
      <c r="C199" s="14">
        <f>C198*'Assumptions'!$D$156</f>
        <v/>
      </c>
      <c r="D199" s="14">
        <f>D198*'Assumptions'!$D$156</f>
        <v/>
      </c>
      <c r="E199" s="14">
        <f>E198*'Assumptions'!$D$156</f>
        <v/>
      </c>
      <c r="F199" s="14">
        <f>F198*'Assumptions'!$D$156</f>
        <v/>
      </c>
      <c r="G199" s="14">
        <f>G198*'Assumptions'!$D$156</f>
        <v/>
      </c>
      <c r="H199" s="14">
        <f>H198*'Assumptions'!$D$156</f>
        <v/>
      </c>
      <c r="I199" s="14">
        <f>I198*'Assumptions'!$D$156</f>
        <v/>
      </c>
      <c r="J199" s="14">
        <f>J198*'Assumptions'!$D$156</f>
        <v/>
      </c>
      <c r="K199" s="14">
        <f>K198*'Assumptions'!$D$156</f>
        <v/>
      </c>
      <c r="L199" s="14">
        <f>L198*'Assumptions'!$D$156</f>
        <v/>
      </c>
      <c r="M199" s="14">
        <f>M198*'Assumptions'!$D$156</f>
        <v/>
      </c>
      <c r="N199" s="14">
        <f>N198*'Assumptions'!$D$156</f>
        <v/>
      </c>
      <c r="O199" s="14">
        <f>O198*'Assumptions'!$D$156</f>
        <v/>
      </c>
      <c r="P199" s="14">
        <f>P198*'Assumptions'!$D$156</f>
        <v/>
      </c>
      <c r="Q199" s="14">
        <f>Q198*'Assumptions'!$D$156</f>
        <v/>
      </c>
      <c r="R199" s="14">
        <f>R198*'Assumptions'!$D$156</f>
        <v/>
      </c>
      <c r="S199" s="14">
        <f>S198*'Assumptions'!$D$156</f>
        <v/>
      </c>
      <c r="T199" s="14">
        <f>T198*'Assumptions'!$D$156</f>
        <v/>
      </c>
      <c r="U199" s="14">
        <f>U198*'Assumptions'!$D$156</f>
        <v/>
      </c>
      <c r="V199" s="14">
        <f>V198*'Assumptions'!$D$156</f>
        <v/>
      </c>
      <c r="W199" s="14">
        <f>W198*'Assumptions'!$D$156</f>
        <v/>
      </c>
      <c r="X199" s="14">
        <f>X198*'Assumptions'!$D$156</f>
        <v/>
      </c>
      <c r="Y199" s="14">
        <f>Y198*'Assumptions'!$D$156</f>
        <v/>
      </c>
      <c r="Z199" s="14">
        <f>Z198*'Assumptions'!$D$156</f>
        <v/>
      </c>
      <c r="AA199" s="14">
        <f>AA198*'Assumptions'!$D$156</f>
        <v/>
      </c>
      <c r="AB199" s="14">
        <f>AB198*'Assumptions'!$D$156</f>
        <v/>
      </c>
      <c r="AC199" s="14">
        <f>AC198*'Assumptions'!$D$156</f>
        <v/>
      </c>
      <c r="AD199" s="14">
        <f>AD198*'Assumptions'!$D$156</f>
        <v/>
      </c>
      <c r="AE199" s="14">
        <f>AE198*'Assumptions'!$D$156</f>
        <v/>
      </c>
      <c r="AF199" s="14">
        <f>AF198*'Assumptions'!$D$156</f>
        <v/>
      </c>
      <c r="AG199" s="14">
        <f>AG198*'Assumptions'!$D$156</f>
        <v/>
      </c>
      <c r="AH199" s="14">
        <f>AH198*'Assumptions'!$D$156</f>
        <v/>
      </c>
      <c r="AI199" s="14">
        <f>AI198*'Assumptions'!$D$156</f>
        <v/>
      </c>
      <c r="AJ199" s="14">
        <f>AJ198*'Assumptions'!$D$156</f>
        <v/>
      </c>
      <c r="AK199" s="14">
        <f>AK198*'Assumptions'!$D$156</f>
        <v/>
      </c>
      <c r="AL199" s="14">
        <f>AL198*'Assumptions'!$D$156</f>
        <v/>
      </c>
      <c r="AM199" s="57">
        <f>SUMIF($C$6:$AL$6,1,C199:AL199)</f>
        <v/>
      </c>
      <c r="AN199" s="57">
        <f>SUMIF($C$6:$AL$6,2,C199:AL199)</f>
        <v/>
      </c>
      <c r="AO199" s="57">
        <f>SUMIF($C$6:$AL$6,3,C199:AL199)</f>
        <v/>
      </c>
      <c r="AP199" s="57">
        <f>SUM(C199:AL199)</f>
        <v/>
      </c>
    </row>
    <row r="200">
      <c r="A200" s="7" t="inlineStr">
        <is>
          <t xml:space="preserve">   Average order value</t>
        </is>
      </c>
      <c r="B200" s="9" t="inlineStr">
        <is>
          <t>$</t>
        </is>
      </c>
      <c r="C200" s="16">
        <f>'Unit Economics'!$E$53*'Assumptions'!$D$156*C194</f>
        <v/>
      </c>
      <c r="D200" s="16">
        <f>'Unit Economics'!$E$53*'Assumptions'!$D$156*D194</f>
        <v/>
      </c>
      <c r="E200" s="16">
        <f>'Unit Economics'!$E$53*'Assumptions'!$D$156*E194</f>
        <v/>
      </c>
      <c r="F200" s="16">
        <f>'Unit Economics'!$E$53*'Assumptions'!$D$156*F194</f>
        <v/>
      </c>
      <c r="G200" s="16">
        <f>'Unit Economics'!$E$53*'Assumptions'!$D$156*G194</f>
        <v/>
      </c>
      <c r="H200" s="16">
        <f>'Unit Economics'!$E$53*'Assumptions'!$D$156*H194</f>
        <v/>
      </c>
      <c r="I200" s="16">
        <f>'Unit Economics'!$E$53*'Assumptions'!$D$156*I194</f>
        <v/>
      </c>
      <c r="J200" s="16">
        <f>'Unit Economics'!$E$53*'Assumptions'!$D$156*J194</f>
        <v/>
      </c>
      <c r="K200" s="16">
        <f>'Unit Economics'!$E$53*'Assumptions'!$D$156*K194</f>
        <v/>
      </c>
      <c r="L200" s="16">
        <f>'Unit Economics'!$E$53*'Assumptions'!$D$156*L194</f>
        <v/>
      </c>
      <c r="M200" s="16">
        <f>'Unit Economics'!$E$53*'Assumptions'!$D$156*M194</f>
        <v/>
      </c>
      <c r="N200" s="16">
        <f>'Unit Economics'!$E$53*'Assumptions'!$D$156*N194</f>
        <v/>
      </c>
      <c r="O200" s="16">
        <f>'Unit Economics'!$E$53*'Assumptions'!$D$156*O194</f>
        <v/>
      </c>
      <c r="P200" s="16">
        <f>'Unit Economics'!$E$53*'Assumptions'!$D$156*P194</f>
        <v/>
      </c>
      <c r="Q200" s="16">
        <f>'Unit Economics'!$E$53*'Assumptions'!$D$156*Q194</f>
        <v/>
      </c>
      <c r="R200" s="16">
        <f>'Unit Economics'!$E$53*'Assumptions'!$D$156*R194</f>
        <v/>
      </c>
      <c r="S200" s="16">
        <f>'Unit Economics'!$E$53*'Assumptions'!$D$156*S194</f>
        <v/>
      </c>
      <c r="T200" s="16">
        <f>'Unit Economics'!$E$53*'Assumptions'!$D$156*T194</f>
        <v/>
      </c>
      <c r="U200" s="16">
        <f>'Unit Economics'!$E$53*'Assumptions'!$D$156*U194</f>
        <v/>
      </c>
      <c r="V200" s="16">
        <f>'Unit Economics'!$E$53*'Assumptions'!$D$156*V194</f>
        <v/>
      </c>
      <c r="W200" s="16">
        <f>'Unit Economics'!$E$53*'Assumptions'!$D$156*W194</f>
        <v/>
      </c>
      <c r="X200" s="16">
        <f>'Unit Economics'!$E$53*'Assumptions'!$D$156*X194</f>
        <v/>
      </c>
      <c r="Y200" s="16">
        <f>'Unit Economics'!$E$53*'Assumptions'!$D$156*Y194</f>
        <v/>
      </c>
      <c r="Z200" s="16">
        <f>'Unit Economics'!$E$53*'Assumptions'!$D$156*Z194</f>
        <v/>
      </c>
      <c r="AA200" s="16">
        <f>'Unit Economics'!$E$53*'Assumptions'!$D$156*AA194</f>
        <v/>
      </c>
      <c r="AB200" s="16">
        <f>'Unit Economics'!$E$53*'Assumptions'!$D$156*AB194</f>
        <v/>
      </c>
      <c r="AC200" s="16">
        <f>'Unit Economics'!$E$53*'Assumptions'!$D$156*AC194</f>
        <v/>
      </c>
      <c r="AD200" s="16">
        <f>'Unit Economics'!$E$53*'Assumptions'!$D$156*AD194</f>
        <v/>
      </c>
      <c r="AE200" s="16">
        <f>'Unit Economics'!$E$53*'Assumptions'!$D$156*AE194</f>
        <v/>
      </c>
      <c r="AF200" s="16">
        <f>'Unit Economics'!$E$53*'Assumptions'!$D$156*AF194</f>
        <v/>
      </c>
      <c r="AG200" s="16">
        <f>'Unit Economics'!$E$53*'Assumptions'!$D$156*AG194</f>
        <v/>
      </c>
      <c r="AH200" s="16">
        <f>'Unit Economics'!$E$53*'Assumptions'!$D$156*AH194</f>
        <v/>
      </c>
      <c r="AI200" s="16">
        <f>'Unit Economics'!$E$53*'Assumptions'!$D$156*AI194</f>
        <v/>
      </c>
      <c r="AJ200" s="16">
        <f>'Unit Economics'!$E$53*'Assumptions'!$D$156*AJ194</f>
        <v/>
      </c>
      <c r="AK200" s="16">
        <f>'Unit Economics'!$E$53*'Assumptions'!$D$156*AK194</f>
        <v/>
      </c>
      <c r="AL200" s="16">
        <f>'Unit Economics'!$E$53*'Assumptions'!$D$156*AL194</f>
        <v/>
      </c>
    </row>
    <row r="201">
      <c r="A201" s="7" t="inlineStr">
        <is>
          <t xml:space="preserve">   Gross sales (price paid by customers)</t>
        </is>
      </c>
      <c r="B201" s="9" t="inlineStr">
        <is>
          <t>$</t>
        </is>
      </c>
      <c r="C201" s="8">
        <f>C199*'Unit Economics'!$E$53</f>
        <v/>
      </c>
      <c r="D201" s="8">
        <f>D199*'Unit Economics'!$E$53</f>
        <v/>
      </c>
      <c r="E201" s="8">
        <f>E199*'Unit Economics'!$E$53</f>
        <v/>
      </c>
      <c r="F201" s="8">
        <f>F199*'Unit Economics'!$E$53</f>
        <v/>
      </c>
      <c r="G201" s="8">
        <f>G199*'Unit Economics'!$E$53</f>
        <v/>
      </c>
      <c r="H201" s="8">
        <f>H199*'Unit Economics'!$E$53</f>
        <v/>
      </c>
      <c r="I201" s="8">
        <f>I199*'Unit Economics'!$E$53</f>
        <v/>
      </c>
      <c r="J201" s="8">
        <f>J199*'Unit Economics'!$E$53</f>
        <v/>
      </c>
      <c r="K201" s="8">
        <f>K199*'Unit Economics'!$E$53</f>
        <v/>
      </c>
      <c r="L201" s="8">
        <f>L199*'Unit Economics'!$E$53</f>
        <v/>
      </c>
      <c r="M201" s="8">
        <f>M199*'Unit Economics'!$E$53</f>
        <v/>
      </c>
      <c r="N201" s="8">
        <f>N199*'Unit Economics'!$E$53</f>
        <v/>
      </c>
      <c r="O201" s="8">
        <f>O199*'Unit Economics'!$E$53</f>
        <v/>
      </c>
      <c r="P201" s="8">
        <f>P199*'Unit Economics'!$E$53</f>
        <v/>
      </c>
      <c r="Q201" s="8">
        <f>Q199*'Unit Economics'!$E$53</f>
        <v/>
      </c>
      <c r="R201" s="8">
        <f>R199*'Unit Economics'!$E$53</f>
        <v/>
      </c>
      <c r="S201" s="8">
        <f>S199*'Unit Economics'!$E$53</f>
        <v/>
      </c>
      <c r="T201" s="8">
        <f>T199*'Unit Economics'!$E$53</f>
        <v/>
      </c>
      <c r="U201" s="8">
        <f>U199*'Unit Economics'!$E$53</f>
        <v/>
      </c>
      <c r="V201" s="8">
        <f>V199*'Unit Economics'!$E$53</f>
        <v/>
      </c>
      <c r="W201" s="8">
        <f>W199*'Unit Economics'!$E$53</f>
        <v/>
      </c>
      <c r="X201" s="8">
        <f>X199*'Unit Economics'!$E$53</f>
        <v/>
      </c>
      <c r="Y201" s="8">
        <f>Y199*'Unit Economics'!$E$53</f>
        <v/>
      </c>
      <c r="Z201" s="8">
        <f>Z199*'Unit Economics'!$E$53</f>
        <v/>
      </c>
      <c r="AA201" s="8">
        <f>AA199*'Unit Economics'!$E$53</f>
        <v/>
      </c>
      <c r="AB201" s="8">
        <f>AB199*'Unit Economics'!$E$53</f>
        <v/>
      </c>
      <c r="AC201" s="8">
        <f>AC199*'Unit Economics'!$E$53</f>
        <v/>
      </c>
      <c r="AD201" s="8">
        <f>AD199*'Unit Economics'!$E$53</f>
        <v/>
      </c>
      <c r="AE201" s="8">
        <f>AE199*'Unit Economics'!$E$53</f>
        <v/>
      </c>
      <c r="AF201" s="8">
        <f>AF199*'Unit Economics'!$E$53</f>
        <v/>
      </c>
      <c r="AG201" s="8">
        <f>AG199*'Unit Economics'!$E$53</f>
        <v/>
      </c>
      <c r="AH201" s="8">
        <f>AH199*'Unit Economics'!$E$53</f>
        <v/>
      </c>
      <c r="AI201" s="8">
        <f>AI199*'Unit Economics'!$E$53</f>
        <v/>
      </c>
      <c r="AJ201" s="8">
        <f>AJ199*'Unit Economics'!$E$53</f>
        <v/>
      </c>
      <c r="AK201" s="8">
        <f>AK199*'Unit Economics'!$E$53</f>
        <v/>
      </c>
      <c r="AL201" s="8">
        <f>AL199*'Unit Economics'!$E$53</f>
        <v/>
      </c>
      <c r="AM201" s="47">
        <f>SUMIF($C$6:$AL$6,1,C201:AL201)</f>
        <v/>
      </c>
      <c r="AN201" s="47">
        <f>SUMIF($C$6:$AL$6,2,C201:AL201)</f>
        <v/>
      </c>
      <c r="AO201" s="47">
        <f>SUMIF($C$6:$AL$6,3,C201:AL201)</f>
        <v/>
      </c>
      <c r="AP201" s="47">
        <f>SUM(C201:AL201)</f>
        <v/>
      </c>
    </row>
    <row r="202">
      <c r="A202" s="7" t="inlineStr">
        <is>
          <t xml:space="preserve">   Net contribution to AlphaPlay</t>
        </is>
      </c>
      <c r="B202" s="9" t="inlineStr">
        <is>
          <t>$</t>
        </is>
      </c>
      <c r="C202" s="8">
        <f>C199*'Unit Economics'!$F$53</f>
        <v/>
      </c>
      <c r="D202" s="8">
        <f>D199*'Unit Economics'!$F$53</f>
        <v/>
      </c>
      <c r="E202" s="8">
        <f>E199*'Unit Economics'!$F$53</f>
        <v/>
      </c>
      <c r="F202" s="8">
        <f>F199*'Unit Economics'!$F$53</f>
        <v/>
      </c>
      <c r="G202" s="8">
        <f>G199*'Unit Economics'!$F$53</f>
        <v/>
      </c>
      <c r="H202" s="8">
        <f>H199*'Unit Economics'!$F$53</f>
        <v/>
      </c>
      <c r="I202" s="8">
        <f>I199*'Unit Economics'!$F$53</f>
        <v/>
      </c>
      <c r="J202" s="8">
        <f>J199*'Unit Economics'!$F$53</f>
        <v/>
      </c>
      <c r="K202" s="8">
        <f>K199*'Unit Economics'!$F$53</f>
        <v/>
      </c>
      <c r="L202" s="8">
        <f>L199*'Unit Economics'!$F$53</f>
        <v/>
      </c>
      <c r="M202" s="8">
        <f>M199*'Unit Economics'!$F$53</f>
        <v/>
      </c>
      <c r="N202" s="8">
        <f>N199*'Unit Economics'!$F$53</f>
        <v/>
      </c>
      <c r="O202" s="8">
        <f>O199*'Unit Economics'!$F$53</f>
        <v/>
      </c>
      <c r="P202" s="8">
        <f>P199*'Unit Economics'!$F$53</f>
        <v/>
      </c>
      <c r="Q202" s="8">
        <f>Q199*'Unit Economics'!$F$53</f>
        <v/>
      </c>
      <c r="R202" s="8">
        <f>R199*'Unit Economics'!$F$53</f>
        <v/>
      </c>
      <c r="S202" s="8">
        <f>S199*'Unit Economics'!$F$53</f>
        <v/>
      </c>
      <c r="T202" s="8">
        <f>T199*'Unit Economics'!$F$53</f>
        <v/>
      </c>
      <c r="U202" s="8">
        <f>U199*'Unit Economics'!$F$53</f>
        <v/>
      </c>
      <c r="V202" s="8">
        <f>V199*'Unit Economics'!$F$53</f>
        <v/>
      </c>
      <c r="W202" s="8">
        <f>W199*'Unit Economics'!$F$53</f>
        <v/>
      </c>
      <c r="X202" s="8">
        <f>X199*'Unit Economics'!$F$53</f>
        <v/>
      </c>
      <c r="Y202" s="8">
        <f>Y199*'Unit Economics'!$F$53</f>
        <v/>
      </c>
      <c r="Z202" s="8">
        <f>Z199*'Unit Economics'!$F$53</f>
        <v/>
      </c>
      <c r="AA202" s="8">
        <f>AA199*'Unit Economics'!$F$53</f>
        <v/>
      </c>
      <c r="AB202" s="8">
        <f>AB199*'Unit Economics'!$F$53</f>
        <v/>
      </c>
      <c r="AC202" s="8">
        <f>AC199*'Unit Economics'!$F$53</f>
        <v/>
      </c>
      <c r="AD202" s="8">
        <f>AD199*'Unit Economics'!$F$53</f>
        <v/>
      </c>
      <c r="AE202" s="8">
        <f>AE199*'Unit Economics'!$F$53</f>
        <v/>
      </c>
      <c r="AF202" s="8">
        <f>AF199*'Unit Economics'!$F$53</f>
        <v/>
      </c>
      <c r="AG202" s="8">
        <f>AG199*'Unit Economics'!$F$53</f>
        <v/>
      </c>
      <c r="AH202" s="8">
        <f>AH199*'Unit Economics'!$F$53</f>
        <v/>
      </c>
      <c r="AI202" s="8">
        <f>AI199*'Unit Economics'!$F$53</f>
        <v/>
      </c>
      <c r="AJ202" s="8">
        <f>AJ199*'Unit Economics'!$F$53</f>
        <v/>
      </c>
      <c r="AK202" s="8">
        <f>AK199*'Unit Economics'!$F$53</f>
        <v/>
      </c>
      <c r="AL202" s="8">
        <f>AL199*'Unit Economics'!$F$53</f>
        <v/>
      </c>
      <c r="AM202" s="47">
        <f>SUMIF($C$6:$AL$6,1,C202:AL202)</f>
        <v/>
      </c>
      <c r="AN202" s="47">
        <f>SUMIF($C$6:$AL$6,2,C202:AL202)</f>
        <v/>
      </c>
      <c r="AO202" s="47">
        <f>SUMIF($C$6:$AL$6,3,C202:AL202)</f>
        <v/>
      </c>
      <c r="AP202" s="47">
        <f>SUM(C202:AL202)</f>
        <v/>
      </c>
    </row>
    <row r="203">
      <c r="A203" s="5" t="inlineStr">
        <is>
          <t>30-Day Screen Reset written course (Wave 2)</t>
        </is>
      </c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  <c r="AC203" s="6" t="n"/>
      <c r="AD203" s="6" t="n"/>
      <c r="AE203" s="6" t="n"/>
      <c r="AF203" s="6" t="n"/>
      <c r="AG203" s="6" t="n"/>
      <c r="AH203" s="6" t="n"/>
      <c r="AI203" s="6" t="n"/>
      <c r="AJ203" s="6" t="n"/>
      <c r="AK203" s="6" t="n"/>
      <c r="AL203" s="6" t="n"/>
      <c r="AM203" s="6" t="n"/>
      <c r="AN203" s="6" t="n"/>
      <c r="AO203" s="6" t="n"/>
      <c r="AP203" s="6" t="n"/>
    </row>
    <row r="204">
      <c r="A204" s="7" t="inlineStr">
        <is>
          <t xml:space="preserve">   Active (1 = live)</t>
        </is>
      </c>
      <c r="B204" s="9" t="inlineStr">
        <is>
          <t>flag</t>
        </is>
      </c>
      <c r="C204" s="18">
        <f>IF(AND('Assumptions'!$D$158=1,C$4&gt;=MAX('Assumptions'!$D$159,'Assumptions'!$C$9)),1,0)</f>
        <v/>
      </c>
      <c r="D204" s="18">
        <f>IF(AND('Assumptions'!$D$158=1,D$4&gt;=MAX('Assumptions'!$D$159,'Assumptions'!$C$9)),1,0)</f>
        <v/>
      </c>
      <c r="E204" s="18">
        <f>IF(AND('Assumptions'!$D$158=1,E$4&gt;=MAX('Assumptions'!$D$159,'Assumptions'!$C$9)),1,0)</f>
        <v/>
      </c>
      <c r="F204" s="18">
        <f>IF(AND('Assumptions'!$D$158=1,F$4&gt;=MAX('Assumptions'!$D$159,'Assumptions'!$C$9)),1,0)</f>
        <v/>
      </c>
      <c r="G204" s="18">
        <f>IF(AND('Assumptions'!$D$158=1,G$4&gt;=MAX('Assumptions'!$D$159,'Assumptions'!$C$9)),1,0)</f>
        <v/>
      </c>
      <c r="H204" s="18">
        <f>IF(AND('Assumptions'!$D$158=1,H$4&gt;=MAX('Assumptions'!$D$159,'Assumptions'!$C$9)),1,0)</f>
        <v/>
      </c>
      <c r="I204" s="18">
        <f>IF(AND('Assumptions'!$D$158=1,I$4&gt;=MAX('Assumptions'!$D$159,'Assumptions'!$C$9)),1,0)</f>
        <v/>
      </c>
      <c r="J204" s="18">
        <f>IF(AND('Assumptions'!$D$158=1,J$4&gt;=MAX('Assumptions'!$D$159,'Assumptions'!$C$9)),1,0)</f>
        <v/>
      </c>
      <c r="K204" s="18">
        <f>IF(AND('Assumptions'!$D$158=1,K$4&gt;=MAX('Assumptions'!$D$159,'Assumptions'!$C$9)),1,0)</f>
        <v/>
      </c>
      <c r="L204" s="18">
        <f>IF(AND('Assumptions'!$D$158=1,L$4&gt;=MAX('Assumptions'!$D$159,'Assumptions'!$C$9)),1,0)</f>
        <v/>
      </c>
      <c r="M204" s="18">
        <f>IF(AND('Assumptions'!$D$158=1,M$4&gt;=MAX('Assumptions'!$D$159,'Assumptions'!$C$9)),1,0)</f>
        <v/>
      </c>
      <c r="N204" s="18">
        <f>IF(AND('Assumptions'!$D$158=1,N$4&gt;=MAX('Assumptions'!$D$159,'Assumptions'!$C$9)),1,0)</f>
        <v/>
      </c>
      <c r="O204" s="18">
        <f>IF(AND('Assumptions'!$D$158=1,O$4&gt;=MAX('Assumptions'!$D$159,'Assumptions'!$C$9)),1,0)</f>
        <v/>
      </c>
      <c r="P204" s="18">
        <f>IF(AND('Assumptions'!$D$158=1,P$4&gt;=MAX('Assumptions'!$D$159,'Assumptions'!$C$9)),1,0)</f>
        <v/>
      </c>
      <c r="Q204" s="18">
        <f>IF(AND('Assumptions'!$D$158=1,Q$4&gt;=MAX('Assumptions'!$D$159,'Assumptions'!$C$9)),1,0)</f>
        <v/>
      </c>
      <c r="R204" s="18">
        <f>IF(AND('Assumptions'!$D$158=1,R$4&gt;=MAX('Assumptions'!$D$159,'Assumptions'!$C$9)),1,0)</f>
        <v/>
      </c>
      <c r="S204" s="18">
        <f>IF(AND('Assumptions'!$D$158=1,S$4&gt;=MAX('Assumptions'!$D$159,'Assumptions'!$C$9)),1,0)</f>
        <v/>
      </c>
      <c r="T204" s="18">
        <f>IF(AND('Assumptions'!$D$158=1,T$4&gt;=MAX('Assumptions'!$D$159,'Assumptions'!$C$9)),1,0)</f>
        <v/>
      </c>
      <c r="U204" s="18">
        <f>IF(AND('Assumptions'!$D$158=1,U$4&gt;=MAX('Assumptions'!$D$159,'Assumptions'!$C$9)),1,0)</f>
        <v/>
      </c>
      <c r="V204" s="18">
        <f>IF(AND('Assumptions'!$D$158=1,V$4&gt;=MAX('Assumptions'!$D$159,'Assumptions'!$C$9)),1,0)</f>
        <v/>
      </c>
      <c r="W204" s="18">
        <f>IF(AND('Assumptions'!$D$158=1,W$4&gt;=MAX('Assumptions'!$D$159,'Assumptions'!$C$9)),1,0)</f>
        <v/>
      </c>
      <c r="X204" s="18">
        <f>IF(AND('Assumptions'!$D$158=1,X$4&gt;=MAX('Assumptions'!$D$159,'Assumptions'!$C$9)),1,0)</f>
        <v/>
      </c>
      <c r="Y204" s="18">
        <f>IF(AND('Assumptions'!$D$158=1,Y$4&gt;=MAX('Assumptions'!$D$159,'Assumptions'!$C$9)),1,0)</f>
        <v/>
      </c>
      <c r="Z204" s="18">
        <f>IF(AND('Assumptions'!$D$158=1,Z$4&gt;=MAX('Assumptions'!$D$159,'Assumptions'!$C$9)),1,0)</f>
        <v/>
      </c>
      <c r="AA204" s="18">
        <f>IF(AND('Assumptions'!$D$158=1,AA$4&gt;=MAX('Assumptions'!$D$159,'Assumptions'!$C$9)),1,0)</f>
        <v/>
      </c>
      <c r="AB204" s="18">
        <f>IF(AND('Assumptions'!$D$158=1,AB$4&gt;=MAX('Assumptions'!$D$159,'Assumptions'!$C$9)),1,0)</f>
        <v/>
      </c>
      <c r="AC204" s="18">
        <f>IF(AND('Assumptions'!$D$158=1,AC$4&gt;=MAX('Assumptions'!$D$159,'Assumptions'!$C$9)),1,0)</f>
        <v/>
      </c>
      <c r="AD204" s="18">
        <f>IF(AND('Assumptions'!$D$158=1,AD$4&gt;=MAX('Assumptions'!$D$159,'Assumptions'!$C$9)),1,0)</f>
        <v/>
      </c>
      <c r="AE204" s="18">
        <f>IF(AND('Assumptions'!$D$158=1,AE$4&gt;=MAX('Assumptions'!$D$159,'Assumptions'!$C$9)),1,0)</f>
        <v/>
      </c>
      <c r="AF204" s="18">
        <f>IF(AND('Assumptions'!$D$158=1,AF$4&gt;=MAX('Assumptions'!$D$159,'Assumptions'!$C$9)),1,0)</f>
        <v/>
      </c>
      <c r="AG204" s="18">
        <f>IF(AND('Assumptions'!$D$158=1,AG$4&gt;=MAX('Assumptions'!$D$159,'Assumptions'!$C$9)),1,0)</f>
        <v/>
      </c>
      <c r="AH204" s="18">
        <f>IF(AND('Assumptions'!$D$158=1,AH$4&gt;=MAX('Assumptions'!$D$159,'Assumptions'!$C$9)),1,0)</f>
        <v/>
      </c>
      <c r="AI204" s="18">
        <f>IF(AND('Assumptions'!$D$158=1,AI$4&gt;=MAX('Assumptions'!$D$159,'Assumptions'!$C$9)),1,0)</f>
        <v/>
      </c>
      <c r="AJ204" s="18">
        <f>IF(AND('Assumptions'!$D$158=1,AJ$4&gt;=MAX('Assumptions'!$D$159,'Assumptions'!$C$9)),1,0)</f>
        <v/>
      </c>
      <c r="AK204" s="18">
        <f>IF(AND('Assumptions'!$D$158=1,AK$4&gt;=MAX('Assumptions'!$D$159,'Assumptions'!$C$9)),1,0)</f>
        <v/>
      </c>
      <c r="AL204" s="18">
        <f>IF(AND('Assumptions'!$D$158=1,AL$4&gt;=MAX('Assumptions'!$D$159,'Assumptions'!$C$9)),1,0)</f>
        <v/>
      </c>
    </row>
    <row r="205">
      <c r="A205" s="7" t="inlineStr">
        <is>
          <t xml:space="preserve">   Subscribers reached (list last month x reach)</t>
        </is>
      </c>
      <c r="B205" s="9" t="inlineStr">
        <is>
          <t>people</t>
        </is>
      </c>
      <c r="C205" s="15">
        <f>IF(C204=0,0,0*'Assumptions'!$D$162)</f>
        <v/>
      </c>
      <c r="D205" s="15">
        <f>IF(D204=0,0,C248*'Assumptions'!$D$162)</f>
        <v/>
      </c>
      <c r="E205" s="15">
        <f>IF(E204=0,0,D248*'Assumptions'!$D$162)</f>
        <v/>
      </c>
      <c r="F205" s="15">
        <f>IF(F204=0,0,E248*'Assumptions'!$D$162)</f>
        <v/>
      </c>
      <c r="G205" s="15">
        <f>IF(G204=0,0,F248*'Assumptions'!$D$162)</f>
        <v/>
      </c>
      <c r="H205" s="15">
        <f>IF(H204=0,0,G248*'Assumptions'!$D$162)</f>
        <v/>
      </c>
      <c r="I205" s="15">
        <f>IF(I204=0,0,H248*'Assumptions'!$D$162)</f>
        <v/>
      </c>
      <c r="J205" s="15">
        <f>IF(J204=0,0,I248*'Assumptions'!$D$162)</f>
        <v/>
      </c>
      <c r="K205" s="15">
        <f>IF(K204=0,0,J248*'Assumptions'!$D$162)</f>
        <v/>
      </c>
      <c r="L205" s="15">
        <f>IF(L204=0,0,K248*'Assumptions'!$D$162)</f>
        <v/>
      </c>
      <c r="M205" s="15">
        <f>IF(M204=0,0,L248*'Assumptions'!$D$162)</f>
        <v/>
      </c>
      <c r="N205" s="15">
        <f>IF(N204=0,0,M248*'Assumptions'!$D$162)</f>
        <v/>
      </c>
      <c r="O205" s="15">
        <f>IF(O204=0,0,N248*'Assumptions'!$D$162)</f>
        <v/>
      </c>
      <c r="P205" s="15">
        <f>IF(P204=0,0,O248*'Assumptions'!$D$162)</f>
        <v/>
      </c>
      <c r="Q205" s="15">
        <f>IF(Q204=0,0,P248*'Assumptions'!$D$162)</f>
        <v/>
      </c>
      <c r="R205" s="15">
        <f>IF(R204=0,0,Q248*'Assumptions'!$D$162)</f>
        <v/>
      </c>
      <c r="S205" s="15">
        <f>IF(S204=0,0,R248*'Assumptions'!$D$162)</f>
        <v/>
      </c>
      <c r="T205" s="15">
        <f>IF(T204=0,0,S248*'Assumptions'!$D$162)</f>
        <v/>
      </c>
      <c r="U205" s="15">
        <f>IF(U204=0,0,T248*'Assumptions'!$D$162)</f>
        <v/>
      </c>
      <c r="V205" s="15">
        <f>IF(V204=0,0,U248*'Assumptions'!$D$162)</f>
        <v/>
      </c>
      <c r="W205" s="15">
        <f>IF(W204=0,0,V248*'Assumptions'!$D$162)</f>
        <v/>
      </c>
      <c r="X205" s="15">
        <f>IF(X204=0,0,W248*'Assumptions'!$D$162)</f>
        <v/>
      </c>
      <c r="Y205" s="15">
        <f>IF(Y204=0,0,X248*'Assumptions'!$D$162)</f>
        <v/>
      </c>
      <c r="Z205" s="15">
        <f>IF(Z204=0,0,Y248*'Assumptions'!$D$162)</f>
        <v/>
      </c>
      <c r="AA205" s="15">
        <f>IF(AA204=0,0,Z248*'Assumptions'!$D$162)</f>
        <v/>
      </c>
      <c r="AB205" s="15">
        <f>IF(AB204=0,0,AA248*'Assumptions'!$D$162)</f>
        <v/>
      </c>
      <c r="AC205" s="15">
        <f>IF(AC204=0,0,AB248*'Assumptions'!$D$162)</f>
        <v/>
      </c>
      <c r="AD205" s="15">
        <f>IF(AD204=0,0,AC248*'Assumptions'!$D$162)</f>
        <v/>
      </c>
      <c r="AE205" s="15">
        <f>IF(AE204=0,0,AD248*'Assumptions'!$D$162)</f>
        <v/>
      </c>
      <c r="AF205" s="15">
        <f>IF(AF204=0,0,AE248*'Assumptions'!$D$162)</f>
        <v/>
      </c>
      <c r="AG205" s="15">
        <f>IF(AG204=0,0,AF248*'Assumptions'!$D$162)</f>
        <v/>
      </c>
      <c r="AH205" s="15">
        <f>IF(AH204=0,0,AG248*'Assumptions'!$D$162)</f>
        <v/>
      </c>
      <c r="AI205" s="15">
        <f>IF(AI204=0,0,AH248*'Assumptions'!$D$162)</f>
        <v/>
      </c>
      <c r="AJ205" s="15">
        <f>IF(AJ204=0,0,AI248*'Assumptions'!$D$162)</f>
        <v/>
      </c>
      <c r="AK205" s="15">
        <f>IF(AK204=0,0,AJ248*'Assumptions'!$D$162)</f>
        <v/>
      </c>
      <c r="AL205" s="15">
        <f>IF(AL204=0,0,AK248*'Assumptions'!$D$162)</f>
        <v/>
      </c>
    </row>
    <row r="206">
      <c r="A206" s="7" t="inlineStr">
        <is>
          <t xml:space="preserve">   Subscribers reached by the offer</t>
        </is>
      </c>
      <c r="B206" s="9" t="inlineStr">
        <is>
          <t>visits</t>
        </is>
      </c>
      <c r="C206" s="58">
        <f>C205*C$7</f>
        <v/>
      </c>
      <c r="D206" s="58">
        <f>D205*D$7</f>
        <v/>
      </c>
      <c r="E206" s="58">
        <f>E205*E$7</f>
        <v/>
      </c>
      <c r="F206" s="58">
        <f>F205*F$7</f>
        <v/>
      </c>
      <c r="G206" s="58">
        <f>G205*G$7</f>
        <v/>
      </c>
      <c r="H206" s="58">
        <f>H205*H$7</f>
        <v/>
      </c>
      <c r="I206" s="58">
        <f>I205*I$7</f>
        <v/>
      </c>
      <c r="J206" s="58">
        <f>J205*J$7</f>
        <v/>
      </c>
      <c r="K206" s="58">
        <f>K205*K$7</f>
        <v/>
      </c>
      <c r="L206" s="58">
        <f>L205*L$7</f>
        <v/>
      </c>
      <c r="M206" s="58">
        <f>M205*M$7</f>
        <v/>
      </c>
      <c r="N206" s="58">
        <f>N205*N$7</f>
        <v/>
      </c>
      <c r="O206" s="58">
        <f>O205*O$7</f>
        <v/>
      </c>
      <c r="P206" s="58">
        <f>P205*P$7</f>
        <v/>
      </c>
      <c r="Q206" s="58">
        <f>Q205*Q$7</f>
        <v/>
      </c>
      <c r="R206" s="58">
        <f>R205*R$7</f>
        <v/>
      </c>
      <c r="S206" s="58">
        <f>S205*S$7</f>
        <v/>
      </c>
      <c r="T206" s="58">
        <f>T205*T$7</f>
        <v/>
      </c>
      <c r="U206" s="58">
        <f>U205*U$7</f>
        <v/>
      </c>
      <c r="V206" s="58">
        <f>V205*V$7</f>
        <v/>
      </c>
      <c r="W206" s="58">
        <f>W205*W$7</f>
        <v/>
      </c>
      <c r="X206" s="58">
        <f>X205*X$7</f>
        <v/>
      </c>
      <c r="Y206" s="58">
        <f>Y205*Y$7</f>
        <v/>
      </c>
      <c r="Z206" s="58">
        <f>Z205*Z$7</f>
        <v/>
      </c>
      <c r="AA206" s="58">
        <f>AA205*AA$7</f>
        <v/>
      </c>
      <c r="AB206" s="58">
        <f>AB205*AB$7</f>
        <v/>
      </c>
      <c r="AC206" s="58">
        <f>AC205*AC$7</f>
        <v/>
      </c>
      <c r="AD206" s="58">
        <f>AD205*AD$7</f>
        <v/>
      </c>
      <c r="AE206" s="58">
        <f>AE205*AE$7</f>
        <v/>
      </c>
      <c r="AF206" s="58">
        <f>AF205*AF$7</f>
        <v/>
      </c>
      <c r="AG206" s="58">
        <f>AG205*AG$7</f>
        <v/>
      </c>
      <c r="AH206" s="58">
        <f>AH205*AH$7</f>
        <v/>
      </c>
      <c r="AI206" s="58">
        <f>AI205*AI$7</f>
        <v/>
      </c>
      <c r="AJ206" s="58">
        <f>AJ205*AJ$7</f>
        <v/>
      </c>
      <c r="AK206" s="58">
        <f>AK205*AK$7</f>
        <v/>
      </c>
      <c r="AL206" s="58">
        <f>AL205*AL$7</f>
        <v/>
      </c>
      <c r="AM206" s="57">
        <f>SUMIF($C$6:$AL$6,1,C206:AL206)</f>
        <v/>
      </c>
      <c r="AN206" s="57">
        <f>SUMIF($C$6:$AL$6,2,C206:AL206)</f>
        <v/>
      </c>
      <c r="AO206" s="57">
        <f>SUMIF($C$6:$AL$6,3,C206:AL206)</f>
        <v/>
      </c>
      <c r="AP206" s="57">
        <f>SUM(C206:AL206)</f>
        <v/>
      </c>
    </row>
    <row r="207">
      <c r="A207" s="7" t="inlineStr">
        <is>
          <t xml:space="preserve">   Conversion rate (with review ramp)</t>
        </is>
      </c>
      <c r="B207" s="9" t="inlineStr">
        <is>
          <t>%</t>
        </is>
      </c>
      <c r="C207" s="59">
        <f>'Assumptions'!$D$160*MIN(1,(C$4-MAX('Assumptions'!$D$159,'Assumptions'!$C$9)+1)/'Assumptions'!$C$11)*C204</f>
        <v/>
      </c>
      <c r="D207" s="59">
        <f>'Assumptions'!$D$160*MIN(1,(D$4-MAX('Assumptions'!$D$159,'Assumptions'!$C$9)+1)/'Assumptions'!$C$11)*D204</f>
        <v/>
      </c>
      <c r="E207" s="59">
        <f>'Assumptions'!$D$160*MIN(1,(E$4-MAX('Assumptions'!$D$159,'Assumptions'!$C$9)+1)/'Assumptions'!$C$11)*E204</f>
        <v/>
      </c>
      <c r="F207" s="59">
        <f>'Assumptions'!$D$160*MIN(1,(F$4-MAX('Assumptions'!$D$159,'Assumptions'!$C$9)+1)/'Assumptions'!$C$11)*F204</f>
        <v/>
      </c>
      <c r="G207" s="59">
        <f>'Assumptions'!$D$160*MIN(1,(G$4-MAX('Assumptions'!$D$159,'Assumptions'!$C$9)+1)/'Assumptions'!$C$11)*G204</f>
        <v/>
      </c>
      <c r="H207" s="59">
        <f>'Assumptions'!$D$160*MIN(1,(H$4-MAX('Assumptions'!$D$159,'Assumptions'!$C$9)+1)/'Assumptions'!$C$11)*H204</f>
        <v/>
      </c>
      <c r="I207" s="59">
        <f>'Assumptions'!$D$160*MIN(1,(I$4-MAX('Assumptions'!$D$159,'Assumptions'!$C$9)+1)/'Assumptions'!$C$11)*I204</f>
        <v/>
      </c>
      <c r="J207" s="59">
        <f>'Assumptions'!$D$160*MIN(1,(J$4-MAX('Assumptions'!$D$159,'Assumptions'!$C$9)+1)/'Assumptions'!$C$11)*J204</f>
        <v/>
      </c>
      <c r="K207" s="59">
        <f>'Assumptions'!$D$160*MIN(1,(K$4-MAX('Assumptions'!$D$159,'Assumptions'!$C$9)+1)/'Assumptions'!$C$11)*K204</f>
        <v/>
      </c>
      <c r="L207" s="59">
        <f>'Assumptions'!$D$160*MIN(1,(L$4-MAX('Assumptions'!$D$159,'Assumptions'!$C$9)+1)/'Assumptions'!$C$11)*L204</f>
        <v/>
      </c>
      <c r="M207" s="59">
        <f>'Assumptions'!$D$160*MIN(1,(M$4-MAX('Assumptions'!$D$159,'Assumptions'!$C$9)+1)/'Assumptions'!$C$11)*M204</f>
        <v/>
      </c>
      <c r="N207" s="59">
        <f>'Assumptions'!$D$160*MIN(1,(N$4-MAX('Assumptions'!$D$159,'Assumptions'!$C$9)+1)/'Assumptions'!$C$11)*N204</f>
        <v/>
      </c>
      <c r="O207" s="59">
        <f>'Assumptions'!$D$160*MIN(1,(O$4-MAX('Assumptions'!$D$159,'Assumptions'!$C$9)+1)/'Assumptions'!$C$11)*O204</f>
        <v/>
      </c>
      <c r="P207" s="59">
        <f>'Assumptions'!$D$160*MIN(1,(P$4-MAX('Assumptions'!$D$159,'Assumptions'!$C$9)+1)/'Assumptions'!$C$11)*P204</f>
        <v/>
      </c>
      <c r="Q207" s="59">
        <f>'Assumptions'!$D$160*MIN(1,(Q$4-MAX('Assumptions'!$D$159,'Assumptions'!$C$9)+1)/'Assumptions'!$C$11)*Q204</f>
        <v/>
      </c>
      <c r="R207" s="59">
        <f>'Assumptions'!$D$160*MIN(1,(R$4-MAX('Assumptions'!$D$159,'Assumptions'!$C$9)+1)/'Assumptions'!$C$11)*R204</f>
        <v/>
      </c>
      <c r="S207" s="59">
        <f>'Assumptions'!$D$160*MIN(1,(S$4-MAX('Assumptions'!$D$159,'Assumptions'!$C$9)+1)/'Assumptions'!$C$11)*S204</f>
        <v/>
      </c>
      <c r="T207" s="59">
        <f>'Assumptions'!$D$160*MIN(1,(T$4-MAX('Assumptions'!$D$159,'Assumptions'!$C$9)+1)/'Assumptions'!$C$11)*T204</f>
        <v/>
      </c>
      <c r="U207" s="59">
        <f>'Assumptions'!$D$160*MIN(1,(U$4-MAX('Assumptions'!$D$159,'Assumptions'!$C$9)+1)/'Assumptions'!$C$11)*U204</f>
        <v/>
      </c>
      <c r="V207" s="59">
        <f>'Assumptions'!$D$160*MIN(1,(V$4-MAX('Assumptions'!$D$159,'Assumptions'!$C$9)+1)/'Assumptions'!$C$11)*V204</f>
        <v/>
      </c>
      <c r="W207" s="59">
        <f>'Assumptions'!$D$160*MIN(1,(W$4-MAX('Assumptions'!$D$159,'Assumptions'!$C$9)+1)/'Assumptions'!$C$11)*W204</f>
        <v/>
      </c>
      <c r="X207" s="59">
        <f>'Assumptions'!$D$160*MIN(1,(X$4-MAX('Assumptions'!$D$159,'Assumptions'!$C$9)+1)/'Assumptions'!$C$11)*X204</f>
        <v/>
      </c>
      <c r="Y207" s="59">
        <f>'Assumptions'!$D$160*MIN(1,(Y$4-MAX('Assumptions'!$D$159,'Assumptions'!$C$9)+1)/'Assumptions'!$C$11)*Y204</f>
        <v/>
      </c>
      <c r="Z207" s="59">
        <f>'Assumptions'!$D$160*MIN(1,(Z$4-MAX('Assumptions'!$D$159,'Assumptions'!$C$9)+1)/'Assumptions'!$C$11)*Z204</f>
        <v/>
      </c>
      <c r="AA207" s="59">
        <f>'Assumptions'!$D$160*MIN(1,(AA$4-MAX('Assumptions'!$D$159,'Assumptions'!$C$9)+1)/'Assumptions'!$C$11)*AA204</f>
        <v/>
      </c>
      <c r="AB207" s="59">
        <f>'Assumptions'!$D$160*MIN(1,(AB$4-MAX('Assumptions'!$D$159,'Assumptions'!$C$9)+1)/'Assumptions'!$C$11)*AB204</f>
        <v/>
      </c>
      <c r="AC207" s="59">
        <f>'Assumptions'!$D$160*MIN(1,(AC$4-MAX('Assumptions'!$D$159,'Assumptions'!$C$9)+1)/'Assumptions'!$C$11)*AC204</f>
        <v/>
      </c>
      <c r="AD207" s="59">
        <f>'Assumptions'!$D$160*MIN(1,(AD$4-MAX('Assumptions'!$D$159,'Assumptions'!$C$9)+1)/'Assumptions'!$C$11)*AD204</f>
        <v/>
      </c>
      <c r="AE207" s="59">
        <f>'Assumptions'!$D$160*MIN(1,(AE$4-MAX('Assumptions'!$D$159,'Assumptions'!$C$9)+1)/'Assumptions'!$C$11)*AE204</f>
        <v/>
      </c>
      <c r="AF207" s="59">
        <f>'Assumptions'!$D$160*MIN(1,(AF$4-MAX('Assumptions'!$D$159,'Assumptions'!$C$9)+1)/'Assumptions'!$C$11)*AF204</f>
        <v/>
      </c>
      <c r="AG207" s="59">
        <f>'Assumptions'!$D$160*MIN(1,(AG$4-MAX('Assumptions'!$D$159,'Assumptions'!$C$9)+1)/'Assumptions'!$C$11)*AG204</f>
        <v/>
      </c>
      <c r="AH207" s="59">
        <f>'Assumptions'!$D$160*MIN(1,(AH$4-MAX('Assumptions'!$D$159,'Assumptions'!$C$9)+1)/'Assumptions'!$C$11)*AH204</f>
        <v/>
      </c>
      <c r="AI207" s="59">
        <f>'Assumptions'!$D$160*MIN(1,(AI$4-MAX('Assumptions'!$D$159,'Assumptions'!$C$9)+1)/'Assumptions'!$C$11)*AI204</f>
        <v/>
      </c>
      <c r="AJ207" s="59">
        <f>'Assumptions'!$D$160*MIN(1,(AJ$4-MAX('Assumptions'!$D$159,'Assumptions'!$C$9)+1)/'Assumptions'!$C$11)*AJ204</f>
        <v/>
      </c>
      <c r="AK207" s="59">
        <f>'Assumptions'!$D$160*MIN(1,(AK$4-MAX('Assumptions'!$D$159,'Assumptions'!$C$9)+1)/'Assumptions'!$C$11)*AK204</f>
        <v/>
      </c>
      <c r="AL207" s="59">
        <f>'Assumptions'!$D$160*MIN(1,(AL$4-MAX('Assumptions'!$D$159,'Assumptions'!$C$9)+1)/'Assumptions'!$C$11)*AL204</f>
        <v/>
      </c>
    </row>
    <row r="208">
      <c r="A208" s="7" t="inlineStr">
        <is>
          <t xml:space="preserve">   Orders</t>
        </is>
      </c>
      <c r="B208" s="9" t="inlineStr">
        <is>
          <t>orders</t>
        </is>
      </c>
      <c r="C208" s="56">
        <f>C206*C207</f>
        <v/>
      </c>
      <c r="D208" s="56">
        <f>D206*D207</f>
        <v/>
      </c>
      <c r="E208" s="56">
        <f>E206*E207</f>
        <v/>
      </c>
      <c r="F208" s="56">
        <f>F206*F207</f>
        <v/>
      </c>
      <c r="G208" s="56">
        <f>G206*G207</f>
        <v/>
      </c>
      <c r="H208" s="56">
        <f>H206*H207</f>
        <v/>
      </c>
      <c r="I208" s="56">
        <f>I206*I207</f>
        <v/>
      </c>
      <c r="J208" s="56">
        <f>J206*J207</f>
        <v/>
      </c>
      <c r="K208" s="56">
        <f>K206*K207</f>
        <v/>
      </c>
      <c r="L208" s="56">
        <f>L206*L207</f>
        <v/>
      </c>
      <c r="M208" s="56">
        <f>M206*M207</f>
        <v/>
      </c>
      <c r="N208" s="56">
        <f>N206*N207</f>
        <v/>
      </c>
      <c r="O208" s="56">
        <f>O206*O207</f>
        <v/>
      </c>
      <c r="P208" s="56">
        <f>P206*P207</f>
        <v/>
      </c>
      <c r="Q208" s="56">
        <f>Q206*Q207</f>
        <v/>
      </c>
      <c r="R208" s="56">
        <f>R206*R207</f>
        <v/>
      </c>
      <c r="S208" s="56">
        <f>S206*S207</f>
        <v/>
      </c>
      <c r="T208" s="56">
        <f>T206*T207</f>
        <v/>
      </c>
      <c r="U208" s="56">
        <f>U206*U207</f>
        <v/>
      </c>
      <c r="V208" s="56">
        <f>V206*V207</f>
        <v/>
      </c>
      <c r="W208" s="56">
        <f>W206*W207</f>
        <v/>
      </c>
      <c r="X208" s="56">
        <f>X206*X207</f>
        <v/>
      </c>
      <c r="Y208" s="56">
        <f>Y206*Y207</f>
        <v/>
      </c>
      <c r="Z208" s="56">
        <f>Z206*Z207</f>
        <v/>
      </c>
      <c r="AA208" s="56">
        <f>AA206*AA207</f>
        <v/>
      </c>
      <c r="AB208" s="56">
        <f>AB206*AB207</f>
        <v/>
      </c>
      <c r="AC208" s="56">
        <f>AC206*AC207</f>
        <v/>
      </c>
      <c r="AD208" s="56">
        <f>AD206*AD207</f>
        <v/>
      </c>
      <c r="AE208" s="56">
        <f>AE206*AE207</f>
        <v/>
      </c>
      <c r="AF208" s="56">
        <f>AF206*AF207</f>
        <v/>
      </c>
      <c r="AG208" s="56">
        <f>AG206*AG207</f>
        <v/>
      </c>
      <c r="AH208" s="56">
        <f>AH206*AH207</f>
        <v/>
      </c>
      <c r="AI208" s="56">
        <f>AI206*AI207</f>
        <v/>
      </c>
      <c r="AJ208" s="56">
        <f>AJ206*AJ207</f>
        <v/>
      </c>
      <c r="AK208" s="56">
        <f>AK206*AK207</f>
        <v/>
      </c>
      <c r="AL208" s="56">
        <f>AL206*AL207</f>
        <v/>
      </c>
      <c r="AM208" s="57">
        <f>SUMIF($C$6:$AL$6,1,C208:AL208)</f>
        <v/>
      </c>
      <c r="AN208" s="57">
        <f>SUMIF($C$6:$AL$6,2,C208:AL208)</f>
        <v/>
      </c>
      <c r="AO208" s="57">
        <f>SUMIF($C$6:$AL$6,3,C208:AL208)</f>
        <v/>
      </c>
      <c r="AP208" s="57">
        <f>SUM(C208:AL208)</f>
        <v/>
      </c>
    </row>
    <row r="209">
      <c r="A209" s="7" t="inlineStr">
        <is>
          <t xml:space="preserve">   Items sold</t>
        </is>
      </c>
      <c r="B209" s="9" t="inlineStr">
        <is>
          <t>items</t>
        </is>
      </c>
      <c r="C209" s="14">
        <f>C208*'Assumptions'!$D$161</f>
        <v/>
      </c>
      <c r="D209" s="14">
        <f>D208*'Assumptions'!$D$161</f>
        <v/>
      </c>
      <c r="E209" s="14">
        <f>E208*'Assumptions'!$D$161</f>
        <v/>
      </c>
      <c r="F209" s="14">
        <f>F208*'Assumptions'!$D$161</f>
        <v/>
      </c>
      <c r="G209" s="14">
        <f>G208*'Assumptions'!$D$161</f>
        <v/>
      </c>
      <c r="H209" s="14">
        <f>H208*'Assumptions'!$D$161</f>
        <v/>
      </c>
      <c r="I209" s="14">
        <f>I208*'Assumptions'!$D$161</f>
        <v/>
      </c>
      <c r="J209" s="14">
        <f>J208*'Assumptions'!$D$161</f>
        <v/>
      </c>
      <c r="K209" s="14">
        <f>K208*'Assumptions'!$D$161</f>
        <v/>
      </c>
      <c r="L209" s="14">
        <f>L208*'Assumptions'!$D$161</f>
        <v/>
      </c>
      <c r="M209" s="14">
        <f>M208*'Assumptions'!$D$161</f>
        <v/>
      </c>
      <c r="N209" s="14">
        <f>N208*'Assumptions'!$D$161</f>
        <v/>
      </c>
      <c r="O209" s="14">
        <f>O208*'Assumptions'!$D$161</f>
        <v/>
      </c>
      <c r="P209" s="14">
        <f>P208*'Assumptions'!$D$161</f>
        <v/>
      </c>
      <c r="Q209" s="14">
        <f>Q208*'Assumptions'!$D$161</f>
        <v/>
      </c>
      <c r="R209" s="14">
        <f>R208*'Assumptions'!$D$161</f>
        <v/>
      </c>
      <c r="S209" s="14">
        <f>S208*'Assumptions'!$D$161</f>
        <v/>
      </c>
      <c r="T209" s="14">
        <f>T208*'Assumptions'!$D$161</f>
        <v/>
      </c>
      <c r="U209" s="14">
        <f>U208*'Assumptions'!$D$161</f>
        <v/>
      </c>
      <c r="V209" s="14">
        <f>V208*'Assumptions'!$D$161</f>
        <v/>
      </c>
      <c r="W209" s="14">
        <f>W208*'Assumptions'!$D$161</f>
        <v/>
      </c>
      <c r="X209" s="14">
        <f>X208*'Assumptions'!$D$161</f>
        <v/>
      </c>
      <c r="Y209" s="14">
        <f>Y208*'Assumptions'!$D$161</f>
        <v/>
      </c>
      <c r="Z209" s="14">
        <f>Z208*'Assumptions'!$D$161</f>
        <v/>
      </c>
      <c r="AA209" s="14">
        <f>AA208*'Assumptions'!$D$161</f>
        <v/>
      </c>
      <c r="AB209" s="14">
        <f>AB208*'Assumptions'!$D$161</f>
        <v/>
      </c>
      <c r="AC209" s="14">
        <f>AC208*'Assumptions'!$D$161</f>
        <v/>
      </c>
      <c r="AD209" s="14">
        <f>AD208*'Assumptions'!$D$161</f>
        <v/>
      </c>
      <c r="AE209" s="14">
        <f>AE208*'Assumptions'!$D$161</f>
        <v/>
      </c>
      <c r="AF209" s="14">
        <f>AF208*'Assumptions'!$D$161</f>
        <v/>
      </c>
      <c r="AG209" s="14">
        <f>AG208*'Assumptions'!$D$161</f>
        <v/>
      </c>
      <c r="AH209" s="14">
        <f>AH208*'Assumptions'!$D$161</f>
        <v/>
      </c>
      <c r="AI209" s="14">
        <f>AI208*'Assumptions'!$D$161</f>
        <v/>
      </c>
      <c r="AJ209" s="14">
        <f>AJ208*'Assumptions'!$D$161</f>
        <v/>
      </c>
      <c r="AK209" s="14">
        <f>AK208*'Assumptions'!$D$161</f>
        <v/>
      </c>
      <c r="AL209" s="14">
        <f>AL208*'Assumptions'!$D$161</f>
        <v/>
      </c>
      <c r="AM209" s="57">
        <f>SUMIF($C$6:$AL$6,1,C209:AL209)</f>
        <v/>
      </c>
      <c r="AN209" s="57">
        <f>SUMIF($C$6:$AL$6,2,C209:AL209)</f>
        <v/>
      </c>
      <c r="AO209" s="57">
        <f>SUMIF($C$6:$AL$6,3,C209:AL209)</f>
        <v/>
      </c>
      <c r="AP209" s="57">
        <f>SUM(C209:AL209)</f>
        <v/>
      </c>
    </row>
    <row r="210">
      <c r="A210" s="7" t="inlineStr">
        <is>
          <t xml:space="preserve">   Average order value</t>
        </is>
      </c>
      <c r="B210" s="9" t="inlineStr">
        <is>
          <t>$</t>
        </is>
      </c>
      <c r="C210" s="16">
        <f>'Unit Economics'!$E$54*'Assumptions'!$D$161*C204</f>
        <v/>
      </c>
      <c r="D210" s="16">
        <f>'Unit Economics'!$E$54*'Assumptions'!$D$161*D204</f>
        <v/>
      </c>
      <c r="E210" s="16">
        <f>'Unit Economics'!$E$54*'Assumptions'!$D$161*E204</f>
        <v/>
      </c>
      <c r="F210" s="16">
        <f>'Unit Economics'!$E$54*'Assumptions'!$D$161*F204</f>
        <v/>
      </c>
      <c r="G210" s="16">
        <f>'Unit Economics'!$E$54*'Assumptions'!$D$161*G204</f>
        <v/>
      </c>
      <c r="H210" s="16">
        <f>'Unit Economics'!$E$54*'Assumptions'!$D$161*H204</f>
        <v/>
      </c>
      <c r="I210" s="16">
        <f>'Unit Economics'!$E$54*'Assumptions'!$D$161*I204</f>
        <v/>
      </c>
      <c r="J210" s="16">
        <f>'Unit Economics'!$E$54*'Assumptions'!$D$161*J204</f>
        <v/>
      </c>
      <c r="K210" s="16">
        <f>'Unit Economics'!$E$54*'Assumptions'!$D$161*K204</f>
        <v/>
      </c>
      <c r="L210" s="16">
        <f>'Unit Economics'!$E$54*'Assumptions'!$D$161*L204</f>
        <v/>
      </c>
      <c r="M210" s="16">
        <f>'Unit Economics'!$E$54*'Assumptions'!$D$161*M204</f>
        <v/>
      </c>
      <c r="N210" s="16">
        <f>'Unit Economics'!$E$54*'Assumptions'!$D$161*N204</f>
        <v/>
      </c>
      <c r="O210" s="16">
        <f>'Unit Economics'!$E$54*'Assumptions'!$D$161*O204</f>
        <v/>
      </c>
      <c r="P210" s="16">
        <f>'Unit Economics'!$E$54*'Assumptions'!$D$161*P204</f>
        <v/>
      </c>
      <c r="Q210" s="16">
        <f>'Unit Economics'!$E$54*'Assumptions'!$D$161*Q204</f>
        <v/>
      </c>
      <c r="R210" s="16">
        <f>'Unit Economics'!$E$54*'Assumptions'!$D$161*R204</f>
        <v/>
      </c>
      <c r="S210" s="16">
        <f>'Unit Economics'!$E$54*'Assumptions'!$D$161*S204</f>
        <v/>
      </c>
      <c r="T210" s="16">
        <f>'Unit Economics'!$E$54*'Assumptions'!$D$161*T204</f>
        <v/>
      </c>
      <c r="U210" s="16">
        <f>'Unit Economics'!$E$54*'Assumptions'!$D$161*U204</f>
        <v/>
      </c>
      <c r="V210" s="16">
        <f>'Unit Economics'!$E$54*'Assumptions'!$D$161*V204</f>
        <v/>
      </c>
      <c r="W210" s="16">
        <f>'Unit Economics'!$E$54*'Assumptions'!$D$161*W204</f>
        <v/>
      </c>
      <c r="X210" s="16">
        <f>'Unit Economics'!$E$54*'Assumptions'!$D$161*X204</f>
        <v/>
      </c>
      <c r="Y210" s="16">
        <f>'Unit Economics'!$E$54*'Assumptions'!$D$161*Y204</f>
        <v/>
      </c>
      <c r="Z210" s="16">
        <f>'Unit Economics'!$E$54*'Assumptions'!$D$161*Z204</f>
        <v/>
      </c>
      <c r="AA210" s="16">
        <f>'Unit Economics'!$E$54*'Assumptions'!$D$161*AA204</f>
        <v/>
      </c>
      <c r="AB210" s="16">
        <f>'Unit Economics'!$E$54*'Assumptions'!$D$161*AB204</f>
        <v/>
      </c>
      <c r="AC210" s="16">
        <f>'Unit Economics'!$E$54*'Assumptions'!$D$161*AC204</f>
        <v/>
      </c>
      <c r="AD210" s="16">
        <f>'Unit Economics'!$E$54*'Assumptions'!$D$161*AD204</f>
        <v/>
      </c>
      <c r="AE210" s="16">
        <f>'Unit Economics'!$E$54*'Assumptions'!$D$161*AE204</f>
        <v/>
      </c>
      <c r="AF210" s="16">
        <f>'Unit Economics'!$E$54*'Assumptions'!$D$161*AF204</f>
        <v/>
      </c>
      <c r="AG210" s="16">
        <f>'Unit Economics'!$E$54*'Assumptions'!$D$161*AG204</f>
        <v/>
      </c>
      <c r="AH210" s="16">
        <f>'Unit Economics'!$E$54*'Assumptions'!$D$161*AH204</f>
        <v/>
      </c>
      <c r="AI210" s="16">
        <f>'Unit Economics'!$E$54*'Assumptions'!$D$161*AI204</f>
        <v/>
      </c>
      <c r="AJ210" s="16">
        <f>'Unit Economics'!$E$54*'Assumptions'!$D$161*AJ204</f>
        <v/>
      </c>
      <c r="AK210" s="16">
        <f>'Unit Economics'!$E$54*'Assumptions'!$D$161*AK204</f>
        <v/>
      </c>
      <c r="AL210" s="16">
        <f>'Unit Economics'!$E$54*'Assumptions'!$D$161*AL204</f>
        <v/>
      </c>
    </row>
    <row r="211">
      <c r="A211" s="7" t="inlineStr">
        <is>
          <t xml:space="preserve">   Gross sales (price paid by customers)</t>
        </is>
      </c>
      <c r="B211" s="9" t="inlineStr">
        <is>
          <t>$</t>
        </is>
      </c>
      <c r="C211" s="8">
        <f>C209*'Unit Economics'!$E$54</f>
        <v/>
      </c>
      <c r="D211" s="8">
        <f>D209*'Unit Economics'!$E$54</f>
        <v/>
      </c>
      <c r="E211" s="8">
        <f>E209*'Unit Economics'!$E$54</f>
        <v/>
      </c>
      <c r="F211" s="8">
        <f>F209*'Unit Economics'!$E$54</f>
        <v/>
      </c>
      <c r="G211" s="8">
        <f>G209*'Unit Economics'!$E$54</f>
        <v/>
      </c>
      <c r="H211" s="8">
        <f>H209*'Unit Economics'!$E$54</f>
        <v/>
      </c>
      <c r="I211" s="8">
        <f>I209*'Unit Economics'!$E$54</f>
        <v/>
      </c>
      <c r="J211" s="8">
        <f>J209*'Unit Economics'!$E$54</f>
        <v/>
      </c>
      <c r="K211" s="8">
        <f>K209*'Unit Economics'!$E$54</f>
        <v/>
      </c>
      <c r="L211" s="8">
        <f>L209*'Unit Economics'!$E$54</f>
        <v/>
      </c>
      <c r="M211" s="8">
        <f>M209*'Unit Economics'!$E$54</f>
        <v/>
      </c>
      <c r="N211" s="8">
        <f>N209*'Unit Economics'!$E$54</f>
        <v/>
      </c>
      <c r="O211" s="8">
        <f>O209*'Unit Economics'!$E$54</f>
        <v/>
      </c>
      <c r="P211" s="8">
        <f>P209*'Unit Economics'!$E$54</f>
        <v/>
      </c>
      <c r="Q211" s="8">
        <f>Q209*'Unit Economics'!$E$54</f>
        <v/>
      </c>
      <c r="R211" s="8">
        <f>R209*'Unit Economics'!$E$54</f>
        <v/>
      </c>
      <c r="S211" s="8">
        <f>S209*'Unit Economics'!$E$54</f>
        <v/>
      </c>
      <c r="T211" s="8">
        <f>T209*'Unit Economics'!$E$54</f>
        <v/>
      </c>
      <c r="U211" s="8">
        <f>U209*'Unit Economics'!$E$54</f>
        <v/>
      </c>
      <c r="V211" s="8">
        <f>V209*'Unit Economics'!$E$54</f>
        <v/>
      </c>
      <c r="W211" s="8">
        <f>W209*'Unit Economics'!$E$54</f>
        <v/>
      </c>
      <c r="X211" s="8">
        <f>X209*'Unit Economics'!$E$54</f>
        <v/>
      </c>
      <c r="Y211" s="8">
        <f>Y209*'Unit Economics'!$E$54</f>
        <v/>
      </c>
      <c r="Z211" s="8">
        <f>Z209*'Unit Economics'!$E$54</f>
        <v/>
      </c>
      <c r="AA211" s="8">
        <f>AA209*'Unit Economics'!$E$54</f>
        <v/>
      </c>
      <c r="AB211" s="8">
        <f>AB209*'Unit Economics'!$E$54</f>
        <v/>
      </c>
      <c r="AC211" s="8">
        <f>AC209*'Unit Economics'!$E$54</f>
        <v/>
      </c>
      <c r="AD211" s="8">
        <f>AD209*'Unit Economics'!$E$54</f>
        <v/>
      </c>
      <c r="AE211" s="8">
        <f>AE209*'Unit Economics'!$E$54</f>
        <v/>
      </c>
      <c r="AF211" s="8">
        <f>AF209*'Unit Economics'!$E$54</f>
        <v/>
      </c>
      <c r="AG211" s="8">
        <f>AG209*'Unit Economics'!$E$54</f>
        <v/>
      </c>
      <c r="AH211" s="8">
        <f>AH209*'Unit Economics'!$E$54</f>
        <v/>
      </c>
      <c r="AI211" s="8">
        <f>AI209*'Unit Economics'!$E$54</f>
        <v/>
      </c>
      <c r="AJ211" s="8">
        <f>AJ209*'Unit Economics'!$E$54</f>
        <v/>
      </c>
      <c r="AK211" s="8">
        <f>AK209*'Unit Economics'!$E$54</f>
        <v/>
      </c>
      <c r="AL211" s="8">
        <f>AL209*'Unit Economics'!$E$54</f>
        <v/>
      </c>
      <c r="AM211" s="47">
        <f>SUMIF($C$6:$AL$6,1,C211:AL211)</f>
        <v/>
      </c>
      <c r="AN211" s="47">
        <f>SUMIF($C$6:$AL$6,2,C211:AL211)</f>
        <v/>
      </c>
      <c r="AO211" s="47">
        <f>SUMIF($C$6:$AL$6,3,C211:AL211)</f>
        <v/>
      </c>
      <c r="AP211" s="47">
        <f>SUM(C211:AL211)</f>
        <v/>
      </c>
    </row>
    <row r="212">
      <c r="A212" s="7" t="inlineStr">
        <is>
          <t xml:space="preserve">   Net contribution to AlphaPlay</t>
        </is>
      </c>
      <c r="B212" s="9" t="inlineStr">
        <is>
          <t>$</t>
        </is>
      </c>
      <c r="C212" s="8">
        <f>C209*'Unit Economics'!$F$54</f>
        <v/>
      </c>
      <c r="D212" s="8">
        <f>D209*'Unit Economics'!$F$54</f>
        <v/>
      </c>
      <c r="E212" s="8">
        <f>E209*'Unit Economics'!$F$54</f>
        <v/>
      </c>
      <c r="F212" s="8">
        <f>F209*'Unit Economics'!$F$54</f>
        <v/>
      </c>
      <c r="G212" s="8">
        <f>G209*'Unit Economics'!$F$54</f>
        <v/>
      </c>
      <c r="H212" s="8">
        <f>H209*'Unit Economics'!$F$54</f>
        <v/>
      </c>
      <c r="I212" s="8">
        <f>I209*'Unit Economics'!$F$54</f>
        <v/>
      </c>
      <c r="J212" s="8">
        <f>J209*'Unit Economics'!$F$54</f>
        <v/>
      </c>
      <c r="K212" s="8">
        <f>K209*'Unit Economics'!$F$54</f>
        <v/>
      </c>
      <c r="L212" s="8">
        <f>L209*'Unit Economics'!$F$54</f>
        <v/>
      </c>
      <c r="M212" s="8">
        <f>M209*'Unit Economics'!$F$54</f>
        <v/>
      </c>
      <c r="N212" s="8">
        <f>N209*'Unit Economics'!$F$54</f>
        <v/>
      </c>
      <c r="O212" s="8">
        <f>O209*'Unit Economics'!$F$54</f>
        <v/>
      </c>
      <c r="P212" s="8">
        <f>P209*'Unit Economics'!$F$54</f>
        <v/>
      </c>
      <c r="Q212" s="8">
        <f>Q209*'Unit Economics'!$F$54</f>
        <v/>
      </c>
      <c r="R212" s="8">
        <f>R209*'Unit Economics'!$F$54</f>
        <v/>
      </c>
      <c r="S212" s="8">
        <f>S209*'Unit Economics'!$F$54</f>
        <v/>
      </c>
      <c r="T212" s="8">
        <f>T209*'Unit Economics'!$F$54</f>
        <v/>
      </c>
      <c r="U212" s="8">
        <f>U209*'Unit Economics'!$F$54</f>
        <v/>
      </c>
      <c r="V212" s="8">
        <f>V209*'Unit Economics'!$F$54</f>
        <v/>
      </c>
      <c r="W212" s="8">
        <f>W209*'Unit Economics'!$F$54</f>
        <v/>
      </c>
      <c r="X212" s="8">
        <f>X209*'Unit Economics'!$F$54</f>
        <v/>
      </c>
      <c r="Y212" s="8">
        <f>Y209*'Unit Economics'!$F$54</f>
        <v/>
      </c>
      <c r="Z212" s="8">
        <f>Z209*'Unit Economics'!$F$54</f>
        <v/>
      </c>
      <c r="AA212" s="8">
        <f>AA209*'Unit Economics'!$F$54</f>
        <v/>
      </c>
      <c r="AB212" s="8">
        <f>AB209*'Unit Economics'!$F$54</f>
        <v/>
      </c>
      <c r="AC212" s="8">
        <f>AC209*'Unit Economics'!$F$54</f>
        <v/>
      </c>
      <c r="AD212" s="8">
        <f>AD209*'Unit Economics'!$F$54</f>
        <v/>
      </c>
      <c r="AE212" s="8">
        <f>AE209*'Unit Economics'!$F$54</f>
        <v/>
      </c>
      <c r="AF212" s="8">
        <f>AF209*'Unit Economics'!$F$54</f>
        <v/>
      </c>
      <c r="AG212" s="8">
        <f>AG209*'Unit Economics'!$F$54</f>
        <v/>
      </c>
      <c r="AH212" s="8">
        <f>AH209*'Unit Economics'!$F$54</f>
        <v/>
      </c>
      <c r="AI212" s="8">
        <f>AI209*'Unit Economics'!$F$54</f>
        <v/>
      </c>
      <c r="AJ212" s="8">
        <f>AJ209*'Unit Economics'!$F$54</f>
        <v/>
      </c>
      <c r="AK212" s="8">
        <f>AK209*'Unit Economics'!$F$54</f>
        <v/>
      </c>
      <c r="AL212" s="8">
        <f>AL209*'Unit Economics'!$F$54</f>
        <v/>
      </c>
      <c r="AM212" s="47">
        <f>SUMIF($C$6:$AL$6,1,C212:AL212)</f>
        <v/>
      </c>
      <c r="AN212" s="47">
        <f>SUMIF($C$6:$AL$6,2,C212:AL212)</f>
        <v/>
      </c>
      <c r="AO212" s="47">
        <f>SUMIF($C$6:$AL$6,3,C212:AL212)</f>
        <v/>
      </c>
      <c r="AP212" s="47">
        <f>SUM(C212:AL212)</f>
        <v/>
      </c>
    </row>
    <row r="213">
      <c r="A213" s="5" t="inlineStr">
        <is>
          <t>Board book: pre-sale, then 3PL and Amazon FBA (gated option; off in base)</t>
        </is>
      </c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  <c r="AC213" s="6" t="n"/>
      <c r="AD213" s="6" t="n"/>
      <c r="AE213" s="6" t="n"/>
      <c r="AF213" s="6" t="n"/>
      <c r="AG213" s="6" t="n"/>
      <c r="AH213" s="6" t="n"/>
      <c r="AI213" s="6" t="n"/>
      <c r="AJ213" s="6" t="n"/>
      <c r="AK213" s="6" t="n"/>
      <c r="AL213" s="6" t="n"/>
      <c r="AM213" s="6" t="n"/>
      <c r="AN213" s="6" t="n"/>
      <c r="AO213" s="6" t="n"/>
      <c r="AP213" s="6" t="n"/>
    </row>
    <row r="214">
      <c r="A214" s="7" t="inlineStr">
        <is>
          <t xml:space="preserve">   Active (1 = live)</t>
        </is>
      </c>
      <c r="B214" s="9" t="inlineStr">
        <is>
          <t>flag</t>
        </is>
      </c>
      <c r="C214" s="18">
        <f>IF(AND('Assumptions'!$D$164=1,C$4&gt;=MAX('Assumptions'!$D$165,'Assumptions'!$C$9)),1,0)</f>
        <v/>
      </c>
      <c r="D214" s="18">
        <f>IF(AND('Assumptions'!$D$164=1,D$4&gt;=MAX('Assumptions'!$D$165,'Assumptions'!$C$9)),1,0)</f>
        <v/>
      </c>
      <c r="E214" s="18">
        <f>IF(AND('Assumptions'!$D$164=1,E$4&gt;=MAX('Assumptions'!$D$165,'Assumptions'!$C$9)),1,0)</f>
        <v/>
      </c>
      <c r="F214" s="18">
        <f>IF(AND('Assumptions'!$D$164=1,F$4&gt;=MAX('Assumptions'!$D$165,'Assumptions'!$C$9)),1,0)</f>
        <v/>
      </c>
      <c r="G214" s="18">
        <f>IF(AND('Assumptions'!$D$164=1,G$4&gt;=MAX('Assumptions'!$D$165,'Assumptions'!$C$9)),1,0)</f>
        <v/>
      </c>
      <c r="H214" s="18">
        <f>IF(AND('Assumptions'!$D$164=1,H$4&gt;=MAX('Assumptions'!$D$165,'Assumptions'!$C$9)),1,0)</f>
        <v/>
      </c>
      <c r="I214" s="18">
        <f>IF(AND('Assumptions'!$D$164=1,I$4&gt;=MAX('Assumptions'!$D$165,'Assumptions'!$C$9)),1,0)</f>
        <v/>
      </c>
      <c r="J214" s="18">
        <f>IF(AND('Assumptions'!$D$164=1,J$4&gt;=MAX('Assumptions'!$D$165,'Assumptions'!$C$9)),1,0)</f>
        <v/>
      </c>
      <c r="K214" s="18">
        <f>IF(AND('Assumptions'!$D$164=1,K$4&gt;=MAX('Assumptions'!$D$165,'Assumptions'!$C$9)),1,0)</f>
        <v/>
      </c>
      <c r="L214" s="18">
        <f>IF(AND('Assumptions'!$D$164=1,L$4&gt;=MAX('Assumptions'!$D$165,'Assumptions'!$C$9)),1,0)</f>
        <v/>
      </c>
      <c r="M214" s="18">
        <f>IF(AND('Assumptions'!$D$164=1,M$4&gt;=MAX('Assumptions'!$D$165,'Assumptions'!$C$9)),1,0)</f>
        <v/>
      </c>
      <c r="N214" s="18">
        <f>IF(AND('Assumptions'!$D$164=1,N$4&gt;=MAX('Assumptions'!$D$165,'Assumptions'!$C$9)),1,0)</f>
        <v/>
      </c>
      <c r="O214" s="18">
        <f>IF(AND('Assumptions'!$D$164=1,O$4&gt;=MAX('Assumptions'!$D$165,'Assumptions'!$C$9)),1,0)</f>
        <v/>
      </c>
      <c r="P214" s="18">
        <f>IF(AND('Assumptions'!$D$164=1,P$4&gt;=MAX('Assumptions'!$D$165,'Assumptions'!$C$9)),1,0)</f>
        <v/>
      </c>
      <c r="Q214" s="18">
        <f>IF(AND('Assumptions'!$D$164=1,Q$4&gt;=MAX('Assumptions'!$D$165,'Assumptions'!$C$9)),1,0)</f>
        <v/>
      </c>
      <c r="R214" s="18">
        <f>IF(AND('Assumptions'!$D$164=1,R$4&gt;=MAX('Assumptions'!$D$165,'Assumptions'!$C$9)),1,0)</f>
        <v/>
      </c>
      <c r="S214" s="18">
        <f>IF(AND('Assumptions'!$D$164=1,S$4&gt;=MAX('Assumptions'!$D$165,'Assumptions'!$C$9)),1,0)</f>
        <v/>
      </c>
      <c r="T214" s="18">
        <f>IF(AND('Assumptions'!$D$164=1,T$4&gt;=MAX('Assumptions'!$D$165,'Assumptions'!$C$9)),1,0)</f>
        <v/>
      </c>
      <c r="U214" s="18">
        <f>IF(AND('Assumptions'!$D$164=1,U$4&gt;=MAX('Assumptions'!$D$165,'Assumptions'!$C$9)),1,0)</f>
        <v/>
      </c>
      <c r="V214" s="18">
        <f>IF(AND('Assumptions'!$D$164=1,V$4&gt;=MAX('Assumptions'!$D$165,'Assumptions'!$C$9)),1,0)</f>
        <v/>
      </c>
      <c r="W214" s="18">
        <f>IF(AND('Assumptions'!$D$164=1,W$4&gt;=MAX('Assumptions'!$D$165,'Assumptions'!$C$9)),1,0)</f>
        <v/>
      </c>
      <c r="X214" s="18">
        <f>IF(AND('Assumptions'!$D$164=1,X$4&gt;=MAX('Assumptions'!$D$165,'Assumptions'!$C$9)),1,0)</f>
        <v/>
      </c>
      <c r="Y214" s="18">
        <f>IF(AND('Assumptions'!$D$164=1,Y$4&gt;=MAX('Assumptions'!$D$165,'Assumptions'!$C$9)),1,0)</f>
        <v/>
      </c>
      <c r="Z214" s="18">
        <f>IF(AND('Assumptions'!$D$164=1,Z$4&gt;=MAX('Assumptions'!$D$165,'Assumptions'!$C$9)),1,0)</f>
        <v/>
      </c>
      <c r="AA214" s="18">
        <f>IF(AND('Assumptions'!$D$164=1,AA$4&gt;=MAX('Assumptions'!$D$165,'Assumptions'!$C$9)),1,0)</f>
        <v/>
      </c>
      <c r="AB214" s="18">
        <f>IF(AND('Assumptions'!$D$164=1,AB$4&gt;=MAX('Assumptions'!$D$165,'Assumptions'!$C$9)),1,0)</f>
        <v/>
      </c>
      <c r="AC214" s="18">
        <f>IF(AND('Assumptions'!$D$164=1,AC$4&gt;=MAX('Assumptions'!$D$165,'Assumptions'!$C$9)),1,0)</f>
        <v/>
      </c>
      <c r="AD214" s="18">
        <f>IF(AND('Assumptions'!$D$164=1,AD$4&gt;=MAX('Assumptions'!$D$165,'Assumptions'!$C$9)),1,0)</f>
        <v/>
      </c>
      <c r="AE214" s="18">
        <f>IF(AND('Assumptions'!$D$164=1,AE$4&gt;=MAX('Assumptions'!$D$165,'Assumptions'!$C$9)),1,0)</f>
        <v/>
      </c>
      <c r="AF214" s="18">
        <f>IF(AND('Assumptions'!$D$164=1,AF$4&gt;=MAX('Assumptions'!$D$165,'Assumptions'!$C$9)),1,0)</f>
        <v/>
      </c>
      <c r="AG214" s="18">
        <f>IF(AND('Assumptions'!$D$164=1,AG$4&gt;=MAX('Assumptions'!$D$165,'Assumptions'!$C$9)),1,0)</f>
        <v/>
      </c>
      <c r="AH214" s="18">
        <f>IF(AND('Assumptions'!$D$164=1,AH$4&gt;=MAX('Assumptions'!$D$165,'Assumptions'!$C$9)),1,0)</f>
        <v/>
      </c>
      <c r="AI214" s="18">
        <f>IF(AND('Assumptions'!$D$164=1,AI$4&gt;=MAX('Assumptions'!$D$165,'Assumptions'!$C$9)),1,0)</f>
        <v/>
      </c>
      <c r="AJ214" s="18">
        <f>IF(AND('Assumptions'!$D$164=1,AJ$4&gt;=MAX('Assumptions'!$D$165,'Assumptions'!$C$9)),1,0)</f>
        <v/>
      </c>
      <c r="AK214" s="18">
        <f>IF(AND('Assumptions'!$D$164=1,AK$4&gt;=MAX('Assumptions'!$D$165,'Assumptions'!$C$9)),1,0)</f>
        <v/>
      </c>
      <c r="AL214" s="18">
        <f>IF(AND('Assumptions'!$D$164=1,AL$4&gt;=MAX('Assumptions'!$D$165,'Assumptions'!$C$9)),1,0)</f>
        <v/>
      </c>
    </row>
    <row r="215">
      <c r="A215" s="7" t="inlineStr">
        <is>
          <t xml:space="preserve">   Traffic trend (before seasonality)</t>
        </is>
      </c>
      <c r="B215" s="9" t="inlineStr">
        <is>
          <t>visits</t>
        </is>
      </c>
      <c r="C215" s="15">
        <f>IF(C214=0,0,'Assumptions'!$D$166)</f>
        <v/>
      </c>
      <c r="D215" s="15">
        <f>IF(D214=0,0,IF(D$4=MAX('Assumptions'!$D$165,'Assumptions'!$C$9),'Assumptions'!$D$166,C215*(1+CHOOSE(D$6,'Assumptions'!$D$167,'Assumptions'!$D$168,'Assumptions'!$D$169))))</f>
        <v/>
      </c>
      <c r="E215" s="15">
        <f>IF(E214=0,0,IF(E$4=MAX('Assumptions'!$D$165,'Assumptions'!$C$9),'Assumptions'!$D$166,D215*(1+CHOOSE(E$6,'Assumptions'!$D$167,'Assumptions'!$D$168,'Assumptions'!$D$169))))</f>
        <v/>
      </c>
      <c r="F215" s="15">
        <f>IF(F214=0,0,IF(F$4=MAX('Assumptions'!$D$165,'Assumptions'!$C$9),'Assumptions'!$D$166,E215*(1+CHOOSE(F$6,'Assumptions'!$D$167,'Assumptions'!$D$168,'Assumptions'!$D$169))))</f>
        <v/>
      </c>
      <c r="G215" s="15">
        <f>IF(G214=0,0,IF(G$4=MAX('Assumptions'!$D$165,'Assumptions'!$C$9),'Assumptions'!$D$166,F215*(1+CHOOSE(G$6,'Assumptions'!$D$167,'Assumptions'!$D$168,'Assumptions'!$D$169))))</f>
        <v/>
      </c>
      <c r="H215" s="15">
        <f>IF(H214=0,0,IF(H$4=MAX('Assumptions'!$D$165,'Assumptions'!$C$9),'Assumptions'!$D$166,G215*(1+CHOOSE(H$6,'Assumptions'!$D$167,'Assumptions'!$D$168,'Assumptions'!$D$169))))</f>
        <v/>
      </c>
      <c r="I215" s="15">
        <f>IF(I214=0,0,IF(I$4=MAX('Assumptions'!$D$165,'Assumptions'!$C$9),'Assumptions'!$D$166,H215*(1+CHOOSE(I$6,'Assumptions'!$D$167,'Assumptions'!$D$168,'Assumptions'!$D$169))))</f>
        <v/>
      </c>
      <c r="J215" s="15">
        <f>IF(J214=0,0,IF(J$4=MAX('Assumptions'!$D$165,'Assumptions'!$C$9),'Assumptions'!$D$166,I215*(1+CHOOSE(J$6,'Assumptions'!$D$167,'Assumptions'!$D$168,'Assumptions'!$D$169))))</f>
        <v/>
      </c>
      <c r="K215" s="15">
        <f>IF(K214=0,0,IF(K$4=MAX('Assumptions'!$D$165,'Assumptions'!$C$9),'Assumptions'!$D$166,J215*(1+CHOOSE(K$6,'Assumptions'!$D$167,'Assumptions'!$D$168,'Assumptions'!$D$169))))</f>
        <v/>
      </c>
      <c r="L215" s="15">
        <f>IF(L214=0,0,IF(L$4=MAX('Assumptions'!$D$165,'Assumptions'!$C$9),'Assumptions'!$D$166,K215*(1+CHOOSE(L$6,'Assumptions'!$D$167,'Assumptions'!$D$168,'Assumptions'!$D$169))))</f>
        <v/>
      </c>
      <c r="M215" s="15">
        <f>IF(M214=0,0,IF(M$4=MAX('Assumptions'!$D$165,'Assumptions'!$C$9),'Assumptions'!$D$166,L215*(1+CHOOSE(M$6,'Assumptions'!$D$167,'Assumptions'!$D$168,'Assumptions'!$D$169))))</f>
        <v/>
      </c>
      <c r="N215" s="15">
        <f>IF(N214=0,0,IF(N$4=MAX('Assumptions'!$D$165,'Assumptions'!$C$9),'Assumptions'!$D$166,M215*(1+CHOOSE(N$6,'Assumptions'!$D$167,'Assumptions'!$D$168,'Assumptions'!$D$169))))</f>
        <v/>
      </c>
      <c r="O215" s="15">
        <f>IF(O214=0,0,IF(O$4=MAX('Assumptions'!$D$165,'Assumptions'!$C$9),'Assumptions'!$D$166,N215*(1+CHOOSE(O$6,'Assumptions'!$D$167,'Assumptions'!$D$168,'Assumptions'!$D$169))))</f>
        <v/>
      </c>
      <c r="P215" s="15">
        <f>IF(P214=0,0,IF(P$4=MAX('Assumptions'!$D$165,'Assumptions'!$C$9),'Assumptions'!$D$166,O215*(1+CHOOSE(P$6,'Assumptions'!$D$167,'Assumptions'!$D$168,'Assumptions'!$D$169))))</f>
        <v/>
      </c>
      <c r="Q215" s="15">
        <f>IF(Q214=0,0,IF(Q$4=MAX('Assumptions'!$D$165,'Assumptions'!$C$9),'Assumptions'!$D$166,P215*(1+CHOOSE(Q$6,'Assumptions'!$D$167,'Assumptions'!$D$168,'Assumptions'!$D$169))))</f>
        <v/>
      </c>
      <c r="R215" s="15">
        <f>IF(R214=0,0,IF(R$4=MAX('Assumptions'!$D$165,'Assumptions'!$C$9),'Assumptions'!$D$166,Q215*(1+CHOOSE(R$6,'Assumptions'!$D$167,'Assumptions'!$D$168,'Assumptions'!$D$169))))</f>
        <v/>
      </c>
      <c r="S215" s="15">
        <f>IF(S214=0,0,IF(S$4=MAX('Assumptions'!$D$165,'Assumptions'!$C$9),'Assumptions'!$D$166,R215*(1+CHOOSE(S$6,'Assumptions'!$D$167,'Assumptions'!$D$168,'Assumptions'!$D$169))))</f>
        <v/>
      </c>
      <c r="T215" s="15">
        <f>IF(T214=0,0,IF(T$4=MAX('Assumptions'!$D$165,'Assumptions'!$C$9),'Assumptions'!$D$166,S215*(1+CHOOSE(T$6,'Assumptions'!$D$167,'Assumptions'!$D$168,'Assumptions'!$D$169))))</f>
        <v/>
      </c>
      <c r="U215" s="15">
        <f>IF(U214=0,0,IF(U$4=MAX('Assumptions'!$D$165,'Assumptions'!$C$9),'Assumptions'!$D$166,T215*(1+CHOOSE(U$6,'Assumptions'!$D$167,'Assumptions'!$D$168,'Assumptions'!$D$169))))</f>
        <v/>
      </c>
      <c r="V215" s="15">
        <f>IF(V214=0,0,IF(V$4=MAX('Assumptions'!$D$165,'Assumptions'!$C$9),'Assumptions'!$D$166,U215*(1+CHOOSE(V$6,'Assumptions'!$D$167,'Assumptions'!$D$168,'Assumptions'!$D$169))))</f>
        <v/>
      </c>
      <c r="W215" s="15">
        <f>IF(W214=0,0,IF(W$4=MAX('Assumptions'!$D$165,'Assumptions'!$C$9),'Assumptions'!$D$166,V215*(1+CHOOSE(W$6,'Assumptions'!$D$167,'Assumptions'!$D$168,'Assumptions'!$D$169))))</f>
        <v/>
      </c>
      <c r="X215" s="15">
        <f>IF(X214=0,0,IF(X$4=MAX('Assumptions'!$D$165,'Assumptions'!$C$9),'Assumptions'!$D$166,W215*(1+CHOOSE(X$6,'Assumptions'!$D$167,'Assumptions'!$D$168,'Assumptions'!$D$169))))</f>
        <v/>
      </c>
      <c r="Y215" s="15">
        <f>IF(Y214=0,0,IF(Y$4=MAX('Assumptions'!$D$165,'Assumptions'!$C$9),'Assumptions'!$D$166,X215*(1+CHOOSE(Y$6,'Assumptions'!$D$167,'Assumptions'!$D$168,'Assumptions'!$D$169))))</f>
        <v/>
      </c>
      <c r="Z215" s="15">
        <f>IF(Z214=0,0,IF(Z$4=MAX('Assumptions'!$D$165,'Assumptions'!$C$9),'Assumptions'!$D$166,Y215*(1+CHOOSE(Z$6,'Assumptions'!$D$167,'Assumptions'!$D$168,'Assumptions'!$D$169))))</f>
        <v/>
      </c>
      <c r="AA215" s="15">
        <f>IF(AA214=0,0,IF(AA$4=MAX('Assumptions'!$D$165,'Assumptions'!$C$9),'Assumptions'!$D$166,Z215*(1+CHOOSE(AA$6,'Assumptions'!$D$167,'Assumptions'!$D$168,'Assumptions'!$D$169))))</f>
        <v/>
      </c>
      <c r="AB215" s="15">
        <f>IF(AB214=0,0,IF(AB$4=MAX('Assumptions'!$D$165,'Assumptions'!$C$9),'Assumptions'!$D$166,AA215*(1+CHOOSE(AB$6,'Assumptions'!$D$167,'Assumptions'!$D$168,'Assumptions'!$D$169))))</f>
        <v/>
      </c>
      <c r="AC215" s="15">
        <f>IF(AC214=0,0,IF(AC$4=MAX('Assumptions'!$D$165,'Assumptions'!$C$9),'Assumptions'!$D$166,AB215*(1+CHOOSE(AC$6,'Assumptions'!$D$167,'Assumptions'!$D$168,'Assumptions'!$D$169))))</f>
        <v/>
      </c>
      <c r="AD215" s="15">
        <f>IF(AD214=0,0,IF(AD$4=MAX('Assumptions'!$D$165,'Assumptions'!$C$9),'Assumptions'!$D$166,AC215*(1+CHOOSE(AD$6,'Assumptions'!$D$167,'Assumptions'!$D$168,'Assumptions'!$D$169))))</f>
        <v/>
      </c>
      <c r="AE215" s="15">
        <f>IF(AE214=0,0,IF(AE$4=MAX('Assumptions'!$D$165,'Assumptions'!$C$9),'Assumptions'!$D$166,AD215*(1+CHOOSE(AE$6,'Assumptions'!$D$167,'Assumptions'!$D$168,'Assumptions'!$D$169))))</f>
        <v/>
      </c>
      <c r="AF215" s="15">
        <f>IF(AF214=0,0,IF(AF$4=MAX('Assumptions'!$D$165,'Assumptions'!$C$9),'Assumptions'!$D$166,AE215*(1+CHOOSE(AF$6,'Assumptions'!$D$167,'Assumptions'!$D$168,'Assumptions'!$D$169))))</f>
        <v/>
      </c>
      <c r="AG215" s="15">
        <f>IF(AG214=0,0,IF(AG$4=MAX('Assumptions'!$D$165,'Assumptions'!$C$9),'Assumptions'!$D$166,AF215*(1+CHOOSE(AG$6,'Assumptions'!$D$167,'Assumptions'!$D$168,'Assumptions'!$D$169))))</f>
        <v/>
      </c>
      <c r="AH215" s="15">
        <f>IF(AH214=0,0,IF(AH$4=MAX('Assumptions'!$D$165,'Assumptions'!$C$9),'Assumptions'!$D$166,AG215*(1+CHOOSE(AH$6,'Assumptions'!$D$167,'Assumptions'!$D$168,'Assumptions'!$D$169))))</f>
        <v/>
      </c>
      <c r="AI215" s="15">
        <f>IF(AI214=0,0,IF(AI$4=MAX('Assumptions'!$D$165,'Assumptions'!$C$9),'Assumptions'!$D$166,AH215*(1+CHOOSE(AI$6,'Assumptions'!$D$167,'Assumptions'!$D$168,'Assumptions'!$D$169))))</f>
        <v/>
      </c>
      <c r="AJ215" s="15">
        <f>IF(AJ214=0,0,IF(AJ$4=MAX('Assumptions'!$D$165,'Assumptions'!$C$9),'Assumptions'!$D$166,AI215*(1+CHOOSE(AJ$6,'Assumptions'!$D$167,'Assumptions'!$D$168,'Assumptions'!$D$169))))</f>
        <v/>
      </c>
      <c r="AK215" s="15">
        <f>IF(AK214=0,0,IF(AK$4=MAX('Assumptions'!$D$165,'Assumptions'!$C$9),'Assumptions'!$D$166,AJ215*(1+CHOOSE(AK$6,'Assumptions'!$D$167,'Assumptions'!$D$168,'Assumptions'!$D$169))))</f>
        <v/>
      </c>
      <c r="AL215" s="15">
        <f>IF(AL214=0,0,IF(AL$4=MAX('Assumptions'!$D$165,'Assumptions'!$C$9),'Assumptions'!$D$166,AK215*(1+CHOOSE(AL$6,'Assumptions'!$D$167,'Assumptions'!$D$168,'Assumptions'!$D$169))))</f>
        <v/>
      </c>
    </row>
    <row r="216">
      <c r="A216" s="7" t="inlineStr">
        <is>
          <t xml:space="preserve">   Product-page sessions (site + Amazon)</t>
        </is>
      </c>
      <c r="B216" s="9" t="inlineStr">
        <is>
          <t>visits</t>
        </is>
      </c>
      <c r="C216" s="58">
        <f>C215*C$7</f>
        <v/>
      </c>
      <c r="D216" s="58">
        <f>D215*D$7</f>
        <v/>
      </c>
      <c r="E216" s="58">
        <f>E215*E$7</f>
        <v/>
      </c>
      <c r="F216" s="58">
        <f>F215*F$7</f>
        <v/>
      </c>
      <c r="G216" s="58">
        <f>G215*G$7</f>
        <v/>
      </c>
      <c r="H216" s="58">
        <f>H215*H$7</f>
        <v/>
      </c>
      <c r="I216" s="58">
        <f>I215*I$7</f>
        <v/>
      </c>
      <c r="J216" s="58">
        <f>J215*J$7</f>
        <v/>
      </c>
      <c r="K216" s="58">
        <f>K215*K$7</f>
        <v/>
      </c>
      <c r="L216" s="58">
        <f>L215*L$7</f>
        <v/>
      </c>
      <c r="M216" s="58">
        <f>M215*M$7</f>
        <v/>
      </c>
      <c r="N216" s="58">
        <f>N215*N$7</f>
        <v/>
      </c>
      <c r="O216" s="58">
        <f>O215*O$7</f>
        <v/>
      </c>
      <c r="P216" s="58">
        <f>P215*P$7</f>
        <v/>
      </c>
      <c r="Q216" s="58">
        <f>Q215*Q$7</f>
        <v/>
      </c>
      <c r="R216" s="58">
        <f>R215*R$7</f>
        <v/>
      </c>
      <c r="S216" s="58">
        <f>S215*S$7</f>
        <v/>
      </c>
      <c r="T216" s="58">
        <f>T215*T$7</f>
        <v/>
      </c>
      <c r="U216" s="58">
        <f>U215*U$7</f>
        <v/>
      </c>
      <c r="V216" s="58">
        <f>V215*V$7</f>
        <v/>
      </c>
      <c r="W216" s="58">
        <f>W215*W$7</f>
        <v/>
      </c>
      <c r="X216" s="58">
        <f>X215*X$7</f>
        <v/>
      </c>
      <c r="Y216" s="58">
        <f>Y215*Y$7</f>
        <v/>
      </c>
      <c r="Z216" s="58">
        <f>Z215*Z$7</f>
        <v/>
      </c>
      <c r="AA216" s="58">
        <f>AA215*AA$7</f>
        <v/>
      </c>
      <c r="AB216" s="58">
        <f>AB215*AB$7</f>
        <v/>
      </c>
      <c r="AC216" s="58">
        <f>AC215*AC$7</f>
        <v/>
      </c>
      <c r="AD216" s="58">
        <f>AD215*AD$7</f>
        <v/>
      </c>
      <c r="AE216" s="58">
        <f>AE215*AE$7</f>
        <v/>
      </c>
      <c r="AF216" s="58">
        <f>AF215*AF$7</f>
        <v/>
      </c>
      <c r="AG216" s="58">
        <f>AG215*AG$7</f>
        <v/>
      </c>
      <c r="AH216" s="58">
        <f>AH215*AH$7</f>
        <v/>
      </c>
      <c r="AI216" s="58">
        <f>AI215*AI$7</f>
        <v/>
      </c>
      <c r="AJ216" s="58">
        <f>AJ215*AJ$7</f>
        <v/>
      </c>
      <c r="AK216" s="58">
        <f>AK215*AK$7</f>
        <v/>
      </c>
      <c r="AL216" s="58">
        <f>AL215*AL$7</f>
        <v/>
      </c>
      <c r="AM216" s="57">
        <f>SUMIF($C$6:$AL$6,1,C216:AL216)</f>
        <v/>
      </c>
      <c r="AN216" s="57">
        <f>SUMIF($C$6:$AL$6,2,C216:AL216)</f>
        <v/>
      </c>
      <c r="AO216" s="57">
        <f>SUMIF($C$6:$AL$6,3,C216:AL216)</f>
        <v/>
      </c>
      <c r="AP216" s="57">
        <f>SUM(C216:AL216)</f>
        <v/>
      </c>
    </row>
    <row r="217">
      <c r="A217" s="7" t="inlineStr">
        <is>
          <t xml:space="preserve">   Conversion rate (with review ramp)</t>
        </is>
      </c>
      <c r="B217" s="9" t="inlineStr">
        <is>
          <t>%</t>
        </is>
      </c>
      <c r="C217" s="59">
        <f>'Assumptions'!$D$170*MIN(1,(C$4-MAX('Assumptions'!$D$165,'Assumptions'!$C$9)+1)/'Assumptions'!$C$11)*C214</f>
        <v/>
      </c>
      <c r="D217" s="59">
        <f>'Assumptions'!$D$170*MIN(1,(D$4-MAX('Assumptions'!$D$165,'Assumptions'!$C$9)+1)/'Assumptions'!$C$11)*D214</f>
        <v/>
      </c>
      <c r="E217" s="59">
        <f>'Assumptions'!$D$170*MIN(1,(E$4-MAX('Assumptions'!$D$165,'Assumptions'!$C$9)+1)/'Assumptions'!$C$11)*E214</f>
        <v/>
      </c>
      <c r="F217" s="59">
        <f>'Assumptions'!$D$170*MIN(1,(F$4-MAX('Assumptions'!$D$165,'Assumptions'!$C$9)+1)/'Assumptions'!$C$11)*F214</f>
        <v/>
      </c>
      <c r="G217" s="59">
        <f>'Assumptions'!$D$170*MIN(1,(G$4-MAX('Assumptions'!$D$165,'Assumptions'!$C$9)+1)/'Assumptions'!$C$11)*G214</f>
        <v/>
      </c>
      <c r="H217" s="59">
        <f>'Assumptions'!$D$170*MIN(1,(H$4-MAX('Assumptions'!$D$165,'Assumptions'!$C$9)+1)/'Assumptions'!$C$11)*H214</f>
        <v/>
      </c>
      <c r="I217" s="59">
        <f>'Assumptions'!$D$170*MIN(1,(I$4-MAX('Assumptions'!$D$165,'Assumptions'!$C$9)+1)/'Assumptions'!$C$11)*I214</f>
        <v/>
      </c>
      <c r="J217" s="59">
        <f>'Assumptions'!$D$170*MIN(1,(J$4-MAX('Assumptions'!$D$165,'Assumptions'!$C$9)+1)/'Assumptions'!$C$11)*J214</f>
        <v/>
      </c>
      <c r="K217" s="59">
        <f>'Assumptions'!$D$170*MIN(1,(K$4-MAX('Assumptions'!$D$165,'Assumptions'!$C$9)+1)/'Assumptions'!$C$11)*K214</f>
        <v/>
      </c>
      <c r="L217" s="59">
        <f>'Assumptions'!$D$170*MIN(1,(L$4-MAX('Assumptions'!$D$165,'Assumptions'!$C$9)+1)/'Assumptions'!$C$11)*L214</f>
        <v/>
      </c>
      <c r="M217" s="59">
        <f>'Assumptions'!$D$170*MIN(1,(M$4-MAX('Assumptions'!$D$165,'Assumptions'!$C$9)+1)/'Assumptions'!$C$11)*M214</f>
        <v/>
      </c>
      <c r="N217" s="59">
        <f>'Assumptions'!$D$170*MIN(1,(N$4-MAX('Assumptions'!$D$165,'Assumptions'!$C$9)+1)/'Assumptions'!$C$11)*N214</f>
        <v/>
      </c>
      <c r="O217" s="59">
        <f>'Assumptions'!$D$170*MIN(1,(O$4-MAX('Assumptions'!$D$165,'Assumptions'!$C$9)+1)/'Assumptions'!$C$11)*O214</f>
        <v/>
      </c>
      <c r="P217" s="59">
        <f>'Assumptions'!$D$170*MIN(1,(P$4-MAX('Assumptions'!$D$165,'Assumptions'!$C$9)+1)/'Assumptions'!$C$11)*P214</f>
        <v/>
      </c>
      <c r="Q217" s="59">
        <f>'Assumptions'!$D$170*MIN(1,(Q$4-MAX('Assumptions'!$D$165,'Assumptions'!$C$9)+1)/'Assumptions'!$C$11)*Q214</f>
        <v/>
      </c>
      <c r="R217" s="59">
        <f>'Assumptions'!$D$170*MIN(1,(R$4-MAX('Assumptions'!$D$165,'Assumptions'!$C$9)+1)/'Assumptions'!$C$11)*R214</f>
        <v/>
      </c>
      <c r="S217" s="59">
        <f>'Assumptions'!$D$170*MIN(1,(S$4-MAX('Assumptions'!$D$165,'Assumptions'!$C$9)+1)/'Assumptions'!$C$11)*S214</f>
        <v/>
      </c>
      <c r="T217" s="59">
        <f>'Assumptions'!$D$170*MIN(1,(T$4-MAX('Assumptions'!$D$165,'Assumptions'!$C$9)+1)/'Assumptions'!$C$11)*T214</f>
        <v/>
      </c>
      <c r="U217" s="59">
        <f>'Assumptions'!$D$170*MIN(1,(U$4-MAX('Assumptions'!$D$165,'Assumptions'!$C$9)+1)/'Assumptions'!$C$11)*U214</f>
        <v/>
      </c>
      <c r="V217" s="59">
        <f>'Assumptions'!$D$170*MIN(1,(V$4-MAX('Assumptions'!$D$165,'Assumptions'!$C$9)+1)/'Assumptions'!$C$11)*V214</f>
        <v/>
      </c>
      <c r="W217" s="59">
        <f>'Assumptions'!$D$170*MIN(1,(W$4-MAX('Assumptions'!$D$165,'Assumptions'!$C$9)+1)/'Assumptions'!$C$11)*W214</f>
        <v/>
      </c>
      <c r="X217" s="59">
        <f>'Assumptions'!$D$170*MIN(1,(X$4-MAX('Assumptions'!$D$165,'Assumptions'!$C$9)+1)/'Assumptions'!$C$11)*X214</f>
        <v/>
      </c>
      <c r="Y217" s="59">
        <f>'Assumptions'!$D$170*MIN(1,(Y$4-MAX('Assumptions'!$D$165,'Assumptions'!$C$9)+1)/'Assumptions'!$C$11)*Y214</f>
        <v/>
      </c>
      <c r="Z217" s="59">
        <f>'Assumptions'!$D$170*MIN(1,(Z$4-MAX('Assumptions'!$D$165,'Assumptions'!$C$9)+1)/'Assumptions'!$C$11)*Z214</f>
        <v/>
      </c>
      <c r="AA217" s="59">
        <f>'Assumptions'!$D$170*MIN(1,(AA$4-MAX('Assumptions'!$D$165,'Assumptions'!$C$9)+1)/'Assumptions'!$C$11)*AA214</f>
        <v/>
      </c>
      <c r="AB217" s="59">
        <f>'Assumptions'!$D$170*MIN(1,(AB$4-MAX('Assumptions'!$D$165,'Assumptions'!$C$9)+1)/'Assumptions'!$C$11)*AB214</f>
        <v/>
      </c>
      <c r="AC217" s="59">
        <f>'Assumptions'!$D$170*MIN(1,(AC$4-MAX('Assumptions'!$D$165,'Assumptions'!$C$9)+1)/'Assumptions'!$C$11)*AC214</f>
        <v/>
      </c>
      <c r="AD217" s="59">
        <f>'Assumptions'!$D$170*MIN(1,(AD$4-MAX('Assumptions'!$D$165,'Assumptions'!$C$9)+1)/'Assumptions'!$C$11)*AD214</f>
        <v/>
      </c>
      <c r="AE217" s="59">
        <f>'Assumptions'!$D$170*MIN(1,(AE$4-MAX('Assumptions'!$D$165,'Assumptions'!$C$9)+1)/'Assumptions'!$C$11)*AE214</f>
        <v/>
      </c>
      <c r="AF217" s="59">
        <f>'Assumptions'!$D$170*MIN(1,(AF$4-MAX('Assumptions'!$D$165,'Assumptions'!$C$9)+1)/'Assumptions'!$C$11)*AF214</f>
        <v/>
      </c>
      <c r="AG217" s="59">
        <f>'Assumptions'!$D$170*MIN(1,(AG$4-MAX('Assumptions'!$D$165,'Assumptions'!$C$9)+1)/'Assumptions'!$C$11)*AG214</f>
        <v/>
      </c>
      <c r="AH217" s="59">
        <f>'Assumptions'!$D$170*MIN(1,(AH$4-MAX('Assumptions'!$D$165,'Assumptions'!$C$9)+1)/'Assumptions'!$C$11)*AH214</f>
        <v/>
      </c>
      <c r="AI217" s="59">
        <f>'Assumptions'!$D$170*MIN(1,(AI$4-MAX('Assumptions'!$D$165,'Assumptions'!$C$9)+1)/'Assumptions'!$C$11)*AI214</f>
        <v/>
      </c>
      <c r="AJ217" s="59">
        <f>'Assumptions'!$D$170*MIN(1,(AJ$4-MAX('Assumptions'!$D$165,'Assumptions'!$C$9)+1)/'Assumptions'!$C$11)*AJ214</f>
        <v/>
      </c>
      <c r="AK217" s="59">
        <f>'Assumptions'!$D$170*MIN(1,(AK$4-MAX('Assumptions'!$D$165,'Assumptions'!$C$9)+1)/'Assumptions'!$C$11)*AK214</f>
        <v/>
      </c>
      <c r="AL217" s="59">
        <f>'Assumptions'!$D$170*MIN(1,(AL$4-MAX('Assumptions'!$D$165,'Assumptions'!$C$9)+1)/'Assumptions'!$C$11)*AL214</f>
        <v/>
      </c>
    </row>
    <row r="218">
      <c r="A218" s="7" t="inlineStr">
        <is>
          <t xml:space="preserve">   Orders recognized (x go flag; a missed pre-sale is refunded)</t>
        </is>
      </c>
      <c r="B218" s="9" t="inlineStr">
        <is>
          <t>orders</t>
        </is>
      </c>
      <c r="C218" s="56">
        <f>C216*C217*$B$148</f>
        <v/>
      </c>
      <c r="D218" s="56">
        <f>D216*D217*$B$148</f>
        <v/>
      </c>
      <c r="E218" s="56">
        <f>E216*E217*$B$148</f>
        <v/>
      </c>
      <c r="F218" s="56">
        <f>F216*F217*$B$148</f>
        <v/>
      </c>
      <c r="G218" s="56">
        <f>G216*G217*$B$148</f>
        <v/>
      </c>
      <c r="H218" s="56">
        <f>H216*H217*$B$148</f>
        <v/>
      </c>
      <c r="I218" s="56">
        <f>I216*I217*$B$148</f>
        <v/>
      </c>
      <c r="J218" s="56">
        <f>J216*J217*$B$148</f>
        <v/>
      </c>
      <c r="K218" s="56">
        <f>K216*K217*$B$148</f>
        <v/>
      </c>
      <c r="L218" s="56">
        <f>L216*L217*$B$148</f>
        <v/>
      </c>
      <c r="M218" s="56">
        <f>M216*M217*$B$148</f>
        <v/>
      </c>
      <c r="N218" s="56">
        <f>N216*N217*$B$148</f>
        <v/>
      </c>
      <c r="O218" s="56">
        <f>O216*O217*$B$148</f>
        <v/>
      </c>
      <c r="P218" s="56">
        <f>P216*P217*$B$148</f>
        <v/>
      </c>
      <c r="Q218" s="56">
        <f>Q216*Q217*$B$148</f>
        <v/>
      </c>
      <c r="R218" s="56">
        <f>R216*R217*$B$148</f>
        <v/>
      </c>
      <c r="S218" s="56">
        <f>S216*S217*$B$148</f>
        <v/>
      </c>
      <c r="T218" s="56">
        <f>T216*T217*$B$148</f>
        <v/>
      </c>
      <c r="U218" s="56">
        <f>U216*U217*$B$148</f>
        <v/>
      </c>
      <c r="V218" s="56">
        <f>V216*V217*$B$148</f>
        <v/>
      </c>
      <c r="W218" s="56">
        <f>W216*W217*$B$148</f>
        <v/>
      </c>
      <c r="X218" s="56">
        <f>X216*X217*$B$148</f>
        <v/>
      </c>
      <c r="Y218" s="56">
        <f>Y216*Y217*$B$148</f>
        <v/>
      </c>
      <c r="Z218" s="56">
        <f>Z216*Z217*$B$148</f>
        <v/>
      </c>
      <c r="AA218" s="56">
        <f>AA216*AA217*$B$148</f>
        <v/>
      </c>
      <c r="AB218" s="56">
        <f>AB216*AB217*$B$148</f>
        <v/>
      </c>
      <c r="AC218" s="56">
        <f>AC216*AC217*$B$148</f>
        <v/>
      </c>
      <c r="AD218" s="56">
        <f>AD216*AD217*$B$148</f>
        <v/>
      </c>
      <c r="AE218" s="56">
        <f>AE216*AE217*$B$148</f>
        <v/>
      </c>
      <c r="AF218" s="56">
        <f>AF216*AF217*$B$148</f>
        <v/>
      </c>
      <c r="AG218" s="56">
        <f>AG216*AG217*$B$148</f>
        <v/>
      </c>
      <c r="AH218" s="56">
        <f>AH216*AH217*$B$148</f>
        <v/>
      </c>
      <c r="AI218" s="56">
        <f>AI216*AI217*$B$148</f>
        <v/>
      </c>
      <c r="AJ218" s="56">
        <f>AJ216*AJ217*$B$148</f>
        <v/>
      </c>
      <c r="AK218" s="56">
        <f>AK216*AK217*$B$148</f>
        <v/>
      </c>
      <c r="AL218" s="56">
        <f>AL216*AL217*$B$148</f>
        <v/>
      </c>
      <c r="AM218" s="57">
        <f>SUMIF($C$6:$AL$6,1,C218:AL218)</f>
        <v/>
      </c>
      <c r="AN218" s="57">
        <f>SUMIF($C$6:$AL$6,2,C218:AL218)</f>
        <v/>
      </c>
      <c r="AO218" s="57">
        <f>SUMIF($C$6:$AL$6,3,C218:AL218)</f>
        <v/>
      </c>
      <c r="AP218" s="57">
        <f>SUM(C218:AL218)</f>
        <v/>
      </c>
    </row>
    <row r="219">
      <c r="A219" s="7" t="inlineStr">
        <is>
          <t xml:space="preserve">   Items sold</t>
        </is>
      </c>
      <c r="B219" s="9" t="inlineStr">
        <is>
          <t>items</t>
        </is>
      </c>
      <c r="C219" s="14">
        <f>C218*'Assumptions'!$D$171</f>
        <v/>
      </c>
      <c r="D219" s="14">
        <f>D218*'Assumptions'!$D$171</f>
        <v/>
      </c>
      <c r="E219" s="14">
        <f>E218*'Assumptions'!$D$171</f>
        <v/>
      </c>
      <c r="F219" s="14">
        <f>F218*'Assumptions'!$D$171</f>
        <v/>
      </c>
      <c r="G219" s="14">
        <f>G218*'Assumptions'!$D$171</f>
        <v/>
      </c>
      <c r="H219" s="14">
        <f>H218*'Assumptions'!$D$171</f>
        <v/>
      </c>
      <c r="I219" s="14">
        <f>I218*'Assumptions'!$D$171</f>
        <v/>
      </c>
      <c r="J219" s="14">
        <f>J218*'Assumptions'!$D$171</f>
        <v/>
      </c>
      <c r="K219" s="14">
        <f>K218*'Assumptions'!$D$171</f>
        <v/>
      </c>
      <c r="L219" s="14">
        <f>L218*'Assumptions'!$D$171</f>
        <v/>
      </c>
      <c r="M219" s="14">
        <f>M218*'Assumptions'!$D$171</f>
        <v/>
      </c>
      <c r="N219" s="14">
        <f>N218*'Assumptions'!$D$171</f>
        <v/>
      </c>
      <c r="O219" s="14">
        <f>O218*'Assumptions'!$D$171</f>
        <v/>
      </c>
      <c r="P219" s="14">
        <f>P218*'Assumptions'!$D$171</f>
        <v/>
      </c>
      <c r="Q219" s="14">
        <f>Q218*'Assumptions'!$D$171</f>
        <v/>
      </c>
      <c r="R219" s="14">
        <f>R218*'Assumptions'!$D$171</f>
        <v/>
      </c>
      <c r="S219" s="14">
        <f>S218*'Assumptions'!$D$171</f>
        <v/>
      </c>
      <c r="T219" s="14">
        <f>T218*'Assumptions'!$D$171</f>
        <v/>
      </c>
      <c r="U219" s="14">
        <f>U218*'Assumptions'!$D$171</f>
        <v/>
      </c>
      <c r="V219" s="14">
        <f>V218*'Assumptions'!$D$171</f>
        <v/>
      </c>
      <c r="W219" s="14">
        <f>W218*'Assumptions'!$D$171</f>
        <v/>
      </c>
      <c r="X219" s="14">
        <f>X218*'Assumptions'!$D$171</f>
        <v/>
      </c>
      <c r="Y219" s="14">
        <f>Y218*'Assumptions'!$D$171</f>
        <v/>
      </c>
      <c r="Z219" s="14">
        <f>Z218*'Assumptions'!$D$171</f>
        <v/>
      </c>
      <c r="AA219" s="14">
        <f>AA218*'Assumptions'!$D$171</f>
        <v/>
      </c>
      <c r="AB219" s="14">
        <f>AB218*'Assumptions'!$D$171</f>
        <v/>
      </c>
      <c r="AC219" s="14">
        <f>AC218*'Assumptions'!$D$171</f>
        <v/>
      </c>
      <c r="AD219" s="14">
        <f>AD218*'Assumptions'!$D$171</f>
        <v/>
      </c>
      <c r="AE219" s="14">
        <f>AE218*'Assumptions'!$D$171</f>
        <v/>
      </c>
      <c r="AF219" s="14">
        <f>AF218*'Assumptions'!$D$171</f>
        <v/>
      </c>
      <c r="AG219" s="14">
        <f>AG218*'Assumptions'!$D$171</f>
        <v/>
      </c>
      <c r="AH219" s="14">
        <f>AH218*'Assumptions'!$D$171</f>
        <v/>
      </c>
      <c r="AI219" s="14">
        <f>AI218*'Assumptions'!$D$171</f>
        <v/>
      </c>
      <c r="AJ219" s="14">
        <f>AJ218*'Assumptions'!$D$171</f>
        <v/>
      </c>
      <c r="AK219" s="14">
        <f>AK218*'Assumptions'!$D$171</f>
        <v/>
      </c>
      <c r="AL219" s="14">
        <f>AL218*'Assumptions'!$D$171</f>
        <v/>
      </c>
      <c r="AM219" s="57">
        <f>SUMIF($C$6:$AL$6,1,C219:AL219)</f>
        <v/>
      </c>
      <c r="AN219" s="57">
        <f>SUMIF($C$6:$AL$6,2,C219:AL219)</f>
        <v/>
      </c>
      <c r="AO219" s="57">
        <f>SUMIF($C$6:$AL$6,3,C219:AL219)</f>
        <v/>
      </c>
      <c r="AP219" s="57">
        <f>SUM(C219:AL219)</f>
        <v/>
      </c>
    </row>
    <row r="220">
      <c r="A220" s="7" t="inlineStr">
        <is>
          <t xml:space="preserve">   Average order value</t>
        </is>
      </c>
      <c r="B220" s="9" t="inlineStr">
        <is>
          <t>$</t>
        </is>
      </c>
      <c r="C220" s="16">
        <f>'Unit Economics'!$E$55*'Assumptions'!$D$171*C214</f>
        <v/>
      </c>
      <c r="D220" s="16">
        <f>'Unit Economics'!$E$55*'Assumptions'!$D$171*D214</f>
        <v/>
      </c>
      <c r="E220" s="16">
        <f>'Unit Economics'!$E$55*'Assumptions'!$D$171*E214</f>
        <v/>
      </c>
      <c r="F220" s="16">
        <f>'Unit Economics'!$E$55*'Assumptions'!$D$171*F214</f>
        <v/>
      </c>
      <c r="G220" s="16">
        <f>'Unit Economics'!$E$55*'Assumptions'!$D$171*G214</f>
        <v/>
      </c>
      <c r="H220" s="16">
        <f>'Unit Economics'!$E$55*'Assumptions'!$D$171*H214</f>
        <v/>
      </c>
      <c r="I220" s="16">
        <f>'Unit Economics'!$E$55*'Assumptions'!$D$171*I214</f>
        <v/>
      </c>
      <c r="J220" s="16">
        <f>'Unit Economics'!$E$55*'Assumptions'!$D$171*J214</f>
        <v/>
      </c>
      <c r="K220" s="16">
        <f>'Unit Economics'!$E$55*'Assumptions'!$D$171*K214</f>
        <v/>
      </c>
      <c r="L220" s="16">
        <f>'Unit Economics'!$E$55*'Assumptions'!$D$171*L214</f>
        <v/>
      </c>
      <c r="M220" s="16">
        <f>'Unit Economics'!$E$55*'Assumptions'!$D$171*M214</f>
        <v/>
      </c>
      <c r="N220" s="16">
        <f>'Unit Economics'!$E$55*'Assumptions'!$D$171*N214</f>
        <v/>
      </c>
      <c r="O220" s="16">
        <f>'Unit Economics'!$E$55*'Assumptions'!$D$171*O214</f>
        <v/>
      </c>
      <c r="P220" s="16">
        <f>'Unit Economics'!$E$55*'Assumptions'!$D$171*P214</f>
        <v/>
      </c>
      <c r="Q220" s="16">
        <f>'Unit Economics'!$E$55*'Assumptions'!$D$171*Q214</f>
        <v/>
      </c>
      <c r="R220" s="16">
        <f>'Unit Economics'!$E$55*'Assumptions'!$D$171*R214</f>
        <v/>
      </c>
      <c r="S220" s="16">
        <f>'Unit Economics'!$E$55*'Assumptions'!$D$171*S214</f>
        <v/>
      </c>
      <c r="T220" s="16">
        <f>'Unit Economics'!$E$55*'Assumptions'!$D$171*T214</f>
        <v/>
      </c>
      <c r="U220" s="16">
        <f>'Unit Economics'!$E$55*'Assumptions'!$D$171*U214</f>
        <v/>
      </c>
      <c r="V220" s="16">
        <f>'Unit Economics'!$E$55*'Assumptions'!$D$171*V214</f>
        <v/>
      </c>
      <c r="W220" s="16">
        <f>'Unit Economics'!$E$55*'Assumptions'!$D$171*W214</f>
        <v/>
      </c>
      <c r="X220" s="16">
        <f>'Unit Economics'!$E$55*'Assumptions'!$D$171*X214</f>
        <v/>
      </c>
      <c r="Y220" s="16">
        <f>'Unit Economics'!$E$55*'Assumptions'!$D$171*Y214</f>
        <v/>
      </c>
      <c r="Z220" s="16">
        <f>'Unit Economics'!$E$55*'Assumptions'!$D$171*Z214</f>
        <v/>
      </c>
      <c r="AA220" s="16">
        <f>'Unit Economics'!$E$55*'Assumptions'!$D$171*AA214</f>
        <v/>
      </c>
      <c r="AB220" s="16">
        <f>'Unit Economics'!$E$55*'Assumptions'!$D$171*AB214</f>
        <v/>
      </c>
      <c r="AC220" s="16">
        <f>'Unit Economics'!$E$55*'Assumptions'!$D$171*AC214</f>
        <v/>
      </c>
      <c r="AD220" s="16">
        <f>'Unit Economics'!$E$55*'Assumptions'!$D$171*AD214</f>
        <v/>
      </c>
      <c r="AE220" s="16">
        <f>'Unit Economics'!$E$55*'Assumptions'!$D$171*AE214</f>
        <v/>
      </c>
      <c r="AF220" s="16">
        <f>'Unit Economics'!$E$55*'Assumptions'!$D$171*AF214</f>
        <v/>
      </c>
      <c r="AG220" s="16">
        <f>'Unit Economics'!$E$55*'Assumptions'!$D$171*AG214</f>
        <v/>
      </c>
      <c r="AH220" s="16">
        <f>'Unit Economics'!$E$55*'Assumptions'!$D$171*AH214</f>
        <v/>
      </c>
      <c r="AI220" s="16">
        <f>'Unit Economics'!$E$55*'Assumptions'!$D$171*AI214</f>
        <v/>
      </c>
      <c r="AJ220" s="16">
        <f>'Unit Economics'!$E$55*'Assumptions'!$D$171*AJ214</f>
        <v/>
      </c>
      <c r="AK220" s="16">
        <f>'Unit Economics'!$E$55*'Assumptions'!$D$171*AK214</f>
        <v/>
      </c>
      <c r="AL220" s="16">
        <f>'Unit Economics'!$E$55*'Assumptions'!$D$171*AL214</f>
        <v/>
      </c>
    </row>
    <row r="221">
      <c r="A221" s="7" t="inlineStr">
        <is>
          <t xml:space="preserve">   Gross sales (price paid by customers)</t>
        </is>
      </c>
      <c r="B221" s="9" t="inlineStr">
        <is>
          <t>$</t>
        </is>
      </c>
      <c r="C221" s="8">
        <f>C219*'Unit Economics'!$E$55</f>
        <v/>
      </c>
      <c r="D221" s="8">
        <f>D219*'Unit Economics'!$E$55</f>
        <v/>
      </c>
      <c r="E221" s="8">
        <f>E219*'Unit Economics'!$E$55</f>
        <v/>
      </c>
      <c r="F221" s="8">
        <f>F219*'Unit Economics'!$E$55</f>
        <v/>
      </c>
      <c r="G221" s="8">
        <f>G219*'Unit Economics'!$E$55</f>
        <v/>
      </c>
      <c r="H221" s="8">
        <f>H219*'Unit Economics'!$E$55</f>
        <v/>
      </c>
      <c r="I221" s="8">
        <f>I219*'Unit Economics'!$E$55</f>
        <v/>
      </c>
      <c r="J221" s="8">
        <f>J219*'Unit Economics'!$E$55</f>
        <v/>
      </c>
      <c r="K221" s="8">
        <f>K219*'Unit Economics'!$E$55</f>
        <v/>
      </c>
      <c r="L221" s="8">
        <f>L219*'Unit Economics'!$E$55</f>
        <v/>
      </c>
      <c r="M221" s="8">
        <f>M219*'Unit Economics'!$E$55</f>
        <v/>
      </c>
      <c r="N221" s="8">
        <f>N219*'Unit Economics'!$E$55</f>
        <v/>
      </c>
      <c r="O221" s="8">
        <f>O219*'Unit Economics'!$E$55</f>
        <v/>
      </c>
      <c r="P221" s="8">
        <f>P219*'Unit Economics'!$E$55</f>
        <v/>
      </c>
      <c r="Q221" s="8">
        <f>Q219*'Unit Economics'!$E$55</f>
        <v/>
      </c>
      <c r="R221" s="8">
        <f>R219*'Unit Economics'!$E$55</f>
        <v/>
      </c>
      <c r="S221" s="8">
        <f>S219*'Unit Economics'!$E$55</f>
        <v/>
      </c>
      <c r="T221" s="8">
        <f>T219*'Unit Economics'!$E$55</f>
        <v/>
      </c>
      <c r="U221" s="8">
        <f>U219*'Unit Economics'!$E$55</f>
        <v/>
      </c>
      <c r="V221" s="8">
        <f>V219*'Unit Economics'!$E$55</f>
        <v/>
      </c>
      <c r="W221" s="8">
        <f>W219*'Unit Economics'!$E$55</f>
        <v/>
      </c>
      <c r="X221" s="8">
        <f>X219*'Unit Economics'!$E$55</f>
        <v/>
      </c>
      <c r="Y221" s="8">
        <f>Y219*'Unit Economics'!$E$55</f>
        <v/>
      </c>
      <c r="Z221" s="8">
        <f>Z219*'Unit Economics'!$E$55</f>
        <v/>
      </c>
      <c r="AA221" s="8">
        <f>AA219*'Unit Economics'!$E$55</f>
        <v/>
      </c>
      <c r="AB221" s="8">
        <f>AB219*'Unit Economics'!$E$55</f>
        <v/>
      </c>
      <c r="AC221" s="8">
        <f>AC219*'Unit Economics'!$E$55</f>
        <v/>
      </c>
      <c r="AD221" s="8">
        <f>AD219*'Unit Economics'!$E$55</f>
        <v/>
      </c>
      <c r="AE221" s="8">
        <f>AE219*'Unit Economics'!$E$55</f>
        <v/>
      </c>
      <c r="AF221" s="8">
        <f>AF219*'Unit Economics'!$E$55</f>
        <v/>
      </c>
      <c r="AG221" s="8">
        <f>AG219*'Unit Economics'!$E$55</f>
        <v/>
      </c>
      <c r="AH221" s="8">
        <f>AH219*'Unit Economics'!$E$55</f>
        <v/>
      </c>
      <c r="AI221" s="8">
        <f>AI219*'Unit Economics'!$E$55</f>
        <v/>
      </c>
      <c r="AJ221" s="8">
        <f>AJ219*'Unit Economics'!$E$55</f>
        <v/>
      </c>
      <c r="AK221" s="8">
        <f>AK219*'Unit Economics'!$E$55</f>
        <v/>
      </c>
      <c r="AL221" s="8">
        <f>AL219*'Unit Economics'!$E$55</f>
        <v/>
      </c>
      <c r="AM221" s="47">
        <f>SUMIF($C$6:$AL$6,1,C221:AL221)</f>
        <v/>
      </c>
      <c r="AN221" s="47">
        <f>SUMIF($C$6:$AL$6,2,C221:AL221)</f>
        <v/>
      </c>
      <c r="AO221" s="47">
        <f>SUMIF($C$6:$AL$6,3,C221:AL221)</f>
        <v/>
      </c>
      <c r="AP221" s="47">
        <f>SUM(C221:AL221)</f>
        <v/>
      </c>
    </row>
    <row r="222">
      <c r="A222" s="7" t="inlineStr">
        <is>
          <t xml:space="preserve">   Net contribution to AlphaPlay</t>
        </is>
      </c>
      <c r="B222" s="9" t="inlineStr">
        <is>
          <t>$</t>
        </is>
      </c>
      <c r="C222" s="8">
        <f>C219*IF(C$4&lt;$B$145,'Unit Economics'!$M$36,'Unit Economics'!$F$55)</f>
        <v/>
      </c>
      <c r="D222" s="8">
        <f>D219*IF(D$4&lt;$B$145,'Unit Economics'!$M$36,'Unit Economics'!$F$55)</f>
        <v/>
      </c>
      <c r="E222" s="8">
        <f>E219*IF(E$4&lt;$B$145,'Unit Economics'!$M$36,'Unit Economics'!$F$55)</f>
        <v/>
      </c>
      <c r="F222" s="8">
        <f>F219*IF(F$4&lt;$B$145,'Unit Economics'!$M$36,'Unit Economics'!$F$55)</f>
        <v/>
      </c>
      <c r="G222" s="8">
        <f>G219*IF(G$4&lt;$B$145,'Unit Economics'!$M$36,'Unit Economics'!$F$55)</f>
        <v/>
      </c>
      <c r="H222" s="8">
        <f>H219*IF(H$4&lt;$B$145,'Unit Economics'!$M$36,'Unit Economics'!$F$55)</f>
        <v/>
      </c>
      <c r="I222" s="8">
        <f>I219*IF(I$4&lt;$B$145,'Unit Economics'!$M$36,'Unit Economics'!$F$55)</f>
        <v/>
      </c>
      <c r="J222" s="8">
        <f>J219*IF(J$4&lt;$B$145,'Unit Economics'!$M$36,'Unit Economics'!$F$55)</f>
        <v/>
      </c>
      <c r="K222" s="8">
        <f>K219*IF(K$4&lt;$B$145,'Unit Economics'!$M$36,'Unit Economics'!$F$55)</f>
        <v/>
      </c>
      <c r="L222" s="8">
        <f>L219*IF(L$4&lt;$B$145,'Unit Economics'!$M$36,'Unit Economics'!$F$55)</f>
        <v/>
      </c>
      <c r="M222" s="8">
        <f>M219*IF(M$4&lt;$B$145,'Unit Economics'!$M$36,'Unit Economics'!$F$55)</f>
        <v/>
      </c>
      <c r="N222" s="8">
        <f>N219*IF(N$4&lt;$B$145,'Unit Economics'!$M$36,'Unit Economics'!$F$55)</f>
        <v/>
      </c>
      <c r="O222" s="8">
        <f>O219*IF(O$4&lt;$B$145,'Unit Economics'!$M$36,'Unit Economics'!$F$55)</f>
        <v/>
      </c>
      <c r="P222" s="8">
        <f>P219*IF(P$4&lt;$B$145,'Unit Economics'!$M$36,'Unit Economics'!$F$55)</f>
        <v/>
      </c>
      <c r="Q222" s="8">
        <f>Q219*IF(Q$4&lt;$B$145,'Unit Economics'!$M$36,'Unit Economics'!$F$55)</f>
        <v/>
      </c>
      <c r="R222" s="8">
        <f>R219*IF(R$4&lt;$B$145,'Unit Economics'!$M$36,'Unit Economics'!$F$55)</f>
        <v/>
      </c>
      <c r="S222" s="8">
        <f>S219*IF(S$4&lt;$B$145,'Unit Economics'!$M$36,'Unit Economics'!$F$55)</f>
        <v/>
      </c>
      <c r="T222" s="8">
        <f>T219*IF(T$4&lt;$B$145,'Unit Economics'!$M$36,'Unit Economics'!$F$55)</f>
        <v/>
      </c>
      <c r="U222" s="8">
        <f>U219*IF(U$4&lt;$B$145,'Unit Economics'!$M$36,'Unit Economics'!$F$55)</f>
        <v/>
      </c>
      <c r="V222" s="8">
        <f>V219*IF(V$4&lt;$B$145,'Unit Economics'!$M$36,'Unit Economics'!$F$55)</f>
        <v/>
      </c>
      <c r="W222" s="8">
        <f>W219*IF(W$4&lt;$B$145,'Unit Economics'!$M$36,'Unit Economics'!$F$55)</f>
        <v/>
      </c>
      <c r="X222" s="8">
        <f>X219*IF(X$4&lt;$B$145,'Unit Economics'!$M$36,'Unit Economics'!$F$55)</f>
        <v/>
      </c>
      <c r="Y222" s="8">
        <f>Y219*IF(Y$4&lt;$B$145,'Unit Economics'!$M$36,'Unit Economics'!$F$55)</f>
        <v/>
      </c>
      <c r="Z222" s="8">
        <f>Z219*IF(Z$4&lt;$B$145,'Unit Economics'!$M$36,'Unit Economics'!$F$55)</f>
        <v/>
      </c>
      <c r="AA222" s="8">
        <f>AA219*IF(AA$4&lt;$B$145,'Unit Economics'!$M$36,'Unit Economics'!$F$55)</f>
        <v/>
      </c>
      <c r="AB222" s="8">
        <f>AB219*IF(AB$4&lt;$B$145,'Unit Economics'!$M$36,'Unit Economics'!$F$55)</f>
        <v/>
      </c>
      <c r="AC222" s="8">
        <f>AC219*IF(AC$4&lt;$B$145,'Unit Economics'!$M$36,'Unit Economics'!$F$55)</f>
        <v/>
      </c>
      <c r="AD222" s="8">
        <f>AD219*IF(AD$4&lt;$B$145,'Unit Economics'!$M$36,'Unit Economics'!$F$55)</f>
        <v/>
      </c>
      <c r="AE222" s="8">
        <f>AE219*IF(AE$4&lt;$B$145,'Unit Economics'!$M$36,'Unit Economics'!$F$55)</f>
        <v/>
      </c>
      <c r="AF222" s="8">
        <f>AF219*IF(AF$4&lt;$B$145,'Unit Economics'!$M$36,'Unit Economics'!$F$55)</f>
        <v/>
      </c>
      <c r="AG222" s="8">
        <f>AG219*IF(AG$4&lt;$B$145,'Unit Economics'!$M$36,'Unit Economics'!$F$55)</f>
        <v/>
      </c>
      <c r="AH222" s="8">
        <f>AH219*IF(AH$4&lt;$B$145,'Unit Economics'!$M$36,'Unit Economics'!$F$55)</f>
        <v/>
      </c>
      <c r="AI222" s="8">
        <f>AI219*IF(AI$4&lt;$B$145,'Unit Economics'!$M$36,'Unit Economics'!$F$55)</f>
        <v/>
      </c>
      <c r="AJ222" s="8">
        <f>AJ219*IF(AJ$4&lt;$B$145,'Unit Economics'!$M$36,'Unit Economics'!$F$55)</f>
        <v/>
      </c>
      <c r="AK222" s="8">
        <f>AK219*IF(AK$4&lt;$B$145,'Unit Economics'!$M$36,'Unit Economics'!$F$55)</f>
        <v/>
      </c>
      <c r="AL222" s="8">
        <f>AL219*IF(AL$4&lt;$B$145,'Unit Economics'!$M$36,'Unit Economics'!$F$55)</f>
        <v/>
      </c>
      <c r="AM222" s="47">
        <f>SUMIF($C$6:$AL$6,1,C222:AL222)</f>
        <v/>
      </c>
      <c r="AN222" s="47">
        <f>SUMIF($C$6:$AL$6,2,C222:AL222)</f>
        <v/>
      </c>
      <c r="AO222" s="47">
        <f>SUMIF($C$6:$AL$6,3,C222:AL222)</f>
        <v/>
      </c>
      <c r="AP222" s="47">
        <f>SUM(C222:AL222)</f>
        <v/>
      </c>
    </row>
    <row r="223">
      <c r="A223" s="7" t="inlineStr">
        <is>
          <t xml:space="preserve">   Items ordered (demand before the go / no-go test)</t>
        </is>
      </c>
      <c r="B223" s="9" t="inlineStr">
        <is>
          <t>items</t>
        </is>
      </c>
      <c r="C223" s="14">
        <f>C216*C217*'Assumptions'!$D$171</f>
        <v/>
      </c>
      <c r="D223" s="14">
        <f>D216*D217*'Assumptions'!$D$171</f>
        <v/>
      </c>
      <c r="E223" s="14">
        <f>E216*E217*'Assumptions'!$D$171</f>
        <v/>
      </c>
      <c r="F223" s="14">
        <f>F216*F217*'Assumptions'!$D$171</f>
        <v/>
      </c>
      <c r="G223" s="14">
        <f>G216*G217*'Assumptions'!$D$171</f>
        <v/>
      </c>
      <c r="H223" s="14">
        <f>H216*H217*'Assumptions'!$D$171</f>
        <v/>
      </c>
      <c r="I223" s="14">
        <f>I216*I217*'Assumptions'!$D$171</f>
        <v/>
      </c>
      <c r="J223" s="14">
        <f>J216*J217*'Assumptions'!$D$171</f>
        <v/>
      </c>
      <c r="K223" s="14">
        <f>K216*K217*'Assumptions'!$D$171</f>
        <v/>
      </c>
      <c r="L223" s="14">
        <f>L216*L217*'Assumptions'!$D$171</f>
        <v/>
      </c>
      <c r="M223" s="14">
        <f>M216*M217*'Assumptions'!$D$171</f>
        <v/>
      </c>
      <c r="N223" s="14">
        <f>N216*N217*'Assumptions'!$D$171</f>
        <v/>
      </c>
      <c r="O223" s="14">
        <f>O216*O217*'Assumptions'!$D$171</f>
        <v/>
      </c>
      <c r="P223" s="14">
        <f>P216*P217*'Assumptions'!$D$171</f>
        <v/>
      </c>
      <c r="Q223" s="14">
        <f>Q216*Q217*'Assumptions'!$D$171</f>
        <v/>
      </c>
      <c r="R223" s="14">
        <f>R216*R217*'Assumptions'!$D$171</f>
        <v/>
      </c>
      <c r="S223" s="14">
        <f>S216*S217*'Assumptions'!$D$171</f>
        <v/>
      </c>
      <c r="T223" s="14">
        <f>T216*T217*'Assumptions'!$D$171</f>
        <v/>
      </c>
      <c r="U223" s="14">
        <f>U216*U217*'Assumptions'!$D$171</f>
        <v/>
      </c>
      <c r="V223" s="14">
        <f>V216*V217*'Assumptions'!$D$171</f>
        <v/>
      </c>
      <c r="W223" s="14">
        <f>W216*W217*'Assumptions'!$D$171</f>
        <v/>
      </c>
      <c r="X223" s="14">
        <f>X216*X217*'Assumptions'!$D$171</f>
        <v/>
      </c>
      <c r="Y223" s="14">
        <f>Y216*Y217*'Assumptions'!$D$171</f>
        <v/>
      </c>
      <c r="Z223" s="14">
        <f>Z216*Z217*'Assumptions'!$D$171</f>
        <v/>
      </c>
      <c r="AA223" s="14">
        <f>AA216*AA217*'Assumptions'!$D$171</f>
        <v/>
      </c>
      <c r="AB223" s="14">
        <f>AB216*AB217*'Assumptions'!$D$171</f>
        <v/>
      </c>
      <c r="AC223" s="14">
        <f>AC216*AC217*'Assumptions'!$D$171</f>
        <v/>
      </c>
      <c r="AD223" s="14">
        <f>AD216*AD217*'Assumptions'!$D$171</f>
        <v/>
      </c>
      <c r="AE223" s="14">
        <f>AE216*AE217*'Assumptions'!$D$171</f>
        <v/>
      </c>
      <c r="AF223" s="14">
        <f>AF216*AF217*'Assumptions'!$D$171</f>
        <v/>
      </c>
      <c r="AG223" s="14">
        <f>AG216*AG217*'Assumptions'!$D$171</f>
        <v/>
      </c>
      <c r="AH223" s="14">
        <f>AH216*AH217*'Assumptions'!$D$171</f>
        <v/>
      </c>
      <c r="AI223" s="14">
        <f>AI216*AI217*'Assumptions'!$D$171</f>
        <v/>
      </c>
      <c r="AJ223" s="14">
        <f>AJ216*AJ217*'Assumptions'!$D$171</f>
        <v/>
      </c>
      <c r="AK223" s="14">
        <f>AK216*AK217*'Assumptions'!$D$171</f>
        <v/>
      </c>
      <c r="AL223" s="14">
        <f>AL216*AL217*'Assumptions'!$D$171</f>
        <v/>
      </c>
      <c r="AM223" s="57">
        <f>SUMIF($C$6:$AL$6,1,C223:AL223)</f>
        <v/>
      </c>
      <c r="AN223" s="57">
        <f>SUMIF($C$6:$AL$6,2,C223:AL223)</f>
        <v/>
      </c>
      <c r="AO223" s="57">
        <f>SUMIF($C$6:$AL$6,3,C223:AL223)</f>
        <v/>
      </c>
      <c r="AP223" s="57">
        <f>SUM(C223:AL223)</f>
        <v/>
      </c>
    </row>
    <row r="224">
      <c r="A224" s="5" t="inlineStr">
        <is>
          <t>School and group licenses + TPT (overlay only if counsel clears in writing; off in base)</t>
        </is>
      </c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  <c r="AC224" s="6" t="n"/>
      <c r="AD224" s="6" t="n"/>
      <c r="AE224" s="6" t="n"/>
      <c r="AF224" s="6" t="n"/>
      <c r="AG224" s="6" t="n"/>
      <c r="AH224" s="6" t="n"/>
      <c r="AI224" s="6" t="n"/>
      <c r="AJ224" s="6" t="n"/>
      <c r="AK224" s="6" t="n"/>
      <c r="AL224" s="6" t="n"/>
      <c r="AM224" s="6" t="n"/>
      <c r="AN224" s="6" t="n"/>
      <c r="AO224" s="6" t="n"/>
      <c r="AP224" s="6" t="n"/>
    </row>
    <row r="225">
      <c r="A225" s="7" t="inlineStr">
        <is>
          <t xml:space="preserve">   Active (1 = live)</t>
        </is>
      </c>
      <c r="B225" s="9" t="inlineStr">
        <is>
          <t>flag</t>
        </is>
      </c>
      <c r="C225" s="18">
        <f>IF(AND('Assumptions'!$D$173=1,C$4&gt;=MAX('Assumptions'!$D$174,'Assumptions'!$C$9)),1,0)</f>
        <v/>
      </c>
      <c r="D225" s="18">
        <f>IF(AND('Assumptions'!$D$173=1,D$4&gt;=MAX('Assumptions'!$D$174,'Assumptions'!$C$9)),1,0)</f>
        <v/>
      </c>
      <c r="E225" s="18">
        <f>IF(AND('Assumptions'!$D$173=1,E$4&gt;=MAX('Assumptions'!$D$174,'Assumptions'!$C$9)),1,0)</f>
        <v/>
      </c>
      <c r="F225" s="18">
        <f>IF(AND('Assumptions'!$D$173=1,F$4&gt;=MAX('Assumptions'!$D$174,'Assumptions'!$C$9)),1,0)</f>
        <v/>
      </c>
      <c r="G225" s="18">
        <f>IF(AND('Assumptions'!$D$173=1,G$4&gt;=MAX('Assumptions'!$D$174,'Assumptions'!$C$9)),1,0)</f>
        <v/>
      </c>
      <c r="H225" s="18">
        <f>IF(AND('Assumptions'!$D$173=1,H$4&gt;=MAX('Assumptions'!$D$174,'Assumptions'!$C$9)),1,0)</f>
        <v/>
      </c>
      <c r="I225" s="18">
        <f>IF(AND('Assumptions'!$D$173=1,I$4&gt;=MAX('Assumptions'!$D$174,'Assumptions'!$C$9)),1,0)</f>
        <v/>
      </c>
      <c r="J225" s="18">
        <f>IF(AND('Assumptions'!$D$173=1,J$4&gt;=MAX('Assumptions'!$D$174,'Assumptions'!$C$9)),1,0)</f>
        <v/>
      </c>
      <c r="K225" s="18">
        <f>IF(AND('Assumptions'!$D$173=1,K$4&gt;=MAX('Assumptions'!$D$174,'Assumptions'!$C$9)),1,0)</f>
        <v/>
      </c>
      <c r="L225" s="18">
        <f>IF(AND('Assumptions'!$D$173=1,L$4&gt;=MAX('Assumptions'!$D$174,'Assumptions'!$C$9)),1,0)</f>
        <v/>
      </c>
      <c r="M225" s="18">
        <f>IF(AND('Assumptions'!$D$173=1,M$4&gt;=MAX('Assumptions'!$D$174,'Assumptions'!$C$9)),1,0)</f>
        <v/>
      </c>
      <c r="N225" s="18">
        <f>IF(AND('Assumptions'!$D$173=1,N$4&gt;=MAX('Assumptions'!$D$174,'Assumptions'!$C$9)),1,0)</f>
        <v/>
      </c>
      <c r="O225" s="18">
        <f>IF(AND('Assumptions'!$D$173=1,O$4&gt;=MAX('Assumptions'!$D$174,'Assumptions'!$C$9)),1,0)</f>
        <v/>
      </c>
      <c r="P225" s="18">
        <f>IF(AND('Assumptions'!$D$173=1,P$4&gt;=MAX('Assumptions'!$D$174,'Assumptions'!$C$9)),1,0)</f>
        <v/>
      </c>
      <c r="Q225" s="18">
        <f>IF(AND('Assumptions'!$D$173=1,Q$4&gt;=MAX('Assumptions'!$D$174,'Assumptions'!$C$9)),1,0)</f>
        <v/>
      </c>
      <c r="R225" s="18">
        <f>IF(AND('Assumptions'!$D$173=1,R$4&gt;=MAX('Assumptions'!$D$174,'Assumptions'!$C$9)),1,0)</f>
        <v/>
      </c>
      <c r="S225" s="18">
        <f>IF(AND('Assumptions'!$D$173=1,S$4&gt;=MAX('Assumptions'!$D$174,'Assumptions'!$C$9)),1,0)</f>
        <v/>
      </c>
      <c r="T225" s="18">
        <f>IF(AND('Assumptions'!$D$173=1,T$4&gt;=MAX('Assumptions'!$D$174,'Assumptions'!$C$9)),1,0)</f>
        <v/>
      </c>
      <c r="U225" s="18">
        <f>IF(AND('Assumptions'!$D$173=1,U$4&gt;=MAX('Assumptions'!$D$174,'Assumptions'!$C$9)),1,0)</f>
        <v/>
      </c>
      <c r="V225" s="18">
        <f>IF(AND('Assumptions'!$D$173=1,V$4&gt;=MAX('Assumptions'!$D$174,'Assumptions'!$C$9)),1,0)</f>
        <v/>
      </c>
      <c r="W225" s="18">
        <f>IF(AND('Assumptions'!$D$173=1,W$4&gt;=MAX('Assumptions'!$D$174,'Assumptions'!$C$9)),1,0)</f>
        <v/>
      </c>
      <c r="X225" s="18">
        <f>IF(AND('Assumptions'!$D$173=1,X$4&gt;=MAX('Assumptions'!$D$174,'Assumptions'!$C$9)),1,0)</f>
        <v/>
      </c>
      <c r="Y225" s="18">
        <f>IF(AND('Assumptions'!$D$173=1,Y$4&gt;=MAX('Assumptions'!$D$174,'Assumptions'!$C$9)),1,0)</f>
        <v/>
      </c>
      <c r="Z225" s="18">
        <f>IF(AND('Assumptions'!$D$173=1,Z$4&gt;=MAX('Assumptions'!$D$174,'Assumptions'!$C$9)),1,0)</f>
        <v/>
      </c>
      <c r="AA225" s="18">
        <f>IF(AND('Assumptions'!$D$173=1,AA$4&gt;=MAX('Assumptions'!$D$174,'Assumptions'!$C$9)),1,0)</f>
        <v/>
      </c>
      <c r="AB225" s="18">
        <f>IF(AND('Assumptions'!$D$173=1,AB$4&gt;=MAX('Assumptions'!$D$174,'Assumptions'!$C$9)),1,0)</f>
        <v/>
      </c>
      <c r="AC225" s="18">
        <f>IF(AND('Assumptions'!$D$173=1,AC$4&gt;=MAX('Assumptions'!$D$174,'Assumptions'!$C$9)),1,0)</f>
        <v/>
      </c>
      <c r="AD225" s="18">
        <f>IF(AND('Assumptions'!$D$173=1,AD$4&gt;=MAX('Assumptions'!$D$174,'Assumptions'!$C$9)),1,0)</f>
        <v/>
      </c>
      <c r="AE225" s="18">
        <f>IF(AND('Assumptions'!$D$173=1,AE$4&gt;=MAX('Assumptions'!$D$174,'Assumptions'!$C$9)),1,0)</f>
        <v/>
      </c>
      <c r="AF225" s="18">
        <f>IF(AND('Assumptions'!$D$173=1,AF$4&gt;=MAX('Assumptions'!$D$174,'Assumptions'!$C$9)),1,0)</f>
        <v/>
      </c>
      <c r="AG225" s="18">
        <f>IF(AND('Assumptions'!$D$173=1,AG$4&gt;=MAX('Assumptions'!$D$174,'Assumptions'!$C$9)),1,0)</f>
        <v/>
      </c>
      <c r="AH225" s="18">
        <f>IF(AND('Assumptions'!$D$173=1,AH$4&gt;=MAX('Assumptions'!$D$174,'Assumptions'!$C$9)),1,0)</f>
        <v/>
      </c>
      <c r="AI225" s="18">
        <f>IF(AND('Assumptions'!$D$173=1,AI$4&gt;=MAX('Assumptions'!$D$174,'Assumptions'!$C$9)),1,0)</f>
        <v/>
      </c>
      <c r="AJ225" s="18">
        <f>IF(AND('Assumptions'!$D$173=1,AJ$4&gt;=MAX('Assumptions'!$D$174,'Assumptions'!$C$9)),1,0)</f>
        <v/>
      </c>
      <c r="AK225" s="18">
        <f>IF(AND('Assumptions'!$D$173=1,AK$4&gt;=MAX('Assumptions'!$D$174,'Assumptions'!$C$9)),1,0)</f>
        <v/>
      </c>
      <c r="AL225" s="18">
        <f>IF(AND('Assumptions'!$D$173=1,AL$4&gt;=MAX('Assumptions'!$D$174,'Assumptions'!$C$9)),1,0)</f>
        <v/>
      </c>
    </row>
    <row r="226">
      <c r="A226" s="7" t="inlineStr">
        <is>
          <t xml:space="preserve">   Traffic trend (before seasonality)</t>
        </is>
      </c>
      <c r="B226" s="9" t="inlineStr">
        <is>
          <t>visits</t>
        </is>
      </c>
      <c r="C226" s="15">
        <f>IF(C225=0,0,'Assumptions'!$D$175)</f>
        <v/>
      </c>
      <c r="D226" s="15">
        <f>IF(D225=0,0,IF(D$4=MAX('Assumptions'!$D$174,'Assumptions'!$C$9),'Assumptions'!$D$175,C226*(1+CHOOSE(D$6,'Assumptions'!$D$176,'Assumptions'!$D$177,'Assumptions'!$D$178))))</f>
        <v/>
      </c>
      <c r="E226" s="15">
        <f>IF(E225=0,0,IF(E$4=MAX('Assumptions'!$D$174,'Assumptions'!$C$9),'Assumptions'!$D$175,D226*(1+CHOOSE(E$6,'Assumptions'!$D$176,'Assumptions'!$D$177,'Assumptions'!$D$178))))</f>
        <v/>
      </c>
      <c r="F226" s="15">
        <f>IF(F225=0,0,IF(F$4=MAX('Assumptions'!$D$174,'Assumptions'!$C$9),'Assumptions'!$D$175,E226*(1+CHOOSE(F$6,'Assumptions'!$D$176,'Assumptions'!$D$177,'Assumptions'!$D$178))))</f>
        <v/>
      </c>
      <c r="G226" s="15">
        <f>IF(G225=0,0,IF(G$4=MAX('Assumptions'!$D$174,'Assumptions'!$C$9),'Assumptions'!$D$175,F226*(1+CHOOSE(G$6,'Assumptions'!$D$176,'Assumptions'!$D$177,'Assumptions'!$D$178))))</f>
        <v/>
      </c>
      <c r="H226" s="15">
        <f>IF(H225=0,0,IF(H$4=MAX('Assumptions'!$D$174,'Assumptions'!$C$9),'Assumptions'!$D$175,G226*(1+CHOOSE(H$6,'Assumptions'!$D$176,'Assumptions'!$D$177,'Assumptions'!$D$178))))</f>
        <v/>
      </c>
      <c r="I226" s="15">
        <f>IF(I225=0,0,IF(I$4=MAX('Assumptions'!$D$174,'Assumptions'!$C$9),'Assumptions'!$D$175,H226*(1+CHOOSE(I$6,'Assumptions'!$D$176,'Assumptions'!$D$177,'Assumptions'!$D$178))))</f>
        <v/>
      </c>
      <c r="J226" s="15">
        <f>IF(J225=0,0,IF(J$4=MAX('Assumptions'!$D$174,'Assumptions'!$C$9),'Assumptions'!$D$175,I226*(1+CHOOSE(J$6,'Assumptions'!$D$176,'Assumptions'!$D$177,'Assumptions'!$D$178))))</f>
        <v/>
      </c>
      <c r="K226" s="15">
        <f>IF(K225=0,0,IF(K$4=MAX('Assumptions'!$D$174,'Assumptions'!$C$9),'Assumptions'!$D$175,J226*(1+CHOOSE(K$6,'Assumptions'!$D$176,'Assumptions'!$D$177,'Assumptions'!$D$178))))</f>
        <v/>
      </c>
      <c r="L226" s="15">
        <f>IF(L225=0,0,IF(L$4=MAX('Assumptions'!$D$174,'Assumptions'!$C$9),'Assumptions'!$D$175,K226*(1+CHOOSE(L$6,'Assumptions'!$D$176,'Assumptions'!$D$177,'Assumptions'!$D$178))))</f>
        <v/>
      </c>
      <c r="M226" s="15">
        <f>IF(M225=0,0,IF(M$4=MAX('Assumptions'!$D$174,'Assumptions'!$C$9),'Assumptions'!$D$175,L226*(1+CHOOSE(M$6,'Assumptions'!$D$176,'Assumptions'!$D$177,'Assumptions'!$D$178))))</f>
        <v/>
      </c>
      <c r="N226" s="15">
        <f>IF(N225=0,0,IF(N$4=MAX('Assumptions'!$D$174,'Assumptions'!$C$9),'Assumptions'!$D$175,M226*(1+CHOOSE(N$6,'Assumptions'!$D$176,'Assumptions'!$D$177,'Assumptions'!$D$178))))</f>
        <v/>
      </c>
      <c r="O226" s="15">
        <f>IF(O225=0,0,IF(O$4=MAX('Assumptions'!$D$174,'Assumptions'!$C$9),'Assumptions'!$D$175,N226*(1+CHOOSE(O$6,'Assumptions'!$D$176,'Assumptions'!$D$177,'Assumptions'!$D$178))))</f>
        <v/>
      </c>
      <c r="P226" s="15">
        <f>IF(P225=0,0,IF(P$4=MAX('Assumptions'!$D$174,'Assumptions'!$C$9),'Assumptions'!$D$175,O226*(1+CHOOSE(P$6,'Assumptions'!$D$176,'Assumptions'!$D$177,'Assumptions'!$D$178))))</f>
        <v/>
      </c>
      <c r="Q226" s="15">
        <f>IF(Q225=0,0,IF(Q$4=MAX('Assumptions'!$D$174,'Assumptions'!$C$9),'Assumptions'!$D$175,P226*(1+CHOOSE(Q$6,'Assumptions'!$D$176,'Assumptions'!$D$177,'Assumptions'!$D$178))))</f>
        <v/>
      </c>
      <c r="R226" s="15">
        <f>IF(R225=0,0,IF(R$4=MAX('Assumptions'!$D$174,'Assumptions'!$C$9),'Assumptions'!$D$175,Q226*(1+CHOOSE(R$6,'Assumptions'!$D$176,'Assumptions'!$D$177,'Assumptions'!$D$178))))</f>
        <v/>
      </c>
      <c r="S226" s="15">
        <f>IF(S225=0,0,IF(S$4=MAX('Assumptions'!$D$174,'Assumptions'!$C$9),'Assumptions'!$D$175,R226*(1+CHOOSE(S$6,'Assumptions'!$D$176,'Assumptions'!$D$177,'Assumptions'!$D$178))))</f>
        <v/>
      </c>
      <c r="T226" s="15">
        <f>IF(T225=0,0,IF(T$4=MAX('Assumptions'!$D$174,'Assumptions'!$C$9),'Assumptions'!$D$175,S226*(1+CHOOSE(T$6,'Assumptions'!$D$176,'Assumptions'!$D$177,'Assumptions'!$D$178))))</f>
        <v/>
      </c>
      <c r="U226" s="15">
        <f>IF(U225=0,0,IF(U$4=MAX('Assumptions'!$D$174,'Assumptions'!$C$9),'Assumptions'!$D$175,T226*(1+CHOOSE(U$6,'Assumptions'!$D$176,'Assumptions'!$D$177,'Assumptions'!$D$178))))</f>
        <v/>
      </c>
      <c r="V226" s="15">
        <f>IF(V225=0,0,IF(V$4=MAX('Assumptions'!$D$174,'Assumptions'!$C$9),'Assumptions'!$D$175,U226*(1+CHOOSE(V$6,'Assumptions'!$D$176,'Assumptions'!$D$177,'Assumptions'!$D$178))))</f>
        <v/>
      </c>
      <c r="W226" s="15">
        <f>IF(W225=0,0,IF(W$4=MAX('Assumptions'!$D$174,'Assumptions'!$C$9),'Assumptions'!$D$175,V226*(1+CHOOSE(W$6,'Assumptions'!$D$176,'Assumptions'!$D$177,'Assumptions'!$D$178))))</f>
        <v/>
      </c>
      <c r="X226" s="15">
        <f>IF(X225=0,0,IF(X$4=MAX('Assumptions'!$D$174,'Assumptions'!$C$9),'Assumptions'!$D$175,W226*(1+CHOOSE(X$6,'Assumptions'!$D$176,'Assumptions'!$D$177,'Assumptions'!$D$178))))</f>
        <v/>
      </c>
      <c r="Y226" s="15">
        <f>IF(Y225=0,0,IF(Y$4=MAX('Assumptions'!$D$174,'Assumptions'!$C$9),'Assumptions'!$D$175,X226*(1+CHOOSE(Y$6,'Assumptions'!$D$176,'Assumptions'!$D$177,'Assumptions'!$D$178))))</f>
        <v/>
      </c>
      <c r="Z226" s="15">
        <f>IF(Z225=0,0,IF(Z$4=MAX('Assumptions'!$D$174,'Assumptions'!$C$9),'Assumptions'!$D$175,Y226*(1+CHOOSE(Z$6,'Assumptions'!$D$176,'Assumptions'!$D$177,'Assumptions'!$D$178))))</f>
        <v/>
      </c>
      <c r="AA226" s="15">
        <f>IF(AA225=0,0,IF(AA$4=MAX('Assumptions'!$D$174,'Assumptions'!$C$9),'Assumptions'!$D$175,Z226*(1+CHOOSE(AA$6,'Assumptions'!$D$176,'Assumptions'!$D$177,'Assumptions'!$D$178))))</f>
        <v/>
      </c>
      <c r="AB226" s="15">
        <f>IF(AB225=0,0,IF(AB$4=MAX('Assumptions'!$D$174,'Assumptions'!$C$9),'Assumptions'!$D$175,AA226*(1+CHOOSE(AB$6,'Assumptions'!$D$176,'Assumptions'!$D$177,'Assumptions'!$D$178))))</f>
        <v/>
      </c>
      <c r="AC226" s="15">
        <f>IF(AC225=0,0,IF(AC$4=MAX('Assumptions'!$D$174,'Assumptions'!$C$9),'Assumptions'!$D$175,AB226*(1+CHOOSE(AC$6,'Assumptions'!$D$176,'Assumptions'!$D$177,'Assumptions'!$D$178))))</f>
        <v/>
      </c>
      <c r="AD226" s="15">
        <f>IF(AD225=0,0,IF(AD$4=MAX('Assumptions'!$D$174,'Assumptions'!$C$9),'Assumptions'!$D$175,AC226*(1+CHOOSE(AD$6,'Assumptions'!$D$176,'Assumptions'!$D$177,'Assumptions'!$D$178))))</f>
        <v/>
      </c>
      <c r="AE226" s="15">
        <f>IF(AE225=0,0,IF(AE$4=MAX('Assumptions'!$D$174,'Assumptions'!$C$9),'Assumptions'!$D$175,AD226*(1+CHOOSE(AE$6,'Assumptions'!$D$176,'Assumptions'!$D$177,'Assumptions'!$D$178))))</f>
        <v/>
      </c>
      <c r="AF226" s="15">
        <f>IF(AF225=0,0,IF(AF$4=MAX('Assumptions'!$D$174,'Assumptions'!$C$9),'Assumptions'!$D$175,AE226*(1+CHOOSE(AF$6,'Assumptions'!$D$176,'Assumptions'!$D$177,'Assumptions'!$D$178))))</f>
        <v/>
      </c>
      <c r="AG226" s="15">
        <f>IF(AG225=0,0,IF(AG$4=MAX('Assumptions'!$D$174,'Assumptions'!$C$9),'Assumptions'!$D$175,AF226*(1+CHOOSE(AG$6,'Assumptions'!$D$176,'Assumptions'!$D$177,'Assumptions'!$D$178))))</f>
        <v/>
      </c>
      <c r="AH226" s="15">
        <f>IF(AH225=0,0,IF(AH$4=MAX('Assumptions'!$D$174,'Assumptions'!$C$9),'Assumptions'!$D$175,AG226*(1+CHOOSE(AH$6,'Assumptions'!$D$176,'Assumptions'!$D$177,'Assumptions'!$D$178))))</f>
        <v/>
      </c>
      <c r="AI226" s="15">
        <f>IF(AI225=0,0,IF(AI$4=MAX('Assumptions'!$D$174,'Assumptions'!$C$9),'Assumptions'!$D$175,AH226*(1+CHOOSE(AI$6,'Assumptions'!$D$176,'Assumptions'!$D$177,'Assumptions'!$D$178))))</f>
        <v/>
      </c>
      <c r="AJ226" s="15">
        <f>IF(AJ225=0,0,IF(AJ$4=MAX('Assumptions'!$D$174,'Assumptions'!$C$9),'Assumptions'!$D$175,AI226*(1+CHOOSE(AJ$6,'Assumptions'!$D$176,'Assumptions'!$D$177,'Assumptions'!$D$178))))</f>
        <v/>
      </c>
      <c r="AK226" s="15">
        <f>IF(AK225=0,0,IF(AK$4=MAX('Assumptions'!$D$174,'Assumptions'!$C$9),'Assumptions'!$D$175,AJ226*(1+CHOOSE(AK$6,'Assumptions'!$D$176,'Assumptions'!$D$177,'Assumptions'!$D$178))))</f>
        <v/>
      </c>
      <c r="AL226" s="15">
        <f>IF(AL225=0,0,IF(AL$4=MAX('Assumptions'!$D$174,'Assumptions'!$C$9),'Assumptions'!$D$175,AK226*(1+CHOOSE(AL$6,'Assumptions'!$D$176,'Assumptions'!$D$177,'Assumptions'!$D$178))))</f>
        <v/>
      </c>
    </row>
    <row r="227">
      <c r="A227" s="7" t="inlineStr">
        <is>
          <t xml:space="preserve">   Schools/orgs page + TPT views</t>
        </is>
      </c>
      <c r="B227" s="9" t="inlineStr">
        <is>
          <t>visits</t>
        </is>
      </c>
      <c r="C227" s="58">
        <f>C226*C$8</f>
        <v/>
      </c>
      <c r="D227" s="58">
        <f>D226*D$8</f>
        <v/>
      </c>
      <c r="E227" s="58">
        <f>E226*E$8</f>
        <v/>
      </c>
      <c r="F227" s="58">
        <f>F226*F$8</f>
        <v/>
      </c>
      <c r="G227" s="58">
        <f>G226*G$8</f>
        <v/>
      </c>
      <c r="H227" s="58">
        <f>H226*H$8</f>
        <v/>
      </c>
      <c r="I227" s="58">
        <f>I226*I$8</f>
        <v/>
      </c>
      <c r="J227" s="58">
        <f>J226*J$8</f>
        <v/>
      </c>
      <c r="K227" s="58">
        <f>K226*K$8</f>
        <v/>
      </c>
      <c r="L227" s="58">
        <f>L226*L$8</f>
        <v/>
      </c>
      <c r="M227" s="58">
        <f>M226*M$8</f>
        <v/>
      </c>
      <c r="N227" s="58">
        <f>N226*N$8</f>
        <v/>
      </c>
      <c r="O227" s="58">
        <f>O226*O$8</f>
        <v/>
      </c>
      <c r="P227" s="58">
        <f>P226*P$8</f>
        <v/>
      </c>
      <c r="Q227" s="58">
        <f>Q226*Q$8</f>
        <v/>
      </c>
      <c r="R227" s="58">
        <f>R226*R$8</f>
        <v/>
      </c>
      <c r="S227" s="58">
        <f>S226*S$8</f>
        <v/>
      </c>
      <c r="T227" s="58">
        <f>T226*T$8</f>
        <v/>
      </c>
      <c r="U227" s="58">
        <f>U226*U$8</f>
        <v/>
      </c>
      <c r="V227" s="58">
        <f>V226*V$8</f>
        <v/>
      </c>
      <c r="W227" s="58">
        <f>W226*W$8</f>
        <v/>
      </c>
      <c r="X227" s="58">
        <f>X226*X$8</f>
        <v/>
      </c>
      <c r="Y227" s="58">
        <f>Y226*Y$8</f>
        <v/>
      </c>
      <c r="Z227" s="58">
        <f>Z226*Z$8</f>
        <v/>
      </c>
      <c r="AA227" s="58">
        <f>AA226*AA$8</f>
        <v/>
      </c>
      <c r="AB227" s="58">
        <f>AB226*AB$8</f>
        <v/>
      </c>
      <c r="AC227" s="58">
        <f>AC226*AC$8</f>
        <v/>
      </c>
      <c r="AD227" s="58">
        <f>AD226*AD$8</f>
        <v/>
      </c>
      <c r="AE227" s="58">
        <f>AE226*AE$8</f>
        <v/>
      </c>
      <c r="AF227" s="58">
        <f>AF226*AF$8</f>
        <v/>
      </c>
      <c r="AG227" s="58">
        <f>AG226*AG$8</f>
        <v/>
      </c>
      <c r="AH227" s="58">
        <f>AH226*AH$8</f>
        <v/>
      </c>
      <c r="AI227" s="58">
        <f>AI226*AI$8</f>
        <v/>
      </c>
      <c r="AJ227" s="58">
        <f>AJ226*AJ$8</f>
        <v/>
      </c>
      <c r="AK227" s="58">
        <f>AK226*AK$8</f>
        <v/>
      </c>
      <c r="AL227" s="58">
        <f>AL226*AL$8</f>
        <v/>
      </c>
      <c r="AM227" s="57">
        <f>SUMIF($C$6:$AL$6,1,C227:AL227)</f>
        <v/>
      </c>
      <c r="AN227" s="57">
        <f>SUMIF($C$6:$AL$6,2,C227:AL227)</f>
        <v/>
      </c>
      <c r="AO227" s="57">
        <f>SUMIF($C$6:$AL$6,3,C227:AL227)</f>
        <v/>
      </c>
      <c r="AP227" s="57">
        <f>SUM(C227:AL227)</f>
        <v/>
      </c>
    </row>
    <row r="228">
      <c r="A228" s="7" t="inlineStr">
        <is>
          <t xml:space="preserve">   Conversion rate (with review ramp)</t>
        </is>
      </c>
      <c r="B228" s="9" t="inlineStr">
        <is>
          <t>%</t>
        </is>
      </c>
      <c r="C228" s="59">
        <f>'Assumptions'!$D$179*MIN(1,(C$4-MAX('Assumptions'!$D$174,'Assumptions'!$C$9)+1)/'Assumptions'!$C$11)*C225</f>
        <v/>
      </c>
      <c r="D228" s="59">
        <f>'Assumptions'!$D$179*MIN(1,(D$4-MAX('Assumptions'!$D$174,'Assumptions'!$C$9)+1)/'Assumptions'!$C$11)*D225</f>
        <v/>
      </c>
      <c r="E228" s="59">
        <f>'Assumptions'!$D$179*MIN(1,(E$4-MAX('Assumptions'!$D$174,'Assumptions'!$C$9)+1)/'Assumptions'!$C$11)*E225</f>
        <v/>
      </c>
      <c r="F228" s="59">
        <f>'Assumptions'!$D$179*MIN(1,(F$4-MAX('Assumptions'!$D$174,'Assumptions'!$C$9)+1)/'Assumptions'!$C$11)*F225</f>
        <v/>
      </c>
      <c r="G228" s="59">
        <f>'Assumptions'!$D$179*MIN(1,(G$4-MAX('Assumptions'!$D$174,'Assumptions'!$C$9)+1)/'Assumptions'!$C$11)*G225</f>
        <v/>
      </c>
      <c r="H228" s="59">
        <f>'Assumptions'!$D$179*MIN(1,(H$4-MAX('Assumptions'!$D$174,'Assumptions'!$C$9)+1)/'Assumptions'!$C$11)*H225</f>
        <v/>
      </c>
      <c r="I228" s="59">
        <f>'Assumptions'!$D$179*MIN(1,(I$4-MAX('Assumptions'!$D$174,'Assumptions'!$C$9)+1)/'Assumptions'!$C$11)*I225</f>
        <v/>
      </c>
      <c r="J228" s="59">
        <f>'Assumptions'!$D$179*MIN(1,(J$4-MAX('Assumptions'!$D$174,'Assumptions'!$C$9)+1)/'Assumptions'!$C$11)*J225</f>
        <v/>
      </c>
      <c r="K228" s="59">
        <f>'Assumptions'!$D$179*MIN(1,(K$4-MAX('Assumptions'!$D$174,'Assumptions'!$C$9)+1)/'Assumptions'!$C$11)*K225</f>
        <v/>
      </c>
      <c r="L228" s="59">
        <f>'Assumptions'!$D$179*MIN(1,(L$4-MAX('Assumptions'!$D$174,'Assumptions'!$C$9)+1)/'Assumptions'!$C$11)*L225</f>
        <v/>
      </c>
      <c r="M228" s="59">
        <f>'Assumptions'!$D$179*MIN(1,(M$4-MAX('Assumptions'!$D$174,'Assumptions'!$C$9)+1)/'Assumptions'!$C$11)*M225</f>
        <v/>
      </c>
      <c r="N228" s="59">
        <f>'Assumptions'!$D$179*MIN(1,(N$4-MAX('Assumptions'!$D$174,'Assumptions'!$C$9)+1)/'Assumptions'!$C$11)*N225</f>
        <v/>
      </c>
      <c r="O228" s="59">
        <f>'Assumptions'!$D$179*MIN(1,(O$4-MAX('Assumptions'!$D$174,'Assumptions'!$C$9)+1)/'Assumptions'!$C$11)*O225</f>
        <v/>
      </c>
      <c r="P228" s="59">
        <f>'Assumptions'!$D$179*MIN(1,(P$4-MAX('Assumptions'!$D$174,'Assumptions'!$C$9)+1)/'Assumptions'!$C$11)*P225</f>
        <v/>
      </c>
      <c r="Q228" s="59">
        <f>'Assumptions'!$D$179*MIN(1,(Q$4-MAX('Assumptions'!$D$174,'Assumptions'!$C$9)+1)/'Assumptions'!$C$11)*Q225</f>
        <v/>
      </c>
      <c r="R228" s="59">
        <f>'Assumptions'!$D$179*MIN(1,(R$4-MAX('Assumptions'!$D$174,'Assumptions'!$C$9)+1)/'Assumptions'!$C$11)*R225</f>
        <v/>
      </c>
      <c r="S228" s="59">
        <f>'Assumptions'!$D$179*MIN(1,(S$4-MAX('Assumptions'!$D$174,'Assumptions'!$C$9)+1)/'Assumptions'!$C$11)*S225</f>
        <v/>
      </c>
      <c r="T228" s="59">
        <f>'Assumptions'!$D$179*MIN(1,(T$4-MAX('Assumptions'!$D$174,'Assumptions'!$C$9)+1)/'Assumptions'!$C$11)*T225</f>
        <v/>
      </c>
      <c r="U228" s="59">
        <f>'Assumptions'!$D$179*MIN(1,(U$4-MAX('Assumptions'!$D$174,'Assumptions'!$C$9)+1)/'Assumptions'!$C$11)*U225</f>
        <v/>
      </c>
      <c r="V228" s="59">
        <f>'Assumptions'!$D$179*MIN(1,(V$4-MAX('Assumptions'!$D$174,'Assumptions'!$C$9)+1)/'Assumptions'!$C$11)*V225</f>
        <v/>
      </c>
      <c r="W228" s="59">
        <f>'Assumptions'!$D$179*MIN(1,(W$4-MAX('Assumptions'!$D$174,'Assumptions'!$C$9)+1)/'Assumptions'!$C$11)*W225</f>
        <v/>
      </c>
      <c r="X228" s="59">
        <f>'Assumptions'!$D$179*MIN(1,(X$4-MAX('Assumptions'!$D$174,'Assumptions'!$C$9)+1)/'Assumptions'!$C$11)*X225</f>
        <v/>
      </c>
      <c r="Y228" s="59">
        <f>'Assumptions'!$D$179*MIN(1,(Y$4-MAX('Assumptions'!$D$174,'Assumptions'!$C$9)+1)/'Assumptions'!$C$11)*Y225</f>
        <v/>
      </c>
      <c r="Z228" s="59">
        <f>'Assumptions'!$D$179*MIN(1,(Z$4-MAX('Assumptions'!$D$174,'Assumptions'!$C$9)+1)/'Assumptions'!$C$11)*Z225</f>
        <v/>
      </c>
      <c r="AA228" s="59">
        <f>'Assumptions'!$D$179*MIN(1,(AA$4-MAX('Assumptions'!$D$174,'Assumptions'!$C$9)+1)/'Assumptions'!$C$11)*AA225</f>
        <v/>
      </c>
      <c r="AB228" s="59">
        <f>'Assumptions'!$D$179*MIN(1,(AB$4-MAX('Assumptions'!$D$174,'Assumptions'!$C$9)+1)/'Assumptions'!$C$11)*AB225</f>
        <v/>
      </c>
      <c r="AC228" s="59">
        <f>'Assumptions'!$D$179*MIN(1,(AC$4-MAX('Assumptions'!$D$174,'Assumptions'!$C$9)+1)/'Assumptions'!$C$11)*AC225</f>
        <v/>
      </c>
      <c r="AD228" s="59">
        <f>'Assumptions'!$D$179*MIN(1,(AD$4-MAX('Assumptions'!$D$174,'Assumptions'!$C$9)+1)/'Assumptions'!$C$11)*AD225</f>
        <v/>
      </c>
      <c r="AE228" s="59">
        <f>'Assumptions'!$D$179*MIN(1,(AE$4-MAX('Assumptions'!$D$174,'Assumptions'!$C$9)+1)/'Assumptions'!$C$11)*AE225</f>
        <v/>
      </c>
      <c r="AF228" s="59">
        <f>'Assumptions'!$D$179*MIN(1,(AF$4-MAX('Assumptions'!$D$174,'Assumptions'!$C$9)+1)/'Assumptions'!$C$11)*AF225</f>
        <v/>
      </c>
      <c r="AG228" s="59">
        <f>'Assumptions'!$D$179*MIN(1,(AG$4-MAX('Assumptions'!$D$174,'Assumptions'!$C$9)+1)/'Assumptions'!$C$11)*AG225</f>
        <v/>
      </c>
      <c r="AH228" s="59">
        <f>'Assumptions'!$D$179*MIN(1,(AH$4-MAX('Assumptions'!$D$174,'Assumptions'!$C$9)+1)/'Assumptions'!$C$11)*AH225</f>
        <v/>
      </c>
      <c r="AI228" s="59">
        <f>'Assumptions'!$D$179*MIN(1,(AI$4-MAX('Assumptions'!$D$174,'Assumptions'!$C$9)+1)/'Assumptions'!$C$11)*AI225</f>
        <v/>
      </c>
      <c r="AJ228" s="59">
        <f>'Assumptions'!$D$179*MIN(1,(AJ$4-MAX('Assumptions'!$D$174,'Assumptions'!$C$9)+1)/'Assumptions'!$C$11)*AJ225</f>
        <v/>
      </c>
      <c r="AK228" s="59">
        <f>'Assumptions'!$D$179*MIN(1,(AK$4-MAX('Assumptions'!$D$174,'Assumptions'!$C$9)+1)/'Assumptions'!$C$11)*AK225</f>
        <v/>
      </c>
      <c r="AL228" s="59">
        <f>'Assumptions'!$D$179*MIN(1,(AL$4-MAX('Assumptions'!$D$174,'Assumptions'!$C$9)+1)/'Assumptions'!$C$11)*AL225</f>
        <v/>
      </c>
    </row>
    <row r="229">
      <c r="A229" s="7" t="inlineStr">
        <is>
          <t xml:space="preserve">   Orders</t>
        </is>
      </c>
      <c r="B229" s="9" t="inlineStr">
        <is>
          <t>orders</t>
        </is>
      </c>
      <c r="C229" s="56">
        <f>C227*C228</f>
        <v/>
      </c>
      <c r="D229" s="56">
        <f>D227*D228</f>
        <v/>
      </c>
      <c r="E229" s="56">
        <f>E227*E228</f>
        <v/>
      </c>
      <c r="F229" s="56">
        <f>F227*F228</f>
        <v/>
      </c>
      <c r="G229" s="56">
        <f>G227*G228</f>
        <v/>
      </c>
      <c r="H229" s="56">
        <f>H227*H228</f>
        <v/>
      </c>
      <c r="I229" s="56">
        <f>I227*I228</f>
        <v/>
      </c>
      <c r="J229" s="56">
        <f>J227*J228</f>
        <v/>
      </c>
      <c r="K229" s="56">
        <f>K227*K228</f>
        <v/>
      </c>
      <c r="L229" s="56">
        <f>L227*L228</f>
        <v/>
      </c>
      <c r="M229" s="56">
        <f>M227*M228</f>
        <v/>
      </c>
      <c r="N229" s="56">
        <f>N227*N228</f>
        <v/>
      </c>
      <c r="O229" s="56">
        <f>O227*O228</f>
        <v/>
      </c>
      <c r="P229" s="56">
        <f>P227*P228</f>
        <v/>
      </c>
      <c r="Q229" s="56">
        <f>Q227*Q228</f>
        <v/>
      </c>
      <c r="R229" s="56">
        <f>R227*R228</f>
        <v/>
      </c>
      <c r="S229" s="56">
        <f>S227*S228</f>
        <v/>
      </c>
      <c r="T229" s="56">
        <f>T227*T228</f>
        <v/>
      </c>
      <c r="U229" s="56">
        <f>U227*U228</f>
        <v/>
      </c>
      <c r="V229" s="56">
        <f>V227*V228</f>
        <v/>
      </c>
      <c r="W229" s="56">
        <f>W227*W228</f>
        <v/>
      </c>
      <c r="X229" s="56">
        <f>X227*X228</f>
        <v/>
      </c>
      <c r="Y229" s="56">
        <f>Y227*Y228</f>
        <v/>
      </c>
      <c r="Z229" s="56">
        <f>Z227*Z228</f>
        <v/>
      </c>
      <c r="AA229" s="56">
        <f>AA227*AA228</f>
        <v/>
      </c>
      <c r="AB229" s="56">
        <f>AB227*AB228</f>
        <v/>
      </c>
      <c r="AC229" s="56">
        <f>AC227*AC228</f>
        <v/>
      </c>
      <c r="AD229" s="56">
        <f>AD227*AD228</f>
        <v/>
      </c>
      <c r="AE229" s="56">
        <f>AE227*AE228</f>
        <v/>
      </c>
      <c r="AF229" s="56">
        <f>AF227*AF228</f>
        <v/>
      </c>
      <c r="AG229" s="56">
        <f>AG227*AG228</f>
        <v/>
      </c>
      <c r="AH229" s="56">
        <f>AH227*AH228</f>
        <v/>
      </c>
      <c r="AI229" s="56">
        <f>AI227*AI228</f>
        <v/>
      </c>
      <c r="AJ229" s="56">
        <f>AJ227*AJ228</f>
        <v/>
      </c>
      <c r="AK229" s="56">
        <f>AK227*AK228</f>
        <v/>
      </c>
      <c r="AL229" s="56">
        <f>AL227*AL228</f>
        <v/>
      </c>
      <c r="AM229" s="57">
        <f>SUMIF($C$6:$AL$6,1,C229:AL229)</f>
        <v/>
      </c>
      <c r="AN229" s="57">
        <f>SUMIF($C$6:$AL$6,2,C229:AL229)</f>
        <v/>
      </c>
      <c r="AO229" s="57">
        <f>SUMIF($C$6:$AL$6,3,C229:AL229)</f>
        <v/>
      </c>
      <c r="AP229" s="57">
        <f>SUM(C229:AL229)</f>
        <v/>
      </c>
    </row>
    <row r="230">
      <c r="A230" s="7" t="inlineStr">
        <is>
          <t xml:space="preserve">   Items sold</t>
        </is>
      </c>
      <c r="B230" s="9" t="inlineStr">
        <is>
          <t>items</t>
        </is>
      </c>
      <c r="C230" s="14">
        <f>C229*'Assumptions'!$D$180</f>
        <v/>
      </c>
      <c r="D230" s="14">
        <f>D229*'Assumptions'!$D$180</f>
        <v/>
      </c>
      <c r="E230" s="14">
        <f>E229*'Assumptions'!$D$180</f>
        <v/>
      </c>
      <c r="F230" s="14">
        <f>F229*'Assumptions'!$D$180</f>
        <v/>
      </c>
      <c r="G230" s="14">
        <f>G229*'Assumptions'!$D$180</f>
        <v/>
      </c>
      <c r="H230" s="14">
        <f>H229*'Assumptions'!$D$180</f>
        <v/>
      </c>
      <c r="I230" s="14">
        <f>I229*'Assumptions'!$D$180</f>
        <v/>
      </c>
      <c r="J230" s="14">
        <f>J229*'Assumptions'!$D$180</f>
        <v/>
      </c>
      <c r="K230" s="14">
        <f>K229*'Assumptions'!$D$180</f>
        <v/>
      </c>
      <c r="L230" s="14">
        <f>L229*'Assumptions'!$D$180</f>
        <v/>
      </c>
      <c r="M230" s="14">
        <f>M229*'Assumptions'!$D$180</f>
        <v/>
      </c>
      <c r="N230" s="14">
        <f>N229*'Assumptions'!$D$180</f>
        <v/>
      </c>
      <c r="O230" s="14">
        <f>O229*'Assumptions'!$D$180</f>
        <v/>
      </c>
      <c r="P230" s="14">
        <f>P229*'Assumptions'!$D$180</f>
        <v/>
      </c>
      <c r="Q230" s="14">
        <f>Q229*'Assumptions'!$D$180</f>
        <v/>
      </c>
      <c r="R230" s="14">
        <f>R229*'Assumptions'!$D$180</f>
        <v/>
      </c>
      <c r="S230" s="14">
        <f>S229*'Assumptions'!$D$180</f>
        <v/>
      </c>
      <c r="T230" s="14">
        <f>T229*'Assumptions'!$D$180</f>
        <v/>
      </c>
      <c r="U230" s="14">
        <f>U229*'Assumptions'!$D$180</f>
        <v/>
      </c>
      <c r="V230" s="14">
        <f>V229*'Assumptions'!$D$180</f>
        <v/>
      </c>
      <c r="W230" s="14">
        <f>W229*'Assumptions'!$D$180</f>
        <v/>
      </c>
      <c r="X230" s="14">
        <f>X229*'Assumptions'!$D$180</f>
        <v/>
      </c>
      <c r="Y230" s="14">
        <f>Y229*'Assumptions'!$D$180</f>
        <v/>
      </c>
      <c r="Z230" s="14">
        <f>Z229*'Assumptions'!$D$180</f>
        <v/>
      </c>
      <c r="AA230" s="14">
        <f>AA229*'Assumptions'!$D$180</f>
        <v/>
      </c>
      <c r="AB230" s="14">
        <f>AB229*'Assumptions'!$D$180</f>
        <v/>
      </c>
      <c r="AC230" s="14">
        <f>AC229*'Assumptions'!$D$180</f>
        <v/>
      </c>
      <c r="AD230" s="14">
        <f>AD229*'Assumptions'!$D$180</f>
        <v/>
      </c>
      <c r="AE230" s="14">
        <f>AE229*'Assumptions'!$D$180</f>
        <v/>
      </c>
      <c r="AF230" s="14">
        <f>AF229*'Assumptions'!$D$180</f>
        <v/>
      </c>
      <c r="AG230" s="14">
        <f>AG229*'Assumptions'!$D$180</f>
        <v/>
      </c>
      <c r="AH230" s="14">
        <f>AH229*'Assumptions'!$D$180</f>
        <v/>
      </c>
      <c r="AI230" s="14">
        <f>AI229*'Assumptions'!$D$180</f>
        <v/>
      </c>
      <c r="AJ230" s="14">
        <f>AJ229*'Assumptions'!$D$180</f>
        <v/>
      </c>
      <c r="AK230" s="14">
        <f>AK229*'Assumptions'!$D$180</f>
        <v/>
      </c>
      <c r="AL230" s="14">
        <f>AL229*'Assumptions'!$D$180</f>
        <v/>
      </c>
      <c r="AM230" s="57">
        <f>SUMIF($C$6:$AL$6,1,C230:AL230)</f>
        <v/>
      </c>
      <c r="AN230" s="57">
        <f>SUMIF($C$6:$AL$6,2,C230:AL230)</f>
        <v/>
      </c>
      <c r="AO230" s="57">
        <f>SUMIF($C$6:$AL$6,3,C230:AL230)</f>
        <v/>
      </c>
      <c r="AP230" s="57">
        <f>SUM(C230:AL230)</f>
        <v/>
      </c>
    </row>
    <row r="231">
      <c r="A231" s="7" t="inlineStr">
        <is>
          <t xml:space="preserve">   Average order value</t>
        </is>
      </c>
      <c r="B231" s="9" t="inlineStr">
        <is>
          <t>$</t>
        </is>
      </c>
      <c r="C231" s="16">
        <f>'Unit Economics'!$E$56*'Assumptions'!$D$180*C225</f>
        <v/>
      </c>
      <c r="D231" s="16">
        <f>'Unit Economics'!$E$56*'Assumptions'!$D$180*D225</f>
        <v/>
      </c>
      <c r="E231" s="16">
        <f>'Unit Economics'!$E$56*'Assumptions'!$D$180*E225</f>
        <v/>
      </c>
      <c r="F231" s="16">
        <f>'Unit Economics'!$E$56*'Assumptions'!$D$180*F225</f>
        <v/>
      </c>
      <c r="G231" s="16">
        <f>'Unit Economics'!$E$56*'Assumptions'!$D$180*G225</f>
        <v/>
      </c>
      <c r="H231" s="16">
        <f>'Unit Economics'!$E$56*'Assumptions'!$D$180*H225</f>
        <v/>
      </c>
      <c r="I231" s="16">
        <f>'Unit Economics'!$E$56*'Assumptions'!$D$180*I225</f>
        <v/>
      </c>
      <c r="J231" s="16">
        <f>'Unit Economics'!$E$56*'Assumptions'!$D$180*J225</f>
        <v/>
      </c>
      <c r="K231" s="16">
        <f>'Unit Economics'!$E$56*'Assumptions'!$D$180*K225</f>
        <v/>
      </c>
      <c r="L231" s="16">
        <f>'Unit Economics'!$E$56*'Assumptions'!$D$180*L225</f>
        <v/>
      </c>
      <c r="M231" s="16">
        <f>'Unit Economics'!$E$56*'Assumptions'!$D$180*M225</f>
        <v/>
      </c>
      <c r="N231" s="16">
        <f>'Unit Economics'!$E$56*'Assumptions'!$D$180*N225</f>
        <v/>
      </c>
      <c r="O231" s="16">
        <f>'Unit Economics'!$E$56*'Assumptions'!$D$180*O225</f>
        <v/>
      </c>
      <c r="P231" s="16">
        <f>'Unit Economics'!$E$56*'Assumptions'!$D$180*P225</f>
        <v/>
      </c>
      <c r="Q231" s="16">
        <f>'Unit Economics'!$E$56*'Assumptions'!$D$180*Q225</f>
        <v/>
      </c>
      <c r="R231" s="16">
        <f>'Unit Economics'!$E$56*'Assumptions'!$D$180*R225</f>
        <v/>
      </c>
      <c r="S231" s="16">
        <f>'Unit Economics'!$E$56*'Assumptions'!$D$180*S225</f>
        <v/>
      </c>
      <c r="T231" s="16">
        <f>'Unit Economics'!$E$56*'Assumptions'!$D$180*T225</f>
        <v/>
      </c>
      <c r="U231" s="16">
        <f>'Unit Economics'!$E$56*'Assumptions'!$D$180*U225</f>
        <v/>
      </c>
      <c r="V231" s="16">
        <f>'Unit Economics'!$E$56*'Assumptions'!$D$180*V225</f>
        <v/>
      </c>
      <c r="W231" s="16">
        <f>'Unit Economics'!$E$56*'Assumptions'!$D$180*W225</f>
        <v/>
      </c>
      <c r="X231" s="16">
        <f>'Unit Economics'!$E$56*'Assumptions'!$D$180*X225</f>
        <v/>
      </c>
      <c r="Y231" s="16">
        <f>'Unit Economics'!$E$56*'Assumptions'!$D$180*Y225</f>
        <v/>
      </c>
      <c r="Z231" s="16">
        <f>'Unit Economics'!$E$56*'Assumptions'!$D$180*Z225</f>
        <v/>
      </c>
      <c r="AA231" s="16">
        <f>'Unit Economics'!$E$56*'Assumptions'!$D$180*AA225</f>
        <v/>
      </c>
      <c r="AB231" s="16">
        <f>'Unit Economics'!$E$56*'Assumptions'!$D$180*AB225</f>
        <v/>
      </c>
      <c r="AC231" s="16">
        <f>'Unit Economics'!$E$56*'Assumptions'!$D$180*AC225</f>
        <v/>
      </c>
      <c r="AD231" s="16">
        <f>'Unit Economics'!$E$56*'Assumptions'!$D$180*AD225</f>
        <v/>
      </c>
      <c r="AE231" s="16">
        <f>'Unit Economics'!$E$56*'Assumptions'!$D$180*AE225</f>
        <v/>
      </c>
      <c r="AF231" s="16">
        <f>'Unit Economics'!$E$56*'Assumptions'!$D$180*AF225</f>
        <v/>
      </c>
      <c r="AG231" s="16">
        <f>'Unit Economics'!$E$56*'Assumptions'!$D$180*AG225</f>
        <v/>
      </c>
      <c r="AH231" s="16">
        <f>'Unit Economics'!$E$56*'Assumptions'!$D$180*AH225</f>
        <v/>
      </c>
      <c r="AI231" s="16">
        <f>'Unit Economics'!$E$56*'Assumptions'!$D$180*AI225</f>
        <v/>
      </c>
      <c r="AJ231" s="16">
        <f>'Unit Economics'!$E$56*'Assumptions'!$D$180*AJ225</f>
        <v/>
      </c>
      <c r="AK231" s="16">
        <f>'Unit Economics'!$E$56*'Assumptions'!$D$180*AK225</f>
        <v/>
      </c>
      <c r="AL231" s="16">
        <f>'Unit Economics'!$E$56*'Assumptions'!$D$180*AL225</f>
        <v/>
      </c>
    </row>
    <row r="232">
      <c r="A232" s="7" t="inlineStr">
        <is>
          <t xml:space="preserve">   Gross sales (price paid by customers)</t>
        </is>
      </c>
      <c r="B232" s="9" t="inlineStr">
        <is>
          <t>$</t>
        </is>
      </c>
      <c r="C232" s="8">
        <f>C230*'Unit Economics'!$E$56</f>
        <v/>
      </c>
      <c r="D232" s="8">
        <f>D230*'Unit Economics'!$E$56</f>
        <v/>
      </c>
      <c r="E232" s="8">
        <f>E230*'Unit Economics'!$E$56</f>
        <v/>
      </c>
      <c r="F232" s="8">
        <f>F230*'Unit Economics'!$E$56</f>
        <v/>
      </c>
      <c r="G232" s="8">
        <f>G230*'Unit Economics'!$E$56</f>
        <v/>
      </c>
      <c r="H232" s="8">
        <f>H230*'Unit Economics'!$E$56</f>
        <v/>
      </c>
      <c r="I232" s="8">
        <f>I230*'Unit Economics'!$E$56</f>
        <v/>
      </c>
      <c r="J232" s="8">
        <f>J230*'Unit Economics'!$E$56</f>
        <v/>
      </c>
      <c r="K232" s="8">
        <f>K230*'Unit Economics'!$E$56</f>
        <v/>
      </c>
      <c r="L232" s="8">
        <f>L230*'Unit Economics'!$E$56</f>
        <v/>
      </c>
      <c r="M232" s="8">
        <f>M230*'Unit Economics'!$E$56</f>
        <v/>
      </c>
      <c r="N232" s="8">
        <f>N230*'Unit Economics'!$E$56</f>
        <v/>
      </c>
      <c r="O232" s="8">
        <f>O230*'Unit Economics'!$E$56</f>
        <v/>
      </c>
      <c r="P232" s="8">
        <f>P230*'Unit Economics'!$E$56</f>
        <v/>
      </c>
      <c r="Q232" s="8">
        <f>Q230*'Unit Economics'!$E$56</f>
        <v/>
      </c>
      <c r="R232" s="8">
        <f>R230*'Unit Economics'!$E$56</f>
        <v/>
      </c>
      <c r="S232" s="8">
        <f>S230*'Unit Economics'!$E$56</f>
        <v/>
      </c>
      <c r="T232" s="8">
        <f>T230*'Unit Economics'!$E$56</f>
        <v/>
      </c>
      <c r="U232" s="8">
        <f>U230*'Unit Economics'!$E$56</f>
        <v/>
      </c>
      <c r="V232" s="8">
        <f>V230*'Unit Economics'!$E$56</f>
        <v/>
      </c>
      <c r="W232" s="8">
        <f>W230*'Unit Economics'!$E$56</f>
        <v/>
      </c>
      <c r="X232" s="8">
        <f>X230*'Unit Economics'!$E$56</f>
        <v/>
      </c>
      <c r="Y232" s="8">
        <f>Y230*'Unit Economics'!$E$56</f>
        <v/>
      </c>
      <c r="Z232" s="8">
        <f>Z230*'Unit Economics'!$E$56</f>
        <v/>
      </c>
      <c r="AA232" s="8">
        <f>AA230*'Unit Economics'!$E$56</f>
        <v/>
      </c>
      <c r="AB232" s="8">
        <f>AB230*'Unit Economics'!$E$56</f>
        <v/>
      </c>
      <c r="AC232" s="8">
        <f>AC230*'Unit Economics'!$E$56</f>
        <v/>
      </c>
      <c r="AD232" s="8">
        <f>AD230*'Unit Economics'!$E$56</f>
        <v/>
      </c>
      <c r="AE232" s="8">
        <f>AE230*'Unit Economics'!$E$56</f>
        <v/>
      </c>
      <c r="AF232" s="8">
        <f>AF230*'Unit Economics'!$E$56</f>
        <v/>
      </c>
      <c r="AG232" s="8">
        <f>AG230*'Unit Economics'!$E$56</f>
        <v/>
      </c>
      <c r="AH232" s="8">
        <f>AH230*'Unit Economics'!$E$56</f>
        <v/>
      </c>
      <c r="AI232" s="8">
        <f>AI230*'Unit Economics'!$E$56</f>
        <v/>
      </c>
      <c r="AJ232" s="8">
        <f>AJ230*'Unit Economics'!$E$56</f>
        <v/>
      </c>
      <c r="AK232" s="8">
        <f>AK230*'Unit Economics'!$E$56</f>
        <v/>
      </c>
      <c r="AL232" s="8">
        <f>AL230*'Unit Economics'!$E$56</f>
        <v/>
      </c>
      <c r="AM232" s="47">
        <f>SUMIF($C$6:$AL$6,1,C232:AL232)</f>
        <v/>
      </c>
      <c r="AN232" s="47">
        <f>SUMIF($C$6:$AL$6,2,C232:AL232)</f>
        <v/>
      </c>
      <c r="AO232" s="47">
        <f>SUMIF($C$6:$AL$6,3,C232:AL232)</f>
        <v/>
      </c>
      <c r="AP232" s="47">
        <f>SUM(C232:AL232)</f>
        <v/>
      </c>
    </row>
    <row r="233">
      <c r="A233" s="7" t="inlineStr">
        <is>
          <t xml:space="preserve">   Net contribution to AlphaPlay</t>
        </is>
      </c>
      <c r="B233" s="9" t="inlineStr">
        <is>
          <t>$</t>
        </is>
      </c>
      <c r="C233" s="8">
        <f>C230*'Unit Economics'!$F$56</f>
        <v/>
      </c>
      <c r="D233" s="8">
        <f>D230*'Unit Economics'!$F$56</f>
        <v/>
      </c>
      <c r="E233" s="8">
        <f>E230*'Unit Economics'!$F$56</f>
        <v/>
      </c>
      <c r="F233" s="8">
        <f>F230*'Unit Economics'!$F$56</f>
        <v/>
      </c>
      <c r="G233" s="8">
        <f>G230*'Unit Economics'!$F$56</f>
        <v/>
      </c>
      <c r="H233" s="8">
        <f>H230*'Unit Economics'!$F$56</f>
        <v/>
      </c>
      <c r="I233" s="8">
        <f>I230*'Unit Economics'!$F$56</f>
        <v/>
      </c>
      <c r="J233" s="8">
        <f>J230*'Unit Economics'!$F$56</f>
        <v/>
      </c>
      <c r="K233" s="8">
        <f>K230*'Unit Economics'!$F$56</f>
        <v/>
      </c>
      <c r="L233" s="8">
        <f>L230*'Unit Economics'!$F$56</f>
        <v/>
      </c>
      <c r="M233" s="8">
        <f>M230*'Unit Economics'!$F$56</f>
        <v/>
      </c>
      <c r="N233" s="8">
        <f>N230*'Unit Economics'!$F$56</f>
        <v/>
      </c>
      <c r="O233" s="8">
        <f>O230*'Unit Economics'!$F$56</f>
        <v/>
      </c>
      <c r="P233" s="8">
        <f>P230*'Unit Economics'!$F$56</f>
        <v/>
      </c>
      <c r="Q233" s="8">
        <f>Q230*'Unit Economics'!$F$56</f>
        <v/>
      </c>
      <c r="R233" s="8">
        <f>R230*'Unit Economics'!$F$56</f>
        <v/>
      </c>
      <c r="S233" s="8">
        <f>S230*'Unit Economics'!$F$56</f>
        <v/>
      </c>
      <c r="T233" s="8">
        <f>T230*'Unit Economics'!$F$56</f>
        <v/>
      </c>
      <c r="U233" s="8">
        <f>U230*'Unit Economics'!$F$56</f>
        <v/>
      </c>
      <c r="V233" s="8">
        <f>V230*'Unit Economics'!$F$56</f>
        <v/>
      </c>
      <c r="W233" s="8">
        <f>W230*'Unit Economics'!$F$56</f>
        <v/>
      </c>
      <c r="X233" s="8">
        <f>X230*'Unit Economics'!$F$56</f>
        <v/>
      </c>
      <c r="Y233" s="8">
        <f>Y230*'Unit Economics'!$F$56</f>
        <v/>
      </c>
      <c r="Z233" s="8">
        <f>Z230*'Unit Economics'!$F$56</f>
        <v/>
      </c>
      <c r="AA233" s="8">
        <f>AA230*'Unit Economics'!$F$56</f>
        <v/>
      </c>
      <c r="AB233" s="8">
        <f>AB230*'Unit Economics'!$F$56</f>
        <v/>
      </c>
      <c r="AC233" s="8">
        <f>AC230*'Unit Economics'!$F$56</f>
        <v/>
      </c>
      <c r="AD233" s="8">
        <f>AD230*'Unit Economics'!$F$56</f>
        <v/>
      </c>
      <c r="AE233" s="8">
        <f>AE230*'Unit Economics'!$F$56</f>
        <v/>
      </c>
      <c r="AF233" s="8">
        <f>AF230*'Unit Economics'!$F$56</f>
        <v/>
      </c>
      <c r="AG233" s="8">
        <f>AG230*'Unit Economics'!$F$56</f>
        <v/>
      </c>
      <c r="AH233" s="8">
        <f>AH230*'Unit Economics'!$F$56</f>
        <v/>
      </c>
      <c r="AI233" s="8">
        <f>AI230*'Unit Economics'!$F$56</f>
        <v/>
      </c>
      <c r="AJ233" s="8">
        <f>AJ230*'Unit Economics'!$F$56</f>
        <v/>
      </c>
      <c r="AK233" s="8">
        <f>AK230*'Unit Economics'!$F$56</f>
        <v/>
      </c>
      <c r="AL233" s="8">
        <f>AL230*'Unit Economics'!$F$56</f>
        <v/>
      </c>
      <c r="AM233" s="47">
        <f>SUMIF($C$6:$AL$6,1,C233:AL233)</f>
        <v/>
      </c>
      <c r="AN233" s="47">
        <f>SUMIF($C$6:$AL$6,2,C233:AL233)</f>
        <v/>
      </c>
      <c r="AO233" s="47">
        <f>SUMIF($C$6:$AL$6,3,C233:AL233)</f>
        <v/>
      </c>
      <c r="AP233" s="47">
        <f>SUM(C233:AL233)</f>
        <v/>
      </c>
    </row>
    <row r="234">
      <c r="A234" s="5" t="inlineStr">
        <is>
          <t>Retail and wholesale: Faire, Walmart Marketplace (off in base)</t>
        </is>
      </c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  <c r="AC234" s="6" t="n"/>
      <c r="AD234" s="6" t="n"/>
      <c r="AE234" s="6" t="n"/>
      <c r="AF234" s="6" t="n"/>
      <c r="AG234" s="6" t="n"/>
      <c r="AH234" s="6" t="n"/>
      <c r="AI234" s="6" t="n"/>
      <c r="AJ234" s="6" t="n"/>
      <c r="AK234" s="6" t="n"/>
      <c r="AL234" s="6" t="n"/>
      <c r="AM234" s="6" t="n"/>
      <c r="AN234" s="6" t="n"/>
      <c r="AO234" s="6" t="n"/>
      <c r="AP234" s="6" t="n"/>
    </row>
    <row r="235">
      <c r="A235" s="7" t="inlineStr">
        <is>
          <t xml:space="preserve">   Active (1 = live)</t>
        </is>
      </c>
      <c r="B235" s="9" t="inlineStr">
        <is>
          <t>flag</t>
        </is>
      </c>
      <c r="C235" s="18">
        <f>IF(AND('Assumptions'!$D$182=1,C$4&gt;=MAX('Assumptions'!$D$183,'Assumptions'!$C$9)),1,0)</f>
        <v/>
      </c>
      <c r="D235" s="18">
        <f>IF(AND('Assumptions'!$D$182=1,D$4&gt;=MAX('Assumptions'!$D$183,'Assumptions'!$C$9)),1,0)</f>
        <v/>
      </c>
      <c r="E235" s="18">
        <f>IF(AND('Assumptions'!$D$182=1,E$4&gt;=MAX('Assumptions'!$D$183,'Assumptions'!$C$9)),1,0)</f>
        <v/>
      </c>
      <c r="F235" s="18">
        <f>IF(AND('Assumptions'!$D$182=1,F$4&gt;=MAX('Assumptions'!$D$183,'Assumptions'!$C$9)),1,0)</f>
        <v/>
      </c>
      <c r="G235" s="18">
        <f>IF(AND('Assumptions'!$D$182=1,G$4&gt;=MAX('Assumptions'!$D$183,'Assumptions'!$C$9)),1,0)</f>
        <v/>
      </c>
      <c r="H235" s="18">
        <f>IF(AND('Assumptions'!$D$182=1,H$4&gt;=MAX('Assumptions'!$D$183,'Assumptions'!$C$9)),1,0)</f>
        <v/>
      </c>
      <c r="I235" s="18">
        <f>IF(AND('Assumptions'!$D$182=1,I$4&gt;=MAX('Assumptions'!$D$183,'Assumptions'!$C$9)),1,0)</f>
        <v/>
      </c>
      <c r="J235" s="18">
        <f>IF(AND('Assumptions'!$D$182=1,J$4&gt;=MAX('Assumptions'!$D$183,'Assumptions'!$C$9)),1,0)</f>
        <v/>
      </c>
      <c r="K235" s="18">
        <f>IF(AND('Assumptions'!$D$182=1,K$4&gt;=MAX('Assumptions'!$D$183,'Assumptions'!$C$9)),1,0)</f>
        <v/>
      </c>
      <c r="L235" s="18">
        <f>IF(AND('Assumptions'!$D$182=1,L$4&gt;=MAX('Assumptions'!$D$183,'Assumptions'!$C$9)),1,0)</f>
        <v/>
      </c>
      <c r="M235" s="18">
        <f>IF(AND('Assumptions'!$D$182=1,M$4&gt;=MAX('Assumptions'!$D$183,'Assumptions'!$C$9)),1,0)</f>
        <v/>
      </c>
      <c r="N235" s="18">
        <f>IF(AND('Assumptions'!$D$182=1,N$4&gt;=MAX('Assumptions'!$D$183,'Assumptions'!$C$9)),1,0)</f>
        <v/>
      </c>
      <c r="O235" s="18">
        <f>IF(AND('Assumptions'!$D$182=1,O$4&gt;=MAX('Assumptions'!$D$183,'Assumptions'!$C$9)),1,0)</f>
        <v/>
      </c>
      <c r="P235" s="18">
        <f>IF(AND('Assumptions'!$D$182=1,P$4&gt;=MAX('Assumptions'!$D$183,'Assumptions'!$C$9)),1,0)</f>
        <v/>
      </c>
      <c r="Q235" s="18">
        <f>IF(AND('Assumptions'!$D$182=1,Q$4&gt;=MAX('Assumptions'!$D$183,'Assumptions'!$C$9)),1,0)</f>
        <v/>
      </c>
      <c r="R235" s="18">
        <f>IF(AND('Assumptions'!$D$182=1,R$4&gt;=MAX('Assumptions'!$D$183,'Assumptions'!$C$9)),1,0)</f>
        <v/>
      </c>
      <c r="S235" s="18">
        <f>IF(AND('Assumptions'!$D$182=1,S$4&gt;=MAX('Assumptions'!$D$183,'Assumptions'!$C$9)),1,0)</f>
        <v/>
      </c>
      <c r="T235" s="18">
        <f>IF(AND('Assumptions'!$D$182=1,T$4&gt;=MAX('Assumptions'!$D$183,'Assumptions'!$C$9)),1,0)</f>
        <v/>
      </c>
      <c r="U235" s="18">
        <f>IF(AND('Assumptions'!$D$182=1,U$4&gt;=MAX('Assumptions'!$D$183,'Assumptions'!$C$9)),1,0)</f>
        <v/>
      </c>
      <c r="V235" s="18">
        <f>IF(AND('Assumptions'!$D$182=1,V$4&gt;=MAX('Assumptions'!$D$183,'Assumptions'!$C$9)),1,0)</f>
        <v/>
      </c>
      <c r="W235" s="18">
        <f>IF(AND('Assumptions'!$D$182=1,W$4&gt;=MAX('Assumptions'!$D$183,'Assumptions'!$C$9)),1,0)</f>
        <v/>
      </c>
      <c r="X235" s="18">
        <f>IF(AND('Assumptions'!$D$182=1,X$4&gt;=MAX('Assumptions'!$D$183,'Assumptions'!$C$9)),1,0)</f>
        <v/>
      </c>
      <c r="Y235" s="18">
        <f>IF(AND('Assumptions'!$D$182=1,Y$4&gt;=MAX('Assumptions'!$D$183,'Assumptions'!$C$9)),1,0)</f>
        <v/>
      </c>
      <c r="Z235" s="18">
        <f>IF(AND('Assumptions'!$D$182=1,Z$4&gt;=MAX('Assumptions'!$D$183,'Assumptions'!$C$9)),1,0)</f>
        <v/>
      </c>
      <c r="AA235" s="18">
        <f>IF(AND('Assumptions'!$D$182=1,AA$4&gt;=MAX('Assumptions'!$D$183,'Assumptions'!$C$9)),1,0)</f>
        <v/>
      </c>
      <c r="AB235" s="18">
        <f>IF(AND('Assumptions'!$D$182=1,AB$4&gt;=MAX('Assumptions'!$D$183,'Assumptions'!$C$9)),1,0)</f>
        <v/>
      </c>
      <c r="AC235" s="18">
        <f>IF(AND('Assumptions'!$D$182=1,AC$4&gt;=MAX('Assumptions'!$D$183,'Assumptions'!$C$9)),1,0)</f>
        <v/>
      </c>
      <c r="AD235" s="18">
        <f>IF(AND('Assumptions'!$D$182=1,AD$4&gt;=MAX('Assumptions'!$D$183,'Assumptions'!$C$9)),1,0)</f>
        <v/>
      </c>
      <c r="AE235" s="18">
        <f>IF(AND('Assumptions'!$D$182=1,AE$4&gt;=MAX('Assumptions'!$D$183,'Assumptions'!$C$9)),1,0)</f>
        <v/>
      </c>
      <c r="AF235" s="18">
        <f>IF(AND('Assumptions'!$D$182=1,AF$4&gt;=MAX('Assumptions'!$D$183,'Assumptions'!$C$9)),1,0)</f>
        <v/>
      </c>
      <c r="AG235" s="18">
        <f>IF(AND('Assumptions'!$D$182=1,AG$4&gt;=MAX('Assumptions'!$D$183,'Assumptions'!$C$9)),1,0)</f>
        <v/>
      </c>
      <c r="AH235" s="18">
        <f>IF(AND('Assumptions'!$D$182=1,AH$4&gt;=MAX('Assumptions'!$D$183,'Assumptions'!$C$9)),1,0)</f>
        <v/>
      </c>
      <c r="AI235" s="18">
        <f>IF(AND('Assumptions'!$D$182=1,AI$4&gt;=MAX('Assumptions'!$D$183,'Assumptions'!$C$9)),1,0)</f>
        <v/>
      </c>
      <c r="AJ235" s="18">
        <f>IF(AND('Assumptions'!$D$182=1,AJ$4&gt;=MAX('Assumptions'!$D$183,'Assumptions'!$C$9)),1,0)</f>
        <v/>
      </c>
      <c r="AK235" s="18">
        <f>IF(AND('Assumptions'!$D$182=1,AK$4&gt;=MAX('Assumptions'!$D$183,'Assumptions'!$C$9)),1,0)</f>
        <v/>
      </c>
      <c r="AL235" s="18">
        <f>IF(AND('Assumptions'!$D$182=1,AL$4&gt;=MAX('Assumptions'!$D$183,'Assumptions'!$C$9)),1,0)</f>
        <v/>
      </c>
    </row>
    <row r="236">
      <c r="A236" s="7" t="inlineStr">
        <is>
          <t xml:space="preserve">   Traffic trend (before seasonality)</t>
        </is>
      </c>
      <c r="B236" s="9" t="inlineStr">
        <is>
          <t>visits</t>
        </is>
      </c>
      <c r="C236" s="15">
        <f>IF(C235=0,0,'Assumptions'!$D$184)</f>
        <v/>
      </c>
      <c r="D236" s="15">
        <f>IF(D235=0,0,IF(D$4=MAX('Assumptions'!$D$183,'Assumptions'!$C$9),'Assumptions'!$D$184,C236*(1+CHOOSE(D$6,'Assumptions'!$D$185,'Assumptions'!$D$186,'Assumptions'!$D$187))))</f>
        <v/>
      </c>
      <c r="E236" s="15">
        <f>IF(E235=0,0,IF(E$4=MAX('Assumptions'!$D$183,'Assumptions'!$C$9),'Assumptions'!$D$184,D236*(1+CHOOSE(E$6,'Assumptions'!$D$185,'Assumptions'!$D$186,'Assumptions'!$D$187))))</f>
        <v/>
      </c>
      <c r="F236" s="15">
        <f>IF(F235=0,0,IF(F$4=MAX('Assumptions'!$D$183,'Assumptions'!$C$9),'Assumptions'!$D$184,E236*(1+CHOOSE(F$6,'Assumptions'!$D$185,'Assumptions'!$D$186,'Assumptions'!$D$187))))</f>
        <v/>
      </c>
      <c r="G236" s="15">
        <f>IF(G235=0,0,IF(G$4=MAX('Assumptions'!$D$183,'Assumptions'!$C$9),'Assumptions'!$D$184,F236*(1+CHOOSE(G$6,'Assumptions'!$D$185,'Assumptions'!$D$186,'Assumptions'!$D$187))))</f>
        <v/>
      </c>
      <c r="H236" s="15">
        <f>IF(H235=0,0,IF(H$4=MAX('Assumptions'!$D$183,'Assumptions'!$C$9),'Assumptions'!$D$184,G236*(1+CHOOSE(H$6,'Assumptions'!$D$185,'Assumptions'!$D$186,'Assumptions'!$D$187))))</f>
        <v/>
      </c>
      <c r="I236" s="15">
        <f>IF(I235=0,0,IF(I$4=MAX('Assumptions'!$D$183,'Assumptions'!$C$9),'Assumptions'!$D$184,H236*(1+CHOOSE(I$6,'Assumptions'!$D$185,'Assumptions'!$D$186,'Assumptions'!$D$187))))</f>
        <v/>
      </c>
      <c r="J236" s="15">
        <f>IF(J235=0,0,IF(J$4=MAX('Assumptions'!$D$183,'Assumptions'!$C$9),'Assumptions'!$D$184,I236*(1+CHOOSE(J$6,'Assumptions'!$D$185,'Assumptions'!$D$186,'Assumptions'!$D$187))))</f>
        <v/>
      </c>
      <c r="K236" s="15">
        <f>IF(K235=0,0,IF(K$4=MAX('Assumptions'!$D$183,'Assumptions'!$C$9),'Assumptions'!$D$184,J236*(1+CHOOSE(K$6,'Assumptions'!$D$185,'Assumptions'!$D$186,'Assumptions'!$D$187))))</f>
        <v/>
      </c>
      <c r="L236" s="15">
        <f>IF(L235=0,0,IF(L$4=MAX('Assumptions'!$D$183,'Assumptions'!$C$9),'Assumptions'!$D$184,K236*(1+CHOOSE(L$6,'Assumptions'!$D$185,'Assumptions'!$D$186,'Assumptions'!$D$187))))</f>
        <v/>
      </c>
      <c r="M236" s="15">
        <f>IF(M235=0,0,IF(M$4=MAX('Assumptions'!$D$183,'Assumptions'!$C$9),'Assumptions'!$D$184,L236*(1+CHOOSE(M$6,'Assumptions'!$D$185,'Assumptions'!$D$186,'Assumptions'!$D$187))))</f>
        <v/>
      </c>
      <c r="N236" s="15">
        <f>IF(N235=0,0,IF(N$4=MAX('Assumptions'!$D$183,'Assumptions'!$C$9),'Assumptions'!$D$184,M236*(1+CHOOSE(N$6,'Assumptions'!$D$185,'Assumptions'!$D$186,'Assumptions'!$D$187))))</f>
        <v/>
      </c>
      <c r="O236" s="15">
        <f>IF(O235=0,0,IF(O$4=MAX('Assumptions'!$D$183,'Assumptions'!$C$9),'Assumptions'!$D$184,N236*(1+CHOOSE(O$6,'Assumptions'!$D$185,'Assumptions'!$D$186,'Assumptions'!$D$187))))</f>
        <v/>
      </c>
      <c r="P236" s="15">
        <f>IF(P235=0,0,IF(P$4=MAX('Assumptions'!$D$183,'Assumptions'!$C$9),'Assumptions'!$D$184,O236*(1+CHOOSE(P$6,'Assumptions'!$D$185,'Assumptions'!$D$186,'Assumptions'!$D$187))))</f>
        <v/>
      </c>
      <c r="Q236" s="15">
        <f>IF(Q235=0,0,IF(Q$4=MAX('Assumptions'!$D$183,'Assumptions'!$C$9),'Assumptions'!$D$184,P236*(1+CHOOSE(Q$6,'Assumptions'!$D$185,'Assumptions'!$D$186,'Assumptions'!$D$187))))</f>
        <v/>
      </c>
      <c r="R236" s="15">
        <f>IF(R235=0,0,IF(R$4=MAX('Assumptions'!$D$183,'Assumptions'!$C$9),'Assumptions'!$D$184,Q236*(1+CHOOSE(R$6,'Assumptions'!$D$185,'Assumptions'!$D$186,'Assumptions'!$D$187))))</f>
        <v/>
      </c>
      <c r="S236" s="15">
        <f>IF(S235=0,0,IF(S$4=MAX('Assumptions'!$D$183,'Assumptions'!$C$9),'Assumptions'!$D$184,R236*(1+CHOOSE(S$6,'Assumptions'!$D$185,'Assumptions'!$D$186,'Assumptions'!$D$187))))</f>
        <v/>
      </c>
      <c r="T236" s="15">
        <f>IF(T235=0,0,IF(T$4=MAX('Assumptions'!$D$183,'Assumptions'!$C$9),'Assumptions'!$D$184,S236*(1+CHOOSE(T$6,'Assumptions'!$D$185,'Assumptions'!$D$186,'Assumptions'!$D$187))))</f>
        <v/>
      </c>
      <c r="U236" s="15">
        <f>IF(U235=0,0,IF(U$4=MAX('Assumptions'!$D$183,'Assumptions'!$C$9),'Assumptions'!$D$184,T236*(1+CHOOSE(U$6,'Assumptions'!$D$185,'Assumptions'!$D$186,'Assumptions'!$D$187))))</f>
        <v/>
      </c>
      <c r="V236" s="15">
        <f>IF(V235=0,0,IF(V$4=MAX('Assumptions'!$D$183,'Assumptions'!$C$9),'Assumptions'!$D$184,U236*(1+CHOOSE(V$6,'Assumptions'!$D$185,'Assumptions'!$D$186,'Assumptions'!$D$187))))</f>
        <v/>
      </c>
      <c r="W236" s="15">
        <f>IF(W235=0,0,IF(W$4=MAX('Assumptions'!$D$183,'Assumptions'!$C$9),'Assumptions'!$D$184,V236*(1+CHOOSE(W$6,'Assumptions'!$D$185,'Assumptions'!$D$186,'Assumptions'!$D$187))))</f>
        <v/>
      </c>
      <c r="X236" s="15">
        <f>IF(X235=0,0,IF(X$4=MAX('Assumptions'!$D$183,'Assumptions'!$C$9),'Assumptions'!$D$184,W236*(1+CHOOSE(X$6,'Assumptions'!$D$185,'Assumptions'!$D$186,'Assumptions'!$D$187))))</f>
        <v/>
      </c>
      <c r="Y236" s="15">
        <f>IF(Y235=0,0,IF(Y$4=MAX('Assumptions'!$D$183,'Assumptions'!$C$9),'Assumptions'!$D$184,X236*(1+CHOOSE(Y$6,'Assumptions'!$D$185,'Assumptions'!$D$186,'Assumptions'!$D$187))))</f>
        <v/>
      </c>
      <c r="Z236" s="15">
        <f>IF(Z235=0,0,IF(Z$4=MAX('Assumptions'!$D$183,'Assumptions'!$C$9),'Assumptions'!$D$184,Y236*(1+CHOOSE(Z$6,'Assumptions'!$D$185,'Assumptions'!$D$186,'Assumptions'!$D$187))))</f>
        <v/>
      </c>
      <c r="AA236" s="15">
        <f>IF(AA235=0,0,IF(AA$4=MAX('Assumptions'!$D$183,'Assumptions'!$C$9),'Assumptions'!$D$184,Z236*(1+CHOOSE(AA$6,'Assumptions'!$D$185,'Assumptions'!$D$186,'Assumptions'!$D$187))))</f>
        <v/>
      </c>
      <c r="AB236" s="15">
        <f>IF(AB235=0,0,IF(AB$4=MAX('Assumptions'!$D$183,'Assumptions'!$C$9),'Assumptions'!$D$184,AA236*(1+CHOOSE(AB$6,'Assumptions'!$D$185,'Assumptions'!$D$186,'Assumptions'!$D$187))))</f>
        <v/>
      </c>
      <c r="AC236" s="15">
        <f>IF(AC235=0,0,IF(AC$4=MAX('Assumptions'!$D$183,'Assumptions'!$C$9),'Assumptions'!$D$184,AB236*(1+CHOOSE(AC$6,'Assumptions'!$D$185,'Assumptions'!$D$186,'Assumptions'!$D$187))))</f>
        <v/>
      </c>
      <c r="AD236" s="15">
        <f>IF(AD235=0,0,IF(AD$4=MAX('Assumptions'!$D$183,'Assumptions'!$C$9),'Assumptions'!$D$184,AC236*(1+CHOOSE(AD$6,'Assumptions'!$D$185,'Assumptions'!$D$186,'Assumptions'!$D$187))))</f>
        <v/>
      </c>
      <c r="AE236" s="15">
        <f>IF(AE235=0,0,IF(AE$4=MAX('Assumptions'!$D$183,'Assumptions'!$C$9),'Assumptions'!$D$184,AD236*(1+CHOOSE(AE$6,'Assumptions'!$D$185,'Assumptions'!$D$186,'Assumptions'!$D$187))))</f>
        <v/>
      </c>
      <c r="AF236" s="15">
        <f>IF(AF235=0,0,IF(AF$4=MAX('Assumptions'!$D$183,'Assumptions'!$C$9),'Assumptions'!$D$184,AE236*(1+CHOOSE(AF$6,'Assumptions'!$D$185,'Assumptions'!$D$186,'Assumptions'!$D$187))))</f>
        <v/>
      </c>
      <c r="AG236" s="15">
        <f>IF(AG235=0,0,IF(AG$4=MAX('Assumptions'!$D$183,'Assumptions'!$C$9),'Assumptions'!$D$184,AF236*(1+CHOOSE(AG$6,'Assumptions'!$D$185,'Assumptions'!$D$186,'Assumptions'!$D$187))))</f>
        <v/>
      </c>
      <c r="AH236" s="15">
        <f>IF(AH235=0,0,IF(AH$4=MAX('Assumptions'!$D$183,'Assumptions'!$C$9),'Assumptions'!$D$184,AG236*(1+CHOOSE(AH$6,'Assumptions'!$D$185,'Assumptions'!$D$186,'Assumptions'!$D$187))))</f>
        <v/>
      </c>
      <c r="AI236" s="15">
        <f>IF(AI235=0,0,IF(AI$4=MAX('Assumptions'!$D$183,'Assumptions'!$C$9),'Assumptions'!$D$184,AH236*(1+CHOOSE(AI$6,'Assumptions'!$D$185,'Assumptions'!$D$186,'Assumptions'!$D$187))))</f>
        <v/>
      </c>
      <c r="AJ236" s="15">
        <f>IF(AJ235=0,0,IF(AJ$4=MAX('Assumptions'!$D$183,'Assumptions'!$C$9),'Assumptions'!$D$184,AI236*(1+CHOOSE(AJ$6,'Assumptions'!$D$185,'Assumptions'!$D$186,'Assumptions'!$D$187))))</f>
        <v/>
      </c>
      <c r="AK236" s="15">
        <f>IF(AK235=0,0,IF(AK$4=MAX('Assumptions'!$D$183,'Assumptions'!$C$9),'Assumptions'!$D$184,AJ236*(1+CHOOSE(AK$6,'Assumptions'!$D$185,'Assumptions'!$D$186,'Assumptions'!$D$187))))</f>
        <v/>
      </c>
      <c r="AL236" s="15">
        <f>IF(AL235=0,0,IF(AL$4=MAX('Assumptions'!$D$183,'Assumptions'!$C$9),'Assumptions'!$D$184,AK236*(1+CHOOSE(AL$6,'Assumptions'!$D$185,'Assumptions'!$D$186,'Assumptions'!$D$187))))</f>
        <v/>
      </c>
    </row>
    <row r="237">
      <c r="A237" s="7" t="inlineStr">
        <is>
          <t xml:space="preserve">   Retailer and marketplace views</t>
        </is>
      </c>
      <c r="B237" s="9" t="inlineStr">
        <is>
          <t>visits</t>
        </is>
      </c>
      <c r="C237" s="58">
        <f>C236*C$7</f>
        <v/>
      </c>
      <c r="D237" s="58">
        <f>D236*D$7</f>
        <v/>
      </c>
      <c r="E237" s="58">
        <f>E236*E$7</f>
        <v/>
      </c>
      <c r="F237" s="58">
        <f>F236*F$7</f>
        <v/>
      </c>
      <c r="G237" s="58">
        <f>G236*G$7</f>
        <v/>
      </c>
      <c r="H237" s="58">
        <f>H236*H$7</f>
        <v/>
      </c>
      <c r="I237" s="58">
        <f>I236*I$7</f>
        <v/>
      </c>
      <c r="J237" s="58">
        <f>J236*J$7</f>
        <v/>
      </c>
      <c r="K237" s="58">
        <f>K236*K$7</f>
        <v/>
      </c>
      <c r="L237" s="58">
        <f>L236*L$7</f>
        <v/>
      </c>
      <c r="M237" s="58">
        <f>M236*M$7</f>
        <v/>
      </c>
      <c r="N237" s="58">
        <f>N236*N$7</f>
        <v/>
      </c>
      <c r="O237" s="58">
        <f>O236*O$7</f>
        <v/>
      </c>
      <c r="P237" s="58">
        <f>P236*P$7</f>
        <v/>
      </c>
      <c r="Q237" s="58">
        <f>Q236*Q$7</f>
        <v/>
      </c>
      <c r="R237" s="58">
        <f>R236*R$7</f>
        <v/>
      </c>
      <c r="S237" s="58">
        <f>S236*S$7</f>
        <v/>
      </c>
      <c r="T237" s="58">
        <f>T236*T$7</f>
        <v/>
      </c>
      <c r="U237" s="58">
        <f>U236*U$7</f>
        <v/>
      </c>
      <c r="V237" s="58">
        <f>V236*V$7</f>
        <v/>
      </c>
      <c r="W237" s="58">
        <f>W236*W$7</f>
        <v/>
      </c>
      <c r="X237" s="58">
        <f>X236*X$7</f>
        <v/>
      </c>
      <c r="Y237" s="58">
        <f>Y236*Y$7</f>
        <v/>
      </c>
      <c r="Z237" s="58">
        <f>Z236*Z$7</f>
        <v/>
      </c>
      <c r="AA237" s="58">
        <f>AA236*AA$7</f>
        <v/>
      </c>
      <c r="AB237" s="58">
        <f>AB236*AB$7</f>
        <v/>
      </c>
      <c r="AC237" s="58">
        <f>AC236*AC$7</f>
        <v/>
      </c>
      <c r="AD237" s="58">
        <f>AD236*AD$7</f>
        <v/>
      </c>
      <c r="AE237" s="58">
        <f>AE236*AE$7</f>
        <v/>
      </c>
      <c r="AF237" s="58">
        <f>AF236*AF$7</f>
        <v/>
      </c>
      <c r="AG237" s="58">
        <f>AG236*AG$7</f>
        <v/>
      </c>
      <c r="AH237" s="58">
        <f>AH236*AH$7</f>
        <v/>
      </c>
      <c r="AI237" s="58">
        <f>AI236*AI$7</f>
        <v/>
      </c>
      <c r="AJ237" s="58">
        <f>AJ236*AJ$7</f>
        <v/>
      </c>
      <c r="AK237" s="58">
        <f>AK236*AK$7</f>
        <v/>
      </c>
      <c r="AL237" s="58">
        <f>AL236*AL$7</f>
        <v/>
      </c>
      <c r="AM237" s="57">
        <f>SUMIF($C$6:$AL$6,1,C237:AL237)</f>
        <v/>
      </c>
      <c r="AN237" s="57">
        <f>SUMIF($C$6:$AL$6,2,C237:AL237)</f>
        <v/>
      </c>
      <c r="AO237" s="57">
        <f>SUMIF($C$6:$AL$6,3,C237:AL237)</f>
        <v/>
      </c>
      <c r="AP237" s="57">
        <f>SUM(C237:AL237)</f>
        <v/>
      </c>
    </row>
    <row r="238">
      <c r="A238" s="7" t="inlineStr">
        <is>
          <t xml:space="preserve">   Conversion rate (with review ramp)</t>
        </is>
      </c>
      <c r="B238" s="9" t="inlineStr">
        <is>
          <t>%</t>
        </is>
      </c>
      <c r="C238" s="59">
        <f>'Assumptions'!$D$188*MIN(1,(C$4-MAX('Assumptions'!$D$183,'Assumptions'!$C$9)+1)/'Assumptions'!$C$11)*C235</f>
        <v/>
      </c>
      <c r="D238" s="59">
        <f>'Assumptions'!$D$188*MIN(1,(D$4-MAX('Assumptions'!$D$183,'Assumptions'!$C$9)+1)/'Assumptions'!$C$11)*D235</f>
        <v/>
      </c>
      <c r="E238" s="59">
        <f>'Assumptions'!$D$188*MIN(1,(E$4-MAX('Assumptions'!$D$183,'Assumptions'!$C$9)+1)/'Assumptions'!$C$11)*E235</f>
        <v/>
      </c>
      <c r="F238" s="59">
        <f>'Assumptions'!$D$188*MIN(1,(F$4-MAX('Assumptions'!$D$183,'Assumptions'!$C$9)+1)/'Assumptions'!$C$11)*F235</f>
        <v/>
      </c>
      <c r="G238" s="59">
        <f>'Assumptions'!$D$188*MIN(1,(G$4-MAX('Assumptions'!$D$183,'Assumptions'!$C$9)+1)/'Assumptions'!$C$11)*G235</f>
        <v/>
      </c>
      <c r="H238" s="59">
        <f>'Assumptions'!$D$188*MIN(1,(H$4-MAX('Assumptions'!$D$183,'Assumptions'!$C$9)+1)/'Assumptions'!$C$11)*H235</f>
        <v/>
      </c>
      <c r="I238" s="59">
        <f>'Assumptions'!$D$188*MIN(1,(I$4-MAX('Assumptions'!$D$183,'Assumptions'!$C$9)+1)/'Assumptions'!$C$11)*I235</f>
        <v/>
      </c>
      <c r="J238" s="59">
        <f>'Assumptions'!$D$188*MIN(1,(J$4-MAX('Assumptions'!$D$183,'Assumptions'!$C$9)+1)/'Assumptions'!$C$11)*J235</f>
        <v/>
      </c>
      <c r="K238" s="59">
        <f>'Assumptions'!$D$188*MIN(1,(K$4-MAX('Assumptions'!$D$183,'Assumptions'!$C$9)+1)/'Assumptions'!$C$11)*K235</f>
        <v/>
      </c>
      <c r="L238" s="59">
        <f>'Assumptions'!$D$188*MIN(1,(L$4-MAX('Assumptions'!$D$183,'Assumptions'!$C$9)+1)/'Assumptions'!$C$11)*L235</f>
        <v/>
      </c>
      <c r="M238" s="59">
        <f>'Assumptions'!$D$188*MIN(1,(M$4-MAX('Assumptions'!$D$183,'Assumptions'!$C$9)+1)/'Assumptions'!$C$11)*M235</f>
        <v/>
      </c>
      <c r="N238" s="59">
        <f>'Assumptions'!$D$188*MIN(1,(N$4-MAX('Assumptions'!$D$183,'Assumptions'!$C$9)+1)/'Assumptions'!$C$11)*N235</f>
        <v/>
      </c>
      <c r="O238" s="59">
        <f>'Assumptions'!$D$188*MIN(1,(O$4-MAX('Assumptions'!$D$183,'Assumptions'!$C$9)+1)/'Assumptions'!$C$11)*O235</f>
        <v/>
      </c>
      <c r="P238" s="59">
        <f>'Assumptions'!$D$188*MIN(1,(P$4-MAX('Assumptions'!$D$183,'Assumptions'!$C$9)+1)/'Assumptions'!$C$11)*P235</f>
        <v/>
      </c>
      <c r="Q238" s="59">
        <f>'Assumptions'!$D$188*MIN(1,(Q$4-MAX('Assumptions'!$D$183,'Assumptions'!$C$9)+1)/'Assumptions'!$C$11)*Q235</f>
        <v/>
      </c>
      <c r="R238" s="59">
        <f>'Assumptions'!$D$188*MIN(1,(R$4-MAX('Assumptions'!$D$183,'Assumptions'!$C$9)+1)/'Assumptions'!$C$11)*R235</f>
        <v/>
      </c>
      <c r="S238" s="59">
        <f>'Assumptions'!$D$188*MIN(1,(S$4-MAX('Assumptions'!$D$183,'Assumptions'!$C$9)+1)/'Assumptions'!$C$11)*S235</f>
        <v/>
      </c>
      <c r="T238" s="59">
        <f>'Assumptions'!$D$188*MIN(1,(T$4-MAX('Assumptions'!$D$183,'Assumptions'!$C$9)+1)/'Assumptions'!$C$11)*T235</f>
        <v/>
      </c>
      <c r="U238" s="59">
        <f>'Assumptions'!$D$188*MIN(1,(U$4-MAX('Assumptions'!$D$183,'Assumptions'!$C$9)+1)/'Assumptions'!$C$11)*U235</f>
        <v/>
      </c>
      <c r="V238" s="59">
        <f>'Assumptions'!$D$188*MIN(1,(V$4-MAX('Assumptions'!$D$183,'Assumptions'!$C$9)+1)/'Assumptions'!$C$11)*V235</f>
        <v/>
      </c>
      <c r="W238" s="59">
        <f>'Assumptions'!$D$188*MIN(1,(W$4-MAX('Assumptions'!$D$183,'Assumptions'!$C$9)+1)/'Assumptions'!$C$11)*W235</f>
        <v/>
      </c>
      <c r="X238" s="59">
        <f>'Assumptions'!$D$188*MIN(1,(X$4-MAX('Assumptions'!$D$183,'Assumptions'!$C$9)+1)/'Assumptions'!$C$11)*X235</f>
        <v/>
      </c>
      <c r="Y238" s="59">
        <f>'Assumptions'!$D$188*MIN(1,(Y$4-MAX('Assumptions'!$D$183,'Assumptions'!$C$9)+1)/'Assumptions'!$C$11)*Y235</f>
        <v/>
      </c>
      <c r="Z238" s="59">
        <f>'Assumptions'!$D$188*MIN(1,(Z$4-MAX('Assumptions'!$D$183,'Assumptions'!$C$9)+1)/'Assumptions'!$C$11)*Z235</f>
        <v/>
      </c>
      <c r="AA238" s="59">
        <f>'Assumptions'!$D$188*MIN(1,(AA$4-MAX('Assumptions'!$D$183,'Assumptions'!$C$9)+1)/'Assumptions'!$C$11)*AA235</f>
        <v/>
      </c>
      <c r="AB238" s="59">
        <f>'Assumptions'!$D$188*MIN(1,(AB$4-MAX('Assumptions'!$D$183,'Assumptions'!$C$9)+1)/'Assumptions'!$C$11)*AB235</f>
        <v/>
      </c>
      <c r="AC238" s="59">
        <f>'Assumptions'!$D$188*MIN(1,(AC$4-MAX('Assumptions'!$D$183,'Assumptions'!$C$9)+1)/'Assumptions'!$C$11)*AC235</f>
        <v/>
      </c>
      <c r="AD238" s="59">
        <f>'Assumptions'!$D$188*MIN(1,(AD$4-MAX('Assumptions'!$D$183,'Assumptions'!$C$9)+1)/'Assumptions'!$C$11)*AD235</f>
        <v/>
      </c>
      <c r="AE238" s="59">
        <f>'Assumptions'!$D$188*MIN(1,(AE$4-MAX('Assumptions'!$D$183,'Assumptions'!$C$9)+1)/'Assumptions'!$C$11)*AE235</f>
        <v/>
      </c>
      <c r="AF238" s="59">
        <f>'Assumptions'!$D$188*MIN(1,(AF$4-MAX('Assumptions'!$D$183,'Assumptions'!$C$9)+1)/'Assumptions'!$C$11)*AF235</f>
        <v/>
      </c>
      <c r="AG238" s="59">
        <f>'Assumptions'!$D$188*MIN(1,(AG$4-MAX('Assumptions'!$D$183,'Assumptions'!$C$9)+1)/'Assumptions'!$C$11)*AG235</f>
        <v/>
      </c>
      <c r="AH238" s="59">
        <f>'Assumptions'!$D$188*MIN(1,(AH$4-MAX('Assumptions'!$D$183,'Assumptions'!$C$9)+1)/'Assumptions'!$C$11)*AH235</f>
        <v/>
      </c>
      <c r="AI238" s="59">
        <f>'Assumptions'!$D$188*MIN(1,(AI$4-MAX('Assumptions'!$D$183,'Assumptions'!$C$9)+1)/'Assumptions'!$C$11)*AI235</f>
        <v/>
      </c>
      <c r="AJ238" s="59">
        <f>'Assumptions'!$D$188*MIN(1,(AJ$4-MAX('Assumptions'!$D$183,'Assumptions'!$C$9)+1)/'Assumptions'!$C$11)*AJ235</f>
        <v/>
      </c>
      <c r="AK238" s="59">
        <f>'Assumptions'!$D$188*MIN(1,(AK$4-MAX('Assumptions'!$D$183,'Assumptions'!$C$9)+1)/'Assumptions'!$C$11)*AK235</f>
        <v/>
      </c>
      <c r="AL238" s="59">
        <f>'Assumptions'!$D$188*MIN(1,(AL$4-MAX('Assumptions'!$D$183,'Assumptions'!$C$9)+1)/'Assumptions'!$C$11)*AL235</f>
        <v/>
      </c>
    </row>
    <row r="239">
      <c r="A239" s="7" t="inlineStr">
        <is>
          <t xml:space="preserve">   Orders</t>
        </is>
      </c>
      <c r="B239" s="9" t="inlineStr">
        <is>
          <t>orders</t>
        </is>
      </c>
      <c r="C239" s="56">
        <f>C237*C238</f>
        <v/>
      </c>
      <c r="D239" s="56">
        <f>D237*D238</f>
        <v/>
      </c>
      <c r="E239" s="56">
        <f>E237*E238</f>
        <v/>
      </c>
      <c r="F239" s="56">
        <f>F237*F238</f>
        <v/>
      </c>
      <c r="G239" s="56">
        <f>G237*G238</f>
        <v/>
      </c>
      <c r="H239" s="56">
        <f>H237*H238</f>
        <v/>
      </c>
      <c r="I239" s="56">
        <f>I237*I238</f>
        <v/>
      </c>
      <c r="J239" s="56">
        <f>J237*J238</f>
        <v/>
      </c>
      <c r="K239" s="56">
        <f>K237*K238</f>
        <v/>
      </c>
      <c r="L239" s="56">
        <f>L237*L238</f>
        <v/>
      </c>
      <c r="M239" s="56">
        <f>M237*M238</f>
        <v/>
      </c>
      <c r="N239" s="56">
        <f>N237*N238</f>
        <v/>
      </c>
      <c r="O239" s="56">
        <f>O237*O238</f>
        <v/>
      </c>
      <c r="P239" s="56">
        <f>P237*P238</f>
        <v/>
      </c>
      <c r="Q239" s="56">
        <f>Q237*Q238</f>
        <v/>
      </c>
      <c r="R239" s="56">
        <f>R237*R238</f>
        <v/>
      </c>
      <c r="S239" s="56">
        <f>S237*S238</f>
        <v/>
      </c>
      <c r="T239" s="56">
        <f>T237*T238</f>
        <v/>
      </c>
      <c r="U239" s="56">
        <f>U237*U238</f>
        <v/>
      </c>
      <c r="V239" s="56">
        <f>V237*V238</f>
        <v/>
      </c>
      <c r="W239" s="56">
        <f>W237*W238</f>
        <v/>
      </c>
      <c r="X239" s="56">
        <f>X237*X238</f>
        <v/>
      </c>
      <c r="Y239" s="56">
        <f>Y237*Y238</f>
        <v/>
      </c>
      <c r="Z239" s="56">
        <f>Z237*Z238</f>
        <v/>
      </c>
      <c r="AA239" s="56">
        <f>AA237*AA238</f>
        <v/>
      </c>
      <c r="AB239" s="56">
        <f>AB237*AB238</f>
        <v/>
      </c>
      <c r="AC239" s="56">
        <f>AC237*AC238</f>
        <v/>
      </c>
      <c r="AD239" s="56">
        <f>AD237*AD238</f>
        <v/>
      </c>
      <c r="AE239" s="56">
        <f>AE237*AE238</f>
        <v/>
      </c>
      <c r="AF239" s="56">
        <f>AF237*AF238</f>
        <v/>
      </c>
      <c r="AG239" s="56">
        <f>AG237*AG238</f>
        <v/>
      </c>
      <c r="AH239" s="56">
        <f>AH237*AH238</f>
        <v/>
      </c>
      <c r="AI239" s="56">
        <f>AI237*AI238</f>
        <v/>
      </c>
      <c r="AJ239" s="56">
        <f>AJ237*AJ238</f>
        <v/>
      </c>
      <c r="AK239" s="56">
        <f>AK237*AK238</f>
        <v/>
      </c>
      <c r="AL239" s="56">
        <f>AL237*AL238</f>
        <v/>
      </c>
      <c r="AM239" s="57">
        <f>SUMIF($C$6:$AL$6,1,C239:AL239)</f>
        <v/>
      </c>
      <c r="AN239" s="57">
        <f>SUMIF($C$6:$AL$6,2,C239:AL239)</f>
        <v/>
      </c>
      <c r="AO239" s="57">
        <f>SUMIF($C$6:$AL$6,3,C239:AL239)</f>
        <v/>
      </c>
      <c r="AP239" s="57">
        <f>SUM(C239:AL239)</f>
        <v/>
      </c>
    </row>
    <row r="240">
      <c r="A240" s="7" t="inlineStr">
        <is>
          <t xml:space="preserve">   Items sold</t>
        </is>
      </c>
      <c r="B240" s="9" t="inlineStr">
        <is>
          <t>items</t>
        </is>
      </c>
      <c r="C240" s="14">
        <f>C239*'Assumptions'!$D$189</f>
        <v/>
      </c>
      <c r="D240" s="14">
        <f>D239*'Assumptions'!$D$189</f>
        <v/>
      </c>
      <c r="E240" s="14">
        <f>E239*'Assumptions'!$D$189</f>
        <v/>
      </c>
      <c r="F240" s="14">
        <f>F239*'Assumptions'!$D$189</f>
        <v/>
      </c>
      <c r="G240" s="14">
        <f>G239*'Assumptions'!$D$189</f>
        <v/>
      </c>
      <c r="H240" s="14">
        <f>H239*'Assumptions'!$D$189</f>
        <v/>
      </c>
      <c r="I240" s="14">
        <f>I239*'Assumptions'!$D$189</f>
        <v/>
      </c>
      <c r="J240" s="14">
        <f>J239*'Assumptions'!$D$189</f>
        <v/>
      </c>
      <c r="K240" s="14">
        <f>K239*'Assumptions'!$D$189</f>
        <v/>
      </c>
      <c r="L240" s="14">
        <f>L239*'Assumptions'!$D$189</f>
        <v/>
      </c>
      <c r="M240" s="14">
        <f>M239*'Assumptions'!$D$189</f>
        <v/>
      </c>
      <c r="N240" s="14">
        <f>N239*'Assumptions'!$D$189</f>
        <v/>
      </c>
      <c r="O240" s="14">
        <f>O239*'Assumptions'!$D$189</f>
        <v/>
      </c>
      <c r="P240" s="14">
        <f>P239*'Assumptions'!$D$189</f>
        <v/>
      </c>
      <c r="Q240" s="14">
        <f>Q239*'Assumptions'!$D$189</f>
        <v/>
      </c>
      <c r="R240" s="14">
        <f>R239*'Assumptions'!$D$189</f>
        <v/>
      </c>
      <c r="S240" s="14">
        <f>S239*'Assumptions'!$D$189</f>
        <v/>
      </c>
      <c r="T240" s="14">
        <f>T239*'Assumptions'!$D$189</f>
        <v/>
      </c>
      <c r="U240" s="14">
        <f>U239*'Assumptions'!$D$189</f>
        <v/>
      </c>
      <c r="V240" s="14">
        <f>V239*'Assumptions'!$D$189</f>
        <v/>
      </c>
      <c r="W240" s="14">
        <f>W239*'Assumptions'!$D$189</f>
        <v/>
      </c>
      <c r="X240" s="14">
        <f>X239*'Assumptions'!$D$189</f>
        <v/>
      </c>
      <c r="Y240" s="14">
        <f>Y239*'Assumptions'!$D$189</f>
        <v/>
      </c>
      <c r="Z240" s="14">
        <f>Z239*'Assumptions'!$D$189</f>
        <v/>
      </c>
      <c r="AA240" s="14">
        <f>AA239*'Assumptions'!$D$189</f>
        <v/>
      </c>
      <c r="AB240" s="14">
        <f>AB239*'Assumptions'!$D$189</f>
        <v/>
      </c>
      <c r="AC240" s="14">
        <f>AC239*'Assumptions'!$D$189</f>
        <v/>
      </c>
      <c r="AD240" s="14">
        <f>AD239*'Assumptions'!$D$189</f>
        <v/>
      </c>
      <c r="AE240" s="14">
        <f>AE239*'Assumptions'!$D$189</f>
        <v/>
      </c>
      <c r="AF240" s="14">
        <f>AF239*'Assumptions'!$D$189</f>
        <v/>
      </c>
      <c r="AG240" s="14">
        <f>AG239*'Assumptions'!$D$189</f>
        <v/>
      </c>
      <c r="AH240" s="14">
        <f>AH239*'Assumptions'!$D$189</f>
        <v/>
      </c>
      <c r="AI240" s="14">
        <f>AI239*'Assumptions'!$D$189</f>
        <v/>
      </c>
      <c r="AJ240" s="14">
        <f>AJ239*'Assumptions'!$D$189</f>
        <v/>
      </c>
      <c r="AK240" s="14">
        <f>AK239*'Assumptions'!$D$189</f>
        <v/>
      </c>
      <c r="AL240" s="14">
        <f>AL239*'Assumptions'!$D$189</f>
        <v/>
      </c>
      <c r="AM240" s="57">
        <f>SUMIF($C$6:$AL$6,1,C240:AL240)</f>
        <v/>
      </c>
      <c r="AN240" s="57">
        <f>SUMIF($C$6:$AL$6,2,C240:AL240)</f>
        <v/>
      </c>
      <c r="AO240" s="57">
        <f>SUMIF($C$6:$AL$6,3,C240:AL240)</f>
        <v/>
      </c>
      <c r="AP240" s="57">
        <f>SUM(C240:AL240)</f>
        <v/>
      </c>
    </row>
    <row r="241">
      <c r="A241" s="7" t="inlineStr">
        <is>
          <t xml:space="preserve">   Average order value</t>
        </is>
      </c>
      <c r="B241" s="9" t="inlineStr">
        <is>
          <t>$</t>
        </is>
      </c>
      <c r="C241" s="16">
        <f>'Unit Economics'!$E$57*'Assumptions'!$D$189*C235</f>
        <v/>
      </c>
      <c r="D241" s="16">
        <f>'Unit Economics'!$E$57*'Assumptions'!$D$189*D235</f>
        <v/>
      </c>
      <c r="E241" s="16">
        <f>'Unit Economics'!$E$57*'Assumptions'!$D$189*E235</f>
        <v/>
      </c>
      <c r="F241" s="16">
        <f>'Unit Economics'!$E$57*'Assumptions'!$D$189*F235</f>
        <v/>
      </c>
      <c r="G241" s="16">
        <f>'Unit Economics'!$E$57*'Assumptions'!$D$189*G235</f>
        <v/>
      </c>
      <c r="H241" s="16">
        <f>'Unit Economics'!$E$57*'Assumptions'!$D$189*H235</f>
        <v/>
      </c>
      <c r="I241" s="16">
        <f>'Unit Economics'!$E$57*'Assumptions'!$D$189*I235</f>
        <v/>
      </c>
      <c r="J241" s="16">
        <f>'Unit Economics'!$E$57*'Assumptions'!$D$189*J235</f>
        <v/>
      </c>
      <c r="K241" s="16">
        <f>'Unit Economics'!$E$57*'Assumptions'!$D$189*K235</f>
        <v/>
      </c>
      <c r="L241" s="16">
        <f>'Unit Economics'!$E$57*'Assumptions'!$D$189*L235</f>
        <v/>
      </c>
      <c r="M241" s="16">
        <f>'Unit Economics'!$E$57*'Assumptions'!$D$189*M235</f>
        <v/>
      </c>
      <c r="N241" s="16">
        <f>'Unit Economics'!$E$57*'Assumptions'!$D$189*N235</f>
        <v/>
      </c>
      <c r="O241" s="16">
        <f>'Unit Economics'!$E$57*'Assumptions'!$D$189*O235</f>
        <v/>
      </c>
      <c r="P241" s="16">
        <f>'Unit Economics'!$E$57*'Assumptions'!$D$189*P235</f>
        <v/>
      </c>
      <c r="Q241" s="16">
        <f>'Unit Economics'!$E$57*'Assumptions'!$D$189*Q235</f>
        <v/>
      </c>
      <c r="R241" s="16">
        <f>'Unit Economics'!$E$57*'Assumptions'!$D$189*R235</f>
        <v/>
      </c>
      <c r="S241" s="16">
        <f>'Unit Economics'!$E$57*'Assumptions'!$D$189*S235</f>
        <v/>
      </c>
      <c r="T241" s="16">
        <f>'Unit Economics'!$E$57*'Assumptions'!$D$189*T235</f>
        <v/>
      </c>
      <c r="U241" s="16">
        <f>'Unit Economics'!$E$57*'Assumptions'!$D$189*U235</f>
        <v/>
      </c>
      <c r="V241" s="16">
        <f>'Unit Economics'!$E$57*'Assumptions'!$D$189*V235</f>
        <v/>
      </c>
      <c r="W241" s="16">
        <f>'Unit Economics'!$E$57*'Assumptions'!$D$189*W235</f>
        <v/>
      </c>
      <c r="X241" s="16">
        <f>'Unit Economics'!$E$57*'Assumptions'!$D$189*X235</f>
        <v/>
      </c>
      <c r="Y241" s="16">
        <f>'Unit Economics'!$E$57*'Assumptions'!$D$189*Y235</f>
        <v/>
      </c>
      <c r="Z241" s="16">
        <f>'Unit Economics'!$E$57*'Assumptions'!$D$189*Z235</f>
        <v/>
      </c>
      <c r="AA241" s="16">
        <f>'Unit Economics'!$E$57*'Assumptions'!$D$189*AA235</f>
        <v/>
      </c>
      <c r="AB241" s="16">
        <f>'Unit Economics'!$E$57*'Assumptions'!$D$189*AB235</f>
        <v/>
      </c>
      <c r="AC241" s="16">
        <f>'Unit Economics'!$E$57*'Assumptions'!$D$189*AC235</f>
        <v/>
      </c>
      <c r="AD241" s="16">
        <f>'Unit Economics'!$E$57*'Assumptions'!$D$189*AD235</f>
        <v/>
      </c>
      <c r="AE241" s="16">
        <f>'Unit Economics'!$E$57*'Assumptions'!$D$189*AE235</f>
        <v/>
      </c>
      <c r="AF241" s="16">
        <f>'Unit Economics'!$E$57*'Assumptions'!$D$189*AF235</f>
        <v/>
      </c>
      <c r="AG241" s="16">
        <f>'Unit Economics'!$E$57*'Assumptions'!$D$189*AG235</f>
        <v/>
      </c>
      <c r="AH241" s="16">
        <f>'Unit Economics'!$E$57*'Assumptions'!$D$189*AH235</f>
        <v/>
      </c>
      <c r="AI241" s="16">
        <f>'Unit Economics'!$E$57*'Assumptions'!$D$189*AI235</f>
        <v/>
      </c>
      <c r="AJ241" s="16">
        <f>'Unit Economics'!$E$57*'Assumptions'!$D$189*AJ235</f>
        <v/>
      </c>
      <c r="AK241" s="16">
        <f>'Unit Economics'!$E$57*'Assumptions'!$D$189*AK235</f>
        <v/>
      </c>
      <c r="AL241" s="16">
        <f>'Unit Economics'!$E$57*'Assumptions'!$D$189*AL235</f>
        <v/>
      </c>
    </row>
    <row r="242">
      <c r="A242" s="7" t="inlineStr">
        <is>
          <t xml:space="preserve">   Gross sales (price paid by customers)</t>
        </is>
      </c>
      <c r="B242" s="9" t="inlineStr">
        <is>
          <t>$</t>
        </is>
      </c>
      <c r="C242" s="8">
        <f>C240*'Unit Economics'!$E$57</f>
        <v/>
      </c>
      <c r="D242" s="8">
        <f>D240*'Unit Economics'!$E$57</f>
        <v/>
      </c>
      <c r="E242" s="8">
        <f>E240*'Unit Economics'!$E$57</f>
        <v/>
      </c>
      <c r="F242" s="8">
        <f>F240*'Unit Economics'!$E$57</f>
        <v/>
      </c>
      <c r="G242" s="8">
        <f>G240*'Unit Economics'!$E$57</f>
        <v/>
      </c>
      <c r="H242" s="8">
        <f>H240*'Unit Economics'!$E$57</f>
        <v/>
      </c>
      <c r="I242" s="8">
        <f>I240*'Unit Economics'!$E$57</f>
        <v/>
      </c>
      <c r="J242" s="8">
        <f>J240*'Unit Economics'!$E$57</f>
        <v/>
      </c>
      <c r="K242" s="8">
        <f>K240*'Unit Economics'!$E$57</f>
        <v/>
      </c>
      <c r="L242" s="8">
        <f>L240*'Unit Economics'!$E$57</f>
        <v/>
      </c>
      <c r="M242" s="8">
        <f>M240*'Unit Economics'!$E$57</f>
        <v/>
      </c>
      <c r="N242" s="8">
        <f>N240*'Unit Economics'!$E$57</f>
        <v/>
      </c>
      <c r="O242" s="8">
        <f>O240*'Unit Economics'!$E$57</f>
        <v/>
      </c>
      <c r="P242" s="8">
        <f>P240*'Unit Economics'!$E$57</f>
        <v/>
      </c>
      <c r="Q242" s="8">
        <f>Q240*'Unit Economics'!$E$57</f>
        <v/>
      </c>
      <c r="R242" s="8">
        <f>R240*'Unit Economics'!$E$57</f>
        <v/>
      </c>
      <c r="S242" s="8">
        <f>S240*'Unit Economics'!$E$57</f>
        <v/>
      </c>
      <c r="T242" s="8">
        <f>T240*'Unit Economics'!$E$57</f>
        <v/>
      </c>
      <c r="U242" s="8">
        <f>U240*'Unit Economics'!$E$57</f>
        <v/>
      </c>
      <c r="V242" s="8">
        <f>V240*'Unit Economics'!$E$57</f>
        <v/>
      </c>
      <c r="W242" s="8">
        <f>W240*'Unit Economics'!$E$57</f>
        <v/>
      </c>
      <c r="X242" s="8">
        <f>X240*'Unit Economics'!$E$57</f>
        <v/>
      </c>
      <c r="Y242" s="8">
        <f>Y240*'Unit Economics'!$E$57</f>
        <v/>
      </c>
      <c r="Z242" s="8">
        <f>Z240*'Unit Economics'!$E$57</f>
        <v/>
      </c>
      <c r="AA242" s="8">
        <f>AA240*'Unit Economics'!$E$57</f>
        <v/>
      </c>
      <c r="AB242" s="8">
        <f>AB240*'Unit Economics'!$E$57</f>
        <v/>
      </c>
      <c r="AC242" s="8">
        <f>AC240*'Unit Economics'!$E$57</f>
        <v/>
      </c>
      <c r="AD242" s="8">
        <f>AD240*'Unit Economics'!$E$57</f>
        <v/>
      </c>
      <c r="AE242" s="8">
        <f>AE240*'Unit Economics'!$E$57</f>
        <v/>
      </c>
      <c r="AF242" s="8">
        <f>AF240*'Unit Economics'!$E$57</f>
        <v/>
      </c>
      <c r="AG242" s="8">
        <f>AG240*'Unit Economics'!$E$57</f>
        <v/>
      </c>
      <c r="AH242" s="8">
        <f>AH240*'Unit Economics'!$E$57</f>
        <v/>
      </c>
      <c r="AI242" s="8">
        <f>AI240*'Unit Economics'!$E$57</f>
        <v/>
      </c>
      <c r="AJ242" s="8">
        <f>AJ240*'Unit Economics'!$E$57</f>
        <v/>
      </c>
      <c r="AK242" s="8">
        <f>AK240*'Unit Economics'!$E$57</f>
        <v/>
      </c>
      <c r="AL242" s="8">
        <f>AL240*'Unit Economics'!$E$57</f>
        <v/>
      </c>
      <c r="AM242" s="47">
        <f>SUMIF($C$6:$AL$6,1,C242:AL242)</f>
        <v/>
      </c>
      <c r="AN242" s="47">
        <f>SUMIF($C$6:$AL$6,2,C242:AL242)</f>
        <v/>
      </c>
      <c r="AO242" s="47">
        <f>SUMIF($C$6:$AL$6,3,C242:AL242)</f>
        <v/>
      </c>
      <c r="AP242" s="47">
        <f>SUM(C242:AL242)</f>
        <v/>
      </c>
    </row>
    <row r="243">
      <c r="A243" s="7" t="inlineStr">
        <is>
          <t xml:space="preserve">   Net contribution to AlphaPlay</t>
        </is>
      </c>
      <c r="B243" s="9" t="inlineStr">
        <is>
          <t>$</t>
        </is>
      </c>
      <c r="C243" s="8">
        <f>C240*'Unit Economics'!$F$57</f>
        <v/>
      </c>
      <c r="D243" s="8">
        <f>D240*'Unit Economics'!$F$57</f>
        <v/>
      </c>
      <c r="E243" s="8">
        <f>E240*'Unit Economics'!$F$57</f>
        <v/>
      </c>
      <c r="F243" s="8">
        <f>F240*'Unit Economics'!$F$57</f>
        <v/>
      </c>
      <c r="G243" s="8">
        <f>G240*'Unit Economics'!$F$57</f>
        <v/>
      </c>
      <c r="H243" s="8">
        <f>H240*'Unit Economics'!$F$57</f>
        <v/>
      </c>
      <c r="I243" s="8">
        <f>I240*'Unit Economics'!$F$57</f>
        <v/>
      </c>
      <c r="J243" s="8">
        <f>J240*'Unit Economics'!$F$57</f>
        <v/>
      </c>
      <c r="K243" s="8">
        <f>K240*'Unit Economics'!$F$57</f>
        <v/>
      </c>
      <c r="L243" s="8">
        <f>L240*'Unit Economics'!$F$57</f>
        <v/>
      </c>
      <c r="M243" s="8">
        <f>M240*'Unit Economics'!$F$57</f>
        <v/>
      </c>
      <c r="N243" s="8">
        <f>N240*'Unit Economics'!$F$57</f>
        <v/>
      </c>
      <c r="O243" s="8">
        <f>O240*'Unit Economics'!$F$57</f>
        <v/>
      </c>
      <c r="P243" s="8">
        <f>P240*'Unit Economics'!$F$57</f>
        <v/>
      </c>
      <c r="Q243" s="8">
        <f>Q240*'Unit Economics'!$F$57</f>
        <v/>
      </c>
      <c r="R243" s="8">
        <f>R240*'Unit Economics'!$F$57</f>
        <v/>
      </c>
      <c r="S243" s="8">
        <f>S240*'Unit Economics'!$F$57</f>
        <v/>
      </c>
      <c r="T243" s="8">
        <f>T240*'Unit Economics'!$F$57</f>
        <v/>
      </c>
      <c r="U243" s="8">
        <f>U240*'Unit Economics'!$F$57</f>
        <v/>
      </c>
      <c r="V243" s="8">
        <f>V240*'Unit Economics'!$F$57</f>
        <v/>
      </c>
      <c r="W243" s="8">
        <f>W240*'Unit Economics'!$F$57</f>
        <v/>
      </c>
      <c r="X243" s="8">
        <f>X240*'Unit Economics'!$F$57</f>
        <v/>
      </c>
      <c r="Y243" s="8">
        <f>Y240*'Unit Economics'!$F$57</f>
        <v/>
      </c>
      <c r="Z243" s="8">
        <f>Z240*'Unit Economics'!$F$57</f>
        <v/>
      </c>
      <c r="AA243" s="8">
        <f>AA240*'Unit Economics'!$F$57</f>
        <v/>
      </c>
      <c r="AB243" s="8">
        <f>AB240*'Unit Economics'!$F$57</f>
        <v/>
      </c>
      <c r="AC243" s="8">
        <f>AC240*'Unit Economics'!$F$57</f>
        <v/>
      </c>
      <c r="AD243" s="8">
        <f>AD240*'Unit Economics'!$F$57</f>
        <v/>
      </c>
      <c r="AE243" s="8">
        <f>AE240*'Unit Economics'!$F$57</f>
        <v/>
      </c>
      <c r="AF243" s="8">
        <f>AF240*'Unit Economics'!$F$57</f>
        <v/>
      </c>
      <c r="AG243" s="8">
        <f>AG240*'Unit Economics'!$F$57</f>
        <v/>
      </c>
      <c r="AH243" s="8">
        <f>AH240*'Unit Economics'!$F$57</f>
        <v/>
      </c>
      <c r="AI243" s="8">
        <f>AI240*'Unit Economics'!$F$57</f>
        <v/>
      </c>
      <c r="AJ243" s="8">
        <f>AJ240*'Unit Economics'!$F$57</f>
        <v/>
      </c>
      <c r="AK243" s="8">
        <f>AK240*'Unit Economics'!$F$57</f>
        <v/>
      </c>
      <c r="AL243" s="8">
        <f>AL240*'Unit Economics'!$F$57</f>
        <v/>
      </c>
      <c r="AM243" s="47">
        <f>SUMIF($C$6:$AL$6,1,C243:AL243)</f>
        <v/>
      </c>
      <c r="AN243" s="47">
        <f>SUMIF($C$6:$AL$6,2,C243:AL243)</f>
        <v/>
      </c>
      <c r="AO243" s="47">
        <f>SUMIF($C$6:$AL$6,3,C243:AL243)</f>
        <v/>
      </c>
      <c r="AP243" s="47">
        <f>SUM(C243:AL243)</f>
        <v/>
      </c>
    </row>
    <row r="244">
      <c r="A244" s="5" t="inlineStr">
        <is>
          <t>Email list (owned audience)</t>
        </is>
      </c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  <c r="AC244" s="6" t="n"/>
      <c r="AD244" s="6" t="n"/>
      <c r="AE244" s="6" t="n"/>
      <c r="AF244" s="6" t="n"/>
      <c r="AG244" s="6" t="n"/>
      <c r="AH244" s="6" t="n"/>
      <c r="AI244" s="6" t="n"/>
      <c r="AJ244" s="6" t="n"/>
      <c r="AK244" s="6" t="n"/>
      <c r="AL244" s="6" t="n"/>
      <c r="AM244" s="6" t="n"/>
      <c r="AN244" s="6" t="n"/>
      <c r="AO244" s="6" t="n"/>
      <c r="AP244" s="6" t="n"/>
    </row>
    <row r="245">
      <c r="A245" s="7" t="inlineStr">
        <is>
          <t xml:space="preserve">   Implied own-site sessions (site product-months x orders per product / site conversion)</t>
        </is>
      </c>
      <c r="B245" s="9" t="inlineStr">
        <is>
          <t>visits</t>
        </is>
      </c>
      <c r="C245" s="15">
        <f>C156*'Assumptions'!$D$122/'Assumptions'!$D$124</f>
        <v/>
      </c>
      <c r="D245" s="15">
        <f>D156*'Assumptions'!$D$122/'Assumptions'!$D$124</f>
        <v/>
      </c>
      <c r="E245" s="15">
        <f>E156*'Assumptions'!$D$122/'Assumptions'!$D$124</f>
        <v/>
      </c>
      <c r="F245" s="15">
        <f>F156*'Assumptions'!$D$122/'Assumptions'!$D$124</f>
        <v/>
      </c>
      <c r="G245" s="15">
        <f>G156*'Assumptions'!$D$122/'Assumptions'!$D$124</f>
        <v/>
      </c>
      <c r="H245" s="15">
        <f>H156*'Assumptions'!$D$122/'Assumptions'!$D$124</f>
        <v/>
      </c>
      <c r="I245" s="15">
        <f>I156*'Assumptions'!$D$122/'Assumptions'!$D$124</f>
        <v/>
      </c>
      <c r="J245" s="15">
        <f>J156*'Assumptions'!$D$122/'Assumptions'!$D$124</f>
        <v/>
      </c>
      <c r="K245" s="15">
        <f>K156*'Assumptions'!$D$122/'Assumptions'!$D$124</f>
        <v/>
      </c>
      <c r="L245" s="15">
        <f>L156*'Assumptions'!$D$122/'Assumptions'!$D$124</f>
        <v/>
      </c>
      <c r="M245" s="15">
        <f>M156*'Assumptions'!$D$122/'Assumptions'!$D$124</f>
        <v/>
      </c>
      <c r="N245" s="15">
        <f>N156*'Assumptions'!$D$122/'Assumptions'!$D$124</f>
        <v/>
      </c>
      <c r="O245" s="15">
        <f>O156*'Assumptions'!$D$122/'Assumptions'!$D$124</f>
        <v/>
      </c>
      <c r="P245" s="15">
        <f>P156*'Assumptions'!$D$122/'Assumptions'!$D$124</f>
        <v/>
      </c>
      <c r="Q245" s="15">
        <f>Q156*'Assumptions'!$D$122/'Assumptions'!$D$124</f>
        <v/>
      </c>
      <c r="R245" s="15">
        <f>R156*'Assumptions'!$D$122/'Assumptions'!$D$124</f>
        <v/>
      </c>
      <c r="S245" s="15">
        <f>S156*'Assumptions'!$D$122/'Assumptions'!$D$124</f>
        <v/>
      </c>
      <c r="T245" s="15">
        <f>T156*'Assumptions'!$D$122/'Assumptions'!$D$124</f>
        <v/>
      </c>
      <c r="U245" s="15">
        <f>U156*'Assumptions'!$D$122/'Assumptions'!$D$124</f>
        <v/>
      </c>
      <c r="V245" s="15">
        <f>V156*'Assumptions'!$D$122/'Assumptions'!$D$124</f>
        <v/>
      </c>
      <c r="W245" s="15">
        <f>W156*'Assumptions'!$D$122/'Assumptions'!$D$124</f>
        <v/>
      </c>
      <c r="X245" s="15">
        <f>X156*'Assumptions'!$D$122/'Assumptions'!$D$124</f>
        <v/>
      </c>
      <c r="Y245" s="15">
        <f>Y156*'Assumptions'!$D$122/'Assumptions'!$D$124</f>
        <v/>
      </c>
      <c r="Z245" s="15">
        <f>Z156*'Assumptions'!$D$122/'Assumptions'!$D$124</f>
        <v/>
      </c>
      <c r="AA245" s="15">
        <f>AA156*'Assumptions'!$D$122/'Assumptions'!$D$124</f>
        <v/>
      </c>
      <c r="AB245" s="15">
        <f>AB156*'Assumptions'!$D$122/'Assumptions'!$D$124</f>
        <v/>
      </c>
      <c r="AC245" s="15">
        <f>AC156*'Assumptions'!$D$122/'Assumptions'!$D$124</f>
        <v/>
      </c>
      <c r="AD245" s="15">
        <f>AD156*'Assumptions'!$D$122/'Assumptions'!$D$124</f>
        <v/>
      </c>
      <c r="AE245" s="15">
        <f>AE156*'Assumptions'!$D$122/'Assumptions'!$D$124</f>
        <v/>
      </c>
      <c r="AF245" s="15">
        <f>AF156*'Assumptions'!$D$122/'Assumptions'!$D$124</f>
        <v/>
      </c>
      <c r="AG245" s="15">
        <f>AG156*'Assumptions'!$D$122/'Assumptions'!$D$124</f>
        <v/>
      </c>
      <c r="AH245" s="15">
        <f>AH156*'Assumptions'!$D$122/'Assumptions'!$D$124</f>
        <v/>
      </c>
      <c r="AI245" s="15">
        <f>AI156*'Assumptions'!$D$122/'Assumptions'!$D$124</f>
        <v/>
      </c>
      <c r="AJ245" s="15">
        <f>AJ156*'Assumptions'!$D$122/'Assumptions'!$D$124</f>
        <v/>
      </c>
      <c r="AK245" s="15">
        <f>AK156*'Assumptions'!$D$122/'Assumptions'!$D$124</f>
        <v/>
      </c>
      <c r="AL245" s="15">
        <f>AL156*'Assumptions'!$D$122/'Assumptions'!$D$124</f>
        <v/>
      </c>
      <c r="AM245" s="57">
        <f>SUMIF($C$6:$AL$6,1,C245:AL245)</f>
        <v/>
      </c>
      <c r="AN245" s="57">
        <f>SUMIF($C$6:$AL$6,2,C245:AL245)</f>
        <v/>
      </c>
      <c r="AO245" s="57">
        <f>SUMIF($C$6:$AL$6,3,C245:AL245)</f>
        <v/>
      </c>
      <c r="AP245" s="57">
        <f>SUM(C245:AL245)</f>
        <v/>
      </c>
    </row>
    <row r="246">
      <c r="A246" s="7" t="inlineStr">
        <is>
          <t xml:space="preserve">   New subscribers (own-site visitors + non-Etsy buyers via bonus QR)</t>
        </is>
      </c>
      <c r="B246" s="9" t="inlineStr">
        <is>
          <t>people</t>
        </is>
      </c>
      <c r="C246" s="15">
        <f>C245*'Assumptions'!$D$192+(C158+C178+C188+C198+C218)*'Assumptions'!$D$193</f>
        <v/>
      </c>
      <c r="D246" s="15">
        <f>D245*'Assumptions'!$D$192+(D158+D178+D188+D198+D218)*'Assumptions'!$D$193</f>
        <v/>
      </c>
      <c r="E246" s="15">
        <f>E245*'Assumptions'!$D$192+(E158+E178+E188+E198+E218)*'Assumptions'!$D$193</f>
        <v/>
      </c>
      <c r="F246" s="15">
        <f>F245*'Assumptions'!$D$192+(F158+F178+F188+F198+F218)*'Assumptions'!$D$193</f>
        <v/>
      </c>
      <c r="G246" s="15">
        <f>G245*'Assumptions'!$D$192+(G158+G178+G188+G198+G218)*'Assumptions'!$D$193</f>
        <v/>
      </c>
      <c r="H246" s="15">
        <f>H245*'Assumptions'!$D$192+(H158+H178+H188+H198+H218)*'Assumptions'!$D$193</f>
        <v/>
      </c>
      <c r="I246" s="15">
        <f>I245*'Assumptions'!$D$192+(I158+I178+I188+I198+I218)*'Assumptions'!$D$193</f>
        <v/>
      </c>
      <c r="J246" s="15">
        <f>J245*'Assumptions'!$D$192+(J158+J178+J188+J198+J218)*'Assumptions'!$D$193</f>
        <v/>
      </c>
      <c r="K246" s="15">
        <f>K245*'Assumptions'!$D$192+(K158+K178+K188+K198+K218)*'Assumptions'!$D$193</f>
        <v/>
      </c>
      <c r="L246" s="15">
        <f>L245*'Assumptions'!$D$192+(L158+L178+L188+L198+L218)*'Assumptions'!$D$193</f>
        <v/>
      </c>
      <c r="M246" s="15">
        <f>M245*'Assumptions'!$D$192+(M158+M178+M188+M198+M218)*'Assumptions'!$D$193</f>
        <v/>
      </c>
      <c r="N246" s="15">
        <f>N245*'Assumptions'!$D$192+(N158+N178+N188+N198+N218)*'Assumptions'!$D$193</f>
        <v/>
      </c>
      <c r="O246" s="15">
        <f>O245*'Assumptions'!$D$192+(O158+O178+O188+O198+O218)*'Assumptions'!$D$193</f>
        <v/>
      </c>
      <c r="P246" s="15">
        <f>P245*'Assumptions'!$D$192+(P158+P178+P188+P198+P218)*'Assumptions'!$D$193</f>
        <v/>
      </c>
      <c r="Q246" s="15">
        <f>Q245*'Assumptions'!$D$192+(Q158+Q178+Q188+Q198+Q218)*'Assumptions'!$D$193</f>
        <v/>
      </c>
      <c r="R246" s="15">
        <f>R245*'Assumptions'!$D$192+(R158+R178+R188+R198+R218)*'Assumptions'!$D$193</f>
        <v/>
      </c>
      <c r="S246" s="15">
        <f>S245*'Assumptions'!$D$192+(S158+S178+S188+S198+S218)*'Assumptions'!$D$193</f>
        <v/>
      </c>
      <c r="T246" s="15">
        <f>T245*'Assumptions'!$D$192+(T158+T178+T188+T198+T218)*'Assumptions'!$D$193</f>
        <v/>
      </c>
      <c r="U246" s="15">
        <f>U245*'Assumptions'!$D$192+(U158+U178+U188+U198+U218)*'Assumptions'!$D$193</f>
        <v/>
      </c>
      <c r="V246" s="15">
        <f>V245*'Assumptions'!$D$192+(V158+V178+V188+V198+V218)*'Assumptions'!$D$193</f>
        <v/>
      </c>
      <c r="W246" s="15">
        <f>W245*'Assumptions'!$D$192+(W158+W178+W188+W198+W218)*'Assumptions'!$D$193</f>
        <v/>
      </c>
      <c r="X246" s="15">
        <f>X245*'Assumptions'!$D$192+(X158+X178+X188+X198+X218)*'Assumptions'!$D$193</f>
        <v/>
      </c>
      <c r="Y246" s="15">
        <f>Y245*'Assumptions'!$D$192+(Y158+Y178+Y188+Y198+Y218)*'Assumptions'!$D$193</f>
        <v/>
      </c>
      <c r="Z246" s="15">
        <f>Z245*'Assumptions'!$D$192+(Z158+Z178+Z188+Z198+Z218)*'Assumptions'!$D$193</f>
        <v/>
      </c>
      <c r="AA246" s="15">
        <f>AA245*'Assumptions'!$D$192+(AA158+AA178+AA188+AA198+AA218)*'Assumptions'!$D$193</f>
        <v/>
      </c>
      <c r="AB246" s="15">
        <f>AB245*'Assumptions'!$D$192+(AB158+AB178+AB188+AB198+AB218)*'Assumptions'!$D$193</f>
        <v/>
      </c>
      <c r="AC246" s="15">
        <f>AC245*'Assumptions'!$D$192+(AC158+AC178+AC188+AC198+AC218)*'Assumptions'!$D$193</f>
        <v/>
      </c>
      <c r="AD246" s="15">
        <f>AD245*'Assumptions'!$D$192+(AD158+AD178+AD188+AD198+AD218)*'Assumptions'!$D$193</f>
        <v/>
      </c>
      <c r="AE246" s="15">
        <f>AE245*'Assumptions'!$D$192+(AE158+AE178+AE188+AE198+AE218)*'Assumptions'!$D$193</f>
        <v/>
      </c>
      <c r="AF246" s="15">
        <f>AF245*'Assumptions'!$D$192+(AF158+AF178+AF188+AF198+AF218)*'Assumptions'!$D$193</f>
        <v/>
      </c>
      <c r="AG246" s="15">
        <f>AG245*'Assumptions'!$D$192+(AG158+AG178+AG188+AG198+AG218)*'Assumptions'!$D$193</f>
        <v/>
      </c>
      <c r="AH246" s="15">
        <f>AH245*'Assumptions'!$D$192+(AH158+AH178+AH188+AH198+AH218)*'Assumptions'!$D$193</f>
        <v/>
      </c>
      <c r="AI246" s="15">
        <f>AI245*'Assumptions'!$D$192+(AI158+AI178+AI188+AI198+AI218)*'Assumptions'!$D$193</f>
        <v/>
      </c>
      <c r="AJ246" s="15">
        <f>AJ245*'Assumptions'!$D$192+(AJ158+AJ178+AJ188+AJ198+AJ218)*'Assumptions'!$D$193</f>
        <v/>
      </c>
      <c r="AK246" s="15">
        <f>AK245*'Assumptions'!$D$192+(AK158+AK178+AK188+AK198+AK218)*'Assumptions'!$D$193</f>
        <v/>
      </c>
      <c r="AL246" s="15">
        <f>AL245*'Assumptions'!$D$192+(AL158+AL178+AL188+AL198+AL218)*'Assumptions'!$D$193</f>
        <v/>
      </c>
      <c r="AM246" s="57">
        <f>SUMIF($C$6:$AL$6,1,C246:AL246)</f>
        <v/>
      </c>
      <c r="AN246" s="57">
        <f>SUMIF($C$6:$AL$6,2,C246:AL246)</f>
        <v/>
      </c>
      <c r="AO246" s="57">
        <f>SUMIF($C$6:$AL$6,3,C246:AL246)</f>
        <v/>
      </c>
      <c r="AP246" s="57">
        <f>SUM(C246:AL246)</f>
        <v/>
      </c>
    </row>
    <row r="247">
      <c r="A247" s="7" t="inlineStr">
        <is>
          <t xml:space="preserve">   Unsubscribes</t>
        </is>
      </c>
      <c r="B247" s="9" t="inlineStr">
        <is>
          <t>people</t>
        </is>
      </c>
      <c r="C247" s="58">
        <f>0</f>
        <v/>
      </c>
      <c r="D247" s="15">
        <f>C248*'Assumptions'!$D$194</f>
        <v/>
      </c>
      <c r="E247" s="15">
        <f>D248*'Assumptions'!$D$194</f>
        <v/>
      </c>
      <c r="F247" s="15">
        <f>E248*'Assumptions'!$D$194</f>
        <v/>
      </c>
      <c r="G247" s="15">
        <f>F248*'Assumptions'!$D$194</f>
        <v/>
      </c>
      <c r="H247" s="15">
        <f>G248*'Assumptions'!$D$194</f>
        <v/>
      </c>
      <c r="I247" s="15">
        <f>H248*'Assumptions'!$D$194</f>
        <v/>
      </c>
      <c r="J247" s="15">
        <f>I248*'Assumptions'!$D$194</f>
        <v/>
      </c>
      <c r="K247" s="15">
        <f>J248*'Assumptions'!$D$194</f>
        <v/>
      </c>
      <c r="L247" s="15">
        <f>K248*'Assumptions'!$D$194</f>
        <v/>
      </c>
      <c r="M247" s="15">
        <f>L248*'Assumptions'!$D$194</f>
        <v/>
      </c>
      <c r="N247" s="15">
        <f>M248*'Assumptions'!$D$194</f>
        <v/>
      </c>
      <c r="O247" s="15">
        <f>N248*'Assumptions'!$D$194</f>
        <v/>
      </c>
      <c r="P247" s="15">
        <f>O248*'Assumptions'!$D$194</f>
        <v/>
      </c>
      <c r="Q247" s="15">
        <f>P248*'Assumptions'!$D$194</f>
        <v/>
      </c>
      <c r="R247" s="15">
        <f>Q248*'Assumptions'!$D$194</f>
        <v/>
      </c>
      <c r="S247" s="15">
        <f>R248*'Assumptions'!$D$194</f>
        <v/>
      </c>
      <c r="T247" s="15">
        <f>S248*'Assumptions'!$D$194</f>
        <v/>
      </c>
      <c r="U247" s="15">
        <f>T248*'Assumptions'!$D$194</f>
        <v/>
      </c>
      <c r="V247" s="15">
        <f>U248*'Assumptions'!$D$194</f>
        <v/>
      </c>
      <c r="W247" s="15">
        <f>V248*'Assumptions'!$D$194</f>
        <v/>
      </c>
      <c r="X247" s="15">
        <f>W248*'Assumptions'!$D$194</f>
        <v/>
      </c>
      <c r="Y247" s="15">
        <f>X248*'Assumptions'!$D$194</f>
        <v/>
      </c>
      <c r="Z247" s="15">
        <f>Y248*'Assumptions'!$D$194</f>
        <v/>
      </c>
      <c r="AA247" s="15">
        <f>Z248*'Assumptions'!$D$194</f>
        <v/>
      </c>
      <c r="AB247" s="15">
        <f>AA248*'Assumptions'!$D$194</f>
        <v/>
      </c>
      <c r="AC247" s="15">
        <f>AB248*'Assumptions'!$D$194</f>
        <v/>
      </c>
      <c r="AD247" s="15">
        <f>AC248*'Assumptions'!$D$194</f>
        <v/>
      </c>
      <c r="AE247" s="15">
        <f>AD248*'Assumptions'!$D$194</f>
        <v/>
      </c>
      <c r="AF247" s="15">
        <f>AE248*'Assumptions'!$D$194</f>
        <v/>
      </c>
      <c r="AG247" s="15">
        <f>AF248*'Assumptions'!$D$194</f>
        <v/>
      </c>
      <c r="AH247" s="15">
        <f>AG248*'Assumptions'!$D$194</f>
        <v/>
      </c>
      <c r="AI247" s="15">
        <f>AH248*'Assumptions'!$D$194</f>
        <v/>
      </c>
      <c r="AJ247" s="15">
        <f>AI248*'Assumptions'!$D$194</f>
        <v/>
      </c>
      <c r="AK247" s="15">
        <f>AJ248*'Assumptions'!$D$194</f>
        <v/>
      </c>
      <c r="AL247" s="15">
        <f>AK248*'Assumptions'!$D$194</f>
        <v/>
      </c>
      <c r="AM247" s="57">
        <f>SUMIF($C$6:$AL$6,1,C247:AL247)</f>
        <v/>
      </c>
      <c r="AN247" s="57">
        <f>SUMIF($C$6:$AL$6,2,C247:AL247)</f>
        <v/>
      </c>
      <c r="AO247" s="57">
        <f>SUMIF($C$6:$AL$6,3,C247:AL247)</f>
        <v/>
      </c>
      <c r="AP247" s="57">
        <f>SUM(C247:AL247)</f>
        <v/>
      </c>
    </row>
    <row r="248">
      <c r="A248" s="7" t="inlineStr">
        <is>
          <t xml:space="preserve">   Subscribers at month end</t>
        </is>
      </c>
      <c r="B248" s="9" t="inlineStr">
        <is>
          <t>people</t>
        </is>
      </c>
      <c r="C248" s="58">
        <f>C246-C247</f>
        <v/>
      </c>
      <c r="D248" s="58">
        <f>D246-D247+C248</f>
        <v/>
      </c>
      <c r="E248" s="58">
        <f>E246-E247+D248</f>
        <v/>
      </c>
      <c r="F248" s="58">
        <f>F246-F247+E248</f>
        <v/>
      </c>
      <c r="G248" s="58">
        <f>G246-G247+F248</f>
        <v/>
      </c>
      <c r="H248" s="58">
        <f>H246-H247+G248</f>
        <v/>
      </c>
      <c r="I248" s="58">
        <f>I246-I247+H248</f>
        <v/>
      </c>
      <c r="J248" s="58">
        <f>J246-J247+I248</f>
        <v/>
      </c>
      <c r="K248" s="58">
        <f>K246-K247+J248</f>
        <v/>
      </c>
      <c r="L248" s="58">
        <f>L246-L247+K248</f>
        <v/>
      </c>
      <c r="M248" s="58">
        <f>M246-M247+L248</f>
        <v/>
      </c>
      <c r="N248" s="58">
        <f>N246-N247+M248</f>
        <v/>
      </c>
      <c r="O248" s="58">
        <f>O246-O247+N248</f>
        <v/>
      </c>
      <c r="P248" s="58">
        <f>P246-P247+O248</f>
        <v/>
      </c>
      <c r="Q248" s="58">
        <f>Q246-Q247+P248</f>
        <v/>
      </c>
      <c r="R248" s="58">
        <f>R246-R247+Q248</f>
        <v/>
      </c>
      <c r="S248" s="58">
        <f>S246-S247+R248</f>
        <v/>
      </c>
      <c r="T248" s="58">
        <f>T246-T247+S248</f>
        <v/>
      </c>
      <c r="U248" s="58">
        <f>U246-U247+T248</f>
        <v/>
      </c>
      <c r="V248" s="58">
        <f>V246-V247+U248</f>
        <v/>
      </c>
      <c r="W248" s="58">
        <f>W246-W247+V248</f>
        <v/>
      </c>
      <c r="X248" s="58">
        <f>X246-X247+W248</f>
        <v/>
      </c>
      <c r="Y248" s="58">
        <f>Y246-Y247+X248</f>
        <v/>
      </c>
      <c r="Z248" s="58">
        <f>Z246-Z247+Y248</f>
        <v/>
      </c>
      <c r="AA248" s="58">
        <f>AA246-AA247+Z248</f>
        <v/>
      </c>
      <c r="AB248" s="58">
        <f>AB246-AB247+AA248</f>
        <v/>
      </c>
      <c r="AC248" s="58">
        <f>AC246-AC247+AB248</f>
        <v/>
      </c>
      <c r="AD248" s="58">
        <f>AD246-AD247+AC248</f>
        <v/>
      </c>
      <c r="AE248" s="58">
        <f>AE246-AE247+AD248</f>
        <v/>
      </c>
      <c r="AF248" s="58">
        <f>AF246-AF247+AE248</f>
        <v/>
      </c>
      <c r="AG248" s="58">
        <f>AG246-AG247+AF248</f>
        <v/>
      </c>
      <c r="AH248" s="58">
        <f>AH246-AH247+AG248</f>
        <v/>
      </c>
      <c r="AI248" s="58">
        <f>AI246-AI247+AH248</f>
        <v/>
      </c>
      <c r="AJ248" s="58">
        <f>AJ246-AJ247+AI248</f>
        <v/>
      </c>
      <c r="AK248" s="58">
        <f>AK246-AK247+AJ248</f>
        <v/>
      </c>
      <c r="AL248" s="58">
        <f>AL246-AL247+AK248</f>
        <v/>
      </c>
      <c r="AM248" s="57">
        <f>N248</f>
        <v/>
      </c>
      <c r="AN248" s="57">
        <f>Z248</f>
        <v/>
      </c>
      <c r="AO248" s="57">
        <f>AL248</f>
        <v/>
      </c>
      <c r="AP248" s="57">
        <f>AL248</f>
        <v/>
      </c>
    </row>
    <row r="249">
      <c r="A249" s="5" t="inlineStr">
        <is>
          <t>Totals and operating result</t>
        </is>
      </c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  <c r="AC249" s="6" t="n"/>
      <c r="AD249" s="6" t="n"/>
      <c r="AE249" s="6" t="n"/>
      <c r="AF249" s="6" t="n"/>
      <c r="AG249" s="6" t="n"/>
      <c r="AH249" s="6" t="n"/>
      <c r="AI249" s="6" t="n"/>
      <c r="AJ249" s="6" t="n"/>
      <c r="AK249" s="6" t="n"/>
      <c r="AL249" s="6" t="n"/>
      <c r="AM249" s="6" t="n"/>
      <c r="AN249" s="6" t="n"/>
      <c r="AO249" s="6" t="n"/>
      <c r="AP249" s="6" t="n"/>
    </row>
    <row r="250">
      <c r="A250" s="7" t="inlineStr">
        <is>
          <t>Total orders</t>
        </is>
      </c>
      <c r="B250" s="9" t="inlineStr">
        <is>
          <t>orders</t>
        </is>
      </c>
      <c r="C250" s="58">
        <f>C158+C168+C178+C188+C198+C208+C218+C229+C239</f>
        <v/>
      </c>
      <c r="D250" s="58">
        <f>D158+D168+D178+D188+D198+D208+D218+D229+D239</f>
        <v/>
      </c>
      <c r="E250" s="58">
        <f>E158+E168+E178+E188+E198+E208+E218+E229+E239</f>
        <v/>
      </c>
      <c r="F250" s="58">
        <f>F158+F168+F178+F188+F198+F208+F218+F229+F239</f>
        <v/>
      </c>
      <c r="G250" s="58">
        <f>G158+G168+G178+G188+G198+G208+G218+G229+G239</f>
        <v/>
      </c>
      <c r="H250" s="58">
        <f>H158+H168+H178+H188+H198+H208+H218+H229+H239</f>
        <v/>
      </c>
      <c r="I250" s="58">
        <f>I158+I168+I178+I188+I198+I208+I218+I229+I239</f>
        <v/>
      </c>
      <c r="J250" s="58">
        <f>J158+J168+J178+J188+J198+J208+J218+J229+J239</f>
        <v/>
      </c>
      <c r="K250" s="58">
        <f>K158+K168+K178+K188+K198+K208+K218+K229+K239</f>
        <v/>
      </c>
      <c r="L250" s="58">
        <f>L158+L168+L178+L188+L198+L208+L218+L229+L239</f>
        <v/>
      </c>
      <c r="M250" s="58">
        <f>M158+M168+M178+M188+M198+M208+M218+M229+M239</f>
        <v/>
      </c>
      <c r="N250" s="58">
        <f>N158+N168+N178+N188+N198+N208+N218+N229+N239</f>
        <v/>
      </c>
      <c r="O250" s="58">
        <f>O158+O168+O178+O188+O198+O208+O218+O229+O239</f>
        <v/>
      </c>
      <c r="P250" s="58">
        <f>P158+P168+P178+P188+P198+P208+P218+P229+P239</f>
        <v/>
      </c>
      <c r="Q250" s="58">
        <f>Q158+Q168+Q178+Q188+Q198+Q208+Q218+Q229+Q239</f>
        <v/>
      </c>
      <c r="R250" s="58">
        <f>R158+R168+R178+R188+R198+R208+R218+R229+R239</f>
        <v/>
      </c>
      <c r="S250" s="58">
        <f>S158+S168+S178+S188+S198+S208+S218+S229+S239</f>
        <v/>
      </c>
      <c r="T250" s="58">
        <f>T158+T168+T178+T188+T198+T208+T218+T229+T239</f>
        <v/>
      </c>
      <c r="U250" s="58">
        <f>U158+U168+U178+U188+U198+U208+U218+U229+U239</f>
        <v/>
      </c>
      <c r="V250" s="58">
        <f>V158+V168+V178+V188+V198+V208+V218+V229+V239</f>
        <v/>
      </c>
      <c r="W250" s="58">
        <f>W158+W168+W178+W188+W198+W208+W218+W229+W239</f>
        <v/>
      </c>
      <c r="X250" s="58">
        <f>X158+X168+X178+X188+X198+X208+X218+X229+X239</f>
        <v/>
      </c>
      <c r="Y250" s="58">
        <f>Y158+Y168+Y178+Y188+Y198+Y208+Y218+Y229+Y239</f>
        <v/>
      </c>
      <c r="Z250" s="58">
        <f>Z158+Z168+Z178+Z188+Z198+Z208+Z218+Z229+Z239</f>
        <v/>
      </c>
      <c r="AA250" s="58">
        <f>AA158+AA168+AA178+AA188+AA198+AA208+AA218+AA229+AA239</f>
        <v/>
      </c>
      <c r="AB250" s="58">
        <f>AB158+AB168+AB178+AB188+AB198+AB208+AB218+AB229+AB239</f>
        <v/>
      </c>
      <c r="AC250" s="58">
        <f>AC158+AC168+AC178+AC188+AC198+AC208+AC218+AC229+AC239</f>
        <v/>
      </c>
      <c r="AD250" s="58">
        <f>AD158+AD168+AD178+AD188+AD198+AD208+AD218+AD229+AD239</f>
        <v/>
      </c>
      <c r="AE250" s="58">
        <f>AE158+AE168+AE178+AE188+AE198+AE208+AE218+AE229+AE239</f>
        <v/>
      </c>
      <c r="AF250" s="58">
        <f>AF158+AF168+AF178+AF188+AF198+AF208+AF218+AF229+AF239</f>
        <v/>
      </c>
      <c r="AG250" s="58">
        <f>AG158+AG168+AG178+AG188+AG198+AG208+AG218+AG229+AG239</f>
        <v/>
      </c>
      <c r="AH250" s="58">
        <f>AH158+AH168+AH178+AH188+AH198+AH208+AH218+AH229+AH239</f>
        <v/>
      </c>
      <c r="AI250" s="58">
        <f>AI158+AI168+AI178+AI188+AI198+AI208+AI218+AI229+AI239</f>
        <v/>
      </c>
      <c r="AJ250" s="58">
        <f>AJ158+AJ168+AJ178+AJ188+AJ198+AJ208+AJ218+AJ229+AJ239</f>
        <v/>
      </c>
      <c r="AK250" s="58">
        <f>AK158+AK168+AK178+AK188+AK198+AK208+AK218+AK229+AK239</f>
        <v/>
      </c>
      <c r="AL250" s="58">
        <f>AL158+AL168+AL178+AL188+AL198+AL208+AL218+AL229+AL239</f>
        <v/>
      </c>
      <c r="AM250" s="57">
        <f>SUMIF($C$6:$AL$6,1,C250:AL250)</f>
        <v/>
      </c>
      <c r="AN250" s="57">
        <f>SUMIF($C$6:$AL$6,2,C250:AL250)</f>
        <v/>
      </c>
      <c r="AO250" s="57">
        <f>SUMIF($C$6:$AL$6,3,C250:AL250)</f>
        <v/>
      </c>
      <c r="AP250" s="57">
        <f>SUM(C250:AL250)</f>
        <v/>
      </c>
    </row>
    <row r="251">
      <c r="A251" s="7" t="inlineStr">
        <is>
          <t>Total items sold</t>
        </is>
      </c>
      <c r="B251" s="9" t="inlineStr">
        <is>
          <t>items</t>
        </is>
      </c>
      <c r="C251" s="58">
        <f>C159+C169+C179+C189+C199+C209+C219+C230+C240</f>
        <v/>
      </c>
      <c r="D251" s="58">
        <f>D159+D169+D179+D189+D199+D209+D219+D230+D240</f>
        <v/>
      </c>
      <c r="E251" s="58">
        <f>E159+E169+E179+E189+E199+E209+E219+E230+E240</f>
        <v/>
      </c>
      <c r="F251" s="58">
        <f>F159+F169+F179+F189+F199+F209+F219+F230+F240</f>
        <v/>
      </c>
      <c r="G251" s="58">
        <f>G159+G169+G179+G189+G199+G209+G219+G230+G240</f>
        <v/>
      </c>
      <c r="H251" s="58">
        <f>H159+H169+H179+H189+H199+H209+H219+H230+H240</f>
        <v/>
      </c>
      <c r="I251" s="58">
        <f>I159+I169+I179+I189+I199+I209+I219+I230+I240</f>
        <v/>
      </c>
      <c r="J251" s="58">
        <f>J159+J169+J179+J189+J199+J209+J219+J230+J240</f>
        <v/>
      </c>
      <c r="K251" s="58">
        <f>K159+K169+K179+K189+K199+K209+K219+K230+K240</f>
        <v/>
      </c>
      <c r="L251" s="58">
        <f>L159+L169+L179+L189+L199+L209+L219+L230+L240</f>
        <v/>
      </c>
      <c r="M251" s="58">
        <f>M159+M169+M179+M189+M199+M209+M219+M230+M240</f>
        <v/>
      </c>
      <c r="N251" s="58">
        <f>N159+N169+N179+N189+N199+N209+N219+N230+N240</f>
        <v/>
      </c>
      <c r="O251" s="58">
        <f>O159+O169+O179+O189+O199+O209+O219+O230+O240</f>
        <v/>
      </c>
      <c r="P251" s="58">
        <f>P159+P169+P179+P189+P199+P209+P219+P230+P240</f>
        <v/>
      </c>
      <c r="Q251" s="58">
        <f>Q159+Q169+Q179+Q189+Q199+Q209+Q219+Q230+Q240</f>
        <v/>
      </c>
      <c r="R251" s="58">
        <f>R159+R169+R179+R189+R199+R209+R219+R230+R240</f>
        <v/>
      </c>
      <c r="S251" s="58">
        <f>S159+S169+S179+S189+S199+S209+S219+S230+S240</f>
        <v/>
      </c>
      <c r="T251" s="58">
        <f>T159+T169+T179+T189+T199+T209+T219+T230+T240</f>
        <v/>
      </c>
      <c r="U251" s="58">
        <f>U159+U169+U179+U189+U199+U209+U219+U230+U240</f>
        <v/>
      </c>
      <c r="V251" s="58">
        <f>V159+V169+V179+V189+V199+V209+V219+V230+V240</f>
        <v/>
      </c>
      <c r="W251" s="58">
        <f>W159+W169+W179+W189+W199+W209+W219+W230+W240</f>
        <v/>
      </c>
      <c r="X251" s="58">
        <f>X159+X169+X179+X189+X199+X209+X219+X230+X240</f>
        <v/>
      </c>
      <c r="Y251" s="58">
        <f>Y159+Y169+Y179+Y189+Y199+Y209+Y219+Y230+Y240</f>
        <v/>
      </c>
      <c r="Z251" s="58">
        <f>Z159+Z169+Z179+Z189+Z199+Z209+Z219+Z230+Z240</f>
        <v/>
      </c>
      <c r="AA251" s="58">
        <f>AA159+AA169+AA179+AA189+AA199+AA209+AA219+AA230+AA240</f>
        <v/>
      </c>
      <c r="AB251" s="58">
        <f>AB159+AB169+AB179+AB189+AB199+AB209+AB219+AB230+AB240</f>
        <v/>
      </c>
      <c r="AC251" s="58">
        <f>AC159+AC169+AC179+AC189+AC199+AC209+AC219+AC230+AC240</f>
        <v/>
      </c>
      <c r="AD251" s="58">
        <f>AD159+AD169+AD179+AD189+AD199+AD209+AD219+AD230+AD240</f>
        <v/>
      </c>
      <c r="AE251" s="58">
        <f>AE159+AE169+AE179+AE189+AE199+AE209+AE219+AE230+AE240</f>
        <v/>
      </c>
      <c r="AF251" s="58">
        <f>AF159+AF169+AF179+AF189+AF199+AF209+AF219+AF230+AF240</f>
        <v/>
      </c>
      <c r="AG251" s="58">
        <f>AG159+AG169+AG179+AG189+AG199+AG209+AG219+AG230+AG240</f>
        <v/>
      </c>
      <c r="AH251" s="58">
        <f>AH159+AH169+AH179+AH189+AH199+AH209+AH219+AH230+AH240</f>
        <v/>
      </c>
      <c r="AI251" s="58">
        <f>AI159+AI169+AI179+AI189+AI199+AI209+AI219+AI230+AI240</f>
        <v/>
      </c>
      <c r="AJ251" s="58">
        <f>AJ159+AJ169+AJ179+AJ189+AJ199+AJ209+AJ219+AJ230+AJ240</f>
        <v/>
      </c>
      <c r="AK251" s="58">
        <f>AK159+AK169+AK179+AK189+AK199+AK209+AK219+AK230+AK240</f>
        <v/>
      </c>
      <c r="AL251" s="58">
        <f>AL159+AL169+AL179+AL189+AL199+AL209+AL219+AL230+AL240</f>
        <v/>
      </c>
      <c r="AM251" s="57">
        <f>SUMIF($C$6:$AL$6,1,C251:AL251)</f>
        <v/>
      </c>
      <c r="AN251" s="57">
        <f>SUMIF($C$6:$AL$6,2,C251:AL251)</f>
        <v/>
      </c>
      <c r="AO251" s="57">
        <f>SUMIF($C$6:$AL$6,3,C251:AL251)</f>
        <v/>
      </c>
      <c r="AP251" s="57">
        <f>SUM(C251:AL251)</f>
        <v/>
      </c>
    </row>
    <row r="252">
      <c r="A252" s="7" t="inlineStr">
        <is>
          <t>Cumulative orders</t>
        </is>
      </c>
      <c r="B252" s="9" t="inlineStr">
        <is>
          <t>orders</t>
        </is>
      </c>
      <c r="C252" s="58">
        <f>C250</f>
        <v/>
      </c>
      <c r="D252" s="58">
        <f>D250+C252</f>
        <v/>
      </c>
      <c r="E252" s="58">
        <f>E250+D252</f>
        <v/>
      </c>
      <c r="F252" s="58">
        <f>F250+E252</f>
        <v/>
      </c>
      <c r="G252" s="58">
        <f>G250+F252</f>
        <v/>
      </c>
      <c r="H252" s="58">
        <f>H250+G252</f>
        <v/>
      </c>
      <c r="I252" s="58">
        <f>I250+H252</f>
        <v/>
      </c>
      <c r="J252" s="58">
        <f>J250+I252</f>
        <v/>
      </c>
      <c r="K252" s="58">
        <f>K250+J252</f>
        <v/>
      </c>
      <c r="L252" s="58">
        <f>L250+K252</f>
        <v/>
      </c>
      <c r="M252" s="58">
        <f>M250+L252</f>
        <v/>
      </c>
      <c r="N252" s="58">
        <f>N250+M252</f>
        <v/>
      </c>
      <c r="O252" s="58">
        <f>O250+N252</f>
        <v/>
      </c>
      <c r="P252" s="58">
        <f>P250+O252</f>
        <v/>
      </c>
      <c r="Q252" s="58">
        <f>Q250+P252</f>
        <v/>
      </c>
      <c r="R252" s="58">
        <f>R250+Q252</f>
        <v/>
      </c>
      <c r="S252" s="58">
        <f>S250+R252</f>
        <v/>
      </c>
      <c r="T252" s="58">
        <f>T250+S252</f>
        <v/>
      </c>
      <c r="U252" s="58">
        <f>U250+T252</f>
        <v/>
      </c>
      <c r="V252" s="58">
        <f>V250+U252</f>
        <v/>
      </c>
      <c r="W252" s="58">
        <f>W250+V252</f>
        <v/>
      </c>
      <c r="X252" s="58">
        <f>X250+W252</f>
        <v/>
      </c>
      <c r="Y252" s="58">
        <f>Y250+X252</f>
        <v/>
      </c>
      <c r="Z252" s="58">
        <f>Z250+Y252</f>
        <v/>
      </c>
      <c r="AA252" s="58">
        <f>AA250+Z252</f>
        <v/>
      </c>
      <c r="AB252" s="58">
        <f>AB250+AA252</f>
        <v/>
      </c>
      <c r="AC252" s="58">
        <f>AC250+AB252</f>
        <v/>
      </c>
      <c r="AD252" s="58">
        <f>AD250+AC252</f>
        <v/>
      </c>
      <c r="AE252" s="58">
        <f>AE250+AD252</f>
        <v/>
      </c>
      <c r="AF252" s="58">
        <f>AF250+AE252</f>
        <v/>
      </c>
      <c r="AG252" s="58">
        <f>AG250+AF252</f>
        <v/>
      </c>
      <c r="AH252" s="58">
        <f>AH250+AG252</f>
        <v/>
      </c>
      <c r="AI252" s="58">
        <f>AI250+AH252</f>
        <v/>
      </c>
      <c r="AJ252" s="58">
        <f>AJ250+AI252</f>
        <v/>
      </c>
      <c r="AK252" s="58">
        <f>AK250+AJ252</f>
        <v/>
      </c>
      <c r="AL252" s="58">
        <f>AL250+AK252</f>
        <v/>
      </c>
      <c r="AM252" s="57">
        <f>N252</f>
        <v/>
      </c>
      <c r="AN252" s="57">
        <f>Z252</f>
        <v/>
      </c>
      <c r="AO252" s="57">
        <f>AL252</f>
        <v/>
      </c>
      <c r="AP252" s="57">
        <f>AL252</f>
        <v/>
      </c>
    </row>
    <row r="253">
      <c r="A253" s="7" t="inlineStr">
        <is>
          <t>Cumulative items sold</t>
        </is>
      </c>
      <c r="B253" s="9" t="inlineStr">
        <is>
          <t>items</t>
        </is>
      </c>
      <c r="C253" s="58">
        <f>C251</f>
        <v/>
      </c>
      <c r="D253" s="58">
        <f>D251+C253</f>
        <v/>
      </c>
      <c r="E253" s="58">
        <f>E251+D253</f>
        <v/>
      </c>
      <c r="F253" s="58">
        <f>F251+E253</f>
        <v/>
      </c>
      <c r="G253" s="58">
        <f>G251+F253</f>
        <v/>
      </c>
      <c r="H253" s="58">
        <f>H251+G253</f>
        <v/>
      </c>
      <c r="I253" s="58">
        <f>I251+H253</f>
        <v/>
      </c>
      <c r="J253" s="58">
        <f>J251+I253</f>
        <v/>
      </c>
      <c r="K253" s="58">
        <f>K251+J253</f>
        <v/>
      </c>
      <c r="L253" s="58">
        <f>L251+K253</f>
        <v/>
      </c>
      <c r="M253" s="58">
        <f>M251+L253</f>
        <v/>
      </c>
      <c r="N253" s="58">
        <f>N251+M253</f>
        <v/>
      </c>
      <c r="O253" s="58">
        <f>O251+N253</f>
        <v/>
      </c>
      <c r="P253" s="58">
        <f>P251+O253</f>
        <v/>
      </c>
      <c r="Q253" s="58">
        <f>Q251+P253</f>
        <v/>
      </c>
      <c r="R253" s="58">
        <f>R251+Q253</f>
        <v/>
      </c>
      <c r="S253" s="58">
        <f>S251+R253</f>
        <v/>
      </c>
      <c r="T253" s="58">
        <f>T251+S253</f>
        <v/>
      </c>
      <c r="U253" s="58">
        <f>U251+T253</f>
        <v/>
      </c>
      <c r="V253" s="58">
        <f>V251+U253</f>
        <v/>
      </c>
      <c r="W253" s="58">
        <f>W251+V253</f>
        <v/>
      </c>
      <c r="X253" s="58">
        <f>X251+W253</f>
        <v/>
      </c>
      <c r="Y253" s="58">
        <f>Y251+X253</f>
        <v/>
      </c>
      <c r="Z253" s="58">
        <f>Z251+Y253</f>
        <v/>
      </c>
      <c r="AA253" s="58">
        <f>AA251+Z253</f>
        <v/>
      </c>
      <c r="AB253" s="58">
        <f>AB251+AA253</f>
        <v/>
      </c>
      <c r="AC253" s="58">
        <f>AC251+AB253</f>
        <v/>
      </c>
      <c r="AD253" s="58">
        <f>AD251+AC253</f>
        <v/>
      </c>
      <c r="AE253" s="58">
        <f>AE251+AD253</f>
        <v/>
      </c>
      <c r="AF253" s="58">
        <f>AF251+AE253</f>
        <v/>
      </c>
      <c r="AG253" s="58">
        <f>AG251+AF253</f>
        <v/>
      </c>
      <c r="AH253" s="58">
        <f>AH251+AG253</f>
        <v/>
      </c>
      <c r="AI253" s="58">
        <f>AI251+AH253</f>
        <v/>
      </c>
      <c r="AJ253" s="58">
        <f>AJ251+AI253</f>
        <v/>
      </c>
      <c r="AK253" s="58">
        <f>AK251+AJ253</f>
        <v/>
      </c>
      <c r="AL253" s="58">
        <f>AL251+AK253</f>
        <v/>
      </c>
      <c r="AM253" s="57">
        <f>N253</f>
        <v/>
      </c>
      <c r="AN253" s="57">
        <f>Z253</f>
        <v/>
      </c>
      <c r="AO253" s="57">
        <f>AL253</f>
        <v/>
      </c>
      <c r="AP253" s="57">
        <f>AL253</f>
        <v/>
      </c>
    </row>
    <row r="254">
      <c r="A254" s="60" t="inlineStr">
        <is>
          <t>Total gross sales (customer prices, excl. sales tax/VAT)</t>
        </is>
      </c>
      <c r="B254" s="61" t="inlineStr">
        <is>
          <t>$</t>
        </is>
      </c>
      <c r="C254" s="62">
        <f>C161+C171+C181+C191+C201+C211+C221+C232+C242</f>
        <v/>
      </c>
      <c r="D254" s="62">
        <f>D161+D171+D181+D191+D201+D211+D221+D232+D242</f>
        <v/>
      </c>
      <c r="E254" s="62">
        <f>E161+E171+E181+E191+E201+E211+E221+E232+E242</f>
        <v/>
      </c>
      <c r="F254" s="62">
        <f>F161+F171+F181+F191+F201+F211+F221+F232+F242</f>
        <v/>
      </c>
      <c r="G254" s="62">
        <f>G161+G171+G181+G191+G201+G211+G221+G232+G242</f>
        <v/>
      </c>
      <c r="H254" s="62">
        <f>H161+H171+H181+H191+H201+H211+H221+H232+H242</f>
        <v/>
      </c>
      <c r="I254" s="62">
        <f>I161+I171+I181+I191+I201+I211+I221+I232+I242</f>
        <v/>
      </c>
      <c r="J254" s="62">
        <f>J161+J171+J181+J191+J201+J211+J221+J232+J242</f>
        <v/>
      </c>
      <c r="K254" s="62">
        <f>K161+K171+K181+K191+K201+K211+K221+K232+K242</f>
        <v/>
      </c>
      <c r="L254" s="62">
        <f>L161+L171+L181+L191+L201+L211+L221+L232+L242</f>
        <v/>
      </c>
      <c r="M254" s="62">
        <f>M161+M171+M181+M191+M201+M211+M221+M232+M242</f>
        <v/>
      </c>
      <c r="N254" s="62">
        <f>N161+N171+N181+N191+N201+N211+N221+N232+N242</f>
        <v/>
      </c>
      <c r="O254" s="62">
        <f>O161+O171+O181+O191+O201+O211+O221+O232+O242</f>
        <v/>
      </c>
      <c r="P254" s="62">
        <f>P161+P171+P181+P191+P201+P211+P221+P232+P242</f>
        <v/>
      </c>
      <c r="Q254" s="62">
        <f>Q161+Q171+Q181+Q191+Q201+Q211+Q221+Q232+Q242</f>
        <v/>
      </c>
      <c r="R254" s="62">
        <f>R161+R171+R181+R191+R201+R211+R221+R232+R242</f>
        <v/>
      </c>
      <c r="S254" s="62">
        <f>S161+S171+S181+S191+S201+S211+S221+S232+S242</f>
        <v/>
      </c>
      <c r="T254" s="62">
        <f>T161+T171+T181+T191+T201+T211+T221+T232+T242</f>
        <v/>
      </c>
      <c r="U254" s="62">
        <f>U161+U171+U181+U191+U201+U211+U221+U232+U242</f>
        <v/>
      </c>
      <c r="V254" s="62">
        <f>V161+V171+V181+V191+V201+V211+V221+V232+V242</f>
        <v/>
      </c>
      <c r="W254" s="62">
        <f>W161+W171+W181+W191+W201+W211+W221+W232+W242</f>
        <v/>
      </c>
      <c r="X254" s="62">
        <f>X161+X171+X181+X191+X201+X211+X221+X232+X242</f>
        <v/>
      </c>
      <c r="Y254" s="62">
        <f>Y161+Y171+Y181+Y191+Y201+Y211+Y221+Y232+Y242</f>
        <v/>
      </c>
      <c r="Z254" s="62">
        <f>Z161+Z171+Z181+Z191+Z201+Z211+Z221+Z232+Z242</f>
        <v/>
      </c>
      <c r="AA254" s="62">
        <f>AA161+AA171+AA181+AA191+AA201+AA211+AA221+AA232+AA242</f>
        <v/>
      </c>
      <c r="AB254" s="62">
        <f>AB161+AB171+AB181+AB191+AB201+AB211+AB221+AB232+AB242</f>
        <v/>
      </c>
      <c r="AC254" s="62">
        <f>AC161+AC171+AC181+AC191+AC201+AC211+AC221+AC232+AC242</f>
        <v/>
      </c>
      <c r="AD254" s="62">
        <f>AD161+AD171+AD181+AD191+AD201+AD211+AD221+AD232+AD242</f>
        <v/>
      </c>
      <c r="AE254" s="62">
        <f>AE161+AE171+AE181+AE191+AE201+AE211+AE221+AE232+AE242</f>
        <v/>
      </c>
      <c r="AF254" s="62">
        <f>AF161+AF171+AF181+AF191+AF201+AF211+AF221+AF232+AF242</f>
        <v/>
      </c>
      <c r="AG254" s="62">
        <f>AG161+AG171+AG181+AG191+AG201+AG211+AG221+AG232+AG242</f>
        <v/>
      </c>
      <c r="AH254" s="62">
        <f>AH161+AH171+AH181+AH191+AH201+AH211+AH221+AH232+AH242</f>
        <v/>
      </c>
      <c r="AI254" s="62">
        <f>AI161+AI171+AI181+AI191+AI201+AI211+AI221+AI232+AI242</f>
        <v/>
      </c>
      <c r="AJ254" s="62">
        <f>AJ161+AJ171+AJ181+AJ191+AJ201+AJ211+AJ221+AJ232+AJ242</f>
        <v/>
      </c>
      <c r="AK254" s="62">
        <f>AK161+AK171+AK181+AK191+AK201+AK211+AK221+AK232+AK242</f>
        <v/>
      </c>
      <c r="AL254" s="62">
        <f>AL161+AL171+AL181+AL191+AL201+AL211+AL221+AL232+AL242</f>
        <v/>
      </c>
      <c r="AM254" s="63">
        <f>SUMIF($C$6:$AL$6,1,C254:AL254)</f>
        <v/>
      </c>
      <c r="AN254" s="63">
        <f>SUMIF($C$6:$AL$6,2,C254:AL254)</f>
        <v/>
      </c>
      <c r="AO254" s="63">
        <f>SUMIF($C$6:$AL$6,3,C254:AL254)</f>
        <v/>
      </c>
      <c r="AP254" s="63">
        <f>SUM(C254:AL254)</f>
        <v/>
      </c>
    </row>
    <row r="255">
      <c r="A255" s="60" t="inlineStr">
        <is>
          <t>Total net contribution (after platform, payment, print/POD and fulfilment costs)</t>
        </is>
      </c>
      <c r="B255" s="61" t="inlineStr">
        <is>
          <t>$</t>
        </is>
      </c>
      <c r="C255" s="62">
        <f>C162+C172+C182+C192+C202+C212+C222+C233+C243</f>
        <v/>
      </c>
      <c r="D255" s="62">
        <f>D162+D172+D182+D192+D202+D212+D222+D233+D243</f>
        <v/>
      </c>
      <c r="E255" s="62">
        <f>E162+E172+E182+E192+E202+E212+E222+E233+E243</f>
        <v/>
      </c>
      <c r="F255" s="62">
        <f>F162+F172+F182+F192+F202+F212+F222+F233+F243</f>
        <v/>
      </c>
      <c r="G255" s="62">
        <f>G162+G172+G182+G192+G202+G212+G222+G233+G243</f>
        <v/>
      </c>
      <c r="H255" s="62">
        <f>H162+H172+H182+H192+H202+H212+H222+H233+H243</f>
        <v/>
      </c>
      <c r="I255" s="62">
        <f>I162+I172+I182+I192+I202+I212+I222+I233+I243</f>
        <v/>
      </c>
      <c r="J255" s="62">
        <f>J162+J172+J182+J192+J202+J212+J222+J233+J243</f>
        <v/>
      </c>
      <c r="K255" s="62">
        <f>K162+K172+K182+K192+K202+K212+K222+K233+K243</f>
        <v/>
      </c>
      <c r="L255" s="62">
        <f>L162+L172+L182+L192+L202+L212+L222+L233+L243</f>
        <v/>
      </c>
      <c r="M255" s="62">
        <f>M162+M172+M182+M192+M202+M212+M222+M233+M243</f>
        <v/>
      </c>
      <c r="N255" s="62">
        <f>N162+N172+N182+N192+N202+N212+N222+N233+N243</f>
        <v/>
      </c>
      <c r="O255" s="62">
        <f>O162+O172+O182+O192+O202+O212+O222+O233+O243</f>
        <v/>
      </c>
      <c r="P255" s="62">
        <f>P162+P172+P182+P192+P202+P212+P222+P233+P243</f>
        <v/>
      </c>
      <c r="Q255" s="62">
        <f>Q162+Q172+Q182+Q192+Q202+Q212+Q222+Q233+Q243</f>
        <v/>
      </c>
      <c r="R255" s="62">
        <f>R162+R172+R182+R192+R202+R212+R222+R233+R243</f>
        <v/>
      </c>
      <c r="S255" s="62">
        <f>S162+S172+S182+S192+S202+S212+S222+S233+S243</f>
        <v/>
      </c>
      <c r="T255" s="62">
        <f>T162+T172+T182+T192+T202+T212+T222+T233+T243</f>
        <v/>
      </c>
      <c r="U255" s="62">
        <f>U162+U172+U182+U192+U202+U212+U222+U233+U243</f>
        <v/>
      </c>
      <c r="V255" s="62">
        <f>V162+V172+V182+V192+V202+V212+V222+V233+V243</f>
        <v/>
      </c>
      <c r="W255" s="62">
        <f>W162+W172+W182+W192+W202+W212+W222+W233+W243</f>
        <v/>
      </c>
      <c r="X255" s="62">
        <f>X162+X172+X182+X192+X202+X212+X222+X233+X243</f>
        <v/>
      </c>
      <c r="Y255" s="62">
        <f>Y162+Y172+Y182+Y192+Y202+Y212+Y222+Y233+Y243</f>
        <v/>
      </c>
      <c r="Z255" s="62">
        <f>Z162+Z172+Z182+Z192+Z202+Z212+Z222+Z233+Z243</f>
        <v/>
      </c>
      <c r="AA255" s="62">
        <f>AA162+AA172+AA182+AA192+AA202+AA212+AA222+AA233+AA243</f>
        <v/>
      </c>
      <c r="AB255" s="62">
        <f>AB162+AB172+AB182+AB192+AB202+AB212+AB222+AB233+AB243</f>
        <v/>
      </c>
      <c r="AC255" s="62">
        <f>AC162+AC172+AC182+AC192+AC202+AC212+AC222+AC233+AC243</f>
        <v/>
      </c>
      <c r="AD255" s="62">
        <f>AD162+AD172+AD182+AD192+AD202+AD212+AD222+AD233+AD243</f>
        <v/>
      </c>
      <c r="AE255" s="62">
        <f>AE162+AE172+AE182+AE192+AE202+AE212+AE222+AE233+AE243</f>
        <v/>
      </c>
      <c r="AF255" s="62">
        <f>AF162+AF172+AF182+AF192+AF202+AF212+AF222+AF233+AF243</f>
        <v/>
      </c>
      <c r="AG255" s="62">
        <f>AG162+AG172+AG182+AG192+AG202+AG212+AG222+AG233+AG243</f>
        <v/>
      </c>
      <c r="AH255" s="62">
        <f>AH162+AH172+AH182+AH192+AH202+AH212+AH222+AH233+AH243</f>
        <v/>
      </c>
      <c r="AI255" s="62">
        <f>AI162+AI172+AI182+AI192+AI202+AI212+AI222+AI233+AI243</f>
        <v/>
      </c>
      <c r="AJ255" s="62">
        <f>AJ162+AJ172+AJ182+AJ192+AJ202+AJ212+AJ222+AJ233+AJ243</f>
        <v/>
      </c>
      <c r="AK255" s="62">
        <f>AK162+AK172+AK182+AK192+AK202+AK212+AK222+AK233+AK243</f>
        <v/>
      </c>
      <c r="AL255" s="62">
        <f>AL162+AL172+AL182+AL192+AL202+AL212+AL222+AL233+AL243</f>
        <v/>
      </c>
      <c r="AM255" s="63">
        <f>SUMIF($C$6:$AL$6,1,C255:AL255)</f>
        <v/>
      </c>
      <c r="AN255" s="63">
        <f>SUMIF($C$6:$AL$6,2,C255:AL255)</f>
        <v/>
      </c>
      <c r="AO255" s="63">
        <f>SUMIF($C$6:$AL$6,3,C255:AL255)</f>
        <v/>
      </c>
      <c r="AP255" s="63">
        <f>SUM(C255:AL255)</f>
        <v/>
      </c>
    </row>
    <row r="256">
      <c r="A256" s="7" t="inlineStr">
        <is>
          <t>Net contribution as % of gross sales</t>
        </is>
      </c>
      <c r="B256" s="9" t="inlineStr">
        <is>
          <t>%</t>
        </is>
      </c>
      <c r="C256" s="39">
        <f>IF(C254=0,0,C255/C254)</f>
        <v/>
      </c>
      <c r="D256" s="39">
        <f>IF(D254=0,0,D255/D254)</f>
        <v/>
      </c>
      <c r="E256" s="39">
        <f>IF(E254=0,0,E255/E254)</f>
        <v/>
      </c>
      <c r="F256" s="39">
        <f>IF(F254=0,0,F255/F254)</f>
        <v/>
      </c>
      <c r="G256" s="39">
        <f>IF(G254=0,0,G255/G254)</f>
        <v/>
      </c>
      <c r="H256" s="39">
        <f>IF(H254=0,0,H255/H254)</f>
        <v/>
      </c>
      <c r="I256" s="39">
        <f>IF(I254=0,0,I255/I254)</f>
        <v/>
      </c>
      <c r="J256" s="39">
        <f>IF(J254=0,0,J255/J254)</f>
        <v/>
      </c>
      <c r="K256" s="39">
        <f>IF(K254=0,0,K255/K254)</f>
        <v/>
      </c>
      <c r="L256" s="39">
        <f>IF(L254=0,0,L255/L254)</f>
        <v/>
      </c>
      <c r="M256" s="39">
        <f>IF(M254=0,0,M255/M254)</f>
        <v/>
      </c>
      <c r="N256" s="39">
        <f>IF(N254=0,0,N255/N254)</f>
        <v/>
      </c>
      <c r="O256" s="39">
        <f>IF(O254=0,0,O255/O254)</f>
        <v/>
      </c>
      <c r="P256" s="39">
        <f>IF(P254=0,0,P255/P254)</f>
        <v/>
      </c>
      <c r="Q256" s="39">
        <f>IF(Q254=0,0,Q255/Q254)</f>
        <v/>
      </c>
      <c r="R256" s="39">
        <f>IF(R254=0,0,R255/R254)</f>
        <v/>
      </c>
      <c r="S256" s="39">
        <f>IF(S254=0,0,S255/S254)</f>
        <v/>
      </c>
      <c r="T256" s="39">
        <f>IF(T254=0,0,T255/T254)</f>
        <v/>
      </c>
      <c r="U256" s="39">
        <f>IF(U254=0,0,U255/U254)</f>
        <v/>
      </c>
      <c r="V256" s="39">
        <f>IF(V254=0,0,V255/V254)</f>
        <v/>
      </c>
      <c r="W256" s="39">
        <f>IF(W254=0,0,W255/W254)</f>
        <v/>
      </c>
      <c r="X256" s="39">
        <f>IF(X254=0,0,X255/X254)</f>
        <v/>
      </c>
      <c r="Y256" s="39">
        <f>IF(Y254=0,0,Y255/Y254)</f>
        <v/>
      </c>
      <c r="Z256" s="39">
        <f>IF(Z254=0,0,Z255/Z254)</f>
        <v/>
      </c>
      <c r="AA256" s="39">
        <f>IF(AA254=0,0,AA255/AA254)</f>
        <v/>
      </c>
      <c r="AB256" s="39">
        <f>IF(AB254=0,0,AB255/AB254)</f>
        <v/>
      </c>
      <c r="AC256" s="39">
        <f>IF(AC254=0,0,AC255/AC254)</f>
        <v/>
      </c>
      <c r="AD256" s="39">
        <f>IF(AD254=0,0,AD255/AD254)</f>
        <v/>
      </c>
      <c r="AE256" s="39">
        <f>IF(AE254=0,0,AE255/AE254)</f>
        <v/>
      </c>
      <c r="AF256" s="39">
        <f>IF(AF254=0,0,AF255/AF254)</f>
        <v/>
      </c>
      <c r="AG256" s="39">
        <f>IF(AG254=0,0,AG255/AG254)</f>
        <v/>
      </c>
      <c r="AH256" s="39">
        <f>IF(AH254=0,0,AH255/AH254)</f>
        <v/>
      </c>
      <c r="AI256" s="39">
        <f>IF(AI254=0,0,AI255/AI254)</f>
        <v/>
      </c>
      <c r="AJ256" s="39">
        <f>IF(AJ254=0,0,AJ255/AJ254)</f>
        <v/>
      </c>
      <c r="AK256" s="39">
        <f>IF(AK254=0,0,AK255/AK254)</f>
        <v/>
      </c>
      <c r="AL256" s="39">
        <f>IF(AL254=0,0,AL255/AL254)</f>
        <v/>
      </c>
    </row>
    <row r="257">
      <c r="A257" s="7" t="inlineStr">
        <is>
          <t>Paid advertising (optional tests; no revenue credit)</t>
        </is>
      </c>
      <c r="B257" s="9" t="inlineStr">
        <is>
          <t>$</t>
        </is>
      </c>
      <c r="C257" s="8">
        <f>IF(C$4&gt;='Assumptions'!$D$197,CHOOSE(C$6,'Assumptions'!$D$198,'Assumptions'!$D$199,'Assumptions'!$D$200),0)</f>
        <v/>
      </c>
      <c r="D257" s="8">
        <f>IF(D$4&gt;='Assumptions'!$D$197,CHOOSE(D$6,'Assumptions'!$D$198,'Assumptions'!$D$199,'Assumptions'!$D$200),0)</f>
        <v/>
      </c>
      <c r="E257" s="8">
        <f>IF(E$4&gt;='Assumptions'!$D$197,CHOOSE(E$6,'Assumptions'!$D$198,'Assumptions'!$D$199,'Assumptions'!$D$200),0)</f>
        <v/>
      </c>
      <c r="F257" s="8">
        <f>IF(F$4&gt;='Assumptions'!$D$197,CHOOSE(F$6,'Assumptions'!$D$198,'Assumptions'!$D$199,'Assumptions'!$D$200),0)</f>
        <v/>
      </c>
      <c r="G257" s="8">
        <f>IF(G$4&gt;='Assumptions'!$D$197,CHOOSE(G$6,'Assumptions'!$D$198,'Assumptions'!$D$199,'Assumptions'!$D$200),0)</f>
        <v/>
      </c>
      <c r="H257" s="8">
        <f>IF(H$4&gt;='Assumptions'!$D$197,CHOOSE(H$6,'Assumptions'!$D$198,'Assumptions'!$D$199,'Assumptions'!$D$200),0)</f>
        <v/>
      </c>
      <c r="I257" s="8">
        <f>IF(I$4&gt;='Assumptions'!$D$197,CHOOSE(I$6,'Assumptions'!$D$198,'Assumptions'!$D$199,'Assumptions'!$D$200),0)</f>
        <v/>
      </c>
      <c r="J257" s="8">
        <f>IF(J$4&gt;='Assumptions'!$D$197,CHOOSE(J$6,'Assumptions'!$D$198,'Assumptions'!$D$199,'Assumptions'!$D$200),0)</f>
        <v/>
      </c>
      <c r="K257" s="8">
        <f>IF(K$4&gt;='Assumptions'!$D$197,CHOOSE(K$6,'Assumptions'!$D$198,'Assumptions'!$D$199,'Assumptions'!$D$200),0)</f>
        <v/>
      </c>
      <c r="L257" s="8">
        <f>IF(L$4&gt;='Assumptions'!$D$197,CHOOSE(L$6,'Assumptions'!$D$198,'Assumptions'!$D$199,'Assumptions'!$D$200),0)</f>
        <v/>
      </c>
      <c r="M257" s="8">
        <f>IF(M$4&gt;='Assumptions'!$D$197,CHOOSE(M$6,'Assumptions'!$D$198,'Assumptions'!$D$199,'Assumptions'!$D$200),0)</f>
        <v/>
      </c>
      <c r="N257" s="8">
        <f>IF(N$4&gt;='Assumptions'!$D$197,CHOOSE(N$6,'Assumptions'!$D$198,'Assumptions'!$D$199,'Assumptions'!$D$200),0)</f>
        <v/>
      </c>
      <c r="O257" s="8">
        <f>IF(O$4&gt;='Assumptions'!$D$197,CHOOSE(O$6,'Assumptions'!$D$198,'Assumptions'!$D$199,'Assumptions'!$D$200),0)</f>
        <v/>
      </c>
      <c r="P257" s="8">
        <f>IF(P$4&gt;='Assumptions'!$D$197,CHOOSE(P$6,'Assumptions'!$D$198,'Assumptions'!$D$199,'Assumptions'!$D$200),0)</f>
        <v/>
      </c>
      <c r="Q257" s="8">
        <f>IF(Q$4&gt;='Assumptions'!$D$197,CHOOSE(Q$6,'Assumptions'!$D$198,'Assumptions'!$D$199,'Assumptions'!$D$200),0)</f>
        <v/>
      </c>
      <c r="R257" s="8">
        <f>IF(R$4&gt;='Assumptions'!$D$197,CHOOSE(R$6,'Assumptions'!$D$198,'Assumptions'!$D$199,'Assumptions'!$D$200),0)</f>
        <v/>
      </c>
      <c r="S257" s="8">
        <f>IF(S$4&gt;='Assumptions'!$D$197,CHOOSE(S$6,'Assumptions'!$D$198,'Assumptions'!$D$199,'Assumptions'!$D$200),0)</f>
        <v/>
      </c>
      <c r="T257" s="8">
        <f>IF(T$4&gt;='Assumptions'!$D$197,CHOOSE(T$6,'Assumptions'!$D$198,'Assumptions'!$D$199,'Assumptions'!$D$200),0)</f>
        <v/>
      </c>
      <c r="U257" s="8">
        <f>IF(U$4&gt;='Assumptions'!$D$197,CHOOSE(U$6,'Assumptions'!$D$198,'Assumptions'!$D$199,'Assumptions'!$D$200),0)</f>
        <v/>
      </c>
      <c r="V257" s="8">
        <f>IF(V$4&gt;='Assumptions'!$D$197,CHOOSE(V$6,'Assumptions'!$D$198,'Assumptions'!$D$199,'Assumptions'!$D$200),0)</f>
        <v/>
      </c>
      <c r="W257" s="8">
        <f>IF(W$4&gt;='Assumptions'!$D$197,CHOOSE(W$6,'Assumptions'!$D$198,'Assumptions'!$D$199,'Assumptions'!$D$200),0)</f>
        <v/>
      </c>
      <c r="X257" s="8">
        <f>IF(X$4&gt;='Assumptions'!$D$197,CHOOSE(X$6,'Assumptions'!$D$198,'Assumptions'!$D$199,'Assumptions'!$D$200),0)</f>
        <v/>
      </c>
      <c r="Y257" s="8">
        <f>IF(Y$4&gt;='Assumptions'!$D$197,CHOOSE(Y$6,'Assumptions'!$D$198,'Assumptions'!$D$199,'Assumptions'!$D$200),0)</f>
        <v/>
      </c>
      <c r="Z257" s="8">
        <f>IF(Z$4&gt;='Assumptions'!$D$197,CHOOSE(Z$6,'Assumptions'!$D$198,'Assumptions'!$D$199,'Assumptions'!$D$200),0)</f>
        <v/>
      </c>
      <c r="AA257" s="8">
        <f>IF(AA$4&gt;='Assumptions'!$D$197,CHOOSE(AA$6,'Assumptions'!$D$198,'Assumptions'!$D$199,'Assumptions'!$D$200),0)</f>
        <v/>
      </c>
      <c r="AB257" s="8">
        <f>IF(AB$4&gt;='Assumptions'!$D$197,CHOOSE(AB$6,'Assumptions'!$D$198,'Assumptions'!$D$199,'Assumptions'!$D$200),0)</f>
        <v/>
      </c>
      <c r="AC257" s="8">
        <f>IF(AC$4&gt;='Assumptions'!$D$197,CHOOSE(AC$6,'Assumptions'!$D$198,'Assumptions'!$D$199,'Assumptions'!$D$200),0)</f>
        <v/>
      </c>
      <c r="AD257" s="8">
        <f>IF(AD$4&gt;='Assumptions'!$D$197,CHOOSE(AD$6,'Assumptions'!$D$198,'Assumptions'!$D$199,'Assumptions'!$D$200),0)</f>
        <v/>
      </c>
      <c r="AE257" s="8">
        <f>IF(AE$4&gt;='Assumptions'!$D$197,CHOOSE(AE$6,'Assumptions'!$D$198,'Assumptions'!$D$199,'Assumptions'!$D$200),0)</f>
        <v/>
      </c>
      <c r="AF257" s="8">
        <f>IF(AF$4&gt;='Assumptions'!$D$197,CHOOSE(AF$6,'Assumptions'!$D$198,'Assumptions'!$D$199,'Assumptions'!$D$200),0)</f>
        <v/>
      </c>
      <c r="AG257" s="8">
        <f>IF(AG$4&gt;='Assumptions'!$D$197,CHOOSE(AG$6,'Assumptions'!$D$198,'Assumptions'!$D$199,'Assumptions'!$D$200),0)</f>
        <v/>
      </c>
      <c r="AH257" s="8">
        <f>IF(AH$4&gt;='Assumptions'!$D$197,CHOOSE(AH$6,'Assumptions'!$D$198,'Assumptions'!$D$199,'Assumptions'!$D$200),0)</f>
        <v/>
      </c>
      <c r="AI257" s="8">
        <f>IF(AI$4&gt;='Assumptions'!$D$197,CHOOSE(AI$6,'Assumptions'!$D$198,'Assumptions'!$D$199,'Assumptions'!$D$200),0)</f>
        <v/>
      </c>
      <c r="AJ257" s="8">
        <f>IF(AJ$4&gt;='Assumptions'!$D$197,CHOOSE(AJ$6,'Assumptions'!$D$198,'Assumptions'!$D$199,'Assumptions'!$D$200),0)</f>
        <v/>
      </c>
      <c r="AK257" s="8">
        <f>IF(AK$4&gt;='Assumptions'!$D$197,CHOOSE(AK$6,'Assumptions'!$D$198,'Assumptions'!$D$199,'Assumptions'!$D$200),0)</f>
        <v/>
      </c>
      <c r="AL257" s="8">
        <f>IF(AL$4&gt;='Assumptions'!$D$197,CHOOSE(AL$6,'Assumptions'!$D$198,'Assumptions'!$D$199,'Assumptions'!$D$200),0)</f>
        <v/>
      </c>
      <c r="AM257" s="47">
        <f>SUMIF($C$6:$AL$6,1,C257:AL257)</f>
        <v/>
      </c>
      <c r="AN257" s="47">
        <f>SUMIF($C$6:$AL$6,2,C257:AL257)</f>
        <v/>
      </c>
      <c r="AO257" s="47">
        <f>SUMIF($C$6:$AL$6,3,C257:AL257)</f>
        <v/>
      </c>
      <c r="AP257" s="47">
        <f>SUM(C257:AL257)</f>
        <v/>
      </c>
    </row>
    <row r="258">
      <c r="A258" s="7" t="inlineStr">
        <is>
          <t>Operating costs (Monthly Operating Costs tab)</t>
        </is>
      </c>
      <c r="B258" s="9" t="inlineStr">
        <is>
          <t>$</t>
        </is>
      </c>
      <c r="C258" s="8">
        <f>'Monthly Operating Costs'!O$37</f>
        <v/>
      </c>
      <c r="D258" s="8">
        <f>'Monthly Operating Costs'!P$37</f>
        <v/>
      </c>
      <c r="E258" s="8">
        <f>'Monthly Operating Costs'!Q$37</f>
        <v/>
      </c>
      <c r="F258" s="8">
        <f>'Monthly Operating Costs'!R$37</f>
        <v/>
      </c>
      <c r="G258" s="8">
        <f>'Monthly Operating Costs'!S$37</f>
        <v/>
      </c>
      <c r="H258" s="8">
        <f>'Monthly Operating Costs'!T$37</f>
        <v/>
      </c>
      <c r="I258" s="8">
        <f>'Monthly Operating Costs'!U$37</f>
        <v/>
      </c>
      <c r="J258" s="8">
        <f>'Monthly Operating Costs'!V$37</f>
        <v/>
      </c>
      <c r="K258" s="8">
        <f>'Monthly Operating Costs'!W$37</f>
        <v/>
      </c>
      <c r="L258" s="8">
        <f>'Monthly Operating Costs'!X$37</f>
        <v/>
      </c>
      <c r="M258" s="8">
        <f>'Monthly Operating Costs'!Y$37</f>
        <v/>
      </c>
      <c r="N258" s="8">
        <f>'Monthly Operating Costs'!Z$37</f>
        <v/>
      </c>
      <c r="O258" s="8">
        <f>'Monthly Operating Costs'!AA$37</f>
        <v/>
      </c>
      <c r="P258" s="8">
        <f>'Monthly Operating Costs'!AB$37</f>
        <v/>
      </c>
      <c r="Q258" s="8">
        <f>'Monthly Operating Costs'!AC$37</f>
        <v/>
      </c>
      <c r="R258" s="8">
        <f>'Monthly Operating Costs'!AD$37</f>
        <v/>
      </c>
      <c r="S258" s="8">
        <f>'Monthly Operating Costs'!AE$37</f>
        <v/>
      </c>
      <c r="T258" s="8">
        <f>'Monthly Operating Costs'!AF$37</f>
        <v/>
      </c>
      <c r="U258" s="8">
        <f>'Monthly Operating Costs'!AG$37</f>
        <v/>
      </c>
      <c r="V258" s="8">
        <f>'Monthly Operating Costs'!AH$37</f>
        <v/>
      </c>
      <c r="W258" s="8">
        <f>'Monthly Operating Costs'!AI$37</f>
        <v/>
      </c>
      <c r="X258" s="8">
        <f>'Monthly Operating Costs'!AJ$37</f>
        <v/>
      </c>
      <c r="Y258" s="8">
        <f>'Monthly Operating Costs'!AK$37</f>
        <v/>
      </c>
      <c r="Z258" s="8">
        <f>'Monthly Operating Costs'!AL$37</f>
        <v/>
      </c>
      <c r="AA258" s="8">
        <f>'Monthly Operating Costs'!AM$37</f>
        <v/>
      </c>
      <c r="AB258" s="8">
        <f>'Monthly Operating Costs'!AN$37</f>
        <v/>
      </c>
      <c r="AC258" s="8">
        <f>'Monthly Operating Costs'!AO$37</f>
        <v/>
      </c>
      <c r="AD258" s="8">
        <f>'Monthly Operating Costs'!AP$37</f>
        <v/>
      </c>
      <c r="AE258" s="8">
        <f>'Monthly Operating Costs'!AQ$37</f>
        <v/>
      </c>
      <c r="AF258" s="8">
        <f>'Monthly Operating Costs'!AR$37</f>
        <v/>
      </c>
      <c r="AG258" s="8">
        <f>'Monthly Operating Costs'!AS$37</f>
        <v/>
      </c>
      <c r="AH258" s="8">
        <f>'Monthly Operating Costs'!AT$37</f>
        <v/>
      </c>
      <c r="AI258" s="8">
        <f>'Monthly Operating Costs'!AU$37</f>
        <v/>
      </c>
      <c r="AJ258" s="8">
        <f>'Monthly Operating Costs'!AV$37</f>
        <v/>
      </c>
      <c r="AK258" s="8">
        <f>'Monthly Operating Costs'!AW$37</f>
        <v/>
      </c>
      <c r="AL258" s="8">
        <f>'Monthly Operating Costs'!AX$37</f>
        <v/>
      </c>
      <c r="AM258" s="47">
        <f>SUMIF($C$6:$AL$6,1,C258:AL258)</f>
        <v/>
      </c>
      <c r="AN258" s="47">
        <f>SUMIF($C$6:$AL$6,2,C258:AL258)</f>
        <v/>
      </c>
      <c r="AO258" s="47">
        <f>SUMIF($C$6:$AL$6,3,C258:AL258)</f>
        <v/>
      </c>
      <c r="AP258" s="47">
        <f>SUM(C258:AL258)</f>
        <v/>
      </c>
    </row>
    <row r="259">
      <c r="A259" s="7" t="inlineStr">
        <is>
          <t>Wave fixed costs (3PL minimum, Seller Central, retail EDI/insurance uplift)</t>
        </is>
      </c>
      <c r="B259" s="9" t="inlineStr">
        <is>
          <t>$</t>
        </is>
      </c>
      <c r="C259" s="8">
        <f>IF(AND($B$148=1,C$4&gt;=$B$145),'Assumptions'!$C$69+'Assumptions'!$C$70,0)+IF(C235=1,'Retail Readiness Costs'!$H$36,0)</f>
        <v/>
      </c>
      <c r="D259" s="8">
        <f>IF(AND($B$148=1,D$4&gt;=$B$145),'Assumptions'!$C$69+'Assumptions'!$C$70,0)+IF(D235=1,'Retail Readiness Costs'!$H$36,0)</f>
        <v/>
      </c>
      <c r="E259" s="8">
        <f>IF(AND($B$148=1,E$4&gt;=$B$145),'Assumptions'!$C$69+'Assumptions'!$C$70,0)+IF(E235=1,'Retail Readiness Costs'!$H$36,0)</f>
        <v/>
      </c>
      <c r="F259" s="8">
        <f>IF(AND($B$148=1,F$4&gt;=$B$145),'Assumptions'!$C$69+'Assumptions'!$C$70,0)+IF(F235=1,'Retail Readiness Costs'!$H$36,0)</f>
        <v/>
      </c>
      <c r="G259" s="8">
        <f>IF(AND($B$148=1,G$4&gt;=$B$145),'Assumptions'!$C$69+'Assumptions'!$C$70,0)+IF(G235=1,'Retail Readiness Costs'!$H$36,0)</f>
        <v/>
      </c>
      <c r="H259" s="8">
        <f>IF(AND($B$148=1,H$4&gt;=$B$145),'Assumptions'!$C$69+'Assumptions'!$C$70,0)+IF(H235=1,'Retail Readiness Costs'!$H$36,0)</f>
        <v/>
      </c>
      <c r="I259" s="8">
        <f>IF(AND($B$148=1,I$4&gt;=$B$145),'Assumptions'!$C$69+'Assumptions'!$C$70,0)+IF(I235=1,'Retail Readiness Costs'!$H$36,0)</f>
        <v/>
      </c>
      <c r="J259" s="8">
        <f>IF(AND($B$148=1,J$4&gt;=$B$145),'Assumptions'!$C$69+'Assumptions'!$C$70,0)+IF(J235=1,'Retail Readiness Costs'!$H$36,0)</f>
        <v/>
      </c>
      <c r="K259" s="8">
        <f>IF(AND($B$148=1,K$4&gt;=$B$145),'Assumptions'!$C$69+'Assumptions'!$C$70,0)+IF(K235=1,'Retail Readiness Costs'!$H$36,0)</f>
        <v/>
      </c>
      <c r="L259" s="8">
        <f>IF(AND($B$148=1,L$4&gt;=$B$145),'Assumptions'!$C$69+'Assumptions'!$C$70,0)+IF(L235=1,'Retail Readiness Costs'!$H$36,0)</f>
        <v/>
      </c>
      <c r="M259" s="8">
        <f>IF(AND($B$148=1,M$4&gt;=$B$145),'Assumptions'!$C$69+'Assumptions'!$C$70,0)+IF(M235=1,'Retail Readiness Costs'!$H$36,0)</f>
        <v/>
      </c>
      <c r="N259" s="8">
        <f>IF(AND($B$148=1,N$4&gt;=$B$145),'Assumptions'!$C$69+'Assumptions'!$C$70,0)+IF(N235=1,'Retail Readiness Costs'!$H$36,0)</f>
        <v/>
      </c>
      <c r="O259" s="8">
        <f>IF(AND($B$148=1,O$4&gt;=$B$145),'Assumptions'!$C$69+'Assumptions'!$C$70,0)+IF(O235=1,'Retail Readiness Costs'!$H$36,0)</f>
        <v/>
      </c>
      <c r="P259" s="8">
        <f>IF(AND($B$148=1,P$4&gt;=$B$145),'Assumptions'!$C$69+'Assumptions'!$C$70,0)+IF(P235=1,'Retail Readiness Costs'!$H$36,0)</f>
        <v/>
      </c>
      <c r="Q259" s="8">
        <f>IF(AND($B$148=1,Q$4&gt;=$B$145),'Assumptions'!$C$69+'Assumptions'!$C$70,0)+IF(Q235=1,'Retail Readiness Costs'!$H$36,0)</f>
        <v/>
      </c>
      <c r="R259" s="8">
        <f>IF(AND($B$148=1,R$4&gt;=$B$145),'Assumptions'!$C$69+'Assumptions'!$C$70,0)+IF(R235=1,'Retail Readiness Costs'!$H$36,0)</f>
        <v/>
      </c>
      <c r="S259" s="8">
        <f>IF(AND($B$148=1,S$4&gt;=$B$145),'Assumptions'!$C$69+'Assumptions'!$C$70,0)+IF(S235=1,'Retail Readiness Costs'!$H$36,0)</f>
        <v/>
      </c>
      <c r="T259" s="8">
        <f>IF(AND($B$148=1,T$4&gt;=$B$145),'Assumptions'!$C$69+'Assumptions'!$C$70,0)+IF(T235=1,'Retail Readiness Costs'!$H$36,0)</f>
        <v/>
      </c>
      <c r="U259" s="8">
        <f>IF(AND($B$148=1,U$4&gt;=$B$145),'Assumptions'!$C$69+'Assumptions'!$C$70,0)+IF(U235=1,'Retail Readiness Costs'!$H$36,0)</f>
        <v/>
      </c>
      <c r="V259" s="8">
        <f>IF(AND($B$148=1,V$4&gt;=$B$145),'Assumptions'!$C$69+'Assumptions'!$C$70,0)+IF(V235=1,'Retail Readiness Costs'!$H$36,0)</f>
        <v/>
      </c>
      <c r="W259" s="8">
        <f>IF(AND($B$148=1,W$4&gt;=$B$145),'Assumptions'!$C$69+'Assumptions'!$C$70,0)+IF(W235=1,'Retail Readiness Costs'!$H$36,0)</f>
        <v/>
      </c>
      <c r="X259" s="8">
        <f>IF(AND($B$148=1,X$4&gt;=$B$145),'Assumptions'!$C$69+'Assumptions'!$C$70,0)+IF(X235=1,'Retail Readiness Costs'!$H$36,0)</f>
        <v/>
      </c>
      <c r="Y259" s="8">
        <f>IF(AND($B$148=1,Y$4&gt;=$B$145),'Assumptions'!$C$69+'Assumptions'!$C$70,0)+IF(Y235=1,'Retail Readiness Costs'!$H$36,0)</f>
        <v/>
      </c>
      <c r="Z259" s="8">
        <f>IF(AND($B$148=1,Z$4&gt;=$B$145),'Assumptions'!$C$69+'Assumptions'!$C$70,0)+IF(Z235=1,'Retail Readiness Costs'!$H$36,0)</f>
        <v/>
      </c>
      <c r="AA259" s="8">
        <f>IF(AND($B$148=1,AA$4&gt;=$B$145),'Assumptions'!$C$69+'Assumptions'!$C$70,0)+IF(AA235=1,'Retail Readiness Costs'!$H$36,0)</f>
        <v/>
      </c>
      <c r="AB259" s="8">
        <f>IF(AND($B$148=1,AB$4&gt;=$B$145),'Assumptions'!$C$69+'Assumptions'!$C$70,0)+IF(AB235=1,'Retail Readiness Costs'!$H$36,0)</f>
        <v/>
      </c>
      <c r="AC259" s="8">
        <f>IF(AND($B$148=1,AC$4&gt;=$B$145),'Assumptions'!$C$69+'Assumptions'!$C$70,0)+IF(AC235=1,'Retail Readiness Costs'!$H$36,0)</f>
        <v/>
      </c>
      <c r="AD259" s="8">
        <f>IF(AND($B$148=1,AD$4&gt;=$B$145),'Assumptions'!$C$69+'Assumptions'!$C$70,0)+IF(AD235=1,'Retail Readiness Costs'!$H$36,0)</f>
        <v/>
      </c>
      <c r="AE259" s="8">
        <f>IF(AND($B$148=1,AE$4&gt;=$B$145),'Assumptions'!$C$69+'Assumptions'!$C$70,0)+IF(AE235=1,'Retail Readiness Costs'!$H$36,0)</f>
        <v/>
      </c>
      <c r="AF259" s="8">
        <f>IF(AND($B$148=1,AF$4&gt;=$B$145),'Assumptions'!$C$69+'Assumptions'!$C$70,0)+IF(AF235=1,'Retail Readiness Costs'!$H$36,0)</f>
        <v/>
      </c>
      <c r="AG259" s="8">
        <f>IF(AND($B$148=1,AG$4&gt;=$B$145),'Assumptions'!$C$69+'Assumptions'!$C$70,0)+IF(AG235=1,'Retail Readiness Costs'!$H$36,0)</f>
        <v/>
      </c>
      <c r="AH259" s="8">
        <f>IF(AND($B$148=1,AH$4&gt;=$B$145),'Assumptions'!$C$69+'Assumptions'!$C$70,0)+IF(AH235=1,'Retail Readiness Costs'!$H$36,0)</f>
        <v/>
      </c>
      <c r="AI259" s="8">
        <f>IF(AND($B$148=1,AI$4&gt;=$B$145),'Assumptions'!$C$69+'Assumptions'!$C$70,0)+IF(AI235=1,'Retail Readiness Costs'!$H$36,0)</f>
        <v/>
      </c>
      <c r="AJ259" s="8">
        <f>IF(AND($B$148=1,AJ$4&gt;=$B$145),'Assumptions'!$C$69+'Assumptions'!$C$70,0)+IF(AJ235=1,'Retail Readiness Costs'!$H$36,0)</f>
        <v/>
      </c>
      <c r="AK259" s="8">
        <f>IF(AND($B$148=1,AK$4&gt;=$B$145),'Assumptions'!$C$69+'Assumptions'!$C$70,0)+IF(AK235=1,'Retail Readiness Costs'!$H$36,0)</f>
        <v/>
      </c>
      <c r="AL259" s="8">
        <f>IF(AND($B$148=1,AL$4&gt;=$B$145),'Assumptions'!$C$69+'Assumptions'!$C$70,0)+IF(AL235=1,'Retail Readiness Costs'!$H$36,0)</f>
        <v/>
      </c>
      <c r="AM259" s="47">
        <f>SUMIF($C$6:$AL$6,1,C259:AL259)</f>
        <v/>
      </c>
      <c r="AN259" s="47">
        <f>SUMIF($C$6:$AL$6,2,C259:AL259)</f>
        <v/>
      </c>
      <c r="AO259" s="47">
        <f>SUMIF($C$6:$AL$6,3,C259:AL259)</f>
        <v/>
      </c>
      <c r="AP259" s="47">
        <f>SUM(C259:AL259)</f>
        <v/>
      </c>
    </row>
    <row r="260">
      <c r="A260" s="60" t="inlineStr">
        <is>
          <t>NET OPERATING RESULT (before one-time costs)</t>
        </is>
      </c>
      <c r="B260" s="61" t="inlineStr">
        <is>
          <t>$</t>
        </is>
      </c>
      <c r="C260" s="62">
        <f>C255-C257-C258-C259</f>
        <v/>
      </c>
      <c r="D260" s="62">
        <f>D255-D257-D258-D259</f>
        <v/>
      </c>
      <c r="E260" s="62">
        <f>E255-E257-E258-E259</f>
        <v/>
      </c>
      <c r="F260" s="62">
        <f>F255-F257-F258-F259</f>
        <v/>
      </c>
      <c r="G260" s="62">
        <f>G255-G257-G258-G259</f>
        <v/>
      </c>
      <c r="H260" s="62">
        <f>H255-H257-H258-H259</f>
        <v/>
      </c>
      <c r="I260" s="62">
        <f>I255-I257-I258-I259</f>
        <v/>
      </c>
      <c r="J260" s="62">
        <f>J255-J257-J258-J259</f>
        <v/>
      </c>
      <c r="K260" s="62">
        <f>K255-K257-K258-K259</f>
        <v/>
      </c>
      <c r="L260" s="62">
        <f>L255-L257-L258-L259</f>
        <v/>
      </c>
      <c r="M260" s="62">
        <f>M255-M257-M258-M259</f>
        <v/>
      </c>
      <c r="N260" s="62">
        <f>N255-N257-N258-N259</f>
        <v/>
      </c>
      <c r="O260" s="62">
        <f>O255-O257-O258-O259</f>
        <v/>
      </c>
      <c r="P260" s="62">
        <f>P255-P257-P258-P259</f>
        <v/>
      </c>
      <c r="Q260" s="62">
        <f>Q255-Q257-Q258-Q259</f>
        <v/>
      </c>
      <c r="R260" s="62">
        <f>R255-R257-R258-R259</f>
        <v/>
      </c>
      <c r="S260" s="62">
        <f>S255-S257-S258-S259</f>
        <v/>
      </c>
      <c r="T260" s="62">
        <f>T255-T257-T258-T259</f>
        <v/>
      </c>
      <c r="U260" s="62">
        <f>U255-U257-U258-U259</f>
        <v/>
      </c>
      <c r="V260" s="62">
        <f>V255-V257-V258-V259</f>
        <v/>
      </c>
      <c r="W260" s="62">
        <f>W255-W257-W258-W259</f>
        <v/>
      </c>
      <c r="X260" s="62">
        <f>X255-X257-X258-X259</f>
        <v/>
      </c>
      <c r="Y260" s="62">
        <f>Y255-Y257-Y258-Y259</f>
        <v/>
      </c>
      <c r="Z260" s="62">
        <f>Z255-Z257-Z258-Z259</f>
        <v/>
      </c>
      <c r="AA260" s="62">
        <f>AA255-AA257-AA258-AA259</f>
        <v/>
      </c>
      <c r="AB260" s="62">
        <f>AB255-AB257-AB258-AB259</f>
        <v/>
      </c>
      <c r="AC260" s="62">
        <f>AC255-AC257-AC258-AC259</f>
        <v/>
      </c>
      <c r="AD260" s="62">
        <f>AD255-AD257-AD258-AD259</f>
        <v/>
      </c>
      <c r="AE260" s="62">
        <f>AE255-AE257-AE258-AE259</f>
        <v/>
      </c>
      <c r="AF260" s="62">
        <f>AF255-AF257-AF258-AF259</f>
        <v/>
      </c>
      <c r="AG260" s="62">
        <f>AG255-AG257-AG258-AG259</f>
        <v/>
      </c>
      <c r="AH260" s="62">
        <f>AH255-AH257-AH258-AH259</f>
        <v/>
      </c>
      <c r="AI260" s="62">
        <f>AI255-AI257-AI258-AI259</f>
        <v/>
      </c>
      <c r="AJ260" s="62">
        <f>AJ255-AJ257-AJ258-AJ259</f>
        <v/>
      </c>
      <c r="AK260" s="62">
        <f>AK255-AK257-AK258-AK259</f>
        <v/>
      </c>
      <c r="AL260" s="62">
        <f>AL255-AL257-AL258-AL259</f>
        <v/>
      </c>
      <c r="AM260" s="63">
        <f>SUMIF($C$6:$AL$6,1,C260:AL260)</f>
        <v/>
      </c>
      <c r="AN260" s="63">
        <f>SUMIF($C$6:$AL$6,2,C260:AL260)</f>
        <v/>
      </c>
      <c r="AO260" s="63">
        <f>SUMIF($C$6:$AL$6,3,C260:AL260)</f>
        <v/>
      </c>
      <c r="AP260" s="63">
        <f>SUM(C260:AL260)</f>
        <v/>
      </c>
    </row>
    <row r="261">
      <c r="A261" s="7" t="inlineStr">
        <is>
          <t xml:space="preserve">   Trailing-12-month operating result (months available so far)</t>
        </is>
      </c>
      <c r="B261" s="9" t="inlineStr">
        <is>
          <t>$</t>
        </is>
      </c>
      <c r="C261" s="19">
        <f>SUM(C260:C260)</f>
        <v/>
      </c>
      <c r="D261" s="19">
        <f>SUM(C260:D260)</f>
        <v/>
      </c>
      <c r="E261" s="19">
        <f>SUM(C260:E260)</f>
        <v/>
      </c>
      <c r="F261" s="19">
        <f>SUM(C260:F260)</f>
        <v/>
      </c>
      <c r="G261" s="19">
        <f>SUM(C260:G260)</f>
        <v/>
      </c>
      <c r="H261" s="19">
        <f>SUM(C260:H260)</f>
        <v/>
      </c>
      <c r="I261" s="19">
        <f>SUM(C260:I260)</f>
        <v/>
      </c>
      <c r="J261" s="19">
        <f>SUM(C260:J260)</f>
        <v/>
      </c>
      <c r="K261" s="19">
        <f>SUM(C260:K260)</f>
        <v/>
      </c>
      <c r="L261" s="19">
        <f>SUM(C260:L260)</f>
        <v/>
      </c>
      <c r="M261" s="19">
        <f>SUM(C260:M260)</f>
        <v/>
      </c>
      <c r="N261" s="19">
        <f>SUM(C260:N260)</f>
        <v/>
      </c>
      <c r="O261" s="19">
        <f>SUM(D260:O260)</f>
        <v/>
      </c>
      <c r="P261" s="19">
        <f>SUM(E260:P260)</f>
        <v/>
      </c>
      <c r="Q261" s="19">
        <f>SUM(F260:Q260)</f>
        <v/>
      </c>
      <c r="R261" s="19">
        <f>SUM(G260:R260)</f>
        <v/>
      </c>
      <c r="S261" s="19">
        <f>SUM(H260:S260)</f>
        <v/>
      </c>
      <c r="T261" s="19">
        <f>SUM(I260:T260)</f>
        <v/>
      </c>
      <c r="U261" s="19">
        <f>SUM(J260:U260)</f>
        <v/>
      </c>
      <c r="V261" s="19">
        <f>SUM(K260:V260)</f>
        <v/>
      </c>
      <c r="W261" s="19">
        <f>SUM(L260:W260)</f>
        <v/>
      </c>
      <c r="X261" s="19">
        <f>SUM(M260:X260)</f>
        <v/>
      </c>
      <c r="Y261" s="19">
        <f>SUM(N260:Y260)</f>
        <v/>
      </c>
      <c r="Z261" s="19">
        <f>SUM(O260:Z260)</f>
        <v/>
      </c>
      <c r="AA261" s="19">
        <f>SUM(P260:AA260)</f>
        <v/>
      </c>
      <c r="AB261" s="19">
        <f>SUM(Q260:AB260)</f>
        <v/>
      </c>
      <c r="AC261" s="19">
        <f>SUM(R260:AC260)</f>
        <v/>
      </c>
      <c r="AD261" s="19">
        <f>SUM(S260:AD260)</f>
        <v/>
      </c>
      <c r="AE261" s="19">
        <f>SUM(T260:AE260)</f>
        <v/>
      </c>
      <c r="AF261" s="19">
        <f>SUM(U260:AF260)</f>
        <v/>
      </c>
      <c r="AG261" s="19">
        <f>SUM(V260:AG260)</f>
        <v/>
      </c>
      <c r="AH261" s="19">
        <f>SUM(W260:AH260)</f>
        <v/>
      </c>
      <c r="AI261" s="19">
        <f>SUM(X260:AI260)</f>
        <v/>
      </c>
      <c r="AJ261" s="19">
        <f>SUM(Y260:AJ260)</f>
        <v/>
      </c>
      <c r="AK261" s="19">
        <f>SUM(Z260:AK260)</f>
        <v/>
      </c>
      <c r="AL261" s="19">
        <f>SUM(AA260:AL260)</f>
        <v/>
      </c>
    </row>
    <row r="262">
      <c r="A262" s="7" t="inlineStr">
        <is>
          <t>One-time startup costs (Startup Costs tab, included items)</t>
        </is>
      </c>
      <c r="B262" s="9" t="inlineStr">
        <is>
          <t>$</t>
        </is>
      </c>
      <c r="C262" s="8">
        <f>SUMPRODUCT(('Startup Costs'!$F$6:$F$39=C$4)*'Startup Costs'!$G$6:$G$39*'Startup Costs'!$E$6:$E$39)</f>
        <v/>
      </c>
      <c r="D262" s="8">
        <f>SUMPRODUCT(('Startup Costs'!$F$6:$F$39=D$4)*'Startup Costs'!$G$6:$G$39*'Startup Costs'!$E$6:$E$39)</f>
        <v/>
      </c>
      <c r="E262" s="8">
        <f>SUMPRODUCT(('Startup Costs'!$F$6:$F$39=E$4)*'Startup Costs'!$G$6:$G$39*'Startup Costs'!$E$6:$E$39)</f>
        <v/>
      </c>
      <c r="F262" s="8">
        <f>SUMPRODUCT(('Startup Costs'!$F$6:$F$39=F$4)*'Startup Costs'!$G$6:$G$39*'Startup Costs'!$E$6:$E$39)</f>
        <v/>
      </c>
      <c r="G262" s="8">
        <f>SUMPRODUCT(('Startup Costs'!$F$6:$F$39=G$4)*'Startup Costs'!$G$6:$G$39*'Startup Costs'!$E$6:$E$39)</f>
        <v/>
      </c>
      <c r="H262" s="8">
        <f>SUMPRODUCT(('Startup Costs'!$F$6:$F$39=H$4)*'Startup Costs'!$G$6:$G$39*'Startup Costs'!$E$6:$E$39)</f>
        <v/>
      </c>
      <c r="I262" s="8">
        <f>SUMPRODUCT(('Startup Costs'!$F$6:$F$39=I$4)*'Startup Costs'!$G$6:$G$39*'Startup Costs'!$E$6:$E$39)</f>
        <v/>
      </c>
      <c r="J262" s="8">
        <f>SUMPRODUCT(('Startup Costs'!$F$6:$F$39=J$4)*'Startup Costs'!$G$6:$G$39*'Startup Costs'!$E$6:$E$39)</f>
        <v/>
      </c>
      <c r="K262" s="8">
        <f>SUMPRODUCT(('Startup Costs'!$F$6:$F$39=K$4)*'Startup Costs'!$G$6:$G$39*'Startup Costs'!$E$6:$E$39)</f>
        <v/>
      </c>
      <c r="L262" s="8">
        <f>SUMPRODUCT(('Startup Costs'!$F$6:$F$39=L$4)*'Startup Costs'!$G$6:$G$39*'Startup Costs'!$E$6:$E$39)</f>
        <v/>
      </c>
      <c r="M262" s="8">
        <f>SUMPRODUCT(('Startup Costs'!$F$6:$F$39=M$4)*'Startup Costs'!$G$6:$G$39*'Startup Costs'!$E$6:$E$39)</f>
        <v/>
      </c>
      <c r="N262" s="8">
        <f>SUMPRODUCT(('Startup Costs'!$F$6:$F$39=N$4)*'Startup Costs'!$G$6:$G$39*'Startup Costs'!$E$6:$E$39)</f>
        <v/>
      </c>
      <c r="O262" s="8">
        <f>SUMPRODUCT(('Startup Costs'!$F$6:$F$39=O$4)*'Startup Costs'!$G$6:$G$39*'Startup Costs'!$E$6:$E$39)</f>
        <v/>
      </c>
      <c r="P262" s="8">
        <f>SUMPRODUCT(('Startup Costs'!$F$6:$F$39=P$4)*'Startup Costs'!$G$6:$G$39*'Startup Costs'!$E$6:$E$39)</f>
        <v/>
      </c>
      <c r="Q262" s="8">
        <f>SUMPRODUCT(('Startup Costs'!$F$6:$F$39=Q$4)*'Startup Costs'!$G$6:$G$39*'Startup Costs'!$E$6:$E$39)</f>
        <v/>
      </c>
      <c r="R262" s="8">
        <f>SUMPRODUCT(('Startup Costs'!$F$6:$F$39=R$4)*'Startup Costs'!$G$6:$G$39*'Startup Costs'!$E$6:$E$39)</f>
        <v/>
      </c>
      <c r="S262" s="8">
        <f>SUMPRODUCT(('Startup Costs'!$F$6:$F$39=S$4)*'Startup Costs'!$G$6:$G$39*'Startup Costs'!$E$6:$E$39)</f>
        <v/>
      </c>
      <c r="T262" s="8">
        <f>SUMPRODUCT(('Startup Costs'!$F$6:$F$39=T$4)*'Startup Costs'!$G$6:$G$39*'Startup Costs'!$E$6:$E$39)</f>
        <v/>
      </c>
      <c r="U262" s="8">
        <f>SUMPRODUCT(('Startup Costs'!$F$6:$F$39=U$4)*'Startup Costs'!$G$6:$G$39*'Startup Costs'!$E$6:$E$39)</f>
        <v/>
      </c>
      <c r="V262" s="8">
        <f>SUMPRODUCT(('Startup Costs'!$F$6:$F$39=V$4)*'Startup Costs'!$G$6:$G$39*'Startup Costs'!$E$6:$E$39)</f>
        <v/>
      </c>
      <c r="W262" s="8">
        <f>SUMPRODUCT(('Startup Costs'!$F$6:$F$39=W$4)*'Startup Costs'!$G$6:$G$39*'Startup Costs'!$E$6:$E$39)</f>
        <v/>
      </c>
      <c r="X262" s="8">
        <f>SUMPRODUCT(('Startup Costs'!$F$6:$F$39=X$4)*'Startup Costs'!$G$6:$G$39*'Startup Costs'!$E$6:$E$39)</f>
        <v/>
      </c>
      <c r="Y262" s="8">
        <f>SUMPRODUCT(('Startup Costs'!$F$6:$F$39=Y$4)*'Startup Costs'!$G$6:$G$39*'Startup Costs'!$E$6:$E$39)</f>
        <v/>
      </c>
      <c r="Z262" s="8">
        <f>SUMPRODUCT(('Startup Costs'!$F$6:$F$39=Z$4)*'Startup Costs'!$G$6:$G$39*'Startup Costs'!$E$6:$E$39)</f>
        <v/>
      </c>
      <c r="AA262" s="8">
        <f>SUMPRODUCT(('Startup Costs'!$F$6:$F$39=AA$4)*'Startup Costs'!$G$6:$G$39*'Startup Costs'!$E$6:$E$39)</f>
        <v/>
      </c>
      <c r="AB262" s="8">
        <f>SUMPRODUCT(('Startup Costs'!$F$6:$F$39=AB$4)*'Startup Costs'!$G$6:$G$39*'Startup Costs'!$E$6:$E$39)</f>
        <v/>
      </c>
      <c r="AC262" s="8">
        <f>SUMPRODUCT(('Startup Costs'!$F$6:$F$39=AC$4)*'Startup Costs'!$G$6:$G$39*'Startup Costs'!$E$6:$E$39)</f>
        <v/>
      </c>
      <c r="AD262" s="8">
        <f>SUMPRODUCT(('Startup Costs'!$F$6:$F$39=AD$4)*'Startup Costs'!$G$6:$G$39*'Startup Costs'!$E$6:$E$39)</f>
        <v/>
      </c>
      <c r="AE262" s="8">
        <f>SUMPRODUCT(('Startup Costs'!$F$6:$F$39=AE$4)*'Startup Costs'!$G$6:$G$39*'Startup Costs'!$E$6:$E$39)</f>
        <v/>
      </c>
      <c r="AF262" s="8">
        <f>SUMPRODUCT(('Startup Costs'!$F$6:$F$39=AF$4)*'Startup Costs'!$G$6:$G$39*'Startup Costs'!$E$6:$E$39)</f>
        <v/>
      </c>
      <c r="AG262" s="8">
        <f>SUMPRODUCT(('Startup Costs'!$F$6:$F$39=AG$4)*'Startup Costs'!$G$6:$G$39*'Startup Costs'!$E$6:$E$39)</f>
        <v/>
      </c>
      <c r="AH262" s="8">
        <f>SUMPRODUCT(('Startup Costs'!$F$6:$F$39=AH$4)*'Startup Costs'!$G$6:$G$39*'Startup Costs'!$E$6:$E$39)</f>
        <v/>
      </c>
      <c r="AI262" s="8">
        <f>SUMPRODUCT(('Startup Costs'!$F$6:$F$39=AI$4)*'Startup Costs'!$G$6:$G$39*'Startup Costs'!$E$6:$E$39)</f>
        <v/>
      </c>
      <c r="AJ262" s="8">
        <f>SUMPRODUCT(('Startup Costs'!$F$6:$F$39=AJ$4)*'Startup Costs'!$G$6:$G$39*'Startup Costs'!$E$6:$E$39)</f>
        <v/>
      </c>
      <c r="AK262" s="8">
        <f>SUMPRODUCT(('Startup Costs'!$F$6:$F$39=AK$4)*'Startup Costs'!$G$6:$G$39*'Startup Costs'!$E$6:$E$39)</f>
        <v/>
      </c>
      <c r="AL262" s="8">
        <f>SUMPRODUCT(('Startup Costs'!$F$6:$F$39=AL$4)*'Startup Costs'!$G$6:$G$39*'Startup Costs'!$E$6:$E$39)</f>
        <v/>
      </c>
      <c r="AM262" s="47">
        <f>SUMIF($C$6:$AL$6,1,C262:AL262)</f>
        <v/>
      </c>
      <c r="AN262" s="47">
        <f>SUMIF($C$6:$AL$6,2,C262:AL262)</f>
        <v/>
      </c>
      <c r="AO262" s="47">
        <f>SUMIF($C$6:$AL$6,3,C262:AL262)</f>
        <v/>
      </c>
      <c r="AP262" s="47">
        <f>SUM(C262:AL262)</f>
        <v/>
      </c>
    </row>
    <row r="263">
      <c r="A263" s="7" t="inlineStr">
        <is>
          <t>One-time wave costs (board-book pre-sale/print, retail readiness, school setup)</t>
        </is>
      </c>
      <c r="B263" s="9" t="inlineStr">
        <is>
          <t>$</t>
        </is>
      </c>
      <c r="C263" s="8">
        <f>IF(AND('Assumptions'!$D$164=1,C$4=MAX(1,MAX('Assumptions'!$D$165,'Assumptions'!$C$9)-1)),'Retail Readiness Costs'!$H$11,0)+IF(AND($B$148=1,C$4=$B$145),'Retail Readiness Costs'!$H$20,0)+IF(AND('Assumptions'!$D$164=1,$B$148=0,C$4=$B$145),'Assumptions'!$C$74,0)+IF(AND('Assumptions'!$D$182=1,C$4=MAX(1,MAX('Assumptions'!$D$183,'Assumptions'!$C$9)-'Assumptions'!$C$77)),'Retail Readiness Costs'!$H$30,0)+IF(AND('Assumptions'!$D$173=1,C$4=MAX('Assumptions'!$D$174,'Assumptions'!$C$9)),'Assumptions'!$C$76,0)</f>
        <v/>
      </c>
      <c r="D263" s="8">
        <f>IF(AND('Assumptions'!$D$164=1,D$4=MAX(1,MAX('Assumptions'!$D$165,'Assumptions'!$C$9)-1)),'Retail Readiness Costs'!$H$11,0)+IF(AND($B$148=1,D$4=$B$145),'Retail Readiness Costs'!$H$20,0)+IF(AND('Assumptions'!$D$164=1,$B$148=0,D$4=$B$145),'Assumptions'!$C$74,0)+IF(AND('Assumptions'!$D$182=1,D$4=MAX(1,MAX('Assumptions'!$D$183,'Assumptions'!$C$9)-'Assumptions'!$C$77)),'Retail Readiness Costs'!$H$30,0)+IF(AND('Assumptions'!$D$173=1,D$4=MAX('Assumptions'!$D$174,'Assumptions'!$C$9)),'Assumptions'!$C$76,0)</f>
        <v/>
      </c>
      <c r="E263" s="8">
        <f>IF(AND('Assumptions'!$D$164=1,E$4=MAX(1,MAX('Assumptions'!$D$165,'Assumptions'!$C$9)-1)),'Retail Readiness Costs'!$H$11,0)+IF(AND($B$148=1,E$4=$B$145),'Retail Readiness Costs'!$H$20,0)+IF(AND('Assumptions'!$D$164=1,$B$148=0,E$4=$B$145),'Assumptions'!$C$74,0)+IF(AND('Assumptions'!$D$182=1,E$4=MAX(1,MAX('Assumptions'!$D$183,'Assumptions'!$C$9)-'Assumptions'!$C$77)),'Retail Readiness Costs'!$H$30,0)+IF(AND('Assumptions'!$D$173=1,E$4=MAX('Assumptions'!$D$174,'Assumptions'!$C$9)),'Assumptions'!$C$76,0)</f>
        <v/>
      </c>
      <c r="F263" s="8">
        <f>IF(AND('Assumptions'!$D$164=1,F$4=MAX(1,MAX('Assumptions'!$D$165,'Assumptions'!$C$9)-1)),'Retail Readiness Costs'!$H$11,0)+IF(AND($B$148=1,F$4=$B$145),'Retail Readiness Costs'!$H$20,0)+IF(AND('Assumptions'!$D$164=1,$B$148=0,F$4=$B$145),'Assumptions'!$C$74,0)+IF(AND('Assumptions'!$D$182=1,F$4=MAX(1,MAX('Assumptions'!$D$183,'Assumptions'!$C$9)-'Assumptions'!$C$77)),'Retail Readiness Costs'!$H$30,0)+IF(AND('Assumptions'!$D$173=1,F$4=MAX('Assumptions'!$D$174,'Assumptions'!$C$9)),'Assumptions'!$C$76,0)</f>
        <v/>
      </c>
      <c r="G263" s="8">
        <f>IF(AND('Assumptions'!$D$164=1,G$4=MAX(1,MAX('Assumptions'!$D$165,'Assumptions'!$C$9)-1)),'Retail Readiness Costs'!$H$11,0)+IF(AND($B$148=1,G$4=$B$145),'Retail Readiness Costs'!$H$20,0)+IF(AND('Assumptions'!$D$164=1,$B$148=0,G$4=$B$145),'Assumptions'!$C$74,0)+IF(AND('Assumptions'!$D$182=1,G$4=MAX(1,MAX('Assumptions'!$D$183,'Assumptions'!$C$9)-'Assumptions'!$C$77)),'Retail Readiness Costs'!$H$30,0)+IF(AND('Assumptions'!$D$173=1,G$4=MAX('Assumptions'!$D$174,'Assumptions'!$C$9)),'Assumptions'!$C$76,0)</f>
        <v/>
      </c>
      <c r="H263" s="8">
        <f>IF(AND('Assumptions'!$D$164=1,H$4=MAX(1,MAX('Assumptions'!$D$165,'Assumptions'!$C$9)-1)),'Retail Readiness Costs'!$H$11,0)+IF(AND($B$148=1,H$4=$B$145),'Retail Readiness Costs'!$H$20,0)+IF(AND('Assumptions'!$D$164=1,$B$148=0,H$4=$B$145),'Assumptions'!$C$74,0)+IF(AND('Assumptions'!$D$182=1,H$4=MAX(1,MAX('Assumptions'!$D$183,'Assumptions'!$C$9)-'Assumptions'!$C$77)),'Retail Readiness Costs'!$H$30,0)+IF(AND('Assumptions'!$D$173=1,H$4=MAX('Assumptions'!$D$174,'Assumptions'!$C$9)),'Assumptions'!$C$76,0)</f>
        <v/>
      </c>
      <c r="I263" s="8">
        <f>IF(AND('Assumptions'!$D$164=1,I$4=MAX(1,MAX('Assumptions'!$D$165,'Assumptions'!$C$9)-1)),'Retail Readiness Costs'!$H$11,0)+IF(AND($B$148=1,I$4=$B$145),'Retail Readiness Costs'!$H$20,0)+IF(AND('Assumptions'!$D$164=1,$B$148=0,I$4=$B$145),'Assumptions'!$C$74,0)+IF(AND('Assumptions'!$D$182=1,I$4=MAX(1,MAX('Assumptions'!$D$183,'Assumptions'!$C$9)-'Assumptions'!$C$77)),'Retail Readiness Costs'!$H$30,0)+IF(AND('Assumptions'!$D$173=1,I$4=MAX('Assumptions'!$D$174,'Assumptions'!$C$9)),'Assumptions'!$C$76,0)</f>
        <v/>
      </c>
      <c r="J263" s="8">
        <f>IF(AND('Assumptions'!$D$164=1,J$4=MAX(1,MAX('Assumptions'!$D$165,'Assumptions'!$C$9)-1)),'Retail Readiness Costs'!$H$11,0)+IF(AND($B$148=1,J$4=$B$145),'Retail Readiness Costs'!$H$20,0)+IF(AND('Assumptions'!$D$164=1,$B$148=0,J$4=$B$145),'Assumptions'!$C$74,0)+IF(AND('Assumptions'!$D$182=1,J$4=MAX(1,MAX('Assumptions'!$D$183,'Assumptions'!$C$9)-'Assumptions'!$C$77)),'Retail Readiness Costs'!$H$30,0)+IF(AND('Assumptions'!$D$173=1,J$4=MAX('Assumptions'!$D$174,'Assumptions'!$C$9)),'Assumptions'!$C$76,0)</f>
        <v/>
      </c>
      <c r="K263" s="8">
        <f>IF(AND('Assumptions'!$D$164=1,K$4=MAX(1,MAX('Assumptions'!$D$165,'Assumptions'!$C$9)-1)),'Retail Readiness Costs'!$H$11,0)+IF(AND($B$148=1,K$4=$B$145),'Retail Readiness Costs'!$H$20,0)+IF(AND('Assumptions'!$D$164=1,$B$148=0,K$4=$B$145),'Assumptions'!$C$74,0)+IF(AND('Assumptions'!$D$182=1,K$4=MAX(1,MAX('Assumptions'!$D$183,'Assumptions'!$C$9)-'Assumptions'!$C$77)),'Retail Readiness Costs'!$H$30,0)+IF(AND('Assumptions'!$D$173=1,K$4=MAX('Assumptions'!$D$174,'Assumptions'!$C$9)),'Assumptions'!$C$76,0)</f>
        <v/>
      </c>
      <c r="L263" s="8">
        <f>IF(AND('Assumptions'!$D$164=1,L$4=MAX(1,MAX('Assumptions'!$D$165,'Assumptions'!$C$9)-1)),'Retail Readiness Costs'!$H$11,0)+IF(AND($B$148=1,L$4=$B$145),'Retail Readiness Costs'!$H$20,0)+IF(AND('Assumptions'!$D$164=1,$B$148=0,L$4=$B$145),'Assumptions'!$C$74,0)+IF(AND('Assumptions'!$D$182=1,L$4=MAX(1,MAX('Assumptions'!$D$183,'Assumptions'!$C$9)-'Assumptions'!$C$77)),'Retail Readiness Costs'!$H$30,0)+IF(AND('Assumptions'!$D$173=1,L$4=MAX('Assumptions'!$D$174,'Assumptions'!$C$9)),'Assumptions'!$C$76,0)</f>
        <v/>
      </c>
      <c r="M263" s="8">
        <f>IF(AND('Assumptions'!$D$164=1,M$4=MAX(1,MAX('Assumptions'!$D$165,'Assumptions'!$C$9)-1)),'Retail Readiness Costs'!$H$11,0)+IF(AND($B$148=1,M$4=$B$145),'Retail Readiness Costs'!$H$20,0)+IF(AND('Assumptions'!$D$164=1,$B$148=0,M$4=$B$145),'Assumptions'!$C$74,0)+IF(AND('Assumptions'!$D$182=1,M$4=MAX(1,MAX('Assumptions'!$D$183,'Assumptions'!$C$9)-'Assumptions'!$C$77)),'Retail Readiness Costs'!$H$30,0)+IF(AND('Assumptions'!$D$173=1,M$4=MAX('Assumptions'!$D$174,'Assumptions'!$C$9)),'Assumptions'!$C$76,0)</f>
        <v/>
      </c>
      <c r="N263" s="8">
        <f>IF(AND('Assumptions'!$D$164=1,N$4=MAX(1,MAX('Assumptions'!$D$165,'Assumptions'!$C$9)-1)),'Retail Readiness Costs'!$H$11,0)+IF(AND($B$148=1,N$4=$B$145),'Retail Readiness Costs'!$H$20,0)+IF(AND('Assumptions'!$D$164=1,$B$148=0,N$4=$B$145),'Assumptions'!$C$74,0)+IF(AND('Assumptions'!$D$182=1,N$4=MAX(1,MAX('Assumptions'!$D$183,'Assumptions'!$C$9)-'Assumptions'!$C$77)),'Retail Readiness Costs'!$H$30,0)+IF(AND('Assumptions'!$D$173=1,N$4=MAX('Assumptions'!$D$174,'Assumptions'!$C$9)),'Assumptions'!$C$76,0)</f>
        <v/>
      </c>
      <c r="O263" s="8">
        <f>IF(AND('Assumptions'!$D$164=1,O$4=MAX(1,MAX('Assumptions'!$D$165,'Assumptions'!$C$9)-1)),'Retail Readiness Costs'!$H$11,0)+IF(AND($B$148=1,O$4=$B$145),'Retail Readiness Costs'!$H$20,0)+IF(AND('Assumptions'!$D$164=1,$B$148=0,O$4=$B$145),'Assumptions'!$C$74,0)+IF(AND('Assumptions'!$D$182=1,O$4=MAX(1,MAX('Assumptions'!$D$183,'Assumptions'!$C$9)-'Assumptions'!$C$77)),'Retail Readiness Costs'!$H$30,0)+IF(AND('Assumptions'!$D$173=1,O$4=MAX('Assumptions'!$D$174,'Assumptions'!$C$9)),'Assumptions'!$C$76,0)</f>
        <v/>
      </c>
      <c r="P263" s="8">
        <f>IF(AND('Assumptions'!$D$164=1,P$4=MAX(1,MAX('Assumptions'!$D$165,'Assumptions'!$C$9)-1)),'Retail Readiness Costs'!$H$11,0)+IF(AND($B$148=1,P$4=$B$145),'Retail Readiness Costs'!$H$20,0)+IF(AND('Assumptions'!$D$164=1,$B$148=0,P$4=$B$145),'Assumptions'!$C$74,0)+IF(AND('Assumptions'!$D$182=1,P$4=MAX(1,MAX('Assumptions'!$D$183,'Assumptions'!$C$9)-'Assumptions'!$C$77)),'Retail Readiness Costs'!$H$30,0)+IF(AND('Assumptions'!$D$173=1,P$4=MAX('Assumptions'!$D$174,'Assumptions'!$C$9)),'Assumptions'!$C$76,0)</f>
        <v/>
      </c>
      <c r="Q263" s="8">
        <f>IF(AND('Assumptions'!$D$164=1,Q$4=MAX(1,MAX('Assumptions'!$D$165,'Assumptions'!$C$9)-1)),'Retail Readiness Costs'!$H$11,0)+IF(AND($B$148=1,Q$4=$B$145),'Retail Readiness Costs'!$H$20,0)+IF(AND('Assumptions'!$D$164=1,$B$148=0,Q$4=$B$145),'Assumptions'!$C$74,0)+IF(AND('Assumptions'!$D$182=1,Q$4=MAX(1,MAX('Assumptions'!$D$183,'Assumptions'!$C$9)-'Assumptions'!$C$77)),'Retail Readiness Costs'!$H$30,0)+IF(AND('Assumptions'!$D$173=1,Q$4=MAX('Assumptions'!$D$174,'Assumptions'!$C$9)),'Assumptions'!$C$76,0)</f>
        <v/>
      </c>
      <c r="R263" s="8">
        <f>IF(AND('Assumptions'!$D$164=1,R$4=MAX(1,MAX('Assumptions'!$D$165,'Assumptions'!$C$9)-1)),'Retail Readiness Costs'!$H$11,0)+IF(AND($B$148=1,R$4=$B$145),'Retail Readiness Costs'!$H$20,0)+IF(AND('Assumptions'!$D$164=1,$B$148=0,R$4=$B$145),'Assumptions'!$C$74,0)+IF(AND('Assumptions'!$D$182=1,R$4=MAX(1,MAX('Assumptions'!$D$183,'Assumptions'!$C$9)-'Assumptions'!$C$77)),'Retail Readiness Costs'!$H$30,0)+IF(AND('Assumptions'!$D$173=1,R$4=MAX('Assumptions'!$D$174,'Assumptions'!$C$9)),'Assumptions'!$C$76,0)</f>
        <v/>
      </c>
      <c r="S263" s="8">
        <f>IF(AND('Assumptions'!$D$164=1,S$4=MAX(1,MAX('Assumptions'!$D$165,'Assumptions'!$C$9)-1)),'Retail Readiness Costs'!$H$11,0)+IF(AND($B$148=1,S$4=$B$145),'Retail Readiness Costs'!$H$20,0)+IF(AND('Assumptions'!$D$164=1,$B$148=0,S$4=$B$145),'Assumptions'!$C$74,0)+IF(AND('Assumptions'!$D$182=1,S$4=MAX(1,MAX('Assumptions'!$D$183,'Assumptions'!$C$9)-'Assumptions'!$C$77)),'Retail Readiness Costs'!$H$30,0)+IF(AND('Assumptions'!$D$173=1,S$4=MAX('Assumptions'!$D$174,'Assumptions'!$C$9)),'Assumptions'!$C$76,0)</f>
        <v/>
      </c>
      <c r="T263" s="8">
        <f>IF(AND('Assumptions'!$D$164=1,T$4=MAX(1,MAX('Assumptions'!$D$165,'Assumptions'!$C$9)-1)),'Retail Readiness Costs'!$H$11,0)+IF(AND($B$148=1,T$4=$B$145),'Retail Readiness Costs'!$H$20,0)+IF(AND('Assumptions'!$D$164=1,$B$148=0,T$4=$B$145),'Assumptions'!$C$74,0)+IF(AND('Assumptions'!$D$182=1,T$4=MAX(1,MAX('Assumptions'!$D$183,'Assumptions'!$C$9)-'Assumptions'!$C$77)),'Retail Readiness Costs'!$H$30,0)+IF(AND('Assumptions'!$D$173=1,T$4=MAX('Assumptions'!$D$174,'Assumptions'!$C$9)),'Assumptions'!$C$76,0)</f>
        <v/>
      </c>
      <c r="U263" s="8">
        <f>IF(AND('Assumptions'!$D$164=1,U$4=MAX(1,MAX('Assumptions'!$D$165,'Assumptions'!$C$9)-1)),'Retail Readiness Costs'!$H$11,0)+IF(AND($B$148=1,U$4=$B$145),'Retail Readiness Costs'!$H$20,0)+IF(AND('Assumptions'!$D$164=1,$B$148=0,U$4=$B$145),'Assumptions'!$C$74,0)+IF(AND('Assumptions'!$D$182=1,U$4=MAX(1,MAX('Assumptions'!$D$183,'Assumptions'!$C$9)-'Assumptions'!$C$77)),'Retail Readiness Costs'!$H$30,0)+IF(AND('Assumptions'!$D$173=1,U$4=MAX('Assumptions'!$D$174,'Assumptions'!$C$9)),'Assumptions'!$C$76,0)</f>
        <v/>
      </c>
      <c r="V263" s="8">
        <f>IF(AND('Assumptions'!$D$164=1,V$4=MAX(1,MAX('Assumptions'!$D$165,'Assumptions'!$C$9)-1)),'Retail Readiness Costs'!$H$11,0)+IF(AND($B$148=1,V$4=$B$145),'Retail Readiness Costs'!$H$20,0)+IF(AND('Assumptions'!$D$164=1,$B$148=0,V$4=$B$145),'Assumptions'!$C$74,0)+IF(AND('Assumptions'!$D$182=1,V$4=MAX(1,MAX('Assumptions'!$D$183,'Assumptions'!$C$9)-'Assumptions'!$C$77)),'Retail Readiness Costs'!$H$30,0)+IF(AND('Assumptions'!$D$173=1,V$4=MAX('Assumptions'!$D$174,'Assumptions'!$C$9)),'Assumptions'!$C$76,0)</f>
        <v/>
      </c>
      <c r="W263" s="8">
        <f>IF(AND('Assumptions'!$D$164=1,W$4=MAX(1,MAX('Assumptions'!$D$165,'Assumptions'!$C$9)-1)),'Retail Readiness Costs'!$H$11,0)+IF(AND($B$148=1,W$4=$B$145),'Retail Readiness Costs'!$H$20,0)+IF(AND('Assumptions'!$D$164=1,$B$148=0,W$4=$B$145),'Assumptions'!$C$74,0)+IF(AND('Assumptions'!$D$182=1,W$4=MAX(1,MAX('Assumptions'!$D$183,'Assumptions'!$C$9)-'Assumptions'!$C$77)),'Retail Readiness Costs'!$H$30,0)+IF(AND('Assumptions'!$D$173=1,W$4=MAX('Assumptions'!$D$174,'Assumptions'!$C$9)),'Assumptions'!$C$76,0)</f>
        <v/>
      </c>
      <c r="X263" s="8">
        <f>IF(AND('Assumptions'!$D$164=1,X$4=MAX(1,MAX('Assumptions'!$D$165,'Assumptions'!$C$9)-1)),'Retail Readiness Costs'!$H$11,0)+IF(AND($B$148=1,X$4=$B$145),'Retail Readiness Costs'!$H$20,0)+IF(AND('Assumptions'!$D$164=1,$B$148=0,X$4=$B$145),'Assumptions'!$C$74,0)+IF(AND('Assumptions'!$D$182=1,X$4=MAX(1,MAX('Assumptions'!$D$183,'Assumptions'!$C$9)-'Assumptions'!$C$77)),'Retail Readiness Costs'!$H$30,0)+IF(AND('Assumptions'!$D$173=1,X$4=MAX('Assumptions'!$D$174,'Assumptions'!$C$9)),'Assumptions'!$C$76,0)</f>
        <v/>
      </c>
      <c r="Y263" s="8">
        <f>IF(AND('Assumptions'!$D$164=1,Y$4=MAX(1,MAX('Assumptions'!$D$165,'Assumptions'!$C$9)-1)),'Retail Readiness Costs'!$H$11,0)+IF(AND($B$148=1,Y$4=$B$145),'Retail Readiness Costs'!$H$20,0)+IF(AND('Assumptions'!$D$164=1,$B$148=0,Y$4=$B$145),'Assumptions'!$C$74,0)+IF(AND('Assumptions'!$D$182=1,Y$4=MAX(1,MAX('Assumptions'!$D$183,'Assumptions'!$C$9)-'Assumptions'!$C$77)),'Retail Readiness Costs'!$H$30,0)+IF(AND('Assumptions'!$D$173=1,Y$4=MAX('Assumptions'!$D$174,'Assumptions'!$C$9)),'Assumptions'!$C$76,0)</f>
        <v/>
      </c>
      <c r="Z263" s="8">
        <f>IF(AND('Assumptions'!$D$164=1,Z$4=MAX(1,MAX('Assumptions'!$D$165,'Assumptions'!$C$9)-1)),'Retail Readiness Costs'!$H$11,0)+IF(AND($B$148=1,Z$4=$B$145),'Retail Readiness Costs'!$H$20,0)+IF(AND('Assumptions'!$D$164=1,$B$148=0,Z$4=$B$145),'Assumptions'!$C$74,0)+IF(AND('Assumptions'!$D$182=1,Z$4=MAX(1,MAX('Assumptions'!$D$183,'Assumptions'!$C$9)-'Assumptions'!$C$77)),'Retail Readiness Costs'!$H$30,0)+IF(AND('Assumptions'!$D$173=1,Z$4=MAX('Assumptions'!$D$174,'Assumptions'!$C$9)),'Assumptions'!$C$76,0)</f>
        <v/>
      </c>
      <c r="AA263" s="8">
        <f>IF(AND('Assumptions'!$D$164=1,AA$4=MAX(1,MAX('Assumptions'!$D$165,'Assumptions'!$C$9)-1)),'Retail Readiness Costs'!$H$11,0)+IF(AND($B$148=1,AA$4=$B$145),'Retail Readiness Costs'!$H$20,0)+IF(AND('Assumptions'!$D$164=1,$B$148=0,AA$4=$B$145),'Assumptions'!$C$74,0)+IF(AND('Assumptions'!$D$182=1,AA$4=MAX(1,MAX('Assumptions'!$D$183,'Assumptions'!$C$9)-'Assumptions'!$C$77)),'Retail Readiness Costs'!$H$30,0)+IF(AND('Assumptions'!$D$173=1,AA$4=MAX('Assumptions'!$D$174,'Assumptions'!$C$9)),'Assumptions'!$C$76,0)</f>
        <v/>
      </c>
      <c r="AB263" s="8">
        <f>IF(AND('Assumptions'!$D$164=1,AB$4=MAX(1,MAX('Assumptions'!$D$165,'Assumptions'!$C$9)-1)),'Retail Readiness Costs'!$H$11,0)+IF(AND($B$148=1,AB$4=$B$145),'Retail Readiness Costs'!$H$20,0)+IF(AND('Assumptions'!$D$164=1,$B$148=0,AB$4=$B$145),'Assumptions'!$C$74,0)+IF(AND('Assumptions'!$D$182=1,AB$4=MAX(1,MAX('Assumptions'!$D$183,'Assumptions'!$C$9)-'Assumptions'!$C$77)),'Retail Readiness Costs'!$H$30,0)+IF(AND('Assumptions'!$D$173=1,AB$4=MAX('Assumptions'!$D$174,'Assumptions'!$C$9)),'Assumptions'!$C$76,0)</f>
        <v/>
      </c>
      <c r="AC263" s="8">
        <f>IF(AND('Assumptions'!$D$164=1,AC$4=MAX(1,MAX('Assumptions'!$D$165,'Assumptions'!$C$9)-1)),'Retail Readiness Costs'!$H$11,0)+IF(AND($B$148=1,AC$4=$B$145),'Retail Readiness Costs'!$H$20,0)+IF(AND('Assumptions'!$D$164=1,$B$148=0,AC$4=$B$145),'Assumptions'!$C$74,0)+IF(AND('Assumptions'!$D$182=1,AC$4=MAX(1,MAX('Assumptions'!$D$183,'Assumptions'!$C$9)-'Assumptions'!$C$77)),'Retail Readiness Costs'!$H$30,0)+IF(AND('Assumptions'!$D$173=1,AC$4=MAX('Assumptions'!$D$174,'Assumptions'!$C$9)),'Assumptions'!$C$76,0)</f>
        <v/>
      </c>
      <c r="AD263" s="8">
        <f>IF(AND('Assumptions'!$D$164=1,AD$4=MAX(1,MAX('Assumptions'!$D$165,'Assumptions'!$C$9)-1)),'Retail Readiness Costs'!$H$11,0)+IF(AND($B$148=1,AD$4=$B$145),'Retail Readiness Costs'!$H$20,0)+IF(AND('Assumptions'!$D$164=1,$B$148=0,AD$4=$B$145),'Assumptions'!$C$74,0)+IF(AND('Assumptions'!$D$182=1,AD$4=MAX(1,MAX('Assumptions'!$D$183,'Assumptions'!$C$9)-'Assumptions'!$C$77)),'Retail Readiness Costs'!$H$30,0)+IF(AND('Assumptions'!$D$173=1,AD$4=MAX('Assumptions'!$D$174,'Assumptions'!$C$9)),'Assumptions'!$C$76,0)</f>
        <v/>
      </c>
      <c r="AE263" s="8">
        <f>IF(AND('Assumptions'!$D$164=1,AE$4=MAX(1,MAX('Assumptions'!$D$165,'Assumptions'!$C$9)-1)),'Retail Readiness Costs'!$H$11,0)+IF(AND($B$148=1,AE$4=$B$145),'Retail Readiness Costs'!$H$20,0)+IF(AND('Assumptions'!$D$164=1,$B$148=0,AE$4=$B$145),'Assumptions'!$C$74,0)+IF(AND('Assumptions'!$D$182=1,AE$4=MAX(1,MAX('Assumptions'!$D$183,'Assumptions'!$C$9)-'Assumptions'!$C$77)),'Retail Readiness Costs'!$H$30,0)+IF(AND('Assumptions'!$D$173=1,AE$4=MAX('Assumptions'!$D$174,'Assumptions'!$C$9)),'Assumptions'!$C$76,0)</f>
        <v/>
      </c>
      <c r="AF263" s="8">
        <f>IF(AND('Assumptions'!$D$164=1,AF$4=MAX(1,MAX('Assumptions'!$D$165,'Assumptions'!$C$9)-1)),'Retail Readiness Costs'!$H$11,0)+IF(AND($B$148=1,AF$4=$B$145),'Retail Readiness Costs'!$H$20,0)+IF(AND('Assumptions'!$D$164=1,$B$148=0,AF$4=$B$145),'Assumptions'!$C$74,0)+IF(AND('Assumptions'!$D$182=1,AF$4=MAX(1,MAX('Assumptions'!$D$183,'Assumptions'!$C$9)-'Assumptions'!$C$77)),'Retail Readiness Costs'!$H$30,0)+IF(AND('Assumptions'!$D$173=1,AF$4=MAX('Assumptions'!$D$174,'Assumptions'!$C$9)),'Assumptions'!$C$76,0)</f>
        <v/>
      </c>
      <c r="AG263" s="8">
        <f>IF(AND('Assumptions'!$D$164=1,AG$4=MAX(1,MAX('Assumptions'!$D$165,'Assumptions'!$C$9)-1)),'Retail Readiness Costs'!$H$11,0)+IF(AND($B$148=1,AG$4=$B$145),'Retail Readiness Costs'!$H$20,0)+IF(AND('Assumptions'!$D$164=1,$B$148=0,AG$4=$B$145),'Assumptions'!$C$74,0)+IF(AND('Assumptions'!$D$182=1,AG$4=MAX(1,MAX('Assumptions'!$D$183,'Assumptions'!$C$9)-'Assumptions'!$C$77)),'Retail Readiness Costs'!$H$30,0)+IF(AND('Assumptions'!$D$173=1,AG$4=MAX('Assumptions'!$D$174,'Assumptions'!$C$9)),'Assumptions'!$C$76,0)</f>
        <v/>
      </c>
      <c r="AH263" s="8">
        <f>IF(AND('Assumptions'!$D$164=1,AH$4=MAX(1,MAX('Assumptions'!$D$165,'Assumptions'!$C$9)-1)),'Retail Readiness Costs'!$H$11,0)+IF(AND($B$148=1,AH$4=$B$145),'Retail Readiness Costs'!$H$20,0)+IF(AND('Assumptions'!$D$164=1,$B$148=0,AH$4=$B$145),'Assumptions'!$C$74,0)+IF(AND('Assumptions'!$D$182=1,AH$4=MAX(1,MAX('Assumptions'!$D$183,'Assumptions'!$C$9)-'Assumptions'!$C$77)),'Retail Readiness Costs'!$H$30,0)+IF(AND('Assumptions'!$D$173=1,AH$4=MAX('Assumptions'!$D$174,'Assumptions'!$C$9)),'Assumptions'!$C$76,0)</f>
        <v/>
      </c>
      <c r="AI263" s="8">
        <f>IF(AND('Assumptions'!$D$164=1,AI$4=MAX(1,MAX('Assumptions'!$D$165,'Assumptions'!$C$9)-1)),'Retail Readiness Costs'!$H$11,0)+IF(AND($B$148=1,AI$4=$B$145),'Retail Readiness Costs'!$H$20,0)+IF(AND('Assumptions'!$D$164=1,$B$148=0,AI$4=$B$145),'Assumptions'!$C$74,0)+IF(AND('Assumptions'!$D$182=1,AI$4=MAX(1,MAX('Assumptions'!$D$183,'Assumptions'!$C$9)-'Assumptions'!$C$77)),'Retail Readiness Costs'!$H$30,0)+IF(AND('Assumptions'!$D$173=1,AI$4=MAX('Assumptions'!$D$174,'Assumptions'!$C$9)),'Assumptions'!$C$76,0)</f>
        <v/>
      </c>
      <c r="AJ263" s="8">
        <f>IF(AND('Assumptions'!$D$164=1,AJ$4=MAX(1,MAX('Assumptions'!$D$165,'Assumptions'!$C$9)-1)),'Retail Readiness Costs'!$H$11,0)+IF(AND($B$148=1,AJ$4=$B$145),'Retail Readiness Costs'!$H$20,0)+IF(AND('Assumptions'!$D$164=1,$B$148=0,AJ$4=$B$145),'Assumptions'!$C$74,0)+IF(AND('Assumptions'!$D$182=1,AJ$4=MAX(1,MAX('Assumptions'!$D$183,'Assumptions'!$C$9)-'Assumptions'!$C$77)),'Retail Readiness Costs'!$H$30,0)+IF(AND('Assumptions'!$D$173=1,AJ$4=MAX('Assumptions'!$D$174,'Assumptions'!$C$9)),'Assumptions'!$C$76,0)</f>
        <v/>
      </c>
      <c r="AK263" s="8">
        <f>IF(AND('Assumptions'!$D$164=1,AK$4=MAX(1,MAX('Assumptions'!$D$165,'Assumptions'!$C$9)-1)),'Retail Readiness Costs'!$H$11,0)+IF(AND($B$148=1,AK$4=$B$145),'Retail Readiness Costs'!$H$20,0)+IF(AND('Assumptions'!$D$164=1,$B$148=0,AK$4=$B$145),'Assumptions'!$C$74,0)+IF(AND('Assumptions'!$D$182=1,AK$4=MAX(1,MAX('Assumptions'!$D$183,'Assumptions'!$C$9)-'Assumptions'!$C$77)),'Retail Readiness Costs'!$H$30,0)+IF(AND('Assumptions'!$D$173=1,AK$4=MAX('Assumptions'!$D$174,'Assumptions'!$C$9)),'Assumptions'!$C$76,0)</f>
        <v/>
      </c>
      <c r="AL263" s="8">
        <f>IF(AND('Assumptions'!$D$164=1,AL$4=MAX(1,MAX('Assumptions'!$D$165,'Assumptions'!$C$9)-1)),'Retail Readiness Costs'!$H$11,0)+IF(AND($B$148=1,AL$4=$B$145),'Retail Readiness Costs'!$H$20,0)+IF(AND('Assumptions'!$D$164=1,$B$148=0,AL$4=$B$145),'Assumptions'!$C$74,0)+IF(AND('Assumptions'!$D$182=1,AL$4=MAX(1,MAX('Assumptions'!$D$183,'Assumptions'!$C$9)-'Assumptions'!$C$77)),'Retail Readiness Costs'!$H$30,0)+IF(AND('Assumptions'!$D$173=1,AL$4=MAX('Assumptions'!$D$174,'Assumptions'!$C$9)),'Assumptions'!$C$76,0)</f>
        <v/>
      </c>
      <c r="AM263" s="47">
        <f>SUMIF($C$6:$AL$6,1,C263:AL263)</f>
        <v/>
      </c>
      <c r="AN263" s="47">
        <f>SUMIF($C$6:$AL$6,2,C263:AL263)</f>
        <v/>
      </c>
      <c r="AO263" s="47">
        <f>SUMIF($C$6:$AL$6,3,C263:AL263)</f>
        <v/>
      </c>
      <c r="AP263" s="47">
        <f>SUM(C263:AL263)</f>
        <v/>
      </c>
    </row>
    <row r="264">
      <c r="A264" s="7" t="inlineStr">
        <is>
          <t>Net result after one-time costs</t>
        </is>
      </c>
      <c r="B264" s="9" t="inlineStr">
        <is>
          <t>$</t>
        </is>
      </c>
      <c r="C264" s="19">
        <f>C260-C262-C263</f>
        <v/>
      </c>
      <c r="D264" s="19">
        <f>D260-D262-D263</f>
        <v/>
      </c>
      <c r="E264" s="19">
        <f>E260-E262-E263</f>
        <v/>
      </c>
      <c r="F264" s="19">
        <f>F260-F262-F263</f>
        <v/>
      </c>
      <c r="G264" s="19">
        <f>G260-G262-G263</f>
        <v/>
      </c>
      <c r="H264" s="19">
        <f>H260-H262-H263</f>
        <v/>
      </c>
      <c r="I264" s="19">
        <f>I260-I262-I263</f>
        <v/>
      </c>
      <c r="J264" s="19">
        <f>J260-J262-J263</f>
        <v/>
      </c>
      <c r="K264" s="19">
        <f>K260-K262-K263</f>
        <v/>
      </c>
      <c r="L264" s="19">
        <f>L260-L262-L263</f>
        <v/>
      </c>
      <c r="M264" s="19">
        <f>M260-M262-M263</f>
        <v/>
      </c>
      <c r="N264" s="19">
        <f>N260-N262-N263</f>
        <v/>
      </c>
      <c r="O264" s="19">
        <f>O260-O262-O263</f>
        <v/>
      </c>
      <c r="P264" s="19">
        <f>P260-P262-P263</f>
        <v/>
      </c>
      <c r="Q264" s="19">
        <f>Q260-Q262-Q263</f>
        <v/>
      </c>
      <c r="R264" s="19">
        <f>R260-R262-R263</f>
        <v/>
      </c>
      <c r="S264" s="19">
        <f>S260-S262-S263</f>
        <v/>
      </c>
      <c r="T264" s="19">
        <f>T260-T262-T263</f>
        <v/>
      </c>
      <c r="U264" s="19">
        <f>U260-U262-U263</f>
        <v/>
      </c>
      <c r="V264" s="19">
        <f>V260-V262-V263</f>
        <v/>
      </c>
      <c r="W264" s="19">
        <f>W260-W262-W263</f>
        <v/>
      </c>
      <c r="X264" s="19">
        <f>X260-X262-X263</f>
        <v/>
      </c>
      <c r="Y264" s="19">
        <f>Y260-Y262-Y263</f>
        <v/>
      </c>
      <c r="Z264" s="19">
        <f>Z260-Z262-Z263</f>
        <v/>
      </c>
      <c r="AA264" s="19">
        <f>AA260-AA262-AA263</f>
        <v/>
      </c>
      <c r="AB264" s="19">
        <f>AB260-AB262-AB263</f>
        <v/>
      </c>
      <c r="AC264" s="19">
        <f>AC260-AC262-AC263</f>
        <v/>
      </c>
      <c r="AD264" s="19">
        <f>AD260-AD262-AD263</f>
        <v/>
      </c>
      <c r="AE264" s="19">
        <f>AE260-AE262-AE263</f>
        <v/>
      </c>
      <c r="AF264" s="19">
        <f>AF260-AF262-AF263</f>
        <v/>
      </c>
      <c r="AG264" s="19">
        <f>AG260-AG262-AG263</f>
        <v/>
      </c>
      <c r="AH264" s="19">
        <f>AH260-AH262-AH263</f>
        <v/>
      </c>
      <c r="AI264" s="19">
        <f>AI260-AI262-AI263</f>
        <v/>
      </c>
      <c r="AJ264" s="19">
        <f>AJ260-AJ262-AJ263</f>
        <v/>
      </c>
      <c r="AK264" s="19">
        <f>AK260-AK262-AK263</f>
        <v/>
      </c>
      <c r="AL264" s="19">
        <f>AL260-AL262-AL263</f>
        <v/>
      </c>
      <c r="AM264" s="47">
        <f>SUMIF($C$6:$AL$6,1,C264:AL264)</f>
        <v/>
      </c>
      <c r="AN264" s="47">
        <f>SUMIF($C$6:$AL$6,2,C264:AL264)</f>
        <v/>
      </c>
      <c r="AO264" s="47">
        <f>SUMIF($C$6:$AL$6,3,C264:AL264)</f>
        <v/>
      </c>
      <c r="AP264" s="47">
        <f>SUM(C264:AL264)</f>
        <v/>
      </c>
    </row>
    <row r="265">
      <c r="A265" s="7" t="inlineStr">
        <is>
          <t>Cumulative net result</t>
        </is>
      </c>
      <c r="B265" s="9" t="inlineStr">
        <is>
          <t>$</t>
        </is>
      </c>
      <c r="C265" s="19">
        <f>C264</f>
        <v/>
      </c>
      <c r="D265" s="19">
        <f>D264+C265</f>
        <v/>
      </c>
      <c r="E265" s="19">
        <f>E264+D265</f>
        <v/>
      </c>
      <c r="F265" s="19">
        <f>F264+E265</f>
        <v/>
      </c>
      <c r="G265" s="19">
        <f>G264+F265</f>
        <v/>
      </c>
      <c r="H265" s="19">
        <f>H264+G265</f>
        <v/>
      </c>
      <c r="I265" s="19">
        <f>I264+H265</f>
        <v/>
      </c>
      <c r="J265" s="19">
        <f>J264+I265</f>
        <v/>
      </c>
      <c r="K265" s="19">
        <f>K264+J265</f>
        <v/>
      </c>
      <c r="L265" s="19">
        <f>L264+K265</f>
        <v/>
      </c>
      <c r="M265" s="19">
        <f>M264+L265</f>
        <v/>
      </c>
      <c r="N265" s="19">
        <f>N264+M265</f>
        <v/>
      </c>
      <c r="O265" s="19">
        <f>O264+N265</f>
        <v/>
      </c>
      <c r="P265" s="19">
        <f>P264+O265</f>
        <v/>
      </c>
      <c r="Q265" s="19">
        <f>Q264+P265</f>
        <v/>
      </c>
      <c r="R265" s="19">
        <f>R264+Q265</f>
        <v/>
      </c>
      <c r="S265" s="19">
        <f>S264+R265</f>
        <v/>
      </c>
      <c r="T265" s="19">
        <f>T264+S265</f>
        <v/>
      </c>
      <c r="U265" s="19">
        <f>U264+T265</f>
        <v/>
      </c>
      <c r="V265" s="19">
        <f>V264+U265</f>
        <v/>
      </c>
      <c r="W265" s="19">
        <f>W264+V265</f>
        <v/>
      </c>
      <c r="X265" s="19">
        <f>X264+W265</f>
        <v/>
      </c>
      <c r="Y265" s="19">
        <f>Y264+X265</f>
        <v/>
      </c>
      <c r="Z265" s="19">
        <f>Z264+Y265</f>
        <v/>
      </c>
      <c r="AA265" s="19">
        <f>AA264+Z265</f>
        <v/>
      </c>
      <c r="AB265" s="19">
        <f>AB264+AA265</f>
        <v/>
      </c>
      <c r="AC265" s="19">
        <f>AC264+AB265</f>
        <v/>
      </c>
      <c r="AD265" s="19">
        <f>AD264+AC265</f>
        <v/>
      </c>
      <c r="AE265" s="19">
        <f>AE264+AD265</f>
        <v/>
      </c>
      <c r="AF265" s="19">
        <f>AF264+AE265</f>
        <v/>
      </c>
      <c r="AG265" s="19">
        <f>AG264+AF265</f>
        <v/>
      </c>
      <c r="AH265" s="19">
        <f>AH264+AG265</f>
        <v/>
      </c>
      <c r="AI265" s="19">
        <f>AI264+AH265</f>
        <v/>
      </c>
      <c r="AJ265" s="19">
        <f>AJ264+AI265</f>
        <v/>
      </c>
      <c r="AK265" s="19">
        <f>AK264+AJ265</f>
        <v/>
      </c>
      <c r="AL265" s="19">
        <f>AL264+AK265</f>
        <v/>
      </c>
      <c r="AM265" s="47">
        <f>N265</f>
        <v/>
      </c>
      <c r="AN265" s="47">
        <f>Z265</f>
        <v/>
      </c>
      <c r="AO265" s="47">
        <f>AL265</f>
        <v/>
      </c>
      <c r="AP265" s="47">
        <f>AL265</f>
        <v/>
      </c>
    </row>
    <row r="266">
      <c r="A266" s="5" t="inlineStr">
        <is>
          <t>Held inventory (board book and retail; stock sits at a 3PL or Amazon, never with the founder)</t>
        </is>
      </c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  <c r="AC266" s="6" t="n"/>
      <c r="AD266" s="6" t="n"/>
      <c r="AE266" s="6" t="n"/>
      <c r="AF266" s="6" t="n"/>
      <c r="AG266" s="6" t="n"/>
      <c r="AH266" s="6" t="n"/>
      <c r="AI266" s="6" t="n"/>
      <c r="AJ266" s="6" t="n"/>
      <c r="AK266" s="6" t="n"/>
      <c r="AL266" s="6" t="n"/>
      <c r="AM266" s="6" t="n"/>
      <c r="AN266" s="6" t="n"/>
      <c r="AO266" s="6" t="n"/>
      <c r="AP266" s="6" t="n"/>
    </row>
    <row r="267">
      <c r="A267" s="7" t="inlineStr">
        <is>
          <t xml:space="preserve">   Physical items sold from held stock (board book + retail)</t>
        </is>
      </c>
      <c r="B267" s="9" t="inlineStr">
        <is>
          <t>items</t>
        </is>
      </c>
      <c r="C267" s="58">
        <f>C219+C240</f>
        <v/>
      </c>
      <c r="D267" s="58">
        <f>D219+D240</f>
        <v/>
      </c>
      <c r="E267" s="58">
        <f>E219+E240</f>
        <v/>
      </c>
      <c r="F267" s="58">
        <f>F219+F240</f>
        <v/>
      </c>
      <c r="G267" s="58">
        <f>G219+G240</f>
        <v/>
      </c>
      <c r="H267" s="58">
        <f>H219+H240</f>
        <v/>
      </c>
      <c r="I267" s="58">
        <f>I219+I240</f>
        <v/>
      </c>
      <c r="J267" s="58">
        <f>J219+J240</f>
        <v/>
      </c>
      <c r="K267" s="58">
        <f>K219+K240</f>
        <v/>
      </c>
      <c r="L267" s="58">
        <f>L219+L240</f>
        <v/>
      </c>
      <c r="M267" s="58">
        <f>M219+M240</f>
        <v/>
      </c>
      <c r="N267" s="58">
        <f>N219+N240</f>
        <v/>
      </c>
      <c r="O267" s="58">
        <f>O219+O240</f>
        <v/>
      </c>
      <c r="P267" s="58">
        <f>P219+P240</f>
        <v/>
      </c>
      <c r="Q267" s="58">
        <f>Q219+Q240</f>
        <v/>
      </c>
      <c r="R267" s="58">
        <f>R219+R240</f>
        <v/>
      </c>
      <c r="S267" s="58">
        <f>S219+S240</f>
        <v/>
      </c>
      <c r="T267" s="58">
        <f>T219+T240</f>
        <v/>
      </c>
      <c r="U267" s="58">
        <f>U219+U240</f>
        <v/>
      </c>
      <c r="V267" s="58">
        <f>V219+V240</f>
        <v/>
      </c>
      <c r="W267" s="58">
        <f>W219+W240</f>
        <v/>
      </c>
      <c r="X267" s="58">
        <f>X219+X240</f>
        <v/>
      </c>
      <c r="Y267" s="58">
        <f>Y219+Y240</f>
        <v/>
      </c>
      <c r="Z267" s="58">
        <f>Z219+Z240</f>
        <v/>
      </c>
      <c r="AA267" s="58">
        <f>AA219+AA240</f>
        <v/>
      </c>
      <c r="AB267" s="58">
        <f>AB219+AB240</f>
        <v/>
      </c>
      <c r="AC267" s="58">
        <f>AC219+AC240</f>
        <v/>
      </c>
      <c r="AD267" s="58">
        <f>AD219+AD240</f>
        <v/>
      </c>
      <c r="AE267" s="58">
        <f>AE219+AE240</f>
        <v/>
      </c>
      <c r="AF267" s="58">
        <f>AF219+AF240</f>
        <v/>
      </c>
      <c r="AG267" s="58">
        <f>AG219+AG240</f>
        <v/>
      </c>
      <c r="AH267" s="58">
        <f>AH219+AH240</f>
        <v/>
      </c>
      <c r="AI267" s="58">
        <f>AI219+AI240</f>
        <v/>
      </c>
      <c r="AJ267" s="58">
        <f>AJ219+AJ240</f>
        <v/>
      </c>
      <c r="AK267" s="58">
        <f>AK219+AK240</f>
        <v/>
      </c>
      <c r="AL267" s="58">
        <f>AL219+AL240</f>
        <v/>
      </c>
      <c r="AM267" s="57">
        <f>SUMIF($C$6:$AL$6,1,C267:AL267)</f>
        <v/>
      </c>
      <c r="AN267" s="57">
        <f>SUMIF($C$6:$AL$6,2,C267:AL267)</f>
        <v/>
      </c>
      <c r="AO267" s="57">
        <f>SUMIF($C$6:$AL$6,3,C267:AL267)</f>
        <v/>
      </c>
      <c r="AP267" s="57">
        <f>SUM(C267:AL267)</f>
        <v/>
      </c>
    </row>
    <row r="268">
      <c r="A268" s="7" t="inlineStr">
        <is>
          <t xml:space="preserve">   Cumulative physical items</t>
        </is>
      </c>
      <c r="B268" s="9" t="inlineStr">
        <is>
          <t>items</t>
        </is>
      </c>
      <c r="C268" s="58">
        <f>C267</f>
        <v/>
      </c>
      <c r="D268" s="58">
        <f>D267+C268</f>
        <v/>
      </c>
      <c r="E268" s="58">
        <f>E267+D268</f>
        <v/>
      </c>
      <c r="F268" s="58">
        <f>F267+E268</f>
        <v/>
      </c>
      <c r="G268" s="58">
        <f>G267+F268</f>
        <v/>
      </c>
      <c r="H268" s="58">
        <f>H267+G268</f>
        <v/>
      </c>
      <c r="I268" s="58">
        <f>I267+H268</f>
        <v/>
      </c>
      <c r="J268" s="58">
        <f>J267+I268</f>
        <v/>
      </c>
      <c r="K268" s="58">
        <f>K267+J268</f>
        <v/>
      </c>
      <c r="L268" s="58">
        <f>L267+K268</f>
        <v/>
      </c>
      <c r="M268" s="58">
        <f>M267+L268</f>
        <v/>
      </c>
      <c r="N268" s="58">
        <f>N267+M268</f>
        <v/>
      </c>
      <c r="O268" s="58">
        <f>O267+N268</f>
        <v/>
      </c>
      <c r="P268" s="58">
        <f>P267+O268</f>
        <v/>
      </c>
      <c r="Q268" s="58">
        <f>Q267+P268</f>
        <v/>
      </c>
      <c r="R268" s="58">
        <f>R267+Q268</f>
        <v/>
      </c>
      <c r="S268" s="58">
        <f>S267+R268</f>
        <v/>
      </c>
      <c r="T268" s="58">
        <f>T267+S268</f>
        <v/>
      </c>
      <c r="U268" s="58">
        <f>U267+T268</f>
        <v/>
      </c>
      <c r="V268" s="58">
        <f>V267+U268</f>
        <v/>
      </c>
      <c r="W268" s="58">
        <f>W267+V268</f>
        <v/>
      </c>
      <c r="X268" s="58">
        <f>X267+W268</f>
        <v/>
      </c>
      <c r="Y268" s="58">
        <f>Y267+X268</f>
        <v/>
      </c>
      <c r="Z268" s="58">
        <f>Z267+Y268</f>
        <v/>
      </c>
      <c r="AA268" s="58">
        <f>AA267+Z268</f>
        <v/>
      </c>
      <c r="AB268" s="58">
        <f>AB267+AA268</f>
        <v/>
      </c>
      <c r="AC268" s="58">
        <f>AC267+AB268</f>
        <v/>
      </c>
      <c r="AD268" s="58">
        <f>AD267+AC268</f>
        <v/>
      </c>
      <c r="AE268" s="58">
        <f>AE267+AD268</f>
        <v/>
      </c>
      <c r="AF268" s="58">
        <f>AF267+AE268</f>
        <v/>
      </c>
      <c r="AG268" s="58">
        <f>AG267+AF268</f>
        <v/>
      </c>
      <c r="AH268" s="58">
        <f>AH267+AG268</f>
        <v/>
      </c>
      <c r="AI268" s="58">
        <f>AI267+AH268</f>
        <v/>
      </c>
      <c r="AJ268" s="58">
        <f>AJ267+AI268</f>
        <v/>
      </c>
      <c r="AK268" s="58">
        <f>AK267+AJ268</f>
        <v/>
      </c>
      <c r="AL268" s="58">
        <f>AL267+AK268</f>
        <v/>
      </c>
      <c r="AM268" s="57">
        <f>N268</f>
        <v/>
      </c>
      <c r="AN268" s="57">
        <f>Z268</f>
        <v/>
      </c>
      <c r="AO268" s="57">
        <f>AL268</f>
        <v/>
      </c>
      <c r="AP268" s="57">
        <f>AL268</f>
        <v/>
      </c>
    </row>
    <row r="269">
      <c r="A269" s="7" t="inlineStr">
        <is>
          <t xml:space="preserve">   Copies ordered from the printer (first run + reorders at the reorder point)</t>
        </is>
      </c>
      <c r="B269" s="9" t="inlineStr">
        <is>
          <t>copies</t>
        </is>
      </c>
      <c r="C269" s="15">
        <f>IF($B$149=0,0,IF(C$4=$B$145,$B$149,IF(C$4&gt;$B$145,IF(0-C267&lt;'Assumptions'!$C$75*C267,$B$149,0),0)))</f>
        <v/>
      </c>
      <c r="D269" s="15">
        <f>IF($B$149=0,0,IF(D$4=$B$145,$B$149,IF(D$4&gt;$B$145,IF(C272-D267&lt;'Assumptions'!$C$75*D267,$B$149,0),0)))</f>
        <v/>
      </c>
      <c r="E269" s="15">
        <f>IF($B$149=0,0,IF(E$4=$B$145,$B$149,IF(E$4&gt;$B$145,IF(D272-E267&lt;'Assumptions'!$C$75*E267,$B$149,0),0)))</f>
        <v/>
      </c>
      <c r="F269" s="15">
        <f>IF($B$149=0,0,IF(F$4=$B$145,$B$149,IF(F$4&gt;$B$145,IF(E272-F267&lt;'Assumptions'!$C$75*F267,$B$149,0),0)))</f>
        <v/>
      </c>
      <c r="G269" s="15">
        <f>IF($B$149=0,0,IF(G$4=$B$145,$B$149,IF(G$4&gt;$B$145,IF(F272-G267&lt;'Assumptions'!$C$75*G267,$B$149,0),0)))</f>
        <v/>
      </c>
      <c r="H269" s="15">
        <f>IF($B$149=0,0,IF(H$4=$B$145,$B$149,IF(H$4&gt;$B$145,IF(G272-H267&lt;'Assumptions'!$C$75*H267,$B$149,0),0)))</f>
        <v/>
      </c>
      <c r="I269" s="15">
        <f>IF($B$149=0,0,IF(I$4=$B$145,$B$149,IF(I$4&gt;$B$145,IF(H272-I267&lt;'Assumptions'!$C$75*I267,$B$149,0),0)))</f>
        <v/>
      </c>
      <c r="J269" s="15">
        <f>IF($B$149=0,0,IF(J$4=$B$145,$B$149,IF(J$4&gt;$B$145,IF(I272-J267&lt;'Assumptions'!$C$75*J267,$B$149,0),0)))</f>
        <v/>
      </c>
      <c r="K269" s="15">
        <f>IF($B$149=0,0,IF(K$4=$B$145,$B$149,IF(K$4&gt;$B$145,IF(J272-K267&lt;'Assumptions'!$C$75*K267,$B$149,0),0)))</f>
        <v/>
      </c>
      <c r="L269" s="15">
        <f>IF($B$149=0,0,IF(L$4=$B$145,$B$149,IF(L$4&gt;$B$145,IF(K272-L267&lt;'Assumptions'!$C$75*L267,$B$149,0),0)))</f>
        <v/>
      </c>
      <c r="M269" s="15">
        <f>IF($B$149=0,0,IF(M$4=$B$145,$B$149,IF(M$4&gt;$B$145,IF(L272-M267&lt;'Assumptions'!$C$75*M267,$B$149,0),0)))</f>
        <v/>
      </c>
      <c r="N269" s="15">
        <f>IF($B$149=0,0,IF(N$4=$B$145,$B$149,IF(N$4&gt;$B$145,IF(M272-N267&lt;'Assumptions'!$C$75*N267,$B$149,0),0)))</f>
        <v/>
      </c>
      <c r="O269" s="15">
        <f>IF($B$149=0,0,IF(O$4=$B$145,$B$149,IF(O$4&gt;$B$145,IF(N272-O267&lt;'Assumptions'!$C$75*O267,$B$149,0),0)))</f>
        <v/>
      </c>
      <c r="P269" s="15">
        <f>IF($B$149=0,0,IF(P$4=$B$145,$B$149,IF(P$4&gt;$B$145,IF(O272-P267&lt;'Assumptions'!$C$75*P267,$B$149,0),0)))</f>
        <v/>
      </c>
      <c r="Q269" s="15">
        <f>IF($B$149=0,0,IF(Q$4=$B$145,$B$149,IF(Q$4&gt;$B$145,IF(P272-Q267&lt;'Assumptions'!$C$75*Q267,$B$149,0),0)))</f>
        <v/>
      </c>
      <c r="R269" s="15">
        <f>IF($B$149=0,0,IF(R$4=$B$145,$B$149,IF(R$4&gt;$B$145,IF(Q272-R267&lt;'Assumptions'!$C$75*R267,$B$149,0),0)))</f>
        <v/>
      </c>
      <c r="S269" s="15">
        <f>IF($B$149=0,0,IF(S$4=$B$145,$B$149,IF(S$4&gt;$B$145,IF(R272-S267&lt;'Assumptions'!$C$75*S267,$B$149,0),0)))</f>
        <v/>
      </c>
      <c r="T269" s="15">
        <f>IF($B$149=0,0,IF(T$4=$B$145,$B$149,IF(T$4&gt;$B$145,IF(S272-T267&lt;'Assumptions'!$C$75*T267,$B$149,0),0)))</f>
        <v/>
      </c>
      <c r="U269" s="15">
        <f>IF($B$149=0,0,IF(U$4=$B$145,$B$149,IF(U$4&gt;$B$145,IF(T272-U267&lt;'Assumptions'!$C$75*U267,$B$149,0),0)))</f>
        <v/>
      </c>
      <c r="V269" s="15">
        <f>IF($B$149=0,0,IF(V$4=$B$145,$B$149,IF(V$4&gt;$B$145,IF(U272-V267&lt;'Assumptions'!$C$75*V267,$B$149,0),0)))</f>
        <v/>
      </c>
      <c r="W269" s="15">
        <f>IF($B$149=0,0,IF(W$4=$B$145,$B$149,IF(W$4&gt;$B$145,IF(V272-W267&lt;'Assumptions'!$C$75*W267,$B$149,0),0)))</f>
        <v/>
      </c>
      <c r="X269" s="15">
        <f>IF($B$149=0,0,IF(X$4=$B$145,$B$149,IF(X$4&gt;$B$145,IF(W272-X267&lt;'Assumptions'!$C$75*X267,$B$149,0),0)))</f>
        <v/>
      </c>
      <c r="Y269" s="15">
        <f>IF($B$149=0,0,IF(Y$4=$B$145,$B$149,IF(Y$4&gt;$B$145,IF(X272-Y267&lt;'Assumptions'!$C$75*Y267,$B$149,0),0)))</f>
        <v/>
      </c>
      <c r="Z269" s="15">
        <f>IF($B$149=0,0,IF(Z$4=$B$145,$B$149,IF(Z$4&gt;$B$145,IF(Y272-Z267&lt;'Assumptions'!$C$75*Z267,$B$149,0),0)))</f>
        <v/>
      </c>
      <c r="AA269" s="15">
        <f>IF($B$149=0,0,IF(AA$4=$B$145,$B$149,IF(AA$4&gt;$B$145,IF(Z272-AA267&lt;'Assumptions'!$C$75*AA267,$B$149,0),0)))</f>
        <v/>
      </c>
      <c r="AB269" s="15">
        <f>IF($B$149=0,0,IF(AB$4=$B$145,$B$149,IF(AB$4&gt;$B$145,IF(AA272-AB267&lt;'Assumptions'!$C$75*AB267,$B$149,0),0)))</f>
        <v/>
      </c>
      <c r="AC269" s="15">
        <f>IF($B$149=0,0,IF(AC$4=$B$145,$B$149,IF(AC$4&gt;$B$145,IF(AB272-AC267&lt;'Assumptions'!$C$75*AC267,$B$149,0),0)))</f>
        <v/>
      </c>
      <c r="AD269" s="15">
        <f>IF($B$149=0,0,IF(AD$4=$B$145,$B$149,IF(AD$4&gt;$B$145,IF(AC272-AD267&lt;'Assumptions'!$C$75*AD267,$B$149,0),0)))</f>
        <v/>
      </c>
      <c r="AE269" s="15">
        <f>IF($B$149=0,0,IF(AE$4=$B$145,$B$149,IF(AE$4&gt;$B$145,IF(AD272-AE267&lt;'Assumptions'!$C$75*AE267,$B$149,0),0)))</f>
        <v/>
      </c>
      <c r="AF269" s="15">
        <f>IF($B$149=0,0,IF(AF$4=$B$145,$B$149,IF(AF$4&gt;$B$145,IF(AE272-AF267&lt;'Assumptions'!$C$75*AF267,$B$149,0),0)))</f>
        <v/>
      </c>
      <c r="AG269" s="15">
        <f>IF($B$149=0,0,IF(AG$4=$B$145,$B$149,IF(AG$4&gt;$B$145,IF(AF272-AG267&lt;'Assumptions'!$C$75*AG267,$B$149,0),0)))</f>
        <v/>
      </c>
      <c r="AH269" s="15">
        <f>IF($B$149=0,0,IF(AH$4=$B$145,$B$149,IF(AH$4&gt;$B$145,IF(AG272-AH267&lt;'Assumptions'!$C$75*AH267,$B$149,0),0)))</f>
        <v/>
      </c>
      <c r="AI269" s="15">
        <f>IF($B$149=0,0,IF(AI$4=$B$145,$B$149,IF(AI$4&gt;$B$145,IF(AH272-AI267&lt;'Assumptions'!$C$75*AI267,$B$149,0),0)))</f>
        <v/>
      </c>
      <c r="AJ269" s="15">
        <f>IF($B$149=0,0,IF(AJ$4=$B$145,$B$149,IF(AJ$4&gt;$B$145,IF(AI272-AJ267&lt;'Assumptions'!$C$75*AJ267,$B$149,0),0)))</f>
        <v/>
      </c>
      <c r="AK269" s="15">
        <f>IF($B$149=0,0,IF(AK$4=$B$145,$B$149,IF(AK$4&gt;$B$145,IF(AJ272-AK267&lt;'Assumptions'!$C$75*AK267,$B$149,0),0)))</f>
        <v/>
      </c>
      <c r="AL269" s="15">
        <f>IF($B$149=0,0,IF(AL$4=$B$145,$B$149,IF(AL$4&gt;$B$145,IF(AK272-AL267&lt;'Assumptions'!$C$75*AL267,$B$149,0),0)))</f>
        <v/>
      </c>
      <c r="AM269" s="57">
        <f>SUMIF($C$6:$AL$6,1,C269:AL269)</f>
        <v/>
      </c>
      <c r="AN269" s="57">
        <f>SUMIF($C$6:$AL$6,2,C269:AL269)</f>
        <v/>
      </c>
      <c r="AO269" s="57">
        <f>SUMIF($C$6:$AL$6,3,C269:AL269)</f>
        <v/>
      </c>
      <c r="AP269" s="57">
        <f>SUM(C269:AL269)</f>
        <v/>
      </c>
    </row>
    <row r="270">
      <c r="A270" s="7" t="inlineStr">
        <is>
          <t xml:space="preserve">   Inventory purchases (cash; not in operating result)</t>
        </is>
      </c>
      <c r="B270" s="9" t="inlineStr">
        <is>
          <t>$</t>
        </is>
      </c>
      <c r="C270" s="8">
        <f>C269*'Assumptions'!$C$66</f>
        <v/>
      </c>
      <c r="D270" s="8">
        <f>D269*'Assumptions'!$C$66</f>
        <v/>
      </c>
      <c r="E270" s="8">
        <f>E269*'Assumptions'!$C$66</f>
        <v/>
      </c>
      <c r="F270" s="8">
        <f>F269*'Assumptions'!$C$66</f>
        <v/>
      </c>
      <c r="G270" s="8">
        <f>G269*'Assumptions'!$C$66</f>
        <v/>
      </c>
      <c r="H270" s="8">
        <f>H269*'Assumptions'!$C$66</f>
        <v/>
      </c>
      <c r="I270" s="8">
        <f>I269*'Assumptions'!$C$66</f>
        <v/>
      </c>
      <c r="J270" s="8">
        <f>J269*'Assumptions'!$C$66</f>
        <v/>
      </c>
      <c r="K270" s="8">
        <f>K269*'Assumptions'!$C$66</f>
        <v/>
      </c>
      <c r="L270" s="8">
        <f>L269*'Assumptions'!$C$66</f>
        <v/>
      </c>
      <c r="M270" s="8">
        <f>M269*'Assumptions'!$C$66</f>
        <v/>
      </c>
      <c r="N270" s="8">
        <f>N269*'Assumptions'!$C$66</f>
        <v/>
      </c>
      <c r="O270" s="8">
        <f>O269*'Assumptions'!$C$66</f>
        <v/>
      </c>
      <c r="P270" s="8">
        <f>P269*'Assumptions'!$C$66</f>
        <v/>
      </c>
      <c r="Q270" s="8">
        <f>Q269*'Assumptions'!$C$66</f>
        <v/>
      </c>
      <c r="R270" s="8">
        <f>R269*'Assumptions'!$C$66</f>
        <v/>
      </c>
      <c r="S270" s="8">
        <f>S269*'Assumptions'!$C$66</f>
        <v/>
      </c>
      <c r="T270" s="8">
        <f>T269*'Assumptions'!$C$66</f>
        <v/>
      </c>
      <c r="U270" s="8">
        <f>U269*'Assumptions'!$C$66</f>
        <v/>
      </c>
      <c r="V270" s="8">
        <f>V269*'Assumptions'!$C$66</f>
        <v/>
      </c>
      <c r="W270" s="8">
        <f>W269*'Assumptions'!$C$66</f>
        <v/>
      </c>
      <c r="X270" s="8">
        <f>X269*'Assumptions'!$C$66</f>
        <v/>
      </c>
      <c r="Y270" s="8">
        <f>Y269*'Assumptions'!$C$66</f>
        <v/>
      </c>
      <c r="Z270" s="8">
        <f>Z269*'Assumptions'!$C$66</f>
        <v/>
      </c>
      <c r="AA270" s="8">
        <f>AA269*'Assumptions'!$C$66</f>
        <v/>
      </c>
      <c r="AB270" s="8">
        <f>AB269*'Assumptions'!$C$66</f>
        <v/>
      </c>
      <c r="AC270" s="8">
        <f>AC269*'Assumptions'!$C$66</f>
        <v/>
      </c>
      <c r="AD270" s="8">
        <f>AD269*'Assumptions'!$C$66</f>
        <v/>
      </c>
      <c r="AE270" s="8">
        <f>AE269*'Assumptions'!$C$66</f>
        <v/>
      </c>
      <c r="AF270" s="8">
        <f>AF269*'Assumptions'!$C$66</f>
        <v/>
      </c>
      <c r="AG270" s="8">
        <f>AG269*'Assumptions'!$C$66</f>
        <v/>
      </c>
      <c r="AH270" s="8">
        <f>AH269*'Assumptions'!$C$66</f>
        <v/>
      </c>
      <c r="AI270" s="8">
        <f>AI269*'Assumptions'!$C$66</f>
        <v/>
      </c>
      <c r="AJ270" s="8">
        <f>AJ269*'Assumptions'!$C$66</f>
        <v/>
      </c>
      <c r="AK270" s="8">
        <f>AK269*'Assumptions'!$C$66</f>
        <v/>
      </c>
      <c r="AL270" s="8">
        <f>AL269*'Assumptions'!$C$66</f>
        <v/>
      </c>
      <c r="AM270" s="47">
        <f>SUMIF($C$6:$AL$6,1,C270:AL270)</f>
        <v/>
      </c>
      <c r="AN270" s="47">
        <f>SUMIF($C$6:$AL$6,2,C270:AL270)</f>
        <v/>
      </c>
      <c r="AO270" s="47">
        <f>SUMIF($C$6:$AL$6,3,C270:AL270)</f>
        <v/>
      </c>
      <c r="AP270" s="47">
        <f>SUM(C270:AL270)</f>
        <v/>
      </c>
    </row>
    <row r="271">
      <c r="A271" s="7" t="inlineStr">
        <is>
          <t xml:space="preserve">   Cumulative copies ordered</t>
        </is>
      </c>
      <c r="B271" s="9" t="inlineStr">
        <is>
          <t>copies</t>
        </is>
      </c>
      <c r="C271" s="58">
        <f>C269</f>
        <v/>
      </c>
      <c r="D271" s="58">
        <f>D269+C271</f>
        <v/>
      </c>
      <c r="E271" s="58">
        <f>E269+D271</f>
        <v/>
      </c>
      <c r="F271" s="58">
        <f>F269+E271</f>
        <v/>
      </c>
      <c r="G271" s="58">
        <f>G269+F271</f>
        <v/>
      </c>
      <c r="H271" s="58">
        <f>H269+G271</f>
        <v/>
      </c>
      <c r="I271" s="58">
        <f>I269+H271</f>
        <v/>
      </c>
      <c r="J271" s="58">
        <f>J269+I271</f>
        <v/>
      </c>
      <c r="K271" s="58">
        <f>K269+J271</f>
        <v/>
      </c>
      <c r="L271" s="58">
        <f>L269+K271</f>
        <v/>
      </c>
      <c r="M271" s="58">
        <f>M269+L271</f>
        <v/>
      </c>
      <c r="N271" s="58">
        <f>N269+M271</f>
        <v/>
      </c>
      <c r="O271" s="58">
        <f>O269+N271</f>
        <v/>
      </c>
      <c r="P271" s="58">
        <f>P269+O271</f>
        <v/>
      </c>
      <c r="Q271" s="58">
        <f>Q269+P271</f>
        <v/>
      </c>
      <c r="R271" s="58">
        <f>R269+Q271</f>
        <v/>
      </c>
      <c r="S271" s="58">
        <f>S269+R271</f>
        <v/>
      </c>
      <c r="T271" s="58">
        <f>T269+S271</f>
        <v/>
      </c>
      <c r="U271" s="58">
        <f>U269+T271</f>
        <v/>
      </c>
      <c r="V271" s="58">
        <f>V269+U271</f>
        <v/>
      </c>
      <c r="W271" s="58">
        <f>W269+V271</f>
        <v/>
      </c>
      <c r="X271" s="58">
        <f>X269+W271</f>
        <v/>
      </c>
      <c r="Y271" s="58">
        <f>Y269+X271</f>
        <v/>
      </c>
      <c r="Z271" s="58">
        <f>Z269+Y271</f>
        <v/>
      </c>
      <c r="AA271" s="58">
        <f>AA269+Z271</f>
        <v/>
      </c>
      <c r="AB271" s="58">
        <f>AB269+AA271</f>
        <v/>
      </c>
      <c r="AC271" s="58">
        <f>AC269+AB271</f>
        <v/>
      </c>
      <c r="AD271" s="58">
        <f>AD269+AC271</f>
        <v/>
      </c>
      <c r="AE271" s="58">
        <f>AE269+AD271</f>
        <v/>
      </c>
      <c r="AF271" s="58">
        <f>AF269+AE271</f>
        <v/>
      </c>
      <c r="AG271" s="58">
        <f>AG269+AF271</f>
        <v/>
      </c>
      <c r="AH271" s="58">
        <f>AH269+AG271</f>
        <v/>
      </c>
      <c r="AI271" s="58">
        <f>AI269+AH271</f>
        <v/>
      </c>
      <c r="AJ271" s="58">
        <f>AJ269+AI271</f>
        <v/>
      </c>
      <c r="AK271" s="58">
        <f>AK269+AJ271</f>
        <v/>
      </c>
      <c r="AL271" s="58">
        <f>AL269+AK271</f>
        <v/>
      </c>
      <c r="AM271" s="57">
        <f>N271</f>
        <v/>
      </c>
      <c r="AN271" s="57">
        <f>Z271</f>
        <v/>
      </c>
      <c r="AO271" s="57">
        <f>AL271</f>
        <v/>
      </c>
      <c r="AP271" s="57">
        <f>AL271</f>
        <v/>
      </c>
    </row>
    <row r="272">
      <c r="A272" s="7" t="inlineStr">
        <is>
          <t xml:space="preserve">   Copies at the 3PL (negative = pre-sale copies still owed)</t>
        </is>
      </c>
      <c r="B272" s="9" t="inlineStr">
        <is>
          <t>copies</t>
        </is>
      </c>
      <c r="C272" s="58">
        <f>C271-C268</f>
        <v/>
      </c>
      <c r="D272" s="58">
        <f>D271-D268</f>
        <v/>
      </c>
      <c r="E272" s="58">
        <f>E271-E268</f>
        <v/>
      </c>
      <c r="F272" s="58">
        <f>F271-F268</f>
        <v/>
      </c>
      <c r="G272" s="58">
        <f>G271-G268</f>
        <v/>
      </c>
      <c r="H272" s="58">
        <f>H271-H268</f>
        <v/>
      </c>
      <c r="I272" s="58">
        <f>I271-I268</f>
        <v/>
      </c>
      <c r="J272" s="58">
        <f>J271-J268</f>
        <v/>
      </c>
      <c r="K272" s="58">
        <f>K271-K268</f>
        <v/>
      </c>
      <c r="L272" s="58">
        <f>L271-L268</f>
        <v/>
      </c>
      <c r="M272" s="58">
        <f>M271-M268</f>
        <v/>
      </c>
      <c r="N272" s="58">
        <f>N271-N268</f>
        <v/>
      </c>
      <c r="O272" s="58">
        <f>O271-O268</f>
        <v/>
      </c>
      <c r="P272" s="58">
        <f>P271-P268</f>
        <v/>
      </c>
      <c r="Q272" s="58">
        <f>Q271-Q268</f>
        <v/>
      </c>
      <c r="R272" s="58">
        <f>R271-R268</f>
        <v/>
      </c>
      <c r="S272" s="58">
        <f>S271-S268</f>
        <v/>
      </c>
      <c r="T272" s="58">
        <f>T271-T268</f>
        <v/>
      </c>
      <c r="U272" s="58">
        <f>U271-U268</f>
        <v/>
      </c>
      <c r="V272" s="58">
        <f>V271-V268</f>
        <v/>
      </c>
      <c r="W272" s="58">
        <f>W271-W268</f>
        <v/>
      </c>
      <c r="X272" s="58">
        <f>X271-X268</f>
        <v/>
      </c>
      <c r="Y272" s="58">
        <f>Y271-Y268</f>
        <v/>
      </c>
      <c r="Z272" s="58">
        <f>Z271-Z268</f>
        <v/>
      </c>
      <c r="AA272" s="58">
        <f>AA271-AA268</f>
        <v/>
      </c>
      <c r="AB272" s="58">
        <f>AB271-AB268</f>
        <v/>
      </c>
      <c r="AC272" s="58">
        <f>AC271-AC268</f>
        <v/>
      </c>
      <c r="AD272" s="58">
        <f>AD271-AD268</f>
        <v/>
      </c>
      <c r="AE272" s="58">
        <f>AE271-AE268</f>
        <v/>
      </c>
      <c r="AF272" s="58">
        <f>AF271-AF268</f>
        <v/>
      </c>
      <c r="AG272" s="58">
        <f>AG271-AG268</f>
        <v/>
      </c>
      <c r="AH272" s="58">
        <f>AH271-AH268</f>
        <v/>
      </c>
      <c r="AI272" s="58">
        <f>AI271-AI268</f>
        <v/>
      </c>
      <c r="AJ272" s="58">
        <f>AJ271-AJ268</f>
        <v/>
      </c>
      <c r="AK272" s="58">
        <f>AK271-AK268</f>
        <v/>
      </c>
      <c r="AL272" s="58">
        <f>AL271-AL268</f>
        <v/>
      </c>
      <c r="AM272" s="57">
        <f>N272</f>
        <v/>
      </c>
      <c r="AN272" s="57">
        <f>Z272</f>
        <v/>
      </c>
      <c r="AO272" s="57">
        <f>AL272</f>
        <v/>
      </c>
      <c r="AP272" s="57">
        <f>AL272</f>
        <v/>
      </c>
    </row>
    <row r="273">
      <c r="A273" s="5" t="inlineStr">
        <is>
          <t>Break-even helper rows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  <c r="AC273" s="6" t="n"/>
      <c r="AD273" s="6" t="n"/>
      <c r="AE273" s="6" t="n"/>
      <c r="AF273" s="6" t="n"/>
      <c r="AG273" s="6" t="n"/>
      <c r="AH273" s="6" t="n"/>
      <c r="AI273" s="6" t="n"/>
      <c r="AJ273" s="6" t="n"/>
      <c r="AK273" s="6" t="n"/>
      <c r="AL273" s="6" t="n"/>
      <c r="AM273" s="6" t="n"/>
      <c r="AN273" s="6" t="n"/>
      <c r="AO273" s="6" t="n"/>
      <c r="AP273" s="6" t="n"/>
    </row>
    <row r="274">
      <c r="A274" s="7" t="inlineStr">
        <is>
          <t xml:space="preserve">   Month # if monthly operating result &gt;= 0</t>
        </is>
      </c>
      <c r="B274" s="9" t="inlineStr">
        <is>
          <t>month</t>
        </is>
      </c>
      <c r="C274" s="43">
        <f>IF(C260&gt;=0,C$4,"")</f>
        <v/>
      </c>
      <c r="D274" s="43">
        <f>IF(D260&gt;=0,D$4,"")</f>
        <v/>
      </c>
      <c r="E274" s="43">
        <f>IF(E260&gt;=0,E$4,"")</f>
        <v/>
      </c>
      <c r="F274" s="43">
        <f>IF(F260&gt;=0,F$4,"")</f>
        <v/>
      </c>
      <c r="G274" s="43">
        <f>IF(G260&gt;=0,G$4,"")</f>
        <v/>
      </c>
      <c r="H274" s="43">
        <f>IF(H260&gt;=0,H$4,"")</f>
        <v/>
      </c>
      <c r="I274" s="43">
        <f>IF(I260&gt;=0,I$4,"")</f>
        <v/>
      </c>
      <c r="J274" s="43">
        <f>IF(J260&gt;=0,J$4,"")</f>
        <v/>
      </c>
      <c r="K274" s="43">
        <f>IF(K260&gt;=0,K$4,"")</f>
        <v/>
      </c>
      <c r="L274" s="43">
        <f>IF(L260&gt;=0,L$4,"")</f>
        <v/>
      </c>
      <c r="M274" s="43">
        <f>IF(M260&gt;=0,M$4,"")</f>
        <v/>
      </c>
      <c r="N274" s="43">
        <f>IF(N260&gt;=0,N$4,"")</f>
        <v/>
      </c>
      <c r="O274" s="43">
        <f>IF(O260&gt;=0,O$4,"")</f>
        <v/>
      </c>
      <c r="P274" s="43">
        <f>IF(P260&gt;=0,P$4,"")</f>
        <v/>
      </c>
      <c r="Q274" s="43">
        <f>IF(Q260&gt;=0,Q$4,"")</f>
        <v/>
      </c>
      <c r="R274" s="43">
        <f>IF(R260&gt;=0,R$4,"")</f>
        <v/>
      </c>
      <c r="S274" s="43">
        <f>IF(S260&gt;=0,S$4,"")</f>
        <v/>
      </c>
      <c r="T274" s="43">
        <f>IF(T260&gt;=0,T$4,"")</f>
        <v/>
      </c>
      <c r="U274" s="43">
        <f>IF(U260&gt;=0,U$4,"")</f>
        <v/>
      </c>
      <c r="V274" s="43">
        <f>IF(V260&gt;=0,V$4,"")</f>
        <v/>
      </c>
      <c r="W274" s="43">
        <f>IF(W260&gt;=0,W$4,"")</f>
        <v/>
      </c>
      <c r="X274" s="43">
        <f>IF(X260&gt;=0,X$4,"")</f>
        <v/>
      </c>
      <c r="Y274" s="43">
        <f>IF(Y260&gt;=0,Y$4,"")</f>
        <v/>
      </c>
      <c r="Z274" s="43">
        <f>IF(Z260&gt;=0,Z$4,"")</f>
        <v/>
      </c>
      <c r="AA274" s="43">
        <f>IF(AA260&gt;=0,AA$4,"")</f>
        <v/>
      </c>
      <c r="AB274" s="43">
        <f>IF(AB260&gt;=0,AB$4,"")</f>
        <v/>
      </c>
      <c r="AC274" s="43">
        <f>IF(AC260&gt;=0,AC$4,"")</f>
        <v/>
      </c>
      <c r="AD274" s="43">
        <f>IF(AD260&gt;=0,AD$4,"")</f>
        <v/>
      </c>
      <c r="AE274" s="43">
        <f>IF(AE260&gt;=0,AE$4,"")</f>
        <v/>
      </c>
      <c r="AF274" s="43">
        <f>IF(AF260&gt;=0,AF$4,"")</f>
        <v/>
      </c>
      <c r="AG274" s="43">
        <f>IF(AG260&gt;=0,AG$4,"")</f>
        <v/>
      </c>
      <c r="AH274" s="43">
        <f>IF(AH260&gt;=0,AH$4,"")</f>
        <v/>
      </c>
      <c r="AI274" s="43">
        <f>IF(AI260&gt;=0,AI$4,"")</f>
        <v/>
      </c>
      <c r="AJ274" s="43">
        <f>IF(AJ260&gt;=0,AJ$4,"")</f>
        <v/>
      </c>
      <c r="AK274" s="43">
        <f>IF(AK260&gt;=0,AK$4,"")</f>
        <v/>
      </c>
      <c r="AL274" s="43">
        <f>IF(AL260&gt;=0,AL$4,"")</f>
        <v/>
      </c>
    </row>
    <row r="275">
      <c r="A275" s="7" t="inlineStr">
        <is>
          <t xml:space="preserve">   Month # if monthly operating result stays &gt;= 0 through month 36</t>
        </is>
      </c>
      <c r="B275" s="9" t="inlineStr">
        <is>
          <t>month</t>
        </is>
      </c>
      <c r="C275" s="43">
        <f>IF(COUNTIF(C260:$AL260,"&lt;0")=0,C$4,"")</f>
        <v/>
      </c>
      <c r="D275" s="43">
        <f>IF(COUNTIF(D260:$AL260,"&lt;0")=0,D$4,"")</f>
        <v/>
      </c>
      <c r="E275" s="43">
        <f>IF(COUNTIF(E260:$AL260,"&lt;0")=0,E$4,"")</f>
        <v/>
      </c>
      <c r="F275" s="43">
        <f>IF(COUNTIF(F260:$AL260,"&lt;0")=0,F$4,"")</f>
        <v/>
      </c>
      <c r="G275" s="43">
        <f>IF(COUNTIF(G260:$AL260,"&lt;0")=0,G$4,"")</f>
        <v/>
      </c>
      <c r="H275" s="43">
        <f>IF(COUNTIF(H260:$AL260,"&lt;0")=0,H$4,"")</f>
        <v/>
      </c>
      <c r="I275" s="43">
        <f>IF(COUNTIF(I260:$AL260,"&lt;0")=0,I$4,"")</f>
        <v/>
      </c>
      <c r="J275" s="43">
        <f>IF(COUNTIF(J260:$AL260,"&lt;0")=0,J$4,"")</f>
        <v/>
      </c>
      <c r="K275" s="43">
        <f>IF(COUNTIF(K260:$AL260,"&lt;0")=0,K$4,"")</f>
        <v/>
      </c>
      <c r="L275" s="43">
        <f>IF(COUNTIF(L260:$AL260,"&lt;0")=0,L$4,"")</f>
        <v/>
      </c>
      <c r="M275" s="43">
        <f>IF(COUNTIF(M260:$AL260,"&lt;0")=0,M$4,"")</f>
        <v/>
      </c>
      <c r="N275" s="43">
        <f>IF(COUNTIF(N260:$AL260,"&lt;0")=0,N$4,"")</f>
        <v/>
      </c>
      <c r="O275" s="43">
        <f>IF(COUNTIF(O260:$AL260,"&lt;0")=0,O$4,"")</f>
        <v/>
      </c>
      <c r="P275" s="43">
        <f>IF(COUNTIF(P260:$AL260,"&lt;0")=0,P$4,"")</f>
        <v/>
      </c>
      <c r="Q275" s="43">
        <f>IF(COUNTIF(Q260:$AL260,"&lt;0")=0,Q$4,"")</f>
        <v/>
      </c>
      <c r="R275" s="43">
        <f>IF(COUNTIF(R260:$AL260,"&lt;0")=0,R$4,"")</f>
        <v/>
      </c>
      <c r="S275" s="43">
        <f>IF(COUNTIF(S260:$AL260,"&lt;0")=0,S$4,"")</f>
        <v/>
      </c>
      <c r="T275" s="43">
        <f>IF(COUNTIF(T260:$AL260,"&lt;0")=0,T$4,"")</f>
        <v/>
      </c>
      <c r="U275" s="43">
        <f>IF(COUNTIF(U260:$AL260,"&lt;0")=0,U$4,"")</f>
        <v/>
      </c>
      <c r="V275" s="43">
        <f>IF(COUNTIF(V260:$AL260,"&lt;0")=0,V$4,"")</f>
        <v/>
      </c>
      <c r="W275" s="43">
        <f>IF(COUNTIF(W260:$AL260,"&lt;0")=0,W$4,"")</f>
        <v/>
      </c>
      <c r="X275" s="43">
        <f>IF(COUNTIF(X260:$AL260,"&lt;0")=0,X$4,"")</f>
        <v/>
      </c>
      <c r="Y275" s="43">
        <f>IF(COUNTIF(Y260:$AL260,"&lt;0")=0,Y$4,"")</f>
        <v/>
      </c>
      <c r="Z275" s="43">
        <f>IF(COUNTIF(Z260:$AL260,"&lt;0")=0,Z$4,"")</f>
        <v/>
      </c>
      <c r="AA275" s="43">
        <f>IF(COUNTIF(AA260:$AL260,"&lt;0")=0,AA$4,"")</f>
        <v/>
      </c>
      <c r="AB275" s="43">
        <f>IF(COUNTIF(AB260:$AL260,"&lt;0")=0,AB$4,"")</f>
        <v/>
      </c>
      <c r="AC275" s="43">
        <f>IF(COUNTIF(AC260:$AL260,"&lt;0")=0,AC$4,"")</f>
        <v/>
      </c>
      <c r="AD275" s="43">
        <f>IF(COUNTIF(AD260:$AL260,"&lt;0")=0,AD$4,"")</f>
        <v/>
      </c>
      <c r="AE275" s="43">
        <f>IF(COUNTIF(AE260:$AL260,"&lt;0")=0,AE$4,"")</f>
        <v/>
      </c>
      <c r="AF275" s="43">
        <f>IF(COUNTIF(AF260:$AL260,"&lt;0")=0,AF$4,"")</f>
        <v/>
      </c>
      <c r="AG275" s="43">
        <f>IF(COUNTIF(AG260:$AL260,"&lt;0")=0,AG$4,"")</f>
        <v/>
      </c>
      <c r="AH275" s="43">
        <f>IF(COUNTIF(AH260:$AL260,"&lt;0")=0,AH$4,"")</f>
        <v/>
      </c>
      <c r="AI275" s="43">
        <f>IF(COUNTIF(AI260:$AL260,"&lt;0")=0,AI$4,"")</f>
        <v/>
      </c>
      <c r="AJ275" s="43">
        <f>IF(COUNTIF(AJ260:$AL260,"&lt;0")=0,AJ$4,"")</f>
        <v/>
      </c>
      <c r="AK275" s="43">
        <f>IF(COUNTIF(AK260:$AL260,"&lt;0")=0,AK$4,"")</f>
        <v/>
      </c>
      <c r="AL275" s="43">
        <f>IF(COUNTIF(AL260:$AL260,"&lt;0")=0,AL$4,"")</f>
        <v/>
      </c>
    </row>
    <row r="276">
      <c r="A276" s="7" t="inlineStr">
        <is>
          <t xml:space="preserve">   Month # if trailing-12-month result stays &gt;= 0 through month 36 (headline)</t>
        </is>
      </c>
      <c r="B276" s="9" t="inlineStr">
        <is>
          <t>month</t>
        </is>
      </c>
      <c r="C276" s="43">
        <f>IF(COUNTIF(C261:$AL261,"&lt;0")=0,C$4,"")</f>
        <v/>
      </c>
      <c r="D276" s="43">
        <f>IF(COUNTIF(D261:$AL261,"&lt;0")=0,D$4,"")</f>
        <v/>
      </c>
      <c r="E276" s="43">
        <f>IF(COUNTIF(E261:$AL261,"&lt;0")=0,E$4,"")</f>
        <v/>
      </c>
      <c r="F276" s="43">
        <f>IF(COUNTIF(F261:$AL261,"&lt;0")=0,F$4,"")</f>
        <v/>
      </c>
      <c r="G276" s="43">
        <f>IF(COUNTIF(G261:$AL261,"&lt;0")=0,G$4,"")</f>
        <v/>
      </c>
      <c r="H276" s="43">
        <f>IF(COUNTIF(H261:$AL261,"&lt;0")=0,H$4,"")</f>
        <v/>
      </c>
      <c r="I276" s="43">
        <f>IF(COUNTIF(I261:$AL261,"&lt;0")=0,I$4,"")</f>
        <v/>
      </c>
      <c r="J276" s="43">
        <f>IF(COUNTIF(J261:$AL261,"&lt;0")=0,J$4,"")</f>
        <v/>
      </c>
      <c r="K276" s="43">
        <f>IF(COUNTIF(K261:$AL261,"&lt;0")=0,K$4,"")</f>
        <v/>
      </c>
      <c r="L276" s="43">
        <f>IF(COUNTIF(L261:$AL261,"&lt;0")=0,L$4,"")</f>
        <v/>
      </c>
      <c r="M276" s="43">
        <f>IF(COUNTIF(M261:$AL261,"&lt;0")=0,M$4,"")</f>
        <v/>
      </c>
      <c r="N276" s="43">
        <f>IF(COUNTIF(N261:$AL261,"&lt;0")=0,N$4,"")</f>
        <v/>
      </c>
      <c r="O276" s="43">
        <f>IF(COUNTIF(O261:$AL261,"&lt;0")=0,O$4,"")</f>
        <v/>
      </c>
      <c r="P276" s="43">
        <f>IF(COUNTIF(P261:$AL261,"&lt;0")=0,P$4,"")</f>
        <v/>
      </c>
      <c r="Q276" s="43">
        <f>IF(COUNTIF(Q261:$AL261,"&lt;0")=0,Q$4,"")</f>
        <v/>
      </c>
      <c r="R276" s="43">
        <f>IF(COUNTIF(R261:$AL261,"&lt;0")=0,R$4,"")</f>
        <v/>
      </c>
      <c r="S276" s="43">
        <f>IF(COUNTIF(S261:$AL261,"&lt;0")=0,S$4,"")</f>
        <v/>
      </c>
      <c r="T276" s="43">
        <f>IF(COUNTIF(T261:$AL261,"&lt;0")=0,T$4,"")</f>
        <v/>
      </c>
      <c r="U276" s="43">
        <f>IF(COUNTIF(U261:$AL261,"&lt;0")=0,U$4,"")</f>
        <v/>
      </c>
      <c r="V276" s="43">
        <f>IF(COUNTIF(V261:$AL261,"&lt;0")=0,V$4,"")</f>
        <v/>
      </c>
      <c r="W276" s="43">
        <f>IF(COUNTIF(W261:$AL261,"&lt;0")=0,W$4,"")</f>
        <v/>
      </c>
      <c r="X276" s="43">
        <f>IF(COUNTIF(X261:$AL261,"&lt;0")=0,X$4,"")</f>
        <v/>
      </c>
      <c r="Y276" s="43">
        <f>IF(COUNTIF(Y261:$AL261,"&lt;0")=0,Y$4,"")</f>
        <v/>
      </c>
      <c r="Z276" s="43">
        <f>IF(COUNTIF(Z261:$AL261,"&lt;0")=0,Z$4,"")</f>
        <v/>
      </c>
      <c r="AA276" s="43">
        <f>IF(COUNTIF(AA261:$AL261,"&lt;0")=0,AA$4,"")</f>
        <v/>
      </c>
      <c r="AB276" s="43">
        <f>IF(COUNTIF(AB261:$AL261,"&lt;0")=0,AB$4,"")</f>
        <v/>
      </c>
      <c r="AC276" s="43">
        <f>IF(COUNTIF(AC261:$AL261,"&lt;0")=0,AC$4,"")</f>
        <v/>
      </c>
      <c r="AD276" s="43">
        <f>IF(COUNTIF(AD261:$AL261,"&lt;0")=0,AD$4,"")</f>
        <v/>
      </c>
      <c r="AE276" s="43">
        <f>IF(COUNTIF(AE261:$AL261,"&lt;0")=0,AE$4,"")</f>
        <v/>
      </c>
      <c r="AF276" s="43">
        <f>IF(COUNTIF(AF261:$AL261,"&lt;0")=0,AF$4,"")</f>
        <v/>
      </c>
      <c r="AG276" s="43">
        <f>IF(COUNTIF(AG261:$AL261,"&lt;0")=0,AG$4,"")</f>
        <v/>
      </c>
      <c r="AH276" s="43">
        <f>IF(COUNTIF(AH261:$AL261,"&lt;0")=0,AH$4,"")</f>
        <v/>
      </c>
      <c r="AI276" s="43">
        <f>IF(COUNTIF(AI261:$AL261,"&lt;0")=0,AI$4,"")</f>
        <v/>
      </c>
      <c r="AJ276" s="43">
        <f>IF(COUNTIF(AJ261:$AL261,"&lt;0")=0,AJ$4,"")</f>
        <v/>
      </c>
      <c r="AK276" s="43">
        <f>IF(COUNTIF(AK261:$AL261,"&lt;0")=0,AK$4,"")</f>
        <v/>
      </c>
      <c r="AL276" s="43">
        <f>IF(COUNTIF(AL261:$AL261,"&lt;0")=0,AL$4,"")</f>
        <v/>
      </c>
    </row>
    <row r="278">
      <c r="A278" s="3" t="inlineStr">
        <is>
          <t>STRONG SCENARIO</t>
        </is>
      </c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4" t="n"/>
      <c r="AI278" s="4" t="n"/>
      <c r="AJ278" s="4" t="n"/>
      <c r="AK278" s="4" t="n"/>
      <c r="AL278" s="4" t="n"/>
      <c r="AM278" s="4" t="n"/>
      <c r="AN278" s="4" t="n"/>
      <c r="AO278" s="4" t="n"/>
      <c r="AP278" s="4" t="n"/>
    </row>
    <row r="279">
      <c r="A279" s="7" t="inlineStr">
        <is>
          <t>Board-book print decision month (pre-sale ends), model month # (0 = board book off)</t>
        </is>
      </c>
      <c r="B279" s="52">
        <f>IF('Assumptions'!$E$164=1,MAX('Assumptions'!$E$165,'Assumptions'!$C$9)+'Assumptions'!$C$72,0)</f>
        <v/>
      </c>
    </row>
    <row r="280">
      <c r="A280" s="7" t="inlineStr">
        <is>
          <t>Pre-sale copies ordered before the print decision (demand)</t>
        </is>
      </c>
      <c r="B280" s="53">
        <f>IF($B$279=0,0,SUMPRODUCT(($C$4:$AL$4&gt;=MAX('Assumptions'!$E$165,'Assumptions'!$C$9))*($C$4:$AL$4&lt;$B$279)*($C$357:$AL$357)))</f>
        <v/>
      </c>
    </row>
    <row r="281">
      <c r="A281" s="7" t="inlineStr">
        <is>
          <t>Go line: pre-sale copies needed to fund the planned run + print-month costs + 15% buffer (BLIND-SPOTS #16)</t>
        </is>
      </c>
      <c r="B281" s="53">
        <f>IF($B$279=0,0,ROUNDUP(('Assumptions'!$C$58*'Assumptions'!$C$66+'Retail Readiness Costs'!$H$20)*(1+'Assumptions'!$C$73)/('Assumptions'!$C$57*(1-'Assumptions'!$C$24)-'Assumptions'!$C$25-'Assumptions'!$C$67-'Assumptions'!$C$48),0))</f>
        <v/>
      </c>
    </row>
    <row r="282">
      <c r="A282" s="7" t="inlineStr">
        <is>
          <t>Go (1) / no-go (0): print only if pre-sale copies reach the go line; otherwise refund the pre-sale</t>
        </is>
      </c>
      <c r="B282" s="54">
        <f>IF(AND($B$279&gt;0,$B$280&gt;=$B$281),1,0)</f>
        <v/>
      </c>
    </row>
    <row r="283">
      <c r="A283" s="7" t="inlineStr">
        <is>
          <t>First offset run = max(planned run, pre-sale x (1 + buffer)), rounded up to 100; 0 if no-go</t>
        </is>
      </c>
      <c r="B283" s="53">
        <f>IF($B$282=0,0,MAX('Assumptions'!$C$58,ROUNDUP($B$280*(1+'Assumptions'!$C$71)/100,0)*100))</f>
        <v/>
      </c>
    </row>
    <row r="285">
      <c r="A285" s="5" t="inlineStr">
        <is>
          <t>Digital catalog (shared by the own site, Etsy and the merchant of record)</t>
        </is>
      </c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  <c r="AC285" s="6" t="n"/>
      <c r="AD285" s="6" t="n"/>
      <c r="AE285" s="6" t="n"/>
      <c r="AF285" s="6" t="n"/>
      <c r="AG285" s="6" t="n"/>
      <c r="AH285" s="6" t="n"/>
      <c r="AI285" s="6" t="n"/>
      <c r="AJ285" s="6" t="n"/>
      <c r="AK285" s="6" t="n"/>
      <c r="AL285" s="6" t="n"/>
      <c r="AM285" s="6" t="n"/>
      <c r="AN285" s="6" t="n"/>
      <c r="AO285" s="6" t="n"/>
      <c r="AP285" s="6" t="n"/>
    </row>
    <row r="286">
      <c r="A286" s="7" t="inlineStr">
        <is>
          <t xml:space="preserve">   Digital products live</t>
        </is>
      </c>
      <c r="B286" s="9" t="inlineStr">
        <is>
          <t>products</t>
        </is>
      </c>
      <c r="C286" s="14">
        <f>IF(C$4&lt;'Assumptions'!$C$9,0,MIN('Assumptions'!$E$112,'Assumptions'!$E$110+'Assumptions'!$E$111*(C$4-'Assumptions'!$C$9)))</f>
        <v/>
      </c>
      <c r="D286" s="14">
        <f>IF(D$4&lt;'Assumptions'!$C$9,0,MIN('Assumptions'!$E$112,'Assumptions'!$E$110+'Assumptions'!$E$111*(D$4-'Assumptions'!$C$9)))</f>
        <v/>
      </c>
      <c r="E286" s="14">
        <f>IF(E$4&lt;'Assumptions'!$C$9,0,MIN('Assumptions'!$E$112,'Assumptions'!$E$110+'Assumptions'!$E$111*(E$4-'Assumptions'!$C$9)))</f>
        <v/>
      </c>
      <c r="F286" s="14">
        <f>IF(F$4&lt;'Assumptions'!$C$9,0,MIN('Assumptions'!$E$112,'Assumptions'!$E$110+'Assumptions'!$E$111*(F$4-'Assumptions'!$C$9)))</f>
        <v/>
      </c>
      <c r="G286" s="14">
        <f>IF(G$4&lt;'Assumptions'!$C$9,0,MIN('Assumptions'!$E$112,'Assumptions'!$E$110+'Assumptions'!$E$111*(G$4-'Assumptions'!$C$9)))</f>
        <v/>
      </c>
      <c r="H286" s="14">
        <f>IF(H$4&lt;'Assumptions'!$C$9,0,MIN('Assumptions'!$E$112,'Assumptions'!$E$110+'Assumptions'!$E$111*(H$4-'Assumptions'!$C$9)))</f>
        <v/>
      </c>
      <c r="I286" s="14">
        <f>IF(I$4&lt;'Assumptions'!$C$9,0,MIN('Assumptions'!$E$112,'Assumptions'!$E$110+'Assumptions'!$E$111*(I$4-'Assumptions'!$C$9)))</f>
        <v/>
      </c>
      <c r="J286" s="14">
        <f>IF(J$4&lt;'Assumptions'!$C$9,0,MIN('Assumptions'!$E$112,'Assumptions'!$E$110+'Assumptions'!$E$111*(J$4-'Assumptions'!$C$9)))</f>
        <v/>
      </c>
      <c r="K286" s="14">
        <f>IF(K$4&lt;'Assumptions'!$C$9,0,MIN('Assumptions'!$E$112,'Assumptions'!$E$110+'Assumptions'!$E$111*(K$4-'Assumptions'!$C$9)))</f>
        <v/>
      </c>
      <c r="L286" s="14">
        <f>IF(L$4&lt;'Assumptions'!$C$9,0,MIN('Assumptions'!$E$112,'Assumptions'!$E$110+'Assumptions'!$E$111*(L$4-'Assumptions'!$C$9)))</f>
        <v/>
      </c>
      <c r="M286" s="14">
        <f>IF(M$4&lt;'Assumptions'!$C$9,0,MIN('Assumptions'!$E$112,'Assumptions'!$E$110+'Assumptions'!$E$111*(M$4-'Assumptions'!$C$9)))</f>
        <v/>
      </c>
      <c r="N286" s="14">
        <f>IF(N$4&lt;'Assumptions'!$C$9,0,MIN('Assumptions'!$E$112,'Assumptions'!$E$110+'Assumptions'!$E$111*(N$4-'Assumptions'!$C$9)))</f>
        <v/>
      </c>
      <c r="O286" s="14">
        <f>IF(O$4&lt;'Assumptions'!$C$9,0,MIN('Assumptions'!$E$112,'Assumptions'!$E$110+'Assumptions'!$E$111*(O$4-'Assumptions'!$C$9)))</f>
        <v/>
      </c>
      <c r="P286" s="14">
        <f>IF(P$4&lt;'Assumptions'!$C$9,0,MIN('Assumptions'!$E$112,'Assumptions'!$E$110+'Assumptions'!$E$111*(P$4-'Assumptions'!$C$9)))</f>
        <v/>
      </c>
      <c r="Q286" s="14">
        <f>IF(Q$4&lt;'Assumptions'!$C$9,0,MIN('Assumptions'!$E$112,'Assumptions'!$E$110+'Assumptions'!$E$111*(Q$4-'Assumptions'!$C$9)))</f>
        <v/>
      </c>
      <c r="R286" s="14">
        <f>IF(R$4&lt;'Assumptions'!$C$9,0,MIN('Assumptions'!$E$112,'Assumptions'!$E$110+'Assumptions'!$E$111*(R$4-'Assumptions'!$C$9)))</f>
        <v/>
      </c>
      <c r="S286" s="14">
        <f>IF(S$4&lt;'Assumptions'!$C$9,0,MIN('Assumptions'!$E$112,'Assumptions'!$E$110+'Assumptions'!$E$111*(S$4-'Assumptions'!$C$9)))</f>
        <v/>
      </c>
      <c r="T286" s="14">
        <f>IF(T$4&lt;'Assumptions'!$C$9,0,MIN('Assumptions'!$E$112,'Assumptions'!$E$110+'Assumptions'!$E$111*(T$4-'Assumptions'!$C$9)))</f>
        <v/>
      </c>
      <c r="U286" s="14">
        <f>IF(U$4&lt;'Assumptions'!$C$9,0,MIN('Assumptions'!$E$112,'Assumptions'!$E$110+'Assumptions'!$E$111*(U$4-'Assumptions'!$C$9)))</f>
        <v/>
      </c>
      <c r="V286" s="14">
        <f>IF(V$4&lt;'Assumptions'!$C$9,0,MIN('Assumptions'!$E$112,'Assumptions'!$E$110+'Assumptions'!$E$111*(V$4-'Assumptions'!$C$9)))</f>
        <v/>
      </c>
      <c r="W286" s="14">
        <f>IF(W$4&lt;'Assumptions'!$C$9,0,MIN('Assumptions'!$E$112,'Assumptions'!$E$110+'Assumptions'!$E$111*(W$4-'Assumptions'!$C$9)))</f>
        <v/>
      </c>
      <c r="X286" s="14">
        <f>IF(X$4&lt;'Assumptions'!$C$9,0,MIN('Assumptions'!$E$112,'Assumptions'!$E$110+'Assumptions'!$E$111*(X$4-'Assumptions'!$C$9)))</f>
        <v/>
      </c>
      <c r="Y286" s="14">
        <f>IF(Y$4&lt;'Assumptions'!$C$9,0,MIN('Assumptions'!$E$112,'Assumptions'!$E$110+'Assumptions'!$E$111*(Y$4-'Assumptions'!$C$9)))</f>
        <v/>
      </c>
      <c r="Z286" s="14">
        <f>IF(Z$4&lt;'Assumptions'!$C$9,0,MIN('Assumptions'!$E$112,'Assumptions'!$E$110+'Assumptions'!$E$111*(Z$4-'Assumptions'!$C$9)))</f>
        <v/>
      </c>
      <c r="AA286" s="14">
        <f>IF(AA$4&lt;'Assumptions'!$C$9,0,MIN('Assumptions'!$E$112,'Assumptions'!$E$110+'Assumptions'!$E$111*(AA$4-'Assumptions'!$C$9)))</f>
        <v/>
      </c>
      <c r="AB286" s="14">
        <f>IF(AB$4&lt;'Assumptions'!$C$9,0,MIN('Assumptions'!$E$112,'Assumptions'!$E$110+'Assumptions'!$E$111*(AB$4-'Assumptions'!$C$9)))</f>
        <v/>
      </c>
      <c r="AC286" s="14">
        <f>IF(AC$4&lt;'Assumptions'!$C$9,0,MIN('Assumptions'!$E$112,'Assumptions'!$E$110+'Assumptions'!$E$111*(AC$4-'Assumptions'!$C$9)))</f>
        <v/>
      </c>
      <c r="AD286" s="14">
        <f>IF(AD$4&lt;'Assumptions'!$C$9,0,MIN('Assumptions'!$E$112,'Assumptions'!$E$110+'Assumptions'!$E$111*(AD$4-'Assumptions'!$C$9)))</f>
        <v/>
      </c>
      <c r="AE286" s="14">
        <f>IF(AE$4&lt;'Assumptions'!$C$9,0,MIN('Assumptions'!$E$112,'Assumptions'!$E$110+'Assumptions'!$E$111*(AE$4-'Assumptions'!$C$9)))</f>
        <v/>
      </c>
      <c r="AF286" s="14">
        <f>IF(AF$4&lt;'Assumptions'!$C$9,0,MIN('Assumptions'!$E$112,'Assumptions'!$E$110+'Assumptions'!$E$111*(AF$4-'Assumptions'!$C$9)))</f>
        <v/>
      </c>
      <c r="AG286" s="14">
        <f>IF(AG$4&lt;'Assumptions'!$C$9,0,MIN('Assumptions'!$E$112,'Assumptions'!$E$110+'Assumptions'!$E$111*(AG$4-'Assumptions'!$C$9)))</f>
        <v/>
      </c>
      <c r="AH286" s="14">
        <f>IF(AH$4&lt;'Assumptions'!$C$9,0,MIN('Assumptions'!$E$112,'Assumptions'!$E$110+'Assumptions'!$E$111*(AH$4-'Assumptions'!$C$9)))</f>
        <v/>
      </c>
      <c r="AI286" s="14">
        <f>IF(AI$4&lt;'Assumptions'!$C$9,0,MIN('Assumptions'!$E$112,'Assumptions'!$E$110+'Assumptions'!$E$111*(AI$4-'Assumptions'!$C$9)))</f>
        <v/>
      </c>
      <c r="AJ286" s="14">
        <f>IF(AJ$4&lt;'Assumptions'!$C$9,0,MIN('Assumptions'!$E$112,'Assumptions'!$E$110+'Assumptions'!$E$111*(AJ$4-'Assumptions'!$C$9)))</f>
        <v/>
      </c>
      <c r="AK286" s="14">
        <f>IF(AK$4&lt;'Assumptions'!$C$9,0,MIN('Assumptions'!$E$112,'Assumptions'!$E$110+'Assumptions'!$E$111*(AK$4-'Assumptions'!$C$9)))</f>
        <v/>
      </c>
      <c r="AL286" s="14">
        <f>IF(AL$4&lt;'Assumptions'!$C$9,0,MIN('Assumptions'!$E$112,'Assumptions'!$E$110+'Assumptions'!$E$111*(AL$4-'Assumptions'!$C$9)))</f>
        <v/>
      </c>
    </row>
    <row r="287">
      <c r="A287" s="5" t="inlineStr">
        <is>
          <t>Own site: printables and PDFs (Shopify)</t>
        </is>
      </c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  <c r="AC287" s="6" t="n"/>
      <c r="AD287" s="6" t="n"/>
      <c r="AE287" s="6" t="n"/>
      <c r="AF287" s="6" t="n"/>
      <c r="AG287" s="6" t="n"/>
      <c r="AH287" s="6" t="n"/>
      <c r="AI287" s="6" t="n"/>
      <c r="AJ287" s="6" t="n"/>
      <c r="AK287" s="6" t="n"/>
      <c r="AL287" s="6" t="n"/>
      <c r="AM287" s="6" t="n"/>
      <c r="AN287" s="6" t="n"/>
      <c r="AO287" s="6" t="n"/>
      <c r="AP287" s="6" t="n"/>
    </row>
    <row r="288">
      <c r="A288" s="7" t="inlineStr">
        <is>
          <t xml:space="preserve">   Active (1 = live)</t>
        </is>
      </c>
      <c r="B288" s="9" t="inlineStr">
        <is>
          <t>flag</t>
        </is>
      </c>
      <c r="C288" s="18">
        <f>IF(AND('Assumptions'!$E$117=1,C$4&gt;=MAX('Assumptions'!$E$118,'Assumptions'!$C$9)),1,0)</f>
        <v/>
      </c>
      <c r="D288" s="18">
        <f>IF(AND('Assumptions'!$E$117=1,D$4&gt;=MAX('Assumptions'!$E$118,'Assumptions'!$C$9)),1,0)</f>
        <v/>
      </c>
      <c r="E288" s="18">
        <f>IF(AND('Assumptions'!$E$117=1,E$4&gt;=MAX('Assumptions'!$E$118,'Assumptions'!$C$9)),1,0)</f>
        <v/>
      </c>
      <c r="F288" s="18">
        <f>IF(AND('Assumptions'!$E$117=1,F$4&gt;=MAX('Assumptions'!$E$118,'Assumptions'!$C$9)),1,0)</f>
        <v/>
      </c>
      <c r="G288" s="18">
        <f>IF(AND('Assumptions'!$E$117=1,G$4&gt;=MAX('Assumptions'!$E$118,'Assumptions'!$C$9)),1,0)</f>
        <v/>
      </c>
      <c r="H288" s="18">
        <f>IF(AND('Assumptions'!$E$117=1,H$4&gt;=MAX('Assumptions'!$E$118,'Assumptions'!$C$9)),1,0)</f>
        <v/>
      </c>
      <c r="I288" s="18">
        <f>IF(AND('Assumptions'!$E$117=1,I$4&gt;=MAX('Assumptions'!$E$118,'Assumptions'!$C$9)),1,0)</f>
        <v/>
      </c>
      <c r="J288" s="18">
        <f>IF(AND('Assumptions'!$E$117=1,J$4&gt;=MAX('Assumptions'!$E$118,'Assumptions'!$C$9)),1,0)</f>
        <v/>
      </c>
      <c r="K288" s="18">
        <f>IF(AND('Assumptions'!$E$117=1,K$4&gt;=MAX('Assumptions'!$E$118,'Assumptions'!$C$9)),1,0)</f>
        <v/>
      </c>
      <c r="L288" s="18">
        <f>IF(AND('Assumptions'!$E$117=1,L$4&gt;=MAX('Assumptions'!$E$118,'Assumptions'!$C$9)),1,0)</f>
        <v/>
      </c>
      <c r="M288" s="18">
        <f>IF(AND('Assumptions'!$E$117=1,M$4&gt;=MAX('Assumptions'!$E$118,'Assumptions'!$C$9)),1,0)</f>
        <v/>
      </c>
      <c r="N288" s="18">
        <f>IF(AND('Assumptions'!$E$117=1,N$4&gt;=MAX('Assumptions'!$E$118,'Assumptions'!$C$9)),1,0)</f>
        <v/>
      </c>
      <c r="O288" s="18">
        <f>IF(AND('Assumptions'!$E$117=1,O$4&gt;=MAX('Assumptions'!$E$118,'Assumptions'!$C$9)),1,0)</f>
        <v/>
      </c>
      <c r="P288" s="18">
        <f>IF(AND('Assumptions'!$E$117=1,P$4&gt;=MAX('Assumptions'!$E$118,'Assumptions'!$C$9)),1,0)</f>
        <v/>
      </c>
      <c r="Q288" s="18">
        <f>IF(AND('Assumptions'!$E$117=1,Q$4&gt;=MAX('Assumptions'!$E$118,'Assumptions'!$C$9)),1,0)</f>
        <v/>
      </c>
      <c r="R288" s="18">
        <f>IF(AND('Assumptions'!$E$117=1,R$4&gt;=MAX('Assumptions'!$E$118,'Assumptions'!$C$9)),1,0)</f>
        <v/>
      </c>
      <c r="S288" s="18">
        <f>IF(AND('Assumptions'!$E$117=1,S$4&gt;=MAX('Assumptions'!$E$118,'Assumptions'!$C$9)),1,0)</f>
        <v/>
      </c>
      <c r="T288" s="18">
        <f>IF(AND('Assumptions'!$E$117=1,T$4&gt;=MAX('Assumptions'!$E$118,'Assumptions'!$C$9)),1,0)</f>
        <v/>
      </c>
      <c r="U288" s="18">
        <f>IF(AND('Assumptions'!$E$117=1,U$4&gt;=MAX('Assumptions'!$E$118,'Assumptions'!$C$9)),1,0)</f>
        <v/>
      </c>
      <c r="V288" s="18">
        <f>IF(AND('Assumptions'!$E$117=1,V$4&gt;=MAX('Assumptions'!$E$118,'Assumptions'!$C$9)),1,0)</f>
        <v/>
      </c>
      <c r="W288" s="18">
        <f>IF(AND('Assumptions'!$E$117=1,W$4&gt;=MAX('Assumptions'!$E$118,'Assumptions'!$C$9)),1,0)</f>
        <v/>
      </c>
      <c r="X288" s="18">
        <f>IF(AND('Assumptions'!$E$117=1,X$4&gt;=MAX('Assumptions'!$E$118,'Assumptions'!$C$9)),1,0)</f>
        <v/>
      </c>
      <c r="Y288" s="18">
        <f>IF(AND('Assumptions'!$E$117=1,Y$4&gt;=MAX('Assumptions'!$E$118,'Assumptions'!$C$9)),1,0)</f>
        <v/>
      </c>
      <c r="Z288" s="18">
        <f>IF(AND('Assumptions'!$E$117=1,Z$4&gt;=MAX('Assumptions'!$E$118,'Assumptions'!$C$9)),1,0)</f>
        <v/>
      </c>
      <c r="AA288" s="18">
        <f>IF(AND('Assumptions'!$E$117=1,AA$4&gt;=MAX('Assumptions'!$E$118,'Assumptions'!$C$9)),1,0)</f>
        <v/>
      </c>
      <c r="AB288" s="18">
        <f>IF(AND('Assumptions'!$E$117=1,AB$4&gt;=MAX('Assumptions'!$E$118,'Assumptions'!$C$9)),1,0)</f>
        <v/>
      </c>
      <c r="AC288" s="18">
        <f>IF(AND('Assumptions'!$E$117=1,AC$4&gt;=MAX('Assumptions'!$E$118,'Assumptions'!$C$9)),1,0)</f>
        <v/>
      </c>
      <c r="AD288" s="18">
        <f>IF(AND('Assumptions'!$E$117=1,AD$4&gt;=MAX('Assumptions'!$E$118,'Assumptions'!$C$9)),1,0)</f>
        <v/>
      </c>
      <c r="AE288" s="18">
        <f>IF(AND('Assumptions'!$E$117=1,AE$4&gt;=MAX('Assumptions'!$E$118,'Assumptions'!$C$9)),1,0)</f>
        <v/>
      </c>
      <c r="AF288" s="18">
        <f>IF(AND('Assumptions'!$E$117=1,AF$4&gt;=MAX('Assumptions'!$E$118,'Assumptions'!$C$9)),1,0)</f>
        <v/>
      </c>
      <c r="AG288" s="18">
        <f>IF(AND('Assumptions'!$E$117=1,AG$4&gt;=MAX('Assumptions'!$E$118,'Assumptions'!$C$9)),1,0)</f>
        <v/>
      </c>
      <c r="AH288" s="18">
        <f>IF(AND('Assumptions'!$E$117=1,AH$4&gt;=MAX('Assumptions'!$E$118,'Assumptions'!$C$9)),1,0)</f>
        <v/>
      </c>
      <c r="AI288" s="18">
        <f>IF(AND('Assumptions'!$E$117=1,AI$4&gt;=MAX('Assumptions'!$E$118,'Assumptions'!$C$9)),1,0)</f>
        <v/>
      </c>
      <c r="AJ288" s="18">
        <f>IF(AND('Assumptions'!$E$117=1,AJ$4&gt;=MAX('Assumptions'!$E$118,'Assumptions'!$C$9)),1,0)</f>
        <v/>
      </c>
      <c r="AK288" s="18">
        <f>IF(AND('Assumptions'!$E$117=1,AK$4&gt;=MAX('Assumptions'!$E$118,'Assumptions'!$C$9)),1,0)</f>
        <v/>
      </c>
      <c r="AL288" s="18">
        <f>IF(AND('Assumptions'!$E$117=1,AL$4&gt;=MAX('Assumptions'!$E$118,'Assumptions'!$C$9)),1,0)</f>
        <v/>
      </c>
    </row>
    <row r="289">
      <c r="A289" s="7" t="inlineStr">
        <is>
          <t xml:space="preserve">   Sales-per-product index (1.00 in the launch month)</t>
        </is>
      </c>
      <c r="B289" s="9" t="inlineStr">
        <is>
          <t>index</t>
        </is>
      </c>
      <c r="C289" s="55">
        <f>IF(C288=0,0,1)</f>
        <v/>
      </c>
      <c r="D289" s="51">
        <f>IF(D288=0,0,IF(D$4=MAX('Assumptions'!$E$118,'Assumptions'!$C$9),1,C289*(1+CHOOSE(D$6,'Assumptions'!$E$119,'Assumptions'!$E$120,'Assumptions'!$E$121))))</f>
        <v/>
      </c>
      <c r="E289" s="51">
        <f>IF(E288=0,0,IF(E$4=MAX('Assumptions'!$E$118,'Assumptions'!$C$9),1,D289*(1+CHOOSE(E$6,'Assumptions'!$E$119,'Assumptions'!$E$120,'Assumptions'!$E$121))))</f>
        <v/>
      </c>
      <c r="F289" s="51">
        <f>IF(F288=0,0,IF(F$4=MAX('Assumptions'!$E$118,'Assumptions'!$C$9),1,E289*(1+CHOOSE(F$6,'Assumptions'!$E$119,'Assumptions'!$E$120,'Assumptions'!$E$121))))</f>
        <v/>
      </c>
      <c r="G289" s="51">
        <f>IF(G288=0,0,IF(G$4=MAX('Assumptions'!$E$118,'Assumptions'!$C$9),1,F289*(1+CHOOSE(G$6,'Assumptions'!$E$119,'Assumptions'!$E$120,'Assumptions'!$E$121))))</f>
        <v/>
      </c>
      <c r="H289" s="51">
        <f>IF(H288=0,0,IF(H$4=MAX('Assumptions'!$E$118,'Assumptions'!$C$9),1,G289*(1+CHOOSE(H$6,'Assumptions'!$E$119,'Assumptions'!$E$120,'Assumptions'!$E$121))))</f>
        <v/>
      </c>
      <c r="I289" s="51">
        <f>IF(I288=0,0,IF(I$4=MAX('Assumptions'!$E$118,'Assumptions'!$C$9),1,H289*(1+CHOOSE(I$6,'Assumptions'!$E$119,'Assumptions'!$E$120,'Assumptions'!$E$121))))</f>
        <v/>
      </c>
      <c r="J289" s="51">
        <f>IF(J288=0,0,IF(J$4=MAX('Assumptions'!$E$118,'Assumptions'!$C$9),1,I289*(1+CHOOSE(J$6,'Assumptions'!$E$119,'Assumptions'!$E$120,'Assumptions'!$E$121))))</f>
        <v/>
      </c>
      <c r="K289" s="51">
        <f>IF(K288=0,0,IF(K$4=MAX('Assumptions'!$E$118,'Assumptions'!$C$9),1,J289*(1+CHOOSE(K$6,'Assumptions'!$E$119,'Assumptions'!$E$120,'Assumptions'!$E$121))))</f>
        <v/>
      </c>
      <c r="L289" s="51">
        <f>IF(L288=0,0,IF(L$4=MAX('Assumptions'!$E$118,'Assumptions'!$C$9),1,K289*(1+CHOOSE(L$6,'Assumptions'!$E$119,'Assumptions'!$E$120,'Assumptions'!$E$121))))</f>
        <v/>
      </c>
      <c r="M289" s="51">
        <f>IF(M288=0,0,IF(M$4=MAX('Assumptions'!$E$118,'Assumptions'!$C$9),1,L289*(1+CHOOSE(M$6,'Assumptions'!$E$119,'Assumptions'!$E$120,'Assumptions'!$E$121))))</f>
        <v/>
      </c>
      <c r="N289" s="51">
        <f>IF(N288=0,0,IF(N$4=MAX('Assumptions'!$E$118,'Assumptions'!$C$9),1,M289*(1+CHOOSE(N$6,'Assumptions'!$E$119,'Assumptions'!$E$120,'Assumptions'!$E$121))))</f>
        <v/>
      </c>
      <c r="O289" s="51">
        <f>IF(O288=0,0,IF(O$4=MAX('Assumptions'!$E$118,'Assumptions'!$C$9),1,N289*(1+CHOOSE(O$6,'Assumptions'!$E$119,'Assumptions'!$E$120,'Assumptions'!$E$121))))</f>
        <v/>
      </c>
      <c r="P289" s="51">
        <f>IF(P288=0,0,IF(P$4=MAX('Assumptions'!$E$118,'Assumptions'!$C$9),1,O289*(1+CHOOSE(P$6,'Assumptions'!$E$119,'Assumptions'!$E$120,'Assumptions'!$E$121))))</f>
        <v/>
      </c>
      <c r="Q289" s="51">
        <f>IF(Q288=0,0,IF(Q$4=MAX('Assumptions'!$E$118,'Assumptions'!$C$9),1,P289*(1+CHOOSE(Q$6,'Assumptions'!$E$119,'Assumptions'!$E$120,'Assumptions'!$E$121))))</f>
        <v/>
      </c>
      <c r="R289" s="51">
        <f>IF(R288=0,0,IF(R$4=MAX('Assumptions'!$E$118,'Assumptions'!$C$9),1,Q289*(1+CHOOSE(R$6,'Assumptions'!$E$119,'Assumptions'!$E$120,'Assumptions'!$E$121))))</f>
        <v/>
      </c>
      <c r="S289" s="51">
        <f>IF(S288=0,0,IF(S$4=MAX('Assumptions'!$E$118,'Assumptions'!$C$9),1,R289*(1+CHOOSE(S$6,'Assumptions'!$E$119,'Assumptions'!$E$120,'Assumptions'!$E$121))))</f>
        <v/>
      </c>
      <c r="T289" s="51">
        <f>IF(T288=0,0,IF(T$4=MAX('Assumptions'!$E$118,'Assumptions'!$C$9),1,S289*(1+CHOOSE(T$6,'Assumptions'!$E$119,'Assumptions'!$E$120,'Assumptions'!$E$121))))</f>
        <v/>
      </c>
      <c r="U289" s="51">
        <f>IF(U288=0,0,IF(U$4=MAX('Assumptions'!$E$118,'Assumptions'!$C$9),1,T289*(1+CHOOSE(U$6,'Assumptions'!$E$119,'Assumptions'!$E$120,'Assumptions'!$E$121))))</f>
        <v/>
      </c>
      <c r="V289" s="51">
        <f>IF(V288=0,0,IF(V$4=MAX('Assumptions'!$E$118,'Assumptions'!$C$9),1,U289*(1+CHOOSE(V$6,'Assumptions'!$E$119,'Assumptions'!$E$120,'Assumptions'!$E$121))))</f>
        <v/>
      </c>
      <c r="W289" s="51">
        <f>IF(W288=0,0,IF(W$4=MAX('Assumptions'!$E$118,'Assumptions'!$C$9),1,V289*(1+CHOOSE(W$6,'Assumptions'!$E$119,'Assumptions'!$E$120,'Assumptions'!$E$121))))</f>
        <v/>
      </c>
      <c r="X289" s="51">
        <f>IF(X288=0,0,IF(X$4=MAX('Assumptions'!$E$118,'Assumptions'!$C$9),1,W289*(1+CHOOSE(X$6,'Assumptions'!$E$119,'Assumptions'!$E$120,'Assumptions'!$E$121))))</f>
        <v/>
      </c>
      <c r="Y289" s="51">
        <f>IF(Y288=0,0,IF(Y$4=MAX('Assumptions'!$E$118,'Assumptions'!$C$9),1,X289*(1+CHOOSE(Y$6,'Assumptions'!$E$119,'Assumptions'!$E$120,'Assumptions'!$E$121))))</f>
        <v/>
      </c>
      <c r="Z289" s="51">
        <f>IF(Z288=0,0,IF(Z$4=MAX('Assumptions'!$E$118,'Assumptions'!$C$9),1,Y289*(1+CHOOSE(Z$6,'Assumptions'!$E$119,'Assumptions'!$E$120,'Assumptions'!$E$121))))</f>
        <v/>
      </c>
      <c r="AA289" s="51">
        <f>IF(AA288=0,0,IF(AA$4=MAX('Assumptions'!$E$118,'Assumptions'!$C$9),1,Z289*(1+CHOOSE(AA$6,'Assumptions'!$E$119,'Assumptions'!$E$120,'Assumptions'!$E$121))))</f>
        <v/>
      </c>
      <c r="AB289" s="51">
        <f>IF(AB288=0,0,IF(AB$4=MAX('Assumptions'!$E$118,'Assumptions'!$C$9),1,AA289*(1+CHOOSE(AB$6,'Assumptions'!$E$119,'Assumptions'!$E$120,'Assumptions'!$E$121))))</f>
        <v/>
      </c>
      <c r="AC289" s="51">
        <f>IF(AC288=0,0,IF(AC$4=MAX('Assumptions'!$E$118,'Assumptions'!$C$9),1,AB289*(1+CHOOSE(AC$6,'Assumptions'!$E$119,'Assumptions'!$E$120,'Assumptions'!$E$121))))</f>
        <v/>
      </c>
      <c r="AD289" s="51">
        <f>IF(AD288=0,0,IF(AD$4=MAX('Assumptions'!$E$118,'Assumptions'!$C$9),1,AC289*(1+CHOOSE(AD$6,'Assumptions'!$E$119,'Assumptions'!$E$120,'Assumptions'!$E$121))))</f>
        <v/>
      </c>
      <c r="AE289" s="51">
        <f>IF(AE288=0,0,IF(AE$4=MAX('Assumptions'!$E$118,'Assumptions'!$C$9),1,AD289*(1+CHOOSE(AE$6,'Assumptions'!$E$119,'Assumptions'!$E$120,'Assumptions'!$E$121))))</f>
        <v/>
      </c>
      <c r="AF289" s="51">
        <f>IF(AF288=0,0,IF(AF$4=MAX('Assumptions'!$E$118,'Assumptions'!$C$9),1,AE289*(1+CHOOSE(AF$6,'Assumptions'!$E$119,'Assumptions'!$E$120,'Assumptions'!$E$121))))</f>
        <v/>
      </c>
      <c r="AG289" s="51">
        <f>IF(AG288=0,0,IF(AG$4=MAX('Assumptions'!$E$118,'Assumptions'!$C$9),1,AF289*(1+CHOOSE(AG$6,'Assumptions'!$E$119,'Assumptions'!$E$120,'Assumptions'!$E$121))))</f>
        <v/>
      </c>
      <c r="AH289" s="51">
        <f>IF(AH288=0,0,IF(AH$4=MAX('Assumptions'!$E$118,'Assumptions'!$C$9),1,AG289*(1+CHOOSE(AH$6,'Assumptions'!$E$119,'Assumptions'!$E$120,'Assumptions'!$E$121))))</f>
        <v/>
      </c>
      <c r="AI289" s="51">
        <f>IF(AI288=0,0,IF(AI$4=MAX('Assumptions'!$E$118,'Assumptions'!$C$9),1,AH289*(1+CHOOSE(AI$6,'Assumptions'!$E$119,'Assumptions'!$E$120,'Assumptions'!$E$121))))</f>
        <v/>
      </c>
      <c r="AJ289" s="51">
        <f>IF(AJ288=0,0,IF(AJ$4=MAX('Assumptions'!$E$118,'Assumptions'!$C$9),1,AI289*(1+CHOOSE(AJ$6,'Assumptions'!$E$119,'Assumptions'!$E$120,'Assumptions'!$E$121))))</f>
        <v/>
      </c>
      <c r="AK289" s="51">
        <f>IF(AK288=0,0,IF(AK$4=MAX('Assumptions'!$E$118,'Assumptions'!$C$9),1,AJ289*(1+CHOOSE(AK$6,'Assumptions'!$E$119,'Assumptions'!$E$120,'Assumptions'!$E$121))))</f>
        <v/>
      </c>
      <c r="AL289" s="51">
        <f>IF(AL288=0,0,IF(AL$4=MAX('Assumptions'!$E$118,'Assumptions'!$C$9),1,AK289*(1+CHOOSE(AL$6,'Assumptions'!$E$119,'Assumptions'!$E$120,'Assumptions'!$E$121))))</f>
        <v/>
      </c>
    </row>
    <row r="290">
      <c r="A290" s="7" t="inlineStr">
        <is>
          <t xml:space="preserve">   Product-months live (products x sales index x season)</t>
        </is>
      </c>
      <c r="B290" s="9" t="inlineStr">
        <is>
          <t>prod-mo</t>
        </is>
      </c>
      <c r="C290" s="56">
        <f>C286*C289*C$7</f>
        <v/>
      </c>
      <c r="D290" s="56">
        <f>D286*D289*D$7</f>
        <v/>
      </c>
      <c r="E290" s="56">
        <f>E286*E289*E$7</f>
        <v/>
      </c>
      <c r="F290" s="56">
        <f>F286*F289*F$7</f>
        <v/>
      </c>
      <c r="G290" s="56">
        <f>G286*G289*G$7</f>
        <v/>
      </c>
      <c r="H290" s="56">
        <f>H286*H289*H$7</f>
        <v/>
      </c>
      <c r="I290" s="56">
        <f>I286*I289*I$7</f>
        <v/>
      </c>
      <c r="J290" s="56">
        <f>J286*J289*J$7</f>
        <v/>
      </c>
      <c r="K290" s="56">
        <f>K286*K289*K$7</f>
        <v/>
      </c>
      <c r="L290" s="56">
        <f>L286*L289*L$7</f>
        <v/>
      </c>
      <c r="M290" s="56">
        <f>M286*M289*M$7</f>
        <v/>
      </c>
      <c r="N290" s="56">
        <f>N286*N289*N$7</f>
        <v/>
      </c>
      <c r="O290" s="56">
        <f>O286*O289*O$7</f>
        <v/>
      </c>
      <c r="P290" s="56">
        <f>P286*P289*P$7</f>
        <v/>
      </c>
      <c r="Q290" s="56">
        <f>Q286*Q289*Q$7</f>
        <v/>
      </c>
      <c r="R290" s="56">
        <f>R286*R289*R$7</f>
        <v/>
      </c>
      <c r="S290" s="56">
        <f>S286*S289*S$7</f>
        <v/>
      </c>
      <c r="T290" s="56">
        <f>T286*T289*T$7</f>
        <v/>
      </c>
      <c r="U290" s="56">
        <f>U286*U289*U$7</f>
        <v/>
      </c>
      <c r="V290" s="56">
        <f>V286*V289*V$7</f>
        <v/>
      </c>
      <c r="W290" s="56">
        <f>W286*W289*W$7</f>
        <v/>
      </c>
      <c r="X290" s="56">
        <f>X286*X289*X$7</f>
        <v/>
      </c>
      <c r="Y290" s="56">
        <f>Y286*Y289*Y$7</f>
        <v/>
      </c>
      <c r="Z290" s="56">
        <f>Z286*Z289*Z$7</f>
        <v/>
      </c>
      <c r="AA290" s="56">
        <f>AA286*AA289*AA$7</f>
        <v/>
      </c>
      <c r="AB290" s="56">
        <f>AB286*AB289*AB$7</f>
        <v/>
      </c>
      <c r="AC290" s="56">
        <f>AC286*AC289*AC$7</f>
        <v/>
      </c>
      <c r="AD290" s="56">
        <f>AD286*AD289*AD$7</f>
        <v/>
      </c>
      <c r="AE290" s="56">
        <f>AE286*AE289*AE$7</f>
        <v/>
      </c>
      <c r="AF290" s="56">
        <f>AF286*AF289*AF$7</f>
        <v/>
      </c>
      <c r="AG290" s="56">
        <f>AG286*AG289*AG$7</f>
        <v/>
      </c>
      <c r="AH290" s="56">
        <f>AH286*AH289*AH$7</f>
        <v/>
      </c>
      <c r="AI290" s="56">
        <f>AI286*AI289*AI$7</f>
        <v/>
      </c>
      <c r="AJ290" s="56">
        <f>AJ286*AJ289*AJ$7</f>
        <v/>
      </c>
      <c r="AK290" s="56">
        <f>AK286*AK289*AK$7</f>
        <v/>
      </c>
      <c r="AL290" s="56">
        <f>AL286*AL289*AL$7</f>
        <v/>
      </c>
      <c r="AM290" s="57">
        <f>SUMIF($C$6:$AL$6,1,C290:AL290)</f>
        <v/>
      </c>
      <c r="AN290" s="57">
        <f>SUMIF($C$6:$AL$6,2,C290:AL290)</f>
        <v/>
      </c>
      <c r="AO290" s="57">
        <f>SUMIF($C$6:$AL$6,3,C290:AL290)</f>
        <v/>
      </c>
      <c r="AP290" s="57">
        <f>SUM(C290:AL290)</f>
        <v/>
      </c>
    </row>
    <row r="291">
      <c r="A291" s="7" t="inlineStr">
        <is>
          <t xml:space="preserve">   Orders per product per month (with review ramp)</t>
        </is>
      </c>
      <c r="B291" s="9" t="inlineStr">
        <is>
          <t>orders</t>
        </is>
      </c>
      <c r="C291" s="51">
        <f>'Assumptions'!$E$122*MIN(1,(C$4-MAX('Assumptions'!$E$118,'Assumptions'!$C$9)+1)/'Assumptions'!$C$11)*C288</f>
        <v/>
      </c>
      <c r="D291" s="51">
        <f>'Assumptions'!$E$122*MIN(1,(D$4-MAX('Assumptions'!$E$118,'Assumptions'!$C$9)+1)/'Assumptions'!$C$11)*D288</f>
        <v/>
      </c>
      <c r="E291" s="51">
        <f>'Assumptions'!$E$122*MIN(1,(E$4-MAX('Assumptions'!$E$118,'Assumptions'!$C$9)+1)/'Assumptions'!$C$11)*E288</f>
        <v/>
      </c>
      <c r="F291" s="51">
        <f>'Assumptions'!$E$122*MIN(1,(F$4-MAX('Assumptions'!$E$118,'Assumptions'!$C$9)+1)/'Assumptions'!$C$11)*F288</f>
        <v/>
      </c>
      <c r="G291" s="51">
        <f>'Assumptions'!$E$122*MIN(1,(G$4-MAX('Assumptions'!$E$118,'Assumptions'!$C$9)+1)/'Assumptions'!$C$11)*G288</f>
        <v/>
      </c>
      <c r="H291" s="51">
        <f>'Assumptions'!$E$122*MIN(1,(H$4-MAX('Assumptions'!$E$118,'Assumptions'!$C$9)+1)/'Assumptions'!$C$11)*H288</f>
        <v/>
      </c>
      <c r="I291" s="51">
        <f>'Assumptions'!$E$122*MIN(1,(I$4-MAX('Assumptions'!$E$118,'Assumptions'!$C$9)+1)/'Assumptions'!$C$11)*I288</f>
        <v/>
      </c>
      <c r="J291" s="51">
        <f>'Assumptions'!$E$122*MIN(1,(J$4-MAX('Assumptions'!$E$118,'Assumptions'!$C$9)+1)/'Assumptions'!$C$11)*J288</f>
        <v/>
      </c>
      <c r="K291" s="51">
        <f>'Assumptions'!$E$122*MIN(1,(K$4-MAX('Assumptions'!$E$118,'Assumptions'!$C$9)+1)/'Assumptions'!$C$11)*K288</f>
        <v/>
      </c>
      <c r="L291" s="51">
        <f>'Assumptions'!$E$122*MIN(1,(L$4-MAX('Assumptions'!$E$118,'Assumptions'!$C$9)+1)/'Assumptions'!$C$11)*L288</f>
        <v/>
      </c>
      <c r="M291" s="51">
        <f>'Assumptions'!$E$122*MIN(1,(M$4-MAX('Assumptions'!$E$118,'Assumptions'!$C$9)+1)/'Assumptions'!$C$11)*M288</f>
        <v/>
      </c>
      <c r="N291" s="51">
        <f>'Assumptions'!$E$122*MIN(1,(N$4-MAX('Assumptions'!$E$118,'Assumptions'!$C$9)+1)/'Assumptions'!$C$11)*N288</f>
        <v/>
      </c>
      <c r="O291" s="51">
        <f>'Assumptions'!$E$122*MIN(1,(O$4-MAX('Assumptions'!$E$118,'Assumptions'!$C$9)+1)/'Assumptions'!$C$11)*O288</f>
        <v/>
      </c>
      <c r="P291" s="51">
        <f>'Assumptions'!$E$122*MIN(1,(P$4-MAX('Assumptions'!$E$118,'Assumptions'!$C$9)+1)/'Assumptions'!$C$11)*P288</f>
        <v/>
      </c>
      <c r="Q291" s="51">
        <f>'Assumptions'!$E$122*MIN(1,(Q$4-MAX('Assumptions'!$E$118,'Assumptions'!$C$9)+1)/'Assumptions'!$C$11)*Q288</f>
        <v/>
      </c>
      <c r="R291" s="51">
        <f>'Assumptions'!$E$122*MIN(1,(R$4-MAX('Assumptions'!$E$118,'Assumptions'!$C$9)+1)/'Assumptions'!$C$11)*R288</f>
        <v/>
      </c>
      <c r="S291" s="51">
        <f>'Assumptions'!$E$122*MIN(1,(S$4-MAX('Assumptions'!$E$118,'Assumptions'!$C$9)+1)/'Assumptions'!$C$11)*S288</f>
        <v/>
      </c>
      <c r="T291" s="51">
        <f>'Assumptions'!$E$122*MIN(1,(T$4-MAX('Assumptions'!$E$118,'Assumptions'!$C$9)+1)/'Assumptions'!$C$11)*T288</f>
        <v/>
      </c>
      <c r="U291" s="51">
        <f>'Assumptions'!$E$122*MIN(1,(U$4-MAX('Assumptions'!$E$118,'Assumptions'!$C$9)+1)/'Assumptions'!$C$11)*U288</f>
        <v/>
      </c>
      <c r="V291" s="51">
        <f>'Assumptions'!$E$122*MIN(1,(V$4-MAX('Assumptions'!$E$118,'Assumptions'!$C$9)+1)/'Assumptions'!$C$11)*V288</f>
        <v/>
      </c>
      <c r="W291" s="51">
        <f>'Assumptions'!$E$122*MIN(1,(W$4-MAX('Assumptions'!$E$118,'Assumptions'!$C$9)+1)/'Assumptions'!$C$11)*W288</f>
        <v/>
      </c>
      <c r="X291" s="51">
        <f>'Assumptions'!$E$122*MIN(1,(X$4-MAX('Assumptions'!$E$118,'Assumptions'!$C$9)+1)/'Assumptions'!$C$11)*X288</f>
        <v/>
      </c>
      <c r="Y291" s="51">
        <f>'Assumptions'!$E$122*MIN(1,(Y$4-MAX('Assumptions'!$E$118,'Assumptions'!$C$9)+1)/'Assumptions'!$C$11)*Y288</f>
        <v/>
      </c>
      <c r="Z291" s="51">
        <f>'Assumptions'!$E$122*MIN(1,(Z$4-MAX('Assumptions'!$E$118,'Assumptions'!$C$9)+1)/'Assumptions'!$C$11)*Z288</f>
        <v/>
      </c>
      <c r="AA291" s="51">
        <f>'Assumptions'!$E$122*MIN(1,(AA$4-MAX('Assumptions'!$E$118,'Assumptions'!$C$9)+1)/'Assumptions'!$C$11)*AA288</f>
        <v/>
      </c>
      <c r="AB291" s="51">
        <f>'Assumptions'!$E$122*MIN(1,(AB$4-MAX('Assumptions'!$E$118,'Assumptions'!$C$9)+1)/'Assumptions'!$C$11)*AB288</f>
        <v/>
      </c>
      <c r="AC291" s="51">
        <f>'Assumptions'!$E$122*MIN(1,(AC$4-MAX('Assumptions'!$E$118,'Assumptions'!$C$9)+1)/'Assumptions'!$C$11)*AC288</f>
        <v/>
      </c>
      <c r="AD291" s="51">
        <f>'Assumptions'!$E$122*MIN(1,(AD$4-MAX('Assumptions'!$E$118,'Assumptions'!$C$9)+1)/'Assumptions'!$C$11)*AD288</f>
        <v/>
      </c>
      <c r="AE291" s="51">
        <f>'Assumptions'!$E$122*MIN(1,(AE$4-MAX('Assumptions'!$E$118,'Assumptions'!$C$9)+1)/'Assumptions'!$C$11)*AE288</f>
        <v/>
      </c>
      <c r="AF291" s="51">
        <f>'Assumptions'!$E$122*MIN(1,(AF$4-MAX('Assumptions'!$E$118,'Assumptions'!$C$9)+1)/'Assumptions'!$C$11)*AF288</f>
        <v/>
      </c>
      <c r="AG291" s="51">
        <f>'Assumptions'!$E$122*MIN(1,(AG$4-MAX('Assumptions'!$E$118,'Assumptions'!$C$9)+1)/'Assumptions'!$C$11)*AG288</f>
        <v/>
      </c>
      <c r="AH291" s="51">
        <f>'Assumptions'!$E$122*MIN(1,(AH$4-MAX('Assumptions'!$E$118,'Assumptions'!$C$9)+1)/'Assumptions'!$C$11)*AH288</f>
        <v/>
      </c>
      <c r="AI291" s="51">
        <f>'Assumptions'!$E$122*MIN(1,(AI$4-MAX('Assumptions'!$E$118,'Assumptions'!$C$9)+1)/'Assumptions'!$C$11)*AI288</f>
        <v/>
      </c>
      <c r="AJ291" s="51">
        <f>'Assumptions'!$E$122*MIN(1,(AJ$4-MAX('Assumptions'!$E$118,'Assumptions'!$C$9)+1)/'Assumptions'!$C$11)*AJ288</f>
        <v/>
      </c>
      <c r="AK291" s="51">
        <f>'Assumptions'!$E$122*MIN(1,(AK$4-MAX('Assumptions'!$E$118,'Assumptions'!$C$9)+1)/'Assumptions'!$C$11)*AK288</f>
        <v/>
      </c>
      <c r="AL291" s="51">
        <f>'Assumptions'!$E$122*MIN(1,(AL$4-MAX('Assumptions'!$E$118,'Assumptions'!$C$9)+1)/'Assumptions'!$C$11)*AL288</f>
        <v/>
      </c>
    </row>
    <row r="292">
      <c r="A292" s="7" t="inlineStr">
        <is>
          <t xml:space="preserve">   Orders</t>
        </is>
      </c>
      <c r="B292" s="9" t="inlineStr">
        <is>
          <t>orders</t>
        </is>
      </c>
      <c r="C292" s="56">
        <f>C290*C291</f>
        <v/>
      </c>
      <c r="D292" s="56">
        <f>D290*D291</f>
        <v/>
      </c>
      <c r="E292" s="56">
        <f>E290*E291</f>
        <v/>
      </c>
      <c r="F292" s="56">
        <f>F290*F291</f>
        <v/>
      </c>
      <c r="G292" s="56">
        <f>G290*G291</f>
        <v/>
      </c>
      <c r="H292" s="56">
        <f>H290*H291</f>
        <v/>
      </c>
      <c r="I292" s="56">
        <f>I290*I291</f>
        <v/>
      </c>
      <c r="J292" s="56">
        <f>J290*J291</f>
        <v/>
      </c>
      <c r="K292" s="56">
        <f>K290*K291</f>
        <v/>
      </c>
      <c r="L292" s="56">
        <f>L290*L291</f>
        <v/>
      </c>
      <c r="M292" s="56">
        <f>M290*M291</f>
        <v/>
      </c>
      <c r="N292" s="56">
        <f>N290*N291</f>
        <v/>
      </c>
      <c r="O292" s="56">
        <f>O290*O291</f>
        <v/>
      </c>
      <c r="P292" s="56">
        <f>P290*P291</f>
        <v/>
      </c>
      <c r="Q292" s="56">
        <f>Q290*Q291</f>
        <v/>
      </c>
      <c r="R292" s="56">
        <f>R290*R291</f>
        <v/>
      </c>
      <c r="S292" s="56">
        <f>S290*S291</f>
        <v/>
      </c>
      <c r="T292" s="56">
        <f>T290*T291</f>
        <v/>
      </c>
      <c r="U292" s="56">
        <f>U290*U291</f>
        <v/>
      </c>
      <c r="V292" s="56">
        <f>V290*V291</f>
        <v/>
      </c>
      <c r="W292" s="56">
        <f>W290*W291</f>
        <v/>
      </c>
      <c r="X292" s="56">
        <f>X290*X291</f>
        <v/>
      </c>
      <c r="Y292" s="56">
        <f>Y290*Y291</f>
        <v/>
      </c>
      <c r="Z292" s="56">
        <f>Z290*Z291</f>
        <v/>
      </c>
      <c r="AA292" s="56">
        <f>AA290*AA291</f>
        <v/>
      </c>
      <c r="AB292" s="56">
        <f>AB290*AB291</f>
        <v/>
      </c>
      <c r="AC292" s="56">
        <f>AC290*AC291</f>
        <v/>
      </c>
      <c r="AD292" s="56">
        <f>AD290*AD291</f>
        <v/>
      </c>
      <c r="AE292" s="56">
        <f>AE290*AE291</f>
        <v/>
      </c>
      <c r="AF292" s="56">
        <f>AF290*AF291</f>
        <v/>
      </c>
      <c r="AG292" s="56">
        <f>AG290*AG291</f>
        <v/>
      </c>
      <c r="AH292" s="56">
        <f>AH290*AH291</f>
        <v/>
      </c>
      <c r="AI292" s="56">
        <f>AI290*AI291</f>
        <v/>
      </c>
      <c r="AJ292" s="56">
        <f>AJ290*AJ291</f>
        <v/>
      </c>
      <c r="AK292" s="56">
        <f>AK290*AK291</f>
        <v/>
      </c>
      <c r="AL292" s="56">
        <f>AL290*AL291</f>
        <v/>
      </c>
      <c r="AM292" s="57">
        <f>SUMIF($C$6:$AL$6,1,C292:AL292)</f>
        <v/>
      </c>
      <c r="AN292" s="57">
        <f>SUMIF($C$6:$AL$6,2,C292:AL292)</f>
        <v/>
      </c>
      <c r="AO292" s="57">
        <f>SUMIF($C$6:$AL$6,3,C292:AL292)</f>
        <v/>
      </c>
      <c r="AP292" s="57">
        <f>SUM(C292:AL292)</f>
        <v/>
      </c>
    </row>
    <row r="293">
      <c r="A293" s="7" t="inlineStr">
        <is>
          <t xml:space="preserve">   Items sold</t>
        </is>
      </c>
      <c r="B293" s="9" t="inlineStr">
        <is>
          <t>items</t>
        </is>
      </c>
      <c r="C293" s="14">
        <f>C292*'Assumptions'!$E$123</f>
        <v/>
      </c>
      <c r="D293" s="14">
        <f>D292*'Assumptions'!$E$123</f>
        <v/>
      </c>
      <c r="E293" s="14">
        <f>E292*'Assumptions'!$E$123</f>
        <v/>
      </c>
      <c r="F293" s="14">
        <f>F292*'Assumptions'!$E$123</f>
        <v/>
      </c>
      <c r="G293" s="14">
        <f>G292*'Assumptions'!$E$123</f>
        <v/>
      </c>
      <c r="H293" s="14">
        <f>H292*'Assumptions'!$E$123</f>
        <v/>
      </c>
      <c r="I293" s="14">
        <f>I292*'Assumptions'!$E$123</f>
        <v/>
      </c>
      <c r="J293" s="14">
        <f>J292*'Assumptions'!$E$123</f>
        <v/>
      </c>
      <c r="K293" s="14">
        <f>K292*'Assumptions'!$E$123</f>
        <v/>
      </c>
      <c r="L293" s="14">
        <f>L292*'Assumptions'!$E$123</f>
        <v/>
      </c>
      <c r="M293" s="14">
        <f>M292*'Assumptions'!$E$123</f>
        <v/>
      </c>
      <c r="N293" s="14">
        <f>N292*'Assumptions'!$E$123</f>
        <v/>
      </c>
      <c r="O293" s="14">
        <f>O292*'Assumptions'!$E$123</f>
        <v/>
      </c>
      <c r="P293" s="14">
        <f>P292*'Assumptions'!$E$123</f>
        <v/>
      </c>
      <c r="Q293" s="14">
        <f>Q292*'Assumptions'!$E$123</f>
        <v/>
      </c>
      <c r="R293" s="14">
        <f>R292*'Assumptions'!$E$123</f>
        <v/>
      </c>
      <c r="S293" s="14">
        <f>S292*'Assumptions'!$E$123</f>
        <v/>
      </c>
      <c r="T293" s="14">
        <f>T292*'Assumptions'!$E$123</f>
        <v/>
      </c>
      <c r="U293" s="14">
        <f>U292*'Assumptions'!$E$123</f>
        <v/>
      </c>
      <c r="V293" s="14">
        <f>V292*'Assumptions'!$E$123</f>
        <v/>
      </c>
      <c r="W293" s="14">
        <f>W292*'Assumptions'!$E$123</f>
        <v/>
      </c>
      <c r="X293" s="14">
        <f>X292*'Assumptions'!$E$123</f>
        <v/>
      </c>
      <c r="Y293" s="14">
        <f>Y292*'Assumptions'!$E$123</f>
        <v/>
      </c>
      <c r="Z293" s="14">
        <f>Z292*'Assumptions'!$E$123</f>
        <v/>
      </c>
      <c r="AA293" s="14">
        <f>AA292*'Assumptions'!$E$123</f>
        <v/>
      </c>
      <c r="AB293" s="14">
        <f>AB292*'Assumptions'!$E$123</f>
        <v/>
      </c>
      <c r="AC293" s="14">
        <f>AC292*'Assumptions'!$E$123</f>
        <v/>
      </c>
      <c r="AD293" s="14">
        <f>AD292*'Assumptions'!$E$123</f>
        <v/>
      </c>
      <c r="AE293" s="14">
        <f>AE292*'Assumptions'!$E$123</f>
        <v/>
      </c>
      <c r="AF293" s="14">
        <f>AF292*'Assumptions'!$E$123</f>
        <v/>
      </c>
      <c r="AG293" s="14">
        <f>AG292*'Assumptions'!$E$123</f>
        <v/>
      </c>
      <c r="AH293" s="14">
        <f>AH292*'Assumptions'!$E$123</f>
        <v/>
      </c>
      <c r="AI293" s="14">
        <f>AI292*'Assumptions'!$E$123</f>
        <v/>
      </c>
      <c r="AJ293" s="14">
        <f>AJ292*'Assumptions'!$E$123</f>
        <v/>
      </c>
      <c r="AK293" s="14">
        <f>AK292*'Assumptions'!$E$123</f>
        <v/>
      </c>
      <c r="AL293" s="14">
        <f>AL292*'Assumptions'!$E$123</f>
        <v/>
      </c>
      <c r="AM293" s="57">
        <f>SUMIF($C$6:$AL$6,1,C293:AL293)</f>
        <v/>
      </c>
      <c r="AN293" s="57">
        <f>SUMIF($C$6:$AL$6,2,C293:AL293)</f>
        <v/>
      </c>
      <c r="AO293" s="57">
        <f>SUMIF($C$6:$AL$6,3,C293:AL293)</f>
        <v/>
      </c>
      <c r="AP293" s="57">
        <f>SUM(C293:AL293)</f>
        <v/>
      </c>
    </row>
    <row r="294">
      <c r="A294" s="7" t="inlineStr">
        <is>
          <t xml:space="preserve">   Average order value</t>
        </is>
      </c>
      <c r="B294" s="9" t="inlineStr">
        <is>
          <t>$</t>
        </is>
      </c>
      <c r="C294" s="16">
        <f>'Unit Economics'!$E$49*'Assumptions'!$E$123*C288</f>
        <v/>
      </c>
      <c r="D294" s="16">
        <f>'Unit Economics'!$E$49*'Assumptions'!$E$123*D288</f>
        <v/>
      </c>
      <c r="E294" s="16">
        <f>'Unit Economics'!$E$49*'Assumptions'!$E$123*E288</f>
        <v/>
      </c>
      <c r="F294" s="16">
        <f>'Unit Economics'!$E$49*'Assumptions'!$E$123*F288</f>
        <v/>
      </c>
      <c r="G294" s="16">
        <f>'Unit Economics'!$E$49*'Assumptions'!$E$123*G288</f>
        <v/>
      </c>
      <c r="H294" s="16">
        <f>'Unit Economics'!$E$49*'Assumptions'!$E$123*H288</f>
        <v/>
      </c>
      <c r="I294" s="16">
        <f>'Unit Economics'!$E$49*'Assumptions'!$E$123*I288</f>
        <v/>
      </c>
      <c r="J294" s="16">
        <f>'Unit Economics'!$E$49*'Assumptions'!$E$123*J288</f>
        <v/>
      </c>
      <c r="K294" s="16">
        <f>'Unit Economics'!$E$49*'Assumptions'!$E$123*K288</f>
        <v/>
      </c>
      <c r="L294" s="16">
        <f>'Unit Economics'!$E$49*'Assumptions'!$E$123*L288</f>
        <v/>
      </c>
      <c r="M294" s="16">
        <f>'Unit Economics'!$E$49*'Assumptions'!$E$123*M288</f>
        <v/>
      </c>
      <c r="N294" s="16">
        <f>'Unit Economics'!$E$49*'Assumptions'!$E$123*N288</f>
        <v/>
      </c>
      <c r="O294" s="16">
        <f>'Unit Economics'!$E$49*'Assumptions'!$E$123*O288</f>
        <v/>
      </c>
      <c r="P294" s="16">
        <f>'Unit Economics'!$E$49*'Assumptions'!$E$123*P288</f>
        <v/>
      </c>
      <c r="Q294" s="16">
        <f>'Unit Economics'!$E$49*'Assumptions'!$E$123*Q288</f>
        <v/>
      </c>
      <c r="R294" s="16">
        <f>'Unit Economics'!$E$49*'Assumptions'!$E$123*R288</f>
        <v/>
      </c>
      <c r="S294" s="16">
        <f>'Unit Economics'!$E$49*'Assumptions'!$E$123*S288</f>
        <v/>
      </c>
      <c r="T294" s="16">
        <f>'Unit Economics'!$E$49*'Assumptions'!$E$123*T288</f>
        <v/>
      </c>
      <c r="U294" s="16">
        <f>'Unit Economics'!$E$49*'Assumptions'!$E$123*U288</f>
        <v/>
      </c>
      <c r="V294" s="16">
        <f>'Unit Economics'!$E$49*'Assumptions'!$E$123*V288</f>
        <v/>
      </c>
      <c r="W294" s="16">
        <f>'Unit Economics'!$E$49*'Assumptions'!$E$123*W288</f>
        <v/>
      </c>
      <c r="X294" s="16">
        <f>'Unit Economics'!$E$49*'Assumptions'!$E$123*X288</f>
        <v/>
      </c>
      <c r="Y294" s="16">
        <f>'Unit Economics'!$E$49*'Assumptions'!$E$123*Y288</f>
        <v/>
      </c>
      <c r="Z294" s="16">
        <f>'Unit Economics'!$E$49*'Assumptions'!$E$123*Z288</f>
        <v/>
      </c>
      <c r="AA294" s="16">
        <f>'Unit Economics'!$E$49*'Assumptions'!$E$123*AA288</f>
        <v/>
      </c>
      <c r="AB294" s="16">
        <f>'Unit Economics'!$E$49*'Assumptions'!$E$123*AB288</f>
        <v/>
      </c>
      <c r="AC294" s="16">
        <f>'Unit Economics'!$E$49*'Assumptions'!$E$123*AC288</f>
        <v/>
      </c>
      <c r="AD294" s="16">
        <f>'Unit Economics'!$E$49*'Assumptions'!$E$123*AD288</f>
        <v/>
      </c>
      <c r="AE294" s="16">
        <f>'Unit Economics'!$E$49*'Assumptions'!$E$123*AE288</f>
        <v/>
      </c>
      <c r="AF294" s="16">
        <f>'Unit Economics'!$E$49*'Assumptions'!$E$123*AF288</f>
        <v/>
      </c>
      <c r="AG294" s="16">
        <f>'Unit Economics'!$E$49*'Assumptions'!$E$123*AG288</f>
        <v/>
      </c>
      <c r="AH294" s="16">
        <f>'Unit Economics'!$E$49*'Assumptions'!$E$123*AH288</f>
        <v/>
      </c>
      <c r="AI294" s="16">
        <f>'Unit Economics'!$E$49*'Assumptions'!$E$123*AI288</f>
        <v/>
      </c>
      <c r="AJ294" s="16">
        <f>'Unit Economics'!$E$49*'Assumptions'!$E$123*AJ288</f>
        <v/>
      </c>
      <c r="AK294" s="16">
        <f>'Unit Economics'!$E$49*'Assumptions'!$E$123*AK288</f>
        <v/>
      </c>
      <c r="AL294" s="16">
        <f>'Unit Economics'!$E$49*'Assumptions'!$E$123*AL288</f>
        <v/>
      </c>
    </row>
    <row r="295">
      <c r="A295" s="7" t="inlineStr">
        <is>
          <t xml:space="preserve">   Gross sales (price paid by customers)</t>
        </is>
      </c>
      <c r="B295" s="9" t="inlineStr">
        <is>
          <t>$</t>
        </is>
      </c>
      <c r="C295" s="8">
        <f>C293*'Unit Economics'!$E$49</f>
        <v/>
      </c>
      <c r="D295" s="8">
        <f>D293*'Unit Economics'!$E$49</f>
        <v/>
      </c>
      <c r="E295" s="8">
        <f>E293*'Unit Economics'!$E$49</f>
        <v/>
      </c>
      <c r="F295" s="8">
        <f>F293*'Unit Economics'!$E$49</f>
        <v/>
      </c>
      <c r="G295" s="8">
        <f>G293*'Unit Economics'!$E$49</f>
        <v/>
      </c>
      <c r="H295" s="8">
        <f>H293*'Unit Economics'!$E$49</f>
        <v/>
      </c>
      <c r="I295" s="8">
        <f>I293*'Unit Economics'!$E$49</f>
        <v/>
      </c>
      <c r="J295" s="8">
        <f>J293*'Unit Economics'!$E$49</f>
        <v/>
      </c>
      <c r="K295" s="8">
        <f>K293*'Unit Economics'!$E$49</f>
        <v/>
      </c>
      <c r="L295" s="8">
        <f>L293*'Unit Economics'!$E$49</f>
        <v/>
      </c>
      <c r="M295" s="8">
        <f>M293*'Unit Economics'!$E$49</f>
        <v/>
      </c>
      <c r="N295" s="8">
        <f>N293*'Unit Economics'!$E$49</f>
        <v/>
      </c>
      <c r="O295" s="8">
        <f>O293*'Unit Economics'!$E$49</f>
        <v/>
      </c>
      <c r="P295" s="8">
        <f>P293*'Unit Economics'!$E$49</f>
        <v/>
      </c>
      <c r="Q295" s="8">
        <f>Q293*'Unit Economics'!$E$49</f>
        <v/>
      </c>
      <c r="R295" s="8">
        <f>R293*'Unit Economics'!$E$49</f>
        <v/>
      </c>
      <c r="S295" s="8">
        <f>S293*'Unit Economics'!$E$49</f>
        <v/>
      </c>
      <c r="T295" s="8">
        <f>T293*'Unit Economics'!$E$49</f>
        <v/>
      </c>
      <c r="U295" s="8">
        <f>U293*'Unit Economics'!$E$49</f>
        <v/>
      </c>
      <c r="V295" s="8">
        <f>V293*'Unit Economics'!$E$49</f>
        <v/>
      </c>
      <c r="W295" s="8">
        <f>W293*'Unit Economics'!$E$49</f>
        <v/>
      </c>
      <c r="X295" s="8">
        <f>X293*'Unit Economics'!$E$49</f>
        <v/>
      </c>
      <c r="Y295" s="8">
        <f>Y293*'Unit Economics'!$E$49</f>
        <v/>
      </c>
      <c r="Z295" s="8">
        <f>Z293*'Unit Economics'!$E$49</f>
        <v/>
      </c>
      <c r="AA295" s="8">
        <f>AA293*'Unit Economics'!$E$49</f>
        <v/>
      </c>
      <c r="AB295" s="8">
        <f>AB293*'Unit Economics'!$E$49</f>
        <v/>
      </c>
      <c r="AC295" s="8">
        <f>AC293*'Unit Economics'!$E$49</f>
        <v/>
      </c>
      <c r="AD295" s="8">
        <f>AD293*'Unit Economics'!$E$49</f>
        <v/>
      </c>
      <c r="AE295" s="8">
        <f>AE293*'Unit Economics'!$E$49</f>
        <v/>
      </c>
      <c r="AF295" s="8">
        <f>AF293*'Unit Economics'!$E$49</f>
        <v/>
      </c>
      <c r="AG295" s="8">
        <f>AG293*'Unit Economics'!$E$49</f>
        <v/>
      </c>
      <c r="AH295" s="8">
        <f>AH293*'Unit Economics'!$E$49</f>
        <v/>
      </c>
      <c r="AI295" s="8">
        <f>AI293*'Unit Economics'!$E$49</f>
        <v/>
      </c>
      <c r="AJ295" s="8">
        <f>AJ293*'Unit Economics'!$E$49</f>
        <v/>
      </c>
      <c r="AK295" s="8">
        <f>AK293*'Unit Economics'!$E$49</f>
        <v/>
      </c>
      <c r="AL295" s="8">
        <f>AL293*'Unit Economics'!$E$49</f>
        <v/>
      </c>
      <c r="AM295" s="47">
        <f>SUMIF($C$6:$AL$6,1,C295:AL295)</f>
        <v/>
      </c>
      <c r="AN295" s="47">
        <f>SUMIF($C$6:$AL$6,2,C295:AL295)</f>
        <v/>
      </c>
      <c r="AO295" s="47">
        <f>SUMIF($C$6:$AL$6,3,C295:AL295)</f>
        <v/>
      </c>
      <c r="AP295" s="47">
        <f>SUM(C295:AL295)</f>
        <v/>
      </c>
    </row>
    <row r="296">
      <c r="A296" s="7" t="inlineStr">
        <is>
          <t xml:space="preserve">   Net contribution to AlphaPlay</t>
        </is>
      </c>
      <c r="B296" s="9" t="inlineStr">
        <is>
          <t>$</t>
        </is>
      </c>
      <c r="C296" s="8">
        <f>C293*'Unit Economics'!$F$49</f>
        <v/>
      </c>
      <c r="D296" s="8">
        <f>D293*'Unit Economics'!$F$49</f>
        <v/>
      </c>
      <c r="E296" s="8">
        <f>E293*'Unit Economics'!$F$49</f>
        <v/>
      </c>
      <c r="F296" s="8">
        <f>F293*'Unit Economics'!$F$49</f>
        <v/>
      </c>
      <c r="G296" s="8">
        <f>G293*'Unit Economics'!$F$49</f>
        <v/>
      </c>
      <c r="H296" s="8">
        <f>H293*'Unit Economics'!$F$49</f>
        <v/>
      </c>
      <c r="I296" s="8">
        <f>I293*'Unit Economics'!$F$49</f>
        <v/>
      </c>
      <c r="J296" s="8">
        <f>J293*'Unit Economics'!$F$49</f>
        <v/>
      </c>
      <c r="K296" s="8">
        <f>K293*'Unit Economics'!$F$49</f>
        <v/>
      </c>
      <c r="L296" s="8">
        <f>L293*'Unit Economics'!$F$49</f>
        <v/>
      </c>
      <c r="M296" s="8">
        <f>M293*'Unit Economics'!$F$49</f>
        <v/>
      </c>
      <c r="N296" s="8">
        <f>N293*'Unit Economics'!$F$49</f>
        <v/>
      </c>
      <c r="O296" s="8">
        <f>O293*'Unit Economics'!$F$49</f>
        <v/>
      </c>
      <c r="P296" s="8">
        <f>P293*'Unit Economics'!$F$49</f>
        <v/>
      </c>
      <c r="Q296" s="8">
        <f>Q293*'Unit Economics'!$F$49</f>
        <v/>
      </c>
      <c r="R296" s="8">
        <f>R293*'Unit Economics'!$F$49</f>
        <v/>
      </c>
      <c r="S296" s="8">
        <f>S293*'Unit Economics'!$F$49</f>
        <v/>
      </c>
      <c r="T296" s="8">
        <f>T293*'Unit Economics'!$F$49</f>
        <v/>
      </c>
      <c r="U296" s="8">
        <f>U293*'Unit Economics'!$F$49</f>
        <v/>
      </c>
      <c r="V296" s="8">
        <f>V293*'Unit Economics'!$F$49</f>
        <v/>
      </c>
      <c r="W296" s="8">
        <f>W293*'Unit Economics'!$F$49</f>
        <v/>
      </c>
      <c r="X296" s="8">
        <f>X293*'Unit Economics'!$F$49</f>
        <v/>
      </c>
      <c r="Y296" s="8">
        <f>Y293*'Unit Economics'!$F$49</f>
        <v/>
      </c>
      <c r="Z296" s="8">
        <f>Z293*'Unit Economics'!$F$49</f>
        <v/>
      </c>
      <c r="AA296" s="8">
        <f>AA293*'Unit Economics'!$F$49</f>
        <v/>
      </c>
      <c r="AB296" s="8">
        <f>AB293*'Unit Economics'!$F$49</f>
        <v/>
      </c>
      <c r="AC296" s="8">
        <f>AC293*'Unit Economics'!$F$49</f>
        <v/>
      </c>
      <c r="AD296" s="8">
        <f>AD293*'Unit Economics'!$F$49</f>
        <v/>
      </c>
      <c r="AE296" s="8">
        <f>AE293*'Unit Economics'!$F$49</f>
        <v/>
      </c>
      <c r="AF296" s="8">
        <f>AF293*'Unit Economics'!$F$49</f>
        <v/>
      </c>
      <c r="AG296" s="8">
        <f>AG293*'Unit Economics'!$F$49</f>
        <v/>
      </c>
      <c r="AH296" s="8">
        <f>AH293*'Unit Economics'!$F$49</f>
        <v/>
      </c>
      <c r="AI296" s="8">
        <f>AI293*'Unit Economics'!$F$49</f>
        <v/>
      </c>
      <c r="AJ296" s="8">
        <f>AJ293*'Unit Economics'!$F$49</f>
        <v/>
      </c>
      <c r="AK296" s="8">
        <f>AK293*'Unit Economics'!$F$49</f>
        <v/>
      </c>
      <c r="AL296" s="8">
        <f>AL293*'Unit Economics'!$F$49</f>
        <v/>
      </c>
      <c r="AM296" s="47">
        <f>SUMIF($C$6:$AL$6,1,C296:AL296)</f>
        <v/>
      </c>
      <c r="AN296" s="47">
        <f>SUMIF($C$6:$AL$6,2,C296:AL296)</f>
        <v/>
      </c>
      <c r="AO296" s="47">
        <f>SUMIF($C$6:$AL$6,3,C296:AL296)</f>
        <v/>
      </c>
      <c r="AP296" s="47">
        <f>SUM(C296:AL296)</f>
        <v/>
      </c>
    </row>
    <row r="297">
      <c r="A297" s="5" t="inlineStr">
        <is>
          <t>Etsy: printables</t>
        </is>
      </c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  <c r="AC297" s="6" t="n"/>
      <c r="AD297" s="6" t="n"/>
      <c r="AE297" s="6" t="n"/>
      <c r="AF297" s="6" t="n"/>
      <c r="AG297" s="6" t="n"/>
      <c r="AH297" s="6" t="n"/>
      <c r="AI297" s="6" t="n"/>
      <c r="AJ297" s="6" t="n"/>
      <c r="AK297" s="6" t="n"/>
      <c r="AL297" s="6" t="n"/>
      <c r="AM297" s="6" t="n"/>
      <c r="AN297" s="6" t="n"/>
      <c r="AO297" s="6" t="n"/>
      <c r="AP297" s="6" t="n"/>
    </row>
    <row r="298">
      <c r="A298" s="7" t="inlineStr">
        <is>
          <t xml:space="preserve">   Active (1 = live)</t>
        </is>
      </c>
      <c r="B298" s="9" t="inlineStr">
        <is>
          <t>flag</t>
        </is>
      </c>
      <c r="C298" s="18">
        <f>IF(AND('Assumptions'!$E$126=1,C$4&gt;=MAX('Assumptions'!$E$127,'Assumptions'!$C$9)),1,0)</f>
        <v/>
      </c>
      <c r="D298" s="18">
        <f>IF(AND('Assumptions'!$E$126=1,D$4&gt;=MAX('Assumptions'!$E$127,'Assumptions'!$C$9)),1,0)</f>
        <v/>
      </c>
      <c r="E298" s="18">
        <f>IF(AND('Assumptions'!$E$126=1,E$4&gt;=MAX('Assumptions'!$E$127,'Assumptions'!$C$9)),1,0)</f>
        <v/>
      </c>
      <c r="F298" s="18">
        <f>IF(AND('Assumptions'!$E$126=1,F$4&gt;=MAX('Assumptions'!$E$127,'Assumptions'!$C$9)),1,0)</f>
        <v/>
      </c>
      <c r="G298" s="18">
        <f>IF(AND('Assumptions'!$E$126=1,G$4&gt;=MAX('Assumptions'!$E$127,'Assumptions'!$C$9)),1,0)</f>
        <v/>
      </c>
      <c r="H298" s="18">
        <f>IF(AND('Assumptions'!$E$126=1,H$4&gt;=MAX('Assumptions'!$E$127,'Assumptions'!$C$9)),1,0)</f>
        <v/>
      </c>
      <c r="I298" s="18">
        <f>IF(AND('Assumptions'!$E$126=1,I$4&gt;=MAX('Assumptions'!$E$127,'Assumptions'!$C$9)),1,0)</f>
        <v/>
      </c>
      <c r="J298" s="18">
        <f>IF(AND('Assumptions'!$E$126=1,J$4&gt;=MAX('Assumptions'!$E$127,'Assumptions'!$C$9)),1,0)</f>
        <v/>
      </c>
      <c r="K298" s="18">
        <f>IF(AND('Assumptions'!$E$126=1,K$4&gt;=MAX('Assumptions'!$E$127,'Assumptions'!$C$9)),1,0)</f>
        <v/>
      </c>
      <c r="L298" s="18">
        <f>IF(AND('Assumptions'!$E$126=1,L$4&gt;=MAX('Assumptions'!$E$127,'Assumptions'!$C$9)),1,0)</f>
        <v/>
      </c>
      <c r="M298" s="18">
        <f>IF(AND('Assumptions'!$E$126=1,M$4&gt;=MAX('Assumptions'!$E$127,'Assumptions'!$C$9)),1,0)</f>
        <v/>
      </c>
      <c r="N298" s="18">
        <f>IF(AND('Assumptions'!$E$126=1,N$4&gt;=MAX('Assumptions'!$E$127,'Assumptions'!$C$9)),1,0)</f>
        <v/>
      </c>
      <c r="O298" s="18">
        <f>IF(AND('Assumptions'!$E$126=1,O$4&gt;=MAX('Assumptions'!$E$127,'Assumptions'!$C$9)),1,0)</f>
        <v/>
      </c>
      <c r="P298" s="18">
        <f>IF(AND('Assumptions'!$E$126=1,P$4&gt;=MAX('Assumptions'!$E$127,'Assumptions'!$C$9)),1,0)</f>
        <v/>
      </c>
      <c r="Q298" s="18">
        <f>IF(AND('Assumptions'!$E$126=1,Q$4&gt;=MAX('Assumptions'!$E$127,'Assumptions'!$C$9)),1,0)</f>
        <v/>
      </c>
      <c r="R298" s="18">
        <f>IF(AND('Assumptions'!$E$126=1,R$4&gt;=MAX('Assumptions'!$E$127,'Assumptions'!$C$9)),1,0)</f>
        <v/>
      </c>
      <c r="S298" s="18">
        <f>IF(AND('Assumptions'!$E$126=1,S$4&gt;=MAX('Assumptions'!$E$127,'Assumptions'!$C$9)),1,0)</f>
        <v/>
      </c>
      <c r="T298" s="18">
        <f>IF(AND('Assumptions'!$E$126=1,T$4&gt;=MAX('Assumptions'!$E$127,'Assumptions'!$C$9)),1,0)</f>
        <v/>
      </c>
      <c r="U298" s="18">
        <f>IF(AND('Assumptions'!$E$126=1,U$4&gt;=MAX('Assumptions'!$E$127,'Assumptions'!$C$9)),1,0)</f>
        <v/>
      </c>
      <c r="V298" s="18">
        <f>IF(AND('Assumptions'!$E$126=1,V$4&gt;=MAX('Assumptions'!$E$127,'Assumptions'!$C$9)),1,0)</f>
        <v/>
      </c>
      <c r="W298" s="18">
        <f>IF(AND('Assumptions'!$E$126=1,W$4&gt;=MAX('Assumptions'!$E$127,'Assumptions'!$C$9)),1,0)</f>
        <v/>
      </c>
      <c r="X298" s="18">
        <f>IF(AND('Assumptions'!$E$126=1,X$4&gt;=MAX('Assumptions'!$E$127,'Assumptions'!$C$9)),1,0)</f>
        <v/>
      </c>
      <c r="Y298" s="18">
        <f>IF(AND('Assumptions'!$E$126=1,Y$4&gt;=MAX('Assumptions'!$E$127,'Assumptions'!$C$9)),1,0)</f>
        <v/>
      </c>
      <c r="Z298" s="18">
        <f>IF(AND('Assumptions'!$E$126=1,Z$4&gt;=MAX('Assumptions'!$E$127,'Assumptions'!$C$9)),1,0)</f>
        <v/>
      </c>
      <c r="AA298" s="18">
        <f>IF(AND('Assumptions'!$E$126=1,AA$4&gt;=MAX('Assumptions'!$E$127,'Assumptions'!$C$9)),1,0)</f>
        <v/>
      </c>
      <c r="AB298" s="18">
        <f>IF(AND('Assumptions'!$E$126=1,AB$4&gt;=MAX('Assumptions'!$E$127,'Assumptions'!$C$9)),1,0)</f>
        <v/>
      </c>
      <c r="AC298" s="18">
        <f>IF(AND('Assumptions'!$E$126=1,AC$4&gt;=MAX('Assumptions'!$E$127,'Assumptions'!$C$9)),1,0)</f>
        <v/>
      </c>
      <c r="AD298" s="18">
        <f>IF(AND('Assumptions'!$E$126=1,AD$4&gt;=MAX('Assumptions'!$E$127,'Assumptions'!$C$9)),1,0)</f>
        <v/>
      </c>
      <c r="AE298" s="18">
        <f>IF(AND('Assumptions'!$E$126=1,AE$4&gt;=MAX('Assumptions'!$E$127,'Assumptions'!$C$9)),1,0)</f>
        <v/>
      </c>
      <c r="AF298" s="18">
        <f>IF(AND('Assumptions'!$E$126=1,AF$4&gt;=MAX('Assumptions'!$E$127,'Assumptions'!$C$9)),1,0)</f>
        <v/>
      </c>
      <c r="AG298" s="18">
        <f>IF(AND('Assumptions'!$E$126=1,AG$4&gt;=MAX('Assumptions'!$E$127,'Assumptions'!$C$9)),1,0)</f>
        <v/>
      </c>
      <c r="AH298" s="18">
        <f>IF(AND('Assumptions'!$E$126=1,AH$4&gt;=MAX('Assumptions'!$E$127,'Assumptions'!$C$9)),1,0)</f>
        <v/>
      </c>
      <c r="AI298" s="18">
        <f>IF(AND('Assumptions'!$E$126=1,AI$4&gt;=MAX('Assumptions'!$E$127,'Assumptions'!$C$9)),1,0)</f>
        <v/>
      </c>
      <c r="AJ298" s="18">
        <f>IF(AND('Assumptions'!$E$126=1,AJ$4&gt;=MAX('Assumptions'!$E$127,'Assumptions'!$C$9)),1,0)</f>
        <v/>
      </c>
      <c r="AK298" s="18">
        <f>IF(AND('Assumptions'!$E$126=1,AK$4&gt;=MAX('Assumptions'!$E$127,'Assumptions'!$C$9)),1,0)</f>
        <v/>
      </c>
      <c r="AL298" s="18">
        <f>IF(AND('Assumptions'!$E$126=1,AL$4&gt;=MAX('Assumptions'!$E$127,'Assumptions'!$C$9)),1,0)</f>
        <v/>
      </c>
    </row>
    <row r="299">
      <c r="A299" s="7" t="inlineStr">
        <is>
          <t xml:space="preserve">   Sales-per-product index (1.00 in the launch month)</t>
        </is>
      </c>
      <c r="B299" s="9" t="inlineStr">
        <is>
          <t>index</t>
        </is>
      </c>
      <c r="C299" s="55">
        <f>IF(C298=0,0,1)</f>
        <v/>
      </c>
      <c r="D299" s="51">
        <f>IF(D298=0,0,IF(D$4=MAX('Assumptions'!$E$127,'Assumptions'!$C$9),1,C299*(1+CHOOSE(D$6,'Assumptions'!$E$128,'Assumptions'!$E$129,'Assumptions'!$E$130))))</f>
        <v/>
      </c>
      <c r="E299" s="51">
        <f>IF(E298=0,0,IF(E$4=MAX('Assumptions'!$E$127,'Assumptions'!$C$9),1,D299*(1+CHOOSE(E$6,'Assumptions'!$E$128,'Assumptions'!$E$129,'Assumptions'!$E$130))))</f>
        <v/>
      </c>
      <c r="F299" s="51">
        <f>IF(F298=0,0,IF(F$4=MAX('Assumptions'!$E$127,'Assumptions'!$C$9),1,E299*(1+CHOOSE(F$6,'Assumptions'!$E$128,'Assumptions'!$E$129,'Assumptions'!$E$130))))</f>
        <v/>
      </c>
      <c r="G299" s="51">
        <f>IF(G298=0,0,IF(G$4=MAX('Assumptions'!$E$127,'Assumptions'!$C$9),1,F299*(1+CHOOSE(G$6,'Assumptions'!$E$128,'Assumptions'!$E$129,'Assumptions'!$E$130))))</f>
        <v/>
      </c>
      <c r="H299" s="51">
        <f>IF(H298=0,0,IF(H$4=MAX('Assumptions'!$E$127,'Assumptions'!$C$9),1,G299*(1+CHOOSE(H$6,'Assumptions'!$E$128,'Assumptions'!$E$129,'Assumptions'!$E$130))))</f>
        <v/>
      </c>
      <c r="I299" s="51">
        <f>IF(I298=0,0,IF(I$4=MAX('Assumptions'!$E$127,'Assumptions'!$C$9),1,H299*(1+CHOOSE(I$6,'Assumptions'!$E$128,'Assumptions'!$E$129,'Assumptions'!$E$130))))</f>
        <v/>
      </c>
      <c r="J299" s="51">
        <f>IF(J298=0,0,IF(J$4=MAX('Assumptions'!$E$127,'Assumptions'!$C$9),1,I299*(1+CHOOSE(J$6,'Assumptions'!$E$128,'Assumptions'!$E$129,'Assumptions'!$E$130))))</f>
        <v/>
      </c>
      <c r="K299" s="51">
        <f>IF(K298=0,0,IF(K$4=MAX('Assumptions'!$E$127,'Assumptions'!$C$9),1,J299*(1+CHOOSE(K$6,'Assumptions'!$E$128,'Assumptions'!$E$129,'Assumptions'!$E$130))))</f>
        <v/>
      </c>
      <c r="L299" s="51">
        <f>IF(L298=0,0,IF(L$4=MAX('Assumptions'!$E$127,'Assumptions'!$C$9),1,K299*(1+CHOOSE(L$6,'Assumptions'!$E$128,'Assumptions'!$E$129,'Assumptions'!$E$130))))</f>
        <v/>
      </c>
      <c r="M299" s="51">
        <f>IF(M298=0,0,IF(M$4=MAX('Assumptions'!$E$127,'Assumptions'!$C$9),1,L299*(1+CHOOSE(M$6,'Assumptions'!$E$128,'Assumptions'!$E$129,'Assumptions'!$E$130))))</f>
        <v/>
      </c>
      <c r="N299" s="51">
        <f>IF(N298=0,0,IF(N$4=MAX('Assumptions'!$E$127,'Assumptions'!$C$9),1,M299*(1+CHOOSE(N$6,'Assumptions'!$E$128,'Assumptions'!$E$129,'Assumptions'!$E$130))))</f>
        <v/>
      </c>
      <c r="O299" s="51">
        <f>IF(O298=0,0,IF(O$4=MAX('Assumptions'!$E$127,'Assumptions'!$C$9),1,N299*(1+CHOOSE(O$6,'Assumptions'!$E$128,'Assumptions'!$E$129,'Assumptions'!$E$130))))</f>
        <v/>
      </c>
      <c r="P299" s="51">
        <f>IF(P298=0,0,IF(P$4=MAX('Assumptions'!$E$127,'Assumptions'!$C$9),1,O299*(1+CHOOSE(P$6,'Assumptions'!$E$128,'Assumptions'!$E$129,'Assumptions'!$E$130))))</f>
        <v/>
      </c>
      <c r="Q299" s="51">
        <f>IF(Q298=0,0,IF(Q$4=MAX('Assumptions'!$E$127,'Assumptions'!$C$9),1,P299*(1+CHOOSE(Q$6,'Assumptions'!$E$128,'Assumptions'!$E$129,'Assumptions'!$E$130))))</f>
        <v/>
      </c>
      <c r="R299" s="51">
        <f>IF(R298=0,0,IF(R$4=MAX('Assumptions'!$E$127,'Assumptions'!$C$9),1,Q299*(1+CHOOSE(R$6,'Assumptions'!$E$128,'Assumptions'!$E$129,'Assumptions'!$E$130))))</f>
        <v/>
      </c>
      <c r="S299" s="51">
        <f>IF(S298=0,0,IF(S$4=MAX('Assumptions'!$E$127,'Assumptions'!$C$9),1,R299*(1+CHOOSE(S$6,'Assumptions'!$E$128,'Assumptions'!$E$129,'Assumptions'!$E$130))))</f>
        <v/>
      </c>
      <c r="T299" s="51">
        <f>IF(T298=0,0,IF(T$4=MAX('Assumptions'!$E$127,'Assumptions'!$C$9),1,S299*(1+CHOOSE(T$6,'Assumptions'!$E$128,'Assumptions'!$E$129,'Assumptions'!$E$130))))</f>
        <v/>
      </c>
      <c r="U299" s="51">
        <f>IF(U298=0,0,IF(U$4=MAX('Assumptions'!$E$127,'Assumptions'!$C$9),1,T299*(1+CHOOSE(U$6,'Assumptions'!$E$128,'Assumptions'!$E$129,'Assumptions'!$E$130))))</f>
        <v/>
      </c>
      <c r="V299" s="51">
        <f>IF(V298=0,0,IF(V$4=MAX('Assumptions'!$E$127,'Assumptions'!$C$9),1,U299*(1+CHOOSE(V$6,'Assumptions'!$E$128,'Assumptions'!$E$129,'Assumptions'!$E$130))))</f>
        <v/>
      </c>
      <c r="W299" s="51">
        <f>IF(W298=0,0,IF(W$4=MAX('Assumptions'!$E$127,'Assumptions'!$C$9),1,V299*(1+CHOOSE(W$6,'Assumptions'!$E$128,'Assumptions'!$E$129,'Assumptions'!$E$130))))</f>
        <v/>
      </c>
      <c r="X299" s="51">
        <f>IF(X298=0,0,IF(X$4=MAX('Assumptions'!$E$127,'Assumptions'!$C$9),1,W299*(1+CHOOSE(X$6,'Assumptions'!$E$128,'Assumptions'!$E$129,'Assumptions'!$E$130))))</f>
        <v/>
      </c>
      <c r="Y299" s="51">
        <f>IF(Y298=0,0,IF(Y$4=MAX('Assumptions'!$E$127,'Assumptions'!$C$9),1,X299*(1+CHOOSE(Y$6,'Assumptions'!$E$128,'Assumptions'!$E$129,'Assumptions'!$E$130))))</f>
        <v/>
      </c>
      <c r="Z299" s="51">
        <f>IF(Z298=0,0,IF(Z$4=MAX('Assumptions'!$E$127,'Assumptions'!$C$9),1,Y299*(1+CHOOSE(Z$6,'Assumptions'!$E$128,'Assumptions'!$E$129,'Assumptions'!$E$130))))</f>
        <v/>
      </c>
      <c r="AA299" s="51">
        <f>IF(AA298=0,0,IF(AA$4=MAX('Assumptions'!$E$127,'Assumptions'!$C$9),1,Z299*(1+CHOOSE(AA$6,'Assumptions'!$E$128,'Assumptions'!$E$129,'Assumptions'!$E$130))))</f>
        <v/>
      </c>
      <c r="AB299" s="51">
        <f>IF(AB298=0,0,IF(AB$4=MAX('Assumptions'!$E$127,'Assumptions'!$C$9),1,AA299*(1+CHOOSE(AB$6,'Assumptions'!$E$128,'Assumptions'!$E$129,'Assumptions'!$E$130))))</f>
        <v/>
      </c>
      <c r="AC299" s="51">
        <f>IF(AC298=0,0,IF(AC$4=MAX('Assumptions'!$E$127,'Assumptions'!$C$9),1,AB299*(1+CHOOSE(AC$6,'Assumptions'!$E$128,'Assumptions'!$E$129,'Assumptions'!$E$130))))</f>
        <v/>
      </c>
      <c r="AD299" s="51">
        <f>IF(AD298=0,0,IF(AD$4=MAX('Assumptions'!$E$127,'Assumptions'!$C$9),1,AC299*(1+CHOOSE(AD$6,'Assumptions'!$E$128,'Assumptions'!$E$129,'Assumptions'!$E$130))))</f>
        <v/>
      </c>
      <c r="AE299" s="51">
        <f>IF(AE298=0,0,IF(AE$4=MAX('Assumptions'!$E$127,'Assumptions'!$C$9),1,AD299*(1+CHOOSE(AE$6,'Assumptions'!$E$128,'Assumptions'!$E$129,'Assumptions'!$E$130))))</f>
        <v/>
      </c>
      <c r="AF299" s="51">
        <f>IF(AF298=0,0,IF(AF$4=MAX('Assumptions'!$E$127,'Assumptions'!$C$9),1,AE299*(1+CHOOSE(AF$6,'Assumptions'!$E$128,'Assumptions'!$E$129,'Assumptions'!$E$130))))</f>
        <v/>
      </c>
      <c r="AG299" s="51">
        <f>IF(AG298=0,0,IF(AG$4=MAX('Assumptions'!$E$127,'Assumptions'!$C$9),1,AF299*(1+CHOOSE(AG$6,'Assumptions'!$E$128,'Assumptions'!$E$129,'Assumptions'!$E$130))))</f>
        <v/>
      </c>
      <c r="AH299" s="51">
        <f>IF(AH298=0,0,IF(AH$4=MAX('Assumptions'!$E$127,'Assumptions'!$C$9),1,AG299*(1+CHOOSE(AH$6,'Assumptions'!$E$128,'Assumptions'!$E$129,'Assumptions'!$E$130))))</f>
        <v/>
      </c>
      <c r="AI299" s="51">
        <f>IF(AI298=0,0,IF(AI$4=MAX('Assumptions'!$E$127,'Assumptions'!$C$9),1,AH299*(1+CHOOSE(AI$6,'Assumptions'!$E$128,'Assumptions'!$E$129,'Assumptions'!$E$130))))</f>
        <v/>
      </c>
      <c r="AJ299" s="51">
        <f>IF(AJ298=0,0,IF(AJ$4=MAX('Assumptions'!$E$127,'Assumptions'!$C$9),1,AI299*(1+CHOOSE(AJ$6,'Assumptions'!$E$128,'Assumptions'!$E$129,'Assumptions'!$E$130))))</f>
        <v/>
      </c>
      <c r="AK299" s="51">
        <f>IF(AK298=0,0,IF(AK$4=MAX('Assumptions'!$E$127,'Assumptions'!$C$9),1,AJ299*(1+CHOOSE(AK$6,'Assumptions'!$E$128,'Assumptions'!$E$129,'Assumptions'!$E$130))))</f>
        <v/>
      </c>
      <c r="AL299" s="51">
        <f>IF(AL298=0,0,IF(AL$4=MAX('Assumptions'!$E$127,'Assumptions'!$C$9),1,AK299*(1+CHOOSE(AL$6,'Assumptions'!$E$128,'Assumptions'!$E$129,'Assumptions'!$E$130))))</f>
        <v/>
      </c>
    </row>
    <row r="300">
      <c r="A300" s="7" t="inlineStr">
        <is>
          <t xml:space="preserve">   Product-months live (products x sales index x season)</t>
        </is>
      </c>
      <c r="B300" s="9" t="inlineStr">
        <is>
          <t>prod-mo</t>
        </is>
      </c>
      <c r="C300" s="56">
        <f>C286*C299*C$7</f>
        <v/>
      </c>
      <c r="D300" s="56">
        <f>D286*D299*D$7</f>
        <v/>
      </c>
      <c r="E300" s="56">
        <f>E286*E299*E$7</f>
        <v/>
      </c>
      <c r="F300" s="56">
        <f>F286*F299*F$7</f>
        <v/>
      </c>
      <c r="G300" s="56">
        <f>G286*G299*G$7</f>
        <v/>
      </c>
      <c r="H300" s="56">
        <f>H286*H299*H$7</f>
        <v/>
      </c>
      <c r="I300" s="56">
        <f>I286*I299*I$7</f>
        <v/>
      </c>
      <c r="J300" s="56">
        <f>J286*J299*J$7</f>
        <v/>
      </c>
      <c r="K300" s="56">
        <f>K286*K299*K$7</f>
        <v/>
      </c>
      <c r="L300" s="56">
        <f>L286*L299*L$7</f>
        <v/>
      </c>
      <c r="M300" s="56">
        <f>M286*M299*M$7</f>
        <v/>
      </c>
      <c r="N300" s="56">
        <f>N286*N299*N$7</f>
        <v/>
      </c>
      <c r="O300" s="56">
        <f>O286*O299*O$7</f>
        <v/>
      </c>
      <c r="P300" s="56">
        <f>P286*P299*P$7</f>
        <v/>
      </c>
      <c r="Q300" s="56">
        <f>Q286*Q299*Q$7</f>
        <v/>
      </c>
      <c r="R300" s="56">
        <f>R286*R299*R$7</f>
        <v/>
      </c>
      <c r="S300" s="56">
        <f>S286*S299*S$7</f>
        <v/>
      </c>
      <c r="T300" s="56">
        <f>T286*T299*T$7</f>
        <v/>
      </c>
      <c r="U300" s="56">
        <f>U286*U299*U$7</f>
        <v/>
      </c>
      <c r="V300" s="56">
        <f>V286*V299*V$7</f>
        <v/>
      </c>
      <c r="W300" s="56">
        <f>W286*W299*W$7</f>
        <v/>
      </c>
      <c r="X300" s="56">
        <f>X286*X299*X$7</f>
        <v/>
      </c>
      <c r="Y300" s="56">
        <f>Y286*Y299*Y$7</f>
        <v/>
      </c>
      <c r="Z300" s="56">
        <f>Z286*Z299*Z$7</f>
        <v/>
      </c>
      <c r="AA300" s="56">
        <f>AA286*AA299*AA$7</f>
        <v/>
      </c>
      <c r="AB300" s="56">
        <f>AB286*AB299*AB$7</f>
        <v/>
      </c>
      <c r="AC300" s="56">
        <f>AC286*AC299*AC$7</f>
        <v/>
      </c>
      <c r="AD300" s="56">
        <f>AD286*AD299*AD$7</f>
        <v/>
      </c>
      <c r="AE300" s="56">
        <f>AE286*AE299*AE$7</f>
        <v/>
      </c>
      <c r="AF300" s="56">
        <f>AF286*AF299*AF$7</f>
        <v/>
      </c>
      <c r="AG300" s="56">
        <f>AG286*AG299*AG$7</f>
        <v/>
      </c>
      <c r="AH300" s="56">
        <f>AH286*AH299*AH$7</f>
        <v/>
      </c>
      <c r="AI300" s="56">
        <f>AI286*AI299*AI$7</f>
        <v/>
      </c>
      <c r="AJ300" s="56">
        <f>AJ286*AJ299*AJ$7</f>
        <v/>
      </c>
      <c r="AK300" s="56">
        <f>AK286*AK299*AK$7</f>
        <v/>
      </c>
      <c r="AL300" s="56">
        <f>AL286*AL299*AL$7</f>
        <v/>
      </c>
      <c r="AM300" s="57">
        <f>SUMIF($C$6:$AL$6,1,C300:AL300)</f>
        <v/>
      </c>
      <c r="AN300" s="57">
        <f>SUMIF($C$6:$AL$6,2,C300:AL300)</f>
        <v/>
      </c>
      <c r="AO300" s="57">
        <f>SUMIF($C$6:$AL$6,3,C300:AL300)</f>
        <v/>
      </c>
      <c r="AP300" s="57">
        <f>SUM(C300:AL300)</f>
        <v/>
      </c>
    </row>
    <row r="301">
      <c r="A301" s="7" t="inlineStr">
        <is>
          <t xml:space="preserve">   Orders per product per month (with review ramp)</t>
        </is>
      </c>
      <c r="B301" s="9" t="inlineStr">
        <is>
          <t>orders</t>
        </is>
      </c>
      <c r="C301" s="51">
        <f>'Assumptions'!$E$131*MIN(1,(C$4-MAX('Assumptions'!$E$127,'Assumptions'!$C$9)+1)/'Assumptions'!$C$11)*C298</f>
        <v/>
      </c>
      <c r="D301" s="51">
        <f>'Assumptions'!$E$131*MIN(1,(D$4-MAX('Assumptions'!$E$127,'Assumptions'!$C$9)+1)/'Assumptions'!$C$11)*D298</f>
        <v/>
      </c>
      <c r="E301" s="51">
        <f>'Assumptions'!$E$131*MIN(1,(E$4-MAX('Assumptions'!$E$127,'Assumptions'!$C$9)+1)/'Assumptions'!$C$11)*E298</f>
        <v/>
      </c>
      <c r="F301" s="51">
        <f>'Assumptions'!$E$131*MIN(1,(F$4-MAX('Assumptions'!$E$127,'Assumptions'!$C$9)+1)/'Assumptions'!$C$11)*F298</f>
        <v/>
      </c>
      <c r="G301" s="51">
        <f>'Assumptions'!$E$131*MIN(1,(G$4-MAX('Assumptions'!$E$127,'Assumptions'!$C$9)+1)/'Assumptions'!$C$11)*G298</f>
        <v/>
      </c>
      <c r="H301" s="51">
        <f>'Assumptions'!$E$131*MIN(1,(H$4-MAX('Assumptions'!$E$127,'Assumptions'!$C$9)+1)/'Assumptions'!$C$11)*H298</f>
        <v/>
      </c>
      <c r="I301" s="51">
        <f>'Assumptions'!$E$131*MIN(1,(I$4-MAX('Assumptions'!$E$127,'Assumptions'!$C$9)+1)/'Assumptions'!$C$11)*I298</f>
        <v/>
      </c>
      <c r="J301" s="51">
        <f>'Assumptions'!$E$131*MIN(1,(J$4-MAX('Assumptions'!$E$127,'Assumptions'!$C$9)+1)/'Assumptions'!$C$11)*J298</f>
        <v/>
      </c>
      <c r="K301" s="51">
        <f>'Assumptions'!$E$131*MIN(1,(K$4-MAX('Assumptions'!$E$127,'Assumptions'!$C$9)+1)/'Assumptions'!$C$11)*K298</f>
        <v/>
      </c>
      <c r="L301" s="51">
        <f>'Assumptions'!$E$131*MIN(1,(L$4-MAX('Assumptions'!$E$127,'Assumptions'!$C$9)+1)/'Assumptions'!$C$11)*L298</f>
        <v/>
      </c>
      <c r="M301" s="51">
        <f>'Assumptions'!$E$131*MIN(1,(M$4-MAX('Assumptions'!$E$127,'Assumptions'!$C$9)+1)/'Assumptions'!$C$11)*M298</f>
        <v/>
      </c>
      <c r="N301" s="51">
        <f>'Assumptions'!$E$131*MIN(1,(N$4-MAX('Assumptions'!$E$127,'Assumptions'!$C$9)+1)/'Assumptions'!$C$11)*N298</f>
        <v/>
      </c>
      <c r="O301" s="51">
        <f>'Assumptions'!$E$131*MIN(1,(O$4-MAX('Assumptions'!$E$127,'Assumptions'!$C$9)+1)/'Assumptions'!$C$11)*O298</f>
        <v/>
      </c>
      <c r="P301" s="51">
        <f>'Assumptions'!$E$131*MIN(1,(P$4-MAX('Assumptions'!$E$127,'Assumptions'!$C$9)+1)/'Assumptions'!$C$11)*P298</f>
        <v/>
      </c>
      <c r="Q301" s="51">
        <f>'Assumptions'!$E$131*MIN(1,(Q$4-MAX('Assumptions'!$E$127,'Assumptions'!$C$9)+1)/'Assumptions'!$C$11)*Q298</f>
        <v/>
      </c>
      <c r="R301" s="51">
        <f>'Assumptions'!$E$131*MIN(1,(R$4-MAX('Assumptions'!$E$127,'Assumptions'!$C$9)+1)/'Assumptions'!$C$11)*R298</f>
        <v/>
      </c>
      <c r="S301" s="51">
        <f>'Assumptions'!$E$131*MIN(1,(S$4-MAX('Assumptions'!$E$127,'Assumptions'!$C$9)+1)/'Assumptions'!$C$11)*S298</f>
        <v/>
      </c>
      <c r="T301" s="51">
        <f>'Assumptions'!$E$131*MIN(1,(T$4-MAX('Assumptions'!$E$127,'Assumptions'!$C$9)+1)/'Assumptions'!$C$11)*T298</f>
        <v/>
      </c>
      <c r="U301" s="51">
        <f>'Assumptions'!$E$131*MIN(1,(U$4-MAX('Assumptions'!$E$127,'Assumptions'!$C$9)+1)/'Assumptions'!$C$11)*U298</f>
        <v/>
      </c>
      <c r="V301" s="51">
        <f>'Assumptions'!$E$131*MIN(1,(V$4-MAX('Assumptions'!$E$127,'Assumptions'!$C$9)+1)/'Assumptions'!$C$11)*V298</f>
        <v/>
      </c>
      <c r="W301" s="51">
        <f>'Assumptions'!$E$131*MIN(1,(W$4-MAX('Assumptions'!$E$127,'Assumptions'!$C$9)+1)/'Assumptions'!$C$11)*W298</f>
        <v/>
      </c>
      <c r="X301" s="51">
        <f>'Assumptions'!$E$131*MIN(1,(X$4-MAX('Assumptions'!$E$127,'Assumptions'!$C$9)+1)/'Assumptions'!$C$11)*X298</f>
        <v/>
      </c>
      <c r="Y301" s="51">
        <f>'Assumptions'!$E$131*MIN(1,(Y$4-MAX('Assumptions'!$E$127,'Assumptions'!$C$9)+1)/'Assumptions'!$C$11)*Y298</f>
        <v/>
      </c>
      <c r="Z301" s="51">
        <f>'Assumptions'!$E$131*MIN(1,(Z$4-MAX('Assumptions'!$E$127,'Assumptions'!$C$9)+1)/'Assumptions'!$C$11)*Z298</f>
        <v/>
      </c>
      <c r="AA301" s="51">
        <f>'Assumptions'!$E$131*MIN(1,(AA$4-MAX('Assumptions'!$E$127,'Assumptions'!$C$9)+1)/'Assumptions'!$C$11)*AA298</f>
        <v/>
      </c>
      <c r="AB301" s="51">
        <f>'Assumptions'!$E$131*MIN(1,(AB$4-MAX('Assumptions'!$E$127,'Assumptions'!$C$9)+1)/'Assumptions'!$C$11)*AB298</f>
        <v/>
      </c>
      <c r="AC301" s="51">
        <f>'Assumptions'!$E$131*MIN(1,(AC$4-MAX('Assumptions'!$E$127,'Assumptions'!$C$9)+1)/'Assumptions'!$C$11)*AC298</f>
        <v/>
      </c>
      <c r="AD301" s="51">
        <f>'Assumptions'!$E$131*MIN(1,(AD$4-MAX('Assumptions'!$E$127,'Assumptions'!$C$9)+1)/'Assumptions'!$C$11)*AD298</f>
        <v/>
      </c>
      <c r="AE301" s="51">
        <f>'Assumptions'!$E$131*MIN(1,(AE$4-MAX('Assumptions'!$E$127,'Assumptions'!$C$9)+1)/'Assumptions'!$C$11)*AE298</f>
        <v/>
      </c>
      <c r="AF301" s="51">
        <f>'Assumptions'!$E$131*MIN(1,(AF$4-MAX('Assumptions'!$E$127,'Assumptions'!$C$9)+1)/'Assumptions'!$C$11)*AF298</f>
        <v/>
      </c>
      <c r="AG301" s="51">
        <f>'Assumptions'!$E$131*MIN(1,(AG$4-MAX('Assumptions'!$E$127,'Assumptions'!$C$9)+1)/'Assumptions'!$C$11)*AG298</f>
        <v/>
      </c>
      <c r="AH301" s="51">
        <f>'Assumptions'!$E$131*MIN(1,(AH$4-MAX('Assumptions'!$E$127,'Assumptions'!$C$9)+1)/'Assumptions'!$C$11)*AH298</f>
        <v/>
      </c>
      <c r="AI301" s="51">
        <f>'Assumptions'!$E$131*MIN(1,(AI$4-MAX('Assumptions'!$E$127,'Assumptions'!$C$9)+1)/'Assumptions'!$C$11)*AI298</f>
        <v/>
      </c>
      <c r="AJ301" s="51">
        <f>'Assumptions'!$E$131*MIN(1,(AJ$4-MAX('Assumptions'!$E$127,'Assumptions'!$C$9)+1)/'Assumptions'!$C$11)*AJ298</f>
        <v/>
      </c>
      <c r="AK301" s="51">
        <f>'Assumptions'!$E$131*MIN(1,(AK$4-MAX('Assumptions'!$E$127,'Assumptions'!$C$9)+1)/'Assumptions'!$C$11)*AK298</f>
        <v/>
      </c>
      <c r="AL301" s="51">
        <f>'Assumptions'!$E$131*MIN(1,(AL$4-MAX('Assumptions'!$E$127,'Assumptions'!$C$9)+1)/'Assumptions'!$C$11)*AL298</f>
        <v/>
      </c>
    </row>
    <row r="302">
      <c r="A302" s="7" t="inlineStr">
        <is>
          <t xml:space="preserve">   Orders</t>
        </is>
      </c>
      <c r="B302" s="9" t="inlineStr">
        <is>
          <t>orders</t>
        </is>
      </c>
      <c r="C302" s="56">
        <f>C300*C301</f>
        <v/>
      </c>
      <c r="D302" s="56">
        <f>D300*D301</f>
        <v/>
      </c>
      <c r="E302" s="56">
        <f>E300*E301</f>
        <v/>
      </c>
      <c r="F302" s="56">
        <f>F300*F301</f>
        <v/>
      </c>
      <c r="G302" s="56">
        <f>G300*G301</f>
        <v/>
      </c>
      <c r="H302" s="56">
        <f>H300*H301</f>
        <v/>
      </c>
      <c r="I302" s="56">
        <f>I300*I301</f>
        <v/>
      </c>
      <c r="J302" s="56">
        <f>J300*J301</f>
        <v/>
      </c>
      <c r="K302" s="56">
        <f>K300*K301</f>
        <v/>
      </c>
      <c r="L302" s="56">
        <f>L300*L301</f>
        <v/>
      </c>
      <c r="M302" s="56">
        <f>M300*M301</f>
        <v/>
      </c>
      <c r="N302" s="56">
        <f>N300*N301</f>
        <v/>
      </c>
      <c r="O302" s="56">
        <f>O300*O301</f>
        <v/>
      </c>
      <c r="P302" s="56">
        <f>P300*P301</f>
        <v/>
      </c>
      <c r="Q302" s="56">
        <f>Q300*Q301</f>
        <v/>
      </c>
      <c r="R302" s="56">
        <f>R300*R301</f>
        <v/>
      </c>
      <c r="S302" s="56">
        <f>S300*S301</f>
        <v/>
      </c>
      <c r="T302" s="56">
        <f>T300*T301</f>
        <v/>
      </c>
      <c r="U302" s="56">
        <f>U300*U301</f>
        <v/>
      </c>
      <c r="V302" s="56">
        <f>V300*V301</f>
        <v/>
      </c>
      <c r="W302" s="56">
        <f>W300*W301</f>
        <v/>
      </c>
      <c r="X302" s="56">
        <f>X300*X301</f>
        <v/>
      </c>
      <c r="Y302" s="56">
        <f>Y300*Y301</f>
        <v/>
      </c>
      <c r="Z302" s="56">
        <f>Z300*Z301</f>
        <v/>
      </c>
      <c r="AA302" s="56">
        <f>AA300*AA301</f>
        <v/>
      </c>
      <c r="AB302" s="56">
        <f>AB300*AB301</f>
        <v/>
      </c>
      <c r="AC302" s="56">
        <f>AC300*AC301</f>
        <v/>
      </c>
      <c r="AD302" s="56">
        <f>AD300*AD301</f>
        <v/>
      </c>
      <c r="AE302" s="56">
        <f>AE300*AE301</f>
        <v/>
      </c>
      <c r="AF302" s="56">
        <f>AF300*AF301</f>
        <v/>
      </c>
      <c r="AG302" s="56">
        <f>AG300*AG301</f>
        <v/>
      </c>
      <c r="AH302" s="56">
        <f>AH300*AH301</f>
        <v/>
      </c>
      <c r="AI302" s="56">
        <f>AI300*AI301</f>
        <v/>
      </c>
      <c r="AJ302" s="56">
        <f>AJ300*AJ301</f>
        <v/>
      </c>
      <c r="AK302" s="56">
        <f>AK300*AK301</f>
        <v/>
      </c>
      <c r="AL302" s="56">
        <f>AL300*AL301</f>
        <v/>
      </c>
      <c r="AM302" s="57">
        <f>SUMIF($C$6:$AL$6,1,C302:AL302)</f>
        <v/>
      </c>
      <c r="AN302" s="57">
        <f>SUMIF($C$6:$AL$6,2,C302:AL302)</f>
        <v/>
      </c>
      <c r="AO302" s="57">
        <f>SUMIF($C$6:$AL$6,3,C302:AL302)</f>
        <v/>
      </c>
      <c r="AP302" s="57">
        <f>SUM(C302:AL302)</f>
        <v/>
      </c>
    </row>
    <row r="303">
      <c r="A303" s="7" t="inlineStr">
        <is>
          <t xml:space="preserve">   Items sold</t>
        </is>
      </c>
      <c r="B303" s="9" t="inlineStr">
        <is>
          <t>items</t>
        </is>
      </c>
      <c r="C303" s="14">
        <f>C302*'Assumptions'!$E$132</f>
        <v/>
      </c>
      <c r="D303" s="14">
        <f>D302*'Assumptions'!$E$132</f>
        <v/>
      </c>
      <c r="E303" s="14">
        <f>E302*'Assumptions'!$E$132</f>
        <v/>
      </c>
      <c r="F303" s="14">
        <f>F302*'Assumptions'!$E$132</f>
        <v/>
      </c>
      <c r="G303" s="14">
        <f>G302*'Assumptions'!$E$132</f>
        <v/>
      </c>
      <c r="H303" s="14">
        <f>H302*'Assumptions'!$E$132</f>
        <v/>
      </c>
      <c r="I303" s="14">
        <f>I302*'Assumptions'!$E$132</f>
        <v/>
      </c>
      <c r="J303" s="14">
        <f>J302*'Assumptions'!$E$132</f>
        <v/>
      </c>
      <c r="K303" s="14">
        <f>K302*'Assumptions'!$E$132</f>
        <v/>
      </c>
      <c r="L303" s="14">
        <f>L302*'Assumptions'!$E$132</f>
        <v/>
      </c>
      <c r="M303" s="14">
        <f>M302*'Assumptions'!$E$132</f>
        <v/>
      </c>
      <c r="N303" s="14">
        <f>N302*'Assumptions'!$E$132</f>
        <v/>
      </c>
      <c r="O303" s="14">
        <f>O302*'Assumptions'!$E$132</f>
        <v/>
      </c>
      <c r="P303" s="14">
        <f>P302*'Assumptions'!$E$132</f>
        <v/>
      </c>
      <c r="Q303" s="14">
        <f>Q302*'Assumptions'!$E$132</f>
        <v/>
      </c>
      <c r="R303" s="14">
        <f>R302*'Assumptions'!$E$132</f>
        <v/>
      </c>
      <c r="S303" s="14">
        <f>S302*'Assumptions'!$E$132</f>
        <v/>
      </c>
      <c r="T303" s="14">
        <f>T302*'Assumptions'!$E$132</f>
        <v/>
      </c>
      <c r="U303" s="14">
        <f>U302*'Assumptions'!$E$132</f>
        <v/>
      </c>
      <c r="V303" s="14">
        <f>V302*'Assumptions'!$E$132</f>
        <v/>
      </c>
      <c r="W303" s="14">
        <f>W302*'Assumptions'!$E$132</f>
        <v/>
      </c>
      <c r="X303" s="14">
        <f>X302*'Assumptions'!$E$132</f>
        <v/>
      </c>
      <c r="Y303" s="14">
        <f>Y302*'Assumptions'!$E$132</f>
        <v/>
      </c>
      <c r="Z303" s="14">
        <f>Z302*'Assumptions'!$E$132</f>
        <v/>
      </c>
      <c r="AA303" s="14">
        <f>AA302*'Assumptions'!$E$132</f>
        <v/>
      </c>
      <c r="AB303" s="14">
        <f>AB302*'Assumptions'!$E$132</f>
        <v/>
      </c>
      <c r="AC303" s="14">
        <f>AC302*'Assumptions'!$E$132</f>
        <v/>
      </c>
      <c r="AD303" s="14">
        <f>AD302*'Assumptions'!$E$132</f>
        <v/>
      </c>
      <c r="AE303" s="14">
        <f>AE302*'Assumptions'!$E$132</f>
        <v/>
      </c>
      <c r="AF303" s="14">
        <f>AF302*'Assumptions'!$E$132</f>
        <v/>
      </c>
      <c r="AG303" s="14">
        <f>AG302*'Assumptions'!$E$132</f>
        <v/>
      </c>
      <c r="AH303" s="14">
        <f>AH302*'Assumptions'!$E$132</f>
        <v/>
      </c>
      <c r="AI303" s="14">
        <f>AI302*'Assumptions'!$E$132</f>
        <v/>
      </c>
      <c r="AJ303" s="14">
        <f>AJ302*'Assumptions'!$E$132</f>
        <v/>
      </c>
      <c r="AK303" s="14">
        <f>AK302*'Assumptions'!$E$132</f>
        <v/>
      </c>
      <c r="AL303" s="14">
        <f>AL302*'Assumptions'!$E$132</f>
        <v/>
      </c>
      <c r="AM303" s="57">
        <f>SUMIF($C$6:$AL$6,1,C303:AL303)</f>
        <v/>
      </c>
      <c r="AN303" s="57">
        <f>SUMIF($C$6:$AL$6,2,C303:AL303)</f>
        <v/>
      </c>
      <c r="AO303" s="57">
        <f>SUMIF($C$6:$AL$6,3,C303:AL303)</f>
        <v/>
      </c>
      <c r="AP303" s="57">
        <f>SUM(C303:AL303)</f>
        <v/>
      </c>
    </row>
    <row r="304">
      <c r="A304" s="7" t="inlineStr">
        <is>
          <t xml:space="preserve">   Average order value</t>
        </is>
      </c>
      <c r="B304" s="9" t="inlineStr">
        <is>
          <t>$</t>
        </is>
      </c>
      <c r="C304" s="16">
        <f>'Unit Economics'!$E$50*'Assumptions'!$E$132*C298</f>
        <v/>
      </c>
      <c r="D304" s="16">
        <f>'Unit Economics'!$E$50*'Assumptions'!$E$132*D298</f>
        <v/>
      </c>
      <c r="E304" s="16">
        <f>'Unit Economics'!$E$50*'Assumptions'!$E$132*E298</f>
        <v/>
      </c>
      <c r="F304" s="16">
        <f>'Unit Economics'!$E$50*'Assumptions'!$E$132*F298</f>
        <v/>
      </c>
      <c r="G304" s="16">
        <f>'Unit Economics'!$E$50*'Assumptions'!$E$132*G298</f>
        <v/>
      </c>
      <c r="H304" s="16">
        <f>'Unit Economics'!$E$50*'Assumptions'!$E$132*H298</f>
        <v/>
      </c>
      <c r="I304" s="16">
        <f>'Unit Economics'!$E$50*'Assumptions'!$E$132*I298</f>
        <v/>
      </c>
      <c r="J304" s="16">
        <f>'Unit Economics'!$E$50*'Assumptions'!$E$132*J298</f>
        <v/>
      </c>
      <c r="K304" s="16">
        <f>'Unit Economics'!$E$50*'Assumptions'!$E$132*K298</f>
        <v/>
      </c>
      <c r="L304" s="16">
        <f>'Unit Economics'!$E$50*'Assumptions'!$E$132*L298</f>
        <v/>
      </c>
      <c r="M304" s="16">
        <f>'Unit Economics'!$E$50*'Assumptions'!$E$132*M298</f>
        <v/>
      </c>
      <c r="N304" s="16">
        <f>'Unit Economics'!$E$50*'Assumptions'!$E$132*N298</f>
        <v/>
      </c>
      <c r="O304" s="16">
        <f>'Unit Economics'!$E$50*'Assumptions'!$E$132*O298</f>
        <v/>
      </c>
      <c r="P304" s="16">
        <f>'Unit Economics'!$E$50*'Assumptions'!$E$132*P298</f>
        <v/>
      </c>
      <c r="Q304" s="16">
        <f>'Unit Economics'!$E$50*'Assumptions'!$E$132*Q298</f>
        <v/>
      </c>
      <c r="R304" s="16">
        <f>'Unit Economics'!$E$50*'Assumptions'!$E$132*R298</f>
        <v/>
      </c>
      <c r="S304" s="16">
        <f>'Unit Economics'!$E$50*'Assumptions'!$E$132*S298</f>
        <v/>
      </c>
      <c r="T304" s="16">
        <f>'Unit Economics'!$E$50*'Assumptions'!$E$132*T298</f>
        <v/>
      </c>
      <c r="U304" s="16">
        <f>'Unit Economics'!$E$50*'Assumptions'!$E$132*U298</f>
        <v/>
      </c>
      <c r="V304" s="16">
        <f>'Unit Economics'!$E$50*'Assumptions'!$E$132*V298</f>
        <v/>
      </c>
      <c r="W304" s="16">
        <f>'Unit Economics'!$E$50*'Assumptions'!$E$132*W298</f>
        <v/>
      </c>
      <c r="X304" s="16">
        <f>'Unit Economics'!$E$50*'Assumptions'!$E$132*X298</f>
        <v/>
      </c>
      <c r="Y304" s="16">
        <f>'Unit Economics'!$E$50*'Assumptions'!$E$132*Y298</f>
        <v/>
      </c>
      <c r="Z304" s="16">
        <f>'Unit Economics'!$E$50*'Assumptions'!$E$132*Z298</f>
        <v/>
      </c>
      <c r="AA304" s="16">
        <f>'Unit Economics'!$E$50*'Assumptions'!$E$132*AA298</f>
        <v/>
      </c>
      <c r="AB304" s="16">
        <f>'Unit Economics'!$E$50*'Assumptions'!$E$132*AB298</f>
        <v/>
      </c>
      <c r="AC304" s="16">
        <f>'Unit Economics'!$E$50*'Assumptions'!$E$132*AC298</f>
        <v/>
      </c>
      <c r="AD304" s="16">
        <f>'Unit Economics'!$E$50*'Assumptions'!$E$132*AD298</f>
        <v/>
      </c>
      <c r="AE304" s="16">
        <f>'Unit Economics'!$E$50*'Assumptions'!$E$132*AE298</f>
        <v/>
      </c>
      <c r="AF304" s="16">
        <f>'Unit Economics'!$E$50*'Assumptions'!$E$132*AF298</f>
        <v/>
      </c>
      <c r="AG304" s="16">
        <f>'Unit Economics'!$E$50*'Assumptions'!$E$132*AG298</f>
        <v/>
      </c>
      <c r="AH304" s="16">
        <f>'Unit Economics'!$E$50*'Assumptions'!$E$132*AH298</f>
        <v/>
      </c>
      <c r="AI304" s="16">
        <f>'Unit Economics'!$E$50*'Assumptions'!$E$132*AI298</f>
        <v/>
      </c>
      <c r="AJ304" s="16">
        <f>'Unit Economics'!$E$50*'Assumptions'!$E$132*AJ298</f>
        <v/>
      </c>
      <c r="AK304" s="16">
        <f>'Unit Economics'!$E$50*'Assumptions'!$E$132*AK298</f>
        <v/>
      </c>
      <c r="AL304" s="16">
        <f>'Unit Economics'!$E$50*'Assumptions'!$E$132*AL298</f>
        <v/>
      </c>
    </row>
    <row r="305">
      <c r="A305" s="7" t="inlineStr">
        <is>
          <t xml:space="preserve">   Gross sales (price paid by customers)</t>
        </is>
      </c>
      <c r="B305" s="9" t="inlineStr">
        <is>
          <t>$</t>
        </is>
      </c>
      <c r="C305" s="8">
        <f>C303*'Unit Economics'!$E$50</f>
        <v/>
      </c>
      <c r="D305" s="8">
        <f>D303*'Unit Economics'!$E$50</f>
        <v/>
      </c>
      <c r="E305" s="8">
        <f>E303*'Unit Economics'!$E$50</f>
        <v/>
      </c>
      <c r="F305" s="8">
        <f>F303*'Unit Economics'!$E$50</f>
        <v/>
      </c>
      <c r="G305" s="8">
        <f>G303*'Unit Economics'!$E$50</f>
        <v/>
      </c>
      <c r="H305" s="8">
        <f>H303*'Unit Economics'!$E$50</f>
        <v/>
      </c>
      <c r="I305" s="8">
        <f>I303*'Unit Economics'!$E$50</f>
        <v/>
      </c>
      <c r="J305" s="8">
        <f>J303*'Unit Economics'!$E$50</f>
        <v/>
      </c>
      <c r="K305" s="8">
        <f>K303*'Unit Economics'!$E$50</f>
        <v/>
      </c>
      <c r="L305" s="8">
        <f>L303*'Unit Economics'!$E$50</f>
        <v/>
      </c>
      <c r="M305" s="8">
        <f>M303*'Unit Economics'!$E$50</f>
        <v/>
      </c>
      <c r="N305" s="8">
        <f>N303*'Unit Economics'!$E$50</f>
        <v/>
      </c>
      <c r="O305" s="8">
        <f>O303*'Unit Economics'!$E$50</f>
        <v/>
      </c>
      <c r="P305" s="8">
        <f>P303*'Unit Economics'!$E$50</f>
        <v/>
      </c>
      <c r="Q305" s="8">
        <f>Q303*'Unit Economics'!$E$50</f>
        <v/>
      </c>
      <c r="R305" s="8">
        <f>R303*'Unit Economics'!$E$50</f>
        <v/>
      </c>
      <c r="S305" s="8">
        <f>S303*'Unit Economics'!$E$50</f>
        <v/>
      </c>
      <c r="T305" s="8">
        <f>T303*'Unit Economics'!$E$50</f>
        <v/>
      </c>
      <c r="U305" s="8">
        <f>U303*'Unit Economics'!$E$50</f>
        <v/>
      </c>
      <c r="V305" s="8">
        <f>V303*'Unit Economics'!$E$50</f>
        <v/>
      </c>
      <c r="W305" s="8">
        <f>W303*'Unit Economics'!$E$50</f>
        <v/>
      </c>
      <c r="X305" s="8">
        <f>X303*'Unit Economics'!$E$50</f>
        <v/>
      </c>
      <c r="Y305" s="8">
        <f>Y303*'Unit Economics'!$E$50</f>
        <v/>
      </c>
      <c r="Z305" s="8">
        <f>Z303*'Unit Economics'!$E$50</f>
        <v/>
      </c>
      <c r="AA305" s="8">
        <f>AA303*'Unit Economics'!$E$50</f>
        <v/>
      </c>
      <c r="AB305" s="8">
        <f>AB303*'Unit Economics'!$E$50</f>
        <v/>
      </c>
      <c r="AC305" s="8">
        <f>AC303*'Unit Economics'!$E$50</f>
        <v/>
      </c>
      <c r="AD305" s="8">
        <f>AD303*'Unit Economics'!$E$50</f>
        <v/>
      </c>
      <c r="AE305" s="8">
        <f>AE303*'Unit Economics'!$E$50</f>
        <v/>
      </c>
      <c r="AF305" s="8">
        <f>AF303*'Unit Economics'!$E$50</f>
        <v/>
      </c>
      <c r="AG305" s="8">
        <f>AG303*'Unit Economics'!$E$50</f>
        <v/>
      </c>
      <c r="AH305" s="8">
        <f>AH303*'Unit Economics'!$E$50</f>
        <v/>
      </c>
      <c r="AI305" s="8">
        <f>AI303*'Unit Economics'!$E$50</f>
        <v/>
      </c>
      <c r="AJ305" s="8">
        <f>AJ303*'Unit Economics'!$E$50</f>
        <v/>
      </c>
      <c r="AK305" s="8">
        <f>AK303*'Unit Economics'!$E$50</f>
        <v/>
      </c>
      <c r="AL305" s="8">
        <f>AL303*'Unit Economics'!$E$50</f>
        <v/>
      </c>
      <c r="AM305" s="47">
        <f>SUMIF($C$6:$AL$6,1,C305:AL305)</f>
        <v/>
      </c>
      <c r="AN305" s="47">
        <f>SUMIF($C$6:$AL$6,2,C305:AL305)</f>
        <v/>
      </c>
      <c r="AO305" s="47">
        <f>SUMIF($C$6:$AL$6,3,C305:AL305)</f>
        <v/>
      </c>
      <c r="AP305" s="47">
        <f>SUM(C305:AL305)</f>
        <v/>
      </c>
    </row>
    <row r="306">
      <c r="A306" s="7" t="inlineStr">
        <is>
          <t xml:space="preserve">   Net contribution to AlphaPlay</t>
        </is>
      </c>
      <c r="B306" s="9" t="inlineStr">
        <is>
          <t>$</t>
        </is>
      </c>
      <c r="C306" s="8">
        <f>C303*'Unit Economics'!$F$50</f>
        <v/>
      </c>
      <c r="D306" s="8">
        <f>D303*'Unit Economics'!$F$50</f>
        <v/>
      </c>
      <c r="E306" s="8">
        <f>E303*'Unit Economics'!$F$50</f>
        <v/>
      </c>
      <c r="F306" s="8">
        <f>F303*'Unit Economics'!$F$50</f>
        <v/>
      </c>
      <c r="G306" s="8">
        <f>G303*'Unit Economics'!$F$50</f>
        <v/>
      </c>
      <c r="H306" s="8">
        <f>H303*'Unit Economics'!$F$50</f>
        <v/>
      </c>
      <c r="I306" s="8">
        <f>I303*'Unit Economics'!$F$50</f>
        <v/>
      </c>
      <c r="J306" s="8">
        <f>J303*'Unit Economics'!$F$50</f>
        <v/>
      </c>
      <c r="K306" s="8">
        <f>K303*'Unit Economics'!$F$50</f>
        <v/>
      </c>
      <c r="L306" s="8">
        <f>L303*'Unit Economics'!$F$50</f>
        <v/>
      </c>
      <c r="M306" s="8">
        <f>M303*'Unit Economics'!$F$50</f>
        <v/>
      </c>
      <c r="N306" s="8">
        <f>N303*'Unit Economics'!$F$50</f>
        <v/>
      </c>
      <c r="O306" s="8">
        <f>O303*'Unit Economics'!$F$50</f>
        <v/>
      </c>
      <c r="P306" s="8">
        <f>P303*'Unit Economics'!$F$50</f>
        <v/>
      </c>
      <c r="Q306" s="8">
        <f>Q303*'Unit Economics'!$F$50</f>
        <v/>
      </c>
      <c r="R306" s="8">
        <f>R303*'Unit Economics'!$F$50</f>
        <v/>
      </c>
      <c r="S306" s="8">
        <f>S303*'Unit Economics'!$F$50</f>
        <v/>
      </c>
      <c r="T306" s="8">
        <f>T303*'Unit Economics'!$F$50</f>
        <v/>
      </c>
      <c r="U306" s="8">
        <f>U303*'Unit Economics'!$F$50</f>
        <v/>
      </c>
      <c r="V306" s="8">
        <f>V303*'Unit Economics'!$F$50</f>
        <v/>
      </c>
      <c r="W306" s="8">
        <f>W303*'Unit Economics'!$F$50</f>
        <v/>
      </c>
      <c r="X306" s="8">
        <f>X303*'Unit Economics'!$F$50</f>
        <v/>
      </c>
      <c r="Y306" s="8">
        <f>Y303*'Unit Economics'!$F$50</f>
        <v/>
      </c>
      <c r="Z306" s="8">
        <f>Z303*'Unit Economics'!$F$50</f>
        <v/>
      </c>
      <c r="AA306" s="8">
        <f>AA303*'Unit Economics'!$F$50</f>
        <v/>
      </c>
      <c r="AB306" s="8">
        <f>AB303*'Unit Economics'!$F$50</f>
        <v/>
      </c>
      <c r="AC306" s="8">
        <f>AC303*'Unit Economics'!$F$50</f>
        <v/>
      </c>
      <c r="AD306" s="8">
        <f>AD303*'Unit Economics'!$F$50</f>
        <v/>
      </c>
      <c r="AE306" s="8">
        <f>AE303*'Unit Economics'!$F$50</f>
        <v/>
      </c>
      <c r="AF306" s="8">
        <f>AF303*'Unit Economics'!$F$50</f>
        <v/>
      </c>
      <c r="AG306" s="8">
        <f>AG303*'Unit Economics'!$F$50</f>
        <v/>
      </c>
      <c r="AH306" s="8">
        <f>AH303*'Unit Economics'!$F$50</f>
        <v/>
      </c>
      <c r="AI306" s="8">
        <f>AI303*'Unit Economics'!$F$50</f>
        <v/>
      </c>
      <c r="AJ306" s="8">
        <f>AJ303*'Unit Economics'!$F$50</f>
        <v/>
      </c>
      <c r="AK306" s="8">
        <f>AK303*'Unit Economics'!$F$50</f>
        <v/>
      </c>
      <c r="AL306" s="8">
        <f>AL303*'Unit Economics'!$F$50</f>
        <v/>
      </c>
      <c r="AM306" s="47">
        <f>SUMIF($C$6:$AL$6,1,C306:AL306)</f>
        <v/>
      </c>
      <c r="AN306" s="47">
        <f>SUMIF($C$6:$AL$6,2,C306:AL306)</f>
        <v/>
      </c>
      <c r="AO306" s="47">
        <f>SUMIF($C$6:$AL$6,3,C306:AL306)</f>
        <v/>
      </c>
      <c r="AP306" s="47">
        <f>SUM(C306:AL306)</f>
        <v/>
      </c>
    </row>
    <row r="307">
      <c r="A307" s="5" t="inlineStr">
        <is>
          <t>Amazon KDP: paperbacks</t>
        </is>
      </c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  <c r="AC307" s="6" t="n"/>
      <c r="AD307" s="6" t="n"/>
      <c r="AE307" s="6" t="n"/>
      <c r="AF307" s="6" t="n"/>
      <c r="AG307" s="6" t="n"/>
      <c r="AH307" s="6" t="n"/>
      <c r="AI307" s="6" t="n"/>
      <c r="AJ307" s="6" t="n"/>
      <c r="AK307" s="6" t="n"/>
      <c r="AL307" s="6" t="n"/>
      <c r="AM307" s="6" t="n"/>
      <c r="AN307" s="6" t="n"/>
      <c r="AO307" s="6" t="n"/>
      <c r="AP307" s="6" t="n"/>
    </row>
    <row r="308">
      <c r="A308" s="7" t="inlineStr">
        <is>
          <t xml:space="preserve">   Active (1 = live)</t>
        </is>
      </c>
      <c r="B308" s="9" t="inlineStr">
        <is>
          <t>flag</t>
        </is>
      </c>
      <c r="C308" s="18">
        <f>IF(AND('Assumptions'!$E$134=1,C$4&gt;=MAX('Assumptions'!$E$135,'Assumptions'!$C$9)),1,0)</f>
        <v/>
      </c>
      <c r="D308" s="18">
        <f>IF(AND('Assumptions'!$E$134=1,D$4&gt;=MAX('Assumptions'!$E$135,'Assumptions'!$C$9)),1,0)</f>
        <v/>
      </c>
      <c r="E308" s="18">
        <f>IF(AND('Assumptions'!$E$134=1,E$4&gt;=MAX('Assumptions'!$E$135,'Assumptions'!$C$9)),1,0)</f>
        <v/>
      </c>
      <c r="F308" s="18">
        <f>IF(AND('Assumptions'!$E$134=1,F$4&gt;=MAX('Assumptions'!$E$135,'Assumptions'!$C$9)),1,0)</f>
        <v/>
      </c>
      <c r="G308" s="18">
        <f>IF(AND('Assumptions'!$E$134=1,G$4&gt;=MAX('Assumptions'!$E$135,'Assumptions'!$C$9)),1,0)</f>
        <v/>
      </c>
      <c r="H308" s="18">
        <f>IF(AND('Assumptions'!$E$134=1,H$4&gt;=MAX('Assumptions'!$E$135,'Assumptions'!$C$9)),1,0)</f>
        <v/>
      </c>
      <c r="I308" s="18">
        <f>IF(AND('Assumptions'!$E$134=1,I$4&gt;=MAX('Assumptions'!$E$135,'Assumptions'!$C$9)),1,0)</f>
        <v/>
      </c>
      <c r="J308" s="18">
        <f>IF(AND('Assumptions'!$E$134=1,J$4&gt;=MAX('Assumptions'!$E$135,'Assumptions'!$C$9)),1,0)</f>
        <v/>
      </c>
      <c r="K308" s="18">
        <f>IF(AND('Assumptions'!$E$134=1,K$4&gt;=MAX('Assumptions'!$E$135,'Assumptions'!$C$9)),1,0)</f>
        <v/>
      </c>
      <c r="L308" s="18">
        <f>IF(AND('Assumptions'!$E$134=1,L$4&gt;=MAX('Assumptions'!$E$135,'Assumptions'!$C$9)),1,0)</f>
        <v/>
      </c>
      <c r="M308" s="18">
        <f>IF(AND('Assumptions'!$E$134=1,M$4&gt;=MAX('Assumptions'!$E$135,'Assumptions'!$C$9)),1,0)</f>
        <v/>
      </c>
      <c r="N308" s="18">
        <f>IF(AND('Assumptions'!$E$134=1,N$4&gt;=MAX('Assumptions'!$E$135,'Assumptions'!$C$9)),1,0)</f>
        <v/>
      </c>
      <c r="O308" s="18">
        <f>IF(AND('Assumptions'!$E$134=1,O$4&gt;=MAX('Assumptions'!$E$135,'Assumptions'!$C$9)),1,0)</f>
        <v/>
      </c>
      <c r="P308" s="18">
        <f>IF(AND('Assumptions'!$E$134=1,P$4&gt;=MAX('Assumptions'!$E$135,'Assumptions'!$C$9)),1,0)</f>
        <v/>
      </c>
      <c r="Q308" s="18">
        <f>IF(AND('Assumptions'!$E$134=1,Q$4&gt;=MAX('Assumptions'!$E$135,'Assumptions'!$C$9)),1,0)</f>
        <v/>
      </c>
      <c r="R308" s="18">
        <f>IF(AND('Assumptions'!$E$134=1,R$4&gt;=MAX('Assumptions'!$E$135,'Assumptions'!$C$9)),1,0)</f>
        <v/>
      </c>
      <c r="S308" s="18">
        <f>IF(AND('Assumptions'!$E$134=1,S$4&gt;=MAX('Assumptions'!$E$135,'Assumptions'!$C$9)),1,0)</f>
        <v/>
      </c>
      <c r="T308" s="18">
        <f>IF(AND('Assumptions'!$E$134=1,T$4&gt;=MAX('Assumptions'!$E$135,'Assumptions'!$C$9)),1,0)</f>
        <v/>
      </c>
      <c r="U308" s="18">
        <f>IF(AND('Assumptions'!$E$134=1,U$4&gt;=MAX('Assumptions'!$E$135,'Assumptions'!$C$9)),1,0)</f>
        <v/>
      </c>
      <c r="V308" s="18">
        <f>IF(AND('Assumptions'!$E$134=1,V$4&gt;=MAX('Assumptions'!$E$135,'Assumptions'!$C$9)),1,0)</f>
        <v/>
      </c>
      <c r="W308" s="18">
        <f>IF(AND('Assumptions'!$E$134=1,W$4&gt;=MAX('Assumptions'!$E$135,'Assumptions'!$C$9)),1,0)</f>
        <v/>
      </c>
      <c r="X308" s="18">
        <f>IF(AND('Assumptions'!$E$134=1,X$4&gt;=MAX('Assumptions'!$E$135,'Assumptions'!$C$9)),1,0)</f>
        <v/>
      </c>
      <c r="Y308" s="18">
        <f>IF(AND('Assumptions'!$E$134=1,Y$4&gt;=MAX('Assumptions'!$E$135,'Assumptions'!$C$9)),1,0)</f>
        <v/>
      </c>
      <c r="Z308" s="18">
        <f>IF(AND('Assumptions'!$E$134=1,Z$4&gt;=MAX('Assumptions'!$E$135,'Assumptions'!$C$9)),1,0)</f>
        <v/>
      </c>
      <c r="AA308" s="18">
        <f>IF(AND('Assumptions'!$E$134=1,AA$4&gt;=MAX('Assumptions'!$E$135,'Assumptions'!$C$9)),1,0)</f>
        <v/>
      </c>
      <c r="AB308" s="18">
        <f>IF(AND('Assumptions'!$E$134=1,AB$4&gt;=MAX('Assumptions'!$E$135,'Assumptions'!$C$9)),1,0)</f>
        <v/>
      </c>
      <c r="AC308" s="18">
        <f>IF(AND('Assumptions'!$E$134=1,AC$4&gt;=MAX('Assumptions'!$E$135,'Assumptions'!$C$9)),1,0)</f>
        <v/>
      </c>
      <c r="AD308" s="18">
        <f>IF(AND('Assumptions'!$E$134=1,AD$4&gt;=MAX('Assumptions'!$E$135,'Assumptions'!$C$9)),1,0)</f>
        <v/>
      </c>
      <c r="AE308" s="18">
        <f>IF(AND('Assumptions'!$E$134=1,AE$4&gt;=MAX('Assumptions'!$E$135,'Assumptions'!$C$9)),1,0)</f>
        <v/>
      </c>
      <c r="AF308" s="18">
        <f>IF(AND('Assumptions'!$E$134=1,AF$4&gt;=MAX('Assumptions'!$E$135,'Assumptions'!$C$9)),1,0)</f>
        <v/>
      </c>
      <c r="AG308" s="18">
        <f>IF(AND('Assumptions'!$E$134=1,AG$4&gt;=MAX('Assumptions'!$E$135,'Assumptions'!$C$9)),1,0)</f>
        <v/>
      </c>
      <c r="AH308" s="18">
        <f>IF(AND('Assumptions'!$E$134=1,AH$4&gt;=MAX('Assumptions'!$E$135,'Assumptions'!$C$9)),1,0)</f>
        <v/>
      </c>
      <c r="AI308" s="18">
        <f>IF(AND('Assumptions'!$E$134=1,AI$4&gt;=MAX('Assumptions'!$E$135,'Assumptions'!$C$9)),1,0)</f>
        <v/>
      </c>
      <c r="AJ308" s="18">
        <f>IF(AND('Assumptions'!$E$134=1,AJ$4&gt;=MAX('Assumptions'!$E$135,'Assumptions'!$C$9)),1,0)</f>
        <v/>
      </c>
      <c r="AK308" s="18">
        <f>IF(AND('Assumptions'!$E$134=1,AK$4&gt;=MAX('Assumptions'!$E$135,'Assumptions'!$C$9)),1,0)</f>
        <v/>
      </c>
      <c r="AL308" s="18">
        <f>IF(AND('Assumptions'!$E$134=1,AL$4&gt;=MAX('Assumptions'!$E$135,'Assumptions'!$C$9)),1,0)</f>
        <v/>
      </c>
    </row>
    <row r="309">
      <c r="A309" s="7" t="inlineStr">
        <is>
          <t xml:space="preserve">   Titles live</t>
        </is>
      </c>
      <c r="B309" s="9" t="inlineStr">
        <is>
          <t>titles</t>
        </is>
      </c>
      <c r="C309" s="14">
        <f>IF(C308=0,0,MIN('Assumptions'!$E$138,'Assumptions'!$E$136+'Assumptions'!$E$137*(C$4-MAX('Assumptions'!$E$135,'Assumptions'!$C$9))))</f>
        <v/>
      </c>
      <c r="D309" s="14">
        <f>IF(D308=0,0,MIN('Assumptions'!$E$138,'Assumptions'!$E$136+'Assumptions'!$E$137*(D$4-MAX('Assumptions'!$E$135,'Assumptions'!$C$9))))</f>
        <v/>
      </c>
      <c r="E309" s="14">
        <f>IF(E308=0,0,MIN('Assumptions'!$E$138,'Assumptions'!$E$136+'Assumptions'!$E$137*(E$4-MAX('Assumptions'!$E$135,'Assumptions'!$C$9))))</f>
        <v/>
      </c>
      <c r="F309" s="14">
        <f>IF(F308=0,0,MIN('Assumptions'!$E$138,'Assumptions'!$E$136+'Assumptions'!$E$137*(F$4-MAX('Assumptions'!$E$135,'Assumptions'!$C$9))))</f>
        <v/>
      </c>
      <c r="G309" s="14">
        <f>IF(G308=0,0,MIN('Assumptions'!$E$138,'Assumptions'!$E$136+'Assumptions'!$E$137*(G$4-MAX('Assumptions'!$E$135,'Assumptions'!$C$9))))</f>
        <v/>
      </c>
      <c r="H309" s="14">
        <f>IF(H308=0,0,MIN('Assumptions'!$E$138,'Assumptions'!$E$136+'Assumptions'!$E$137*(H$4-MAX('Assumptions'!$E$135,'Assumptions'!$C$9))))</f>
        <v/>
      </c>
      <c r="I309" s="14">
        <f>IF(I308=0,0,MIN('Assumptions'!$E$138,'Assumptions'!$E$136+'Assumptions'!$E$137*(I$4-MAX('Assumptions'!$E$135,'Assumptions'!$C$9))))</f>
        <v/>
      </c>
      <c r="J309" s="14">
        <f>IF(J308=0,0,MIN('Assumptions'!$E$138,'Assumptions'!$E$136+'Assumptions'!$E$137*(J$4-MAX('Assumptions'!$E$135,'Assumptions'!$C$9))))</f>
        <v/>
      </c>
      <c r="K309" s="14">
        <f>IF(K308=0,0,MIN('Assumptions'!$E$138,'Assumptions'!$E$136+'Assumptions'!$E$137*(K$4-MAX('Assumptions'!$E$135,'Assumptions'!$C$9))))</f>
        <v/>
      </c>
      <c r="L309" s="14">
        <f>IF(L308=0,0,MIN('Assumptions'!$E$138,'Assumptions'!$E$136+'Assumptions'!$E$137*(L$4-MAX('Assumptions'!$E$135,'Assumptions'!$C$9))))</f>
        <v/>
      </c>
      <c r="M309" s="14">
        <f>IF(M308=0,0,MIN('Assumptions'!$E$138,'Assumptions'!$E$136+'Assumptions'!$E$137*(M$4-MAX('Assumptions'!$E$135,'Assumptions'!$C$9))))</f>
        <v/>
      </c>
      <c r="N309" s="14">
        <f>IF(N308=0,0,MIN('Assumptions'!$E$138,'Assumptions'!$E$136+'Assumptions'!$E$137*(N$4-MAX('Assumptions'!$E$135,'Assumptions'!$C$9))))</f>
        <v/>
      </c>
      <c r="O309" s="14">
        <f>IF(O308=0,0,MIN('Assumptions'!$E$138,'Assumptions'!$E$136+'Assumptions'!$E$137*(O$4-MAX('Assumptions'!$E$135,'Assumptions'!$C$9))))</f>
        <v/>
      </c>
      <c r="P309" s="14">
        <f>IF(P308=0,0,MIN('Assumptions'!$E$138,'Assumptions'!$E$136+'Assumptions'!$E$137*(P$4-MAX('Assumptions'!$E$135,'Assumptions'!$C$9))))</f>
        <v/>
      </c>
      <c r="Q309" s="14">
        <f>IF(Q308=0,0,MIN('Assumptions'!$E$138,'Assumptions'!$E$136+'Assumptions'!$E$137*(Q$4-MAX('Assumptions'!$E$135,'Assumptions'!$C$9))))</f>
        <v/>
      </c>
      <c r="R309" s="14">
        <f>IF(R308=0,0,MIN('Assumptions'!$E$138,'Assumptions'!$E$136+'Assumptions'!$E$137*(R$4-MAX('Assumptions'!$E$135,'Assumptions'!$C$9))))</f>
        <v/>
      </c>
      <c r="S309" s="14">
        <f>IF(S308=0,0,MIN('Assumptions'!$E$138,'Assumptions'!$E$136+'Assumptions'!$E$137*(S$4-MAX('Assumptions'!$E$135,'Assumptions'!$C$9))))</f>
        <v/>
      </c>
      <c r="T309" s="14">
        <f>IF(T308=0,0,MIN('Assumptions'!$E$138,'Assumptions'!$E$136+'Assumptions'!$E$137*(T$4-MAX('Assumptions'!$E$135,'Assumptions'!$C$9))))</f>
        <v/>
      </c>
      <c r="U309" s="14">
        <f>IF(U308=0,0,MIN('Assumptions'!$E$138,'Assumptions'!$E$136+'Assumptions'!$E$137*(U$4-MAX('Assumptions'!$E$135,'Assumptions'!$C$9))))</f>
        <v/>
      </c>
      <c r="V309" s="14">
        <f>IF(V308=0,0,MIN('Assumptions'!$E$138,'Assumptions'!$E$136+'Assumptions'!$E$137*(V$4-MAX('Assumptions'!$E$135,'Assumptions'!$C$9))))</f>
        <v/>
      </c>
      <c r="W309" s="14">
        <f>IF(W308=0,0,MIN('Assumptions'!$E$138,'Assumptions'!$E$136+'Assumptions'!$E$137*(W$4-MAX('Assumptions'!$E$135,'Assumptions'!$C$9))))</f>
        <v/>
      </c>
      <c r="X309" s="14">
        <f>IF(X308=0,0,MIN('Assumptions'!$E$138,'Assumptions'!$E$136+'Assumptions'!$E$137*(X$4-MAX('Assumptions'!$E$135,'Assumptions'!$C$9))))</f>
        <v/>
      </c>
      <c r="Y309" s="14">
        <f>IF(Y308=0,0,MIN('Assumptions'!$E$138,'Assumptions'!$E$136+'Assumptions'!$E$137*(Y$4-MAX('Assumptions'!$E$135,'Assumptions'!$C$9))))</f>
        <v/>
      </c>
      <c r="Z309" s="14">
        <f>IF(Z308=0,0,MIN('Assumptions'!$E$138,'Assumptions'!$E$136+'Assumptions'!$E$137*(Z$4-MAX('Assumptions'!$E$135,'Assumptions'!$C$9))))</f>
        <v/>
      </c>
      <c r="AA309" s="14">
        <f>IF(AA308=0,0,MIN('Assumptions'!$E$138,'Assumptions'!$E$136+'Assumptions'!$E$137*(AA$4-MAX('Assumptions'!$E$135,'Assumptions'!$C$9))))</f>
        <v/>
      </c>
      <c r="AB309" s="14">
        <f>IF(AB308=0,0,MIN('Assumptions'!$E$138,'Assumptions'!$E$136+'Assumptions'!$E$137*(AB$4-MAX('Assumptions'!$E$135,'Assumptions'!$C$9))))</f>
        <v/>
      </c>
      <c r="AC309" s="14">
        <f>IF(AC308=0,0,MIN('Assumptions'!$E$138,'Assumptions'!$E$136+'Assumptions'!$E$137*(AC$4-MAX('Assumptions'!$E$135,'Assumptions'!$C$9))))</f>
        <v/>
      </c>
      <c r="AD309" s="14">
        <f>IF(AD308=0,0,MIN('Assumptions'!$E$138,'Assumptions'!$E$136+'Assumptions'!$E$137*(AD$4-MAX('Assumptions'!$E$135,'Assumptions'!$C$9))))</f>
        <v/>
      </c>
      <c r="AE309" s="14">
        <f>IF(AE308=0,0,MIN('Assumptions'!$E$138,'Assumptions'!$E$136+'Assumptions'!$E$137*(AE$4-MAX('Assumptions'!$E$135,'Assumptions'!$C$9))))</f>
        <v/>
      </c>
      <c r="AF309" s="14">
        <f>IF(AF308=0,0,MIN('Assumptions'!$E$138,'Assumptions'!$E$136+'Assumptions'!$E$137*(AF$4-MAX('Assumptions'!$E$135,'Assumptions'!$C$9))))</f>
        <v/>
      </c>
      <c r="AG309" s="14">
        <f>IF(AG308=0,0,MIN('Assumptions'!$E$138,'Assumptions'!$E$136+'Assumptions'!$E$137*(AG$4-MAX('Assumptions'!$E$135,'Assumptions'!$C$9))))</f>
        <v/>
      </c>
      <c r="AH309" s="14">
        <f>IF(AH308=0,0,MIN('Assumptions'!$E$138,'Assumptions'!$E$136+'Assumptions'!$E$137*(AH$4-MAX('Assumptions'!$E$135,'Assumptions'!$C$9))))</f>
        <v/>
      </c>
      <c r="AI309" s="14">
        <f>IF(AI308=0,0,MIN('Assumptions'!$E$138,'Assumptions'!$E$136+'Assumptions'!$E$137*(AI$4-MAX('Assumptions'!$E$135,'Assumptions'!$C$9))))</f>
        <v/>
      </c>
      <c r="AJ309" s="14">
        <f>IF(AJ308=0,0,MIN('Assumptions'!$E$138,'Assumptions'!$E$136+'Assumptions'!$E$137*(AJ$4-MAX('Assumptions'!$E$135,'Assumptions'!$C$9))))</f>
        <v/>
      </c>
      <c r="AK309" s="14">
        <f>IF(AK308=0,0,MIN('Assumptions'!$E$138,'Assumptions'!$E$136+'Assumptions'!$E$137*(AK$4-MAX('Assumptions'!$E$135,'Assumptions'!$C$9))))</f>
        <v/>
      </c>
      <c r="AL309" s="14">
        <f>IF(AL308=0,0,MIN('Assumptions'!$E$138,'Assumptions'!$E$136+'Assumptions'!$E$137*(AL$4-MAX('Assumptions'!$E$135,'Assumptions'!$C$9))))</f>
        <v/>
      </c>
    </row>
    <row r="310">
      <c r="A310" s="7" t="inlineStr">
        <is>
          <t xml:space="preserve">   Title-months live (titles x season)</t>
        </is>
      </c>
      <c r="B310" s="9" t="inlineStr">
        <is>
          <t>title-mo</t>
        </is>
      </c>
      <c r="C310" s="56">
        <f>C309*C$7</f>
        <v/>
      </c>
      <c r="D310" s="56">
        <f>D309*D$7</f>
        <v/>
      </c>
      <c r="E310" s="56">
        <f>E309*E$7</f>
        <v/>
      </c>
      <c r="F310" s="56">
        <f>F309*F$7</f>
        <v/>
      </c>
      <c r="G310" s="56">
        <f>G309*G$7</f>
        <v/>
      </c>
      <c r="H310" s="56">
        <f>H309*H$7</f>
        <v/>
      </c>
      <c r="I310" s="56">
        <f>I309*I$7</f>
        <v/>
      </c>
      <c r="J310" s="56">
        <f>J309*J$7</f>
        <v/>
      </c>
      <c r="K310" s="56">
        <f>K309*K$7</f>
        <v/>
      </c>
      <c r="L310" s="56">
        <f>L309*L$7</f>
        <v/>
      </c>
      <c r="M310" s="56">
        <f>M309*M$7</f>
        <v/>
      </c>
      <c r="N310" s="56">
        <f>N309*N$7</f>
        <v/>
      </c>
      <c r="O310" s="56">
        <f>O309*O$7</f>
        <v/>
      </c>
      <c r="P310" s="56">
        <f>P309*P$7</f>
        <v/>
      </c>
      <c r="Q310" s="56">
        <f>Q309*Q$7</f>
        <v/>
      </c>
      <c r="R310" s="56">
        <f>R309*R$7</f>
        <v/>
      </c>
      <c r="S310" s="56">
        <f>S309*S$7</f>
        <v/>
      </c>
      <c r="T310" s="56">
        <f>T309*T$7</f>
        <v/>
      </c>
      <c r="U310" s="56">
        <f>U309*U$7</f>
        <v/>
      </c>
      <c r="V310" s="56">
        <f>V309*V$7</f>
        <v/>
      </c>
      <c r="W310" s="56">
        <f>W309*W$7</f>
        <v/>
      </c>
      <c r="X310" s="56">
        <f>X309*X$7</f>
        <v/>
      </c>
      <c r="Y310" s="56">
        <f>Y309*Y$7</f>
        <v/>
      </c>
      <c r="Z310" s="56">
        <f>Z309*Z$7</f>
        <v/>
      </c>
      <c r="AA310" s="56">
        <f>AA309*AA$7</f>
        <v/>
      </c>
      <c r="AB310" s="56">
        <f>AB309*AB$7</f>
        <v/>
      </c>
      <c r="AC310" s="56">
        <f>AC309*AC$7</f>
        <v/>
      </c>
      <c r="AD310" s="56">
        <f>AD309*AD$7</f>
        <v/>
      </c>
      <c r="AE310" s="56">
        <f>AE309*AE$7</f>
        <v/>
      </c>
      <c r="AF310" s="56">
        <f>AF309*AF$7</f>
        <v/>
      </c>
      <c r="AG310" s="56">
        <f>AG309*AG$7</f>
        <v/>
      </c>
      <c r="AH310" s="56">
        <f>AH309*AH$7</f>
        <v/>
      </c>
      <c r="AI310" s="56">
        <f>AI309*AI$7</f>
        <v/>
      </c>
      <c r="AJ310" s="56">
        <f>AJ309*AJ$7</f>
        <v/>
      </c>
      <c r="AK310" s="56">
        <f>AK309*AK$7</f>
        <v/>
      </c>
      <c r="AL310" s="56">
        <f>AL309*AL$7</f>
        <v/>
      </c>
      <c r="AM310" s="57">
        <f>SUMIF($C$6:$AL$6,1,C310:AL310)</f>
        <v/>
      </c>
      <c r="AN310" s="57">
        <f>SUMIF($C$6:$AL$6,2,C310:AL310)</f>
        <v/>
      </c>
      <c r="AO310" s="57">
        <f>SUMIF($C$6:$AL$6,3,C310:AL310)</f>
        <v/>
      </c>
      <c r="AP310" s="57">
        <f>SUM(C310:AL310)</f>
        <v/>
      </c>
    </row>
    <row r="311">
      <c r="A311" s="7" t="inlineStr">
        <is>
          <t xml:space="preserve">   Units per title per month (with review ramp)</t>
        </is>
      </c>
      <c r="B311" s="9" t="inlineStr">
        <is>
          <t>units</t>
        </is>
      </c>
      <c r="C311" s="51">
        <f>'Assumptions'!$E$139*MIN(1,(C$4-MAX('Assumptions'!$E$135,'Assumptions'!$C$9)+1)/'Assumptions'!$C$11)*C308</f>
        <v/>
      </c>
      <c r="D311" s="51">
        <f>'Assumptions'!$E$139*MIN(1,(D$4-MAX('Assumptions'!$E$135,'Assumptions'!$C$9)+1)/'Assumptions'!$C$11)*D308</f>
        <v/>
      </c>
      <c r="E311" s="51">
        <f>'Assumptions'!$E$139*MIN(1,(E$4-MAX('Assumptions'!$E$135,'Assumptions'!$C$9)+1)/'Assumptions'!$C$11)*E308</f>
        <v/>
      </c>
      <c r="F311" s="51">
        <f>'Assumptions'!$E$139*MIN(1,(F$4-MAX('Assumptions'!$E$135,'Assumptions'!$C$9)+1)/'Assumptions'!$C$11)*F308</f>
        <v/>
      </c>
      <c r="G311" s="51">
        <f>'Assumptions'!$E$139*MIN(1,(G$4-MAX('Assumptions'!$E$135,'Assumptions'!$C$9)+1)/'Assumptions'!$C$11)*G308</f>
        <v/>
      </c>
      <c r="H311" s="51">
        <f>'Assumptions'!$E$139*MIN(1,(H$4-MAX('Assumptions'!$E$135,'Assumptions'!$C$9)+1)/'Assumptions'!$C$11)*H308</f>
        <v/>
      </c>
      <c r="I311" s="51">
        <f>'Assumptions'!$E$139*MIN(1,(I$4-MAX('Assumptions'!$E$135,'Assumptions'!$C$9)+1)/'Assumptions'!$C$11)*I308</f>
        <v/>
      </c>
      <c r="J311" s="51">
        <f>'Assumptions'!$E$139*MIN(1,(J$4-MAX('Assumptions'!$E$135,'Assumptions'!$C$9)+1)/'Assumptions'!$C$11)*J308</f>
        <v/>
      </c>
      <c r="K311" s="51">
        <f>'Assumptions'!$E$139*MIN(1,(K$4-MAX('Assumptions'!$E$135,'Assumptions'!$C$9)+1)/'Assumptions'!$C$11)*K308</f>
        <v/>
      </c>
      <c r="L311" s="51">
        <f>'Assumptions'!$E$139*MIN(1,(L$4-MAX('Assumptions'!$E$135,'Assumptions'!$C$9)+1)/'Assumptions'!$C$11)*L308</f>
        <v/>
      </c>
      <c r="M311" s="51">
        <f>'Assumptions'!$E$139*MIN(1,(M$4-MAX('Assumptions'!$E$135,'Assumptions'!$C$9)+1)/'Assumptions'!$C$11)*M308</f>
        <v/>
      </c>
      <c r="N311" s="51">
        <f>'Assumptions'!$E$139*MIN(1,(N$4-MAX('Assumptions'!$E$135,'Assumptions'!$C$9)+1)/'Assumptions'!$C$11)*N308</f>
        <v/>
      </c>
      <c r="O311" s="51">
        <f>'Assumptions'!$E$139*MIN(1,(O$4-MAX('Assumptions'!$E$135,'Assumptions'!$C$9)+1)/'Assumptions'!$C$11)*O308</f>
        <v/>
      </c>
      <c r="P311" s="51">
        <f>'Assumptions'!$E$139*MIN(1,(P$4-MAX('Assumptions'!$E$135,'Assumptions'!$C$9)+1)/'Assumptions'!$C$11)*P308</f>
        <v/>
      </c>
      <c r="Q311" s="51">
        <f>'Assumptions'!$E$139*MIN(1,(Q$4-MAX('Assumptions'!$E$135,'Assumptions'!$C$9)+1)/'Assumptions'!$C$11)*Q308</f>
        <v/>
      </c>
      <c r="R311" s="51">
        <f>'Assumptions'!$E$139*MIN(1,(R$4-MAX('Assumptions'!$E$135,'Assumptions'!$C$9)+1)/'Assumptions'!$C$11)*R308</f>
        <v/>
      </c>
      <c r="S311" s="51">
        <f>'Assumptions'!$E$139*MIN(1,(S$4-MAX('Assumptions'!$E$135,'Assumptions'!$C$9)+1)/'Assumptions'!$C$11)*S308</f>
        <v/>
      </c>
      <c r="T311" s="51">
        <f>'Assumptions'!$E$139*MIN(1,(T$4-MAX('Assumptions'!$E$135,'Assumptions'!$C$9)+1)/'Assumptions'!$C$11)*T308</f>
        <v/>
      </c>
      <c r="U311" s="51">
        <f>'Assumptions'!$E$139*MIN(1,(U$4-MAX('Assumptions'!$E$135,'Assumptions'!$C$9)+1)/'Assumptions'!$C$11)*U308</f>
        <v/>
      </c>
      <c r="V311" s="51">
        <f>'Assumptions'!$E$139*MIN(1,(V$4-MAX('Assumptions'!$E$135,'Assumptions'!$C$9)+1)/'Assumptions'!$C$11)*V308</f>
        <v/>
      </c>
      <c r="W311" s="51">
        <f>'Assumptions'!$E$139*MIN(1,(W$4-MAX('Assumptions'!$E$135,'Assumptions'!$C$9)+1)/'Assumptions'!$C$11)*W308</f>
        <v/>
      </c>
      <c r="X311" s="51">
        <f>'Assumptions'!$E$139*MIN(1,(X$4-MAX('Assumptions'!$E$135,'Assumptions'!$C$9)+1)/'Assumptions'!$C$11)*X308</f>
        <v/>
      </c>
      <c r="Y311" s="51">
        <f>'Assumptions'!$E$139*MIN(1,(Y$4-MAX('Assumptions'!$E$135,'Assumptions'!$C$9)+1)/'Assumptions'!$C$11)*Y308</f>
        <v/>
      </c>
      <c r="Z311" s="51">
        <f>'Assumptions'!$E$139*MIN(1,(Z$4-MAX('Assumptions'!$E$135,'Assumptions'!$C$9)+1)/'Assumptions'!$C$11)*Z308</f>
        <v/>
      </c>
      <c r="AA311" s="51">
        <f>'Assumptions'!$E$139*MIN(1,(AA$4-MAX('Assumptions'!$E$135,'Assumptions'!$C$9)+1)/'Assumptions'!$C$11)*AA308</f>
        <v/>
      </c>
      <c r="AB311" s="51">
        <f>'Assumptions'!$E$139*MIN(1,(AB$4-MAX('Assumptions'!$E$135,'Assumptions'!$C$9)+1)/'Assumptions'!$C$11)*AB308</f>
        <v/>
      </c>
      <c r="AC311" s="51">
        <f>'Assumptions'!$E$139*MIN(1,(AC$4-MAX('Assumptions'!$E$135,'Assumptions'!$C$9)+1)/'Assumptions'!$C$11)*AC308</f>
        <v/>
      </c>
      <c r="AD311" s="51">
        <f>'Assumptions'!$E$139*MIN(1,(AD$4-MAX('Assumptions'!$E$135,'Assumptions'!$C$9)+1)/'Assumptions'!$C$11)*AD308</f>
        <v/>
      </c>
      <c r="AE311" s="51">
        <f>'Assumptions'!$E$139*MIN(1,(AE$4-MAX('Assumptions'!$E$135,'Assumptions'!$C$9)+1)/'Assumptions'!$C$11)*AE308</f>
        <v/>
      </c>
      <c r="AF311" s="51">
        <f>'Assumptions'!$E$139*MIN(1,(AF$4-MAX('Assumptions'!$E$135,'Assumptions'!$C$9)+1)/'Assumptions'!$C$11)*AF308</f>
        <v/>
      </c>
      <c r="AG311" s="51">
        <f>'Assumptions'!$E$139*MIN(1,(AG$4-MAX('Assumptions'!$E$135,'Assumptions'!$C$9)+1)/'Assumptions'!$C$11)*AG308</f>
        <v/>
      </c>
      <c r="AH311" s="51">
        <f>'Assumptions'!$E$139*MIN(1,(AH$4-MAX('Assumptions'!$E$135,'Assumptions'!$C$9)+1)/'Assumptions'!$C$11)*AH308</f>
        <v/>
      </c>
      <c r="AI311" s="51">
        <f>'Assumptions'!$E$139*MIN(1,(AI$4-MAX('Assumptions'!$E$135,'Assumptions'!$C$9)+1)/'Assumptions'!$C$11)*AI308</f>
        <v/>
      </c>
      <c r="AJ311" s="51">
        <f>'Assumptions'!$E$139*MIN(1,(AJ$4-MAX('Assumptions'!$E$135,'Assumptions'!$C$9)+1)/'Assumptions'!$C$11)*AJ308</f>
        <v/>
      </c>
      <c r="AK311" s="51">
        <f>'Assumptions'!$E$139*MIN(1,(AK$4-MAX('Assumptions'!$E$135,'Assumptions'!$C$9)+1)/'Assumptions'!$C$11)*AK308</f>
        <v/>
      </c>
      <c r="AL311" s="51">
        <f>'Assumptions'!$E$139*MIN(1,(AL$4-MAX('Assumptions'!$E$135,'Assumptions'!$C$9)+1)/'Assumptions'!$C$11)*AL308</f>
        <v/>
      </c>
    </row>
    <row r="312">
      <c r="A312" s="7" t="inlineStr">
        <is>
          <t xml:space="preserve">   Orders</t>
        </is>
      </c>
      <c r="B312" s="9" t="inlineStr">
        <is>
          <t>orders</t>
        </is>
      </c>
      <c r="C312" s="56">
        <f>C310*C311</f>
        <v/>
      </c>
      <c r="D312" s="56">
        <f>D310*D311</f>
        <v/>
      </c>
      <c r="E312" s="56">
        <f>E310*E311</f>
        <v/>
      </c>
      <c r="F312" s="56">
        <f>F310*F311</f>
        <v/>
      </c>
      <c r="G312" s="56">
        <f>G310*G311</f>
        <v/>
      </c>
      <c r="H312" s="56">
        <f>H310*H311</f>
        <v/>
      </c>
      <c r="I312" s="56">
        <f>I310*I311</f>
        <v/>
      </c>
      <c r="J312" s="56">
        <f>J310*J311</f>
        <v/>
      </c>
      <c r="K312" s="56">
        <f>K310*K311</f>
        <v/>
      </c>
      <c r="L312" s="56">
        <f>L310*L311</f>
        <v/>
      </c>
      <c r="M312" s="56">
        <f>M310*M311</f>
        <v/>
      </c>
      <c r="N312" s="56">
        <f>N310*N311</f>
        <v/>
      </c>
      <c r="O312" s="56">
        <f>O310*O311</f>
        <v/>
      </c>
      <c r="P312" s="56">
        <f>P310*P311</f>
        <v/>
      </c>
      <c r="Q312" s="56">
        <f>Q310*Q311</f>
        <v/>
      </c>
      <c r="R312" s="56">
        <f>R310*R311</f>
        <v/>
      </c>
      <c r="S312" s="56">
        <f>S310*S311</f>
        <v/>
      </c>
      <c r="T312" s="56">
        <f>T310*T311</f>
        <v/>
      </c>
      <c r="U312" s="56">
        <f>U310*U311</f>
        <v/>
      </c>
      <c r="V312" s="56">
        <f>V310*V311</f>
        <v/>
      </c>
      <c r="W312" s="56">
        <f>W310*W311</f>
        <v/>
      </c>
      <c r="X312" s="56">
        <f>X310*X311</f>
        <v/>
      </c>
      <c r="Y312" s="56">
        <f>Y310*Y311</f>
        <v/>
      </c>
      <c r="Z312" s="56">
        <f>Z310*Z311</f>
        <v/>
      </c>
      <c r="AA312" s="56">
        <f>AA310*AA311</f>
        <v/>
      </c>
      <c r="AB312" s="56">
        <f>AB310*AB311</f>
        <v/>
      </c>
      <c r="AC312" s="56">
        <f>AC310*AC311</f>
        <v/>
      </c>
      <c r="AD312" s="56">
        <f>AD310*AD311</f>
        <v/>
      </c>
      <c r="AE312" s="56">
        <f>AE310*AE311</f>
        <v/>
      </c>
      <c r="AF312" s="56">
        <f>AF310*AF311</f>
        <v/>
      </c>
      <c r="AG312" s="56">
        <f>AG310*AG311</f>
        <v/>
      </c>
      <c r="AH312" s="56">
        <f>AH310*AH311</f>
        <v/>
      </c>
      <c r="AI312" s="56">
        <f>AI310*AI311</f>
        <v/>
      </c>
      <c r="AJ312" s="56">
        <f>AJ310*AJ311</f>
        <v/>
      </c>
      <c r="AK312" s="56">
        <f>AK310*AK311</f>
        <v/>
      </c>
      <c r="AL312" s="56">
        <f>AL310*AL311</f>
        <v/>
      </c>
      <c r="AM312" s="57">
        <f>SUMIF($C$6:$AL$6,1,C312:AL312)</f>
        <v/>
      </c>
      <c r="AN312" s="57">
        <f>SUMIF($C$6:$AL$6,2,C312:AL312)</f>
        <v/>
      </c>
      <c r="AO312" s="57">
        <f>SUMIF($C$6:$AL$6,3,C312:AL312)</f>
        <v/>
      </c>
      <c r="AP312" s="57">
        <f>SUM(C312:AL312)</f>
        <v/>
      </c>
    </row>
    <row r="313">
      <c r="A313" s="7" t="inlineStr">
        <is>
          <t xml:space="preserve">   Items sold</t>
        </is>
      </c>
      <c r="B313" s="9" t="inlineStr">
        <is>
          <t>items</t>
        </is>
      </c>
      <c r="C313" s="14">
        <f>C312*'Assumptions'!$E$140</f>
        <v/>
      </c>
      <c r="D313" s="14">
        <f>D312*'Assumptions'!$E$140</f>
        <v/>
      </c>
      <c r="E313" s="14">
        <f>E312*'Assumptions'!$E$140</f>
        <v/>
      </c>
      <c r="F313" s="14">
        <f>F312*'Assumptions'!$E$140</f>
        <v/>
      </c>
      <c r="G313" s="14">
        <f>G312*'Assumptions'!$E$140</f>
        <v/>
      </c>
      <c r="H313" s="14">
        <f>H312*'Assumptions'!$E$140</f>
        <v/>
      </c>
      <c r="I313" s="14">
        <f>I312*'Assumptions'!$E$140</f>
        <v/>
      </c>
      <c r="J313" s="14">
        <f>J312*'Assumptions'!$E$140</f>
        <v/>
      </c>
      <c r="K313" s="14">
        <f>K312*'Assumptions'!$E$140</f>
        <v/>
      </c>
      <c r="L313" s="14">
        <f>L312*'Assumptions'!$E$140</f>
        <v/>
      </c>
      <c r="M313" s="14">
        <f>M312*'Assumptions'!$E$140</f>
        <v/>
      </c>
      <c r="N313" s="14">
        <f>N312*'Assumptions'!$E$140</f>
        <v/>
      </c>
      <c r="O313" s="14">
        <f>O312*'Assumptions'!$E$140</f>
        <v/>
      </c>
      <c r="P313" s="14">
        <f>P312*'Assumptions'!$E$140</f>
        <v/>
      </c>
      <c r="Q313" s="14">
        <f>Q312*'Assumptions'!$E$140</f>
        <v/>
      </c>
      <c r="R313" s="14">
        <f>R312*'Assumptions'!$E$140</f>
        <v/>
      </c>
      <c r="S313" s="14">
        <f>S312*'Assumptions'!$E$140</f>
        <v/>
      </c>
      <c r="T313" s="14">
        <f>T312*'Assumptions'!$E$140</f>
        <v/>
      </c>
      <c r="U313" s="14">
        <f>U312*'Assumptions'!$E$140</f>
        <v/>
      </c>
      <c r="V313" s="14">
        <f>V312*'Assumptions'!$E$140</f>
        <v/>
      </c>
      <c r="W313" s="14">
        <f>W312*'Assumptions'!$E$140</f>
        <v/>
      </c>
      <c r="X313" s="14">
        <f>X312*'Assumptions'!$E$140</f>
        <v/>
      </c>
      <c r="Y313" s="14">
        <f>Y312*'Assumptions'!$E$140</f>
        <v/>
      </c>
      <c r="Z313" s="14">
        <f>Z312*'Assumptions'!$E$140</f>
        <v/>
      </c>
      <c r="AA313" s="14">
        <f>AA312*'Assumptions'!$E$140</f>
        <v/>
      </c>
      <c r="AB313" s="14">
        <f>AB312*'Assumptions'!$E$140</f>
        <v/>
      </c>
      <c r="AC313" s="14">
        <f>AC312*'Assumptions'!$E$140</f>
        <v/>
      </c>
      <c r="AD313" s="14">
        <f>AD312*'Assumptions'!$E$140</f>
        <v/>
      </c>
      <c r="AE313" s="14">
        <f>AE312*'Assumptions'!$E$140</f>
        <v/>
      </c>
      <c r="AF313" s="14">
        <f>AF312*'Assumptions'!$E$140</f>
        <v/>
      </c>
      <c r="AG313" s="14">
        <f>AG312*'Assumptions'!$E$140</f>
        <v/>
      </c>
      <c r="AH313" s="14">
        <f>AH312*'Assumptions'!$E$140</f>
        <v/>
      </c>
      <c r="AI313" s="14">
        <f>AI312*'Assumptions'!$E$140</f>
        <v/>
      </c>
      <c r="AJ313" s="14">
        <f>AJ312*'Assumptions'!$E$140</f>
        <v/>
      </c>
      <c r="AK313" s="14">
        <f>AK312*'Assumptions'!$E$140</f>
        <v/>
      </c>
      <c r="AL313" s="14">
        <f>AL312*'Assumptions'!$E$140</f>
        <v/>
      </c>
      <c r="AM313" s="57">
        <f>SUMIF($C$6:$AL$6,1,C313:AL313)</f>
        <v/>
      </c>
      <c r="AN313" s="57">
        <f>SUMIF($C$6:$AL$6,2,C313:AL313)</f>
        <v/>
      </c>
      <c r="AO313" s="57">
        <f>SUMIF($C$6:$AL$6,3,C313:AL313)</f>
        <v/>
      </c>
      <c r="AP313" s="57">
        <f>SUM(C313:AL313)</f>
        <v/>
      </c>
    </row>
    <row r="314">
      <c r="A314" s="7" t="inlineStr">
        <is>
          <t xml:space="preserve">   Average order value</t>
        </is>
      </c>
      <c r="B314" s="9" t="inlineStr">
        <is>
          <t>$</t>
        </is>
      </c>
      <c r="C314" s="16">
        <f>'Unit Economics'!$E$51*'Assumptions'!$E$140*C308</f>
        <v/>
      </c>
      <c r="D314" s="16">
        <f>'Unit Economics'!$E$51*'Assumptions'!$E$140*D308</f>
        <v/>
      </c>
      <c r="E314" s="16">
        <f>'Unit Economics'!$E$51*'Assumptions'!$E$140*E308</f>
        <v/>
      </c>
      <c r="F314" s="16">
        <f>'Unit Economics'!$E$51*'Assumptions'!$E$140*F308</f>
        <v/>
      </c>
      <c r="G314" s="16">
        <f>'Unit Economics'!$E$51*'Assumptions'!$E$140*G308</f>
        <v/>
      </c>
      <c r="H314" s="16">
        <f>'Unit Economics'!$E$51*'Assumptions'!$E$140*H308</f>
        <v/>
      </c>
      <c r="I314" s="16">
        <f>'Unit Economics'!$E$51*'Assumptions'!$E$140*I308</f>
        <v/>
      </c>
      <c r="J314" s="16">
        <f>'Unit Economics'!$E$51*'Assumptions'!$E$140*J308</f>
        <v/>
      </c>
      <c r="K314" s="16">
        <f>'Unit Economics'!$E$51*'Assumptions'!$E$140*K308</f>
        <v/>
      </c>
      <c r="L314" s="16">
        <f>'Unit Economics'!$E$51*'Assumptions'!$E$140*L308</f>
        <v/>
      </c>
      <c r="M314" s="16">
        <f>'Unit Economics'!$E$51*'Assumptions'!$E$140*M308</f>
        <v/>
      </c>
      <c r="N314" s="16">
        <f>'Unit Economics'!$E$51*'Assumptions'!$E$140*N308</f>
        <v/>
      </c>
      <c r="O314" s="16">
        <f>'Unit Economics'!$E$51*'Assumptions'!$E$140*O308</f>
        <v/>
      </c>
      <c r="P314" s="16">
        <f>'Unit Economics'!$E$51*'Assumptions'!$E$140*P308</f>
        <v/>
      </c>
      <c r="Q314" s="16">
        <f>'Unit Economics'!$E$51*'Assumptions'!$E$140*Q308</f>
        <v/>
      </c>
      <c r="R314" s="16">
        <f>'Unit Economics'!$E$51*'Assumptions'!$E$140*R308</f>
        <v/>
      </c>
      <c r="S314" s="16">
        <f>'Unit Economics'!$E$51*'Assumptions'!$E$140*S308</f>
        <v/>
      </c>
      <c r="T314" s="16">
        <f>'Unit Economics'!$E$51*'Assumptions'!$E$140*T308</f>
        <v/>
      </c>
      <c r="U314" s="16">
        <f>'Unit Economics'!$E$51*'Assumptions'!$E$140*U308</f>
        <v/>
      </c>
      <c r="V314" s="16">
        <f>'Unit Economics'!$E$51*'Assumptions'!$E$140*V308</f>
        <v/>
      </c>
      <c r="W314" s="16">
        <f>'Unit Economics'!$E$51*'Assumptions'!$E$140*W308</f>
        <v/>
      </c>
      <c r="X314" s="16">
        <f>'Unit Economics'!$E$51*'Assumptions'!$E$140*X308</f>
        <v/>
      </c>
      <c r="Y314" s="16">
        <f>'Unit Economics'!$E$51*'Assumptions'!$E$140*Y308</f>
        <v/>
      </c>
      <c r="Z314" s="16">
        <f>'Unit Economics'!$E$51*'Assumptions'!$E$140*Z308</f>
        <v/>
      </c>
      <c r="AA314" s="16">
        <f>'Unit Economics'!$E$51*'Assumptions'!$E$140*AA308</f>
        <v/>
      </c>
      <c r="AB314" s="16">
        <f>'Unit Economics'!$E$51*'Assumptions'!$E$140*AB308</f>
        <v/>
      </c>
      <c r="AC314" s="16">
        <f>'Unit Economics'!$E$51*'Assumptions'!$E$140*AC308</f>
        <v/>
      </c>
      <c r="AD314" s="16">
        <f>'Unit Economics'!$E$51*'Assumptions'!$E$140*AD308</f>
        <v/>
      </c>
      <c r="AE314" s="16">
        <f>'Unit Economics'!$E$51*'Assumptions'!$E$140*AE308</f>
        <v/>
      </c>
      <c r="AF314" s="16">
        <f>'Unit Economics'!$E$51*'Assumptions'!$E$140*AF308</f>
        <v/>
      </c>
      <c r="AG314" s="16">
        <f>'Unit Economics'!$E$51*'Assumptions'!$E$140*AG308</f>
        <v/>
      </c>
      <c r="AH314" s="16">
        <f>'Unit Economics'!$E$51*'Assumptions'!$E$140*AH308</f>
        <v/>
      </c>
      <c r="AI314" s="16">
        <f>'Unit Economics'!$E$51*'Assumptions'!$E$140*AI308</f>
        <v/>
      </c>
      <c r="AJ314" s="16">
        <f>'Unit Economics'!$E$51*'Assumptions'!$E$140*AJ308</f>
        <v/>
      </c>
      <c r="AK314" s="16">
        <f>'Unit Economics'!$E$51*'Assumptions'!$E$140*AK308</f>
        <v/>
      </c>
      <c r="AL314" s="16">
        <f>'Unit Economics'!$E$51*'Assumptions'!$E$140*AL308</f>
        <v/>
      </c>
    </row>
    <row r="315">
      <c r="A315" s="7" t="inlineStr">
        <is>
          <t xml:space="preserve">   Gross sales (price paid by customers)</t>
        </is>
      </c>
      <c r="B315" s="9" t="inlineStr">
        <is>
          <t>$</t>
        </is>
      </c>
      <c r="C315" s="8">
        <f>C313*'Unit Economics'!$E$51</f>
        <v/>
      </c>
      <c r="D315" s="8">
        <f>D313*'Unit Economics'!$E$51</f>
        <v/>
      </c>
      <c r="E315" s="8">
        <f>E313*'Unit Economics'!$E$51</f>
        <v/>
      </c>
      <c r="F315" s="8">
        <f>F313*'Unit Economics'!$E$51</f>
        <v/>
      </c>
      <c r="G315" s="8">
        <f>G313*'Unit Economics'!$E$51</f>
        <v/>
      </c>
      <c r="H315" s="8">
        <f>H313*'Unit Economics'!$E$51</f>
        <v/>
      </c>
      <c r="I315" s="8">
        <f>I313*'Unit Economics'!$E$51</f>
        <v/>
      </c>
      <c r="J315" s="8">
        <f>J313*'Unit Economics'!$E$51</f>
        <v/>
      </c>
      <c r="K315" s="8">
        <f>K313*'Unit Economics'!$E$51</f>
        <v/>
      </c>
      <c r="L315" s="8">
        <f>L313*'Unit Economics'!$E$51</f>
        <v/>
      </c>
      <c r="M315" s="8">
        <f>M313*'Unit Economics'!$E$51</f>
        <v/>
      </c>
      <c r="N315" s="8">
        <f>N313*'Unit Economics'!$E$51</f>
        <v/>
      </c>
      <c r="O315" s="8">
        <f>O313*'Unit Economics'!$E$51</f>
        <v/>
      </c>
      <c r="P315" s="8">
        <f>P313*'Unit Economics'!$E$51</f>
        <v/>
      </c>
      <c r="Q315" s="8">
        <f>Q313*'Unit Economics'!$E$51</f>
        <v/>
      </c>
      <c r="R315" s="8">
        <f>R313*'Unit Economics'!$E$51</f>
        <v/>
      </c>
      <c r="S315" s="8">
        <f>S313*'Unit Economics'!$E$51</f>
        <v/>
      </c>
      <c r="T315" s="8">
        <f>T313*'Unit Economics'!$E$51</f>
        <v/>
      </c>
      <c r="U315" s="8">
        <f>U313*'Unit Economics'!$E$51</f>
        <v/>
      </c>
      <c r="V315" s="8">
        <f>V313*'Unit Economics'!$E$51</f>
        <v/>
      </c>
      <c r="W315" s="8">
        <f>W313*'Unit Economics'!$E$51</f>
        <v/>
      </c>
      <c r="X315" s="8">
        <f>X313*'Unit Economics'!$E$51</f>
        <v/>
      </c>
      <c r="Y315" s="8">
        <f>Y313*'Unit Economics'!$E$51</f>
        <v/>
      </c>
      <c r="Z315" s="8">
        <f>Z313*'Unit Economics'!$E$51</f>
        <v/>
      </c>
      <c r="AA315" s="8">
        <f>AA313*'Unit Economics'!$E$51</f>
        <v/>
      </c>
      <c r="AB315" s="8">
        <f>AB313*'Unit Economics'!$E$51</f>
        <v/>
      </c>
      <c r="AC315" s="8">
        <f>AC313*'Unit Economics'!$E$51</f>
        <v/>
      </c>
      <c r="AD315" s="8">
        <f>AD313*'Unit Economics'!$E$51</f>
        <v/>
      </c>
      <c r="AE315" s="8">
        <f>AE313*'Unit Economics'!$E$51</f>
        <v/>
      </c>
      <c r="AF315" s="8">
        <f>AF313*'Unit Economics'!$E$51</f>
        <v/>
      </c>
      <c r="AG315" s="8">
        <f>AG313*'Unit Economics'!$E$51</f>
        <v/>
      </c>
      <c r="AH315" s="8">
        <f>AH313*'Unit Economics'!$E$51</f>
        <v/>
      </c>
      <c r="AI315" s="8">
        <f>AI313*'Unit Economics'!$E$51</f>
        <v/>
      </c>
      <c r="AJ315" s="8">
        <f>AJ313*'Unit Economics'!$E$51</f>
        <v/>
      </c>
      <c r="AK315" s="8">
        <f>AK313*'Unit Economics'!$E$51</f>
        <v/>
      </c>
      <c r="AL315" s="8">
        <f>AL313*'Unit Economics'!$E$51</f>
        <v/>
      </c>
      <c r="AM315" s="47">
        <f>SUMIF($C$6:$AL$6,1,C315:AL315)</f>
        <v/>
      </c>
      <c r="AN315" s="47">
        <f>SUMIF($C$6:$AL$6,2,C315:AL315)</f>
        <v/>
      </c>
      <c r="AO315" s="47">
        <f>SUMIF($C$6:$AL$6,3,C315:AL315)</f>
        <v/>
      </c>
      <c r="AP315" s="47">
        <f>SUM(C315:AL315)</f>
        <v/>
      </c>
    </row>
    <row r="316">
      <c r="A316" s="7" t="inlineStr">
        <is>
          <t xml:space="preserve">   Net contribution to AlphaPlay</t>
        </is>
      </c>
      <c r="B316" s="9" t="inlineStr">
        <is>
          <t>$</t>
        </is>
      </c>
      <c r="C316" s="8">
        <f>C313*'Unit Economics'!$F$51</f>
        <v/>
      </c>
      <c r="D316" s="8">
        <f>D313*'Unit Economics'!$F$51</f>
        <v/>
      </c>
      <c r="E316" s="8">
        <f>E313*'Unit Economics'!$F$51</f>
        <v/>
      </c>
      <c r="F316" s="8">
        <f>F313*'Unit Economics'!$F$51</f>
        <v/>
      </c>
      <c r="G316" s="8">
        <f>G313*'Unit Economics'!$F$51</f>
        <v/>
      </c>
      <c r="H316" s="8">
        <f>H313*'Unit Economics'!$F$51</f>
        <v/>
      </c>
      <c r="I316" s="8">
        <f>I313*'Unit Economics'!$F$51</f>
        <v/>
      </c>
      <c r="J316" s="8">
        <f>J313*'Unit Economics'!$F$51</f>
        <v/>
      </c>
      <c r="K316" s="8">
        <f>K313*'Unit Economics'!$F$51</f>
        <v/>
      </c>
      <c r="L316" s="8">
        <f>L313*'Unit Economics'!$F$51</f>
        <v/>
      </c>
      <c r="M316" s="8">
        <f>M313*'Unit Economics'!$F$51</f>
        <v/>
      </c>
      <c r="N316" s="8">
        <f>N313*'Unit Economics'!$F$51</f>
        <v/>
      </c>
      <c r="O316" s="8">
        <f>O313*'Unit Economics'!$F$51</f>
        <v/>
      </c>
      <c r="P316" s="8">
        <f>P313*'Unit Economics'!$F$51</f>
        <v/>
      </c>
      <c r="Q316" s="8">
        <f>Q313*'Unit Economics'!$F$51</f>
        <v/>
      </c>
      <c r="R316" s="8">
        <f>R313*'Unit Economics'!$F$51</f>
        <v/>
      </c>
      <c r="S316" s="8">
        <f>S313*'Unit Economics'!$F$51</f>
        <v/>
      </c>
      <c r="T316" s="8">
        <f>T313*'Unit Economics'!$F$51</f>
        <v/>
      </c>
      <c r="U316" s="8">
        <f>U313*'Unit Economics'!$F$51</f>
        <v/>
      </c>
      <c r="V316" s="8">
        <f>V313*'Unit Economics'!$F$51</f>
        <v/>
      </c>
      <c r="W316" s="8">
        <f>W313*'Unit Economics'!$F$51</f>
        <v/>
      </c>
      <c r="X316" s="8">
        <f>X313*'Unit Economics'!$F$51</f>
        <v/>
      </c>
      <c r="Y316" s="8">
        <f>Y313*'Unit Economics'!$F$51</f>
        <v/>
      </c>
      <c r="Z316" s="8">
        <f>Z313*'Unit Economics'!$F$51</f>
        <v/>
      </c>
      <c r="AA316" s="8">
        <f>AA313*'Unit Economics'!$F$51</f>
        <v/>
      </c>
      <c r="AB316" s="8">
        <f>AB313*'Unit Economics'!$F$51</f>
        <v/>
      </c>
      <c r="AC316" s="8">
        <f>AC313*'Unit Economics'!$F$51</f>
        <v/>
      </c>
      <c r="AD316" s="8">
        <f>AD313*'Unit Economics'!$F$51</f>
        <v/>
      </c>
      <c r="AE316" s="8">
        <f>AE313*'Unit Economics'!$F$51</f>
        <v/>
      </c>
      <c r="AF316" s="8">
        <f>AF313*'Unit Economics'!$F$51</f>
        <v/>
      </c>
      <c r="AG316" s="8">
        <f>AG313*'Unit Economics'!$F$51</f>
        <v/>
      </c>
      <c r="AH316" s="8">
        <f>AH313*'Unit Economics'!$F$51</f>
        <v/>
      </c>
      <c r="AI316" s="8">
        <f>AI313*'Unit Economics'!$F$51</f>
        <v/>
      </c>
      <c r="AJ316" s="8">
        <f>AJ313*'Unit Economics'!$F$51</f>
        <v/>
      </c>
      <c r="AK316" s="8">
        <f>AK313*'Unit Economics'!$F$51</f>
        <v/>
      </c>
      <c r="AL316" s="8">
        <f>AL313*'Unit Economics'!$F$51</f>
        <v/>
      </c>
      <c r="AM316" s="47">
        <f>SUMIF($C$6:$AL$6,1,C316:AL316)</f>
        <v/>
      </c>
      <c r="AN316" s="47">
        <f>SUMIF($C$6:$AL$6,2,C316:AL316)</f>
        <v/>
      </c>
      <c r="AO316" s="47">
        <f>SUMIF($C$6:$AL$6,3,C316:AL316)</f>
        <v/>
      </c>
      <c r="AP316" s="47">
        <f>SUM(C316:AL316)</f>
        <v/>
      </c>
    </row>
    <row r="317">
      <c r="A317" s="5" t="inlineStr">
        <is>
          <t>IngramSpark: paperbacks to bookstores and libraries</t>
        </is>
      </c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  <c r="AC317" s="6" t="n"/>
      <c r="AD317" s="6" t="n"/>
      <c r="AE317" s="6" t="n"/>
      <c r="AF317" s="6" t="n"/>
      <c r="AG317" s="6" t="n"/>
      <c r="AH317" s="6" t="n"/>
      <c r="AI317" s="6" t="n"/>
      <c r="AJ317" s="6" t="n"/>
      <c r="AK317" s="6" t="n"/>
      <c r="AL317" s="6" t="n"/>
      <c r="AM317" s="6" t="n"/>
      <c r="AN317" s="6" t="n"/>
      <c r="AO317" s="6" t="n"/>
      <c r="AP317" s="6" t="n"/>
    </row>
    <row r="318">
      <c r="A318" s="7" t="inlineStr">
        <is>
          <t xml:space="preserve">   Active (1 = live)</t>
        </is>
      </c>
      <c r="B318" s="9" t="inlineStr">
        <is>
          <t>flag</t>
        </is>
      </c>
      <c r="C318" s="18">
        <f>IF(AND('Assumptions'!$E$142=1,C$4&gt;=MAX('Assumptions'!$E$143,'Assumptions'!$C$9)),1,0)</f>
        <v/>
      </c>
      <c r="D318" s="18">
        <f>IF(AND('Assumptions'!$E$142=1,D$4&gt;=MAX('Assumptions'!$E$143,'Assumptions'!$C$9)),1,0)</f>
        <v/>
      </c>
      <c r="E318" s="18">
        <f>IF(AND('Assumptions'!$E$142=1,E$4&gt;=MAX('Assumptions'!$E$143,'Assumptions'!$C$9)),1,0)</f>
        <v/>
      </c>
      <c r="F318" s="18">
        <f>IF(AND('Assumptions'!$E$142=1,F$4&gt;=MAX('Assumptions'!$E$143,'Assumptions'!$C$9)),1,0)</f>
        <v/>
      </c>
      <c r="G318" s="18">
        <f>IF(AND('Assumptions'!$E$142=1,G$4&gt;=MAX('Assumptions'!$E$143,'Assumptions'!$C$9)),1,0)</f>
        <v/>
      </c>
      <c r="H318" s="18">
        <f>IF(AND('Assumptions'!$E$142=1,H$4&gt;=MAX('Assumptions'!$E$143,'Assumptions'!$C$9)),1,0)</f>
        <v/>
      </c>
      <c r="I318" s="18">
        <f>IF(AND('Assumptions'!$E$142=1,I$4&gt;=MAX('Assumptions'!$E$143,'Assumptions'!$C$9)),1,0)</f>
        <v/>
      </c>
      <c r="J318" s="18">
        <f>IF(AND('Assumptions'!$E$142=1,J$4&gt;=MAX('Assumptions'!$E$143,'Assumptions'!$C$9)),1,0)</f>
        <v/>
      </c>
      <c r="K318" s="18">
        <f>IF(AND('Assumptions'!$E$142=1,K$4&gt;=MAX('Assumptions'!$E$143,'Assumptions'!$C$9)),1,0)</f>
        <v/>
      </c>
      <c r="L318" s="18">
        <f>IF(AND('Assumptions'!$E$142=1,L$4&gt;=MAX('Assumptions'!$E$143,'Assumptions'!$C$9)),1,0)</f>
        <v/>
      </c>
      <c r="M318" s="18">
        <f>IF(AND('Assumptions'!$E$142=1,M$4&gt;=MAX('Assumptions'!$E$143,'Assumptions'!$C$9)),1,0)</f>
        <v/>
      </c>
      <c r="N318" s="18">
        <f>IF(AND('Assumptions'!$E$142=1,N$4&gt;=MAX('Assumptions'!$E$143,'Assumptions'!$C$9)),1,0)</f>
        <v/>
      </c>
      <c r="O318" s="18">
        <f>IF(AND('Assumptions'!$E$142=1,O$4&gt;=MAX('Assumptions'!$E$143,'Assumptions'!$C$9)),1,0)</f>
        <v/>
      </c>
      <c r="P318" s="18">
        <f>IF(AND('Assumptions'!$E$142=1,P$4&gt;=MAX('Assumptions'!$E$143,'Assumptions'!$C$9)),1,0)</f>
        <v/>
      </c>
      <c r="Q318" s="18">
        <f>IF(AND('Assumptions'!$E$142=1,Q$4&gt;=MAX('Assumptions'!$E$143,'Assumptions'!$C$9)),1,0)</f>
        <v/>
      </c>
      <c r="R318" s="18">
        <f>IF(AND('Assumptions'!$E$142=1,R$4&gt;=MAX('Assumptions'!$E$143,'Assumptions'!$C$9)),1,0)</f>
        <v/>
      </c>
      <c r="S318" s="18">
        <f>IF(AND('Assumptions'!$E$142=1,S$4&gt;=MAX('Assumptions'!$E$143,'Assumptions'!$C$9)),1,0)</f>
        <v/>
      </c>
      <c r="T318" s="18">
        <f>IF(AND('Assumptions'!$E$142=1,T$4&gt;=MAX('Assumptions'!$E$143,'Assumptions'!$C$9)),1,0)</f>
        <v/>
      </c>
      <c r="U318" s="18">
        <f>IF(AND('Assumptions'!$E$142=1,U$4&gt;=MAX('Assumptions'!$E$143,'Assumptions'!$C$9)),1,0)</f>
        <v/>
      </c>
      <c r="V318" s="18">
        <f>IF(AND('Assumptions'!$E$142=1,V$4&gt;=MAX('Assumptions'!$E$143,'Assumptions'!$C$9)),1,0)</f>
        <v/>
      </c>
      <c r="W318" s="18">
        <f>IF(AND('Assumptions'!$E$142=1,W$4&gt;=MAX('Assumptions'!$E$143,'Assumptions'!$C$9)),1,0)</f>
        <v/>
      </c>
      <c r="X318" s="18">
        <f>IF(AND('Assumptions'!$E$142=1,X$4&gt;=MAX('Assumptions'!$E$143,'Assumptions'!$C$9)),1,0)</f>
        <v/>
      </c>
      <c r="Y318" s="18">
        <f>IF(AND('Assumptions'!$E$142=1,Y$4&gt;=MAX('Assumptions'!$E$143,'Assumptions'!$C$9)),1,0)</f>
        <v/>
      </c>
      <c r="Z318" s="18">
        <f>IF(AND('Assumptions'!$E$142=1,Z$4&gt;=MAX('Assumptions'!$E$143,'Assumptions'!$C$9)),1,0)</f>
        <v/>
      </c>
      <c r="AA318" s="18">
        <f>IF(AND('Assumptions'!$E$142=1,AA$4&gt;=MAX('Assumptions'!$E$143,'Assumptions'!$C$9)),1,0)</f>
        <v/>
      </c>
      <c r="AB318" s="18">
        <f>IF(AND('Assumptions'!$E$142=1,AB$4&gt;=MAX('Assumptions'!$E$143,'Assumptions'!$C$9)),1,0)</f>
        <v/>
      </c>
      <c r="AC318" s="18">
        <f>IF(AND('Assumptions'!$E$142=1,AC$4&gt;=MAX('Assumptions'!$E$143,'Assumptions'!$C$9)),1,0)</f>
        <v/>
      </c>
      <c r="AD318" s="18">
        <f>IF(AND('Assumptions'!$E$142=1,AD$4&gt;=MAX('Assumptions'!$E$143,'Assumptions'!$C$9)),1,0)</f>
        <v/>
      </c>
      <c r="AE318" s="18">
        <f>IF(AND('Assumptions'!$E$142=1,AE$4&gt;=MAX('Assumptions'!$E$143,'Assumptions'!$C$9)),1,0)</f>
        <v/>
      </c>
      <c r="AF318" s="18">
        <f>IF(AND('Assumptions'!$E$142=1,AF$4&gt;=MAX('Assumptions'!$E$143,'Assumptions'!$C$9)),1,0)</f>
        <v/>
      </c>
      <c r="AG318" s="18">
        <f>IF(AND('Assumptions'!$E$142=1,AG$4&gt;=MAX('Assumptions'!$E$143,'Assumptions'!$C$9)),1,0)</f>
        <v/>
      </c>
      <c r="AH318" s="18">
        <f>IF(AND('Assumptions'!$E$142=1,AH$4&gt;=MAX('Assumptions'!$E$143,'Assumptions'!$C$9)),1,0)</f>
        <v/>
      </c>
      <c r="AI318" s="18">
        <f>IF(AND('Assumptions'!$E$142=1,AI$4&gt;=MAX('Assumptions'!$E$143,'Assumptions'!$C$9)),1,0)</f>
        <v/>
      </c>
      <c r="AJ318" s="18">
        <f>IF(AND('Assumptions'!$E$142=1,AJ$4&gt;=MAX('Assumptions'!$E$143,'Assumptions'!$C$9)),1,0)</f>
        <v/>
      </c>
      <c r="AK318" s="18">
        <f>IF(AND('Assumptions'!$E$142=1,AK$4&gt;=MAX('Assumptions'!$E$143,'Assumptions'!$C$9)),1,0)</f>
        <v/>
      </c>
      <c r="AL318" s="18">
        <f>IF(AND('Assumptions'!$E$142=1,AL$4&gt;=MAX('Assumptions'!$E$143,'Assumptions'!$C$9)),1,0)</f>
        <v/>
      </c>
    </row>
    <row r="319">
      <c r="A319" s="7" t="inlineStr">
        <is>
          <t xml:space="preserve">   Titles live</t>
        </is>
      </c>
      <c r="B319" s="9" t="inlineStr">
        <is>
          <t>titles</t>
        </is>
      </c>
      <c r="C319" s="14">
        <f>IF(C318=0,0,MIN('Assumptions'!$E$146,'Assumptions'!$E$144+'Assumptions'!$E$145*(C$4-MAX('Assumptions'!$E$143,'Assumptions'!$C$9))))</f>
        <v/>
      </c>
      <c r="D319" s="14">
        <f>IF(D318=0,0,MIN('Assumptions'!$E$146,'Assumptions'!$E$144+'Assumptions'!$E$145*(D$4-MAX('Assumptions'!$E$143,'Assumptions'!$C$9))))</f>
        <v/>
      </c>
      <c r="E319" s="14">
        <f>IF(E318=0,0,MIN('Assumptions'!$E$146,'Assumptions'!$E$144+'Assumptions'!$E$145*(E$4-MAX('Assumptions'!$E$143,'Assumptions'!$C$9))))</f>
        <v/>
      </c>
      <c r="F319" s="14">
        <f>IF(F318=0,0,MIN('Assumptions'!$E$146,'Assumptions'!$E$144+'Assumptions'!$E$145*(F$4-MAX('Assumptions'!$E$143,'Assumptions'!$C$9))))</f>
        <v/>
      </c>
      <c r="G319" s="14">
        <f>IF(G318=0,0,MIN('Assumptions'!$E$146,'Assumptions'!$E$144+'Assumptions'!$E$145*(G$4-MAX('Assumptions'!$E$143,'Assumptions'!$C$9))))</f>
        <v/>
      </c>
      <c r="H319" s="14">
        <f>IF(H318=0,0,MIN('Assumptions'!$E$146,'Assumptions'!$E$144+'Assumptions'!$E$145*(H$4-MAX('Assumptions'!$E$143,'Assumptions'!$C$9))))</f>
        <v/>
      </c>
      <c r="I319" s="14">
        <f>IF(I318=0,0,MIN('Assumptions'!$E$146,'Assumptions'!$E$144+'Assumptions'!$E$145*(I$4-MAX('Assumptions'!$E$143,'Assumptions'!$C$9))))</f>
        <v/>
      </c>
      <c r="J319" s="14">
        <f>IF(J318=0,0,MIN('Assumptions'!$E$146,'Assumptions'!$E$144+'Assumptions'!$E$145*(J$4-MAX('Assumptions'!$E$143,'Assumptions'!$C$9))))</f>
        <v/>
      </c>
      <c r="K319" s="14">
        <f>IF(K318=0,0,MIN('Assumptions'!$E$146,'Assumptions'!$E$144+'Assumptions'!$E$145*(K$4-MAX('Assumptions'!$E$143,'Assumptions'!$C$9))))</f>
        <v/>
      </c>
      <c r="L319" s="14">
        <f>IF(L318=0,0,MIN('Assumptions'!$E$146,'Assumptions'!$E$144+'Assumptions'!$E$145*(L$4-MAX('Assumptions'!$E$143,'Assumptions'!$C$9))))</f>
        <v/>
      </c>
      <c r="M319" s="14">
        <f>IF(M318=0,0,MIN('Assumptions'!$E$146,'Assumptions'!$E$144+'Assumptions'!$E$145*(M$4-MAX('Assumptions'!$E$143,'Assumptions'!$C$9))))</f>
        <v/>
      </c>
      <c r="N319" s="14">
        <f>IF(N318=0,0,MIN('Assumptions'!$E$146,'Assumptions'!$E$144+'Assumptions'!$E$145*(N$4-MAX('Assumptions'!$E$143,'Assumptions'!$C$9))))</f>
        <v/>
      </c>
      <c r="O319" s="14">
        <f>IF(O318=0,0,MIN('Assumptions'!$E$146,'Assumptions'!$E$144+'Assumptions'!$E$145*(O$4-MAX('Assumptions'!$E$143,'Assumptions'!$C$9))))</f>
        <v/>
      </c>
      <c r="P319" s="14">
        <f>IF(P318=0,0,MIN('Assumptions'!$E$146,'Assumptions'!$E$144+'Assumptions'!$E$145*(P$4-MAX('Assumptions'!$E$143,'Assumptions'!$C$9))))</f>
        <v/>
      </c>
      <c r="Q319" s="14">
        <f>IF(Q318=0,0,MIN('Assumptions'!$E$146,'Assumptions'!$E$144+'Assumptions'!$E$145*(Q$4-MAX('Assumptions'!$E$143,'Assumptions'!$C$9))))</f>
        <v/>
      </c>
      <c r="R319" s="14">
        <f>IF(R318=0,0,MIN('Assumptions'!$E$146,'Assumptions'!$E$144+'Assumptions'!$E$145*(R$4-MAX('Assumptions'!$E$143,'Assumptions'!$C$9))))</f>
        <v/>
      </c>
      <c r="S319" s="14">
        <f>IF(S318=0,0,MIN('Assumptions'!$E$146,'Assumptions'!$E$144+'Assumptions'!$E$145*(S$4-MAX('Assumptions'!$E$143,'Assumptions'!$C$9))))</f>
        <v/>
      </c>
      <c r="T319" s="14">
        <f>IF(T318=0,0,MIN('Assumptions'!$E$146,'Assumptions'!$E$144+'Assumptions'!$E$145*(T$4-MAX('Assumptions'!$E$143,'Assumptions'!$C$9))))</f>
        <v/>
      </c>
      <c r="U319" s="14">
        <f>IF(U318=0,0,MIN('Assumptions'!$E$146,'Assumptions'!$E$144+'Assumptions'!$E$145*(U$4-MAX('Assumptions'!$E$143,'Assumptions'!$C$9))))</f>
        <v/>
      </c>
      <c r="V319" s="14">
        <f>IF(V318=0,0,MIN('Assumptions'!$E$146,'Assumptions'!$E$144+'Assumptions'!$E$145*(V$4-MAX('Assumptions'!$E$143,'Assumptions'!$C$9))))</f>
        <v/>
      </c>
      <c r="W319" s="14">
        <f>IF(W318=0,0,MIN('Assumptions'!$E$146,'Assumptions'!$E$144+'Assumptions'!$E$145*(W$4-MAX('Assumptions'!$E$143,'Assumptions'!$C$9))))</f>
        <v/>
      </c>
      <c r="X319" s="14">
        <f>IF(X318=0,0,MIN('Assumptions'!$E$146,'Assumptions'!$E$144+'Assumptions'!$E$145*(X$4-MAX('Assumptions'!$E$143,'Assumptions'!$C$9))))</f>
        <v/>
      </c>
      <c r="Y319" s="14">
        <f>IF(Y318=0,0,MIN('Assumptions'!$E$146,'Assumptions'!$E$144+'Assumptions'!$E$145*(Y$4-MAX('Assumptions'!$E$143,'Assumptions'!$C$9))))</f>
        <v/>
      </c>
      <c r="Z319" s="14">
        <f>IF(Z318=0,0,MIN('Assumptions'!$E$146,'Assumptions'!$E$144+'Assumptions'!$E$145*(Z$4-MAX('Assumptions'!$E$143,'Assumptions'!$C$9))))</f>
        <v/>
      </c>
      <c r="AA319" s="14">
        <f>IF(AA318=0,0,MIN('Assumptions'!$E$146,'Assumptions'!$E$144+'Assumptions'!$E$145*(AA$4-MAX('Assumptions'!$E$143,'Assumptions'!$C$9))))</f>
        <v/>
      </c>
      <c r="AB319" s="14">
        <f>IF(AB318=0,0,MIN('Assumptions'!$E$146,'Assumptions'!$E$144+'Assumptions'!$E$145*(AB$4-MAX('Assumptions'!$E$143,'Assumptions'!$C$9))))</f>
        <v/>
      </c>
      <c r="AC319" s="14">
        <f>IF(AC318=0,0,MIN('Assumptions'!$E$146,'Assumptions'!$E$144+'Assumptions'!$E$145*(AC$4-MAX('Assumptions'!$E$143,'Assumptions'!$C$9))))</f>
        <v/>
      </c>
      <c r="AD319" s="14">
        <f>IF(AD318=0,0,MIN('Assumptions'!$E$146,'Assumptions'!$E$144+'Assumptions'!$E$145*(AD$4-MAX('Assumptions'!$E$143,'Assumptions'!$C$9))))</f>
        <v/>
      </c>
      <c r="AE319" s="14">
        <f>IF(AE318=0,0,MIN('Assumptions'!$E$146,'Assumptions'!$E$144+'Assumptions'!$E$145*(AE$4-MAX('Assumptions'!$E$143,'Assumptions'!$C$9))))</f>
        <v/>
      </c>
      <c r="AF319" s="14">
        <f>IF(AF318=0,0,MIN('Assumptions'!$E$146,'Assumptions'!$E$144+'Assumptions'!$E$145*(AF$4-MAX('Assumptions'!$E$143,'Assumptions'!$C$9))))</f>
        <v/>
      </c>
      <c r="AG319" s="14">
        <f>IF(AG318=0,0,MIN('Assumptions'!$E$146,'Assumptions'!$E$144+'Assumptions'!$E$145*(AG$4-MAX('Assumptions'!$E$143,'Assumptions'!$C$9))))</f>
        <v/>
      </c>
      <c r="AH319" s="14">
        <f>IF(AH318=0,0,MIN('Assumptions'!$E$146,'Assumptions'!$E$144+'Assumptions'!$E$145*(AH$4-MAX('Assumptions'!$E$143,'Assumptions'!$C$9))))</f>
        <v/>
      </c>
      <c r="AI319" s="14">
        <f>IF(AI318=0,0,MIN('Assumptions'!$E$146,'Assumptions'!$E$144+'Assumptions'!$E$145*(AI$4-MAX('Assumptions'!$E$143,'Assumptions'!$C$9))))</f>
        <v/>
      </c>
      <c r="AJ319" s="14">
        <f>IF(AJ318=0,0,MIN('Assumptions'!$E$146,'Assumptions'!$E$144+'Assumptions'!$E$145*(AJ$4-MAX('Assumptions'!$E$143,'Assumptions'!$C$9))))</f>
        <v/>
      </c>
      <c r="AK319" s="14">
        <f>IF(AK318=0,0,MIN('Assumptions'!$E$146,'Assumptions'!$E$144+'Assumptions'!$E$145*(AK$4-MAX('Assumptions'!$E$143,'Assumptions'!$C$9))))</f>
        <v/>
      </c>
      <c r="AL319" s="14">
        <f>IF(AL318=0,0,MIN('Assumptions'!$E$146,'Assumptions'!$E$144+'Assumptions'!$E$145*(AL$4-MAX('Assumptions'!$E$143,'Assumptions'!$C$9))))</f>
        <v/>
      </c>
    </row>
    <row r="320">
      <c r="A320" s="7" t="inlineStr">
        <is>
          <t xml:space="preserve">   Title-months live (titles x season)</t>
        </is>
      </c>
      <c r="B320" s="9" t="inlineStr">
        <is>
          <t>title-mo</t>
        </is>
      </c>
      <c r="C320" s="56">
        <f>C319*C$7</f>
        <v/>
      </c>
      <c r="D320" s="56">
        <f>D319*D$7</f>
        <v/>
      </c>
      <c r="E320" s="56">
        <f>E319*E$7</f>
        <v/>
      </c>
      <c r="F320" s="56">
        <f>F319*F$7</f>
        <v/>
      </c>
      <c r="G320" s="56">
        <f>G319*G$7</f>
        <v/>
      </c>
      <c r="H320" s="56">
        <f>H319*H$7</f>
        <v/>
      </c>
      <c r="I320" s="56">
        <f>I319*I$7</f>
        <v/>
      </c>
      <c r="J320" s="56">
        <f>J319*J$7</f>
        <v/>
      </c>
      <c r="K320" s="56">
        <f>K319*K$7</f>
        <v/>
      </c>
      <c r="L320" s="56">
        <f>L319*L$7</f>
        <v/>
      </c>
      <c r="M320" s="56">
        <f>M319*M$7</f>
        <v/>
      </c>
      <c r="N320" s="56">
        <f>N319*N$7</f>
        <v/>
      </c>
      <c r="O320" s="56">
        <f>O319*O$7</f>
        <v/>
      </c>
      <c r="P320" s="56">
        <f>P319*P$7</f>
        <v/>
      </c>
      <c r="Q320" s="56">
        <f>Q319*Q$7</f>
        <v/>
      </c>
      <c r="R320" s="56">
        <f>R319*R$7</f>
        <v/>
      </c>
      <c r="S320" s="56">
        <f>S319*S$7</f>
        <v/>
      </c>
      <c r="T320" s="56">
        <f>T319*T$7</f>
        <v/>
      </c>
      <c r="U320" s="56">
        <f>U319*U$7</f>
        <v/>
      </c>
      <c r="V320" s="56">
        <f>V319*V$7</f>
        <v/>
      </c>
      <c r="W320" s="56">
        <f>W319*W$7</f>
        <v/>
      </c>
      <c r="X320" s="56">
        <f>X319*X$7</f>
        <v/>
      </c>
      <c r="Y320" s="56">
        <f>Y319*Y$7</f>
        <v/>
      </c>
      <c r="Z320" s="56">
        <f>Z319*Z$7</f>
        <v/>
      </c>
      <c r="AA320" s="56">
        <f>AA319*AA$7</f>
        <v/>
      </c>
      <c r="AB320" s="56">
        <f>AB319*AB$7</f>
        <v/>
      </c>
      <c r="AC320" s="56">
        <f>AC319*AC$7</f>
        <v/>
      </c>
      <c r="AD320" s="56">
        <f>AD319*AD$7</f>
        <v/>
      </c>
      <c r="AE320" s="56">
        <f>AE319*AE$7</f>
        <v/>
      </c>
      <c r="AF320" s="56">
        <f>AF319*AF$7</f>
        <v/>
      </c>
      <c r="AG320" s="56">
        <f>AG319*AG$7</f>
        <v/>
      </c>
      <c r="AH320" s="56">
        <f>AH319*AH$7</f>
        <v/>
      </c>
      <c r="AI320" s="56">
        <f>AI319*AI$7</f>
        <v/>
      </c>
      <c r="AJ320" s="56">
        <f>AJ319*AJ$7</f>
        <v/>
      </c>
      <c r="AK320" s="56">
        <f>AK319*AK$7</f>
        <v/>
      </c>
      <c r="AL320" s="56">
        <f>AL319*AL$7</f>
        <v/>
      </c>
      <c r="AM320" s="57">
        <f>SUMIF($C$6:$AL$6,1,C320:AL320)</f>
        <v/>
      </c>
      <c r="AN320" s="57">
        <f>SUMIF($C$6:$AL$6,2,C320:AL320)</f>
        <v/>
      </c>
      <c r="AO320" s="57">
        <f>SUMIF($C$6:$AL$6,3,C320:AL320)</f>
        <v/>
      </c>
      <c r="AP320" s="57">
        <f>SUM(C320:AL320)</f>
        <v/>
      </c>
    </row>
    <row r="321">
      <c r="A321" s="7" t="inlineStr">
        <is>
          <t xml:space="preserve">   Units per title per month (with review ramp)</t>
        </is>
      </c>
      <c r="B321" s="9" t="inlineStr">
        <is>
          <t>units</t>
        </is>
      </c>
      <c r="C321" s="51">
        <f>'Assumptions'!$E$147*MIN(1,(C$4-MAX('Assumptions'!$E$143,'Assumptions'!$C$9)+1)/'Assumptions'!$C$11)*C318</f>
        <v/>
      </c>
      <c r="D321" s="51">
        <f>'Assumptions'!$E$147*MIN(1,(D$4-MAX('Assumptions'!$E$143,'Assumptions'!$C$9)+1)/'Assumptions'!$C$11)*D318</f>
        <v/>
      </c>
      <c r="E321" s="51">
        <f>'Assumptions'!$E$147*MIN(1,(E$4-MAX('Assumptions'!$E$143,'Assumptions'!$C$9)+1)/'Assumptions'!$C$11)*E318</f>
        <v/>
      </c>
      <c r="F321" s="51">
        <f>'Assumptions'!$E$147*MIN(1,(F$4-MAX('Assumptions'!$E$143,'Assumptions'!$C$9)+1)/'Assumptions'!$C$11)*F318</f>
        <v/>
      </c>
      <c r="G321" s="51">
        <f>'Assumptions'!$E$147*MIN(1,(G$4-MAX('Assumptions'!$E$143,'Assumptions'!$C$9)+1)/'Assumptions'!$C$11)*G318</f>
        <v/>
      </c>
      <c r="H321" s="51">
        <f>'Assumptions'!$E$147*MIN(1,(H$4-MAX('Assumptions'!$E$143,'Assumptions'!$C$9)+1)/'Assumptions'!$C$11)*H318</f>
        <v/>
      </c>
      <c r="I321" s="51">
        <f>'Assumptions'!$E$147*MIN(1,(I$4-MAX('Assumptions'!$E$143,'Assumptions'!$C$9)+1)/'Assumptions'!$C$11)*I318</f>
        <v/>
      </c>
      <c r="J321" s="51">
        <f>'Assumptions'!$E$147*MIN(1,(J$4-MAX('Assumptions'!$E$143,'Assumptions'!$C$9)+1)/'Assumptions'!$C$11)*J318</f>
        <v/>
      </c>
      <c r="K321" s="51">
        <f>'Assumptions'!$E$147*MIN(1,(K$4-MAX('Assumptions'!$E$143,'Assumptions'!$C$9)+1)/'Assumptions'!$C$11)*K318</f>
        <v/>
      </c>
      <c r="L321" s="51">
        <f>'Assumptions'!$E$147*MIN(1,(L$4-MAX('Assumptions'!$E$143,'Assumptions'!$C$9)+1)/'Assumptions'!$C$11)*L318</f>
        <v/>
      </c>
      <c r="M321" s="51">
        <f>'Assumptions'!$E$147*MIN(1,(M$4-MAX('Assumptions'!$E$143,'Assumptions'!$C$9)+1)/'Assumptions'!$C$11)*M318</f>
        <v/>
      </c>
      <c r="N321" s="51">
        <f>'Assumptions'!$E$147*MIN(1,(N$4-MAX('Assumptions'!$E$143,'Assumptions'!$C$9)+1)/'Assumptions'!$C$11)*N318</f>
        <v/>
      </c>
      <c r="O321" s="51">
        <f>'Assumptions'!$E$147*MIN(1,(O$4-MAX('Assumptions'!$E$143,'Assumptions'!$C$9)+1)/'Assumptions'!$C$11)*O318</f>
        <v/>
      </c>
      <c r="P321" s="51">
        <f>'Assumptions'!$E$147*MIN(1,(P$4-MAX('Assumptions'!$E$143,'Assumptions'!$C$9)+1)/'Assumptions'!$C$11)*P318</f>
        <v/>
      </c>
      <c r="Q321" s="51">
        <f>'Assumptions'!$E$147*MIN(1,(Q$4-MAX('Assumptions'!$E$143,'Assumptions'!$C$9)+1)/'Assumptions'!$C$11)*Q318</f>
        <v/>
      </c>
      <c r="R321" s="51">
        <f>'Assumptions'!$E$147*MIN(1,(R$4-MAX('Assumptions'!$E$143,'Assumptions'!$C$9)+1)/'Assumptions'!$C$11)*R318</f>
        <v/>
      </c>
      <c r="S321" s="51">
        <f>'Assumptions'!$E$147*MIN(1,(S$4-MAX('Assumptions'!$E$143,'Assumptions'!$C$9)+1)/'Assumptions'!$C$11)*S318</f>
        <v/>
      </c>
      <c r="T321" s="51">
        <f>'Assumptions'!$E$147*MIN(1,(T$4-MAX('Assumptions'!$E$143,'Assumptions'!$C$9)+1)/'Assumptions'!$C$11)*T318</f>
        <v/>
      </c>
      <c r="U321" s="51">
        <f>'Assumptions'!$E$147*MIN(1,(U$4-MAX('Assumptions'!$E$143,'Assumptions'!$C$9)+1)/'Assumptions'!$C$11)*U318</f>
        <v/>
      </c>
      <c r="V321" s="51">
        <f>'Assumptions'!$E$147*MIN(1,(V$4-MAX('Assumptions'!$E$143,'Assumptions'!$C$9)+1)/'Assumptions'!$C$11)*V318</f>
        <v/>
      </c>
      <c r="W321" s="51">
        <f>'Assumptions'!$E$147*MIN(1,(W$4-MAX('Assumptions'!$E$143,'Assumptions'!$C$9)+1)/'Assumptions'!$C$11)*W318</f>
        <v/>
      </c>
      <c r="X321" s="51">
        <f>'Assumptions'!$E$147*MIN(1,(X$4-MAX('Assumptions'!$E$143,'Assumptions'!$C$9)+1)/'Assumptions'!$C$11)*X318</f>
        <v/>
      </c>
      <c r="Y321" s="51">
        <f>'Assumptions'!$E$147*MIN(1,(Y$4-MAX('Assumptions'!$E$143,'Assumptions'!$C$9)+1)/'Assumptions'!$C$11)*Y318</f>
        <v/>
      </c>
      <c r="Z321" s="51">
        <f>'Assumptions'!$E$147*MIN(1,(Z$4-MAX('Assumptions'!$E$143,'Assumptions'!$C$9)+1)/'Assumptions'!$C$11)*Z318</f>
        <v/>
      </c>
      <c r="AA321" s="51">
        <f>'Assumptions'!$E$147*MIN(1,(AA$4-MAX('Assumptions'!$E$143,'Assumptions'!$C$9)+1)/'Assumptions'!$C$11)*AA318</f>
        <v/>
      </c>
      <c r="AB321" s="51">
        <f>'Assumptions'!$E$147*MIN(1,(AB$4-MAX('Assumptions'!$E$143,'Assumptions'!$C$9)+1)/'Assumptions'!$C$11)*AB318</f>
        <v/>
      </c>
      <c r="AC321" s="51">
        <f>'Assumptions'!$E$147*MIN(1,(AC$4-MAX('Assumptions'!$E$143,'Assumptions'!$C$9)+1)/'Assumptions'!$C$11)*AC318</f>
        <v/>
      </c>
      <c r="AD321" s="51">
        <f>'Assumptions'!$E$147*MIN(1,(AD$4-MAX('Assumptions'!$E$143,'Assumptions'!$C$9)+1)/'Assumptions'!$C$11)*AD318</f>
        <v/>
      </c>
      <c r="AE321" s="51">
        <f>'Assumptions'!$E$147*MIN(1,(AE$4-MAX('Assumptions'!$E$143,'Assumptions'!$C$9)+1)/'Assumptions'!$C$11)*AE318</f>
        <v/>
      </c>
      <c r="AF321" s="51">
        <f>'Assumptions'!$E$147*MIN(1,(AF$4-MAX('Assumptions'!$E$143,'Assumptions'!$C$9)+1)/'Assumptions'!$C$11)*AF318</f>
        <v/>
      </c>
      <c r="AG321" s="51">
        <f>'Assumptions'!$E$147*MIN(1,(AG$4-MAX('Assumptions'!$E$143,'Assumptions'!$C$9)+1)/'Assumptions'!$C$11)*AG318</f>
        <v/>
      </c>
      <c r="AH321" s="51">
        <f>'Assumptions'!$E$147*MIN(1,(AH$4-MAX('Assumptions'!$E$143,'Assumptions'!$C$9)+1)/'Assumptions'!$C$11)*AH318</f>
        <v/>
      </c>
      <c r="AI321" s="51">
        <f>'Assumptions'!$E$147*MIN(1,(AI$4-MAX('Assumptions'!$E$143,'Assumptions'!$C$9)+1)/'Assumptions'!$C$11)*AI318</f>
        <v/>
      </c>
      <c r="AJ321" s="51">
        <f>'Assumptions'!$E$147*MIN(1,(AJ$4-MAX('Assumptions'!$E$143,'Assumptions'!$C$9)+1)/'Assumptions'!$C$11)*AJ318</f>
        <v/>
      </c>
      <c r="AK321" s="51">
        <f>'Assumptions'!$E$147*MIN(1,(AK$4-MAX('Assumptions'!$E$143,'Assumptions'!$C$9)+1)/'Assumptions'!$C$11)*AK318</f>
        <v/>
      </c>
      <c r="AL321" s="51">
        <f>'Assumptions'!$E$147*MIN(1,(AL$4-MAX('Assumptions'!$E$143,'Assumptions'!$C$9)+1)/'Assumptions'!$C$11)*AL318</f>
        <v/>
      </c>
    </row>
    <row r="322">
      <c r="A322" s="7" t="inlineStr">
        <is>
          <t xml:space="preserve">   Orders</t>
        </is>
      </c>
      <c r="B322" s="9" t="inlineStr">
        <is>
          <t>orders</t>
        </is>
      </c>
      <c r="C322" s="56">
        <f>C320*C321</f>
        <v/>
      </c>
      <c r="D322" s="56">
        <f>D320*D321</f>
        <v/>
      </c>
      <c r="E322" s="56">
        <f>E320*E321</f>
        <v/>
      </c>
      <c r="F322" s="56">
        <f>F320*F321</f>
        <v/>
      </c>
      <c r="G322" s="56">
        <f>G320*G321</f>
        <v/>
      </c>
      <c r="H322" s="56">
        <f>H320*H321</f>
        <v/>
      </c>
      <c r="I322" s="56">
        <f>I320*I321</f>
        <v/>
      </c>
      <c r="J322" s="56">
        <f>J320*J321</f>
        <v/>
      </c>
      <c r="K322" s="56">
        <f>K320*K321</f>
        <v/>
      </c>
      <c r="L322" s="56">
        <f>L320*L321</f>
        <v/>
      </c>
      <c r="M322" s="56">
        <f>M320*M321</f>
        <v/>
      </c>
      <c r="N322" s="56">
        <f>N320*N321</f>
        <v/>
      </c>
      <c r="O322" s="56">
        <f>O320*O321</f>
        <v/>
      </c>
      <c r="P322" s="56">
        <f>P320*P321</f>
        <v/>
      </c>
      <c r="Q322" s="56">
        <f>Q320*Q321</f>
        <v/>
      </c>
      <c r="R322" s="56">
        <f>R320*R321</f>
        <v/>
      </c>
      <c r="S322" s="56">
        <f>S320*S321</f>
        <v/>
      </c>
      <c r="T322" s="56">
        <f>T320*T321</f>
        <v/>
      </c>
      <c r="U322" s="56">
        <f>U320*U321</f>
        <v/>
      </c>
      <c r="V322" s="56">
        <f>V320*V321</f>
        <v/>
      </c>
      <c r="W322" s="56">
        <f>W320*W321</f>
        <v/>
      </c>
      <c r="X322" s="56">
        <f>X320*X321</f>
        <v/>
      </c>
      <c r="Y322" s="56">
        <f>Y320*Y321</f>
        <v/>
      </c>
      <c r="Z322" s="56">
        <f>Z320*Z321</f>
        <v/>
      </c>
      <c r="AA322" s="56">
        <f>AA320*AA321</f>
        <v/>
      </c>
      <c r="AB322" s="56">
        <f>AB320*AB321</f>
        <v/>
      </c>
      <c r="AC322" s="56">
        <f>AC320*AC321</f>
        <v/>
      </c>
      <c r="AD322" s="56">
        <f>AD320*AD321</f>
        <v/>
      </c>
      <c r="AE322" s="56">
        <f>AE320*AE321</f>
        <v/>
      </c>
      <c r="AF322" s="56">
        <f>AF320*AF321</f>
        <v/>
      </c>
      <c r="AG322" s="56">
        <f>AG320*AG321</f>
        <v/>
      </c>
      <c r="AH322" s="56">
        <f>AH320*AH321</f>
        <v/>
      </c>
      <c r="AI322" s="56">
        <f>AI320*AI321</f>
        <v/>
      </c>
      <c r="AJ322" s="56">
        <f>AJ320*AJ321</f>
        <v/>
      </c>
      <c r="AK322" s="56">
        <f>AK320*AK321</f>
        <v/>
      </c>
      <c r="AL322" s="56">
        <f>AL320*AL321</f>
        <v/>
      </c>
      <c r="AM322" s="57">
        <f>SUMIF($C$6:$AL$6,1,C322:AL322)</f>
        <v/>
      </c>
      <c r="AN322" s="57">
        <f>SUMIF($C$6:$AL$6,2,C322:AL322)</f>
        <v/>
      </c>
      <c r="AO322" s="57">
        <f>SUMIF($C$6:$AL$6,3,C322:AL322)</f>
        <v/>
      </c>
      <c r="AP322" s="57">
        <f>SUM(C322:AL322)</f>
        <v/>
      </c>
    </row>
    <row r="323">
      <c r="A323" s="7" t="inlineStr">
        <is>
          <t xml:space="preserve">   Items sold</t>
        </is>
      </c>
      <c r="B323" s="9" t="inlineStr">
        <is>
          <t>items</t>
        </is>
      </c>
      <c r="C323" s="14">
        <f>C322*'Assumptions'!$E$148</f>
        <v/>
      </c>
      <c r="D323" s="14">
        <f>D322*'Assumptions'!$E$148</f>
        <v/>
      </c>
      <c r="E323" s="14">
        <f>E322*'Assumptions'!$E$148</f>
        <v/>
      </c>
      <c r="F323" s="14">
        <f>F322*'Assumptions'!$E$148</f>
        <v/>
      </c>
      <c r="G323" s="14">
        <f>G322*'Assumptions'!$E$148</f>
        <v/>
      </c>
      <c r="H323" s="14">
        <f>H322*'Assumptions'!$E$148</f>
        <v/>
      </c>
      <c r="I323" s="14">
        <f>I322*'Assumptions'!$E$148</f>
        <v/>
      </c>
      <c r="J323" s="14">
        <f>J322*'Assumptions'!$E$148</f>
        <v/>
      </c>
      <c r="K323" s="14">
        <f>K322*'Assumptions'!$E$148</f>
        <v/>
      </c>
      <c r="L323" s="14">
        <f>L322*'Assumptions'!$E$148</f>
        <v/>
      </c>
      <c r="M323" s="14">
        <f>M322*'Assumptions'!$E$148</f>
        <v/>
      </c>
      <c r="N323" s="14">
        <f>N322*'Assumptions'!$E$148</f>
        <v/>
      </c>
      <c r="O323" s="14">
        <f>O322*'Assumptions'!$E$148</f>
        <v/>
      </c>
      <c r="P323" s="14">
        <f>P322*'Assumptions'!$E$148</f>
        <v/>
      </c>
      <c r="Q323" s="14">
        <f>Q322*'Assumptions'!$E$148</f>
        <v/>
      </c>
      <c r="R323" s="14">
        <f>R322*'Assumptions'!$E$148</f>
        <v/>
      </c>
      <c r="S323" s="14">
        <f>S322*'Assumptions'!$E$148</f>
        <v/>
      </c>
      <c r="T323" s="14">
        <f>T322*'Assumptions'!$E$148</f>
        <v/>
      </c>
      <c r="U323" s="14">
        <f>U322*'Assumptions'!$E$148</f>
        <v/>
      </c>
      <c r="V323" s="14">
        <f>V322*'Assumptions'!$E$148</f>
        <v/>
      </c>
      <c r="W323" s="14">
        <f>W322*'Assumptions'!$E$148</f>
        <v/>
      </c>
      <c r="X323" s="14">
        <f>X322*'Assumptions'!$E$148</f>
        <v/>
      </c>
      <c r="Y323" s="14">
        <f>Y322*'Assumptions'!$E$148</f>
        <v/>
      </c>
      <c r="Z323" s="14">
        <f>Z322*'Assumptions'!$E$148</f>
        <v/>
      </c>
      <c r="AA323" s="14">
        <f>AA322*'Assumptions'!$E$148</f>
        <v/>
      </c>
      <c r="AB323" s="14">
        <f>AB322*'Assumptions'!$E$148</f>
        <v/>
      </c>
      <c r="AC323" s="14">
        <f>AC322*'Assumptions'!$E$148</f>
        <v/>
      </c>
      <c r="AD323" s="14">
        <f>AD322*'Assumptions'!$E$148</f>
        <v/>
      </c>
      <c r="AE323" s="14">
        <f>AE322*'Assumptions'!$E$148</f>
        <v/>
      </c>
      <c r="AF323" s="14">
        <f>AF322*'Assumptions'!$E$148</f>
        <v/>
      </c>
      <c r="AG323" s="14">
        <f>AG322*'Assumptions'!$E$148</f>
        <v/>
      </c>
      <c r="AH323" s="14">
        <f>AH322*'Assumptions'!$E$148</f>
        <v/>
      </c>
      <c r="AI323" s="14">
        <f>AI322*'Assumptions'!$E$148</f>
        <v/>
      </c>
      <c r="AJ323" s="14">
        <f>AJ322*'Assumptions'!$E$148</f>
        <v/>
      </c>
      <c r="AK323" s="14">
        <f>AK322*'Assumptions'!$E$148</f>
        <v/>
      </c>
      <c r="AL323" s="14">
        <f>AL322*'Assumptions'!$E$148</f>
        <v/>
      </c>
      <c r="AM323" s="57">
        <f>SUMIF($C$6:$AL$6,1,C323:AL323)</f>
        <v/>
      </c>
      <c r="AN323" s="57">
        <f>SUMIF($C$6:$AL$6,2,C323:AL323)</f>
        <v/>
      </c>
      <c r="AO323" s="57">
        <f>SUMIF($C$6:$AL$6,3,C323:AL323)</f>
        <v/>
      </c>
      <c r="AP323" s="57">
        <f>SUM(C323:AL323)</f>
        <v/>
      </c>
    </row>
    <row r="324">
      <c r="A324" s="7" t="inlineStr">
        <is>
          <t xml:space="preserve">   Average order value</t>
        </is>
      </c>
      <c r="B324" s="9" t="inlineStr">
        <is>
          <t>$</t>
        </is>
      </c>
      <c r="C324" s="16">
        <f>'Unit Economics'!$E$52*'Assumptions'!$E$148*C318</f>
        <v/>
      </c>
      <c r="D324" s="16">
        <f>'Unit Economics'!$E$52*'Assumptions'!$E$148*D318</f>
        <v/>
      </c>
      <c r="E324" s="16">
        <f>'Unit Economics'!$E$52*'Assumptions'!$E$148*E318</f>
        <v/>
      </c>
      <c r="F324" s="16">
        <f>'Unit Economics'!$E$52*'Assumptions'!$E$148*F318</f>
        <v/>
      </c>
      <c r="G324" s="16">
        <f>'Unit Economics'!$E$52*'Assumptions'!$E$148*G318</f>
        <v/>
      </c>
      <c r="H324" s="16">
        <f>'Unit Economics'!$E$52*'Assumptions'!$E$148*H318</f>
        <v/>
      </c>
      <c r="I324" s="16">
        <f>'Unit Economics'!$E$52*'Assumptions'!$E$148*I318</f>
        <v/>
      </c>
      <c r="J324" s="16">
        <f>'Unit Economics'!$E$52*'Assumptions'!$E$148*J318</f>
        <v/>
      </c>
      <c r="K324" s="16">
        <f>'Unit Economics'!$E$52*'Assumptions'!$E$148*K318</f>
        <v/>
      </c>
      <c r="L324" s="16">
        <f>'Unit Economics'!$E$52*'Assumptions'!$E$148*L318</f>
        <v/>
      </c>
      <c r="M324" s="16">
        <f>'Unit Economics'!$E$52*'Assumptions'!$E$148*M318</f>
        <v/>
      </c>
      <c r="N324" s="16">
        <f>'Unit Economics'!$E$52*'Assumptions'!$E$148*N318</f>
        <v/>
      </c>
      <c r="O324" s="16">
        <f>'Unit Economics'!$E$52*'Assumptions'!$E$148*O318</f>
        <v/>
      </c>
      <c r="P324" s="16">
        <f>'Unit Economics'!$E$52*'Assumptions'!$E$148*P318</f>
        <v/>
      </c>
      <c r="Q324" s="16">
        <f>'Unit Economics'!$E$52*'Assumptions'!$E$148*Q318</f>
        <v/>
      </c>
      <c r="R324" s="16">
        <f>'Unit Economics'!$E$52*'Assumptions'!$E$148*R318</f>
        <v/>
      </c>
      <c r="S324" s="16">
        <f>'Unit Economics'!$E$52*'Assumptions'!$E$148*S318</f>
        <v/>
      </c>
      <c r="T324" s="16">
        <f>'Unit Economics'!$E$52*'Assumptions'!$E$148*T318</f>
        <v/>
      </c>
      <c r="U324" s="16">
        <f>'Unit Economics'!$E$52*'Assumptions'!$E$148*U318</f>
        <v/>
      </c>
      <c r="V324" s="16">
        <f>'Unit Economics'!$E$52*'Assumptions'!$E$148*V318</f>
        <v/>
      </c>
      <c r="W324" s="16">
        <f>'Unit Economics'!$E$52*'Assumptions'!$E$148*W318</f>
        <v/>
      </c>
      <c r="X324" s="16">
        <f>'Unit Economics'!$E$52*'Assumptions'!$E$148*X318</f>
        <v/>
      </c>
      <c r="Y324" s="16">
        <f>'Unit Economics'!$E$52*'Assumptions'!$E$148*Y318</f>
        <v/>
      </c>
      <c r="Z324" s="16">
        <f>'Unit Economics'!$E$52*'Assumptions'!$E$148*Z318</f>
        <v/>
      </c>
      <c r="AA324" s="16">
        <f>'Unit Economics'!$E$52*'Assumptions'!$E$148*AA318</f>
        <v/>
      </c>
      <c r="AB324" s="16">
        <f>'Unit Economics'!$E$52*'Assumptions'!$E$148*AB318</f>
        <v/>
      </c>
      <c r="AC324" s="16">
        <f>'Unit Economics'!$E$52*'Assumptions'!$E$148*AC318</f>
        <v/>
      </c>
      <c r="AD324" s="16">
        <f>'Unit Economics'!$E$52*'Assumptions'!$E$148*AD318</f>
        <v/>
      </c>
      <c r="AE324" s="16">
        <f>'Unit Economics'!$E$52*'Assumptions'!$E$148*AE318</f>
        <v/>
      </c>
      <c r="AF324" s="16">
        <f>'Unit Economics'!$E$52*'Assumptions'!$E$148*AF318</f>
        <v/>
      </c>
      <c r="AG324" s="16">
        <f>'Unit Economics'!$E$52*'Assumptions'!$E$148*AG318</f>
        <v/>
      </c>
      <c r="AH324" s="16">
        <f>'Unit Economics'!$E$52*'Assumptions'!$E$148*AH318</f>
        <v/>
      </c>
      <c r="AI324" s="16">
        <f>'Unit Economics'!$E$52*'Assumptions'!$E$148*AI318</f>
        <v/>
      </c>
      <c r="AJ324" s="16">
        <f>'Unit Economics'!$E$52*'Assumptions'!$E$148*AJ318</f>
        <v/>
      </c>
      <c r="AK324" s="16">
        <f>'Unit Economics'!$E$52*'Assumptions'!$E$148*AK318</f>
        <v/>
      </c>
      <c r="AL324" s="16">
        <f>'Unit Economics'!$E$52*'Assumptions'!$E$148*AL318</f>
        <v/>
      </c>
    </row>
    <row r="325">
      <c r="A325" s="7" t="inlineStr">
        <is>
          <t xml:space="preserve">   Gross sales (price paid by customers)</t>
        </is>
      </c>
      <c r="B325" s="9" t="inlineStr">
        <is>
          <t>$</t>
        </is>
      </c>
      <c r="C325" s="8">
        <f>C323*'Unit Economics'!$E$52</f>
        <v/>
      </c>
      <c r="D325" s="8">
        <f>D323*'Unit Economics'!$E$52</f>
        <v/>
      </c>
      <c r="E325" s="8">
        <f>E323*'Unit Economics'!$E$52</f>
        <v/>
      </c>
      <c r="F325" s="8">
        <f>F323*'Unit Economics'!$E$52</f>
        <v/>
      </c>
      <c r="G325" s="8">
        <f>G323*'Unit Economics'!$E$52</f>
        <v/>
      </c>
      <c r="H325" s="8">
        <f>H323*'Unit Economics'!$E$52</f>
        <v/>
      </c>
      <c r="I325" s="8">
        <f>I323*'Unit Economics'!$E$52</f>
        <v/>
      </c>
      <c r="J325" s="8">
        <f>J323*'Unit Economics'!$E$52</f>
        <v/>
      </c>
      <c r="K325" s="8">
        <f>K323*'Unit Economics'!$E$52</f>
        <v/>
      </c>
      <c r="L325" s="8">
        <f>L323*'Unit Economics'!$E$52</f>
        <v/>
      </c>
      <c r="M325" s="8">
        <f>M323*'Unit Economics'!$E$52</f>
        <v/>
      </c>
      <c r="N325" s="8">
        <f>N323*'Unit Economics'!$E$52</f>
        <v/>
      </c>
      <c r="O325" s="8">
        <f>O323*'Unit Economics'!$E$52</f>
        <v/>
      </c>
      <c r="P325" s="8">
        <f>P323*'Unit Economics'!$E$52</f>
        <v/>
      </c>
      <c r="Q325" s="8">
        <f>Q323*'Unit Economics'!$E$52</f>
        <v/>
      </c>
      <c r="R325" s="8">
        <f>R323*'Unit Economics'!$E$52</f>
        <v/>
      </c>
      <c r="S325" s="8">
        <f>S323*'Unit Economics'!$E$52</f>
        <v/>
      </c>
      <c r="T325" s="8">
        <f>T323*'Unit Economics'!$E$52</f>
        <v/>
      </c>
      <c r="U325" s="8">
        <f>U323*'Unit Economics'!$E$52</f>
        <v/>
      </c>
      <c r="V325" s="8">
        <f>V323*'Unit Economics'!$E$52</f>
        <v/>
      </c>
      <c r="W325" s="8">
        <f>W323*'Unit Economics'!$E$52</f>
        <v/>
      </c>
      <c r="X325" s="8">
        <f>X323*'Unit Economics'!$E$52</f>
        <v/>
      </c>
      <c r="Y325" s="8">
        <f>Y323*'Unit Economics'!$E$52</f>
        <v/>
      </c>
      <c r="Z325" s="8">
        <f>Z323*'Unit Economics'!$E$52</f>
        <v/>
      </c>
      <c r="AA325" s="8">
        <f>AA323*'Unit Economics'!$E$52</f>
        <v/>
      </c>
      <c r="AB325" s="8">
        <f>AB323*'Unit Economics'!$E$52</f>
        <v/>
      </c>
      <c r="AC325" s="8">
        <f>AC323*'Unit Economics'!$E$52</f>
        <v/>
      </c>
      <c r="AD325" s="8">
        <f>AD323*'Unit Economics'!$E$52</f>
        <v/>
      </c>
      <c r="AE325" s="8">
        <f>AE323*'Unit Economics'!$E$52</f>
        <v/>
      </c>
      <c r="AF325" s="8">
        <f>AF323*'Unit Economics'!$E$52</f>
        <v/>
      </c>
      <c r="AG325" s="8">
        <f>AG323*'Unit Economics'!$E$52</f>
        <v/>
      </c>
      <c r="AH325" s="8">
        <f>AH323*'Unit Economics'!$E$52</f>
        <v/>
      </c>
      <c r="AI325" s="8">
        <f>AI323*'Unit Economics'!$E$52</f>
        <v/>
      </c>
      <c r="AJ325" s="8">
        <f>AJ323*'Unit Economics'!$E$52</f>
        <v/>
      </c>
      <c r="AK325" s="8">
        <f>AK323*'Unit Economics'!$E$52</f>
        <v/>
      </c>
      <c r="AL325" s="8">
        <f>AL323*'Unit Economics'!$E$52</f>
        <v/>
      </c>
      <c r="AM325" s="47">
        <f>SUMIF($C$6:$AL$6,1,C325:AL325)</f>
        <v/>
      </c>
      <c r="AN325" s="47">
        <f>SUMIF($C$6:$AL$6,2,C325:AL325)</f>
        <v/>
      </c>
      <c r="AO325" s="47">
        <f>SUMIF($C$6:$AL$6,3,C325:AL325)</f>
        <v/>
      </c>
      <c r="AP325" s="47">
        <f>SUM(C325:AL325)</f>
        <v/>
      </c>
    </row>
    <row r="326">
      <c r="A326" s="7" t="inlineStr">
        <is>
          <t xml:space="preserve">   Net contribution to AlphaPlay</t>
        </is>
      </c>
      <c r="B326" s="9" t="inlineStr">
        <is>
          <t>$</t>
        </is>
      </c>
      <c r="C326" s="8">
        <f>C323*'Unit Economics'!$F$52</f>
        <v/>
      </c>
      <c r="D326" s="8">
        <f>D323*'Unit Economics'!$F$52</f>
        <v/>
      </c>
      <c r="E326" s="8">
        <f>E323*'Unit Economics'!$F$52</f>
        <v/>
      </c>
      <c r="F326" s="8">
        <f>F323*'Unit Economics'!$F$52</f>
        <v/>
      </c>
      <c r="G326" s="8">
        <f>G323*'Unit Economics'!$F$52</f>
        <v/>
      </c>
      <c r="H326" s="8">
        <f>H323*'Unit Economics'!$F$52</f>
        <v/>
      </c>
      <c r="I326" s="8">
        <f>I323*'Unit Economics'!$F$52</f>
        <v/>
      </c>
      <c r="J326" s="8">
        <f>J323*'Unit Economics'!$F$52</f>
        <v/>
      </c>
      <c r="K326" s="8">
        <f>K323*'Unit Economics'!$F$52</f>
        <v/>
      </c>
      <c r="L326" s="8">
        <f>L323*'Unit Economics'!$F$52</f>
        <v/>
      </c>
      <c r="M326" s="8">
        <f>M323*'Unit Economics'!$F$52</f>
        <v/>
      </c>
      <c r="N326" s="8">
        <f>N323*'Unit Economics'!$F$52</f>
        <v/>
      </c>
      <c r="O326" s="8">
        <f>O323*'Unit Economics'!$F$52</f>
        <v/>
      </c>
      <c r="P326" s="8">
        <f>P323*'Unit Economics'!$F$52</f>
        <v/>
      </c>
      <c r="Q326" s="8">
        <f>Q323*'Unit Economics'!$F$52</f>
        <v/>
      </c>
      <c r="R326" s="8">
        <f>R323*'Unit Economics'!$F$52</f>
        <v/>
      </c>
      <c r="S326" s="8">
        <f>S323*'Unit Economics'!$F$52</f>
        <v/>
      </c>
      <c r="T326" s="8">
        <f>T323*'Unit Economics'!$F$52</f>
        <v/>
      </c>
      <c r="U326" s="8">
        <f>U323*'Unit Economics'!$F$52</f>
        <v/>
      </c>
      <c r="V326" s="8">
        <f>V323*'Unit Economics'!$F$52</f>
        <v/>
      </c>
      <c r="W326" s="8">
        <f>W323*'Unit Economics'!$F$52</f>
        <v/>
      </c>
      <c r="X326" s="8">
        <f>X323*'Unit Economics'!$F$52</f>
        <v/>
      </c>
      <c r="Y326" s="8">
        <f>Y323*'Unit Economics'!$F$52</f>
        <v/>
      </c>
      <c r="Z326" s="8">
        <f>Z323*'Unit Economics'!$F$52</f>
        <v/>
      </c>
      <c r="AA326" s="8">
        <f>AA323*'Unit Economics'!$F$52</f>
        <v/>
      </c>
      <c r="AB326" s="8">
        <f>AB323*'Unit Economics'!$F$52</f>
        <v/>
      </c>
      <c r="AC326" s="8">
        <f>AC323*'Unit Economics'!$F$52</f>
        <v/>
      </c>
      <c r="AD326" s="8">
        <f>AD323*'Unit Economics'!$F$52</f>
        <v/>
      </c>
      <c r="AE326" s="8">
        <f>AE323*'Unit Economics'!$F$52</f>
        <v/>
      </c>
      <c r="AF326" s="8">
        <f>AF323*'Unit Economics'!$F$52</f>
        <v/>
      </c>
      <c r="AG326" s="8">
        <f>AG323*'Unit Economics'!$F$52</f>
        <v/>
      </c>
      <c r="AH326" s="8">
        <f>AH323*'Unit Economics'!$F$52</f>
        <v/>
      </c>
      <c r="AI326" s="8">
        <f>AI323*'Unit Economics'!$F$52</f>
        <v/>
      </c>
      <c r="AJ326" s="8">
        <f>AJ323*'Unit Economics'!$F$52</f>
        <v/>
      </c>
      <c r="AK326" s="8">
        <f>AK323*'Unit Economics'!$F$52</f>
        <v/>
      </c>
      <c r="AL326" s="8">
        <f>AL323*'Unit Economics'!$F$52</f>
        <v/>
      </c>
      <c r="AM326" s="47">
        <f>SUMIF($C$6:$AL$6,1,C326:AL326)</f>
        <v/>
      </c>
      <c r="AN326" s="47">
        <f>SUMIF($C$6:$AL$6,2,C326:AL326)</f>
        <v/>
      </c>
      <c r="AO326" s="47">
        <f>SUMIF($C$6:$AL$6,3,C326:AL326)</f>
        <v/>
      </c>
      <c r="AP326" s="47">
        <f>SUM(C326:AL326)</f>
        <v/>
      </c>
    </row>
    <row r="327">
      <c r="A327" s="5" t="inlineStr">
        <is>
          <t>International digital via merchant of record (Gumroad)</t>
        </is>
      </c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  <c r="AC327" s="6" t="n"/>
      <c r="AD327" s="6" t="n"/>
      <c r="AE327" s="6" t="n"/>
      <c r="AF327" s="6" t="n"/>
      <c r="AG327" s="6" t="n"/>
      <c r="AH327" s="6" t="n"/>
      <c r="AI327" s="6" t="n"/>
      <c r="AJ327" s="6" t="n"/>
      <c r="AK327" s="6" t="n"/>
      <c r="AL327" s="6" t="n"/>
      <c r="AM327" s="6" t="n"/>
      <c r="AN327" s="6" t="n"/>
      <c r="AO327" s="6" t="n"/>
      <c r="AP327" s="6" t="n"/>
    </row>
    <row r="328">
      <c r="A328" s="7" t="inlineStr">
        <is>
          <t xml:space="preserve">   Active (1 = live)</t>
        </is>
      </c>
      <c r="B328" s="9" t="inlineStr">
        <is>
          <t>flag</t>
        </is>
      </c>
      <c r="C328" s="18">
        <f>IF(AND('Assumptions'!$E$150=1,C$4&gt;=MAX('Assumptions'!$E$151,'Assumptions'!$C$9)),1,0)</f>
        <v/>
      </c>
      <c r="D328" s="18">
        <f>IF(AND('Assumptions'!$E$150=1,D$4&gt;=MAX('Assumptions'!$E$151,'Assumptions'!$C$9)),1,0)</f>
        <v/>
      </c>
      <c r="E328" s="18">
        <f>IF(AND('Assumptions'!$E$150=1,E$4&gt;=MAX('Assumptions'!$E$151,'Assumptions'!$C$9)),1,0)</f>
        <v/>
      </c>
      <c r="F328" s="18">
        <f>IF(AND('Assumptions'!$E$150=1,F$4&gt;=MAX('Assumptions'!$E$151,'Assumptions'!$C$9)),1,0)</f>
        <v/>
      </c>
      <c r="G328" s="18">
        <f>IF(AND('Assumptions'!$E$150=1,G$4&gt;=MAX('Assumptions'!$E$151,'Assumptions'!$C$9)),1,0)</f>
        <v/>
      </c>
      <c r="H328" s="18">
        <f>IF(AND('Assumptions'!$E$150=1,H$4&gt;=MAX('Assumptions'!$E$151,'Assumptions'!$C$9)),1,0)</f>
        <v/>
      </c>
      <c r="I328" s="18">
        <f>IF(AND('Assumptions'!$E$150=1,I$4&gt;=MAX('Assumptions'!$E$151,'Assumptions'!$C$9)),1,0)</f>
        <v/>
      </c>
      <c r="J328" s="18">
        <f>IF(AND('Assumptions'!$E$150=1,J$4&gt;=MAX('Assumptions'!$E$151,'Assumptions'!$C$9)),1,0)</f>
        <v/>
      </c>
      <c r="K328" s="18">
        <f>IF(AND('Assumptions'!$E$150=1,K$4&gt;=MAX('Assumptions'!$E$151,'Assumptions'!$C$9)),1,0)</f>
        <v/>
      </c>
      <c r="L328" s="18">
        <f>IF(AND('Assumptions'!$E$150=1,L$4&gt;=MAX('Assumptions'!$E$151,'Assumptions'!$C$9)),1,0)</f>
        <v/>
      </c>
      <c r="M328" s="18">
        <f>IF(AND('Assumptions'!$E$150=1,M$4&gt;=MAX('Assumptions'!$E$151,'Assumptions'!$C$9)),1,0)</f>
        <v/>
      </c>
      <c r="N328" s="18">
        <f>IF(AND('Assumptions'!$E$150=1,N$4&gt;=MAX('Assumptions'!$E$151,'Assumptions'!$C$9)),1,0)</f>
        <v/>
      </c>
      <c r="O328" s="18">
        <f>IF(AND('Assumptions'!$E$150=1,O$4&gt;=MAX('Assumptions'!$E$151,'Assumptions'!$C$9)),1,0)</f>
        <v/>
      </c>
      <c r="P328" s="18">
        <f>IF(AND('Assumptions'!$E$150=1,P$4&gt;=MAX('Assumptions'!$E$151,'Assumptions'!$C$9)),1,0)</f>
        <v/>
      </c>
      <c r="Q328" s="18">
        <f>IF(AND('Assumptions'!$E$150=1,Q$4&gt;=MAX('Assumptions'!$E$151,'Assumptions'!$C$9)),1,0)</f>
        <v/>
      </c>
      <c r="R328" s="18">
        <f>IF(AND('Assumptions'!$E$150=1,R$4&gt;=MAX('Assumptions'!$E$151,'Assumptions'!$C$9)),1,0)</f>
        <v/>
      </c>
      <c r="S328" s="18">
        <f>IF(AND('Assumptions'!$E$150=1,S$4&gt;=MAX('Assumptions'!$E$151,'Assumptions'!$C$9)),1,0)</f>
        <v/>
      </c>
      <c r="T328" s="18">
        <f>IF(AND('Assumptions'!$E$150=1,T$4&gt;=MAX('Assumptions'!$E$151,'Assumptions'!$C$9)),1,0)</f>
        <v/>
      </c>
      <c r="U328" s="18">
        <f>IF(AND('Assumptions'!$E$150=1,U$4&gt;=MAX('Assumptions'!$E$151,'Assumptions'!$C$9)),1,0)</f>
        <v/>
      </c>
      <c r="V328" s="18">
        <f>IF(AND('Assumptions'!$E$150=1,V$4&gt;=MAX('Assumptions'!$E$151,'Assumptions'!$C$9)),1,0)</f>
        <v/>
      </c>
      <c r="W328" s="18">
        <f>IF(AND('Assumptions'!$E$150=1,W$4&gt;=MAX('Assumptions'!$E$151,'Assumptions'!$C$9)),1,0)</f>
        <v/>
      </c>
      <c r="X328" s="18">
        <f>IF(AND('Assumptions'!$E$150=1,X$4&gt;=MAX('Assumptions'!$E$151,'Assumptions'!$C$9)),1,0)</f>
        <v/>
      </c>
      <c r="Y328" s="18">
        <f>IF(AND('Assumptions'!$E$150=1,Y$4&gt;=MAX('Assumptions'!$E$151,'Assumptions'!$C$9)),1,0)</f>
        <v/>
      </c>
      <c r="Z328" s="18">
        <f>IF(AND('Assumptions'!$E$150=1,Z$4&gt;=MAX('Assumptions'!$E$151,'Assumptions'!$C$9)),1,0)</f>
        <v/>
      </c>
      <c r="AA328" s="18">
        <f>IF(AND('Assumptions'!$E$150=1,AA$4&gt;=MAX('Assumptions'!$E$151,'Assumptions'!$C$9)),1,0)</f>
        <v/>
      </c>
      <c r="AB328" s="18">
        <f>IF(AND('Assumptions'!$E$150=1,AB$4&gt;=MAX('Assumptions'!$E$151,'Assumptions'!$C$9)),1,0)</f>
        <v/>
      </c>
      <c r="AC328" s="18">
        <f>IF(AND('Assumptions'!$E$150=1,AC$4&gt;=MAX('Assumptions'!$E$151,'Assumptions'!$C$9)),1,0)</f>
        <v/>
      </c>
      <c r="AD328" s="18">
        <f>IF(AND('Assumptions'!$E$150=1,AD$4&gt;=MAX('Assumptions'!$E$151,'Assumptions'!$C$9)),1,0)</f>
        <v/>
      </c>
      <c r="AE328" s="18">
        <f>IF(AND('Assumptions'!$E$150=1,AE$4&gt;=MAX('Assumptions'!$E$151,'Assumptions'!$C$9)),1,0)</f>
        <v/>
      </c>
      <c r="AF328" s="18">
        <f>IF(AND('Assumptions'!$E$150=1,AF$4&gt;=MAX('Assumptions'!$E$151,'Assumptions'!$C$9)),1,0)</f>
        <v/>
      </c>
      <c r="AG328" s="18">
        <f>IF(AND('Assumptions'!$E$150=1,AG$4&gt;=MAX('Assumptions'!$E$151,'Assumptions'!$C$9)),1,0)</f>
        <v/>
      </c>
      <c r="AH328" s="18">
        <f>IF(AND('Assumptions'!$E$150=1,AH$4&gt;=MAX('Assumptions'!$E$151,'Assumptions'!$C$9)),1,0)</f>
        <v/>
      </c>
      <c r="AI328" s="18">
        <f>IF(AND('Assumptions'!$E$150=1,AI$4&gt;=MAX('Assumptions'!$E$151,'Assumptions'!$C$9)),1,0)</f>
        <v/>
      </c>
      <c r="AJ328" s="18">
        <f>IF(AND('Assumptions'!$E$150=1,AJ$4&gt;=MAX('Assumptions'!$E$151,'Assumptions'!$C$9)),1,0)</f>
        <v/>
      </c>
      <c r="AK328" s="18">
        <f>IF(AND('Assumptions'!$E$150=1,AK$4&gt;=MAX('Assumptions'!$E$151,'Assumptions'!$C$9)),1,0)</f>
        <v/>
      </c>
      <c r="AL328" s="18">
        <f>IF(AND('Assumptions'!$E$150=1,AL$4&gt;=MAX('Assumptions'!$E$151,'Assumptions'!$C$9)),1,0)</f>
        <v/>
      </c>
    </row>
    <row r="329">
      <c r="A329" s="7" t="inlineStr">
        <is>
          <t xml:space="preserve">   Sales-per-product index (1.00 in the launch month)</t>
        </is>
      </c>
      <c r="B329" s="9" t="inlineStr">
        <is>
          <t>index</t>
        </is>
      </c>
      <c r="C329" s="55">
        <f>IF(C328=0,0,1)</f>
        <v/>
      </c>
      <c r="D329" s="51">
        <f>IF(D328=0,0,IF(D$4=MAX('Assumptions'!$E$151,'Assumptions'!$C$9),1,C329*(1+CHOOSE(D$6,'Assumptions'!$E$152,'Assumptions'!$E$153,'Assumptions'!$E$154))))</f>
        <v/>
      </c>
      <c r="E329" s="51">
        <f>IF(E328=0,0,IF(E$4=MAX('Assumptions'!$E$151,'Assumptions'!$C$9),1,D329*(1+CHOOSE(E$6,'Assumptions'!$E$152,'Assumptions'!$E$153,'Assumptions'!$E$154))))</f>
        <v/>
      </c>
      <c r="F329" s="51">
        <f>IF(F328=0,0,IF(F$4=MAX('Assumptions'!$E$151,'Assumptions'!$C$9),1,E329*(1+CHOOSE(F$6,'Assumptions'!$E$152,'Assumptions'!$E$153,'Assumptions'!$E$154))))</f>
        <v/>
      </c>
      <c r="G329" s="51">
        <f>IF(G328=0,0,IF(G$4=MAX('Assumptions'!$E$151,'Assumptions'!$C$9),1,F329*(1+CHOOSE(G$6,'Assumptions'!$E$152,'Assumptions'!$E$153,'Assumptions'!$E$154))))</f>
        <v/>
      </c>
      <c r="H329" s="51">
        <f>IF(H328=0,0,IF(H$4=MAX('Assumptions'!$E$151,'Assumptions'!$C$9),1,G329*(1+CHOOSE(H$6,'Assumptions'!$E$152,'Assumptions'!$E$153,'Assumptions'!$E$154))))</f>
        <v/>
      </c>
      <c r="I329" s="51">
        <f>IF(I328=0,0,IF(I$4=MAX('Assumptions'!$E$151,'Assumptions'!$C$9),1,H329*(1+CHOOSE(I$6,'Assumptions'!$E$152,'Assumptions'!$E$153,'Assumptions'!$E$154))))</f>
        <v/>
      </c>
      <c r="J329" s="51">
        <f>IF(J328=0,0,IF(J$4=MAX('Assumptions'!$E$151,'Assumptions'!$C$9),1,I329*(1+CHOOSE(J$6,'Assumptions'!$E$152,'Assumptions'!$E$153,'Assumptions'!$E$154))))</f>
        <v/>
      </c>
      <c r="K329" s="51">
        <f>IF(K328=0,0,IF(K$4=MAX('Assumptions'!$E$151,'Assumptions'!$C$9),1,J329*(1+CHOOSE(K$6,'Assumptions'!$E$152,'Assumptions'!$E$153,'Assumptions'!$E$154))))</f>
        <v/>
      </c>
      <c r="L329" s="51">
        <f>IF(L328=0,0,IF(L$4=MAX('Assumptions'!$E$151,'Assumptions'!$C$9),1,K329*(1+CHOOSE(L$6,'Assumptions'!$E$152,'Assumptions'!$E$153,'Assumptions'!$E$154))))</f>
        <v/>
      </c>
      <c r="M329" s="51">
        <f>IF(M328=0,0,IF(M$4=MAX('Assumptions'!$E$151,'Assumptions'!$C$9),1,L329*(1+CHOOSE(M$6,'Assumptions'!$E$152,'Assumptions'!$E$153,'Assumptions'!$E$154))))</f>
        <v/>
      </c>
      <c r="N329" s="51">
        <f>IF(N328=0,0,IF(N$4=MAX('Assumptions'!$E$151,'Assumptions'!$C$9),1,M329*(1+CHOOSE(N$6,'Assumptions'!$E$152,'Assumptions'!$E$153,'Assumptions'!$E$154))))</f>
        <v/>
      </c>
      <c r="O329" s="51">
        <f>IF(O328=0,0,IF(O$4=MAX('Assumptions'!$E$151,'Assumptions'!$C$9),1,N329*(1+CHOOSE(O$6,'Assumptions'!$E$152,'Assumptions'!$E$153,'Assumptions'!$E$154))))</f>
        <v/>
      </c>
      <c r="P329" s="51">
        <f>IF(P328=0,0,IF(P$4=MAX('Assumptions'!$E$151,'Assumptions'!$C$9),1,O329*(1+CHOOSE(P$6,'Assumptions'!$E$152,'Assumptions'!$E$153,'Assumptions'!$E$154))))</f>
        <v/>
      </c>
      <c r="Q329" s="51">
        <f>IF(Q328=0,0,IF(Q$4=MAX('Assumptions'!$E$151,'Assumptions'!$C$9),1,P329*(1+CHOOSE(Q$6,'Assumptions'!$E$152,'Assumptions'!$E$153,'Assumptions'!$E$154))))</f>
        <v/>
      </c>
      <c r="R329" s="51">
        <f>IF(R328=0,0,IF(R$4=MAX('Assumptions'!$E$151,'Assumptions'!$C$9),1,Q329*(1+CHOOSE(R$6,'Assumptions'!$E$152,'Assumptions'!$E$153,'Assumptions'!$E$154))))</f>
        <v/>
      </c>
      <c r="S329" s="51">
        <f>IF(S328=0,0,IF(S$4=MAX('Assumptions'!$E$151,'Assumptions'!$C$9),1,R329*(1+CHOOSE(S$6,'Assumptions'!$E$152,'Assumptions'!$E$153,'Assumptions'!$E$154))))</f>
        <v/>
      </c>
      <c r="T329" s="51">
        <f>IF(T328=0,0,IF(T$4=MAX('Assumptions'!$E$151,'Assumptions'!$C$9),1,S329*(1+CHOOSE(T$6,'Assumptions'!$E$152,'Assumptions'!$E$153,'Assumptions'!$E$154))))</f>
        <v/>
      </c>
      <c r="U329" s="51">
        <f>IF(U328=0,0,IF(U$4=MAX('Assumptions'!$E$151,'Assumptions'!$C$9),1,T329*(1+CHOOSE(U$6,'Assumptions'!$E$152,'Assumptions'!$E$153,'Assumptions'!$E$154))))</f>
        <v/>
      </c>
      <c r="V329" s="51">
        <f>IF(V328=0,0,IF(V$4=MAX('Assumptions'!$E$151,'Assumptions'!$C$9),1,U329*(1+CHOOSE(V$6,'Assumptions'!$E$152,'Assumptions'!$E$153,'Assumptions'!$E$154))))</f>
        <v/>
      </c>
      <c r="W329" s="51">
        <f>IF(W328=0,0,IF(W$4=MAX('Assumptions'!$E$151,'Assumptions'!$C$9),1,V329*(1+CHOOSE(W$6,'Assumptions'!$E$152,'Assumptions'!$E$153,'Assumptions'!$E$154))))</f>
        <v/>
      </c>
      <c r="X329" s="51">
        <f>IF(X328=0,0,IF(X$4=MAX('Assumptions'!$E$151,'Assumptions'!$C$9),1,W329*(1+CHOOSE(X$6,'Assumptions'!$E$152,'Assumptions'!$E$153,'Assumptions'!$E$154))))</f>
        <v/>
      </c>
      <c r="Y329" s="51">
        <f>IF(Y328=0,0,IF(Y$4=MAX('Assumptions'!$E$151,'Assumptions'!$C$9),1,X329*(1+CHOOSE(Y$6,'Assumptions'!$E$152,'Assumptions'!$E$153,'Assumptions'!$E$154))))</f>
        <v/>
      </c>
      <c r="Z329" s="51">
        <f>IF(Z328=0,0,IF(Z$4=MAX('Assumptions'!$E$151,'Assumptions'!$C$9),1,Y329*(1+CHOOSE(Z$6,'Assumptions'!$E$152,'Assumptions'!$E$153,'Assumptions'!$E$154))))</f>
        <v/>
      </c>
      <c r="AA329" s="51">
        <f>IF(AA328=0,0,IF(AA$4=MAX('Assumptions'!$E$151,'Assumptions'!$C$9),1,Z329*(1+CHOOSE(AA$6,'Assumptions'!$E$152,'Assumptions'!$E$153,'Assumptions'!$E$154))))</f>
        <v/>
      </c>
      <c r="AB329" s="51">
        <f>IF(AB328=0,0,IF(AB$4=MAX('Assumptions'!$E$151,'Assumptions'!$C$9),1,AA329*(1+CHOOSE(AB$6,'Assumptions'!$E$152,'Assumptions'!$E$153,'Assumptions'!$E$154))))</f>
        <v/>
      </c>
      <c r="AC329" s="51">
        <f>IF(AC328=0,0,IF(AC$4=MAX('Assumptions'!$E$151,'Assumptions'!$C$9),1,AB329*(1+CHOOSE(AC$6,'Assumptions'!$E$152,'Assumptions'!$E$153,'Assumptions'!$E$154))))</f>
        <v/>
      </c>
      <c r="AD329" s="51">
        <f>IF(AD328=0,0,IF(AD$4=MAX('Assumptions'!$E$151,'Assumptions'!$C$9),1,AC329*(1+CHOOSE(AD$6,'Assumptions'!$E$152,'Assumptions'!$E$153,'Assumptions'!$E$154))))</f>
        <v/>
      </c>
      <c r="AE329" s="51">
        <f>IF(AE328=0,0,IF(AE$4=MAX('Assumptions'!$E$151,'Assumptions'!$C$9),1,AD329*(1+CHOOSE(AE$6,'Assumptions'!$E$152,'Assumptions'!$E$153,'Assumptions'!$E$154))))</f>
        <v/>
      </c>
      <c r="AF329" s="51">
        <f>IF(AF328=0,0,IF(AF$4=MAX('Assumptions'!$E$151,'Assumptions'!$C$9),1,AE329*(1+CHOOSE(AF$6,'Assumptions'!$E$152,'Assumptions'!$E$153,'Assumptions'!$E$154))))</f>
        <v/>
      </c>
      <c r="AG329" s="51">
        <f>IF(AG328=0,0,IF(AG$4=MAX('Assumptions'!$E$151,'Assumptions'!$C$9),1,AF329*(1+CHOOSE(AG$6,'Assumptions'!$E$152,'Assumptions'!$E$153,'Assumptions'!$E$154))))</f>
        <v/>
      </c>
      <c r="AH329" s="51">
        <f>IF(AH328=0,0,IF(AH$4=MAX('Assumptions'!$E$151,'Assumptions'!$C$9),1,AG329*(1+CHOOSE(AH$6,'Assumptions'!$E$152,'Assumptions'!$E$153,'Assumptions'!$E$154))))</f>
        <v/>
      </c>
      <c r="AI329" s="51">
        <f>IF(AI328=0,0,IF(AI$4=MAX('Assumptions'!$E$151,'Assumptions'!$C$9),1,AH329*(1+CHOOSE(AI$6,'Assumptions'!$E$152,'Assumptions'!$E$153,'Assumptions'!$E$154))))</f>
        <v/>
      </c>
      <c r="AJ329" s="51">
        <f>IF(AJ328=0,0,IF(AJ$4=MAX('Assumptions'!$E$151,'Assumptions'!$C$9),1,AI329*(1+CHOOSE(AJ$6,'Assumptions'!$E$152,'Assumptions'!$E$153,'Assumptions'!$E$154))))</f>
        <v/>
      </c>
      <c r="AK329" s="51">
        <f>IF(AK328=0,0,IF(AK$4=MAX('Assumptions'!$E$151,'Assumptions'!$C$9),1,AJ329*(1+CHOOSE(AK$6,'Assumptions'!$E$152,'Assumptions'!$E$153,'Assumptions'!$E$154))))</f>
        <v/>
      </c>
      <c r="AL329" s="51">
        <f>IF(AL328=0,0,IF(AL$4=MAX('Assumptions'!$E$151,'Assumptions'!$C$9),1,AK329*(1+CHOOSE(AL$6,'Assumptions'!$E$152,'Assumptions'!$E$153,'Assumptions'!$E$154))))</f>
        <v/>
      </c>
    </row>
    <row r="330">
      <c r="A330" s="7" t="inlineStr">
        <is>
          <t xml:space="preserve">   Product-months live (products x sales index x season)</t>
        </is>
      </c>
      <c r="B330" s="9" t="inlineStr">
        <is>
          <t>prod-mo</t>
        </is>
      </c>
      <c r="C330" s="56">
        <f>C286*C329*C$7</f>
        <v/>
      </c>
      <c r="D330" s="56">
        <f>D286*D329*D$7</f>
        <v/>
      </c>
      <c r="E330" s="56">
        <f>E286*E329*E$7</f>
        <v/>
      </c>
      <c r="F330" s="56">
        <f>F286*F329*F$7</f>
        <v/>
      </c>
      <c r="G330" s="56">
        <f>G286*G329*G$7</f>
        <v/>
      </c>
      <c r="H330" s="56">
        <f>H286*H329*H$7</f>
        <v/>
      </c>
      <c r="I330" s="56">
        <f>I286*I329*I$7</f>
        <v/>
      </c>
      <c r="J330" s="56">
        <f>J286*J329*J$7</f>
        <v/>
      </c>
      <c r="K330" s="56">
        <f>K286*K329*K$7</f>
        <v/>
      </c>
      <c r="L330" s="56">
        <f>L286*L329*L$7</f>
        <v/>
      </c>
      <c r="M330" s="56">
        <f>M286*M329*M$7</f>
        <v/>
      </c>
      <c r="N330" s="56">
        <f>N286*N329*N$7</f>
        <v/>
      </c>
      <c r="O330" s="56">
        <f>O286*O329*O$7</f>
        <v/>
      </c>
      <c r="P330" s="56">
        <f>P286*P329*P$7</f>
        <v/>
      </c>
      <c r="Q330" s="56">
        <f>Q286*Q329*Q$7</f>
        <v/>
      </c>
      <c r="R330" s="56">
        <f>R286*R329*R$7</f>
        <v/>
      </c>
      <c r="S330" s="56">
        <f>S286*S329*S$7</f>
        <v/>
      </c>
      <c r="T330" s="56">
        <f>T286*T329*T$7</f>
        <v/>
      </c>
      <c r="U330" s="56">
        <f>U286*U329*U$7</f>
        <v/>
      </c>
      <c r="V330" s="56">
        <f>V286*V329*V$7</f>
        <v/>
      </c>
      <c r="W330" s="56">
        <f>W286*W329*W$7</f>
        <v/>
      </c>
      <c r="X330" s="56">
        <f>X286*X329*X$7</f>
        <v/>
      </c>
      <c r="Y330" s="56">
        <f>Y286*Y329*Y$7</f>
        <v/>
      </c>
      <c r="Z330" s="56">
        <f>Z286*Z329*Z$7</f>
        <v/>
      </c>
      <c r="AA330" s="56">
        <f>AA286*AA329*AA$7</f>
        <v/>
      </c>
      <c r="AB330" s="56">
        <f>AB286*AB329*AB$7</f>
        <v/>
      </c>
      <c r="AC330" s="56">
        <f>AC286*AC329*AC$7</f>
        <v/>
      </c>
      <c r="AD330" s="56">
        <f>AD286*AD329*AD$7</f>
        <v/>
      </c>
      <c r="AE330" s="56">
        <f>AE286*AE329*AE$7</f>
        <v/>
      </c>
      <c r="AF330" s="56">
        <f>AF286*AF329*AF$7</f>
        <v/>
      </c>
      <c r="AG330" s="56">
        <f>AG286*AG329*AG$7</f>
        <v/>
      </c>
      <c r="AH330" s="56">
        <f>AH286*AH329*AH$7</f>
        <v/>
      </c>
      <c r="AI330" s="56">
        <f>AI286*AI329*AI$7</f>
        <v/>
      </c>
      <c r="AJ330" s="56">
        <f>AJ286*AJ329*AJ$7</f>
        <v/>
      </c>
      <c r="AK330" s="56">
        <f>AK286*AK329*AK$7</f>
        <v/>
      </c>
      <c r="AL330" s="56">
        <f>AL286*AL329*AL$7</f>
        <v/>
      </c>
      <c r="AM330" s="57">
        <f>SUMIF($C$6:$AL$6,1,C330:AL330)</f>
        <v/>
      </c>
      <c r="AN330" s="57">
        <f>SUMIF($C$6:$AL$6,2,C330:AL330)</f>
        <v/>
      </c>
      <c r="AO330" s="57">
        <f>SUMIF($C$6:$AL$6,3,C330:AL330)</f>
        <v/>
      </c>
      <c r="AP330" s="57">
        <f>SUM(C330:AL330)</f>
        <v/>
      </c>
    </row>
    <row r="331">
      <c r="A331" s="7" t="inlineStr">
        <is>
          <t xml:space="preserve">   Orders per product per month (with review ramp)</t>
        </is>
      </c>
      <c r="B331" s="9" t="inlineStr">
        <is>
          <t>orders</t>
        </is>
      </c>
      <c r="C331" s="51">
        <f>'Assumptions'!$E$155*MIN(1,(C$4-MAX('Assumptions'!$E$151,'Assumptions'!$C$9)+1)/'Assumptions'!$C$11)*C328</f>
        <v/>
      </c>
      <c r="D331" s="51">
        <f>'Assumptions'!$E$155*MIN(1,(D$4-MAX('Assumptions'!$E$151,'Assumptions'!$C$9)+1)/'Assumptions'!$C$11)*D328</f>
        <v/>
      </c>
      <c r="E331" s="51">
        <f>'Assumptions'!$E$155*MIN(1,(E$4-MAX('Assumptions'!$E$151,'Assumptions'!$C$9)+1)/'Assumptions'!$C$11)*E328</f>
        <v/>
      </c>
      <c r="F331" s="51">
        <f>'Assumptions'!$E$155*MIN(1,(F$4-MAX('Assumptions'!$E$151,'Assumptions'!$C$9)+1)/'Assumptions'!$C$11)*F328</f>
        <v/>
      </c>
      <c r="G331" s="51">
        <f>'Assumptions'!$E$155*MIN(1,(G$4-MAX('Assumptions'!$E$151,'Assumptions'!$C$9)+1)/'Assumptions'!$C$11)*G328</f>
        <v/>
      </c>
      <c r="H331" s="51">
        <f>'Assumptions'!$E$155*MIN(1,(H$4-MAX('Assumptions'!$E$151,'Assumptions'!$C$9)+1)/'Assumptions'!$C$11)*H328</f>
        <v/>
      </c>
      <c r="I331" s="51">
        <f>'Assumptions'!$E$155*MIN(1,(I$4-MAX('Assumptions'!$E$151,'Assumptions'!$C$9)+1)/'Assumptions'!$C$11)*I328</f>
        <v/>
      </c>
      <c r="J331" s="51">
        <f>'Assumptions'!$E$155*MIN(1,(J$4-MAX('Assumptions'!$E$151,'Assumptions'!$C$9)+1)/'Assumptions'!$C$11)*J328</f>
        <v/>
      </c>
      <c r="K331" s="51">
        <f>'Assumptions'!$E$155*MIN(1,(K$4-MAX('Assumptions'!$E$151,'Assumptions'!$C$9)+1)/'Assumptions'!$C$11)*K328</f>
        <v/>
      </c>
      <c r="L331" s="51">
        <f>'Assumptions'!$E$155*MIN(1,(L$4-MAX('Assumptions'!$E$151,'Assumptions'!$C$9)+1)/'Assumptions'!$C$11)*L328</f>
        <v/>
      </c>
      <c r="M331" s="51">
        <f>'Assumptions'!$E$155*MIN(1,(M$4-MAX('Assumptions'!$E$151,'Assumptions'!$C$9)+1)/'Assumptions'!$C$11)*M328</f>
        <v/>
      </c>
      <c r="N331" s="51">
        <f>'Assumptions'!$E$155*MIN(1,(N$4-MAX('Assumptions'!$E$151,'Assumptions'!$C$9)+1)/'Assumptions'!$C$11)*N328</f>
        <v/>
      </c>
      <c r="O331" s="51">
        <f>'Assumptions'!$E$155*MIN(1,(O$4-MAX('Assumptions'!$E$151,'Assumptions'!$C$9)+1)/'Assumptions'!$C$11)*O328</f>
        <v/>
      </c>
      <c r="P331" s="51">
        <f>'Assumptions'!$E$155*MIN(1,(P$4-MAX('Assumptions'!$E$151,'Assumptions'!$C$9)+1)/'Assumptions'!$C$11)*P328</f>
        <v/>
      </c>
      <c r="Q331" s="51">
        <f>'Assumptions'!$E$155*MIN(1,(Q$4-MAX('Assumptions'!$E$151,'Assumptions'!$C$9)+1)/'Assumptions'!$C$11)*Q328</f>
        <v/>
      </c>
      <c r="R331" s="51">
        <f>'Assumptions'!$E$155*MIN(1,(R$4-MAX('Assumptions'!$E$151,'Assumptions'!$C$9)+1)/'Assumptions'!$C$11)*R328</f>
        <v/>
      </c>
      <c r="S331" s="51">
        <f>'Assumptions'!$E$155*MIN(1,(S$4-MAX('Assumptions'!$E$151,'Assumptions'!$C$9)+1)/'Assumptions'!$C$11)*S328</f>
        <v/>
      </c>
      <c r="T331" s="51">
        <f>'Assumptions'!$E$155*MIN(1,(T$4-MAX('Assumptions'!$E$151,'Assumptions'!$C$9)+1)/'Assumptions'!$C$11)*T328</f>
        <v/>
      </c>
      <c r="U331" s="51">
        <f>'Assumptions'!$E$155*MIN(1,(U$4-MAX('Assumptions'!$E$151,'Assumptions'!$C$9)+1)/'Assumptions'!$C$11)*U328</f>
        <v/>
      </c>
      <c r="V331" s="51">
        <f>'Assumptions'!$E$155*MIN(1,(V$4-MAX('Assumptions'!$E$151,'Assumptions'!$C$9)+1)/'Assumptions'!$C$11)*V328</f>
        <v/>
      </c>
      <c r="W331" s="51">
        <f>'Assumptions'!$E$155*MIN(1,(W$4-MAX('Assumptions'!$E$151,'Assumptions'!$C$9)+1)/'Assumptions'!$C$11)*W328</f>
        <v/>
      </c>
      <c r="X331" s="51">
        <f>'Assumptions'!$E$155*MIN(1,(X$4-MAX('Assumptions'!$E$151,'Assumptions'!$C$9)+1)/'Assumptions'!$C$11)*X328</f>
        <v/>
      </c>
      <c r="Y331" s="51">
        <f>'Assumptions'!$E$155*MIN(1,(Y$4-MAX('Assumptions'!$E$151,'Assumptions'!$C$9)+1)/'Assumptions'!$C$11)*Y328</f>
        <v/>
      </c>
      <c r="Z331" s="51">
        <f>'Assumptions'!$E$155*MIN(1,(Z$4-MAX('Assumptions'!$E$151,'Assumptions'!$C$9)+1)/'Assumptions'!$C$11)*Z328</f>
        <v/>
      </c>
      <c r="AA331" s="51">
        <f>'Assumptions'!$E$155*MIN(1,(AA$4-MAX('Assumptions'!$E$151,'Assumptions'!$C$9)+1)/'Assumptions'!$C$11)*AA328</f>
        <v/>
      </c>
      <c r="AB331" s="51">
        <f>'Assumptions'!$E$155*MIN(1,(AB$4-MAX('Assumptions'!$E$151,'Assumptions'!$C$9)+1)/'Assumptions'!$C$11)*AB328</f>
        <v/>
      </c>
      <c r="AC331" s="51">
        <f>'Assumptions'!$E$155*MIN(1,(AC$4-MAX('Assumptions'!$E$151,'Assumptions'!$C$9)+1)/'Assumptions'!$C$11)*AC328</f>
        <v/>
      </c>
      <c r="AD331" s="51">
        <f>'Assumptions'!$E$155*MIN(1,(AD$4-MAX('Assumptions'!$E$151,'Assumptions'!$C$9)+1)/'Assumptions'!$C$11)*AD328</f>
        <v/>
      </c>
      <c r="AE331" s="51">
        <f>'Assumptions'!$E$155*MIN(1,(AE$4-MAX('Assumptions'!$E$151,'Assumptions'!$C$9)+1)/'Assumptions'!$C$11)*AE328</f>
        <v/>
      </c>
      <c r="AF331" s="51">
        <f>'Assumptions'!$E$155*MIN(1,(AF$4-MAX('Assumptions'!$E$151,'Assumptions'!$C$9)+1)/'Assumptions'!$C$11)*AF328</f>
        <v/>
      </c>
      <c r="AG331" s="51">
        <f>'Assumptions'!$E$155*MIN(1,(AG$4-MAX('Assumptions'!$E$151,'Assumptions'!$C$9)+1)/'Assumptions'!$C$11)*AG328</f>
        <v/>
      </c>
      <c r="AH331" s="51">
        <f>'Assumptions'!$E$155*MIN(1,(AH$4-MAX('Assumptions'!$E$151,'Assumptions'!$C$9)+1)/'Assumptions'!$C$11)*AH328</f>
        <v/>
      </c>
      <c r="AI331" s="51">
        <f>'Assumptions'!$E$155*MIN(1,(AI$4-MAX('Assumptions'!$E$151,'Assumptions'!$C$9)+1)/'Assumptions'!$C$11)*AI328</f>
        <v/>
      </c>
      <c r="AJ331" s="51">
        <f>'Assumptions'!$E$155*MIN(1,(AJ$4-MAX('Assumptions'!$E$151,'Assumptions'!$C$9)+1)/'Assumptions'!$C$11)*AJ328</f>
        <v/>
      </c>
      <c r="AK331" s="51">
        <f>'Assumptions'!$E$155*MIN(1,(AK$4-MAX('Assumptions'!$E$151,'Assumptions'!$C$9)+1)/'Assumptions'!$C$11)*AK328</f>
        <v/>
      </c>
      <c r="AL331" s="51">
        <f>'Assumptions'!$E$155*MIN(1,(AL$4-MAX('Assumptions'!$E$151,'Assumptions'!$C$9)+1)/'Assumptions'!$C$11)*AL328</f>
        <v/>
      </c>
    </row>
    <row r="332">
      <c r="A332" s="7" t="inlineStr">
        <is>
          <t xml:space="preserve">   Orders</t>
        </is>
      </c>
      <c r="B332" s="9" t="inlineStr">
        <is>
          <t>orders</t>
        </is>
      </c>
      <c r="C332" s="56">
        <f>C330*C331</f>
        <v/>
      </c>
      <c r="D332" s="56">
        <f>D330*D331</f>
        <v/>
      </c>
      <c r="E332" s="56">
        <f>E330*E331</f>
        <v/>
      </c>
      <c r="F332" s="56">
        <f>F330*F331</f>
        <v/>
      </c>
      <c r="G332" s="56">
        <f>G330*G331</f>
        <v/>
      </c>
      <c r="H332" s="56">
        <f>H330*H331</f>
        <v/>
      </c>
      <c r="I332" s="56">
        <f>I330*I331</f>
        <v/>
      </c>
      <c r="J332" s="56">
        <f>J330*J331</f>
        <v/>
      </c>
      <c r="K332" s="56">
        <f>K330*K331</f>
        <v/>
      </c>
      <c r="L332" s="56">
        <f>L330*L331</f>
        <v/>
      </c>
      <c r="M332" s="56">
        <f>M330*M331</f>
        <v/>
      </c>
      <c r="N332" s="56">
        <f>N330*N331</f>
        <v/>
      </c>
      <c r="O332" s="56">
        <f>O330*O331</f>
        <v/>
      </c>
      <c r="P332" s="56">
        <f>P330*P331</f>
        <v/>
      </c>
      <c r="Q332" s="56">
        <f>Q330*Q331</f>
        <v/>
      </c>
      <c r="R332" s="56">
        <f>R330*R331</f>
        <v/>
      </c>
      <c r="S332" s="56">
        <f>S330*S331</f>
        <v/>
      </c>
      <c r="T332" s="56">
        <f>T330*T331</f>
        <v/>
      </c>
      <c r="U332" s="56">
        <f>U330*U331</f>
        <v/>
      </c>
      <c r="V332" s="56">
        <f>V330*V331</f>
        <v/>
      </c>
      <c r="W332" s="56">
        <f>W330*W331</f>
        <v/>
      </c>
      <c r="X332" s="56">
        <f>X330*X331</f>
        <v/>
      </c>
      <c r="Y332" s="56">
        <f>Y330*Y331</f>
        <v/>
      </c>
      <c r="Z332" s="56">
        <f>Z330*Z331</f>
        <v/>
      </c>
      <c r="AA332" s="56">
        <f>AA330*AA331</f>
        <v/>
      </c>
      <c r="AB332" s="56">
        <f>AB330*AB331</f>
        <v/>
      </c>
      <c r="AC332" s="56">
        <f>AC330*AC331</f>
        <v/>
      </c>
      <c r="AD332" s="56">
        <f>AD330*AD331</f>
        <v/>
      </c>
      <c r="AE332" s="56">
        <f>AE330*AE331</f>
        <v/>
      </c>
      <c r="AF332" s="56">
        <f>AF330*AF331</f>
        <v/>
      </c>
      <c r="AG332" s="56">
        <f>AG330*AG331</f>
        <v/>
      </c>
      <c r="AH332" s="56">
        <f>AH330*AH331</f>
        <v/>
      </c>
      <c r="AI332" s="56">
        <f>AI330*AI331</f>
        <v/>
      </c>
      <c r="AJ332" s="56">
        <f>AJ330*AJ331</f>
        <v/>
      </c>
      <c r="AK332" s="56">
        <f>AK330*AK331</f>
        <v/>
      </c>
      <c r="AL332" s="56">
        <f>AL330*AL331</f>
        <v/>
      </c>
      <c r="AM332" s="57">
        <f>SUMIF($C$6:$AL$6,1,C332:AL332)</f>
        <v/>
      </c>
      <c r="AN332" s="57">
        <f>SUMIF($C$6:$AL$6,2,C332:AL332)</f>
        <v/>
      </c>
      <c r="AO332" s="57">
        <f>SUMIF($C$6:$AL$6,3,C332:AL332)</f>
        <v/>
      </c>
      <c r="AP332" s="57">
        <f>SUM(C332:AL332)</f>
        <v/>
      </c>
    </row>
    <row r="333">
      <c r="A333" s="7" t="inlineStr">
        <is>
          <t xml:space="preserve">   Items sold</t>
        </is>
      </c>
      <c r="B333" s="9" t="inlineStr">
        <is>
          <t>items</t>
        </is>
      </c>
      <c r="C333" s="14">
        <f>C332*'Assumptions'!$E$156</f>
        <v/>
      </c>
      <c r="D333" s="14">
        <f>D332*'Assumptions'!$E$156</f>
        <v/>
      </c>
      <c r="E333" s="14">
        <f>E332*'Assumptions'!$E$156</f>
        <v/>
      </c>
      <c r="F333" s="14">
        <f>F332*'Assumptions'!$E$156</f>
        <v/>
      </c>
      <c r="G333" s="14">
        <f>G332*'Assumptions'!$E$156</f>
        <v/>
      </c>
      <c r="H333" s="14">
        <f>H332*'Assumptions'!$E$156</f>
        <v/>
      </c>
      <c r="I333" s="14">
        <f>I332*'Assumptions'!$E$156</f>
        <v/>
      </c>
      <c r="J333" s="14">
        <f>J332*'Assumptions'!$E$156</f>
        <v/>
      </c>
      <c r="K333" s="14">
        <f>K332*'Assumptions'!$E$156</f>
        <v/>
      </c>
      <c r="L333" s="14">
        <f>L332*'Assumptions'!$E$156</f>
        <v/>
      </c>
      <c r="M333" s="14">
        <f>M332*'Assumptions'!$E$156</f>
        <v/>
      </c>
      <c r="N333" s="14">
        <f>N332*'Assumptions'!$E$156</f>
        <v/>
      </c>
      <c r="O333" s="14">
        <f>O332*'Assumptions'!$E$156</f>
        <v/>
      </c>
      <c r="P333" s="14">
        <f>P332*'Assumptions'!$E$156</f>
        <v/>
      </c>
      <c r="Q333" s="14">
        <f>Q332*'Assumptions'!$E$156</f>
        <v/>
      </c>
      <c r="R333" s="14">
        <f>R332*'Assumptions'!$E$156</f>
        <v/>
      </c>
      <c r="S333" s="14">
        <f>S332*'Assumptions'!$E$156</f>
        <v/>
      </c>
      <c r="T333" s="14">
        <f>T332*'Assumptions'!$E$156</f>
        <v/>
      </c>
      <c r="U333" s="14">
        <f>U332*'Assumptions'!$E$156</f>
        <v/>
      </c>
      <c r="V333" s="14">
        <f>V332*'Assumptions'!$E$156</f>
        <v/>
      </c>
      <c r="W333" s="14">
        <f>W332*'Assumptions'!$E$156</f>
        <v/>
      </c>
      <c r="X333" s="14">
        <f>X332*'Assumptions'!$E$156</f>
        <v/>
      </c>
      <c r="Y333" s="14">
        <f>Y332*'Assumptions'!$E$156</f>
        <v/>
      </c>
      <c r="Z333" s="14">
        <f>Z332*'Assumptions'!$E$156</f>
        <v/>
      </c>
      <c r="AA333" s="14">
        <f>AA332*'Assumptions'!$E$156</f>
        <v/>
      </c>
      <c r="AB333" s="14">
        <f>AB332*'Assumptions'!$E$156</f>
        <v/>
      </c>
      <c r="AC333" s="14">
        <f>AC332*'Assumptions'!$E$156</f>
        <v/>
      </c>
      <c r="AD333" s="14">
        <f>AD332*'Assumptions'!$E$156</f>
        <v/>
      </c>
      <c r="AE333" s="14">
        <f>AE332*'Assumptions'!$E$156</f>
        <v/>
      </c>
      <c r="AF333" s="14">
        <f>AF332*'Assumptions'!$E$156</f>
        <v/>
      </c>
      <c r="AG333" s="14">
        <f>AG332*'Assumptions'!$E$156</f>
        <v/>
      </c>
      <c r="AH333" s="14">
        <f>AH332*'Assumptions'!$E$156</f>
        <v/>
      </c>
      <c r="AI333" s="14">
        <f>AI332*'Assumptions'!$E$156</f>
        <v/>
      </c>
      <c r="AJ333" s="14">
        <f>AJ332*'Assumptions'!$E$156</f>
        <v/>
      </c>
      <c r="AK333" s="14">
        <f>AK332*'Assumptions'!$E$156</f>
        <v/>
      </c>
      <c r="AL333" s="14">
        <f>AL332*'Assumptions'!$E$156</f>
        <v/>
      </c>
      <c r="AM333" s="57">
        <f>SUMIF($C$6:$AL$6,1,C333:AL333)</f>
        <v/>
      </c>
      <c r="AN333" s="57">
        <f>SUMIF($C$6:$AL$6,2,C333:AL333)</f>
        <v/>
      </c>
      <c r="AO333" s="57">
        <f>SUMIF($C$6:$AL$6,3,C333:AL333)</f>
        <v/>
      </c>
      <c r="AP333" s="57">
        <f>SUM(C333:AL333)</f>
        <v/>
      </c>
    </row>
    <row r="334">
      <c r="A334" s="7" t="inlineStr">
        <is>
          <t xml:space="preserve">   Average order value</t>
        </is>
      </c>
      <c r="B334" s="9" t="inlineStr">
        <is>
          <t>$</t>
        </is>
      </c>
      <c r="C334" s="16">
        <f>'Unit Economics'!$E$53*'Assumptions'!$E$156*C328</f>
        <v/>
      </c>
      <c r="D334" s="16">
        <f>'Unit Economics'!$E$53*'Assumptions'!$E$156*D328</f>
        <v/>
      </c>
      <c r="E334" s="16">
        <f>'Unit Economics'!$E$53*'Assumptions'!$E$156*E328</f>
        <v/>
      </c>
      <c r="F334" s="16">
        <f>'Unit Economics'!$E$53*'Assumptions'!$E$156*F328</f>
        <v/>
      </c>
      <c r="G334" s="16">
        <f>'Unit Economics'!$E$53*'Assumptions'!$E$156*G328</f>
        <v/>
      </c>
      <c r="H334" s="16">
        <f>'Unit Economics'!$E$53*'Assumptions'!$E$156*H328</f>
        <v/>
      </c>
      <c r="I334" s="16">
        <f>'Unit Economics'!$E$53*'Assumptions'!$E$156*I328</f>
        <v/>
      </c>
      <c r="J334" s="16">
        <f>'Unit Economics'!$E$53*'Assumptions'!$E$156*J328</f>
        <v/>
      </c>
      <c r="K334" s="16">
        <f>'Unit Economics'!$E$53*'Assumptions'!$E$156*K328</f>
        <v/>
      </c>
      <c r="L334" s="16">
        <f>'Unit Economics'!$E$53*'Assumptions'!$E$156*L328</f>
        <v/>
      </c>
      <c r="M334" s="16">
        <f>'Unit Economics'!$E$53*'Assumptions'!$E$156*M328</f>
        <v/>
      </c>
      <c r="N334" s="16">
        <f>'Unit Economics'!$E$53*'Assumptions'!$E$156*N328</f>
        <v/>
      </c>
      <c r="O334" s="16">
        <f>'Unit Economics'!$E$53*'Assumptions'!$E$156*O328</f>
        <v/>
      </c>
      <c r="P334" s="16">
        <f>'Unit Economics'!$E$53*'Assumptions'!$E$156*P328</f>
        <v/>
      </c>
      <c r="Q334" s="16">
        <f>'Unit Economics'!$E$53*'Assumptions'!$E$156*Q328</f>
        <v/>
      </c>
      <c r="R334" s="16">
        <f>'Unit Economics'!$E$53*'Assumptions'!$E$156*R328</f>
        <v/>
      </c>
      <c r="S334" s="16">
        <f>'Unit Economics'!$E$53*'Assumptions'!$E$156*S328</f>
        <v/>
      </c>
      <c r="T334" s="16">
        <f>'Unit Economics'!$E$53*'Assumptions'!$E$156*T328</f>
        <v/>
      </c>
      <c r="U334" s="16">
        <f>'Unit Economics'!$E$53*'Assumptions'!$E$156*U328</f>
        <v/>
      </c>
      <c r="V334" s="16">
        <f>'Unit Economics'!$E$53*'Assumptions'!$E$156*V328</f>
        <v/>
      </c>
      <c r="W334" s="16">
        <f>'Unit Economics'!$E$53*'Assumptions'!$E$156*W328</f>
        <v/>
      </c>
      <c r="X334" s="16">
        <f>'Unit Economics'!$E$53*'Assumptions'!$E$156*X328</f>
        <v/>
      </c>
      <c r="Y334" s="16">
        <f>'Unit Economics'!$E$53*'Assumptions'!$E$156*Y328</f>
        <v/>
      </c>
      <c r="Z334" s="16">
        <f>'Unit Economics'!$E$53*'Assumptions'!$E$156*Z328</f>
        <v/>
      </c>
      <c r="AA334" s="16">
        <f>'Unit Economics'!$E$53*'Assumptions'!$E$156*AA328</f>
        <v/>
      </c>
      <c r="AB334" s="16">
        <f>'Unit Economics'!$E$53*'Assumptions'!$E$156*AB328</f>
        <v/>
      </c>
      <c r="AC334" s="16">
        <f>'Unit Economics'!$E$53*'Assumptions'!$E$156*AC328</f>
        <v/>
      </c>
      <c r="AD334" s="16">
        <f>'Unit Economics'!$E$53*'Assumptions'!$E$156*AD328</f>
        <v/>
      </c>
      <c r="AE334" s="16">
        <f>'Unit Economics'!$E$53*'Assumptions'!$E$156*AE328</f>
        <v/>
      </c>
      <c r="AF334" s="16">
        <f>'Unit Economics'!$E$53*'Assumptions'!$E$156*AF328</f>
        <v/>
      </c>
      <c r="AG334" s="16">
        <f>'Unit Economics'!$E$53*'Assumptions'!$E$156*AG328</f>
        <v/>
      </c>
      <c r="AH334" s="16">
        <f>'Unit Economics'!$E$53*'Assumptions'!$E$156*AH328</f>
        <v/>
      </c>
      <c r="AI334" s="16">
        <f>'Unit Economics'!$E$53*'Assumptions'!$E$156*AI328</f>
        <v/>
      </c>
      <c r="AJ334" s="16">
        <f>'Unit Economics'!$E$53*'Assumptions'!$E$156*AJ328</f>
        <v/>
      </c>
      <c r="AK334" s="16">
        <f>'Unit Economics'!$E$53*'Assumptions'!$E$156*AK328</f>
        <v/>
      </c>
      <c r="AL334" s="16">
        <f>'Unit Economics'!$E$53*'Assumptions'!$E$156*AL328</f>
        <v/>
      </c>
    </row>
    <row r="335">
      <c r="A335" s="7" t="inlineStr">
        <is>
          <t xml:space="preserve">   Gross sales (price paid by customers)</t>
        </is>
      </c>
      <c r="B335" s="9" t="inlineStr">
        <is>
          <t>$</t>
        </is>
      </c>
      <c r="C335" s="8">
        <f>C333*'Unit Economics'!$E$53</f>
        <v/>
      </c>
      <c r="D335" s="8">
        <f>D333*'Unit Economics'!$E$53</f>
        <v/>
      </c>
      <c r="E335" s="8">
        <f>E333*'Unit Economics'!$E$53</f>
        <v/>
      </c>
      <c r="F335" s="8">
        <f>F333*'Unit Economics'!$E$53</f>
        <v/>
      </c>
      <c r="G335" s="8">
        <f>G333*'Unit Economics'!$E$53</f>
        <v/>
      </c>
      <c r="H335" s="8">
        <f>H333*'Unit Economics'!$E$53</f>
        <v/>
      </c>
      <c r="I335" s="8">
        <f>I333*'Unit Economics'!$E$53</f>
        <v/>
      </c>
      <c r="J335" s="8">
        <f>J333*'Unit Economics'!$E$53</f>
        <v/>
      </c>
      <c r="K335" s="8">
        <f>K333*'Unit Economics'!$E$53</f>
        <v/>
      </c>
      <c r="L335" s="8">
        <f>L333*'Unit Economics'!$E$53</f>
        <v/>
      </c>
      <c r="M335" s="8">
        <f>M333*'Unit Economics'!$E$53</f>
        <v/>
      </c>
      <c r="N335" s="8">
        <f>N333*'Unit Economics'!$E$53</f>
        <v/>
      </c>
      <c r="O335" s="8">
        <f>O333*'Unit Economics'!$E$53</f>
        <v/>
      </c>
      <c r="P335" s="8">
        <f>P333*'Unit Economics'!$E$53</f>
        <v/>
      </c>
      <c r="Q335" s="8">
        <f>Q333*'Unit Economics'!$E$53</f>
        <v/>
      </c>
      <c r="R335" s="8">
        <f>R333*'Unit Economics'!$E$53</f>
        <v/>
      </c>
      <c r="S335" s="8">
        <f>S333*'Unit Economics'!$E$53</f>
        <v/>
      </c>
      <c r="T335" s="8">
        <f>T333*'Unit Economics'!$E$53</f>
        <v/>
      </c>
      <c r="U335" s="8">
        <f>U333*'Unit Economics'!$E$53</f>
        <v/>
      </c>
      <c r="V335" s="8">
        <f>V333*'Unit Economics'!$E$53</f>
        <v/>
      </c>
      <c r="W335" s="8">
        <f>W333*'Unit Economics'!$E$53</f>
        <v/>
      </c>
      <c r="X335" s="8">
        <f>X333*'Unit Economics'!$E$53</f>
        <v/>
      </c>
      <c r="Y335" s="8">
        <f>Y333*'Unit Economics'!$E$53</f>
        <v/>
      </c>
      <c r="Z335" s="8">
        <f>Z333*'Unit Economics'!$E$53</f>
        <v/>
      </c>
      <c r="AA335" s="8">
        <f>AA333*'Unit Economics'!$E$53</f>
        <v/>
      </c>
      <c r="AB335" s="8">
        <f>AB333*'Unit Economics'!$E$53</f>
        <v/>
      </c>
      <c r="AC335" s="8">
        <f>AC333*'Unit Economics'!$E$53</f>
        <v/>
      </c>
      <c r="AD335" s="8">
        <f>AD333*'Unit Economics'!$E$53</f>
        <v/>
      </c>
      <c r="AE335" s="8">
        <f>AE333*'Unit Economics'!$E$53</f>
        <v/>
      </c>
      <c r="AF335" s="8">
        <f>AF333*'Unit Economics'!$E$53</f>
        <v/>
      </c>
      <c r="AG335" s="8">
        <f>AG333*'Unit Economics'!$E$53</f>
        <v/>
      </c>
      <c r="AH335" s="8">
        <f>AH333*'Unit Economics'!$E$53</f>
        <v/>
      </c>
      <c r="AI335" s="8">
        <f>AI333*'Unit Economics'!$E$53</f>
        <v/>
      </c>
      <c r="AJ335" s="8">
        <f>AJ333*'Unit Economics'!$E$53</f>
        <v/>
      </c>
      <c r="AK335" s="8">
        <f>AK333*'Unit Economics'!$E$53</f>
        <v/>
      </c>
      <c r="AL335" s="8">
        <f>AL333*'Unit Economics'!$E$53</f>
        <v/>
      </c>
      <c r="AM335" s="47">
        <f>SUMIF($C$6:$AL$6,1,C335:AL335)</f>
        <v/>
      </c>
      <c r="AN335" s="47">
        <f>SUMIF($C$6:$AL$6,2,C335:AL335)</f>
        <v/>
      </c>
      <c r="AO335" s="47">
        <f>SUMIF($C$6:$AL$6,3,C335:AL335)</f>
        <v/>
      </c>
      <c r="AP335" s="47">
        <f>SUM(C335:AL335)</f>
        <v/>
      </c>
    </row>
    <row r="336">
      <c r="A336" s="7" t="inlineStr">
        <is>
          <t xml:space="preserve">   Net contribution to AlphaPlay</t>
        </is>
      </c>
      <c r="B336" s="9" t="inlineStr">
        <is>
          <t>$</t>
        </is>
      </c>
      <c r="C336" s="8">
        <f>C333*'Unit Economics'!$F$53</f>
        <v/>
      </c>
      <c r="D336" s="8">
        <f>D333*'Unit Economics'!$F$53</f>
        <v/>
      </c>
      <c r="E336" s="8">
        <f>E333*'Unit Economics'!$F$53</f>
        <v/>
      </c>
      <c r="F336" s="8">
        <f>F333*'Unit Economics'!$F$53</f>
        <v/>
      </c>
      <c r="G336" s="8">
        <f>G333*'Unit Economics'!$F$53</f>
        <v/>
      </c>
      <c r="H336" s="8">
        <f>H333*'Unit Economics'!$F$53</f>
        <v/>
      </c>
      <c r="I336" s="8">
        <f>I333*'Unit Economics'!$F$53</f>
        <v/>
      </c>
      <c r="J336" s="8">
        <f>J333*'Unit Economics'!$F$53</f>
        <v/>
      </c>
      <c r="K336" s="8">
        <f>K333*'Unit Economics'!$F$53</f>
        <v/>
      </c>
      <c r="L336" s="8">
        <f>L333*'Unit Economics'!$F$53</f>
        <v/>
      </c>
      <c r="M336" s="8">
        <f>M333*'Unit Economics'!$F$53</f>
        <v/>
      </c>
      <c r="N336" s="8">
        <f>N333*'Unit Economics'!$F$53</f>
        <v/>
      </c>
      <c r="O336" s="8">
        <f>O333*'Unit Economics'!$F$53</f>
        <v/>
      </c>
      <c r="P336" s="8">
        <f>P333*'Unit Economics'!$F$53</f>
        <v/>
      </c>
      <c r="Q336" s="8">
        <f>Q333*'Unit Economics'!$F$53</f>
        <v/>
      </c>
      <c r="R336" s="8">
        <f>R333*'Unit Economics'!$F$53</f>
        <v/>
      </c>
      <c r="S336" s="8">
        <f>S333*'Unit Economics'!$F$53</f>
        <v/>
      </c>
      <c r="T336" s="8">
        <f>T333*'Unit Economics'!$F$53</f>
        <v/>
      </c>
      <c r="U336" s="8">
        <f>U333*'Unit Economics'!$F$53</f>
        <v/>
      </c>
      <c r="V336" s="8">
        <f>V333*'Unit Economics'!$F$53</f>
        <v/>
      </c>
      <c r="W336" s="8">
        <f>W333*'Unit Economics'!$F$53</f>
        <v/>
      </c>
      <c r="X336" s="8">
        <f>X333*'Unit Economics'!$F$53</f>
        <v/>
      </c>
      <c r="Y336" s="8">
        <f>Y333*'Unit Economics'!$F$53</f>
        <v/>
      </c>
      <c r="Z336" s="8">
        <f>Z333*'Unit Economics'!$F$53</f>
        <v/>
      </c>
      <c r="AA336" s="8">
        <f>AA333*'Unit Economics'!$F$53</f>
        <v/>
      </c>
      <c r="AB336" s="8">
        <f>AB333*'Unit Economics'!$F$53</f>
        <v/>
      </c>
      <c r="AC336" s="8">
        <f>AC333*'Unit Economics'!$F$53</f>
        <v/>
      </c>
      <c r="AD336" s="8">
        <f>AD333*'Unit Economics'!$F$53</f>
        <v/>
      </c>
      <c r="AE336" s="8">
        <f>AE333*'Unit Economics'!$F$53</f>
        <v/>
      </c>
      <c r="AF336" s="8">
        <f>AF333*'Unit Economics'!$F$53</f>
        <v/>
      </c>
      <c r="AG336" s="8">
        <f>AG333*'Unit Economics'!$F$53</f>
        <v/>
      </c>
      <c r="AH336" s="8">
        <f>AH333*'Unit Economics'!$F$53</f>
        <v/>
      </c>
      <c r="AI336" s="8">
        <f>AI333*'Unit Economics'!$F$53</f>
        <v/>
      </c>
      <c r="AJ336" s="8">
        <f>AJ333*'Unit Economics'!$F$53</f>
        <v/>
      </c>
      <c r="AK336" s="8">
        <f>AK333*'Unit Economics'!$F$53</f>
        <v/>
      </c>
      <c r="AL336" s="8">
        <f>AL333*'Unit Economics'!$F$53</f>
        <v/>
      </c>
      <c r="AM336" s="47">
        <f>SUMIF($C$6:$AL$6,1,C336:AL336)</f>
        <v/>
      </c>
      <c r="AN336" s="47">
        <f>SUMIF($C$6:$AL$6,2,C336:AL336)</f>
        <v/>
      </c>
      <c r="AO336" s="47">
        <f>SUMIF($C$6:$AL$6,3,C336:AL336)</f>
        <v/>
      </c>
      <c r="AP336" s="47">
        <f>SUM(C336:AL336)</f>
        <v/>
      </c>
    </row>
    <row r="337">
      <c r="A337" s="5" t="inlineStr">
        <is>
          <t>30-Day Screen Reset written course (Wave 2)</t>
        </is>
      </c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  <c r="AC337" s="6" t="n"/>
      <c r="AD337" s="6" t="n"/>
      <c r="AE337" s="6" t="n"/>
      <c r="AF337" s="6" t="n"/>
      <c r="AG337" s="6" t="n"/>
      <c r="AH337" s="6" t="n"/>
      <c r="AI337" s="6" t="n"/>
      <c r="AJ337" s="6" t="n"/>
      <c r="AK337" s="6" t="n"/>
      <c r="AL337" s="6" t="n"/>
      <c r="AM337" s="6" t="n"/>
      <c r="AN337" s="6" t="n"/>
      <c r="AO337" s="6" t="n"/>
      <c r="AP337" s="6" t="n"/>
    </row>
    <row r="338">
      <c r="A338" s="7" t="inlineStr">
        <is>
          <t xml:space="preserve">   Active (1 = live)</t>
        </is>
      </c>
      <c r="B338" s="9" t="inlineStr">
        <is>
          <t>flag</t>
        </is>
      </c>
      <c r="C338" s="18">
        <f>IF(AND('Assumptions'!$E$158=1,C$4&gt;=MAX('Assumptions'!$E$159,'Assumptions'!$C$9)),1,0)</f>
        <v/>
      </c>
      <c r="D338" s="18">
        <f>IF(AND('Assumptions'!$E$158=1,D$4&gt;=MAX('Assumptions'!$E$159,'Assumptions'!$C$9)),1,0)</f>
        <v/>
      </c>
      <c r="E338" s="18">
        <f>IF(AND('Assumptions'!$E$158=1,E$4&gt;=MAX('Assumptions'!$E$159,'Assumptions'!$C$9)),1,0)</f>
        <v/>
      </c>
      <c r="F338" s="18">
        <f>IF(AND('Assumptions'!$E$158=1,F$4&gt;=MAX('Assumptions'!$E$159,'Assumptions'!$C$9)),1,0)</f>
        <v/>
      </c>
      <c r="G338" s="18">
        <f>IF(AND('Assumptions'!$E$158=1,G$4&gt;=MAX('Assumptions'!$E$159,'Assumptions'!$C$9)),1,0)</f>
        <v/>
      </c>
      <c r="H338" s="18">
        <f>IF(AND('Assumptions'!$E$158=1,H$4&gt;=MAX('Assumptions'!$E$159,'Assumptions'!$C$9)),1,0)</f>
        <v/>
      </c>
      <c r="I338" s="18">
        <f>IF(AND('Assumptions'!$E$158=1,I$4&gt;=MAX('Assumptions'!$E$159,'Assumptions'!$C$9)),1,0)</f>
        <v/>
      </c>
      <c r="J338" s="18">
        <f>IF(AND('Assumptions'!$E$158=1,J$4&gt;=MAX('Assumptions'!$E$159,'Assumptions'!$C$9)),1,0)</f>
        <v/>
      </c>
      <c r="K338" s="18">
        <f>IF(AND('Assumptions'!$E$158=1,K$4&gt;=MAX('Assumptions'!$E$159,'Assumptions'!$C$9)),1,0)</f>
        <v/>
      </c>
      <c r="L338" s="18">
        <f>IF(AND('Assumptions'!$E$158=1,L$4&gt;=MAX('Assumptions'!$E$159,'Assumptions'!$C$9)),1,0)</f>
        <v/>
      </c>
      <c r="M338" s="18">
        <f>IF(AND('Assumptions'!$E$158=1,M$4&gt;=MAX('Assumptions'!$E$159,'Assumptions'!$C$9)),1,0)</f>
        <v/>
      </c>
      <c r="N338" s="18">
        <f>IF(AND('Assumptions'!$E$158=1,N$4&gt;=MAX('Assumptions'!$E$159,'Assumptions'!$C$9)),1,0)</f>
        <v/>
      </c>
      <c r="O338" s="18">
        <f>IF(AND('Assumptions'!$E$158=1,O$4&gt;=MAX('Assumptions'!$E$159,'Assumptions'!$C$9)),1,0)</f>
        <v/>
      </c>
      <c r="P338" s="18">
        <f>IF(AND('Assumptions'!$E$158=1,P$4&gt;=MAX('Assumptions'!$E$159,'Assumptions'!$C$9)),1,0)</f>
        <v/>
      </c>
      <c r="Q338" s="18">
        <f>IF(AND('Assumptions'!$E$158=1,Q$4&gt;=MAX('Assumptions'!$E$159,'Assumptions'!$C$9)),1,0)</f>
        <v/>
      </c>
      <c r="R338" s="18">
        <f>IF(AND('Assumptions'!$E$158=1,R$4&gt;=MAX('Assumptions'!$E$159,'Assumptions'!$C$9)),1,0)</f>
        <v/>
      </c>
      <c r="S338" s="18">
        <f>IF(AND('Assumptions'!$E$158=1,S$4&gt;=MAX('Assumptions'!$E$159,'Assumptions'!$C$9)),1,0)</f>
        <v/>
      </c>
      <c r="T338" s="18">
        <f>IF(AND('Assumptions'!$E$158=1,T$4&gt;=MAX('Assumptions'!$E$159,'Assumptions'!$C$9)),1,0)</f>
        <v/>
      </c>
      <c r="U338" s="18">
        <f>IF(AND('Assumptions'!$E$158=1,U$4&gt;=MAX('Assumptions'!$E$159,'Assumptions'!$C$9)),1,0)</f>
        <v/>
      </c>
      <c r="V338" s="18">
        <f>IF(AND('Assumptions'!$E$158=1,V$4&gt;=MAX('Assumptions'!$E$159,'Assumptions'!$C$9)),1,0)</f>
        <v/>
      </c>
      <c r="W338" s="18">
        <f>IF(AND('Assumptions'!$E$158=1,W$4&gt;=MAX('Assumptions'!$E$159,'Assumptions'!$C$9)),1,0)</f>
        <v/>
      </c>
      <c r="X338" s="18">
        <f>IF(AND('Assumptions'!$E$158=1,X$4&gt;=MAX('Assumptions'!$E$159,'Assumptions'!$C$9)),1,0)</f>
        <v/>
      </c>
      <c r="Y338" s="18">
        <f>IF(AND('Assumptions'!$E$158=1,Y$4&gt;=MAX('Assumptions'!$E$159,'Assumptions'!$C$9)),1,0)</f>
        <v/>
      </c>
      <c r="Z338" s="18">
        <f>IF(AND('Assumptions'!$E$158=1,Z$4&gt;=MAX('Assumptions'!$E$159,'Assumptions'!$C$9)),1,0)</f>
        <v/>
      </c>
      <c r="AA338" s="18">
        <f>IF(AND('Assumptions'!$E$158=1,AA$4&gt;=MAX('Assumptions'!$E$159,'Assumptions'!$C$9)),1,0)</f>
        <v/>
      </c>
      <c r="AB338" s="18">
        <f>IF(AND('Assumptions'!$E$158=1,AB$4&gt;=MAX('Assumptions'!$E$159,'Assumptions'!$C$9)),1,0)</f>
        <v/>
      </c>
      <c r="AC338" s="18">
        <f>IF(AND('Assumptions'!$E$158=1,AC$4&gt;=MAX('Assumptions'!$E$159,'Assumptions'!$C$9)),1,0)</f>
        <v/>
      </c>
      <c r="AD338" s="18">
        <f>IF(AND('Assumptions'!$E$158=1,AD$4&gt;=MAX('Assumptions'!$E$159,'Assumptions'!$C$9)),1,0)</f>
        <v/>
      </c>
      <c r="AE338" s="18">
        <f>IF(AND('Assumptions'!$E$158=1,AE$4&gt;=MAX('Assumptions'!$E$159,'Assumptions'!$C$9)),1,0)</f>
        <v/>
      </c>
      <c r="AF338" s="18">
        <f>IF(AND('Assumptions'!$E$158=1,AF$4&gt;=MAX('Assumptions'!$E$159,'Assumptions'!$C$9)),1,0)</f>
        <v/>
      </c>
      <c r="AG338" s="18">
        <f>IF(AND('Assumptions'!$E$158=1,AG$4&gt;=MAX('Assumptions'!$E$159,'Assumptions'!$C$9)),1,0)</f>
        <v/>
      </c>
      <c r="AH338" s="18">
        <f>IF(AND('Assumptions'!$E$158=1,AH$4&gt;=MAX('Assumptions'!$E$159,'Assumptions'!$C$9)),1,0)</f>
        <v/>
      </c>
      <c r="AI338" s="18">
        <f>IF(AND('Assumptions'!$E$158=1,AI$4&gt;=MAX('Assumptions'!$E$159,'Assumptions'!$C$9)),1,0)</f>
        <v/>
      </c>
      <c r="AJ338" s="18">
        <f>IF(AND('Assumptions'!$E$158=1,AJ$4&gt;=MAX('Assumptions'!$E$159,'Assumptions'!$C$9)),1,0)</f>
        <v/>
      </c>
      <c r="AK338" s="18">
        <f>IF(AND('Assumptions'!$E$158=1,AK$4&gt;=MAX('Assumptions'!$E$159,'Assumptions'!$C$9)),1,0)</f>
        <v/>
      </c>
      <c r="AL338" s="18">
        <f>IF(AND('Assumptions'!$E$158=1,AL$4&gt;=MAX('Assumptions'!$E$159,'Assumptions'!$C$9)),1,0)</f>
        <v/>
      </c>
    </row>
    <row r="339">
      <c r="A339" s="7" t="inlineStr">
        <is>
          <t xml:space="preserve">   Subscribers reached (list last month x reach)</t>
        </is>
      </c>
      <c r="B339" s="9" t="inlineStr">
        <is>
          <t>people</t>
        </is>
      </c>
      <c r="C339" s="15">
        <f>IF(C338=0,0,0*'Assumptions'!$E$162)</f>
        <v/>
      </c>
      <c r="D339" s="15">
        <f>IF(D338=0,0,C382*'Assumptions'!$E$162)</f>
        <v/>
      </c>
      <c r="E339" s="15">
        <f>IF(E338=0,0,D382*'Assumptions'!$E$162)</f>
        <v/>
      </c>
      <c r="F339" s="15">
        <f>IF(F338=0,0,E382*'Assumptions'!$E$162)</f>
        <v/>
      </c>
      <c r="G339" s="15">
        <f>IF(G338=0,0,F382*'Assumptions'!$E$162)</f>
        <v/>
      </c>
      <c r="H339" s="15">
        <f>IF(H338=0,0,G382*'Assumptions'!$E$162)</f>
        <v/>
      </c>
      <c r="I339" s="15">
        <f>IF(I338=0,0,H382*'Assumptions'!$E$162)</f>
        <v/>
      </c>
      <c r="J339" s="15">
        <f>IF(J338=0,0,I382*'Assumptions'!$E$162)</f>
        <v/>
      </c>
      <c r="K339" s="15">
        <f>IF(K338=0,0,J382*'Assumptions'!$E$162)</f>
        <v/>
      </c>
      <c r="L339" s="15">
        <f>IF(L338=0,0,K382*'Assumptions'!$E$162)</f>
        <v/>
      </c>
      <c r="M339" s="15">
        <f>IF(M338=0,0,L382*'Assumptions'!$E$162)</f>
        <v/>
      </c>
      <c r="N339" s="15">
        <f>IF(N338=0,0,M382*'Assumptions'!$E$162)</f>
        <v/>
      </c>
      <c r="O339" s="15">
        <f>IF(O338=0,0,N382*'Assumptions'!$E$162)</f>
        <v/>
      </c>
      <c r="P339" s="15">
        <f>IF(P338=0,0,O382*'Assumptions'!$E$162)</f>
        <v/>
      </c>
      <c r="Q339" s="15">
        <f>IF(Q338=0,0,P382*'Assumptions'!$E$162)</f>
        <v/>
      </c>
      <c r="R339" s="15">
        <f>IF(R338=0,0,Q382*'Assumptions'!$E$162)</f>
        <v/>
      </c>
      <c r="S339" s="15">
        <f>IF(S338=0,0,R382*'Assumptions'!$E$162)</f>
        <v/>
      </c>
      <c r="T339" s="15">
        <f>IF(T338=0,0,S382*'Assumptions'!$E$162)</f>
        <v/>
      </c>
      <c r="U339" s="15">
        <f>IF(U338=0,0,T382*'Assumptions'!$E$162)</f>
        <v/>
      </c>
      <c r="V339" s="15">
        <f>IF(V338=0,0,U382*'Assumptions'!$E$162)</f>
        <v/>
      </c>
      <c r="W339" s="15">
        <f>IF(W338=0,0,V382*'Assumptions'!$E$162)</f>
        <v/>
      </c>
      <c r="X339" s="15">
        <f>IF(X338=0,0,W382*'Assumptions'!$E$162)</f>
        <v/>
      </c>
      <c r="Y339" s="15">
        <f>IF(Y338=0,0,X382*'Assumptions'!$E$162)</f>
        <v/>
      </c>
      <c r="Z339" s="15">
        <f>IF(Z338=0,0,Y382*'Assumptions'!$E$162)</f>
        <v/>
      </c>
      <c r="AA339" s="15">
        <f>IF(AA338=0,0,Z382*'Assumptions'!$E$162)</f>
        <v/>
      </c>
      <c r="AB339" s="15">
        <f>IF(AB338=0,0,AA382*'Assumptions'!$E$162)</f>
        <v/>
      </c>
      <c r="AC339" s="15">
        <f>IF(AC338=0,0,AB382*'Assumptions'!$E$162)</f>
        <v/>
      </c>
      <c r="AD339" s="15">
        <f>IF(AD338=0,0,AC382*'Assumptions'!$E$162)</f>
        <v/>
      </c>
      <c r="AE339" s="15">
        <f>IF(AE338=0,0,AD382*'Assumptions'!$E$162)</f>
        <v/>
      </c>
      <c r="AF339" s="15">
        <f>IF(AF338=0,0,AE382*'Assumptions'!$E$162)</f>
        <v/>
      </c>
      <c r="AG339" s="15">
        <f>IF(AG338=0,0,AF382*'Assumptions'!$E$162)</f>
        <v/>
      </c>
      <c r="AH339" s="15">
        <f>IF(AH338=0,0,AG382*'Assumptions'!$E$162)</f>
        <v/>
      </c>
      <c r="AI339" s="15">
        <f>IF(AI338=0,0,AH382*'Assumptions'!$E$162)</f>
        <v/>
      </c>
      <c r="AJ339" s="15">
        <f>IF(AJ338=0,0,AI382*'Assumptions'!$E$162)</f>
        <v/>
      </c>
      <c r="AK339" s="15">
        <f>IF(AK338=0,0,AJ382*'Assumptions'!$E$162)</f>
        <v/>
      </c>
      <c r="AL339" s="15">
        <f>IF(AL338=0,0,AK382*'Assumptions'!$E$162)</f>
        <v/>
      </c>
    </row>
    <row r="340">
      <c r="A340" s="7" t="inlineStr">
        <is>
          <t xml:space="preserve">   Subscribers reached by the offer</t>
        </is>
      </c>
      <c r="B340" s="9" t="inlineStr">
        <is>
          <t>visits</t>
        </is>
      </c>
      <c r="C340" s="58">
        <f>C339*C$7</f>
        <v/>
      </c>
      <c r="D340" s="58">
        <f>D339*D$7</f>
        <v/>
      </c>
      <c r="E340" s="58">
        <f>E339*E$7</f>
        <v/>
      </c>
      <c r="F340" s="58">
        <f>F339*F$7</f>
        <v/>
      </c>
      <c r="G340" s="58">
        <f>G339*G$7</f>
        <v/>
      </c>
      <c r="H340" s="58">
        <f>H339*H$7</f>
        <v/>
      </c>
      <c r="I340" s="58">
        <f>I339*I$7</f>
        <v/>
      </c>
      <c r="J340" s="58">
        <f>J339*J$7</f>
        <v/>
      </c>
      <c r="K340" s="58">
        <f>K339*K$7</f>
        <v/>
      </c>
      <c r="L340" s="58">
        <f>L339*L$7</f>
        <v/>
      </c>
      <c r="M340" s="58">
        <f>M339*M$7</f>
        <v/>
      </c>
      <c r="N340" s="58">
        <f>N339*N$7</f>
        <v/>
      </c>
      <c r="O340" s="58">
        <f>O339*O$7</f>
        <v/>
      </c>
      <c r="P340" s="58">
        <f>P339*P$7</f>
        <v/>
      </c>
      <c r="Q340" s="58">
        <f>Q339*Q$7</f>
        <v/>
      </c>
      <c r="R340" s="58">
        <f>R339*R$7</f>
        <v/>
      </c>
      <c r="S340" s="58">
        <f>S339*S$7</f>
        <v/>
      </c>
      <c r="T340" s="58">
        <f>T339*T$7</f>
        <v/>
      </c>
      <c r="U340" s="58">
        <f>U339*U$7</f>
        <v/>
      </c>
      <c r="V340" s="58">
        <f>V339*V$7</f>
        <v/>
      </c>
      <c r="W340" s="58">
        <f>W339*W$7</f>
        <v/>
      </c>
      <c r="X340" s="58">
        <f>X339*X$7</f>
        <v/>
      </c>
      <c r="Y340" s="58">
        <f>Y339*Y$7</f>
        <v/>
      </c>
      <c r="Z340" s="58">
        <f>Z339*Z$7</f>
        <v/>
      </c>
      <c r="AA340" s="58">
        <f>AA339*AA$7</f>
        <v/>
      </c>
      <c r="AB340" s="58">
        <f>AB339*AB$7</f>
        <v/>
      </c>
      <c r="AC340" s="58">
        <f>AC339*AC$7</f>
        <v/>
      </c>
      <c r="AD340" s="58">
        <f>AD339*AD$7</f>
        <v/>
      </c>
      <c r="AE340" s="58">
        <f>AE339*AE$7</f>
        <v/>
      </c>
      <c r="AF340" s="58">
        <f>AF339*AF$7</f>
        <v/>
      </c>
      <c r="AG340" s="58">
        <f>AG339*AG$7</f>
        <v/>
      </c>
      <c r="AH340" s="58">
        <f>AH339*AH$7</f>
        <v/>
      </c>
      <c r="AI340" s="58">
        <f>AI339*AI$7</f>
        <v/>
      </c>
      <c r="AJ340" s="58">
        <f>AJ339*AJ$7</f>
        <v/>
      </c>
      <c r="AK340" s="58">
        <f>AK339*AK$7</f>
        <v/>
      </c>
      <c r="AL340" s="58">
        <f>AL339*AL$7</f>
        <v/>
      </c>
      <c r="AM340" s="57">
        <f>SUMIF($C$6:$AL$6,1,C340:AL340)</f>
        <v/>
      </c>
      <c r="AN340" s="57">
        <f>SUMIF($C$6:$AL$6,2,C340:AL340)</f>
        <v/>
      </c>
      <c r="AO340" s="57">
        <f>SUMIF($C$6:$AL$6,3,C340:AL340)</f>
        <v/>
      </c>
      <c r="AP340" s="57">
        <f>SUM(C340:AL340)</f>
        <v/>
      </c>
    </row>
    <row r="341">
      <c r="A341" s="7" t="inlineStr">
        <is>
          <t xml:space="preserve">   Conversion rate (with review ramp)</t>
        </is>
      </c>
      <c r="B341" s="9" t="inlineStr">
        <is>
          <t>%</t>
        </is>
      </c>
      <c r="C341" s="59">
        <f>'Assumptions'!$E$160*MIN(1,(C$4-MAX('Assumptions'!$E$159,'Assumptions'!$C$9)+1)/'Assumptions'!$C$11)*C338</f>
        <v/>
      </c>
      <c r="D341" s="59">
        <f>'Assumptions'!$E$160*MIN(1,(D$4-MAX('Assumptions'!$E$159,'Assumptions'!$C$9)+1)/'Assumptions'!$C$11)*D338</f>
        <v/>
      </c>
      <c r="E341" s="59">
        <f>'Assumptions'!$E$160*MIN(1,(E$4-MAX('Assumptions'!$E$159,'Assumptions'!$C$9)+1)/'Assumptions'!$C$11)*E338</f>
        <v/>
      </c>
      <c r="F341" s="59">
        <f>'Assumptions'!$E$160*MIN(1,(F$4-MAX('Assumptions'!$E$159,'Assumptions'!$C$9)+1)/'Assumptions'!$C$11)*F338</f>
        <v/>
      </c>
      <c r="G341" s="59">
        <f>'Assumptions'!$E$160*MIN(1,(G$4-MAX('Assumptions'!$E$159,'Assumptions'!$C$9)+1)/'Assumptions'!$C$11)*G338</f>
        <v/>
      </c>
      <c r="H341" s="59">
        <f>'Assumptions'!$E$160*MIN(1,(H$4-MAX('Assumptions'!$E$159,'Assumptions'!$C$9)+1)/'Assumptions'!$C$11)*H338</f>
        <v/>
      </c>
      <c r="I341" s="59">
        <f>'Assumptions'!$E$160*MIN(1,(I$4-MAX('Assumptions'!$E$159,'Assumptions'!$C$9)+1)/'Assumptions'!$C$11)*I338</f>
        <v/>
      </c>
      <c r="J341" s="59">
        <f>'Assumptions'!$E$160*MIN(1,(J$4-MAX('Assumptions'!$E$159,'Assumptions'!$C$9)+1)/'Assumptions'!$C$11)*J338</f>
        <v/>
      </c>
      <c r="K341" s="59">
        <f>'Assumptions'!$E$160*MIN(1,(K$4-MAX('Assumptions'!$E$159,'Assumptions'!$C$9)+1)/'Assumptions'!$C$11)*K338</f>
        <v/>
      </c>
      <c r="L341" s="59">
        <f>'Assumptions'!$E$160*MIN(1,(L$4-MAX('Assumptions'!$E$159,'Assumptions'!$C$9)+1)/'Assumptions'!$C$11)*L338</f>
        <v/>
      </c>
      <c r="M341" s="59">
        <f>'Assumptions'!$E$160*MIN(1,(M$4-MAX('Assumptions'!$E$159,'Assumptions'!$C$9)+1)/'Assumptions'!$C$11)*M338</f>
        <v/>
      </c>
      <c r="N341" s="59">
        <f>'Assumptions'!$E$160*MIN(1,(N$4-MAX('Assumptions'!$E$159,'Assumptions'!$C$9)+1)/'Assumptions'!$C$11)*N338</f>
        <v/>
      </c>
      <c r="O341" s="59">
        <f>'Assumptions'!$E$160*MIN(1,(O$4-MAX('Assumptions'!$E$159,'Assumptions'!$C$9)+1)/'Assumptions'!$C$11)*O338</f>
        <v/>
      </c>
      <c r="P341" s="59">
        <f>'Assumptions'!$E$160*MIN(1,(P$4-MAX('Assumptions'!$E$159,'Assumptions'!$C$9)+1)/'Assumptions'!$C$11)*P338</f>
        <v/>
      </c>
      <c r="Q341" s="59">
        <f>'Assumptions'!$E$160*MIN(1,(Q$4-MAX('Assumptions'!$E$159,'Assumptions'!$C$9)+1)/'Assumptions'!$C$11)*Q338</f>
        <v/>
      </c>
      <c r="R341" s="59">
        <f>'Assumptions'!$E$160*MIN(1,(R$4-MAX('Assumptions'!$E$159,'Assumptions'!$C$9)+1)/'Assumptions'!$C$11)*R338</f>
        <v/>
      </c>
      <c r="S341" s="59">
        <f>'Assumptions'!$E$160*MIN(1,(S$4-MAX('Assumptions'!$E$159,'Assumptions'!$C$9)+1)/'Assumptions'!$C$11)*S338</f>
        <v/>
      </c>
      <c r="T341" s="59">
        <f>'Assumptions'!$E$160*MIN(1,(T$4-MAX('Assumptions'!$E$159,'Assumptions'!$C$9)+1)/'Assumptions'!$C$11)*T338</f>
        <v/>
      </c>
      <c r="U341" s="59">
        <f>'Assumptions'!$E$160*MIN(1,(U$4-MAX('Assumptions'!$E$159,'Assumptions'!$C$9)+1)/'Assumptions'!$C$11)*U338</f>
        <v/>
      </c>
      <c r="V341" s="59">
        <f>'Assumptions'!$E$160*MIN(1,(V$4-MAX('Assumptions'!$E$159,'Assumptions'!$C$9)+1)/'Assumptions'!$C$11)*V338</f>
        <v/>
      </c>
      <c r="W341" s="59">
        <f>'Assumptions'!$E$160*MIN(1,(W$4-MAX('Assumptions'!$E$159,'Assumptions'!$C$9)+1)/'Assumptions'!$C$11)*W338</f>
        <v/>
      </c>
      <c r="X341" s="59">
        <f>'Assumptions'!$E$160*MIN(1,(X$4-MAX('Assumptions'!$E$159,'Assumptions'!$C$9)+1)/'Assumptions'!$C$11)*X338</f>
        <v/>
      </c>
      <c r="Y341" s="59">
        <f>'Assumptions'!$E$160*MIN(1,(Y$4-MAX('Assumptions'!$E$159,'Assumptions'!$C$9)+1)/'Assumptions'!$C$11)*Y338</f>
        <v/>
      </c>
      <c r="Z341" s="59">
        <f>'Assumptions'!$E$160*MIN(1,(Z$4-MAX('Assumptions'!$E$159,'Assumptions'!$C$9)+1)/'Assumptions'!$C$11)*Z338</f>
        <v/>
      </c>
      <c r="AA341" s="59">
        <f>'Assumptions'!$E$160*MIN(1,(AA$4-MAX('Assumptions'!$E$159,'Assumptions'!$C$9)+1)/'Assumptions'!$C$11)*AA338</f>
        <v/>
      </c>
      <c r="AB341" s="59">
        <f>'Assumptions'!$E$160*MIN(1,(AB$4-MAX('Assumptions'!$E$159,'Assumptions'!$C$9)+1)/'Assumptions'!$C$11)*AB338</f>
        <v/>
      </c>
      <c r="AC341" s="59">
        <f>'Assumptions'!$E$160*MIN(1,(AC$4-MAX('Assumptions'!$E$159,'Assumptions'!$C$9)+1)/'Assumptions'!$C$11)*AC338</f>
        <v/>
      </c>
      <c r="AD341" s="59">
        <f>'Assumptions'!$E$160*MIN(1,(AD$4-MAX('Assumptions'!$E$159,'Assumptions'!$C$9)+1)/'Assumptions'!$C$11)*AD338</f>
        <v/>
      </c>
      <c r="AE341" s="59">
        <f>'Assumptions'!$E$160*MIN(1,(AE$4-MAX('Assumptions'!$E$159,'Assumptions'!$C$9)+1)/'Assumptions'!$C$11)*AE338</f>
        <v/>
      </c>
      <c r="AF341" s="59">
        <f>'Assumptions'!$E$160*MIN(1,(AF$4-MAX('Assumptions'!$E$159,'Assumptions'!$C$9)+1)/'Assumptions'!$C$11)*AF338</f>
        <v/>
      </c>
      <c r="AG341" s="59">
        <f>'Assumptions'!$E$160*MIN(1,(AG$4-MAX('Assumptions'!$E$159,'Assumptions'!$C$9)+1)/'Assumptions'!$C$11)*AG338</f>
        <v/>
      </c>
      <c r="AH341" s="59">
        <f>'Assumptions'!$E$160*MIN(1,(AH$4-MAX('Assumptions'!$E$159,'Assumptions'!$C$9)+1)/'Assumptions'!$C$11)*AH338</f>
        <v/>
      </c>
      <c r="AI341" s="59">
        <f>'Assumptions'!$E$160*MIN(1,(AI$4-MAX('Assumptions'!$E$159,'Assumptions'!$C$9)+1)/'Assumptions'!$C$11)*AI338</f>
        <v/>
      </c>
      <c r="AJ341" s="59">
        <f>'Assumptions'!$E$160*MIN(1,(AJ$4-MAX('Assumptions'!$E$159,'Assumptions'!$C$9)+1)/'Assumptions'!$C$11)*AJ338</f>
        <v/>
      </c>
      <c r="AK341" s="59">
        <f>'Assumptions'!$E$160*MIN(1,(AK$4-MAX('Assumptions'!$E$159,'Assumptions'!$C$9)+1)/'Assumptions'!$C$11)*AK338</f>
        <v/>
      </c>
      <c r="AL341" s="59">
        <f>'Assumptions'!$E$160*MIN(1,(AL$4-MAX('Assumptions'!$E$159,'Assumptions'!$C$9)+1)/'Assumptions'!$C$11)*AL338</f>
        <v/>
      </c>
    </row>
    <row r="342">
      <c r="A342" s="7" t="inlineStr">
        <is>
          <t xml:space="preserve">   Orders</t>
        </is>
      </c>
      <c r="B342" s="9" t="inlineStr">
        <is>
          <t>orders</t>
        </is>
      </c>
      <c r="C342" s="56">
        <f>C340*C341</f>
        <v/>
      </c>
      <c r="D342" s="56">
        <f>D340*D341</f>
        <v/>
      </c>
      <c r="E342" s="56">
        <f>E340*E341</f>
        <v/>
      </c>
      <c r="F342" s="56">
        <f>F340*F341</f>
        <v/>
      </c>
      <c r="G342" s="56">
        <f>G340*G341</f>
        <v/>
      </c>
      <c r="H342" s="56">
        <f>H340*H341</f>
        <v/>
      </c>
      <c r="I342" s="56">
        <f>I340*I341</f>
        <v/>
      </c>
      <c r="J342" s="56">
        <f>J340*J341</f>
        <v/>
      </c>
      <c r="K342" s="56">
        <f>K340*K341</f>
        <v/>
      </c>
      <c r="L342" s="56">
        <f>L340*L341</f>
        <v/>
      </c>
      <c r="M342" s="56">
        <f>M340*M341</f>
        <v/>
      </c>
      <c r="N342" s="56">
        <f>N340*N341</f>
        <v/>
      </c>
      <c r="O342" s="56">
        <f>O340*O341</f>
        <v/>
      </c>
      <c r="P342" s="56">
        <f>P340*P341</f>
        <v/>
      </c>
      <c r="Q342" s="56">
        <f>Q340*Q341</f>
        <v/>
      </c>
      <c r="R342" s="56">
        <f>R340*R341</f>
        <v/>
      </c>
      <c r="S342" s="56">
        <f>S340*S341</f>
        <v/>
      </c>
      <c r="T342" s="56">
        <f>T340*T341</f>
        <v/>
      </c>
      <c r="U342" s="56">
        <f>U340*U341</f>
        <v/>
      </c>
      <c r="V342" s="56">
        <f>V340*V341</f>
        <v/>
      </c>
      <c r="W342" s="56">
        <f>W340*W341</f>
        <v/>
      </c>
      <c r="X342" s="56">
        <f>X340*X341</f>
        <v/>
      </c>
      <c r="Y342" s="56">
        <f>Y340*Y341</f>
        <v/>
      </c>
      <c r="Z342" s="56">
        <f>Z340*Z341</f>
        <v/>
      </c>
      <c r="AA342" s="56">
        <f>AA340*AA341</f>
        <v/>
      </c>
      <c r="AB342" s="56">
        <f>AB340*AB341</f>
        <v/>
      </c>
      <c r="AC342" s="56">
        <f>AC340*AC341</f>
        <v/>
      </c>
      <c r="AD342" s="56">
        <f>AD340*AD341</f>
        <v/>
      </c>
      <c r="AE342" s="56">
        <f>AE340*AE341</f>
        <v/>
      </c>
      <c r="AF342" s="56">
        <f>AF340*AF341</f>
        <v/>
      </c>
      <c r="AG342" s="56">
        <f>AG340*AG341</f>
        <v/>
      </c>
      <c r="AH342" s="56">
        <f>AH340*AH341</f>
        <v/>
      </c>
      <c r="AI342" s="56">
        <f>AI340*AI341</f>
        <v/>
      </c>
      <c r="AJ342" s="56">
        <f>AJ340*AJ341</f>
        <v/>
      </c>
      <c r="AK342" s="56">
        <f>AK340*AK341</f>
        <v/>
      </c>
      <c r="AL342" s="56">
        <f>AL340*AL341</f>
        <v/>
      </c>
      <c r="AM342" s="57">
        <f>SUMIF($C$6:$AL$6,1,C342:AL342)</f>
        <v/>
      </c>
      <c r="AN342" s="57">
        <f>SUMIF($C$6:$AL$6,2,C342:AL342)</f>
        <v/>
      </c>
      <c r="AO342" s="57">
        <f>SUMIF($C$6:$AL$6,3,C342:AL342)</f>
        <v/>
      </c>
      <c r="AP342" s="57">
        <f>SUM(C342:AL342)</f>
        <v/>
      </c>
    </row>
    <row r="343">
      <c r="A343" s="7" t="inlineStr">
        <is>
          <t xml:space="preserve">   Items sold</t>
        </is>
      </c>
      <c r="B343" s="9" t="inlineStr">
        <is>
          <t>items</t>
        </is>
      </c>
      <c r="C343" s="14">
        <f>C342*'Assumptions'!$E$161</f>
        <v/>
      </c>
      <c r="D343" s="14">
        <f>D342*'Assumptions'!$E$161</f>
        <v/>
      </c>
      <c r="E343" s="14">
        <f>E342*'Assumptions'!$E$161</f>
        <v/>
      </c>
      <c r="F343" s="14">
        <f>F342*'Assumptions'!$E$161</f>
        <v/>
      </c>
      <c r="G343" s="14">
        <f>G342*'Assumptions'!$E$161</f>
        <v/>
      </c>
      <c r="H343" s="14">
        <f>H342*'Assumptions'!$E$161</f>
        <v/>
      </c>
      <c r="I343" s="14">
        <f>I342*'Assumptions'!$E$161</f>
        <v/>
      </c>
      <c r="J343" s="14">
        <f>J342*'Assumptions'!$E$161</f>
        <v/>
      </c>
      <c r="K343" s="14">
        <f>K342*'Assumptions'!$E$161</f>
        <v/>
      </c>
      <c r="L343" s="14">
        <f>L342*'Assumptions'!$E$161</f>
        <v/>
      </c>
      <c r="M343" s="14">
        <f>M342*'Assumptions'!$E$161</f>
        <v/>
      </c>
      <c r="N343" s="14">
        <f>N342*'Assumptions'!$E$161</f>
        <v/>
      </c>
      <c r="O343" s="14">
        <f>O342*'Assumptions'!$E$161</f>
        <v/>
      </c>
      <c r="P343" s="14">
        <f>P342*'Assumptions'!$E$161</f>
        <v/>
      </c>
      <c r="Q343" s="14">
        <f>Q342*'Assumptions'!$E$161</f>
        <v/>
      </c>
      <c r="R343" s="14">
        <f>R342*'Assumptions'!$E$161</f>
        <v/>
      </c>
      <c r="S343" s="14">
        <f>S342*'Assumptions'!$E$161</f>
        <v/>
      </c>
      <c r="T343" s="14">
        <f>T342*'Assumptions'!$E$161</f>
        <v/>
      </c>
      <c r="U343" s="14">
        <f>U342*'Assumptions'!$E$161</f>
        <v/>
      </c>
      <c r="V343" s="14">
        <f>V342*'Assumptions'!$E$161</f>
        <v/>
      </c>
      <c r="W343" s="14">
        <f>W342*'Assumptions'!$E$161</f>
        <v/>
      </c>
      <c r="X343" s="14">
        <f>X342*'Assumptions'!$E$161</f>
        <v/>
      </c>
      <c r="Y343" s="14">
        <f>Y342*'Assumptions'!$E$161</f>
        <v/>
      </c>
      <c r="Z343" s="14">
        <f>Z342*'Assumptions'!$E$161</f>
        <v/>
      </c>
      <c r="AA343" s="14">
        <f>AA342*'Assumptions'!$E$161</f>
        <v/>
      </c>
      <c r="AB343" s="14">
        <f>AB342*'Assumptions'!$E$161</f>
        <v/>
      </c>
      <c r="AC343" s="14">
        <f>AC342*'Assumptions'!$E$161</f>
        <v/>
      </c>
      <c r="AD343" s="14">
        <f>AD342*'Assumptions'!$E$161</f>
        <v/>
      </c>
      <c r="AE343" s="14">
        <f>AE342*'Assumptions'!$E$161</f>
        <v/>
      </c>
      <c r="AF343" s="14">
        <f>AF342*'Assumptions'!$E$161</f>
        <v/>
      </c>
      <c r="AG343" s="14">
        <f>AG342*'Assumptions'!$E$161</f>
        <v/>
      </c>
      <c r="AH343" s="14">
        <f>AH342*'Assumptions'!$E$161</f>
        <v/>
      </c>
      <c r="AI343" s="14">
        <f>AI342*'Assumptions'!$E$161</f>
        <v/>
      </c>
      <c r="AJ343" s="14">
        <f>AJ342*'Assumptions'!$E$161</f>
        <v/>
      </c>
      <c r="AK343" s="14">
        <f>AK342*'Assumptions'!$E$161</f>
        <v/>
      </c>
      <c r="AL343" s="14">
        <f>AL342*'Assumptions'!$E$161</f>
        <v/>
      </c>
      <c r="AM343" s="57">
        <f>SUMIF($C$6:$AL$6,1,C343:AL343)</f>
        <v/>
      </c>
      <c r="AN343" s="57">
        <f>SUMIF($C$6:$AL$6,2,C343:AL343)</f>
        <v/>
      </c>
      <c r="AO343" s="57">
        <f>SUMIF($C$6:$AL$6,3,C343:AL343)</f>
        <v/>
      </c>
      <c r="AP343" s="57">
        <f>SUM(C343:AL343)</f>
        <v/>
      </c>
    </row>
    <row r="344">
      <c r="A344" s="7" t="inlineStr">
        <is>
          <t xml:space="preserve">   Average order value</t>
        </is>
      </c>
      <c r="B344" s="9" t="inlineStr">
        <is>
          <t>$</t>
        </is>
      </c>
      <c r="C344" s="16">
        <f>'Unit Economics'!$E$54*'Assumptions'!$E$161*C338</f>
        <v/>
      </c>
      <c r="D344" s="16">
        <f>'Unit Economics'!$E$54*'Assumptions'!$E$161*D338</f>
        <v/>
      </c>
      <c r="E344" s="16">
        <f>'Unit Economics'!$E$54*'Assumptions'!$E$161*E338</f>
        <v/>
      </c>
      <c r="F344" s="16">
        <f>'Unit Economics'!$E$54*'Assumptions'!$E$161*F338</f>
        <v/>
      </c>
      <c r="G344" s="16">
        <f>'Unit Economics'!$E$54*'Assumptions'!$E$161*G338</f>
        <v/>
      </c>
      <c r="H344" s="16">
        <f>'Unit Economics'!$E$54*'Assumptions'!$E$161*H338</f>
        <v/>
      </c>
      <c r="I344" s="16">
        <f>'Unit Economics'!$E$54*'Assumptions'!$E$161*I338</f>
        <v/>
      </c>
      <c r="J344" s="16">
        <f>'Unit Economics'!$E$54*'Assumptions'!$E$161*J338</f>
        <v/>
      </c>
      <c r="K344" s="16">
        <f>'Unit Economics'!$E$54*'Assumptions'!$E$161*K338</f>
        <v/>
      </c>
      <c r="L344" s="16">
        <f>'Unit Economics'!$E$54*'Assumptions'!$E$161*L338</f>
        <v/>
      </c>
      <c r="M344" s="16">
        <f>'Unit Economics'!$E$54*'Assumptions'!$E$161*M338</f>
        <v/>
      </c>
      <c r="N344" s="16">
        <f>'Unit Economics'!$E$54*'Assumptions'!$E$161*N338</f>
        <v/>
      </c>
      <c r="O344" s="16">
        <f>'Unit Economics'!$E$54*'Assumptions'!$E$161*O338</f>
        <v/>
      </c>
      <c r="P344" s="16">
        <f>'Unit Economics'!$E$54*'Assumptions'!$E$161*P338</f>
        <v/>
      </c>
      <c r="Q344" s="16">
        <f>'Unit Economics'!$E$54*'Assumptions'!$E$161*Q338</f>
        <v/>
      </c>
      <c r="R344" s="16">
        <f>'Unit Economics'!$E$54*'Assumptions'!$E$161*R338</f>
        <v/>
      </c>
      <c r="S344" s="16">
        <f>'Unit Economics'!$E$54*'Assumptions'!$E$161*S338</f>
        <v/>
      </c>
      <c r="T344" s="16">
        <f>'Unit Economics'!$E$54*'Assumptions'!$E$161*T338</f>
        <v/>
      </c>
      <c r="U344" s="16">
        <f>'Unit Economics'!$E$54*'Assumptions'!$E$161*U338</f>
        <v/>
      </c>
      <c r="V344" s="16">
        <f>'Unit Economics'!$E$54*'Assumptions'!$E$161*V338</f>
        <v/>
      </c>
      <c r="W344" s="16">
        <f>'Unit Economics'!$E$54*'Assumptions'!$E$161*W338</f>
        <v/>
      </c>
      <c r="X344" s="16">
        <f>'Unit Economics'!$E$54*'Assumptions'!$E$161*X338</f>
        <v/>
      </c>
      <c r="Y344" s="16">
        <f>'Unit Economics'!$E$54*'Assumptions'!$E$161*Y338</f>
        <v/>
      </c>
      <c r="Z344" s="16">
        <f>'Unit Economics'!$E$54*'Assumptions'!$E$161*Z338</f>
        <v/>
      </c>
      <c r="AA344" s="16">
        <f>'Unit Economics'!$E$54*'Assumptions'!$E$161*AA338</f>
        <v/>
      </c>
      <c r="AB344" s="16">
        <f>'Unit Economics'!$E$54*'Assumptions'!$E$161*AB338</f>
        <v/>
      </c>
      <c r="AC344" s="16">
        <f>'Unit Economics'!$E$54*'Assumptions'!$E$161*AC338</f>
        <v/>
      </c>
      <c r="AD344" s="16">
        <f>'Unit Economics'!$E$54*'Assumptions'!$E$161*AD338</f>
        <v/>
      </c>
      <c r="AE344" s="16">
        <f>'Unit Economics'!$E$54*'Assumptions'!$E$161*AE338</f>
        <v/>
      </c>
      <c r="AF344" s="16">
        <f>'Unit Economics'!$E$54*'Assumptions'!$E$161*AF338</f>
        <v/>
      </c>
      <c r="AG344" s="16">
        <f>'Unit Economics'!$E$54*'Assumptions'!$E$161*AG338</f>
        <v/>
      </c>
      <c r="AH344" s="16">
        <f>'Unit Economics'!$E$54*'Assumptions'!$E$161*AH338</f>
        <v/>
      </c>
      <c r="AI344" s="16">
        <f>'Unit Economics'!$E$54*'Assumptions'!$E$161*AI338</f>
        <v/>
      </c>
      <c r="AJ344" s="16">
        <f>'Unit Economics'!$E$54*'Assumptions'!$E$161*AJ338</f>
        <v/>
      </c>
      <c r="AK344" s="16">
        <f>'Unit Economics'!$E$54*'Assumptions'!$E$161*AK338</f>
        <v/>
      </c>
      <c r="AL344" s="16">
        <f>'Unit Economics'!$E$54*'Assumptions'!$E$161*AL338</f>
        <v/>
      </c>
    </row>
    <row r="345">
      <c r="A345" s="7" t="inlineStr">
        <is>
          <t xml:space="preserve">   Gross sales (price paid by customers)</t>
        </is>
      </c>
      <c r="B345" s="9" t="inlineStr">
        <is>
          <t>$</t>
        </is>
      </c>
      <c r="C345" s="8">
        <f>C343*'Unit Economics'!$E$54</f>
        <v/>
      </c>
      <c r="D345" s="8">
        <f>D343*'Unit Economics'!$E$54</f>
        <v/>
      </c>
      <c r="E345" s="8">
        <f>E343*'Unit Economics'!$E$54</f>
        <v/>
      </c>
      <c r="F345" s="8">
        <f>F343*'Unit Economics'!$E$54</f>
        <v/>
      </c>
      <c r="G345" s="8">
        <f>G343*'Unit Economics'!$E$54</f>
        <v/>
      </c>
      <c r="H345" s="8">
        <f>H343*'Unit Economics'!$E$54</f>
        <v/>
      </c>
      <c r="I345" s="8">
        <f>I343*'Unit Economics'!$E$54</f>
        <v/>
      </c>
      <c r="J345" s="8">
        <f>J343*'Unit Economics'!$E$54</f>
        <v/>
      </c>
      <c r="K345" s="8">
        <f>K343*'Unit Economics'!$E$54</f>
        <v/>
      </c>
      <c r="L345" s="8">
        <f>L343*'Unit Economics'!$E$54</f>
        <v/>
      </c>
      <c r="M345" s="8">
        <f>M343*'Unit Economics'!$E$54</f>
        <v/>
      </c>
      <c r="N345" s="8">
        <f>N343*'Unit Economics'!$E$54</f>
        <v/>
      </c>
      <c r="O345" s="8">
        <f>O343*'Unit Economics'!$E$54</f>
        <v/>
      </c>
      <c r="P345" s="8">
        <f>P343*'Unit Economics'!$E$54</f>
        <v/>
      </c>
      <c r="Q345" s="8">
        <f>Q343*'Unit Economics'!$E$54</f>
        <v/>
      </c>
      <c r="R345" s="8">
        <f>R343*'Unit Economics'!$E$54</f>
        <v/>
      </c>
      <c r="S345" s="8">
        <f>S343*'Unit Economics'!$E$54</f>
        <v/>
      </c>
      <c r="T345" s="8">
        <f>T343*'Unit Economics'!$E$54</f>
        <v/>
      </c>
      <c r="U345" s="8">
        <f>U343*'Unit Economics'!$E$54</f>
        <v/>
      </c>
      <c r="V345" s="8">
        <f>V343*'Unit Economics'!$E$54</f>
        <v/>
      </c>
      <c r="W345" s="8">
        <f>W343*'Unit Economics'!$E$54</f>
        <v/>
      </c>
      <c r="X345" s="8">
        <f>X343*'Unit Economics'!$E$54</f>
        <v/>
      </c>
      <c r="Y345" s="8">
        <f>Y343*'Unit Economics'!$E$54</f>
        <v/>
      </c>
      <c r="Z345" s="8">
        <f>Z343*'Unit Economics'!$E$54</f>
        <v/>
      </c>
      <c r="AA345" s="8">
        <f>AA343*'Unit Economics'!$E$54</f>
        <v/>
      </c>
      <c r="AB345" s="8">
        <f>AB343*'Unit Economics'!$E$54</f>
        <v/>
      </c>
      <c r="AC345" s="8">
        <f>AC343*'Unit Economics'!$E$54</f>
        <v/>
      </c>
      <c r="AD345" s="8">
        <f>AD343*'Unit Economics'!$E$54</f>
        <v/>
      </c>
      <c r="AE345" s="8">
        <f>AE343*'Unit Economics'!$E$54</f>
        <v/>
      </c>
      <c r="AF345" s="8">
        <f>AF343*'Unit Economics'!$E$54</f>
        <v/>
      </c>
      <c r="AG345" s="8">
        <f>AG343*'Unit Economics'!$E$54</f>
        <v/>
      </c>
      <c r="AH345" s="8">
        <f>AH343*'Unit Economics'!$E$54</f>
        <v/>
      </c>
      <c r="AI345" s="8">
        <f>AI343*'Unit Economics'!$E$54</f>
        <v/>
      </c>
      <c r="AJ345" s="8">
        <f>AJ343*'Unit Economics'!$E$54</f>
        <v/>
      </c>
      <c r="AK345" s="8">
        <f>AK343*'Unit Economics'!$E$54</f>
        <v/>
      </c>
      <c r="AL345" s="8">
        <f>AL343*'Unit Economics'!$E$54</f>
        <v/>
      </c>
      <c r="AM345" s="47">
        <f>SUMIF($C$6:$AL$6,1,C345:AL345)</f>
        <v/>
      </c>
      <c r="AN345" s="47">
        <f>SUMIF($C$6:$AL$6,2,C345:AL345)</f>
        <v/>
      </c>
      <c r="AO345" s="47">
        <f>SUMIF($C$6:$AL$6,3,C345:AL345)</f>
        <v/>
      </c>
      <c r="AP345" s="47">
        <f>SUM(C345:AL345)</f>
        <v/>
      </c>
    </row>
    <row r="346">
      <c r="A346" s="7" t="inlineStr">
        <is>
          <t xml:space="preserve">   Net contribution to AlphaPlay</t>
        </is>
      </c>
      <c r="B346" s="9" t="inlineStr">
        <is>
          <t>$</t>
        </is>
      </c>
      <c r="C346" s="8">
        <f>C343*'Unit Economics'!$F$54</f>
        <v/>
      </c>
      <c r="D346" s="8">
        <f>D343*'Unit Economics'!$F$54</f>
        <v/>
      </c>
      <c r="E346" s="8">
        <f>E343*'Unit Economics'!$F$54</f>
        <v/>
      </c>
      <c r="F346" s="8">
        <f>F343*'Unit Economics'!$F$54</f>
        <v/>
      </c>
      <c r="G346" s="8">
        <f>G343*'Unit Economics'!$F$54</f>
        <v/>
      </c>
      <c r="H346" s="8">
        <f>H343*'Unit Economics'!$F$54</f>
        <v/>
      </c>
      <c r="I346" s="8">
        <f>I343*'Unit Economics'!$F$54</f>
        <v/>
      </c>
      <c r="J346" s="8">
        <f>J343*'Unit Economics'!$F$54</f>
        <v/>
      </c>
      <c r="K346" s="8">
        <f>K343*'Unit Economics'!$F$54</f>
        <v/>
      </c>
      <c r="L346" s="8">
        <f>L343*'Unit Economics'!$F$54</f>
        <v/>
      </c>
      <c r="M346" s="8">
        <f>M343*'Unit Economics'!$F$54</f>
        <v/>
      </c>
      <c r="N346" s="8">
        <f>N343*'Unit Economics'!$F$54</f>
        <v/>
      </c>
      <c r="O346" s="8">
        <f>O343*'Unit Economics'!$F$54</f>
        <v/>
      </c>
      <c r="P346" s="8">
        <f>P343*'Unit Economics'!$F$54</f>
        <v/>
      </c>
      <c r="Q346" s="8">
        <f>Q343*'Unit Economics'!$F$54</f>
        <v/>
      </c>
      <c r="R346" s="8">
        <f>R343*'Unit Economics'!$F$54</f>
        <v/>
      </c>
      <c r="S346" s="8">
        <f>S343*'Unit Economics'!$F$54</f>
        <v/>
      </c>
      <c r="T346" s="8">
        <f>T343*'Unit Economics'!$F$54</f>
        <v/>
      </c>
      <c r="U346" s="8">
        <f>U343*'Unit Economics'!$F$54</f>
        <v/>
      </c>
      <c r="V346" s="8">
        <f>V343*'Unit Economics'!$F$54</f>
        <v/>
      </c>
      <c r="W346" s="8">
        <f>W343*'Unit Economics'!$F$54</f>
        <v/>
      </c>
      <c r="X346" s="8">
        <f>X343*'Unit Economics'!$F$54</f>
        <v/>
      </c>
      <c r="Y346" s="8">
        <f>Y343*'Unit Economics'!$F$54</f>
        <v/>
      </c>
      <c r="Z346" s="8">
        <f>Z343*'Unit Economics'!$F$54</f>
        <v/>
      </c>
      <c r="AA346" s="8">
        <f>AA343*'Unit Economics'!$F$54</f>
        <v/>
      </c>
      <c r="AB346" s="8">
        <f>AB343*'Unit Economics'!$F$54</f>
        <v/>
      </c>
      <c r="AC346" s="8">
        <f>AC343*'Unit Economics'!$F$54</f>
        <v/>
      </c>
      <c r="AD346" s="8">
        <f>AD343*'Unit Economics'!$F$54</f>
        <v/>
      </c>
      <c r="AE346" s="8">
        <f>AE343*'Unit Economics'!$F$54</f>
        <v/>
      </c>
      <c r="AF346" s="8">
        <f>AF343*'Unit Economics'!$F$54</f>
        <v/>
      </c>
      <c r="AG346" s="8">
        <f>AG343*'Unit Economics'!$F$54</f>
        <v/>
      </c>
      <c r="AH346" s="8">
        <f>AH343*'Unit Economics'!$F$54</f>
        <v/>
      </c>
      <c r="AI346" s="8">
        <f>AI343*'Unit Economics'!$F$54</f>
        <v/>
      </c>
      <c r="AJ346" s="8">
        <f>AJ343*'Unit Economics'!$F$54</f>
        <v/>
      </c>
      <c r="AK346" s="8">
        <f>AK343*'Unit Economics'!$F$54</f>
        <v/>
      </c>
      <c r="AL346" s="8">
        <f>AL343*'Unit Economics'!$F$54</f>
        <v/>
      </c>
      <c r="AM346" s="47">
        <f>SUMIF($C$6:$AL$6,1,C346:AL346)</f>
        <v/>
      </c>
      <c r="AN346" s="47">
        <f>SUMIF($C$6:$AL$6,2,C346:AL346)</f>
        <v/>
      </c>
      <c r="AO346" s="47">
        <f>SUMIF($C$6:$AL$6,3,C346:AL346)</f>
        <v/>
      </c>
      <c r="AP346" s="47">
        <f>SUM(C346:AL346)</f>
        <v/>
      </c>
    </row>
    <row r="347">
      <c r="A347" s="5" t="inlineStr">
        <is>
          <t>Board book: pre-sale, then 3PL and Amazon FBA (gated option; off in base)</t>
        </is>
      </c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  <c r="AC347" s="6" t="n"/>
      <c r="AD347" s="6" t="n"/>
      <c r="AE347" s="6" t="n"/>
      <c r="AF347" s="6" t="n"/>
      <c r="AG347" s="6" t="n"/>
      <c r="AH347" s="6" t="n"/>
      <c r="AI347" s="6" t="n"/>
      <c r="AJ347" s="6" t="n"/>
      <c r="AK347" s="6" t="n"/>
      <c r="AL347" s="6" t="n"/>
      <c r="AM347" s="6" t="n"/>
      <c r="AN347" s="6" t="n"/>
      <c r="AO347" s="6" t="n"/>
      <c r="AP347" s="6" t="n"/>
    </row>
    <row r="348">
      <c r="A348" s="7" t="inlineStr">
        <is>
          <t xml:space="preserve">   Active (1 = live)</t>
        </is>
      </c>
      <c r="B348" s="9" t="inlineStr">
        <is>
          <t>flag</t>
        </is>
      </c>
      <c r="C348" s="18">
        <f>IF(AND('Assumptions'!$E$164=1,C$4&gt;=MAX('Assumptions'!$E$165,'Assumptions'!$C$9)),1,0)</f>
        <v/>
      </c>
      <c r="D348" s="18">
        <f>IF(AND('Assumptions'!$E$164=1,D$4&gt;=MAX('Assumptions'!$E$165,'Assumptions'!$C$9)),1,0)</f>
        <v/>
      </c>
      <c r="E348" s="18">
        <f>IF(AND('Assumptions'!$E$164=1,E$4&gt;=MAX('Assumptions'!$E$165,'Assumptions'!$C$9)),1,0)</f>
        <v/>
      </c>
      <c r="F348" s="18">
        <f>IF(AND('Assumptions'!$E$164=1,F$4&gt;=MAX('Assumptions'!$E$165,'Assumptions'!$C$9)),1,0)</f>
        <v/>
      </c>
      <c r="G348" s="18">
        <f>IF(AND('Assumptions'!$E$164=1,G$4&gt;=MAX('Assumptions'!$E$165,'Assumptions'!$C$9)),1,0)</f>
        <v/>
      </c>
      <c r="H348" s="18">
        <f>IF(AND('Assumptions'!$E$164=1,H$4&gt;=MAX('Assumptions'!$E$165,'Assumptions'!$C$9)),1,0)</f>
        <v/>
      </c>
      <c r="I348" s="18">
        <f>IF(AND('Assumptions'!$E$164=1,I$4&gt;=MAX('Assumptions'!$E$165,'Assumptions'!$C$9)),1,0)</f>
        <v/>
      </c>
      <c r="J348" s="18">
        <f>IF(AND('Assumptions'!$E$164=1,J$4&gt;=MAX('Assumptions'!$E$165,'Assumptions'!$C$9)),1,0)</f>
        <v/>
      </c>
      <c r="K348" s="18">
        <f>IF(AND('Assumptions'!$E$164=1,K$4&gt;=MAX('Assumptions'!$E$165,'Assumptions'!$C$9)),1,0)</f>
        <v/>
      </c>
      <c r="L348" s="18">
        <f>IF(AND('Assumptions'!$E$164=1,L$4&gt;=MAX('Assumptions'!$E$165,'Assumptions'!$C$9)),1,0)</f>
        <v/>
      </c>
      <c r="M348" s="18">
        <f>IF(AND('Assumptions'!$E$164=1,M$4&gt;=MAX('Assumptions'!$E$165,'Assumptions'!$C$9)),1,0)</f>
        <v/>
      </c>
      <c r="N348" s="18">
        <f>IF(AND('Assumptions'!$E$164=1,N$4&gt;=MAX('Assumptions'!$E$165,'Assumptions'!$C$9)),1,0)</f>
        <v/>
      </c>
      <c r="O348" s="18">
        <f>IF(AND('Assumptions'!$E$164=1,O$4&gt;=MAX('Assumptions'!$E$165,'Assumptions'!$C$9)),1,0)</f>
        <v/>
      </c>
      <c r="P348" s="18">
        <f>IF(AND('Assumptions'!$E$164=1,P$4&gt;=MAX('Assumptions'!$E$165,'Assumptions'!$C$9)),1,0)</f>
        <v/>
      </c>
      <c r="Q348" s="18">
        <f>IF(AND('Assumptions'!$E$164=1,Q$4&gt;=MAX('Assumptions'!$E$165,'Assumptions'!$C$9)),1,0)</f>
        <v/>
      </c>
      <c r="R348" s="18">
        <f>IF(AND('Assumptions'!$E$164=1,R$4&gt;=MAX('Assumptions'!$E$165,'Assumptions'!$C$9)),1,0)</f>
        <v/>
      </c>
      <c r="S348" s="18">
        <f>IF(AND('Assumptions'!$E$164=1,S$4&gt;=MAX('Assumptions'!$E$165,'Assumptions'!$C$9)),1,0)</f>
        <v/>
      </c>
      <c r="T348" s="18">
        <f>IF(AND('Assumptions'!$E$164=1,T$4&gt;=MAX('Assumptions'!$E$165,'Assumptions'!$C$9)),1,0)</f>
        <v/>
      </c>
      <c r="U348" s="18">
        <f>IF(AND('Assumptions'!$E$164=1,U$4&gt;=MAX('Assumptions'!$E$165,'Assumptions'!$C$9)),1,0)</f>
        <v/>
      </c>
      <c r="V348" s="18">
        <f>IF(AND('Assumptions'!$E$164=1,V$4&gt;=MAX('Assumptions'!$E$165,'Assumptions'!$C$9)),1,0)</f>
        <v/>
      </c>
      <c r="W348" s="18">
        <f>IF(AND('Assumptions'!$E$164=1,W$4&gt;=MAX('Assumptions'!$E$165,'Assumptions'!$C$9)),1,0)</f>
        <v/>
      </c>
      <c r="X348" s="18">
        <f>IF(AND('Assumptions'!$E$164=1,X$4&gt;=MAX('Assumptions'!$E$165,'Assumptions'!$C$9)),1,0)</f>
        <v/>
      </c>
      <c r="Y348" s="18">
        <f>IF(AND('Assumptions'!$E$164=1,Y$4&gt;=MAX('Assumptions'!$E$165,'Assumptions'!$C$9)),1,0)</f>
        <v/>
      </c>
      <c r="Z348" s="18">
        <f>IF(AND('Assumptions'!$E$164=1,Z$4&gt;=MAX('Assumptions'!$E$165,'Assumptions'!$C$9)),1,0)</f>
        <v/>
      </c>
      <c r="AA348" s="18">
        <f>IF(AND('Assumptions'!$E$164=1,AA$4&gt;=MAX('Assumptions'!$E$165,'Assumptions'!$C$9)),1,0)</f>
        <v/>
      </c>
      <c r="AB348" s="18">
        <f>IF(AND('Assumptions'!$E$164=1,AB$4&gt;=MAX('Assumptions'!$E$165,'Assumptions'!$C$9)),1,0)</f>
        <v/>
      </c>
      <c r="AC348" s="18">
        <f>IF(AND('Assumptions'!$E$164=1,AC$4&gt;=MAX('Assumptions'!$E$165,'Assumptions'!$C$9)),1,0)</f>
        <v/>
      </c>
      <c r="AD348" s="18">
        <f>IF(AND('Assumptions'!$E$164=1,AD$4&gt;=MAX('Assumptions'!$E$165,'Assumptions'!$C$9)),1,0)</f>
        <v/>
      </c>
      <c r="AE348" s="18">
        <f>IF(AND('Assumptions'!$E$164=1,AE$4&gt;=MAX('Assumptions'!$E$165,'Assumptions'!$C$9)),1,0)</f>
        <v/>
      </c>
      <c r="AF348" s="18">
        <f>IF(AND('Assumptions'!$E$164=1,AF$4&gt;=MAX('Assumptions'!$E$165,'Assumptions'!$C$9)),1,0)</f>
        <v/>
      </c>
      <c r="AG348" s="18">
        <f>IF(AND('Assumptions'!$E$164=1,AG$4&gt;=MAX('Assumptions'!$E$165,'Assumptions'!$C$9)),1,0)</f>
        <v/>
      </c>
      <c r="AH348" s="18">
        <f>IF(AND('Assumptions'!$E$164=1,AH$4&gt;=MAX('Assumptions'!$E$165,'Assumptions'!$C$9)),1,0)</f>
        <v/>
      </c>
      <c r="AI348" s="18">
        <f>IF(AND('Assumptions'!$E$164=1,AI$4&gt;=MAX('Assumptions'!$E$165,'Assumptions'!$C$9)),1,0)</f>
        <v/>
      </c>
      <c r="AJ348" s="18">
        <f>IF(AND('Assumptions'!$E$164=1,AJ$4&gt;=MAX('Assumptions'!$E$165,'Assumptions'!$C$9)),1,0)</f>
        <v/>
      </c>
      <c r="AK348" s="18">
        <f>IF(AND('Assumptions'!$E$164=1,AK$4&gt;=MAX('Assumptions'!$E$165,'Assumptions'!$C$9)),1,0)</f>
        <v/>
      </c>
      <c r="AL348" s="18">
        <f>IF(AND('Assumptions'!$E$164=1,AL$4&gt;=MAX('Assumptions'!$E$165,'Assumptions'!$C$9)),1,0)</f>
        <v/>
      </c>
    </row>
    <row r="349">
      <c r="A349" s="7" t="inlineStr">
        <is>
          <t xml:space="preserve">   Traffic trend (before seasonality)</t>
        </is>
      </c>
      <c r="B349" s="9" t="inlineStr">
        <is>
          <t>visits</t>
        </is>
      </c>
      <c r="C349" s="15">
        <f>IF(C348=0,0,'Assumptions'!$E$166)</f>
        <v/>
      </c>
      <c r="D349" s="15">
        <f>IF(D348=0,0,IF(D$4=MAX('Assumptions'!$E$165,'Assumptions'!$C$9),'Assumptions'!$E$166,C349*(1+CHOOSE(D$6,'Assumptions'!$E$167,'Assumptions'!$E$168,'Assumptions'!$E$169))))</f>
        <v/>
      </c>
      <c r="E349" s="15">
        <f>IF(E348=0,0,IF(E$4=MAX('Assumptions'!$E$165,'Assumptions'!$C$9),'Assumptions'!$E$166,D349*(1+CHOOSE(E$6,'Assumptions'!$E$167,'Assumptions'!$E$168,'Assumptions'!$E$169))))</f>
        <v/>
      </c>
      <c r="F349" s="15">
        <f>IF(F348=0,0,IF(F$4=MAX('Assumptions'!$E$165,'Assumptions'!$C$9),'Assumptions'!$E$166,E349*(1+CHOOSE(F$6,'Assumptions'!$E$167,'Assumptions'!$E$168,'Assumptions'!$E$169))))</f>
        <v/>
      </c>
      <c r="G349" s="15">
        <f>IF(G348=0,0,IF(G$4=MAX('Assumptions'!$E$165,'Assumptions'!$C$9),'Assumptions'!$E$166,F349*(1+CHOOSE(G$6,'Assumptions'!$E$167,'Assumptions'!$E$168,'Assumptions'!$E$169))))</f>
        <v/>
      </c>
      <c r="H349" s="15">
        <f>IF(H348=0,0,IF(H$4=MAX('Assumptions'!$E$165,'Assumptions'!$C$9),'Assumptions'!$E$166,G349*(1+CHOOSE(H$6,'Assumptions'!$E$167,'Assumptions'!$E$168,'Assumptions'!$E$169))))</f>
        <v/>
      </c>
      <c r="I349" s="15">
        <f>IF(I348=0,0,IF(I$4=MAX('Assumptions'!$E$165,'Assumptions'!$C$9),'Assumptions'!$E$166,H349*(1+CHOOSE(I$6,'Assumptions'!$E$167,'Assumptions'!$E$168,'Assumptions'!$E$169))))</f>
        <v/>
      </c>
      <c r="J349" s="15">
        <f>IF(J348=0,0,IF(J$4=MAX('Assumptions'!$E$165,'Assumptions'!$C$9),'Assumptions'!$E$166,I349*(1+CHOOSE(J$6,'Assumptions'!$E$167,'Assumptions'!$E$168,'Assumptions'!$E$169))))</f>
        <v/>
      </c>
      <c r="K349" s="15">
        <f>IF(K348=0,0,IF(K$4=MAX('Assumptions'!$E$165,'Assumptions'!$C$9),'Assumptions'!$E$166,J349*(1+CHOOSE(K$6,'Assumptions'!$E$167,'Assumptions'!$E$168,'Assumptions'!$E$169))))</f>
        <v/>
      </c>
      <c r="L349" s="15">
        <f>IF(L348=0,0,IF(L$4=MAX('Assumptions'!$E$165,'Assumptions'!$C$9),'Assumptions'!$E$166,K349*(1+CHOOSE(L$6,'Assumptions'!$E$167,'Assumptions'!$E$168,'Assumptions'!$E$169))))</f>
        <v/>
      </c>
      <c r="M349" s="15">
        <f>IF(M348=0,0,IF(M$4=MAX('Assumptions'!$E$165,'Assumptions'!$C$9),'Assumptions'!$E$166,L349*(1+CHOOSE(M$6,'Assumptions'!$E$167,'Assumptions'!$E$168,'Assumptions'!$E$169))))</f>
        <v/>
      </c>
      <c r="N349" s="15">
        <f>IF(N348=0,0,IF(N$4=MAX('Assumptions'!$E$165,'Assumptions'!$C$9),'Assumptions'!$E$166,M349*(1+CHOOSE(N$6,'Assumptions'!$E$167,'Assumptions'!$E$168,'Assumptions'!$E$169))))</f>
        <v/>
      </c>
      <c r="O349" s="15">
        <f>IF(O348=0,0,IF(O$4=MAX('Assumptions'!$E$165,'Assumptions'!$C$9),'Assumptions'!$E$166,N349*(1+CHOOSE(O$6,'Assumptions'!$E$167,'Assumptions'!$E$168,'Assumptions'!$E$169))))</f>
        <v/>
      </c>
      <c r="P349" s="15">
        <f>IF(P348=0,0,IF(P$4=MAX('Assumptions'!$E$165,'Assumptions'!$C$9),'Assumptions'!$E$166,O349*(1+CHOOSE(P$6,'Assumptions'!$E$167,'Assumptions'!$E$168,'Assumptions'!$E$169))))</f>
        <v/>
      </c>
      <c r="Q349" s="15">
        <f>IF(Q348=0,0,IF(Q$4=MAX('Assumptions'!$E$165,'Assumptions'!$C$9),'Assumptions'!$E$166,P349*(1+CHOOSE(Q$6,'Assumptions'!$E$167,'Assumptions'!$E$168,'Assumptions'!$E$169))))</f>
        <v/>
      </c>
      <c r="R349" s="15">
        <f>IF(R348=0,0,IF(R$4=MAX('Assumptions'!$E$165,'Assumptions'!$C$9),'Assumptions'!$E$166,Q349*(1+CHOOSE(R$6,'Assumptions'!$E$167,'Assumptions'!$E$168,'Assumptions'!$E$169))))</f>
        <v/>
      </c>
      <c r="S349" s="15">
        <f>IF(S348=0,0,IF(S$4=MAX('Assumptions'!$E$165,'Assumptions'!$C$9),'Assumptions'!$E$166,R349*(1+CHOOSE(S$6,'Assumptions'!$E$167,'Assumptions'!$E$168,'Assumptions'!$E$169))))</f>
        <v/>
      </c>
      <c r="T349" s="15">
        <f>IF(T348=0,0,IF(T$4=MAX('Assumptions'!$E$165,'Assumptions'!$C$9),'Assumptions'!$E$166,S349*(1+CHOOSE(T$6,'Assumptions'!$E$167,'Assumptions'!$E$168,'Assumptions'!$E$169))))</f>
        <v/>
      </c>
      <c r="U349" s="15">
        <f>IF(U348=0,0,IF(U$4=MAX('Assumptions'!$E$165,'Assumptions'!$C$9),'Assumptions'!$E$166,T349*(1+CHOOSE(U$6,'Assumptions'!$E$167,'Assumptions'!$E$168,'Assumptions'!$E$169))))</f>
        <v/>
      </c>
      <c r="V349" s="15">
        <f>IF(V348=0,0,IF(V$4=MAX('Assumptions'!$E$165,'Assumptions'!$C$9),'Assumptions'!$E$166,U349*(1+CHOOSE(V$6,'Assumptions'!$E$167,'Assumptions'!$E$168,'Assumptions'!$E$169))))</f>
        <v/>
      </c>
      <c r="W349" s="15">
        <f>IF(W348=0,0,IF(W$4=MAX('Assumptions'!$E$165,'Assumptions'!$C$9),'Assumptions'!$E$166,V349*(1+CHOOSE(W$6,'Assumptions'!$E$167,'Assumptions'!$E$168,'Assumptions'!$E$169))))</f>
        <v/>
      </c>
      <c r="X349" s="15">
        <f>IF(X348=0,0,IF(X$4=MAX('Assumptions'!$E$165,'Assumptions'!$C$9),'Assumptions'!$E$166,W349*(1+CHOOSE(X$6,'Assumptions'!$E$167,'Assumptions'!$E$168,'Assumptions'!$E$169))))</f>
        <v/>
      </c>
      <c r="Y349" s="15">
        <f>IF(Y348=0,0,IF(Y$4=MAX('Assumptions'!$E$165,'Assumptions'!$C$9),'Assumptions'!$E$166,X349*(1+CHOOSE(Y$6,'Assumptions'!$E$167,'Assumptions'!$E$168,'Assumptions'!$E$169))))</f>
        <v/>
      </c>
      <c r="Z349" s="15">
        <f>IF(Z348=0,0,IF(Z$4=MAX('Assumptions'!$E$165,'Assumptions'!$C$9),'Assumptions'!$E$166,Y349*(1+CHOOSE(Z$6,'Assumptions'!$E$167,'Assumptions'!$E$168,'Assumptions'!$E$169))))</f>
        <v/>
      </c>
      <c r="AA349" s="15">
        <f>IF(AA348=0,0,IF(AA$4=MAX('Assumptions'!$E$165,'Assumptions'!$C$9),'Assumptions'!$E$166,Z349*(1+CHOOSE(AA$6,'Assumptions'!$E$167,'Assumptions'!$E$168,'Assumptions'!$E$169))))</f>
        <v/>
      </c>
      <c r="AB349" s="15">
        <f>IF(AB348=0,0,IF(AB$4=MAX('Assumptions'!$E$165,'Assumptions'!$C$9),'Assumptions'!$E$166,AA349*(1+CHOOSE(AB$6,'Assumptions'!$E$167,'Assumptions'!$E$168,'Assumptions'!$E$169))))</f>
        <v/>
      </c>
      <c r="AC349" s="15">
        <f>IF(AC348=0,0,IF(AC$4=MAX('Assumptions'!$E$165,'Assumptions'!$C$9),'Assumptions'!$E$166,AB349*(1+CHOOSE(AC$6,'Assumptions'!$E$167,'Assumptions'!$E$168,'Assumptions'!$E$169))))</f>
        <v/>
      </c>
      <c r="AD349" s="15">
        <f>IF(AD348=0,0,IF(AD$4=MAX('Assumptions'!$E$165,'Assumptions'!$C$9),'Assumptions'!$E$166,AC349*(1+CHOOSE(AD$6,'Assumptions'!$E$167,'Assumptions'!$E$168,'Assumptions'!$E$169))))</f>
        <v/>
      </c>
      <c r="AE349" s="15">
        <f>IF(AE348=0,0,IF(AE$4=MAX('Assumptions'!$E$165,'Assumptions'!$C$9),'Assumptions'!$E$166,AD349*(1+CHOOSE(AE$6,'Assumptions'!$E$167,'Assumptions'!$E$168,'Assumptions'!$E$169))))</f>
        <v/>
      </c>
      <c r="AF349" s="15">
        <f>IF(AF348=0,0,IF(AF$4=MAX('Assumptions'!$E$165,'Assumptions'!$C$9),'Assumptions'!$E$166,AE349*(1+CHOOSE(AF$6,'Assumptions'!$E$167,'Assumptions'!$E$168,'Assumptions'!$E$169))))</f>
        <v/>
      </c>
      <c r="AG349" s="15">
        <f>IF(AG348=0,0,IF(AG$4=MAX('Assumptions'!$E$165,'Assumptions'!$C$9),'Assumptions'!$E$166,AF349*(1+CHOOSE(AG$6,'Assumptions'!$E$167,'Assumptions'!$E$168,'Assumptions'!$E$169))))</f>
        <v/>
      </c>
      <c r="AH349" s="15">
        <f>IF(AH348=0,0,IF(AH$4=MAX('Assumptions'!$E$165,'Assumptions'!$C$9),'Assumptions'!$E$166,AG349*(1+CHOOSE(AH$6,'Assumptions'!$E$167,'Assumptions'!$E$168,'Assumptions'!$E$169))))</f>
        <v/>
      </c>
      <c r="AI349" s="15">
        <f>IF(AI348=0,0,IF(AI$4=MAX('Assumptions'!$E$165,'Assumptions'!$C$9),'Assumptions'!$E$166,AH349*(1+CHOOSE(AI$6,'Assumptions'!$E$167,'Assumptions'!$E$168,'Assumptions'!$E$169))))</f>
        <v/>
      </c>
      <c r="AJ349" s="15">
        <f>IF(AJ348=0,0,IF(AJ$4=MAX('Assumptions'!$E$165,'Assumptions'!$C$9),'Assumptions'!$E$166,AI349*(1+CHOOSE(AJ$6,'Assumptions'!$E$167,'Assumptions'!$E$168,'Assumptions'!$E$169))))</f>
        <v/>
      </c>
      <c r="AK349" s="15">
        <f>IF(AK348=0,0,IF(AK$4=MAX('Assumptions'!$E$165,'Assumptions'!$C$9),'Assumptions'!$E$166,AJ349*(1+CHOOSE(AK$6,'Assumptions'!$E$167,'Assumptions'!$E$168,'Assumptions'!$E$169))))</f>
        <v/>
      </c>
      <c r="AL349" s="15">
        <f>IF(AL348=0,0,IF(AL$4=MAX('Assumptions'!$E$165,'Assumptions'!$C$9),'Assumptions'!$E$166,AK349*(1+CHOOSE(AL$6,'Assumptions'!$E$167,'Assumptions'!$E$168,'Assumptions'!$E$169))))</f>
        <v/>
      </c>
    </row>
    <row r="350">
      <c r="A350" s="7" t="inlineStr">
        <is>
          <t xml:space="preserve">   Product-page sessions (site + Amazon)</t>
        </is>
      </c>
      <c r="B350" s="9" t="inlineStr">
        <is>
          <t>visits</t>
        </is>
      </c>
      <c r="C350" s="58">
        <f>C349*C$7</f>
        <v/>
      </c>
      <c r="D350" s="58">
        <f>D349*D$7</f>
        <v/>
      </c>
      <c r="E350" s="58">
        <f>E349*E$7</f>
        <v/>
      </c>
      <c r="F350" s="58">
        <f>F349*F$7</f>
        <v/>
      </c>
      <c r="G350" s="58">
        <f>G349*G$7</f>
        <v/>
      </c>
      <c r="H350" s="58">
        <f>H349*H$7</f>
        <v/>
      </c>
      <c r="I350" s="58">
        <f>I349*I$7</f>
        <v/>
      </c>
      <c r="J350" s="58">
        <f>J349*J$7</f>
        <v/>
      </c>
      <c r="K350" s="58">
        <f>K349*K$7</f>
        <v/>
      </c>
      <c r="L350" s="58">
        <f>L349*L$7</f>
        <v/>
      </c>
      <c r="M350" s="58">
        <f>M349*M$7</f>
        <v/>
      </c>
      <c r="N350" s="58">
        <f>N349*N$7</f>
        <v/>
      </c>
      <c r="O350" s="58">
        <f>O349*O$7</f>
        <v/>
      </c>
      <c r="P350" s="58">
        <f>P349*P$7</f>
        <v/>
      </c>
      <c r="Q350" s="58">
        <f>Q349*Q$7</f>
        <v/>
      </c>
      <c r="R350" s="58">
        <f>R349*R$7</f>
        <v/>
      </c>
      <c r="S350" s="58">
        <f>S349*S$7</f>
        <v/>
      </c>
      <c r="T350" s="58">
        <f>T349*T$7</f>
        <v/>
      </c>
      <c r="U350" s="58">
        <f>U349*U$7</f>
        <v/>
      </c>
      <c r="V350" s="58">
        <f>V349*V$7</f>
        <v/>
      </c>
      <c r="W350" s="58">
        <f>W349*W$7</f>
        <v/>
      </c>
      <c r="X350" s="58">
        <f>X349*X$7</f>
        <v/>
      </c>
      <c r="Y350" s="58">
        <f>Y349*Y$7</f>
        <v/>
      </c>
      <c r="Z350" s="58">
        <f>Z349*Z$7</f>
        <v/>
      </c>
      <c r="AA350" s="58">
        <f>AA349*AA$7</f>
        <v/>
      </c>
      <c r="AB350" s="58">
        <f>AB349*AB$7</f>
        <v/>
      </c>
      <c r="AC350" s="58">
        <f>AC349*AC$7</f>
        <v/>
      </c>
      <c r="AD350" s="58">
        <f>AD349*AD$7</f>
        <v/>
      </c>
      <c r="AE350" s="58">
        <f>AE349*AE$7</f>
        <v/>
      </c>
      <c r="AF350" s="58">
        <f>AF349*AF$7</f>
        <v/>
      </c>
      <c r="AG350" s="58">
        <f>AG349*AG$7</f>
        <v/>
      </c>
      <c r="AH350" s="58">
        <f>AH349*AH$7</f>
        <v/>
      </c>
      <c r="AI350" s="58">
        <f>AI349*AI$7</f>
        <v/>
      </c>
      <c r="AJ350" s="58">
        <f>AJ349*AJ$7</f>
        <v/>
      </c>
      <c r="AK350" s="58">
        <f>AK349*AK$7</f>
        <v/>
      </c>
      <c r="AL350" s="58">
        <f>AL349*AL$7</f>
        <v/>
      </c>
      <c r="AM350" s="57">
        <f>SUMIF($C$6:$AL$6,1,C350:AL350)</f>
        <v/>
      </c>
      <c r="AN350" s="57">
        <f>SUMIF($C$6:$AL$6,2,C350:AL350)</f>
        <v/>
      </c>
      <c r="AO350" s="57">
        <f>SUMIF($C$6:$AL$6,3,C350:AL350)</f>
        <v/>
      </c>
      <c r="AP350" s="57">
        <f>SUM(C350:AL350)</f>
        <v/>
      </c>
    </row>
    <row r="351">
      <c r="A351" s="7" t="inlineStr">
        <is>
          <t xml:space="preserve">   Conversion rate (with review ramp)</t>
        </is>
      </c>
      <c r="B351" s="9" t="inlineStr">
        <is>
          <t>%</t>
        </is>
      </c>
      <c r="C351" s="59">
        <f>'Assumptions'!$E$170*MIN(1,(C$4-MAX('Assumptions'!$E$165,'Assumptions'!$C$9)+1)/'Assumptions'!$C$11)*C348</f>
        <v/>
      </c>
      <c r="D351" s="59">
        <f>'Assumptions'!$E$170*MIN(1,(D$4-MAX('Assumptions'!$E$165,'Assumptions'!$C$9)+1)/'Assumptions'!$C$11)*D348</f>
        <v/>
      </c>
      <c r="E351" s="59">
        <f>'Assumptions'!$E$170*MIN(1,(E$4-MAX('Assumptions'!$E$165,'Assumptions'!$C$9)+1)/'Assumptions'!$C$11)*E348</f>
        <v/>
      </c>
      <c r="F351" s="59">
        <f>'Assumptions'!$E$170*MIN(1,(F$4-MAX('Assumptions'!$E$165,'Assumptions'!$C$9)+1)/'Assumptions'!$C$11)*F348</f>
        <v/>
      </c>
      <c r="G351" s="59">
        <f>'Assumptions'!$E$170*MIN(1,(G$4-MAX('Assumptions'!$E$165,'Assumptions'!$C$9)+1)/'Assumptions'!$C$11)*G348</f>
        <v/>
      </c>
      <c r="H351" s="59">
        <f>'Assumptions'!$E$170*MIN(1,(H$4-MAX('Assumptions'!$E$165,'Assumptions'!$C$9)+1)/'Assumptions'!$C$11)*H348</f>
        <v/>
      </c>
      <c r="I351" s="59">
        <f>'Assumptions'!$E$170*MIN(1,(I$4-MAX('Assumptions'!$E$165,'Assumptions'!$C$9)+1)/'Assumptions'!$C$11)*I348</f>
        <v/>
      </c>
      <c r="J351" s="59">
        <f>'Assumptions'!$E$170*MIN(1,(J$4-MAX('Assumptions'!$E$165,'Assumptions'!$C$9)+1)/'Assumptions'!$C$11)*J348</f>
        <v/>
      </c>
      <c r="K351" s="59">
        <f>'Assumptions'!$E$170*MIN(1,(K$4-MAX('Assumptions'!$E$165,'Assumptions'!$C$9)+1)/'Assumptions'!$C$11)*K348</f>
        <v/>
      </c>
      <c r="L351" s="59">
        <f>'Assumptions'!$E$170*MIN(1,(L$4-MAX('Assumptions'!$E$165,'Assumptions'!$C$9)+1)/'Assumptions'!$C$11)*L348</f>
        <v/>
      </c>
      <c r="M351" s="59">
        <f>'Assumptions'!$E$170*MIN(1,(M$4-MAX('Assumptions'!$E$165,'Assumptions'!$C$9)+1)/'Assumptions'!$C$11)*M348</f>
        <v/>
      </c>
      <c r="N351" s="59">
        <f>'Assumptions'!$E$170*MIN(1,(N$4-MAX('Assumptions'!$E$165,'Assumptions'!$C$9)+1)/'Assumptions'!$C$11)*N348</f>
        <v/>
      </c>
      <c r="O351" s="59">
        <f>'Assumptions'!$E$170*MIN(1,(O$4-MAX('Assumptions'!$E$165,'Assumptions'!$C$9)+1)/'Assumptions'!$C$11)*O348</f>
        <v/>
      </c>
      <c r="P351" s="59">
        <f>'Assumptions'!$E$170*MIN(1,(P$4-MAX('Assumptions'!$E$165,'Assumptions'!$C$9)+1)/'Assumptions'!$C$11)*P348</f>
        <v/>
      </c>
      <c r="Q351" s="59">
        <f>'Assumptions'!$E$170*MIN(1,(Q$4-MAX('Assumptions'!$E$165,'Assumptions'!$C$9)+1)/'Assumptions'!$C$11)*Q348</f>
        <v/>
      </c>
      <c r="R351" s="59">
        <f>'Assumptions'!$E$170*MIN(1,(R$4-MAX('Assumptions'!$E$165,'Assumptions'!$C$9)+1)/'Assumptions'!$C$11)*R348</f>
        <v/>
      </c>
      <c r="S351" s="59">
        <f>'Assumptions'!$E$170*MIN(1,(S$4-MAX('Assumptions'!$E$165,'Assumptions'!$C$9)+1)/'Assumptions'!$C$11)*S348</f>
        <v/>
      </c>
      <c r="T351" s="59">
        <f>'Assumptions'!$E$170*MIN(1,(T$4-MAX('Assumptions'!$E$165,'Assumptions'!$C$9)+1)/'Assumptions'!$C$11)*T348</f>
        <v/>
      </c>
      <c r="U351" s="59">
        <f>'Assumptions'!$E$170*MIN(1,(U$4-MAX('Assumptions'!$E$165,'Assumptions'!$C$9)+1)/'Assumptions'!$C$11)*U348</f>
        <v/>
      </c>
      <c r="V351" s="59">
        <f>'Assumptions'!$E$170*MIN(1,(V$4-MAX('Assumptions'!$E$165,'Assumptions'!$C$9)+1)/'Assumptions'!$C$11)*V348</f>
        <v/>
      </c>
      <c r="W351" s="59">
        <f>'Assumptions'!$E$170*MIN(1,(W$4-MAX('Assumptions'!$E$165,'Assumptions'!$C$9)+1)/'Assumptions'!$C$11)*W348</f>
        <v/>
      </c>
      <c r="X351" s="59">
        <f>'Assumptions'!$E$170*MIN(1,(X$4-MAX('Assumptions'!$E$165,'Assumptions'!$C$9)+1)/'Assumptions'!$C$11)*X348</f>
        <v/>
      </c>
      <c r="Y351" s="59">
        <f>'Assumptions'!$E$170*MIN(1,(Y$4-MAX('Assumptions'!$E$165,'Assumptions'!$C$9)+1)/'Assumptions'!$C$11)*Y348</f>
        <v/>
      </c>
      <c r="Z351" s="59">
        <f>'Assumptions'!$E$170*MIN(1,(Z$4-MAX('Assumptions'!$E$165,'Assumptions'!$C$9)+1)/'Assumptions'!$C$11)*Z348</f>
        <v/>
      </c>
      <c r="AA351" s="59">
        <f>'Assumptions'!$E$170*MIN(1,(AA$4-MAX('Assumptions'!$E$165,'Assumptions'!$C$9)+1)/'Assumptions'!$C$11)*AA348</f>
        <v/>
      </c>
      <c r="AB351" s="59">
        <f>'Assumptions'!$E$170*MIN(1,(AB$4-MAX('Assumptions'!$E$165,'Assumptions'!$C$9)+1)/'Assumptions'!$C$11)*AB348</f>
        <v/>
      </c>
      <c r="AC351" s="59">
        <f>'Assumptions'!$E$170*MIN(1,(AC$4-MAX('Assumptions'!$E$165,'Assumptions'!$C$9)+1)/'Assumptions'!$C$11)*AC348</f>
        <v/>
      </c>
      <c r="AD351" s="59">
        <f>'Assumptions'!$E$170*MIN(1,(AD$4-MAX('Assumptions'!$E$165,'Assumptions'!$C$9)+1)/'Assumptions'!$C$11)*AD348</f>
        <v/>
      </c>
      <c r="AE351" s="59">
        <f>'Assumptions'!$E$170*MIN(1,(AE$4-MAX('Assumptions'!$E$165,'Assumptions'!$C$9)+1)/'Assumptions'!$C$11)*AE348</f>
        <v/>
      </c>
      <c r="AF351" s="59">
        <f>'Assumptions'!$E$170*MIN(1,(AF$4-MAX('Assumptions'!$E$165,'Assumptions'!$C$9)+1)/'Assumptions'!$C$11)*AF348</f>
        <v/>
      </c>
      <c r="AG351" s="59">
        <f>'Assumptions'!$E$170*MIN(1,(AG$4-MAX('Assumptions'!$E$165,'Assumptions'!$C$9)+1)/'Assumptions'!$C$11)*AG348</f>
        <v/>
      </c>
      <c r="AH351" s="59">
        <f>'Assumptions'!$E$170*MIN(1,(AH$4-MAX('Assumptions'!$E$165,'Assumptions'!$C$9)+1)/'Assumptions'!$C$11)*AH348</f>
        <v/>
      </c>
      <c r="AI351" s="59">
        <f>'Assumptions'!$E$170*MIN(1,(AI$4-MAX('Assumptions'!$E$165,'Assumptions'!$C$9)+1)/'Assumptions'!$C$11)*AI348</f>
        <v/>
      </c>
      <c r="AJ351" s="59">
        <f>'Assumptions'!$E$170*MIN(1,(AJ$4-MAX('Assumptions'!$E$165,'Assumptions'!$C$9)+1)/'Assumptions'!$C$11)*AJ348</f>
        <v/>
      </c>
      <c r="AK351" s="59">
        <f>'Assumptions'!$E$170*MIN(1,(AK$4-MAX('Assumptions'!$E$165,'Assumptions'!$C$9)+1)/'Assumptions'!$C$11)*AK348</f>
        <v/>
      </c>
      <c r="AL351" s="59">
        <f>'Assumptions'!$E$170*MIN(1,(AL$4-MAX('Assumptions'!$E$165,'Assumptions'!$C$9)+1)/'Assumptions'!$C$11)*AL348</f>
        <v/>
      </c>
    </row>
    <row r="352">
      <c r="A352" s="7" t="inlineStr">
        <is>
          <t xml:space="preserve">   Orders recognized (x go flag; a missed pre-sale is refunded)</t>
        </is>
      </c>
      <c r="B352" s="9" t="inlineStr">
        <is>
          <t>orders</t>
        </is>
      </c>
      <c r="C352" s="56">
        <f>C350*C351*$B$282</f>
        <v/>
      </c>
      <c r="D352" s="56">
        <f>D350*D351*$B$282</f>
        <v/>
      </c>
      <c r="E352" s="56">
        <f>E350*E351*$B$282</f>
        <v/>
      </c>
      <c r="F352" s="56">
        <f>F350*F351*$B$282</f>
        <v/>
      </c>
      <c r="G352" s="56">
        <f>G350*G351*$B$282</f>
        <v/>
      </c>
      <c r="H352" s="56">
        <f>H350*H351*$B$282</f>
        <v/>
      </c>
      <c r="I352" s="56">
        <f>I350*I351*$B$282</f>
        <v/>
      </c>
      <c r="J352" s="56">
        <f>J350*J351*$B$282</f>
        <v/>
      </c>
      <c r="K352" s="56">
        <f>K350*K351*$B$282</f>
        <v/>
      </c>
      <c r="L352" s="56">
        <f>L350*L351*$B$282</f>
        <v/>
      </c>
      <c r="M352" s="56">
        <f>M350*M351*$B$282</f>
        <v/>
      </c>
      <c r="N352" s="56">
        <f>N350*N351*$B$282</f>
        <v/>
      </c>
      <c r="O352" s="56">
        <f>O350*O351*$B$282</f>
        <v/>
      </c>
      <c r="P352" s="56">
        <f>P350*P351*$B$282</f>
        <v/>
      </c>
      <c r="Q352" s="56">
        <f>Q350*Q351*$B$282</f>
        <v/>
      </c>
      <c r="R352" s="56">
        <f>R350*R351*$B$282</f>
        <v/>
      </c>
      <c r="S352" s="56">
        <f>S350*S351*$B$282</f>
        <v/>
      </c>
      <c r="T352" s="56">
        <f>T350*T351*$B$282</f>
        <v/>
      </c>
      <c r="U352" s="56">
        <f>U350*U351*$B$282</f>
        <v/>
      </c>
      <c r="V352" s="56">
        <f>V350*V351*$B$282</f>
        <v/>
      </c>
      <c r="W352" s="56">
        <f>W350*W351*$B$282</f>
        <v/>
      </c>
      <c r="X352" s="56">
        <f>X350*X351*$B$282</f>
        <v/>
      </c>
      <c r="Y352" s="56">
        <f>Y350*Y351*$B$282</f>
        <v/>
      </c>
      <c r="Z352" s="56">
        <f>Z350*Z351*$B$282</f>
        <v/>
      </c>
      <c r="AA352" s="56">
        <f>AA350*AA351*$B$282</f>
        <v/>
      </c>
      <c r="AB352" s="56">
        <f>AB350*AB351*$B$282</f>
        <v/>
      </c>
      <c r="AC352" s="56">
        <f>AC350*AC351*$B$282</f>
        <v/>
      </c>
      <c r="AD352" s="56">
        <f>AD350*AD351*$B$282</f>
        <v/>
      </c>
      <c r="AE352" s="56">
        <f>AE350*AE351*$B$282</f>
        <v/>
      </c>
      <c r="AF352" s="56">
        <f>AF350*AF351*$B$282</f>
        <v/>
      </c>
      <c r="AG352" s="56">
        <f>AG350*AG351*$B$282</f>
        <v/>
      </c>
      <c r="AH352" s="56">
        <f>AH350*AH351*$B$282</f>
        <v/>
      </c>
      <c r="AI352" s="56">
        <f>AI350*AI351*$B$282</f>
        <v/>
      </c>
      <c r="AJ352" s="56">
        <f>AJ350*AJ351*$B$282</f>
        <v/>
      </c>
      <c r="AK352" s="56">
        <f>AK350*AK351*$B$282</f>
        <v/>
      </c>
      <c r="AL352" s="56">
        <f>AL350*AL351*$B$282</f>
        <v/>
      </c>
      <c r="AM352" s="57">
        <f>SUMIF($C$6:$AL$6,1,C352:AL352)</f>
        <v/>
      </c>
      <c r="AN352" s="57">
        <f>SUMIF($C$6:$AL$6,2,C352:AL352)</f>
        <v/>
      </c>
      <c r="AO352" s="57">
        <f>SUMIF($C$6:$AL$6,3,C352:AL352)</f>
        <v/>
      </c>
      <c r="AP352" s="57">
        <f>SUM(C352:AL352)</f>
        <v/>
      </c>
    </row>
    <row r="353">
      <c r="A353" s="7" t="inlineStr">
        <is>
          <t xml:space="preserve">   Items sold</t>
        </is>
      </c>
      <c r="B353" s="9" t="inlineStr">
        <is>
          <t>items</t>
        </is>
      </c>
      <c r="C353" s="14">
        <f>C352*'Assumptions'!$E$171</f>
        <v/>
      </c>
      <c r="D353" s="14">
        <f>D352*'Assumptions'!$E$171</f>
        <v/>
      </c>
      <c r="E353" s="14">
        <f>E352*'Assumptions'!$E$171</f>
        <v/>
      </c>
      <c r="F353" s="14">
        <f>F352*'Assumptions'!$E$171</f>
        <v/>
      </c>
      <c r="G353" s="14">
        <f>G352*'Assumptions'!$E$171</f>
        <v/>
      </c>
      <c r="H353" s="14">
        <f>H352*'Assumptions'!$E$171</f>
        <v/>
      </c>
      <c r="I353" s="14">
        <f>I352*'Assumptions'!$E$171</f>
        <v/>
      </c>
      <c r="J353" s="14">
        <f>J352*'Assumptions'!$E$171</f>
        <v/>
      </c>
      <c r="K353" s="14">
        <f>K352*'Assumptions'!$E$171</f>
        <v/>
      </c>
      <c r="L353" s="14">
        <f>L352*'Assumptions'!$E$171</f>
        <v/>
      </c>
      <c r="M353" s="14">
        <f>M352*'Assumptions'!$E$171</f>
        <v/>
      </c>
      <c r="N353" s="14">
        <f>N352*'Assumptions'!$E$171</f>
        <v/>
      </c>
      <c r="O353" s="14">
        <f>O352*'Assumptions'!$E$171</f>
        <v/>
      </c>
      <c r="P353" s="14">
        <f>P352*'Assumptions'!$E$171</f>
        <v/>
      </c>
      <c r="Q353" s="14">
        <f>Q352*'Assumptions'!$E$171</f>
        <v/>
      </c>
      <c r="R353" s="14">
        <f>R352*'Assumptions'!$E$171</f>
        <v/>
      </c>
      <c r="S353" s="14">
        <f>S352*'Assumptions'!$E$171</f>
        <v/>
      </c>
      <c r="T353" s="14">
        <f>T352*'Assumptions'!$E$171</f>
        <v/>
      </c>
      <c r="U353" s="14">
        <f>U352*'Assumptions'!$E$171</f>
        <v/>
      </c>
      <c r="V353" s="14">
        <f>V352*'Assumptions'!$E$171</f>
        <v/>
      </c>
      <c r="W353" s="14">
        <f>W352*'Assumptions'!$E$171</f>
        <v/>
      </c>
      <c r="X353" s="14">
        <f>X352*'Assumptions'!$E$171</f>
        <v/>
      </c>
      <c r="Y353" s="14">
        <f>Y352*'Assumptions'!$E$171</f>
        <v/>
      </c>
      <c r="Z353" s="14">
        <f>Z352*'Assumptions'!$E$171</f>
        <v/>
      </c>
      <c r="AA353" s="14">
        <f>AA352*'Assumptions'!$E$171</f>
        <v/>
      </c>
      <c r="AB353" s="14">
        <f>AB352*'Assumptions'!$E$171</f>
        <v/>
      </c>
      <c r="AC353" s="14">
        <f>AC352*'Assumptions'!$E$171</f>
        <v/>
      </c>
      <c r="AD353" s="14">
        <f>AD352*'Assumptions'!$E$171</f>
        <v/>
      </c>
      <c r="AE353" s="14">
        <f>AE352*'Assumptions'!$E$171</f>
        <v/>
      </c>
      <c r="AF353" s="14">
        <f>AF352*'Assumptions'!$E$171</f>
        <v/>
      </c>
      <c r="AG353" s="14">
        <f>AG352*'Assumptions'!$E$171</f>
        <v/>
      </c>
      <c r="AH353" s="14">
        <f>AH352*'Assumptions'!$E$171</f>
        <v/>
      </c>
      <c r="AI353" s="14">
        <f>AI352*'Assumptions'!$E$171</f>
        <v/>
      </c>
      <c r="AJ353" s="14">
        <f>AJ352*'Assumptions'!$E$171</f>
        <v/>
      </c>
      <c r="AK353" s="14">
        <f>AK352*'Assumptions'!$E$171</f>
        <v/>
      </c>
      <c r="AL353" s="14">
        <f>AL352*'Assumptions'!$E$171</f>
        <v/>
      </c>
      <c r="AM353" s="57">
        <f>SUMIF($C$6:$AL$6,1,C353:AL353)</f>
        <v/>
      </c>
      <c r="AN353" s="57">
        <f>SUMIF($C$6:$AL$6,2,C353:AL353)</f>
        <v/>
      </c>
      <c r="AO353" s="57">
        <f>SUMIF($C$6:$AL$6,3,C353:AL353)</f>
        <v/>
      </c>
      <c r="AP353" s="57">
        <f>SUM(C353:AL353)</f>
        <v/>
      </c>
    </row>
    <row r="354">
      <c r="A354" s="7" t="inlineStr">
        <is>
          <t xml:space="preserve">   Average order value</t>
        </is>
      </c>
      <c r="B354" s="9" t="inlineStr">
        <is>
          <t>$</t>
        </is>
      </c>
      <c r="C354" s="16">
        <f>'Unit Economics'!$E$55*'Assumptions'!$E$171*C348</f>
        <v/>
      </c>
      <c r="D354" s="16">
        <f>'Unit Economics'!$E$55*'Assumptions'!$E$171*D348</f>
        <v/>
      </c>
      <c r="E354" s="16">
        <f>'Unit Economics'!$E$55*'Assumptions'!$E$171*E348</f>
        <v/>
      </c>
      <c r="F354" s="16">
        <f>'Unit Economics'!$E$55*'Assumptions'!$E$171*F348</f>
        <v/>
      </c>
      <c r="G354" s="16">
        <f>'Unit Economics'!$E$55*'Assumptions'!$E$171*G348</f>
        <v/>
      </c>
      <c r="H354" s="16">
        <f>'Unit Economics'!$E$55*'Assumptions'!$E$171*H348</f>
        <v/>
      </c>
      <c r="I354" s="16">
        <f>'Unit Economics'!$E$55*'Assumptions'!$E$171*I348</f>
        <v/>
      </c>
      <c r="J354" s="16">
        <f>'Unit Economics'!$E$55*'Assumptions'!$E$171*J348</f>
        <v/>
      </c>
      <c r="K354" s="16">
        <f>'Unit Economics'!$E$55*'Assumptions'!$E$171*K348</f>
        <v/>
      </c>
      <c r="L354" s="16">
        <f>'Unit Economics'!$E$55*'Assumptions'!$E$171*L348</f>
        <v/>
      </c>
      <c r="M354" s="16">
        <f>'Unit Economics'!$E$55*'Assumptions'!$E$171*M348</f>
        <v/>
      </c>
      <c r="N354" s="16">
        <f>'Unit Economics'!$E$55*'Assumptions'!$E$171*N348</f>
        <v/>
      </c>
      <c r="O354" s="16">
        <f>'Unit Economics'!$E$55*'Assumptions'!$E$171*O348</f>
        <v/>
      </c>
      <c r="P354" s="16">
        <f>'Unit Economics'!$E$55*'Assumptions'!$E$171*P348</f>
        <v/>
      </c>
      <c r="Q354" s="16">
        <f>'Unit Economics'!$E$55*'Assumptions'!$E$171*Q348</f>
        <v/>
      </c>
      <c r="R354" s="16">
        <f>'Unit Economics'!$E$55*'Assumptions'!$E$171*R348</f>
        <v/>
      </c>
      <c r="S354" s="16">
        <f>'Unit Economics'!$E$55*'Assumptions'!$E$171*S348</f>
        <v/>
      </c>
      <c r="T354" s="16">
        <f>'Unit Economics'!$E$55*'Assumptions'!$E$171*T348</f>
        <v/>
      </c>
      <c r="U354" s="16">
        <f>'Unit Economics'!$E$55*'Assumptions'!$E$171*U348</f>
        <v/>
      </c>
      <c r="V354" s="16">
        <f>'Unit Economics'!$E$55*'Assumptions'!$E$171*V348</f>
        <v/>
      </c>
      <c r="W354" s="16">
        <f>'Unit Economics'!$E$55*'Assumptions'!$E$171*W348</f>
        <v/>
      </c>
      <c r="X354" s="16">
        <f>'Unit Economics'!$E$55*'Assumptions'!$E$171*X348</f>
        <v/>
      </c>
      <c r="Y354" s="16">
        <f>'Unit Economics'!$E$55*'Assumptions'!$E$171*Y348</f>
        <v/>
      </c>
      <c r="Z354" s="16">
        <f>'Unit Economics'!$E$55*'Assumptions'!$E$171*Z348</f>
        <v/>
      </c>
      <c r="AA354" s="16">
        <f>'Unit Economics'!$E$55*'Assumptions'!$E$171*AA348</f>
        <v/>
      </c>
      <c r="AB354" s="16">
        <f>'Unit Economics'!$E$55*'Assumptions'!$E$171*AB348</f>
        <v/>
      </c>
      <c r="AC354" s="16">
        <f>'Unit Economics'!$E$55*'Assumptions'!$E$171*AC348</f>
        <v/>
      </c>
      <c r="AD354" s="16">
        <f>'Unit Economics'!$E$55*'Assumptions'!$E$171*AD348</f>
        <v/>
      </c>
      <c r="AE354" s="16">
        <f>'Unit Economics'!$E$55*'Assumptions'!$E$171*AE348</f>
        <v/>
      </c>
      <c r="AF354" s="16">
        <f>'Unit Economics'!$E$55*'Assumptions'!$E$171*AF348</f>
        <v/>
      </c>
      <c r="AG354" s="16">
        <f>'Unit Economics'!$E$55*'Assumptions'!$E$171*AG348</f>
        <v/>
      </c>
      <c r="AH354" s="16">
        <f>'Unit Economics'!$E$55*'Assumptions'!$E$171*AH348</f>
        <v/>
      </c>
      <c r="AI354" s="16">
        <f>'Unit Economics'!$E$55*'Assumptions'!$E$171*AI348</f>
        <v/>
      </c>
      <c r="AJ354" s="16">
        <f>'Unit Economics'!$E$55*'Assumptions'!$E$171*AJ348</f>
        <v/>
      </c>
      <c r="AK354" s="16">
        <f>'Unit Economics'!$E$55*'Assumptions'!$E$171*AK348</f>
        <v/>
      </c>
      <c r="AL354" s="16">
        <f>'Unit Economics'!$E$55*'Assumptions'!$E$171*AL348</f>
        <v/>
      </c>
    </row>
    <row r="355">
      <c r="A355" s="7" t="inlineStr">
        <is>
          <t xml:space="preserve">   Gross sales (price paid by customers)</t>
        </is>
      </c>
      <c r="B355" s="9" t="inlineStr">
        <is>
          <t>$</t>
        </is>
      </c>
      <c r="C355" s="8">
        <f>C353*'Unit Economics'!$E$55</f>
        <v/>
      </c>
      <c r="D355" s="8">
        <f>D353*'Unit Economics'!$E$55</f>
        <v/>
      </c>
      <c r="E355" s="8">
        <f>E353*'Unit Economics'!$E$55</f>
        <v/>
      </c>
      <c r="F355" s="8">
        <f>F353*'Unit Economics'!$E$55</f>
        <v/>
      </c>
      <c r="G355" s="8">
        <f>G353*'Unit Economics'!$E$55</f>
        <v/>
      </c>
      <c r="H355" s="8">
        <f>H353*'Unit Economics'!$E$55</f>
        <v/>
      </c>
      <c r="I355" s="8">
        <f>I353*'Unit Economics'!$E$55</f>
        <v/>
      </c>
      <c r="J355" s="8">
        <f>J353*'Unit Economics'!$E$55</f>
        <v/>
      </c>
      <c r="K355" s="8">
        <f>K353*'Unit Economics'!$E$55</f>
        <v/>
      </c>
      <c r="L355" s="8">
        <f>L353*'Unit Economics'!$E$55</f>
        <v/>
      </c>
      <c r="M355" s="8">
        <f>M353*'Unit Economics'!$E$55</f>
        <v/>
      </c>
      <c r="N355" s="8">
        <f>N353*'Unit Economics'!$E$55</f>
        <v/>
      </c>
      <c r="O355" s="8">
        <f>O353*'Unit Economics'!$E$55</f>
        <v/>
      </c>
      <c r="P355" s="8">
        <f>P353*'Unit Economics'!$E$55</f>
        <v/>
      </c>
      <c r="Q355" s="8">
        <f>Q353*'Unit Economics'!$E$55</f>
        <v/>
      </c>
      <c r="R355" s="8">
        <f>R353*'Unit Economics'!$E$55</f>
        <v/>
      </c>
      <c r="S355" s="8">
        <f>S353*'Unit Economics'!$E$55</f>
        <v/>
      </c>
      <c r="T355" s="8">
        <f>T353*'Unit Economics'!$E$55</f>
        <v/>
      </c>
      <c r="U355" s="8">
        <f>U353*'Unit Economics'!$E$55</f>
        <v/>
      </c>
      <c r="V355" s="8">
        <f>V353*'Unit Economics'!$E$55</f>
        <v/>
      </c>
      <c r="W355" s="8">
        <f>W353*'Unit Economics'!$E$55</f>
        <v/>
      </c>
      <c r="X355" s="8">
        <f>X353*'Unit Economics'!$E$55</f>
        <v/>
      </c>
      <c r="Y355" s="8">
        <f>Y353*'Unit Economics'!$E$55</f>
        <v/>
      </c>
      <c r="Z355" s="8">
        <f>Z353*'Unit Economics'!$E$55</f>
        <v/>
      </c>
      <c r="AA355" s="8">
        <f>AA353*'Unit Economics'!$E$55</f>
        <v/>
      </c>
      <c r="AB355" s="8">
        <f>AB353*'Unit Economics'!$E$55</f>
        <v/>
      </c>
      <c r="AC355" s="8">
        <f>AC353*'Unit Economics'!$E$55</f>
        <v/>
      </c>
      <c r="AD355" s="8">
        <f>AD353*'Unit Economics'!$E$55</f>
        <v/>
      </c>
      <c r="AE355" s="8">
        <f>AE353*'Unit Economics'!$E$55</f>
        <v/>
      </c>
      <c r="AF355" s="8">
        <f>AF353*'Unit Economics'!$E$55</f>
        <v/>
      </c>
      <c r="AG355" s="8">
        <f>AG353*'Unit Economics'!$E$55</f>
        <v/>
      </c>
      <c r="AH355" s="8">
        <f>AH353*'Unit Economics'!$E$55</f>
        <v/>
      </c>
      <c r="AI355" s="8">
        <f>AI353*'Unit Economics'!$E$55</f>
        <v/>
      </c>
      <c r="AJ355" s="8">
        <f>AJ353*'Unit Economics'!$E$55</f>
        <v/>
      </c>
      <c r="AK355" s="8">
        <f>AK353*'Unit Economics'!$E$55</f>
        <v/>
      </c>
      <c r="AL355" s="8">
        <f>AL353*'Unit Economics'!$E$55</f>
        <v/>
      </c>
      <c r="AM355" s="47">
        <f>SUMIF($C$6:$AL$6,1,C355:AL355)</f>
        <v/>
      </c>
      <c r="AN355" s="47">
        <f>SUMIF($C$6:$AL$6,2,C355:AL355)</f>
        <v/>
      </c>
      <c r="AO355" s="47">
        <f>SUMIF($C$6:$AL$6,3,C355:AL355)</f>
        <v/>
      </c>
      <c r="AP355" s="47">
        <f>SUM(C355:AL355)</f>
        <v/>
      </c>
    </row>
    <row r="356">
      <c r="A356" s="7" t="inlineStr">
        <is>
          <t xml:space="preserve">   Net contribution to AlphaPlay</t>
        </is>
      </c>
      <c r="B356" s="9" t="inlineStr">
        <is>
          <t>$</t>
        </is>
      </c>
      <c r="C356" s="8">
        <f>C353*IF(C$4&lt;$B$279,'Unit Economics'!$M$36,'Unit Economics'!$F$55)</f>
        <v/>
      </c>
      <c r="D356" s="8">
        <f>D353*IF(D$4&lt;$B$279,'Unit Economics'!$M$36,'Unit Economics'!$F$55)</f>
        <v/>
      </c>
      <c r="E356" s="8">
        <f>E353*IF(E$4&lt;$B$279,'Unit Economics'!$M$36,'Unit Economics'!$F$55)</f>
        <v/>
      </c>
      <c r="F356" s="8">
        <f>F353*IF(F$4&lt;$B$279,'Unit Economics'!$M$36,'Unit Economics'!$F$55)</f>
        <v/>
      </c>
      <c r="G356" s="8">
        <f>G353*IF(G$4&lt;$B$279,'Unit Economics'!$M$36,'Unit Economics'!$F$55)</f>
        <v/>
      </c>
      <c r="H356" s="8">
        <f>H353*IF(H$4&lt;$B$279,'Unit Economics'!$M$36,'Unit Economics'!$F$55)</f>
        <v/>
      </c>
      <c r="I356" s="8">
        <f>I353*IF(I$4&lt;$B$279,'Unit Economics'!$M$36,'Unit Economics'!$F$55)</f>
        <v/>
      </c>
      <c r="J356" s="8">
        <f>J353*IF(J$4&lt;$B$279,'Unit Economics'!$M$36,'Unit Economics'!$F$55)</f>
        <v/>
      </c>
      <c r="K356" s="8">
        <f>K353*IF(K$4&lt;$B$279,'Unit Economics'!$M$36,'Unit Economics'!$F$55)</f>
        <v/>
      </c>
      <c r="L356" s="8">
        <f>L353*IF(L$4&lt;$B$279,'Unit Economics'!$M$36,'Unit Economics'!$F$55)</f>
        <v/>
      </c>
      <c r="M356" s="8">
        <f>M353*IF(M$4&lt;$B$279,'Unit Economics'!$M$36,'Unit Economics'!$F$55)</f>
        <v/>
      </c>
      <c r="N356" s="8">
        <f>N353*IF(N$4&lt;$B$279,'Unit Economics'!$M$36,'Unit Economics'!$F$55)</f>
        <v/>
      </c>
      <c r="O356" s="8">
        <f>O353*IF(O$4&lt;$B$279,'Unit Economics'!$M$36,'Unit Economics'!$F$55)</f>
        <v/>
      </c>
      <c r="P356" s="8">
        <f>P353*IF(P$4&lt;$B$279,'Unit Economics'!$M$36,'Unit Economics'!$F$55)</f>
        <v/>
      </c>
      <c r="Q356" s="8">
        <f>Q353*IF(Q$4&lt;$B$279,'Unit Economics'!$M$36,'Unit Economics'!$F$55)</f>
        <v/>
      </c>
      <c r="R356" s="8">
        <f>R353*IF(R$4&lt;$B$279,'Unit Economics'!$M$36,'Unit Economics'!$F$55)</f>
        <v/>
      </c>
      <c r="S356" s="8">
        <f>S353*IF(S$4&lt;$B$279,'Unit Economics'!$M$36,'Unit Economics'!$F$55)</f>
        <v/>
      </c>
      <c r="T356" s="8">
        <f>T353*IF(T$4&lt;$B$279,'Unit Economics'!$M$36,'Unit Economics'!$F$55)</f>
        <v/>
      </c>
      <c r="U356" s="8">
        <f>U353*IF(U$4&lt;$B$279,'Unit Economics'!$M$36,'Unit Economics'!$F$55)</f>
        <v/>
      </c>
      <c r="V356" s="8">
        <f>V353*IF(V$4&lt;$B$279,'Unit Economics'!$M$36,'Unit Economics'!$F$55)</f>
        <v/>
      </c>
      <c r="W356" s="8">
        <f>W353*IF(W$4&lt;$B$279,'Unit Economics'!$M$36,'Unit Economics'!$F$55)</f>
        <v/>
      </c>
      <c r="X356" s="8">
        <f>X353*IF(X$4&lt;$B$279,'Unit Economics'!$M$36,'Unit Economics'!$F$55)</f>
        <v/>
      </c>
      <c r="Y356" s="8">
        <f>Y353*IF(Y$4&lt;$B$279,'Unit Economics'!$M$36,'Unit Economics'!$F$55)</f>
        <v/>
      </c>
      <c r="Z356" s="8">
        <f>Z353*IF(Z$4&lt;$B$279,'Unit Economics'!$M$36,'Unit Economics'!$F$55)</f>
        <v/>
      </c>
      <c r="AA356" s="8">
        <f>AA353*IF(AA$4&lt;$B$279,'Unit Economics'!$M$36,'Unit Economics'!$F$55)</f>
        <v/>
      </c>
      <c r="AB356" s="8">
        <f>AB353*IF(AB$4&lt;$B$279,'Unit Economics'!$M$36,'Unit Economics'!$F$55)</f>
        <v/>
      </c>
      <c r="AC356" s="8">
        <f>AC353*IF(AC$4&lt;$B$279,'Unit Economics'!$M$36,'Unit Economics'!$F$55)</f>
        <v/>
      </c>
      <c r="AD356" s="8">
        <f>AD353*IF(AD$4&lt;$B$279,'Unit Economics'!$M$36,'Unit Economics'!$F$55)</f>
        <v/>
      </c>
      <c r="AE356" s="8">
        <f>AE353*IF(AE$4&lt;$B$279,'Unit Economics'!$M$36,'Unit Economics'!$F$55)</f>
        <v/>
      </c>
      <c r="AF356" s="8">
        <f>AF353*IF(AF$4&lt;$B$279,'Unit Economics'!$M$36,'Unit Economics'!$F$55)</f>
        <v/>
      </c>
      <c r="AG356" s="8">
        <f>AG353*IF(AG$4&lt;$B$279,'Unit Economics'!$M$36,'Unit Economics'!$F$55)</f>
        <v/>
      </c>
      <c r="AH356" s="8">
        <f>AH353*IF(AH$4&lt;$B$279,'Unit Economics'!$M$36,'Unit Economics'!$F$55)</f>
        <v/>
      </c>
      <c r="AI356" s="8">
        <f>AI353*IF(AI$4&lt;$B$279,'Unit Economics'!$M$36,'Unit Economics'!$F$55)</f>
        <v/>
      </c>
      <c r="AJ356" s="8">
        <f>AJ353*IF(AJ$4&lt;$B$279,'Unit Economics'!$M$36,'Unit Economics'!$F$55)</f>
        <v/>
      </c>
      <c r="AK356" s="8">
        <f>AK353*IF(AK$4&lt;$B$279,'Unit Economics'!$M$36,'Unit Economics'!$F$55)</f>
        <v/>
      </c>
      <c r="AL356" s="8">
        <f>AL353*IF(AL$4&lt;$B$279,'Unit Economics'!$M$36,'Unit Economics'!$F$55)</f>
        <v/>
      </c>
      <c r="AM356" s="47">
        <f>SUMIF($C$6:$AL$6,1,C356:AL356)</f>
        <v/>
      </c>
      <c r="AN356" s="47">
        <f>SUMIF($C$6:$AL$6,2,C356:AL356)</f>
        <v/>
      </c>
      <c r="AO356" s="47">
        <f>SUMIF($C$6:$AL$6,3,C356:AL356)</f>
        <v/>
      </c>
      <c r="AP356" s="47">
        <f>SUM(C356:AL356)</f>
        <v/>
      </c>
    </row>
    <row r="357">
      <c r="A357" s="7" t="inlineStr">
        <is>
          <t xml:space="preserve">   Items ordered (demand before the go / no-go test)</t>
        </is>
      </c>
      <c r="B357" s="9" t="inlineStr">
        <is>
          <t>items</t>
        </is>
      </c>
      <c r="C357" s="14">
        <f>C350*C351*'Assumptions'!$E$171</f>
        <v/>
      </c>
      <c r="D357" s="14">
        <f>D350*D351*'Assumptions'!$E$171</f>
        <v/>
      </c>
      <c r="E357" s="14">
        <f>E350*E351*'Assumptions'!$E$171</f>
        <v/>
      </c>
      <c r="F357" s="14">
        <f>F350*F351*'Assumptions'!$E$171</f>
        <v/>
      </c>
      <c r="G357" s="14">
        <f>G350*G351*'Assumptions'!$E$171</f>
        <v/>
      </c>
      <c r="H357" s="14">
        <f>H350*H351*'Assumptions'!$E$171</f>
        <v/>
      </c>
      <c r="I357" s="14">
        <f>I350*I351*'Assumptions'!$E$171</f>
        <v/>
      </c>
      <c r="J357" s="14">
        <f>J350*J351*'Assumptions'!$E$171</f>
        <v/>
      </c>
      <c r="K357" s="14">
        <f>K350*K351*'Assumptions'!$E$171</f>
        <v/>
      </c>
      <c r="L357" s="14">
        <f>L350*L351*'Assumptions'!$E$171</f>
        <v/>
      </c>
      <c r="M357" s="14">
        <f>M350*M351*'Assumptions'!$E$171</f>
        <v/>
      </c>
      <c r="N357" s="14">
        <f>N350*N351*'Assumptions'!$E$171</f>
        <v/>
      </c>
      <c r="O357" s="14">
        <f>O350*O351*'Assumptions'!$E$171</f>
        <v/>
      </c>
      <c r="P357" s="14">
        <f>P350*P351*'Assumptions'!$E$171</f>
        <v/>
      </c>
      <c r="Q357" s="14">
        <f>Q350*Q351*'Assumptions'!$E$171</f>
        <v/>
      </c>
      <c r="R357" s="14">
        <f>R350*R351*'Assumptions'!$E$171</f>
        <v/>
      </c>
      <c r="S357" s="14">
        <f>S350*S351*'Assumptions'!$E$171</f>
        <v/>
      </c>
      <c r="T357" s="14">
        <f>T350*T351*'Assumptions'!$E$171</f>
        <v/>
      </c>
      <c r="U357" s="14">
        <f>U350*U351*'Assumptions'!$E$171</f>
        <v/>
      </c>
      <c r="V357" s="14">
        <f>V350*V351*'Assumptions'!$E$171</f>
        <v/>
      </c>
      <c r="W357" s="14">
        <f>W350*W351*'Assumptions'!$E$171</f>
        <v/>
      </c>
      <c r="X357" s="14">
        <f>X350*X351*'Assumptions'!$E$171</f>
        <v/>
      </c>
      <c r="Y357" s="14">
        <f>Y350*Y351*'Assumptions'!$E$171</f>
        <v/>
      </c>
      <c r="Z357" s="14">
        <f>Z350*Z351*'Assumptions'!$E$171</f>
        <v/>
      </c>
      <c r="AA357" s="14">
        <f>AA350*AA351*'Assumptions'!$E$171</f>
        <v/>
      </c>
      <c r="AB357" s="14">
        <f>AB350*AB351*'Assumptions'!$E$171</f>
        <v/>
      </c>
      <c r="AC357" s="14">
        <f>AC350*AC351*'Assumptions'!$E$171</f>
        <v/>
      </c>
      <c r="AD357" s="14">
        <f>AD350*AD351*'Assumptions'!$E$171</f>
        <v/>
      </c>
      <c r="AE357" s="14">
        <f>AE350*AE351*'Assumptions'!$E$171</f>
        <v/>
      </c>
      <c r="AF357" s="14">
        <f>AF350*AF351*'Assumptions'!$E$171</f>
        <v/>
      </c>
      <c r="AG357" s="14">
        <f>AG350*AG351*'Assumptions'!$E$171</f>
        <v/>
      </c>
      <c r="AH357" s="14">
        <f>AH350*AH351*'Assumptions'!$E$171</f>
        <v/>
      </c>
      <c r="AI357" s="14">
        <f>AI350*AI351*'Assumptions'!$E$171</f>
        <v/>
      </c>
      <c r="AJ357" s="14">
        <f>AJ350*AJ351*'Assumptions'!$E$171</f>
        <v/>
      </c>
      <c r="AK357" s="14">
        <f>AK350*AK351*'Assumptions'!$E$171</f>
        <v/>
      </c>
      <c r="AL357" s="14">
        <f>AL350*AL351*'Assumptions'!$E$171</f>
        <v/>
      </c>
      <c r="AM357" s="57">
        <f>SUMIF($C$6:$AL$6,1,C357:AL357)</f>
        <v/>
      </c>
      <c r="AN357" s="57">
        <f>SUMIF($C$6:$AL$6,2,C357:AL357)</f>
        <v/>
      </c>
      <c r="AO357" s="57">
        <f>SUMIF($C$6:$AL$6,3,C357:AL357)</f>
        <v/>
      </c>
      <c r="AP357" s="57">
        <f>SUM(C357:AL357)</f>
        <v/>
      </c>
    </row>
    <row r="358">
      <c r="A358" s="5" t="inlineStr">
        <is>
          <t>School and group licenses + TPT (overlay only if counsel clears in writing; off in base)</t>
        </is>
      </c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  <c r="AC358" s="6" t="n"/>
      <c r="AD358" s="6" t="n"/>
      <c r="AE358" s="6" t="n"/>
      <c r="AF358" s="6" t="n"/>
      <c r="AG358" s="6" t="n"/>
      <c r="AH358" s="6" t="n"/>
      <c r="AI358" s="6" t="n"/>
      <c r="AJ358" s="6" t="n"/>
      <c r="AK358" s="6" t="n"/>
      <c r="AL358" s="6" t="n"/>
      <c r="AM358" s="6" t="n"/>
      <c r="AN358" s="6" t="n"/>
      <c r="AO358" s="6" t="n"/>
      <c r="AP358" s="6" t="n"/>
    </row>
    <row r="359">
      <c r="A359" s="7" t="inlineStr">
        <is>
          <t xml:space="preserve">   Active (1 = live)</t>
        </is>
      </c>
      <c r="B359" s="9" t="inlineStr">
        <is>
          <t>flag</t>
        </is>
      </c>
      <c r="C359" s="18">
        <f>IF(AND('Assumptions'!$E$173=1,C$4&gt;=MAX('Assumptions'!$E$174,'Assumptions'!$C$9)),1,0)</f>
        <v/>
      </c>
      <c r="D359" s="18">
        <f>IF(AND('Assumptions'!$E$173=1,D$4&gt;=MAX('Assumptions'!$E$174,'Assumptions'!$C$9)),1,0)</f>
        <v/>
      </c>
      <c r="E359" s="18">
        <f>IF(AND('Assumptions'!$E$173=1,E$4&gt;=MAX('Assumptions'!$E$174,'Assumptions'!$C$9)),1,0)</f>
        <v/>
      </c>
      <c r="F359" s="18">
        <f>IF(AND('Assumptions'!$E$173=1,F$4&gt;=MAX('Assumptions'!$E$174,'Assumptions'!$C$9)),1,0)</f>
        <v/>
      </c>
      <c r="G359" s="18">
        <f>IF(AND('Assumptions'!$E$173=1,G$4&gt;=MAX('Assumptions'!$E$174,'Assumptions'!$C$9)),1,0)</f>
        <v/>
      </c>
      <c r="H359" s="18">
        <f>IF(AND('Assumptions'!$E$173=1,H$4&gt;=MAX('Assumptions'!$E$174,'Assumptions'!$C$9)),1,0)</f>
        <v/>
      </c>
      <c r="I359" s="18">
        <f>IF(AND('Assumptions'!$E$173=1,I$4&gt;=MAX('Assumptions'!$E$174,'Assumptions'!$C$9)),1,0)</f>
        <v/>
      </c>
      <c r="J359" s="18">
        <f>IF(AND('Assumptions'!$E$173=1,J$4&gt;=MAX('Assumptions'!$E$174,'Assumptions'!$C$9)),1,0)</f>
        <v/>
      </c>
      <c r="K359" s="18">
        <f>IF(AND('Assumptions'!$E$173=1,K$4&gt;=MAX('Assumptions'!$E$174,'Assumptions'!$C$9)),1,0)</f>
        <v/>
      </c>
      <c r="L359" s="18">
        <f>IF(AND('Assumptions'!$E$173=1,L$4&gt;=MAX('Assumptions'!$E$174,'Assumptions'!$C$9)),1,0)</f>
        <v/>
      </c>
      <c r="M359" s="18">
        <f>IF(AND('Assumptions'!$E$173=1,M$4&gt;=MAX('Assumptions'!$E$174,'Assumptions'!$C$9)),1,0)</f>
        <v/>
      </c>
      <c r="N359" s="18">
        <f>IF(AND('Assumptions'!$E$173=1,N$4&gt;=MAX('Assumptions'!$E$174,'Assumptions'!$C$9)),1,0)</f>
        <v/>
      </c>
      <c r="O359" s="18">
        <f>IF(AND('Assumptions'!$E$173=1,O$4&gt;=MAX('Assumptions'!$E$174,'Assumptions'!$C$9)),1,0)</f>
        <v/>
      </c>
      <c r="P359" s="18">
        <f>IF(AND('Assumptions'!$E$173=1,P$4&gt;=MAX('Assumptions'!$E$174,'Assumptions'!$C$9)),1,0)</f>
        <v/>
      </c>
      <c r="Q359" s="18">
        <f>IF(AND('Assumptions'!$E$173=1,Q$4&gt;=MAX('Assumptions'!$E$174,'Assumptions'!$C$9)),1,0)</f>
        <v/>
      </c>
      <c r="R359" s="18">
        <f>IF(AND('Assumptions'!$E$173=1,R$4&gt;=MAX('Assumptions'!$E$174,'Assumptions'!$C$9)),1,0)</f>
        <v/>
      </c>
      <c r="S359" s="18">
        <f>IF(AND('Assumptions'!$E$173=1,S$4&gt;=MAX('Assumptions'!$E$174,'Assumptions'!$C$9)),1,0)</f>
        <v/>
      </c>
      <c r="T359" s="18">
        <f>IF(AND('Assumptions'!$E$173=1,T$4&gt;=MAX('Assumptions'!$E$174,'Assumptions'!$C$9)),1,0)</f>
        <v/>
      </c>
      <c r="U359" s="18">
        <f>IF(AND('Assumptions'!$E$173=1,U$4&gt;=MAX('Assumptions'!$E$174,'Assumptions'!$C$9)),1,0)</f>
        <v/>
      </c>
      <c r="V359" s="18">
        <f>IF(AND('Assumptions'!$E$173=1,V$4&gt;=MAX('Assumptions'!$E$174,'Assumptions'!$C$9)),1,0)</f>
        <v/>
      </c>
      <c r="W359" s="18">
        <f>IF(AND('Assumptions'!$E$173=1,W$4&gt;=MAX('Assumptions'!$E$174,'Assumptions'!$C$9)),1,0)</f>
        <v/>
      </c>
      <c r="X359" s="18">
        <f>IF(AND('Assumptions'!$E$173=1,X$4&gt;=MAX('Assumptions'!$E$174,'Assumptions'!$C$9)),1,0)</f>
        <v/>
      </c>
      <c r="Y359" s="18">
        <f>IF(AND('Assumptions'!$E$173=1,Y$4&gt;=MAX('Assumptions'!$E$174,'Assumptions'!$C$9)),1,0)</f>
        <v/>
      </c>
      <c r="Z359" s="18">
        <f>IF(AND('Assumptions'!$E$173=1,Z$4&gt;=MAX('Assumptions'!$E$174,'Assumptions'!$C$9)),1,0)</f>
        <v/>
      </c>
      <c r="AA359" s="18">
        <f>IF(AND('Assumptions'!$E$173=1,AA$4&gt;=MAX('Assumptions'!$E$174,'Assumptions'!$C$9)),1,0)</f>
        <v/>
      </c>
      <c r="AB359" s="18">
        <f>IF(AND('Assumptions'!$E$173=1,AB$4&gt;=MAX('Assumptions'!$E$174,'Assumptions'!$C$9)),1,0)</f>
        <v/>
      </c>
      <c r="AC359" s="18">
        <f>IF(AND('Assumptions'!$E$173=1,AC$4&gt;=MAX('Assumptions'!$E$174,'Assumptions'!$C$9)),1,0)</f>
        <v/>
      </c>
      <c r="AD359" s="18">
        <f>IF(AND('Assumptions'!$E$173=1,AD$4&gt;=MAX('Assumptions'!$E$174,'Assumptions'!$C$9)),1,0)</f>
        <v/>
      </c>
      <c r="AE359" s="18">
        <f>IF(AND('Assumptions'!$E$173=1,AE$4&gt;=MAX('Assumptions'!$E$174,'Assumptions'!$C$9)),1,0)</f>
        <v/>
      </c>
      <c r="AF359" s="18">
        <f>IF(AND('Assumptions'!$E$173=1,AF$4&gt;=MAX('Assumptions'!$E$174,'Assumptions'!$C$9)),1,0)</f>
        <v/>
      </c>
      <c r="AG359" s="18">
        <f>IF(AND('Assumptions'!$E$173=1,AG$4&gt;=MAX('Assumptions'!$E$174,'Assumptions'!$C$9)),1,0)</f>
        <v/>
      </c>
      <c r="AH359" s="18">
        <f>IF(AND('Assumptions'!$E$173=1,AH$4&gt;=MAX('Assumptions'!$E$174,'Assumptions'!$C$9)),1,0)</f>
        <v/>
      </c>
      <c r="AI359" s="18">
        <f>IF(AND('Assumptions'!$E$173=1,AI$4&gt;=MAX('Assumptions'!$E$174,'Assumptions'!$C$9)),1,0)</f>
        <v/>
      </c>
      <c r="AJ359" s="18">
        <f>IF(AND('Assumptions'!$E$173=1,AJ$4&gt;=MAX('Assumptions'!$E$174,'Assumptions'!$C$9)),1,0)</f>
        <v/>
      </c>
      <c r="AK359" s="18">
        <f>IF(AND('Assumptions'!$E$173=1,AK$4&gt;=MAX('Assumptions'!$E$174,'Assumptions'!$C$9)),1,0)</f>
        <v/>
      </c>
      <c r="AL359" s="18">
        <f>IF(AND('Assumptions'!$E$173=1,AL$4&gt;=MAX('Assumptions'!$E$174,'Assumptions'!$C$9)),1,0)</f>
        <v/>
      </c>
    </row>
    <row r="360">
      <c r="A360" s="7" t="inlineStr">
        <is>
          <t xml:space="preserve">   Traffic trend (before seasonality)</t>
        </is>
      </c>
      <c r="B360" s="9" t="inlineStr">
        <is>
          <t>visits</t>
        </is>
      </c>
      <c r="C360" s="15">
        <f>IF(C359=0,0,'Assumptions'!$E$175)</f>
        <v/>
      </c>
      <c r="D360" s="15">
        <f>IF(D359=0,0,IF(D$4=MAX('Assumptions'!$E$174,'Assumptions'!$C$9),'Assumptions'!$E$175,C360*(1+CHOOSE(D$6,'Assumptions'!$E$176,'Assumptions'!$E$177,'Assumptions'!$E$178))))</f>
        <v/>
      </c>
      <c r="E360" s="15">
        <f>IF(E359=0,0,IF(E$4=MAX('Assumptions'!$E$174,'Assumptions'!$C$9),'Assumptions'!$E$175,D360*(1+CHOOSE(E$6,'Assumptions'!$E$176,'Assumptions'!$E$177,'Assumptions'!$E$178))))</f>
        <v/>
      </c>
      <c r="F360" s="15">
        <f>IF(F359=0,0,IF(F$4=MAX('Assumptions'!$E$174,'Assumptions'!$C$9),'Assumptions'!$E$175,E360*(1+CHOOSE(F$6,'Assumptions'!$E$176,'Assumptions'!$E$177,'Assumptions'!$E$178))))</f>
        <v/>
      </c>
      <c r="G360" s="15">
        <f>IF(G359=0,0,IF(G$4=MAX('Assumptions'!$E$174,'Assumptions'!$C$9),'Assumptions'!$E$175,F360*(1+CHOOSE(G$6,'Assumptions'!$E$176,'Assumptions'!$E$177,'Assumptions'!$E$178))))</f>
        <v/>
      </c>
      <c r="H360" s="15">
        <f>IF(H359=0,0,IF(H$4=MAX('Assumptions'!$E$174,'Assumptions'!$C$9),'Assumptions'!$E$175,G360*(1+CHOOSE(H$6,'Assumptions'!$E$176,'Assumptions'!$E$177,'Assumptions'!$E$178))))</f>
        <v/>
      </c>
      <c r="I360" s="15">
        <f>IF(I359=0,0,IF(I$4=MAX('Assumptions'!$E$174,'Assumptions'!$C$9),'Assumptions'!$E$175,H360*(1+CHOOSE(I$6,'Assumptions'!$E$176,'Assumptions'!$E$177,'Assumptions'!$E$178))))</f>
        <v/>
      </c>
      <c r="J360" s="15">
        <f>IF(J359=0,0,IF(J$4=MAX('Assumptions'!$E$174,'Assumptions'!$C$9),'Assumptions'!$E$175,I360*(1+CHOOSE(J$6,'Assumptions'!$E$176,'Assumptions'!$E$177,'Assumptions'!$E$178))))</f>
        <v/>
      </c>
      <c r="K360" s="15">
        <f>IF(K359=0,0,IF(K$4=MAX('Assumptions'!$E$174,'Assumptions'!$C$9),'Assumptions'!$E$175,J360*(1+CHOOSE(K$6,'Assumptions'!$E$176,'Assumptions'!$E$177,'Assumptions'!$E$178))))</f>
        <v/>
      </c>
      <c r="L360" s="15">
        <f>IF(L359=0,0,IF(L$4=MAX('Assumptions'!$E$174,'Assumptions'!$C$9),'Assumptions'!$E$175,K360*(1+CHOOSE(L$6,'Assumptions'!$E$176,'Assumptions'!$E$177,'Assumptions'!$E$178))))</f>
        <v/>
      </c>
      <c r="M360" s="15">
        <f>IF(M359=0,0,IF(M$4=MAX('Assumptions'!$E$174,'Assumptions'!$C$9),'Assumptions'!$E$175,L360*(1+CHOOSE(M$6,'Assumptions'!$E$176,'Assumptions'!$E$177,'Assumptions'!$E$178))))</f>
        <v/>
      </c>
      <c r="N360" s="15">
        <f>IF(N359=0,0,IF(N$4=MAX('Assumptions'!$E$174,'Assumptions'!$C$9),'Assumptions'!$E$175,M360*(1+CHOOSE(N$6,'Assumptions'!$E$176,'Assumptions'!$E$177,'Assumptions'!$E$178))))</f>
        <v/>
      </c>
      <c r="O360" s="15">
        <f>IF(O359=0,0,IF(O$4=MAX('Assumptions'!$E$174,'Assumptions'!$C$9),'Assumptions'!$E$175,N360*(1+CHOOSE(O$6,'Assumptions'!$E$176,'Assumptions'!$E$177,'Assumptions'!$E$178))))</f>
        <v/>
      </c>
      <c r="P360" s="15">
        <f>IF(P359=0,0,IF(P$4=MAX('Assumptions'!$E$174,'Assumptions'!$C$9),'Assumptions'!$E$175,O360*(1+CHOOSE(P$6,'Assumptions'!$E$176,'Assumptions'!$E$177,'Assumptions'!$E$178))))</f>
        <v/>
      </c>
      <c r="Q360" s="15">
        <f>IF(Q359=0,0,IF(Q$4=MAX('Assumptions'!$E$174,'Assumptions'!$C$9),'Assumptions'!$E$175,P360*(1+CHOOSE(Q$6,'Assumptions'!$E$176,'Assumptions'!$E$177,'Assumptions'!$E$178))))</f>
        <v/>
      </c>
      <c r="R360" s="15">
        <f>IF(R359=0,0,IF(R$4=MAX('Assumptions'!$E$174,'Assumptions'!$C$9),'Assumptions'!$E$175,Q360*(1+CHOOSE(R$6,'Assumptions'!$E$176,'Assumptions'!$E$177,'Assumptions'!$E$178))))</f>
        <v/>
      </c>
      <c r="S360" s="15">
        <f>IF(S359=0,0,IF(S$4=MAX('Assumptions'!$E$174,'Assumptions'!$C$9),'Assumptions'!$E$175,R360*(1+CHOOSE(S$6,'Assumptions'!$E$176,'Assumptions'!$E$177,'Assumptions'!$E$178))))</f>
        <v/>
      </c>
      <c r="T360" s="15">
        <f>IF(T359=0,0,IF(T$4=MAX('Assumptions'!$E$174,'Assumptions'!$C$9),'Assumptions'!$E$175,S360*(1+CHOOSE(T$6,'Assumptions'!$E$176,'Assumptions'!$E$177,'Assumptions'!$E$178))))</f>
        <v/>
      </c>
      <c r="U360" s="15">
        <f>IF(U359=0,0,IF(U$4=MAX('Assumptions'!$E$174,'Assumptions'!$C$9),'Assumptions'!$E$175,T360*(1+CHOOSE(U$6,'Assumptions'!$E$176,'Assumptions'!$E$177,'Assumptions'!$E$178))))</f>
        <v/>
      </c>
      <c r="V360" s="15">
        <f>IF(V359=0,0,IF(V$4=MAX('Assumptions'!$E$174,'Assumptions'!$C$9),'Assumptions'!$E$175,U360*(1+CHOOSE(V$6,'Assumptions'!$E$176,'Assumptions'!$E$177,'Assumptions'!$E$178))))</f>
        <v/>
      </c>
      <c r="W360" s="15">
        <f>IF(W359=0,0,IF(W$4=MAX('Assumptions'!$E$174,'Assumptions'!$C$9),'Assumptions'!$E$175,V360*(1+CHOOSE(W$6,'Assumptions'!$E$176,'Assumptions'!$E$177,'Assumptions'!$E$178))))</f>
        <v/>
      </c>
      <c r="X360" s="15">
        <f>IF(X359=0,0,IF(X$4=MAX('Assumptions'!$E$174,'Assumptions'!$C$9),'Assumptions'!$E$175,W360*(1+CHOOSE(X$6,'Assumptions'!$E$176,'Assumptions'!$E$177,'Assumptions'!$E$178))))</f>
        <v/>
      </c>
      <c r="Y360" s="15">
        <f>IF(Y359=0,0,IF(Y$4=MAX('Assumptions'!$E$174,'Assumptions'!$C$9),'Assumptions'!$E$175,X360*(1+CHOOSE(Y$6,'Assumptions'!$E$176,'Assumptions'!$E$177,'Assumptions'!$E$178))))</f>
        <v/>
      </c>
      <c r="Z360" s="15">
        <f>IF(Z359=0,0,IF(Z$4=MAX('Assumptions'!$E$174,'Assumptions'!$C$9),'Assumptions'!$E$175,Y360*(1+CHOOSE(Z$6,'Assumptions'!$E$176,'Assumptions'!$E$177,'Assumptions'!$E$178))))</f>
        <v/>
      </c>
      <c r="AA360" s="15">
        <f>IF(AA359=0,0,IF(AA$4=MAX('Assumptions'!$E$174,'Assumptions'!$C$9),'Assumptions'!$E$175,Z360*(1+CHOOSE(AA$6,'Assumptions'!$E$176,'Assumptions'!$E$177,'Assumptions'!$E$178))))</f>
        <v/>
      </c>
      <c r="AB360" s="15">
        <f>IF(AB359=0,0,IF(AB$4=MAX('Assumptions'!$E$174,'Assumptions'!$C$9),'Assumptions'!$E$175,AA360*(1+CHOOSE(AB$6,'Assumptions'!$E$176,'Assumptions'!$E$177,'Assumptions'!$E$178))))</f>
        <v/>
      </c>
      <c r="AC360" s="15">
        <f>IF(AC359=0,0,IF(AC$4=MAX('Assumptions'!$E$174,'Assumptions'!$C$9),'Assumptions'!$E$175,AB360*(1+CHOOSE(AC$6,'Assumptions'!$E$176,'Assumptions'!$E$177,'Assumptions'!$E$178))))</f>
        <v/>
      </c>
      <c r="AD360" s="15">
        <f>IF(AD359=0,0,IF(AD$4=MAX('Assumptions'!$E$174,'Assumptions'!$C$9),'Assumptions'!$E$175,AC360*(1+CHOOSE(AD$6,'Assumptions'!$E$176,'Assumptions'!$E$177,'Assumptions'!$E$178))))</f>
        <v/>
      </c>
      <c r="AE360" s="15">
        <f>IF(AE359=0,0,IF(AE$4=MAX('Assumptions'!$E$174,'Assumptions'!$C$9),'Assumptions'!$E$175,AD360*(1+CHOOSE(AE$6,'Assumptions'!$E$176,'Assumptions'!$E$177,'Assumptions'!$E$178))))</f>
        <v/>
      </c>
      <c r="AF360" s="15">
        <f>IF(AF359=0,0,IF(AF$4=MAX('Assumptions'!$E$174,'Assumptions'!$C$9),'Assumptions'!$E$175,AE360*(1+CHOOSE(AF$6,'Assumptions'!$E$176,'Assumptions'!$E$177,'Assumptions'!$E$178))))</f>
        <v/>
      </c>
      <c r="AG360" s="15">
        <f>IF(AG359=0,0,IF(AG$4=MAX('Assumptions'!$E$174,'Assumptions'!$C$9),'Assumptions'!$E$175,AF360*(1+CHOOSE(AG$6,'Assumptions'!$E$176,'Assumptions'!$E$177,'Assumptions'!$E$178))))</f>
        <v/>
      </c>
      <c r="AH360" s="15">
        <f>IF(AH359=0,0,IF(AH$4=MAX('Assumptions'!$E$174,'Assumptions'!$C$9),'Assumptions'!$E$175,AG360*(1+CHOOSE(AH$6,'Assumptions'!$E$176,'Assumptions'!$E$177,'Assumptions'!$E$178))))</f>
        <v/>
      </c>
      <c r="AI360" s="15">
        <f>IF(AI359=0,0,IF(AI$4=MAX('Assumptions'!$E$174,'Assumptions'!$C$9),'Assumptions'!$E$175,AH360*(1+CHOOSE(AI$6,'Assumptions'!$E$176,'Assumptions'!$E$177,'Assumptions'!$E$178))))</f>
        <v/>
      </c>
      <c r="AJ360" s="15">
        <f>IF(AJ359=0,0,IF(AJ$4=MAX('Assumptions'!$E$174,'Assumptions'!$C$9),'Assumptions'!$E$175,AI360*(1+CHOOSE(AJ$6,'Assumptions'!$E$176,'Assumptions'!$E$177,'Assumptions'!$E$178))))</f>
        <v/>
      </c>
      <c r="AK360" s="15">
        <f>IF(AK359=0,0,IF(AK$4=MAX('Assumptions'!$E$174,'Assumptions'!$C$9),'Assumptions'!$E$175,AJ360*(1+CHOOSE(AK$6,'Assumptions'!$E$176,'Assumptions'!$E$177,'Assumptions'!$E$178))))</f>
        <v/>
      </c>
      <c r="AL360" s="15">
        <f>IF(AL359=0,0,IF(AL$4=MAX('Assumptions'!$E$174,'Assumptions'!$C$9),'Assumptions'!$E$175,AK360*(1+CHOOSE(AL$6,'Assumptions'!$E$176,'Assumptions'!$E$177,'Assumptions'!$E$178))))</f>
        <v/>
      </c>
    </row>
    <row r="361">
      <c r="A361" s="7" t="inlineStr">
        <is>
          <t xml:space="preserve">   Schools/orgs page + TPT views</t>
        </is>
      </c>
      <c r="B361" s="9" t="inlineStr">
        <is>
          <t>visits</t>
        </is>
      </c>
      <c r="C361" s="58">
        <f>C360*C$8</f>
        <v/>
      </c>
      <c r="D361" s="58">
        <f>D360*D$8</f>
        <v/>
      </c>
      <c r="E361" s="58">
        <f>E360*E$8</f>
        <v/>
      </c>
      <c r="F361" s="58">
        <f>F360*F$8</f>
        <v/>
      </c>
      <c r="G361" s="58">
        <f>G360*G$8</f>
        <v/>
      </c>
      <c r="H361" s="58">
        <f>H360*H$8</f>
        <v/>
      </c>
      <c r="I361" s="58">
        <f>I360*I$8</f>
        <v/>
      </c>
      <c r="J361" s="58">
        <f>J360*J$8</f>
        <v/>
      </c>
      <c r="K361" s="58">
        <f>K360*K$8</f>
        <v/>
      </c>
      <c r="L361" s="58">
        <f>L360*L$8</f>
        <v/>
      </c>
      <c r="M361" s="58">
        <f>M360*M$8</f>
        <v/>
      </c>
      <c r="N361" s="58">
        <f>N360*N$8</f>
        <v/>
      </c>
      <c r="O361" s="58">
        <f>O360*O$8</f>
        <v/>
      </c>
      <c r="P361" s="58">
        <f>P360*P$8</f>
        <v/>
      </c>
      <c r="Q361" s="58">
        <f>Q360*Q$8</f>
        <v/>
      </c>
      <c r="R361" s="58">
        <f>R360*R$8</f>
        <v/>
      </c>
      <c r="S361" s="58">
        <f>S360*S$8</f>
        <v/>
      </c>
      <c r="T361" s="58">
        <f>T360*T$8</f>
        <v/>
      </c>
      <c r="U361" s="58">
        <f>U360*U$8</f>
        <v/>
      </c>
      <c r="V361" s="58">
        <f>V360*V$8</f>
        <v/>
      </c>
      <c r="W361" s="58">
        <f>W360*W$8</f>
        <v/>
      </c>
      <c r="X361" s="58">
        <f>X360*X$8</f>
        <v/>
      </c>
      <c r="Y361" s="58">
        <f>Y360*Y$8</f>
        <v/>
      </c>
      <c r="Z361" s="58">
        <f>Z360*Z$8</f>
        <v/>
      </c>
      <c r="AA361" s="58">
        <f>AA360*AA$8</f>
        <v/>
      </c>
      <c r="AB361" s="58">
        <f>AB360*AB$8</f>
        <v/>
      </c>
      <c r="AC361" s="58">
        <f>AC360*AC$8</f>
        <v/>
      </c>
      <c r="AD361" s="58">
        <f>AD360*AD$8</f>
        <v/>
      </c>
      <c r="AE361" s="58">
        <f>AE360*AE$8</f>
        <v/>
      </c>
      <c r="AF361" s="58">
        <f>AF360*AF$8</f>
        <v/>
      </c>
      <c r="AG361" s="58">
        <f>AG360*AG$8</f>
        <v/>
      </c>
      <c r="AH361" s="58">
        <f>AH360*AH$8</f>
        <v/>
      </c>
      <c r="AI361" s="58">
        <f>AI360*AI$8</f>
        <v/>
      </c>
      <c r="AJ361" s="58">
        <f>AJ360*AJ$8</f>
        <v/>
      </c>
      <c r="AK361" s="58">
        <f>AK360*AK$8</f>
        <v/>
      </c>
      <c r="AL361" s="58">
        <f>AL360*AL$8</f>
        <v/>
      </c>
      <c r="AM361" s="57">
        <f>SUMIF($C$6:$AL$6,1,C361:AL361)</f>
        <v/>
      </c>
      <c r="AN361" s="57">
        <f>SUMIF($C$6:$AL$6,2,C361:AL361)</f>
        <v/>
      </c>
      <c r="AO361" s="57">
        <f>SUMIF($C$6:$AL$6,3,C361:AL361)</f>
        <v/>
      </c>
      <c r="AP361" s="57">
        <f>SUM(C361:AL361)</f>
        <v/>
      </c>
    </row>
    <row r="362">
      <c r="A362" s="7" t="inlineStr">
        <is>
          <t xml:space="preserve">   Conversion rate (with review ramp)</t>
        </is>
      </c>
      <c r="B362" s="9" t="inlineStr">
        <is>
          <t>%</t>
        </is>
      </c>
      <c r="C362" s="59">
        <f>'Assumptions'!$E$179*MIN(1,(C$4-MAX('Assumptions'!$E$174,'Assumptions'!$C$9)+1)/'Assumptions'!$C$11)*C359</f>
        <v/>
      </c>
      <c r="D362" s="59">
        <f>'Assumptions'!$E$179*MIN(1,(D$4-MAX('Assumptions'!$E$174,'Assumptions'!$C$9)+1)/'Assumptions'!$C$11)*D359</f>
        <v/>
      </c>
      <c r="E362" s="59">
        <f>'Assumptions'!$E$179*MIN(1,(E$4-MAX('Assumptions'!$E$174,'Assumptions'!$C$9)+1)/'Assumptions'!$C$11)*E359</f>
        <v/>
      </c>
      <c r="F362" s="59">
        <f>'Assumptions'!$E$179*MIN(1,(F$4-MAX('Assumptions'!$E$174,'Assumptions'!$C$9)+1)/'Assumptions'!$C$11)*F359</f>
        <v/>
      </c>
      <c r="G362" s="59">
        <f>'Assumptions'!$E$179*MIN(1,(G$4-MAX('Assumptions'!$E$174,'Assumptions'!$C$9)+1)/'Assumptions'!$C$11)*G359</f>
        <v/>
      </c>
      <c r="H362" s="59">
        <f>'Assumptions'!$E$179*MIN(1,(H$4-MAX('Assumptions'!$E$174,'Assumptions'!$C$9)+1)/'Assumptions'!$C$11)*H359</f>
        <v/>
      </c>
      <c r="I362" s="59">
        <f>'Assumptions'!$E$179*MIN(1,(I$4-MAX('Assumptions'!$E$174,'Assumptions'!$C$9)+1)/'Assumptions'!$C$11)*I359</f>
        <v/>
      </c>
      <c r="J362" s="59">
        <f>'Assumptions'!$E$179*MIN(1,(J$4-MAX('Assumptions'!$E$174,'Assumptions'!$C$9)+1)/'Assumptions'!$C$11)*J359</f>
        <v/>
      </c>
      <c r="K362" s="59">
        <f>'Assumptions'!$E$179*MIN(1,(K$4-MAX('Assumptions'!$E$174,'Assumptions'!$C$9)+1)/'Assumptions'!$C$11)*K359</f>
        <v/>
      </c>
      <c r="L362" s="59">
        <f>'Assumptions'!$E$179*MIN(1,(L$4-MAX('Assumptions'!$E$174,'Assumptions'!$C$9)+1)/'Assumptions'!$C$11)*L359</f>
        <v/>
      </c>
      <c r="M362" s="59">
        <f>'Assumptions'!$E$179*MIN(1,(M$4-MAX('Assumptions'!$E$174,'Assumptions'!$C$9)+1)/'Assumptions'!$C$11)*M359</f>
        <v/>
      </c>
      <c r="N362" s="59">
        <f>'Assumptions'!$E$179*MIN(1,(N$4-MAX('Assumptions'!$E$174,'Assumptions'!$C$9)+1)/'Assumptions'!$C$11)*N359</f>
        <v/>
      </c>
      <c r="O362" s="59">
        <f>'Assumptions'!$E$179*MIN(1,(O$4-MAX('Assumptions'!$E$174,'Assumptions'!$C$9)+1)/'Assumptions'!$C$11)*O359</f>
        <v/>
      </c>
      <c r="P362" s="59">
        <f>'Assumptions'!$E$179*MIN(1,(P$4-MAX('Assumptions'!$E$174,'Assumptions'!$C$9)+1)/'Assumptions'!$C$11)*P359</f>
        <v/>
      </c>
      <c r="Q362" s="59">
        <f>'Assumptions'!$E$179*MIN(1,(Q$4-MAX('Assumptions'!$E$174,'Assumptions'!$C$9)+1)/'Assumptions'!$C$11)*Q359</f>
        <v/>
      </c>
      <c r="R362" s="59">
        <f>'Assumptions'!$E$179*MIN(1,(R$4-MAX('Assumptions'!$E$174,'Assumptions'!$C$9)+1)/'Assumptions'!$C$11)*R359</f>
        <v/>
      </c>
      <c r="S362" s="59">
        <f>'Assumptions'!$E$179*MIN(1,(S$4-MAX('Assumptions'!$E$174,'Assumptions'!$C$9)+1)/'Assumptions'!$C$11)*S359</f>
        <v/>
      </c>
      <c r="T362" s="59">
        <f>'Assumptions'!$E$179*MIN(1,(T$4-MAX('Assumptions'!$E$174,'Assumptions'!$C$9)+1)/'Assumptions'!$C$11)*T359</f>
        <v/>
      </c>
      <c r="U362" s="59">
        <f>'Assumptions'!$E$179*MIN(1,(U$4-MAX('Assumptions'!$E$174,'Assumptions'!$C$9)+1)/'Assumptions'!$C$11)*U359</f>
        <v/>
      </c>
      <c r="V362" s="59">
        <f>'Assumptions'!$E$179*MIN(1,(V$4-MAX('Assumptions'!$E$174,'Assumptions'!$C$9)+1)/'Assumptions'!$C$11)*V359</f>
        <v/>
      </c>
      <c r="W362" s="59">
        <f>'Assumptions'!$E$179*MIN(1,(W$4-MAX('Assumptions'!$E$174,'Assumptions'!$C$9)+1)/'Assumptions'!$C$11)*W359</f>
        <v/>
      </c>
      <c r="X362" s="59">
        <f>'Assumptions'!$E$179*MIN(1,(X$4-MAX('Assumptions'!$E$174,'Assumptions'!$C$9)+1)/'Assumptions'!$C$11)*X359</f>
        <v/>
      </c>
      <c r="Y362" s="59">
        <f>'Assumptions'!$E$179*MIN(1,(Y$4-MAX('Assumptions'!$E$174,'Assumptions'!$C$9)+1)/'Assumptions'!$C$11)*Y359</f>
        <v/>
      </c>
      <c r="Z362" s="59">
        <f>'Assumptions'!$E$179*MIN(1,(Z$4-MAX('Assumptions'!$E$174,'Assumptions'!$C$9)+1)/'Assumptions'!$C$11)*Z359</f>
        <v/>
      </c>
      <c r="AA362" s="59">
        <f>'Assumptions'!$E$179*MIN(1,(AA$4-MAX('Assumptions'!$E$174,'Assumptions'!$C$9)+1)/'Assumptions'!$C$11)*AA359</f>
        <v/>
      </c>
      <c r="AB362" s="59">
        <f>'Assumptions'!$E$179*MIN(1,(AB$4-MAX('Assumptions'!$E$174,'Assumptions'!$C$9)+1)/'Assumptions'!$C$11)*AB359</f>
        <v/>
      </c>
      <c r="AC362" s="59">
        <f>'Assumptions'!$E$179*MIN(1,(AC$4-MAX('Assumptions'!$E$174,'Assumptions'!$C$9)+1)/'Assumptions'!$C$11)*AC359</f>
        <v/>
      </c>
      <c r="AD362" s="59">
        <f>'Assumptions'!$E$179*MIN(1,(AD$4-MAX('Assumptions'!$E$174,'Assumptions'!$C$9)+1)/'Assumptions'!$C$11)*AD359</f>
        <v/>
      </c>
      <c r="AE362" s="59">
        <f>'Assumptions'!$E$179*MIN(1,(AE$4-MAX('Assumptions'!$E$174,'Assumptions'!$C$9)+1)/'Assumptions'!$C$11)*AE359</f>
        <v/>
      </c>
      <c r="AF362" s="59">
        <f>'Assumptions'!$E$179*MIN(1,(AF$4-MAX('Assumptions'!$E$174,'Assumptions'!$C$9)+1)/'Assumptions'!$C$11)*AF359</f>
        <v/>
      </c>
      <c r="AG362" s="59">
        <f>'Assumptions'!$E$179*MIN(1,(AG$4-MAX('Assumptions'!$E$174,'Assumptions'!$C$9)+1)/'Assumptions'!$C$11)*AG359</f>
        <v/>
      </c>
      <c r="AH362" s="59">
        <f>'Assumptions'!$E$179*MIN(1,(AH$4-MAX('Assumptions'!$E$174,'Assumptions'!$C$9)+1)/'Assumptions'!$C$11)*AH359</f>
        <v/>
      </c>
      <c r="AI362" s="59">
        <f>'Assumptions'!$E$179*MIN(1,(AI$4-MAX('Assumptions'!$E$174,'Assumptions'!$C$9)+1)/'Assumptions'!$C$11)*AI359</f>
        <v/>
      </c>
      <c r="AJ362" s="59">
        <f>'Assumptions'!$E$179*MIN(1,(AJ$4-MAX('Assumptions'!$E$174,'Assumptions'!$C$9)+1)/'Assumptions'!$C$11)*AJ359</f>
        <v/>
      </c>
      <c r="AK362" s="59">
        <f>'Assumptions'!$E$179*MIN(1,(AK$4-MAX('Assumptions'!$E$174,'Assumptions'!$C$9)+1)/'Assumptions'!$C$11)*AK359</f>
        <v/>
      </c>
      <c r="AL362" s="59">
        <f>'Assumptions'!$E$179*MIN(1,(AL$4-MAX('Assumptions'!$E$174,'Assumptions'!$C$9)+1)/'Assumptions'!$C$11)*AL359</f>
        <v/>
      </c>
    </row>
    <row r="363">
      <c r="A363" s="7" t="inlineStr">
        <is>
          <t xml:space="preserve">   Orders</t>
        </is>
      </c>
      <c r="B363" s="9" t="inlineStr">
        <is>
          <t>orders</t>
        </is>
      </c>
      <c r="C363" s="56">
        <f>C361*C362</f>
        <v/>
      </c>
      <c r="D363" s="56">
        <f>D361*D362</f>
        <v/>
      </c>
      <c r="E363" s="56">
        <f>E361*E362</f>
        <v/>
      </c>
      <c r="F363" s="56">
        <f>F361*F362</f>
        <v/>
      </c>
      <c r="G363" s="56">
        <f>G361*G362</f>
        <v/>
      </c>
      <c r="H363" s="56">
        <f>H361*H362</f>
        <v/>
      </c>
      <c r="I363" s="56">
        <f>I361*I362</f>
        <v/>
      </c>
      <c r="J363" s="56">
        <f>J361*J362</f>
        <v/>
      </c>
      <c r="K363" s="56">
        <f>K361*K362</f>
        <v/>
      </c>
      <c r="L363" s="56">
        <f>L361*L362</f>
        <v/>
      </c>
      <c r="M363" s="56">
        <f>M361*M362</f>
        <v/>
      </c>
      <c r="N363" s="56">
        <f>N361*N362</f>
        <v/>
      </c>
      <c r="O363" s="56">
        <f>O361*O362</f>
        <v/>
      </c>
      <c r="P363" s="56">
        <f>P361*P362</f>
        <v/>
      </c>
      <c r="Q363" s="56">
        <f>Q361*Q362</f>
        <v/>
      </c>
      <c r="R363" s="56">
        <f>R361*R362</f>
        <v/>
      </c>
      <c r="S363" s="56">
        <f>S361*S362</f>
        <v/>
      </c>
      <c r="T363" s="56">
        <f>T361*T362</f>
        <v/>
      </c>
      <c r="U363" s="56">
        <f>U361*U362</f>
        <v/>
      </c>
      <c r="V363" s="56">
        <f>V361*V362</f>
        <v/>
      </c>
      <c r="W363" s="56">
        <f>W361*W362</f>
        <v/>
      </c>
      <c r="X363" s="56">
        <f>X361*X362</f>
        <v/>
      </c>
      <c r="Y363" s="56">
        <f>Y361*Y362</f>
        <v/>
      </c>
      <c r="Z363" s="56">
        <f>Z361*Z362</f>
        <v/>
      </c>
      <c r="AA363" s="56">
        <f>AA361*AA362</f>
        <v/>
      </c>
      <c r="AB363" s="56">
        <f>AB361*AB362</f>
        <v/>
      </c>
      <c r="AC363" s="56">
        <f>AC361*AC362</f>
        <v/>
      </c>
      <c r="AD363" s="56">
        <f>AD361*AD362</f>
        <v/>
      </c>
      <c r="AE363" s="56">
        <f>AE361*AE362</f>
        <v/>
      </c>
      <c r="AF363" s="56">
        <f>AF361*AF362</f>
        <v/>
      </c>
      <c r="AG363" s="56">
        <f>AG361*AG362</f>
        <v/>
      </c>
      <c r="AH363" s="56">
        <f>AH361*AH362</f>
        <v/>
      </c>
      <c r="AI363" s="56">
        <f>AI361*AI362</f>
        <v/>
      </c>
      <c r="AJ363" s="56">
        <f>AJ361*AJ362</f>
        <v/>
      </c>
      <c r="AK363" s="56">
        <f>AK361*AK362</f>
        <v/>
      </c>
      <c r="AL363" s="56">
        <f>AL361*AL362</f>
        <v/>
      </c>
      <c r="AM363" s="57">
        <f>SUMIF($C$6:$AL$6,1,C363:AL363)</f>
        <v/>
      </c>
      <c r="AN363" s="57">
        <f>SUMIF($C$6:$AL$6,2,C363:AL363)</f>
        <v/>
      </c>
      <c r="AO363" s="57">
        <f>SUMIF($C$6:$AL$6,3,C363:AL363)</f>
        <v/>
      </c>
      <c r="AP363" s="57">
        <f>SUM(C363:AL363)</f>
        <v/>
      </c>
    </row>
    <row r="364">
      <c r="A364" s="7" t="inlineStr">
        <is>
          <t xml:space="preserve">   Items sold</t>
        </is>
      </c>
      <c r="B364" s="9" t="inlineStr">
        <is>
          <t>items</t>
        </is>
      </c>
      <c r="C364" s="14">
        <f>C363*'Assumptions'!$E$180</f>
        <v/>
      </c>
      <c r="D364" s="14">
        <f>D363*'Assumptions'!$E$180</f>
        <v/>
      </c>
      <c r="E364" s="14">
        <f>E363*'Assumptions'!$E$180</f>
        <v/>
      </c>
      <c r="F364" s="14">
        <f>F363*'Assumptions'!$E$180</f>
        <v/>
      </c>
      <c r="G364" s="14">
        <f>G363*'Assumptions'!$E$180</f>
        <v/>
      </c>
      <c r="H364" s="14">
        <f>H363*'Assumptions'!$E$180</f>
        <v/>
      </c>
      <c r="I364" s="14">
        <f>I363*'Assumptions'!$E$180</f>
        <v/>
      </c>
      <c r="J364" s="14">
        <f>J363*'Assumptions'!$E$180</f>
        <v/>
      </c>
      <c r="K364" s="14">
        <f>K363*'Assumptions'!$E$180</f>
        <v/>
      </c>
      <c r="L364" s="14">
        <f>L363*'Assumptions'!$E$180</f>
        <v/>
      </c>
      <c r="M364" s="14">
        <f>M363*'Assumptions'!$E$180</f>
        <v/>
      </c>
      <c r="N364" s="14">
        <f>N363*'Assumptions'!$E$180</f>
        <v/>
      </c>
      <c r="O364" s="14">
        <f>O363*'Assumptions'!$E$180</f>
        <v/>
      </c>
      <c r="P364" s="14">
        <f>P363*'Assumptions'!$E$180</f>
        <v/>
      </c>
      <c r="Q364" s="14">
        <f>Q363*'Assumptions'!$E$180</f>
        <v/>
      </c>
      <c r="R364" s="14">
        <f>R363*'Assumptions'!$E$180</f>
        <v/>
      </c>
      <c r="S364" s="14">
        <f>S363*'Assumptions'!$E$180</f>
        <v/>
      </c>
      <c r="T364" s="14">
        <f>T363*'Assumptions'!$E$180</f>
        <v/>
      </c>
      <c r="U364" s="14">
        <f>U363*'Assumptions'!$E$180</f>
        <v/>
      </c>
      <c r="V364" s="14">
        <f>V363*'Assumptions'!$E$180</f>
        <v/>
      </c>
      <c r="W364" s="14">
        <f>W363*'Assumptions'!$E$180</f>
        <v/>
      </c>
      <c r="X364" s="14">
        <f>X363*'Assumptions'!$E$180</f>
        <v/>
      </c>
      <c r="Y364" s="14">
        <f>Y363*'Assumptions'!$E$180</f>
        <v/>
      </c>
      <c r="Z364" s="14">
        <f>Z363*'Assumptions'!$E$180</f>
        <v/>
      </c>
      <c r="AA364" s="14">
        <f>AA363*'Assumptions'!$E$180</f>
        <v/>
      </c>
      <c r="AB364" s="14">
        <f>AB363*'Assumptions'!$E$180</f>
        <v/>
      </c>
      <c r="AC364" s="14">
        <f>AC363*'Assumptions'!$E$180</f>
        <v/>
      </c>
      <c r="AD364" s="14">
        <f>AD363*'Assumptions'!$E$180</f>
        <v/>
      </c>
      <c r="AE364" s="14">
        <f>AE363*'Assumptions'!$E$180</f>
        <v/>
      </c>
      <c r="AF364" s="14">
        <f>AF363*'Assumptions'!$E$180</f>
        <v/>
      </c>
      <c r="AG364" s="14">
        <f>AG363*'Assumptions'!$E$180</f>
        <v/>
      </c>
      <c r="AH364" s="14">
        <f>AH363*'Assumptions'!$E$180</f>
        <v/>
      </c>
      <c r="AI364" s="14">
        <f>AI363*'Assumptions'!$E$180</f>
        <v/>
      </c>
      <c r="AJ364" s="14">
        <f>AJ363*'Assumptions'!$E$180</f>
        <v/>
      </c>
      <c r="AK364" s="14">
        <f>AK363*'Assumptions'!$E$180</f>
        <v/>
      </c>
      <c r="AL364" s="14">
        <f>AL363*'Assumptions'!$E$180</f>
        <v/>
      </c>
      <c r="AM364" s="57">
        <f>SUMIF($C$6:$AL$6,1,C364:AL364)</f>
        <v/>
      </c>
      <c r="AN364" s="57">
        <f>SUMIF($C$6:$AL$6,2,C364:AL364)</f>
        <v/>
      </c>
      <c r="AO364" s="57">
        <f>SUMIF($C$6:$AL$6,3,C364:AL364)</f>
        <v/>
      </c>
      <c r="AP364" s="57">
        <f>SUM(C364:AL364)</f>
        <v/>
      </c>
    </row>
    <row r="365">
      <c r="A365" s="7" t="inlineStr">
        <is>
          <t xml:space="preserve">   Average order value</t>
        </is>
      </c>
      <c r="B365" s="9" t="inlineStr">
        <is>
          <t>$</t>
        </is>
      </c>
      <c r="C365" s="16">
        <f>'Unit Economics'!$E$56*'Assumptions'!$E$180*C359</f>
        <v/>
      </c>
      <c r="D365" s="16">
        <f>'Unit Economics'!$E$56*'Assumptions'!$E$180*D359</f>
        <v/>
      </c>
      <c r="E365" s="16">
        <f>'Unit Economics'!$E$56*'Assumptions'!$E$180*E359</f>
        <v/>
      </c>
      <c r="F365" s="16">
        <f>'Unit Economics'!$E$56*'Assumptions'!$E$180*F359</f>
        <v/>
      </c>
      <c r="G365" s="16">
        <f>'Unit Economics'!$E$56*'Assumptions'!$E$180*G359</f>
        <v/>
      </c>
      <c r="H365" s="16">
        <f>'Unit Economics'!$E$56*'Assumptions'!$E$180*H359</f>
        <v/>
      </c>
      <c r="I365" s="16">
        <f>'Unit Economics'!$E$56*'Assumptions'!$E$180*I359</f>
        <v/>
      </c>
      <c r="J365" s="16">
        <f>'Unit Economics'!$E$56*'Assumptions'!$E$180*J359</f>
        <v/>
      </c>
      <c r="K365" s="16">
        <f>'Unit Economics'!$E$56*'Assumptions'!$E$180*K359</f>
        <v/>
      </c>
      <c r="L365" s="16">
        <f>'Unit Economics'!$E$56*'Assumptions'!$E$180*L359</f>
        <v/>
      </c>
      <c r="M365" s="16">
        <f>'Unit Economics'!$E$56*'Assumptions'!$E$180*M359</f>
        <v/>
      </c>
      <c r="N365" s="16">
        <f>'Unit Economics'!$E$56*'Assumptions'!$E$180*N359</f>
        <v/>
      </c>
      <c r="O365" s="16">
        <f>'Unit Economics'!$E$56*'Assumptions'!$E$180*O359</f>
        <v/>
      </c>
      <c r="P365" s="16">
        <f>'Unit Economics'!$E$56*'Assumptions'!$E$180*P359</f>
        <v/>
      </c>
      <c r="Q365" s="16">
        <f>'Unit Economics'!$E$56*'Assumptions'!$E$180*Q359</f>
        <v/>
      </c>
      <c r="R365" s="16">
        <f>'Unit Economics'!$E$56*'Assumptions'!$E$180*R359</f>
        <v/>
      </c>
      <c r="S365" s="16">
        <f>'Unit Economics'!$E$56*'Assumptions'!$E$180*S359</f>
        <v/>
      </c>
      <c r="T365" s="16">
        <f>'Unit Economics'!$E$56*'Assumptions'!$E$180*T359</f>
        <v/>
      </c>
      <c r="U365" s="16">
        <f>'Unit Economics'!$E$56*'Assumptions'!$E$180*U359</f>
        <v/>
      </c>
      <c r="V365" s="16">
        <f>'Unit Economics'!$E$56*'Assumptions'!$E$180*V359</f>
        <v/>
      </c>
      <c r="W365" s="16">
        <f>'Unit Economics'!$E$56*'Assumptions'!$E$180*W359</f>
        <v/>
      </c>
      <c r="X365" s="16">
        <f>'Unit Economics'!$E$56*'Assumptions'!$E$180*X359</f>
        <v/>
      </c>
      <c r="Y365" s="16">
        <f>'Unit Economics'!$E$56*'Assumptions'!$E$180*Y359</f>
        <v/>
      </c>
      <c r="Z365" s="16">
        <f>'Unit Economics'!$E$56*'Assumptions'!$E$180*Z359</f>
        <v/>
      </c>
      <c r="AA365" s="16">
        <f>'Unit Economics'!$E$56*'Assumptions'!$E$180*AA359</f>
        <v/>
      </c>
      <c r="AB365" s="16">
        <f>'Unit Economics'!$E$56*'Assumptions'!$E$180*AB359</f>
        <v/>
      </c>
      <c r="AC365" s="16">
        <f>'Unit Economics'!$E$56*'Assumptions'!$E$180*AC359</f>
        <v/>
      </c>
      <c r="AD365" s="16">
        <f>'Unit Economics'!$E$56*'Assumptions'!$E$180*AD359</f>
        <v/>
      </c>
      <c r="AE365" s="16">
        <f>'Unit Economics'!$E$56*'Assumptions'!$E$180*AE359</f>
        <v/>
      </c>
      <c r="AF365" s="16">
        <f>'Unit Economics'!$E$56*'Assumptions'!$E$180*AF359</f>
        <v/>
      </c>
      <c r="AG365" s="16">
        <f>'Unit Economics'!$E$56*'Assumptions'!$E$180*AG359</f>
        <v/>
      </c>
      <c r="AH365" s="16">
        <f>'Unit Economics'!$E$56*'Assumptions'!$E$180*AH359</f>
        <v/>
      </c>
      <c r="AI365" s="16">
        <f>'Unit Economics'!$E$56*'Assumptions'!$E$180*AI359</f>
        <v/>
      </c>
      <c r="AJ365" s="16">
        <f>'Unit Economics'!$E$56*'Assumptions'!$E$180*AJ359</f>
        <v/>
      </c>
      <c r="AK365" s="16">
        <f>'Unit Economics'!$E$56*'Assumptions'!$E$180*AK359</f>
        <v/>
      </c>
      <c r="AL365" s="16">
        <f>'Unit Economics'!$E$56*'Assumptions'!$E$180*AL359</f>
        <v/>
      </c>
    </row>
    <row r="366">
      <c r="A366" s="7" t="inlineStr">
        <is>
          <t xml:space="preserve">   Gross sales (price paid by customers)</t>
        </is>
      </c>
      <c r="B366" s="9" t="inlineStr">
        <is>
          <t>$</t>
        </is>
      </c>
      <c r="C366" s="8">
        <f>C364*'Unit Economics'!$E$56</f>
        <v/>
      </c>
      <c r="D366" s="8">
        <f>D364*'Unit Economics'!$E$56</f>
        <v/>
      </c>
      <c r="E366" s="8">
        <f>E364*'Unit Economics'!$E$56</f>
        <v/>
      </c>
      <c r="F366" s="8">
        <f>F364*'Unit Economics'!$E$56</f>
        <v/>
      </c>
      <c r="G366" s="8">
        <f>G364*'Unit Economics'!$E$56</f>
        <v/>
      </c>
      <c r="H366" s="8">
        <f>H364*'Unit Economics'!$E$56</f>
        <v/>
      </c>
      <c r="I366" s="8">
        <f>I364*'Unit Economics'!$E$56</f>
        <v/>
      </c>
      <c r="J366" s="8">
        <f>J364*'Unit Economics'!$E$56</f>
        <v/>
      </c>
      <c r="K366" s="8">
        <f>K364*'Unit Economics'!$E$56</f>
        <v/>
      </c>
      <c r="L366" s="8">
        <f>L364*'Unit Economics'!$E$56</f>
        <v/>
      </c>
      <c r="M366" s="8">
        <f>M364*'Unit Economics'!$E$56</f>
        <v/>
      </c>
      <c r="N366" s="8">
        <f>N364*'Unit Economics'!$E$56</f>
        <v/>
      </c>
      <c r="O366" s="8">
        <f>O364*'Unit Economics'!$E$56</f>
        <v/>
      </c>
      <c r="P366" s="8">
        <f>P364*'Unit Economics'!$E$56</f>
        <v/>
      </c>
      <c r="Q366" s="8">
        <f>Q364*'Unit Economics'!$E$56</f>
        <v/>
      </c>
      <c r="R366" s="8">
        <f>R364*'Unit Economics'!$E$56</f>
        <v/>
      </c>
      <c r="S366" s="8">
        <f>S364*'Unit Economics'!$E$56</f>
        <v/>
      </c>
      <c r="T366" s="8">
        <f>T364*'Unit Economics'!$E$56</f>
        <v/>
      </c>
      <c r="U366" s="8">
        <f>U364*'Unit Economics'!$E$56</f>
        <v/>
      </c>
      <c r="V366" s="8">
        <f>V364*'Unit Economics'!$E$56</f>
        <v/>
      </c>
      <c r="W366" s="8">
        <f>W364*'Unit Economics'!$E$56</f>
        <v/>
      </c>
      <c r="X366" s="8">
        <f>X364*'Unit Economics'!$E$56</f>
        <v/>
      </c>
      <c r="Y366" s="8">
        <f>Y364*'Unit Economics'!$E$56</f>
        <v/>
      </c>
      <c r="Z366" s="8">
        <f>Z364*'Unit Economics'!$E$56</f>
        <v/>
      </c>
      <c r="AA366" s="8">
        <f>AA364*'Unit Economics'!$E$56</f>
        <v/>
      </c>
      <c r="AB366" s="8">
        <f>AB364*'Unit Economics'!$E$56</f>
        <v/>
      </c>
      <c r="AC366" s="8">
        <f>AC364*'Unit Economics'!$E$56</f>
        <v/>
      </c>
      <c r="AD366" s="8">
        <f>AD364*'Unit Economics'!$E$56</f>
        <v/>
      </c>
      <c r="AE366" s="8">
        <f>AE364*'Unit Economics'!$E$56</f>
        <v/>
      </c>
      <c r="AF366" s="8">
        <f>AF364*'Unit Economics'!$E$56</f>
        <v/>
      </c>
      <c r="AG366" s="8">
        <f>AG364*'Unit Economics'!$E$56</f>
        <v/>
      </c>
      <c r="AH366" s="8">
        <f>AH364*'Unit Economics'!$E$56</f>
        <v/>
      </c>
      <c r="AI366" s="8">
        <f>AI364*'Unit Economics'!$E$56</f>
        <v/>
      </c>
      <c r="AJ366" s="8">
        <f>AJ364*'Unit Economics'!$E$56</f>
        <v/>
      </c>
      <c r="AK366" s="8">
        <f>AK364*'Unit Economics'!$E$56</f>
        <v/>
      </c>
      <c r="AL366" s="8">
        <f>AL364*'Unit Economics'!$E$56</f>
        <v/>
      </c>
      <c r="AM366" s="47">
        <f>SUMIF($C$6:$AL$6,1,C366:AL366)</f>
        <v/>
      </c>
      <c r="AN366" s="47">
        <f>SUMIF($C$6:$AL$6,2,C366:AL366)</f>
        <v/>
      </c>
      <c r="AO366" s="47">
        <f>SUMIF($C$6:$AL$6,3,C366:AL366)</f>
        <v/>
      </c>
      <c r="AP366" s="47">
        <f>SUM(C366:AL366)</f>
        <v/>
      </c>
    </row>
    <row r="367">
      <c r="A367" s="7" t="inlineStr">
        <is>
          <t xml:space="preserve">   Net contribution to AlphaPlay</t>
        </is>
      </c>
      <c r="B367" s="9" t="inlineStr">
        <is>
          <t>$</t>
        </is>
      </c>
      <c r="C367" s="8">
        <f>C364*'Unit Economics'!$F$56</f>
        <v/>
      </c>
      <c r="D367" s="8">
        <f>D364*'Unit Economics'!$F$56</f>
        <v/>
      </c>
      <c r="E367" s="8">
        <f>E364*'Unit Economics'!$F$56</f>
        <v/>
      </c>
      <c r="F367" s="8">
        <f>F364*'Unit Economics'!$F$56</f>
        <v/>
      </c>
      <c r="G367" s="8">
        <f>G364*'Unit Economics'!$F$56</f>
        <v/>
      </c>
      <c r="H367" s="8">
        <f>H364*'Unit Economics'!$F$56</f>
        <v/>
      </c>
      <c r="I367" s="8">
        <f>I364*'Unit Economics'!$F$56</f>
        <v/>
      </c>
      <c r="J367" s="8">
        <f>J364*'Unit Economics'!$F$56</f>
        <v/>
      </c>
      <c r="K367" s="8">
        <f>K364*'Unit Economics'!$F$56</f>
        <v/>
      </c>
      <c r="L367" s="8">
        <f>L364*'Unit Economics'!$F$56</f>
        <v/>
      </c>
      <c r="M367" s="8">
        <f>M364*'Unit Economics'!$F$56</f>
        <v/>
      </c>
      <c r="N367" s="8">
        <f>N364*'Unit Economics'!$F$56</f>
        <v/>
      </c>
      <c r="O367" s="8">
        <f>O364*'Unit Economics'!$F$56</f>
        <v/>
      </c>
      <c r="P367" s="8">
        <f>P364*'Unit Economics'!$F$56</f>
        <v/>
      </c>
      <c r="Q367" s="8">
        <f>Q364*'Unit Economics'!$F$56</f>
        <v/>
      </c>
      <c r="R367" s="8">
        <f>R364*'Unit Economics'!$F$56</f>
        <v/>
      </c>
      <c r="S367" s="8">
        <f>S364*'Unit Economics'!$F$56</f>
        <v/>
      </c>
      <c r="T367" s="8">
        <f>T364*'Unit Economics'!$F$56</f>
        <v/>
      </c>
      <c r="U367" s="8">
        <f>U364*'Unit Economics'!$F$56</f>
        <v/>
      </c>
      <c r="V367" s="8">
        <f>V364*'Unit Economics'!$F$56</f>
        <v/>
      </c>
      <c r="W367" s="8">
        <f>W364*'Unit Economics'!$F$56</f>
        <v/>
      </c>
      <c r="X367" s="8">
        <f>X364*'Unit Economics'!$F$56</f>
        <v/>
      </c>
      <c r="Y367" s="8">
        <f>Y364*'Unit Economics'!$F$56</f>
        <v/>
      </c>
      <c r="Z367" s="8">
        <f>Z364*'Unit Economics'!$F$56</f>
        <v/>
      </c>
      <c r="AA367" s="8">
        <f>AA364*'Unit Economics'!$F$56</f>
        <v/>
      </c>
      <c r="AB367" s="8">
        <f>AB364*'Unit Economics'!$F$56</f>
        <v/>
      </c>
      <c r="AC367" s="8">
        <f>AC364*'Unit Economics'!$F$56</f>
        <v/>
      </c>
      <c r="AD367" s="8">
        <f>AD364*'Unit Economics'!$F$56</f>
        <v/>
      </c>
      <c r="AE367" s="8">
        <f>AE364*'Unit Economics'!$F$56</f>
        <v/>
      </c>
      <c r="AF367" s="8">
        <f>AF364*'Unit Economics'!$F$56</f>
        <v/>
      </c>
      <c r="AG367" s="8">
        <f>AG364*'Unit Economics'!$F$56</f>
        <v/>
      </c>
      <c r="AH367" s="8">
        <f>AH364*'Unit Economics'!$F$56</f>
        <v/>
      </c>
      <c r="AI367" s="8">
        <f>AI364*'Unit Economics'!$F$56</f>
        <v/>
      </c>
      <c r="AJ367" s="8">
        <f>AJ364*'Unit Economics'!$F$56</f>
        <v/>
      </c>
      <c r="AK367" s="8">
        <f>AK364*'Unit Economics'!$F$56</f>
        <v/>
      </c>
      <c r="AL367" s="8">
        <f>AL364*'Unit Economics'!$F$56</f>
        <v/>
      </c>
      <c r="AM367" s="47">
        <f>SUMIF($C$6:$AL$6,1,C367:AL367)</f>
        <v/>
      </c>
      <c r="AN367" s="47">
        <f>SUMIF($C$6:$AL$6,2,C367:AL367)</f>
        <v/>
      </c>
      <c r="AO367" s="47">
        <f>SUMIF($C$6:$AL$6,3,C367:AL367)</f>
        <v/>
      </c>
      <c r="AP367" s="47">
        <f>SUM(C367:AL367)</f>
        <v/>
      </c>
    </row>
    <row r="368">
      <c r="A368" s="5" t="inlineStr">
        <is>
          <t>Retail and wholesale: Faire, Walmart Marketplace (off in base)</t>
        </is>
      </c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  <c r="AC368" s="6" t="n"/>
      <c r="AD368" s="6" t="n"/>
      <c r="AE368" s="6" t="n"/>
      <c r="AF368" s="6" t="n"/>
      <c r="AG368" s="6" t="n"/>
      <c r="AH368" s="6" t="n"/>
      <c r="AI368" s="6" t="n"/>
      <c r="AJ368" s="6" t="n"/>
      <c r="AK368" s="6" t="n"/>
      <c r="AL368" s="6" t="n"/>
      <c r="AM368" s="6" t="n"/>
      <c r="AN368" s="6" t="n"/>
      <c r="AO368" s="6" t="n"/>
      <c r="AP368" s="6" t="n"/>
    </row>
    <row r="369">
      <c r="A369" s="7" t="inlineStr">
        <is>
          <t xml:space="preserve">   Active (1 = live)</t>
        </is>
      </c>
      <c r="B369" s="9" t="inlineStr">
        <is>
          <t>flag</t>
        </is>
      </c>
      <c r="C369" s="18">
        <f>IF(AND('Assumptions'!$E$182=1,C$4&gt;=MAX('Assumptions'!$E$183,'Assumptions'!$C$9)),1,0)</f>
        <v/>
      </c>
      <c r="D369" s="18">
        <f>IF(AND('Assumptions'!$E$182=1,D$4&gt;=MAX('Assumptions'!$E$183,'Assumptions'!$C$9)),1,0)</f>
        <v/>
      </c>
      <c r="E369" s="18">
        <f>IF(AND('Assumptions'!$E$182=1,E$4&gt;=MAX('Assumptions'!$E$183,'Assumptions'!$C$9)),1,0)</f>
        <v/>
      </c>
      <c r="F369" s="18">
        <f>IF(AND('Assumptions'!$E$182=1,F$4&gt;=MAX('Assumptions'!$E$183,'Assumptions'!$C$9)),1,0)</f>
        <v/>
      </c>
      <c r="G369" s="18">
        <f>IF(AND('Assumptions'!$E$182=1,G$4&gt;=MAX('Assumptions'!$E$183,'Assumptions'!$C$9)),1,0)</f>
        <v/>
      </c>
      <c r="H369" s="18">
        <f>IF(AND('Assumptions'!$E$182=1,H$4&gt;=MAX('Assumptions'!$E$183,'Assumptions'!$C$9)),1,0)</f>
        <v/>
      </c>
      <c r="I369" s="18">
        <f>IF(AND('Assumptions'!$E$182=1,I$4&gt;=MAX('Assumptions'!$E$183,'Assumptions'!$C$9)),1,0)</f>
        <v/>
      </c>
      <c r="J369" s="18">
        <f>IF(AND('Assumptions'!$E$182=1,J$4&gt;=MAX('Assumptions'!$E$183,'Assumptions'!$C$9)),1,0)</f>
        <v/>
      </c>
      <c r="K369" s="18">
        <f>IF(AND('Assumptions'!$E$182=1,K$4&gt;=MAX('Assumptions'!$E$183,'Assumptions'!$C$9)),1,0)</f>
        <v/>
      </c>
      <c r="L369" s="18">
        <f>IF(AND('Assumptions'!$E$182=1,L$4&gt;=MAX('Assumptions'!$E$183,'Assumptions'!$C$9)),1,0)</f>
        <v/>
      </c>
      <c r="M369" s="18">
        <f>IF(AND('Assumptions'!$E$182=1,M$4&gt;=MAX('Assumptions'!$E$183,'Assumptions'!$C$9)),1,0)</f>
        <v/>
      </c>
      <c r="N369" s="18">
        <f>IF(AND('Assumptions'!$E$182=1,N$4&gt;=MAX('Assumptions'!$E$183,'Assumptions'!$C$9)),1,0)</f>
        <v/>
      </c>
      <c r="O369" s="18">
        <f>IF(AND('Assumptions'!$E$182=1,O$4&gt;=MAX('Assumptions'!$E$183,'Assumptions'!$C$9)),1,0)</f>
        <v/>
      </c>
      <c r="P369" s="18">
        <f>IF(AND('Assumptions'!$E$182=1,P$4&gt;=MAX('Assumptions'!$E$183,'Assumptions'!$C$9)),1,0)</f>
        <v/>
      </c>
      <c r="Q369" s="18">
        <f>IF(AND('Assumptions'!$E$182=1,Q$4&gt;=MAX('Assumptions'!$E$183,'Assumptions'!$C$9)),1,0)</f>
        <v/>
      </c>
      <c r="R369" s="18">
        <f>IF(AND('Assumptions'!$E$182=1,R$4&gt;=MAX('Assumptions'!$E$183,'Assumptions'!$C$9)),1,0)</f>
        <v/>
      </c>
      <c r="S369" s="18">
        <f>IF(AND('Assumptions'!$E$182=1,S$4&gt;=MAX('Assumptions'!$E$183,'Assumptions'!$C$9)),1,0)</f>
        <v/>
      </c>
      <c r="T369" s="18">
        <f>IF(AND('Assumptions'!$E$182=1,T$4&gt;=MAX('Assumptions'!$E$183,'Assumptions'!$C$9)),1,0)</f>
        <v/>
      </c>
      <c r="U369" s="18">
        <f>IF(AND('Assumptions'!$E$182=1,U$4&gt;=MAX('Assumptions'!$E$183,'Assumptions'!$C$9)),1,0)</f>
        <v/>
      </c>
      <c r="V369" s="18">
        <f>IF(AND('Assumptions'!$E$182=1,V$4&gt;=MAX('Assumptions'!$E$183,'Assumptions'!$C$9)),1,0)</f>
        <v/>
      </c>
      <c r="W369" s="18">
        <f>IF(AND('Assumptions'!$E$182=1,W$4&gt;=MAX('Assumptions'!$E$183,'Assumptions'!$C$9)),1,0)</f>
        <v/>
      </c>
      <c r="X369" s="18">
        <f>IF(AND('Assumptions'!$E$182=1,X$4&gt;=MAX('Assumptions'!$E$183,'Assumptions'!$C$9)),1,0)</f>
        <v/>
      </c>
      <c r="Y369" s="18">
        <f>IF(AND('Assumptions'!$E$182=1,Y$4&gt;=MAX('Assumptions'!$E$183,'Assumptions'!$C$9)),1,0)</f>
        <v/>
      </c>
      <c r="Z369" s="18">
        <f>IF(AND('Assumptions'!$E$182=1,Z$4&gt;=MAX('Assumptions'!$E$183,'Assumptions'!$C$9)),1,0)</f>
        <v/>
      </c>
      <c r="AA369" s="18">
        <f>IF(AND('Assumptions'!$E$182=1,AA$4&gt;=MAX('Assumptions'!$E$183,'Assumptions'!$C$9)),1,0)</f>
        <v/>
      </c>
      <c r="AB369" s="18">
        <f>IF(AND('Assumptions'!$E$182=1,AB$4&gt;=MAX('Assumptions'!$E$183,'Assumptions'!$C$9)),1,0)</f>
        <v/>
      </c>
      <c r="AC369" s="18">
        <f>IF(AND('Assumptions'!$E$182=1,AC$4&gt;=MAX('Assumptions'!$E$183,'Assumptions'!$C$9)),1,0)</f>
        <v/>
      </c>
      <c r="AD369" s="18">
        <f>IF(AND('Assumptions'!$E$182=1,AD$4&gt;=MAX('Assumptions'!$E$183,'Assumptions'!$C$9)),1,0)</f>
        <v/>
      </c>
      <c r="AE369" s="18">
        <f>IF(AND('Assumptions'!$E$182=1,AE$4&gt;=MAX('Assumptions'!$E$183,'Assumptions'!$C$9)),1,0)</f>
        <v/>
      </c>
      <c r="AF369" s="18">
        <f>IF(AND('Assumptions'!$E$182=1,AF$4&gt;=MAX('Assumptions'!$E$183,'Assumptions'!$C$9)),1,0)</f>
        <v/>
      </c>
      <c r="AG369" s="18">
        <f>IF(AND('Assumptions'!$E$182=1,AG$4&gt;=MAX('Assumptions'!$E$183,'Assumptions'!$C$9)),1,0)</f>
        <v/>
      </c>
      <c r="AH369" s="18">
        <f>IF(AND('Assumptions'!$E$182=1,AH$4&gt;=MAX('Assumptions'!$E$183,'Assumptions'!$C$9)),1,0)</f>
        <v/>
      </c>
      <c r="AI369" s="18">
        <f>IF(AND('Assumptions'!$E$182=1,AI$4&gt;=MAX('Assumptions'!$E$183,'Assumptions'!$C$9)),1,0)</f>
        <v/>
      </c>
      <c r="AJ369" s="18">
        <f>IF(AND('Assumptions'!$E$182=1,AJ$4&gt;=MAX('Assumptions'!$E$183,'Assumptions'!$C$9)),1,0)</f>
        <v/>
      </c>
      <c r="AK369" s="18">
        <f>IF(AND('Assumptions'!$E$182=1,AK$4&gt;=MAX('Assumptions'!$E$183,'Assumptions'!$C$9)),1,0)</f>
        <v/>
      </c>
      <c r="AL369" s="18">
        <f>IF(AND('Assumptions'!$E$182=1,AL$4&gt;=MAX('Assumptions'!$E$183,'Assumptions'!$C$9)),1,0)</f>
        <v/>
      </c>
    </row>
    <row r="370">
      <c r="A370" s="7" t="inlineStr">
        <is>
          <t xml:space="preserve">   Traffic trend (before seasonality)</t>
        </is>
      </c>
      <c r="B370" s="9" t="inlineStr">
        <is>
          <t>visits</t>
        </is>
      </c>
      <c r="C370" s="15">
        <f>IF(C369=0,0,'Assumptions'!$E$184)</f>
        <v/>
      </c>
      <c r="D370" s="15">
        <f>IF(D369=0,0,IF(D$4=MAX('Assumptions'!$E$183,'Assumptions'!$C$9),'Assumptions'!$E$184,C370*(1+CHOOSE(D$6,'Assumptions'!$E$185,'Assumptions'!$E$186,'Assumptions'!$E$187))))</f>
        <v/>
      </c>
      <c r="E370" s="15">
        <f>IF(E369=0,0,IF(E$4=MAX('Assumptions'!$E$183,'Assumptions'!$C$9),'Assumptions'!$E$184,D370*(1+CHOOSE(E$6,'Assumptions'!$E$185,'Assumptions'!$E$186,'Assumptions'!$E$187))))</f>
        <v/>
      </c>
      <c r="F370" s="15">
        <f>IF(F369=0,0,IF(F$4=MAX('Assumptions'!$E$183,'Assumptions'!$C$9),'Assumptions'!$E$184,E370*(1+CHOOSE(F$6,'Assumptions'!$E$185,'Assumptions'!$E$186,'Assumptions'!$E$187))))</f>
        <v/>
      </c>
      <c r="G370" s="15">
        <f>IF(G369=0,0,IF(G$4=MAX('Assumptions'!$E$183,'Assumptions'!$C$9),'Assumptions'!$E$184,F370*(1+CHOOSE(G$6,'Assumptions'!$E$185,'Assumptions'!$E$186,'Assumptions'!$E$187))))</f>
        <v/>
      </c>
      <c r="H370" s="15">
        <f>IF(H369=0,0,IF(H$4=MAX('Assumptions'!$E$183,'Assumptions'!$C$9),'Assumptions'!$E$184,G370*(1+CHOOSE(H$6,'Assumptions'!$E$185,'Assumptions'!$E$186,'Assumptions'!$E$187))))</f>
        <v/>
      </c>
      <c r="I370" s="15">
        <f>IF(I369=0,0,IF(I$4=MAX('Assumptions'!$E$183,'Assumptions'!$C$9),'Assumptions'!$E$184,H370*(1+CHOOSE(I$6,'Assumptions'!$E$185,'Assumptions'!$E$186,'Assumptions'!$E$187))))</f>
        <v/>
      </c>
      <c r="J370" s="15">
        <f>IF(J369=0,0,IF(J$4=MAX('Assumptions'!$E$183,'Assumptions'!$C$9),'Assumptions'!$E$184,I370*(1+CHOOSE(J$6,'Assumptions'!$E$185,'Assumptions'!$E$186,'Assumptions'!$E$187))))</f>
        <v/>
      </c>
      <c r="K370" s="15">
        <f>IF(K369=0,0,IF(K$4=MAX('Assumptions'!$E$183,'Assumptions'!$C$9),'Assumptions'!$E$184,J370*(1+CHOOSE(K$6,'Assumptions'!$E$185,'Assumptions'!$E$186,'Assumptions'!$E$187))))</f>
        <v/>
      </c>
      <c r="L370" s="15">
        <f>IF(L369=0,0,IF(L$4=MAX('Assumptions'!$E$183,'Assumptions'!$C$9),'Assumptions'!$E$184,K370*(1+CHOOSE(L$6,'Assumptions'!$E$185,'Assumptions'!$E$186,'Assumptions'!$E$187))))</f>
        <v/>
      </c>
      <c r="M370" s="15">
        <f>IF(M369=0,0,IF(M$4=MAX('Assumptions'!$E$183,'Assumptions'!$C$9),'Assumptions'!$E$184,L370*(1+CHOOSE(M$6,'Assumptions'!$E$185,'Assumptions'!$E$186,'Assumptions'!$E$187))))</f>
        <v/>
      </c>
      <c r="N370" s="15">
        <f>IF(N369=0,0,IF(N$4=MAX('Assumptions'!$E$183,'Assumptions'!$C$9),'Assumptions'!$E$184,M370*(1+CHOOSE(N$6,'Assumptions'!$E$185,'Assumptions'!$E$186,'Assumptions'!$E$187))))</f>
        <v/>
      </c>
      <c r="O370" s="15">
        <f>IF(O369=0,0,IF(O$4=MAX('Assumptions'!$E$183,'Assumptions'!$C$9),'Assumptions'!$E$184,N370*(1+CHOOSE(O$6,'Assumptions'!$E$185,'Assumptions'!$E$186,'Assumptions'!$E$187))))</f>
        <v/>
      </c>
      <c r="P370" s="15">
        <f>IF(P369=0,0,IF(P$4=MAX('Assumptions'!$E$183,'Assumptions'!$C$9),'Assumptions'!$E$184,O370*(1+CHOOSE(P$6,'Assumptions'!$E$185,'Assumptions'!$E$186,'Assumptions'!$E$187))))</f>
        <v/>
      </c>
      <c r="Q370" s="15">
        <f>IF(Q369=0,0,IF(Q$4=MAX('Assumptions'!$E$183,'Assumptions'!$C$9),'Assumptions'!$E$184,P370*(1+CHOOSE(Q$6,'Assumptions'!$E$185,'Assumptions'!$E$186,'Assumptions'!$E$187))))</f>
        <v/>
      </c>
      <c r="R370" s="15">
        <f>IF(R369=0,0,IF(R$4=MAX('Assumptions'!$E$183,'Assumptions'!$C$9),'Assumptions'!$E$184,Q370*(1+CHOOSE(R$6,'Assumptions'!$E$185,'Assumptions'!$E$186,'Assumptions'!$E$187))))</f>
        <v/>
      </c>
      <c r="S370" s="15">
        <f>IF(S369=0,0,IF(S$4=MAX('Assumptions'!$E$183,'Assumptions'!$C$9),'Assumptions'!$E$184,R370*(1+CHOOSE(S$6,'Assumptions'!$E$185,'Assumptions'!$E$186,'Assumptions'!$E$187))))</f>
        <v/>
      </c>
      <c r="T370" s="15">
        <f>IF(T369=0,0,IF(T$4=MAX('Assumptions'!$E$183,'Assumptions'!$C$9),'Assumptions'!$E$184,S370*(1+CHOOSE(T$6,'Assumptions'!$E$185,'Assumptions'!$E$186,'Assumptions'!$E$187))))</f>
        <v/>
      </c>
      <c r="U370" s="15">
        <f>IF(U369=0,0,IF(U$4=MAX('Assumptions'!$E$183,'Assumptions'!$C$9),'Assumptions'!$E$184,T370*(1+CHOOSE(U$6,'Assumptions'!$E$185,'Assumptions'!$E$186,'Assumptions'!$E$187))))</f>
        <v/>
      </c>
      <c r="V370" s="15">
        <f>IF(V369=0,0,IF(V$4=MAX('Assumptions'!$E$183,'Assumptions'!$C$9),'Assumptions'!$E$184,U370*(1+CHOOSE(V$6,'Assumptions'!$E$185,'Assumptions'!$E$186,'Assumptions'!$E$187))))</f>
        <v/>
      </c>
      <c r="W370" s="15">
        <f>IF(W369=0,0,IF(W$4=MAX('Assumptions'!$E$183,'Assumptions'!$C$9),'Assumptions'!$E$184,V370*(1+CHOOSE(W$6,'Assumptions'!$E$185,'Assumptions'!$E$186,'Assumptions'!$E$187))))</f>
        <v/>
      </c>
      <c r="X370" s="15">
        <f>IF(X369=0,0,IF(X$4=MAX('Assumptions'!$E$183,'Assumptions'!$C$9),'Assumptions'!$E$184,W370*(1+CHOOSE(X$6,'Assumptions'!$E$185,'Assumptions'!$E$186,'Assumptions'!$E$187))))</f>
        <v/>
      </c>
      <c r="Y370" s="15">
        <f>IF(Y369=0,0,IF(Y$4=MAX('Assumptions'!$E$183,'Assumptions'!$C$9),'Assumptions'!$E$184,X370*(1+CHOOSE(Y$6,'Assumptions'!$E$185,'Assumptions'!$E$186,'Assumptions'!$E$187))))</f>
        <v/>
      </c>
      <c r="Z370" s="15">
        <f>IF(Z369=0,0,IF(Z$4=MAX('Assumptions'!$E$183,'Assumptions'!$C$9),'Assumptions'!$E$184,Y370*(1+CHOOSE(Z$6,'Assumptions'!$E$185,'Assumptions'!$E$186,'Assumptions'!$E$187))))</f>
        <v/>
      </c>
      <c r="AA370" s="15">
        <f>IF(AA369=0,0,IF(AA$4=MAX('Assumptions'!$E$183,'Assumptions'!$C$9),'Assumptions'!$E$184,Z370*(1+CHOOSE(AA$6,'Assumptions'!$E$185,'Assumptions'!$E$186,'Assumptions'!$E$187))))</f>
        <v/>
      </c>
      <c r="AB370" s="15">
        <f>IF(AB369=0,0,IF(AB$4=MAX('Assumptions'!$E$183,'Assumptions'!$C$9),'Assumptions'!$E$184,AA370*(1+CHOOSE(AB$6,'Assumptions'!$E$185,'Assumptions'!$E$186,'Assumptions'!$E$187))))</f>
        <v/>
      </c>
      <c r="AC370" s="15">
        <f>IF(AC369=0,0,IF(AC$4=MAX('Assumptions'!$E$183,'Assumptions'!$C$9),'Assumptions'!$E$184,AB370*(1+CHOOSE(AC$6,'Assumptions'!$E$185,'Assumptions'!$E$186,'Assumptions'!$E$187))))</f>
        <v/>
      </c>
      <c r="AD370" s="15">
        <f>IF(AD369=0,0,IF(AD$4=MAX('Assumptions'!$E$183,'Assumptions'!$C$9),'Assumptions'!$E$184,AC370*(1+CHOOSE(AD$6,'Assumptions'!$E$185,'Assumptions'!$E$186,'Assumptions'!$E$187))))</f>
        <v/>
      </c>
      <c r="AE370" s="15">
        <f>IF(AE369=0,0,IF(AE$4=MAX('Assumptions'!$E$183,'Assumptions'!$C$9),'Assumptions'!$E$184,AD370*(1+CHOOSE(AE$6,'Assumptions'!$E$185,'Assumptions'!$E$186,'Assumptions'!$E$187))))</f>
        <v/>
      </c>
      <c r="AF370" s="15">
        <f>IF(AF369=0,0,IF(AF$4=MAX('Assumptions'!$E$183,'Assumptions'!$C$9),'Assumptions'!$E$184,AE370*(1+CHOOSE(AF$6,'Assumptions'!$E$185,'Assumptions'!$E$186,'Assumptions'!$E$187))))</f>
        <v/>
      </c>
      <c r="AG370" s="15">
        <f>IF(AG369=0,0,IF(AG$4=MAX('Assumptions'!$E$183,'Assumptions'!$C$9),'Assumptions'!$E$184,AF370*(1+CHOOSE(AG$6,'Assumptions'!$E$185,'Assumptions'!$E$186,'Assumptions'!$E$187))))</f>
        <v/>
      </c>
      <c r="AH370" s="15">
        <f>IF(AH369=0,0,IF(AH$4=MAX('Assumptions'!$E$183,'Assumptions'!$C$9),'Assumptions'!$E$184,AG370*(1+CHOOSE(AH$6,'Assumptions'!$E$185,'Assumptions'!$E$186,'Assumptions'!$E$187))))</f>
        <v/>
      </c>
      <c r="AI370" s="15">
        <f>IF(AI369=0,0,IF(AI$4=MAX('Assumptions'!$E$183,'Assumptions'!$C$9),'Assumptions'!$E$184,AH370*(1+CHOOSE(AI$6,'Assumptions'!$E$185,'Assumptions'!$E$186,'Assumptions'!$E$187))))</f>
        <v/>
      </c>
      <c r="AJ370" s="15">
        <f>IF(AJ369=0,0,IF(AJ$4=MAX('Assumptions'!$E$183,'Assumptions'!$C$9),'Assumptions'!$E$184,AI370*(1+CHOOSE(AJ$6,'Assumptions'!$E$185,'Assumptions'!$E$186,'Assumptions'!$E$187))))</f>
        <v/>
      </c>
      <c r="AK370" s="15">
        <f>IF(AK369=0,0,IF(AK$4=MAX('Assumptions'!$E$183,'Assumptions'!$C$9),'Assumptions'!$E$184,AJ370*(1+CHOOSE(AK$6,'Assumptions'!$E$185,'Assumptions'!$E$186,'Assumptions'!$E$187))))</f>
        <v/>
      </c>
      <c r="AL370" s="15">
        <f>IF(AL369=0,0,IF(AL$4=MAX('Assumptions'!$E$183,'Assumptions'!$C$9),'Assumptions'!$E$184,AK370*(1+CHOOSE(AL$6,'Assumptions'!$E$185,'Assumptions'!$E$186,'Assumptions'!$E$187))))</f>
        <v/>
      </c>
    </row>
    <row r="371">
      <c r="A371" s="7" t="inlineStr">
        <is>
          <t xml:space="preserve">   Retailer and marketplace views</t>
        </is>
      </c>
      <c r="B371" s="9" t="inlineStr">
        <is>
          <t>visits</t>
        </is>
      </c>
      <c r="C371" s="58">
        <f>C370*C$7</f>
        <v/>
      </c>
      <c r="D371" s="58">
        <f>D370*D$7</f>
        <v/>
      </c>
      <c r="E371" s="58">
        <f>E370*E$7</f>
        <v/>
      </c>
      <c r="F371" s="58">
        <f>F370*F$7</f>
        <v/>
      </c>
      <c r="G371" s="58">
        <f>G370*G$7</f>
        <v/>
      </c>
      <c r="H371" s="58">
        <f>H370*H$7</f>
        <v/>
      </c>
      <c r="I371" s="58">
        <f>I370*I$7</f>
        <v/>
      </c>
      <c r="J371" s="58">
        <f>J370*J$7</f>
        <v/>
      </c>
      <c r="K371" s="58">
        <f>K370*K$7</f>
        <v/>
      </c>
      <c r="L371" s="58">
        <f>L370*L$7</f>
        <v/>
      </c>
      <c r="M371" s="58">
        <f>M370*M$7</f>
        <v/>
      </c>
      <c r="N371" s="58">
        <f>N370*N$7</f>
        <v/>
      </c>
      <c r="O371" s="58">
        <f>O370*O$7</f>
        <v/>
      </c>
      <c r="P371" s="58">
        <f>P370*P$7</f>
        <v/>
      </c>
      <c r="Q371" s="58">
        <f>Q370*Q$7</f>
        <v/>
      </c>
      <c r="R371" s="58">
        <f>R370*R$7</f>
        <v/>
      </c>
      <c r="S371" s="58">
        <f>S370*S$7</f>
        <v/>
      </c>
      <c r="T371" s="58">
        <f>T370*T$7</f>
        <v/>
      </c>
      <c r="U371" s="58">
        <f>U370*U$7</f>
        <v/>
      </c>
      <c r="V371" s="58">
        <f>V370*V$7</f>
        <v/>
      </c>
      <c r="W371" s="58">
        <f>W370*W$7</f>
        <v/>
      </c>
      <c r="X371" s="58">
        <f>X370*X$7</f>
        <v/>
      </c>
      <c r="Y371" s="58">
        <f>Y370*Y$7</f>
        <v/>
      </c>
      <c r="Z371" s="58">
        <f>Z370*Z$7</f>
        <v/>
      </c>
      <c r="AA371" s="58">
        <f>AA370*AA$7</f>
        <v/>
      </c>
      <c r="AB371" s="58">
        <f>AB370*AB$7</f>
        <v/>
      </c>
      <c r="AC371" s="58">
        <f>AC370*AC$7</f>
        <v/>
      </c>
      <c r="AD371" s="58">
        <f>AD370*AD$7</f>
        <v/>
      </c>
      <c r="AE371" s="58">
        <f>AE370*AE$7</f>
        <v/>
      </c>
      <c r="AF371" s="58">
        <f>AF370*AF$7</f>
        <v/>
      </c>
      <c r="AG371" s="58">
        <f>AG370*AG$7</f>
        <v/>
      </c>
      <c r="AH371" s="58">
        <f>AH370*AH$7</f>
        <v/>
      </c>
      <c r="AI371" s="58">
        <f>AI370*AI$7</f>
        <v/>
      </c>
      <c r="AJ371" s="58">
        <f>AJ370*AJ$7</f>
        <v/>
      </c>
      <c r="AK371" s="58">
        <f>AK370*AK$7</f>
        <v/>
      </c>
      <c r="AL371" s="58">
        <f>AL370*AL$7</f>
        <v/>
      </c>
      <c r="AM371" s="57">
        <f>SUMIF($C$6:$AL$6,1,C371:AL371)</f>
        <v/>
      </c>
      <c r="AN371" s="57">
        <f>SUMIF($C$6:$AL$6,2,C371:AL371)</f>
        <v/>
      </c>
      <c r="AO371" s="57">
        <f>SUMIF($C$6:$AL$6,3,C371:AL371)</f>
        <v/>
      </c>
      <c r="AP371" s="57">
        <f>SUM(C371:AL371)</f>
        <v/>
      </c>
    </row>
    <row r="372">
      <c r="A372" s="7" t="inlineStr">
        <is>
          <t xml:space="preserve">   Conversion rate (with review ramp)</t>
        </is>
      </c>
      <c r="B372" s="9" t="inlineStr">
        <is>
          <t>%</t>
        </is>
      </c>
      <c r="C372" s="59">
        <f>'Assumptions'!$E$188*MIN(1,(C$4-MAX('Assumptions'!$E$183,'Assumptions'!$C$9)+1)/'Assumptions'!$C$11)*C369</f>
        <v/>
      </c>
      <c r="D372" s="59">
        <f>'Assumptions'!$E$188*MIN(1,(D$4-MAX('Assumptions'!$E$183,'Assumptions'!$C$9)+1)/'Assumptions'!$C$11)*D369</f>
        <v/>
      </c>
      <c r="E372" s="59">
        <f>'Assumptions'!$E$188*MIN(1,(E$4-MAX('Assumptions'!$E$183,'Assumptions'!$C$9)+1)/'Assumptions'!$C$11)*E369</f>
        <v/>
      </c>
      <c r="F372" s="59">
        <f>'Assumptions'!$E$188*MIN(1,(F$4-MAX('Assumptions'!$E$183,'Assumptions'!$C$9)+1)/'Assumptions'!$C$11)*F369</f>
        <v/>
      </c>
      <c r="G372" s="59">
        <f>'Assumptions'!$E$188*MIN(1,(G$4-MAX('Assumptions'!$E$183,'Assumptions'!$C$9)+1)/'Assumptions'!$C$11)*G369</f>
        <v/>
      </c>
      <c r="H372" s="59">
        <f>'Assumptions'!$E$188*MIN(1,(H$4-MAX('Assumptions'!$E$183,'Assumptions'!$C$9)+1)/'Assumptions'!$C$11)*H369</f>
        <v/>
      </c>
      <c r="I372" s="59">
        <f>'Assumptions'!$E$188*MIN(1,(I$4-MAX('Assumptions'!$E$183,'Assumptions'!$C$9)+1)/'Assumptions'!$C$11)*I369</f>
        <v/>
      </c>
      <c r="J372" s="59">
        <f>'Assumptions'!$E$188*MIN(1,(J$4-MAX('Assumptions'!$E$183,'Assumptions'!$C$9)+1)/'Assumptions'!$C$11)*J369</f>
        <v/>
      </c>
      <c r="K372" s="59">
        <f>'Assumptions'!$E$188*MIN(1,(K$4-MAX('Assumptions'!$E$183,'Assumptions'!$C$9)+1)/'Assumptions'!$C$11)*K369</f>
        <v/>
      </c>
      <c r="L372" s="59">
        <f>'Assumptions'!$E$188*MIN(1,(L$4-MAX('Assumptions'!$E$183,'Assumptions'!$C$9)+1)/'Assumptions'!$C$11)*L369</f>
        <v/>
      </c>
      <c r="M372" s="59">
        <f>'Assumptions'!$E$188*MIN(1,(M$4-MAX('Assumptions'!$E$183,'Assumptions'!$C$9)+1)/'Assumptions'!$C$11)*M369</f>
        <v/>
      </c>
      <c r="N372" s="59">
        <f>'Assumptions'!$E$188*MIN(1,(N$4-MAX('Assumptions'!$E$183,'Assumptions'!$C$9)+1)/'Assumptions'!$C$11)*N369</f>
        <v/>
      </c>
      <c r="O372" s="59">
        <f>'Assumptions'!$E$188*MIN(1,(O$4-MAX('Assumptions'!$E$183,'Assumptions'!$C$9)+1)/'Assumptions'!$C$11)*O369</f>
        <v/>
      </c>
      <c r="P372" s="59">
        <f>'Assumptions'!$E$188*MIN(1,(P$4-MAX('Assumptions'!$E$183,'Assumptions'!$C$9)+1)/'Assumptions'!$C$11)*P369</f>
        <v/>
      </c>
      <c r="Q372" s="59">
        <f>'Assumptions'!$E$188*MIN(1,(Q$4-MAX('Assumptions'!$E$183,'Assumptions'!$C$9)+1)/'Assumptions'!$C$11)*Q369</f>
        <v/>
      </c>
      <c r="R372" s="59">
        <f>'Assumptions'!$E$188*MIN(1,(R$4-MAX('Assumptions'!$E$183,'Assumptions'!$C$9)+1)/'Assumptions'!$C$11)*R369</f>
        <v/>
      </c>
      <c r="S372" s="59">
        <f>'Assumptions'!$E$188*MIN(1,(S$4-MAX('Assumptions'!$E$183,'Assumptions'!$C$9)+1)/'Assumptions'!$C$11)*S369</f>
        <v/>
      </c>
      <c r="T372" s="59">
        <f>'Assumptions'!$E$188*MIN(1,(T$4-MAX('Assumptions'!$E$183,'Assumptions'!$C$9)+1)/'Assumptions'!$C$11)*T369</f>
        <v/>
      </c>
      <c r="U372" s="59">
        <f>'Assumptions'!$E$188*MIN(1,(U$4-MAX('Assumptions'!$E$183,'Assumptions'!$C$9)+1)/'Assumptions'!$C$11)*U369</f>
        <v/>
      </c>
      <c r="V372" s="59">
        <f>'Assumptions'!$E$188*MIN(1,(V$4-MAX('Assumptions'!$E$183,'Assumptions'!$C$9)+1)/'Assumptions'!$C$11)*V369</f>
        <v/>
      </c>
      <c r="W372" s="59">
        <f>'Assumptions'!$E$188*MIN(1,(W$4-MAX('Assumptions'!$E$183,'Assumptions'!$C$9)+1)/'Assumptions'!$C$11)*W369</f>
        <v/>
      </c>
      <c r="X372" s="59">
        <f>'Assumptions'!$E$188*MIN(1,(X$4-MAX('Assumptions'!$E$183,'Assumptions'!$C$9)+1)/'Assumptions'!$C$11)*X369</f>
        <v/>
      </c>
      <c r="Y372" s="59">
        <f>'Assumptions'!$E$188*MIN(1,(Y$4-MAX('Assumptions'!$E$183,'Assumptions'!$C$9)+1)/'Assumptions'!$C$11)*Y369</f>
        <v/>
      </c>
      <c r="Z372" s="59">
        <f>'Assumptions'!$E$188*MIN(1,(Z$4-MAX('Assumptions'!$E$183,'Assumptions'!$C$9)+1)/'Assumptions'!$C$11)*Z369</f>
        <v/>
      </c>
      <c r="AA372" s="59">
        <f>'Assumptions'!$E$188*MIN(1,(AA$4-MAX('Assumptions'!$E$183,'Assumptions'!$C$9)+1)/'Assumptions'!$C$11)*AA369</f>
        <v/>
      </c>
      <c r="AB372" s="59">
        <f>'Assumptions'!$E$188*MIN(1,(AB$4-MAX('Assumptions'!$E$183,'Assumptions'!$C$9)+1)/'Assumptions'!$C$11)*AB369</f>
        <v/>
      </c>
      <c r="AC372" s="59">
        <f>'Assumptions'!$E$188*MIN(1,(AC$4-MAX('Assumptions'!$E$183,'Assumptions'!$C$9)+1)/'Assumptions'!$C$11)*AC369</f>
        <v/>
      </c>
      <c r="AD372" s="59">
        <f>'Assumptions'!$E$188*MIN(1,(AD$4-MAX('Assumptions'!$E$183,'Assumptions'!$C$9)+1)/'Assumptions'!$C$11)*AD369</f>
        <v/>
      </c>
      <c r="AE372" s="59">
        <f>'Assumptions'!$E$188*MIN(1,(AE$4-MAX('Assumptions'!$E$183,'Assumptions'!$C$9)+1)/'Assumptions'!$C$11)*AE369</f>
        <v/>
      </c>
      <c r="AF372" s="59">
        <f>'Assumptions'!$E$188*MIN(1,(AF$4-MAX('Assumptions'!$E$183,'Assumptions'!$C$9)+1)/'Assumptions'!$C$11)*AF369</f>
        <v/>
      </c>
      <c r="AG372" s="59">
        <f>'Assumptions'!$E$188*MIN(1,(AG$4-MAX('Assumptions'!$E$183,'Assumptions'!$C$9)+1)/'Assumptions'!$C$11)*AG369</f>
        <v/>
      </c>
      <c r="AH372" s="59">
        <f>'Assumptions'!$E$188*MIN(1,(AH$4-MAX('Assumptions'!$E$183,'Assumptions'!$C$9)+1)/'Assumptions'!$C$11)*AH369</f>
        <v/>
      </c>
      <c r="AI372" s="59">
        <f>'Assumptions'!$E$188*MIN(1,(AI$4-MAX('Assumptions'!$E$183,'Assumptions'!$C$9)+1)/'Assumptions'!$C$11)*AI369</f>
        <v/>
      </c>
      <c r="AJ372" s="59">
        <f>'Assumptions'!$E$188*MIN(1,(AJ$4-MAX('Assumptions'!$E$183,'Assumptions'!$C$9)+1)/'Assumptions'!$C$11)*AJ369</f>
        <v/>
      </c>
      <c r="AK372" s="59">
        <f>'Assumptions'!$E$188*MIN(1,(AK$4-MAX('Assumptions'!$E$183,'Assumptions'!$C$9)+1)/'Assumptions'!$C$11)*AK369</f>
        <v/>
      </c>
      <c r="AL372" s="59">
        <f>'Assumptions'!$E$188*MIN(1,(AL$4-MAX('Assumptions'!$E$183,'Assumptions'!$C$9)+1)/'Assumptions'!$C$11)*AL369</f>
        <v/>
      </c>
    </row>
    <row r="373">
      <c r="A373" s="7" t="inlineStr">
        <is>
          <t xml:space="preserve">   Orders</t>
        </is>
      </c>
      <c r="B373" s="9" t="inlineStr">
        <is>
          <t>orders</t>
        </is>
      </c>
      <c r="C373" s="56">
        <f>C371*C372</f>
        <v/>
      </c>
      <c r="D373" s="56">
        <f>D371*D372</f>
        <v/>
      </c>
      <c r="E373" s="56">
        <f>E371*E372</f>
        <v/>
      </c>
      <c r="F373" s="56">
        <f>F371*F372</f>
        <v/>
      </c>
      <c r="G373" s="56">
        <f>G371*G372</f>
        <v/>
      </c>
      <c r="H373" s="56">
        <f>H371*H372</f>
        <v/>
      </c>
      <c r="I373" s="56">
        <f>I371*I372</f>
        <v/>
      </c>
      <c r="J373" s="56">
        <f>J371*J372</f>
        <v/>
      </c>
      <c r="K373" s="56">
        <f>K371*K372</f>
        <v/>
      </c>
      <c r="L373" s="56">
        <f>L371*L372</f>
        <v/>
      </c>
      <c r="M373" s="56">
        <f>M371*M372</f>
        <v/>
      </c>
      <c r="N373" s="56">
        <f>N371*N372</f>
        <v/>
      </c>
      <c r="O373" s="56">
        <f>O371*O372</f>
        <v/>
      </c>
      <c r="P373" s="56">
        <f>P371*P372</f>
        <v/>
      </c>
      <c r="Q373" s="56">
        <f>Q371*Q372</f>
        <v/>
      </c>
      <c r="R373" s="56">
        <f>R371*R372</f>
        <v/>
      </c>
      <c r="S373" s="56">
        <f>S371*S372</f>
        <v/>
      </c>
      <c r="T373" s="56">
        <f>T371*T372</f>
        <v/>
      </c>
      <c r="U373" s="56">
        <f>U371*U372</f>
        <v/>
      </c>
      <c r="V373" s="56">
        <f>V371*V372</f>
        <v/>
      </c>
      <c r="W373" s="56">
        <f>W371*W372</f>
        <v/>
      </c>
      <c r="X373" s="56">
        <f>X371*X372</f>
        <v/>
      </c>
      <c r="Y373" s="56">
        <f>Y371*Y372</f>
        <v/>
      </c>
      <c r="Z373" s="56">
        <f>Z371*Z372</f>
        <v/>
      </c>
      <c r="AA373" s="56">
        <f>AA371*AA372</f>
        <v/>
      </c>
      <c r="AB373" s="56">
        <f>AB371*AB372</f>
        <v/>
      </c>
      <c r="AC373" s="56">
        <f>AC371*AC372</f>
        <v/>
      </c>
      <c r="AD373" s="56">
        <f>AD371*AD372</f>
        <v/>
      </c>
      <c r="AE373" s="56">
        <f>AE371*AE372</f>
        <v/>
      </c>
      <c r="AF373" s="56">
        <f>AF371*AF372</f>
        <v/>
      </c>
      <c r="AG373" s="56">
        <f>AG371*AG372</f>
        <v/>
      </c>
      <c r="AH373" s="56">
        <f>AH371*AH372</f>
        <v/>
      </c>
      <c r="AI373" s="56">
        <f>AI371*AI372</f>
        <v/>
      </c>
      <c r="AJ373" s="56">
        <f>AJ371*AJ372</f>
        <v/>
      </c>
      <c r="AK373" s="56">
        <f>AK371*AK372</f>
        <v/>
      </c>
      <c r="AL373" s="56">
        <f>AL371*AL372</f>
        <v/>
      </c>
      <c r="AM373" s="57">
        <f>SUMIF($C$6:$AL$6,1,C373:AL373)</f>
        <v/>
      </c>
      <c r="AN373" s="57">
        <f>SUMIF($C$6:$AL$6,2,C373:AL373)</f>
        <v/>
      </c>
      <c r="AO373" s="57">
        <f>SUMIF($C$6:$AL$6,3,C373:AL373)</f>
        <v/>
      </c>
      <c r="AP373" s="57">
        <f>SUM(C373:AL373)</f>
        <v/>
      </c>
    </row>
    <row r="374">
      <c r="A374" s="7" t="inlineStr">
        <is>
          <t xml:space="preserve">   Items sold</t>
        </is>
      </c>
      <c r="B374" s="9" t="inlineStr">
        <is>
          <t>items</t>
        </is>
      </c>
      <c r="C374" s="14">
        <f>C373*'Assumptions'!$E$189</f>
        <v/>
      </c>
      <c r="D374" s="14">
        <f>D373*'Assumptions'!$E$189</f>
        <v/>
      </c>
      <c r="E374" s="14">
        <f>E373*'Assumptions'!$E$189</f>
        <v/>
      </c>
      <c r="F374" s="14">
        <f>F373*'Assumptions'!$E$189</f>
        <v/>
      </c>
      <c r="G374" s="14">
        <f>G373*'Assumptions'!$E$189</f>
        <v/>
      </c>
      <c r="H374" s="14">
        <f>H373*'Assumptions'!$E$189</f>
        <v/>
      </c>
      <c r="I374" s="14">
        <f>I373*'Assumptions'!$E$189</f>
        <v/>
      </c>
      <c r="J374" s="14">
        <f>J373*'Assumptions'!$E$189</f>
        <v/>
      </c>
      <c r="K374" s="14">
        <f>K373*'Assumptions'!$E$189</f>
        <v/>
      </c>
      <c r="L374" s="14">
        <f>L373*'Assumptions'!$E$189</f>
        <v/>
      </c>
      <c r="M374" s="14">
        <f>M373*'Assumptions'!$E$189</f>
        <v/>
      </c>
      <c r="N374" s="14">
        <f>N373*'Assumptions'!$E$189</f>
        <v/>
      </c>
      <c r="O374" s="14">
        <f>O373*'Assumptions'!$E$189</f>
        <v/>
      </c>
      <c r="P374" s="14">
        <f>P373*'Assumptions'!$E$189</f>
        <v/>
      </c>
      <c r="Q374" s="14">
        <f>Q373*'Assumptions'!$E$189</f>
        <v/>
      </c>
      <c r="R374" s="14">
        <f>R373*'Assumptions'!$E$189</f>
        <v/>
      </c>
      <c r="S374" s="14">
        <f>S373*'Assumptions'!$E$189</f>
        <v/>
      </c>
      <c r="T374" s="14">
        <f>T373*'Assumptions'!$E$189</f>
        <v/>
      </c>
      <c r="U374" s="14">
        <f>U373*'Assumptions'!$E$189</f>
        <v/>
      </c>
      <c r="V374" s="14">
        <f>V373*'Assumptions'!$E$189</f>
        <v/>
      </c>
      <c r="W374" s="14">
        <f>W373*'Assumptions'!$E$189</f>
        <v/>
      </c>
      <c r="X374" s="14">
        <f>X373*'Assumptions'!$E$189</f>
        <v/>
      </c>
      <c r="Y374" s="14">
        <f>Y373*'Assumptions'!$E$189</f>
        <v/>
      </c>
      <c r="Z374" s="14">
        <f>Z373*'Assumptions'!$E$189</f>
        <v/>
      </c>
      <c r="AA374" s="14">
        <f>AA373*'Assumptions'!$E$189</f>
        <v/>
      </c>
      <c r="AB374" s="14">
        <f>AB373*'Assumptions'!$E$189</f>
        <v/>
      </c>
      <c r="AC374" s="14">
        <f>AC373*'Assumptions'!$E$189</f>
        <v/>
      </c>
      <c r="AD374" s="14">
        <f>AD373*'Assumptions'!$E$189</f>
        <v/>
      </c>
      <c r="AE374" s="14">
        <f>AE373*'Assumptions'!$E$189</f>
        <v/>
      </c>
      <c r="AF374" s="14">
        <f>AF373*'Assumptions'!$E$189</f>
        <v/>
      </c>
      <c r="AG374" s="14">
        <f>AG373*'Assumptions'!$E$189</f>
        <v/>
      </c>
      <c r="AH374" s="14">
        <f>AH373*'Assumptions'!$E$189</f>
        <v/>
      </c>
      <c r="AI374" s="14">
        <f>AI373*'Assumptions'!$E$189</f>
        <v/>
      </c>
      <c r="AJ374" s="14">
        <f>AJ373*'Assumptions'!$E$189</f>
        <v/>
      </c>
      <c r="AK374" s="14">
        <f>AK373*'Assumptions'!$E$189</f>
        <v/>
      </c>
      <c r="AL374" s="14">
        <f>AL373*'Assumptions'!$E$189</f>
        <v/>
      </c>
      <c r="AM374" s="57">
        <f>SUMIF($C$6:$AL$6,1,C374:AL374)</f>
        <v/>
      </c>
      <c r="AN374" s="57">
        <f>SUMIF($C$6:$AL$6,2,C374:AL374)</f>
        <v/>
      </c>
      <c r="AO374" s="57">
        <f>SUMIF($C$6:$AL$6,3,C374:AL374)</f>
        <v/>
      </c>
      <c r="AP374" s="57">
        <f>SUM(C374:AL374)</f>
        <v/>
      </c>
    </row>
    <row r="375">
      <c r="A375" s="7" t="inlineStr">
        <is>
          <t xml:space="preserve">   Average order value</t>
        </is>
      </c>
      <c r="B375" s="9" t="inlineStr">
        <is>
          <t>$</t>
        </is>
      </c>
      <c r="C375" s="16">
        <f>'Unit Economics'!$E$57*'Assumptions'!$E$189*C369</f>
        <v/>
      </c>
      <c r="D375" s="16">
        <f>'Unit Economics'!$E$57*'Assumptions'!$E$189*D369</f>
        <v/>
      </c>
      <c r="E375" s="16">
        <f>'Unit Economics'!$E$57*'Assumptions'!$E$189*E369</f>
        <v/>
      </c>
      <c r="F375" s="16">
        <f>'Unit Economics'!$E$57*'Assumptions'!$E$189*F369</f>
        <v/>
      </c>
      <c r="G375" s="16">
        <f>'Unit Economics'!$E$57*'Assumptions'!$E$189*G369</f>
        <v/>
      </c>
      <c r="H375" s="16">
        <f>'Unit Economics'!$E$57*'Assumptions'!$E$189*H369</f>
        <v/>
      </c>
      <c r="I375" s="16">
        <f>'Unit Economics'!$E$57*'Assumptions'!$E$189*I369</f>
        <v/>
      </c>
      <c r="J375" s="16">
        <f>'Unit Economics'!$E$57*'Assumptions'!$E$189*J369</f>
        <v/>
      </c>
      <c r="K375" s="16">
        <f>'Unit Economics'!$E$57*'Assumptions'!$E$189*K369</f>
        <v/>
      </c>
      <c r="L375" s="16">
        <f>'Unit Economics'!$E$57*'Assumptions'!$E$189*L369</f>
        <v/>
      </c>
      <c r="M375" s="16">
        <f>'Unit Economics'!$E$57*'Assumptions'!$E$189*M369</f>
        <v/>
      </c>
      <c r="N375" s="16">
        <f>'Unit Economics'!$E$57*'Assumptions'!$E$189*N369</f>
        <v/>
      </c>
      <c r="O375" s="16">
        <f>'Unit Economics'!$E$57*'Assumptions'!$E$189*O369</f>
        <v/>
      </c>
      <c r="P375" s="16">
        <f>'Unit Economics'!$E$57*'Assumptions'!$E$189*P369</f>
        <v/>
      </c>
      <c r="Q375" s="16">
        <f>'Unit Economics'!$E$57*'Assumptions'!$E$189*Q369</f>
        <v/>
      </c>
      <c r="R375" s="16">
        <f>'Unit Economics'!$E$57*'Assumptions'!$E$189*R369</f>
        <v/>
      </c>
      <c r="S375" s="16">
        <f>'Unit Economics'!$E$57*'Assumptions'!$E$189*S369</f>
        <v/>
      </c>
      <c r="T375" s="16">
        <f>'Unit Economics'!$E$57*'Assumptions'!$E$189*T369</f>
        <v/>
      </c>
      <c r="U375" s="16">
        <f>'Unit Economics'!$E$57*'Assumptions'!$E$189*U369</f>
        <v/>
      </c>
      <c r="V375" s="16">
        <f>'Unit Economics'!$E$57*'Assumptions'!$E$189*V369</f>
        <v/>
      </c>
      <c r="W375" s="16">
        <f>'Unit Economics'!$E$57*'Assumptions'!$E$189*W369</f>
        <v/>
      </c>
      <c r="X375" s="16">
        <f>'Unit Economics'!$E$57*'Assumptions'!$E$189*X369</f>
        <v/>
      </c>
      <c r="Y375" s="16">
        <f>'Unit Economics'!$E$57*'Assumptions'!$E$189*Y369</f>
        <v/>
      </c>
      <c r="Z375" s="16">
        <f>'Unit Economics'!$E$57*'Assumptions'!$E$189*Z369</f>
        <v/>
      </c>
      <c r="AA375" s="16">
        <f>'Unit Economics'!$E$57*'Assumptions'!$E$189*AA369</f>
        <v/>
      </c>
      <c r="AB375" s="16">
        <f>'Unit Economics'!$E$57*'Assumptions'!$E$189*AB369</f>
        <v/>
      </c>
      <c r="AC375" s="16">
        <f>'Unit Economics'!$E$57*'Assumptions'!$E$189*AC369</f>
        <v/>
      </c>
      <c r="AD375" s="16">
        <f>'Unit Economics'!$E$57*'Assumptions'!$E$189*AD369</f>
        <v/>
      </c>
      <c r="AE375" s="16">
        <f>'Unit Economics'!$E$57*'Assumptions'!$E$189*AE369</f>
        <v/>
      </c>
      <c r="AF375" s="16">
        <f>'Unit Economics'!$E$57*'Assumptions'!$E$189*AF369</f>
        <v/>
      </c>
      <c r="AG375" s="16">
        <f>'Unit Economics'!$E$57*'Assumptions'!$E$189*AG369</f>
        <v/>
      </c>
      <c r="AH375" s="16">
        <f>'Unit Economics'!$E$57*'Assumptions'!$E$189*AH369</f>
        <v/>
      </c>
      <c r="AI375" s="16">
        <f>'Unit Economics'!$E$57*'Assumptions'!$E$189*AI369</f>
        <v/>
      </c>
      <c r="AJ375" s="16">
        <f>'Unit Economics'!$E$57*'Assumptions'!$E$189*AJ369</f>
        <v/>
      </c>
      <c r="AK375" s="16">
        <f>'Unit Economics'!$E$57*'Assumptions'!$E$189*AK369</f>
        <v/>
      </c>
      <c r="AL375" s="16">
        <f>'Unit Economics'!$E$57*'Assumptions'!$E$189*AL369</f>
        <v/>
      </c>
    </row>
    <row r="376">
      <c r="A376" s="7" t="inlineStr">
        <is>
          <t xml:space="preserve">   Gross sales (price paid by customers)</t>
        </is>
      </c>
      <c r="B376" s="9" t="inlineStr">
        <is>
          <t>$</t>
        </is>
      </c>
      <c r="C376" s="8">
        <f>C374*'Unit Economics'!$E$57</f>
        <v/>
      </c>
      <c r="D376" s="8">
        <f>D374*'Unit Economics'!$E$57</f>
        <v/>
      </c>
      <c r="E376" s="8">
        <f>E374*'Unit Economics'!$E$57</f>
        <v/>
      </c>
      <c r="F376" s="8">
        <f>F374*'Unit Economics'!$E$57</f>
        <v/>
      </c>
      <c r="G376" s="8">
        <f>G374*'Unit Economics'!$E$57</f>
        <v/>
      </c>
      <c r="H376" s="8">
        <f>H374*'Unit Economics'!$E$57</f>
        <v/>
      </c>
      <c r="I376" s="8">
        <f>I374*'Unit Economics'!$E$57</f>
        <v/>
      </c>
      <c r="J376" s="8">
        <f>J374*'Unit Economics'!$E$57</f>
        <v/>
      </c>
      <c r="K376" s="8">
        <f>K374*'Unit Economics'!$E$57</f>
        <v/>
      </c>
      <c r="L376" s="8">
        <f>L374*'Unit Economics'!$E$57</f>
        <v/>
      </c>
      <c r="M376" s="8">
        <f>M374*'Unit Economics'!$E$57</f>
        <v/>
      </c>
      <c r="N376" s="8">
        <f>N374*'Unit Economics'!$E$57</f>
        <v/>
      </c>
      <c r="O376" s="8">
        <f>O374*'Unit Economics'!$E$57</f>
        <v/>
      </c>
      <c r="P376" s="8">
        <f>P374*'Unit Economics'!$E$57</f>
        <v/>
      </c>
      <c r="Q376" s="8">
        <f>Q374*'Unit Economics'!$E$57</f>
        <v/>
      </c>
      <c r="R376" s="8">
        <f>R374*'Unit Economics'!$E$57</f>
        <v/>
      </c>
      <c r="S376" s="8">
        <f>S374*'Unit Economics'!$E$57</f>
        <v/>
      </c>
      <c r="T376" s="8">
        <f>T374*'Unit Economics'!$E$57</f>
        <v/>
      </c>
      <c r="U376" s="8">
        <f>U374*'Unit Economics'!$E$57</f>
        <v/>
      </c>
      <c r="V376" s="8">
        <f>V374*'Unit Economics'!$E$57</f>
        <v/>
      </c>
      <c r="W376" s="8">
        <f>W374*'Unit Economics'!$E$57</f>
        <v/>
      </c>
      <c r="X376" s="8">
        <f>X374*'Unit Economics'!$E$57</f>
        <v/>
      </c>
      <c r="Y376" s="8">
        <f>Y374*'Unit Economics'!$E$57</f>
        <v/>
      </c>
      <c r="Z376" s="8">
        <f>Z374*'Unit Economics'!$E$57</f>
        <v/>
      </c>
      <c r="AA376" s="8">
        <f>AA374*'Unit Economics'!$E$57</f>
        <v/>
      </c>
      <c r="AB376" s="8">
        <f>AB374*'Unit Economics'!$E$57</f>
        <v/>
      </c>
      <c r="AC376" s="8">
        <f>AC374*'Unit Economics'!$E$57</f>
        <v/>
      </c>
      <c r="AD376" s="8">
        <f>AD374*'Unit Economics'!$E$57</f>
        <v/>
      </c>
      <c r="AE376" s="8">
        <f>AE374*'Unit Economics'!$E$57</f>
        <v/>
      </c>
      <c r="AF376" s="8">
        <f>AF374*'Unit Economics'!$E$57</f>
        <v/>
      </c>
      <c r="AG376" s="8">
        <f>AG374*'Unit Economics'!$E$57</f>
        <v/>
      </c>
      <c r="AH376" s="8">
        <f>AH374*'Unit Economics'!$E$57</f>
        <v/>
      </c>
      <c r="AI376" s="8">
        <f>AI374*'Unit Economics'!$E$57</f>
        <v/>
      </c>
      <c r="AJ376" s="8">
        <f>AJ374*'Unit Economics'!$E$57</f>
        <v/>
      </c>
      <c r="AK376" s="8">
        <f>AK374*'Unit Economics'!$E$57</f>
        <v/>
      </c>
      <c r="AL376" s="8">
        <f>AL374*'Unit Economics'!$E$57</f>
        <v/>
      </c>
      <c r="AM376" s="47">
        <f>SUMIF($C$6:$AL$6,1,C376:AL376)</f>
        <v/>
      </c>
      <c r="AN376" s="47">
        <f>SUMIF($C$6:$AL$6,2,C376:AL376)</f>
        <v/>
      </c>
      <c r="AO376" s="47">
        <f>SUMIF($C$6:$AL$6,3,C376:AL376)</f>
        <v/>
      </c>
      <c r="AP376" s="47">
        <f>SUM(C376:AL376)</f>
        <v/>
      </c>
    </row>
    <row r="377">
      <c r="A377" s="7" t="inlineStr">
        <is>
          <t xml:space="preserve">   Net contribution to AlphaPlay</t>
        </is>
      </c>
      <c r="B377" s="9" t="inlineStr">
        <is>
          <t>$</t>
        </is>
      </c>
      <c r="C377" s="8">
        <f>C374*'Unit Economics'!$F$57</f>
        <v/>
      </c>
      <c r="D377" s="8">
        <f>D374*'Unit Economics'!$F$57</f>
        <v/>
      </c>
      <c r="E377" s="8">
        <f>E374*'Unit Economics'!$F$57</f>
        <v/>
      </c>
      <c r="F377" s="8">
        <f>F374*'Unit Economics'!$F$57</f>
        <v/>
      </c>
      <c r="G377" s="8">
        <f>G374*'Unit Economics'!$F$57</f>
        <v/>
      </c>
      <c r="H377" s="8">
        <f>H374*'Unit Economics'!$F$57</f>
        <v/>
      </c>
      <c r="I377" s="8">
        <f>I374*'Unit Economics'!$F$57</f>
        <v/>
      </c>
      <c r="J377" s="8">
        <f>J374*'Unit Economics'!$F$57</f>
        <v/>
      </c>
      <c r="K377" s="8">
        <f>K374*'Unit Economics'!$F$57</f>
        <v/>
      </c>
      <c r="L377" s="8">
        <f>L374*'Unit Economics'!$F$57</f>
        <v/>
      </c>
      <c r="M377" s="8">
        <f>M374*'Unit Economics'!$F$57</f>
        <v/>
      </c>
      <c r="N377" s="8">
        <f>N374*'Unit Economics'!$F$57</f>
        <v/>
      </c>
      <c r="O377" s="8">
        <f>O374*'Unit Economics'!$F$57</f>
        <v/>
      </c>
      <c r="P377" s="8">
        <f>P374*'Unit Economics'!$F$57</f>
        <v/>
      </c>
      <c r="Q377" s="8">
        <f>Q374*'Unit Economics'!$F$57</f>
        <v/>
      </c>
      <c r="R377" s="8">
        <f>R374*'Unit Economics'!$F$57</f>
        <v/>
      </c>
      <c r="S377" s="8">
        <f>S374*'Unit Economics'!$F$57</f>
        <v/>
      </c>
      <c r="T377" s="8">
        <f>T374*'Unit Economics'!$F$57</f>
        <v/>
      </c>
      <c r="U377" s="8">
        <f>U374*'Unit Economics'!$F$57</f>
        <v/>
      </c>
      <c r="V377" s="8">
        <f>V374*'Unit Economics'!$F$57</f>
        <v/>
      </c>
      <c r="W377" s="8">
        <f>W374*'Unit Economics'!$F$57</f>
        <v/>
      </c>
      <c r="X377" s="8">
        <f>X374*'Unit Economics'!$F$57</f>
        <v/>
      </c>
      <c r="Y377" s="8">
        <f>Y374*'Unit Economics'!$F$57</f>
        <v/>
      </c>
      <c r="Z377" s="8">
        <f>Z374*'Unit Economics'!$F$57</f>
        <v/>
      </c>
      <c r="AA377" s="8">
        <f>AA374*'Unit Economics'!$F$57</f>
        <v/>
      </c>
      <c r="AB377" s="8">
        <f>AB374*'Unit Economics'!$F$57</f>
        <v/>
      </c>
      <c r="AC377" s="8">
        <f>AC374*'Unit Economics'!$F$57</f>
        <v/>
      </c>
      <c r="AD377" s="8">
        <f>AD374*'Unit Economics'!$F$57</f>
        <v/>
      </c>
      <c r="AE377" s="8">
        <f>AE374*'Unit Economics'!$F$57</f>
        <v/>
      </c>
      <c r="AF377" s="8">
        <f>AF374*'Unit Economics'!$F$57</f>
        <v/>
      </c>
      <c r="AG377" s="8">
        <f>AG374*'Unit Economics'!$F$57</f>
        <v/>
      </c>
      <c r="AH377" s="8">
        <f>AH374*'Unit Economics'!$F$57</f>
        <v/>
      </c>
      <c r="AI377" s="8">
        <f>AI374*'Unit Economics'!$F$57</f>
        <v/>
      </c>
      <c r="AJ377" s="8">
        <f>AJ374*'Unit Economics'!$F$57</f>
        <v/>
      </c>
      <c r="AK377" s="8">
        <f>AK374*'Unit Economics'!$F$57</f>
        <v/>
      </c>
      <c r="AL377" s="8">
        <f>AL374*'Unit Economics'!$F$57</f>
        <v/>
      </c>
      <c r="AM377" s="47">
        <f>SUMIF($C$6:$AL$6,1,C377:AL377)</f>
        <v/>
      </c>
      <c r="AN377" s="47">
        <f>SUMIF($C$6:$AL$6,2,C377:AL377)</f>
        <v/>
      </c>
      <c r="AO377" s="47">
        <f>SUMIF($C$6:$AL$6,3,C377:AL377)</f>
        <v/>
      </c>
      <c r="AP377" s="47">
        <f>SUM(C377:AL377)</f>
        <v/>
      </c>
    </row>
    <row r="378">
      <c r="A378" s="5" t="inlineStr">
        <is>
          <t>Email list (owned audience)</t>
        </is>
      </c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  <c r="AC378" s="6" t="n"/>
      <c r="AD378" s="6" t="n"/>
      <c r="AE378" s="6" t="n"/>
      <c r="AF378" s="6" t="n"/>
      <c r="AG378" s="6" t="n"/>
      <c r="AH378" s="6" t="n"/>
      <c r="AI378" s="6" t="n"/>
      <c r="AJ378" s="6" t="n"/>
      <c r="AK378" s="6" t="n"/>
      <c r="AL378" s="6" t="n"/>
      <c r="AM378" s="6" t="n"/>
      <c r="AN378" s="6" t="n"/>
      <c r="AO378" s="6" t="n"/>
      <c r="AP378" s="6" t="n"/>
    </row>
    <row r="379">
      <c r="A379" s="7" t="inlineStr">
        <is>
          <t xml:space="preserve">   Implied own-site sessions (site product-months x orders per product / site conversion)</t>
        </is>
      </c>
      <c r="B379" s="9" t="inlineStr">
        <is>
          <t>visits</t>
        </is>
      </c>
      <c r="C379" s="15">
        <f>C290*'Assumptions'!$E$122/'Assumptions'!$E$124</f>
        <v/>
      </c>
      <c r="D379" s="15">
        <f>D290*'Assumptions'!$E$122/'Assumptions'!$E$124</f>
        <v/>
      </c>
      <c r="E379" s="15">
        <f>E290*'Assumptions'!$E$122/'Assumptions'!$E$124</f>
        <v/>
      </c>
      <c r="F379" s="15">
        <f>F290*'Assumptions'!$E$122/'Assumptions'!$E$124</f>
        <v/>
      </c>
      <c r="G379" s="15">
        <f>G290*'Assumptions'!$E$122/'Assumptions'!$E$124</f>
        <v/>
      </c>
      <c r="H379" s="15">
        <f>H290*'Assumptions'!$E$122/'Assumptions'!$E$124</f>
        <v/>
      </c>
      <c r="I379" s="15">
        <f>I290*'Assumptions'!$E$122/'Assumptions'!$E$124</f>
        <v/>
      </c>
      <c r="J379" s="15">
        <f>J290*'Assumptions'!$E$122/'Assumptions'!$E$124</f>
        <v/>
      </c>
      <c r="K379" s="15">
        <f>K290*'Assumptions'!$E$122/'Assumptions'!$E$124</f>
        <v/>
      </c>
      <c r="L379" s="15">
        <f>L290*'Assumptions'!$E$122/'Assumptions'!$E$124</f>
        <v/>
      </c>
      <c r="M379" s="15">
        <f>M290*'Assumptions'!$E$122/'Assumptions'!$E$124</f>
        <v/>
      </c>
      <c r="N379" s="15">
        <f>N290*'Assumptions'!$E$122/'Assumptions'!$E$124</f>
        <v/>
      </c>
      <c r="O379" s="15">
        <f>O290*'Assumptions'!$E$122/'Assumptions'!$E$124</f>
        <v/>
      </c>
      <c r="P379" s="15">
        <f>P290*'Assumptions'!$E$122/'Assumptions'!$E$124</f>
        <v/>
      </c>
      <c r="Q379" s="15">
        <f>Q290*'Assumptions'!$E$122/'Assumptions'!$E$124</f>
        <v/>
      </c>
      <c r="R379" s="15">
        <f>R290*'Assumptions'!$E$122/'Assumptions'!$E$124</f>
        <v/>
      </c>
      <c r="S379" s="15">
        <f>S290*'Assumptions'!$E$122/'Assumptions'!$E$124</f>
        <v/>
      </c>
      <c r="T379" s="15">
        <f>T290*'Assumptions'!$E$122/'Assumptions'!$E$124</f>
        <v/>
      </c>
      <c r="U379" s="15">
        <f>U290*'Assumptions'!$E$122/'Assumptions'!$E$124</f>
        <v/>
      </c>
      <c r="V379" s="15">
        <f>V290*'Assumptions'!$E$122/'Assumptions'!$E$124</f>
        <v/>
      </c>
      <c r="W379" s="15">
        <f>W290*'Assumptions'!$E$122/'Assumptions'!$E$124</f>
        <v/>
      </c>
      <c r="X379" s="15">
        <f>X290*'Assumptions'!$E$122/'Assumptions'!$E$124</f>
        <v/>
      </c>
      <c r="Y379" s="15">
        <f>Y290*'Assumptions'!$E$122/'Assumptions'!$E$124</f>
        <v/>
      </c>
      <c r="Z379" s="15">
        <f>Z290*'Assumptions'!$E$122/'Assumptions'!$E$124</f>
        <v/>
      </c>
      <c r="AA379" s="15">
        <f>AA290*'Assumptions'!$E$122/'Assumptions'!$E$124</f>
        <v/>
      </c>
      <c r="AB379" s="15">
        <f>AB290*'Assumptions'!$E$122/'Assumptions'!$E$124</f>
        <v/>
      </c>
      <c r="AC379" s="15">
        <f>AC290*'Assumptions'!$E$122/'Assumptions'!$E$124</f>
        <v/>
      </c>
      <c r="AD379" s="15">
        <f>AD290*'Assumptions'!$E$122/'Assumptions'!$E$124</f>
        <v/>
      </c>
      <c r="AE379" s="15">
        <f>AE290*'Assumptions'!$E$122/'Assumptions'!$E$124</f>
        <v/>
      </c>
      <c r="AF379" s="15">
        <f>AF290*'Assumptions'!$E$122/'Assumptions'!$E$124</f>
        <v/>
      </c>
      <c r="AG379" s="15">
        <f>AG290*'Assumptions'!$E$122/'Assumptions'!$E$124</f>
        <v/>
      </c>
      <c r="AH379" s="15">
        <f>AH290*'Assumptions'!$E$122/'Assumptions'!$E$124</f>
        <v/>
      </c>
      <c r="AI379" s="15">
        <f>AI290*'Assumptions'!$E$122/'Assumptions'!$E$124</f>
        <v/>
      </c>
      <c r="AJ379" s="15">
        <f>AJ290*'Assumptions'!$E$122/'Assumptions'!$E$124</f>
        <v/>
      </c>
      <c r="AK379" s="15">
        <f>AK290*'Assumptions'!$E$122/'Assumptions'!$E$124</f>
        <v/>
      </c>
      <c r="AL379" s="15">
        <f>AL290*'Assumptions'!$E$122/'Assumptions'!$E$124</f>
        <v/>
      </c>
      <c r="AM379" s="57">
        <f>SUMIF($C$6:$AL$6,1,C379:AL379)</f>
        <v/>
      </c>
      <c r="AN379" s="57">
        <f>SUMIF($C$6:$AL$6,2,C379:AL379)</f>
        <v/>
      </c>
      <c r="AO379" s="57">
        <f>SUMIF($C$6:$AL$6,3,C379:AL379)</f>
        <v/>
      </c>
      <c r="AP379" s="57">
        <f>SUM(C379:AL379)</f>
        <v/>
      </c>
    </row>
    <row r="380">
      <c r="A380" s="7" t="inlineStr">
        <is>
          <t xml:space="preserve">   New subscribers (own-site visitors + non-Etsy buyers via bonus QR)</t>
        </is>
      </c>
      <c r="B380" s="9" t="inlineStr">
        <is>
          <t>people</t>
        </is>
      </c>
      <c r="C380" s="15">
        <f>C379*'Assumptions'!$E$192+(C292+C312+C322+C332+C352)*'Assumptions'!$E$193</f>
        <v/>
      </c>
      <c r="D380" s="15">
        <f>D379*'Assumptions'!$E$192+(D292+D312+D322+D332+D352)*'Assumptions'!$E$193</f>
        <v/>
      </c>
      <c r="E380" s="15">
        <f>E379*'Assumptions'!$E$192+(E292+E312+E322+E332+E352)*'Assumptions'!$E$193</f>
        <v/>
      </c>
      <c r="F380" s="15">
        <f>F379*'Assumptions'!$E$192+(F292+F312+F322+F332+F352)*'Assumptions'!$E$193</f>
        <v/>
      </c>
      <c r="G380" s="15">
        <f>G379*'Assumptions'!$E$192+(G292+G312+G322+G332+G352)*'Assumptions'!$E$193</f>
        <v/>
      </c>
      <c r="H380" s="15">
        <f>H379*'Assumptions'!$E$192+(H292+H312+H322+H332+H352)*'Assumptions'!$E$193</f>
        <v/>
      </c>
      <c r="I380" s="15">
        <f>I379*'Assumptions'!$E$192+(I292+I312+I322+I332+I352)*'Assumptions'!$E$193</f>
        <v/>
      </c>
      <c r="J380" s="15">
        <f>J379*'Assumptions'!$E$192+(J292+J312+J322+J332+J352)*'Assumptions'!$E$193</f>
        <v/>
      </c>
      <c r="K380" s="15">
        <f>K379*'Assumptions'!$E$192+(K292+K312+K322+K332+K352)*'Assumptions'!$E$193</f>
        <v/>
      </c>
      <c r="L380" s="15">
        <f>L379*'Assumptions'!$E$192+(L292+L312+L322+L332+L352)*'Assumptions'!$E$193</f>
        <v/>
      </c>
      <c r="M380" s="15">
        <f>M379*'Assumptions'!$E$192+(M292+M312+M322+M332+M352)*'Assumptions'!$E$193</f>
        <v/>
      </c>
      <c r="N380" s="15">
        <f>N379*'Assumptions'!$E$192+(N292+N312+N322+N332+N352)*'Assumptions'!$E$193</f>
        <v/>
      </c>
      <c r="O380" s="15">
        <f>O379*'Assumptions'!$E$192+(O292+O312+O322+O332+O352)*'Assumptions'!$E$193</f>
        <v/>
      </c>
      <c r="P380" s="15">
        <f>P379*'Assumptions'!$E$192+(P292+P312+P322+P332+P352)*'Assumptions'!$E$193</f>
        <v/>
      </c>
      <c r="Q380" s="15">
        <f>Q379*'Assumptions'!$E$192+(Q292+Q312+Q322+Q332+Q352)*'Assumptions'!$E$193</f>
        <v/>
      </c>
      <c r="R380" s="15">
        <f>R379*'Assumptions'!$E$192+(R292+R312+R322+R332+R352)*'Assumptions'!$E$193</f>
        <v/>
      </c>
      <c r="S380" s="15">
        <f>S379*'Assumptions'!$E$192+(S292+S312+S322+S332+S352)*'Assumptions'!$E$193</f>
        <v/>
      </c>
      <c r="T380" s="15">
        <f>T379*'Assumptions'!$E$192+(T292+T312+T322+T332+T352)*'Assumptions'!$E$193</f>
        <v/>
      </c>
      <c r="U380" s="15">
        <f>U379*'Assumptions'!$E$192+(U292+U312+U322+U332+U352)*'Assumptions'!$E$193</f>
        <v/>
      </c>
      <c r="V380" s="15">
        <f>V379*'Assumptions'!$E$192+(V292+V312+V322+V332+V352)*'Assumptions'!$E$193</f>
        <v/>
      </c>
      <c r="W380" s="15">
        <f>W379*'Assumptions'!$E$192+(W292+W312+W322+W332+W352)*'Assumptions'!$E$193</f>
        <v/>
      </c>
      <c r="X380" s="15">
        <f>X379*'Assumptions'!$E$192+(X292+X312+X322+X332+X352)*'Assumptions'!$E$193</f>
        <v/>
      </c>
      <c r="Y380" s="15">
        <f>Y379*'Assumptions'!$E$192+(Y292+Y312+Y322+Y332+Y352)*'Assumptions'!$E$193</f>
        <v/>
      </c>
      <c r="Z380" s="15">
        <f>Z379*'Assumptions'!$E$192+(Z292+Z312+Z322+Z332+Z352)*'Assumptions'!$E$193</f>
        <v/>
      </c>
      <c r="AA380" s="15">
        <f>AA379*'Assumptions'!$E$192+(AA292+AA312+AA322+AA332+AA352)*'Assumptions'!$E$193</f>
        <v/>
      </c>
      <c r="AB380" s="15">
        <f>AB379*'Assumptions'!$E$192+(AB292+AB312+AB322+AB332+AB352)*'Assumptions'!$E$193</f>
        <v/>
      </c>
      <c r="AC380" s="15">
        <f>AC379*'Assumptions'!$E$192+(AC292+AC312+AC322+AC332+AC352)*'Assumptions'!$E$193</f>
        <v/>
      </c>
      <c r="AD380" s="15">
        <f>AD379*'Assumptions'!$E$192+(AD292+AD312+AD322+AD332+AD352)*'Assumptions'!$E$193</f>
        <v/>
      </c>
      <c r="AE380" s="15">
        <f>AE379*'Assumptions'!$E$192+(AE292+AE312+AE322+AE332+AE352)*'Assumptions'!$E$193</f>
        <v/>
      </c>
      <c r="AF380" s="15">
        <f>AF379*'Assumptions'!$E$192+(AF292+AF312+AF322+AF332+AF352)*'Assumptions'!$E$193</f>
        <v/>
      </c>
      <c r="AG380" s="15">
        <f>AG379*'Assumptions'!$E$192+(AG292+AG312+AG322+AG332+AG352)*'Assumptions'!$E$193</f>
        <v/>
      </c>
      <c r="AH380" s="15">
        <f>AH379*'Assumptions'!$E$192+(AH292+AH312+AH322+AH332+AH352)*'Assumptions'!$E$193</f>
        <v/>
      </c>
      <c r="AI380" s="15">
        <f>AI379*'Assumptions'!$E$192+(AI292+AI312+AI322+AI332+AI352)*'Assumptions'!$E$193</f>
        <v/>
      </c>
      <c r="AJ380" s="15">
        <f>AJ379*'Assumptions'!$E$192+(AJ292+AJ312+AJ322+AJ332+AJ352)*'Assumptions'!$E$193</f>
        <v/>
      </c>
      <c r="AK380" s="15">
        <f>AK379*'Assumptions'!$E$192+(AK292+AK312+AK322+AK332+AK352)*'Assumptions'!$E$193</f>
        <v/>
      </c>
      <c r="AL380" s="15">
        <f>AL379*'Assumptions'!$E$192+(AL292+AL312+AL322+AL332+AL352)*'Assumptions'!$E$193</f>
        <v/>
      </c>
      <c r="AM380" s="57">
        <f>SUMIF($C$6:$AL$6,1,C380:AL380)</f>
        <v/>
      </c>
      <c r="AN380" s="57">
        <f>SUMIF($C$6:$AL$6,2,C380:AL380)</f>
        <v/>
      </c>
      <c r="AO380" s="57">
        <f>SUMIF($C$6:$AL$6,3,C380:AL380)</f>
        <v/>
      </c>
      <c r="AP380" s="57">
        <f>SUM(C380:AL380)</f>
        <v/>
      </c>
    </row>
    <row r="381">
      <c r="A381" s="7" t="inlineStr">
        <is>
          <t xml:space="preserve">   Unsubscribes</t>
        </is>
      </c>
      <c r="B381" s="9" t="inlineStr">
        <is>
          <t>people</t>
        </is>
      </c>
      <c r="C381" s="58">
        <f>0</f>
        <v/>
      </c>
      <c r="D381" s="15">
        <f>C382*'Assumptions'!$E$194</f>
        <v/>
      </c>
      <c r="E381" s="15">
        <f>D382*'Assumptions'!$E$194</f>
        <v/>
      </c>
      <c r="F381" s="15">
        <f>E382*'Assumptions'!$E$194</f>
        <v/>
      </c>
      <c r="G381" s="15">
        <f>F382*'Assumptions'!$E$194</f>
        <v/>
      </c>
      <c r="H381" s="15">
        <f>G382*'Assumptions'!$E$194</f>
        <v/>
      </c>
      <c r="I381" s="15">
        <f>H382*'Assumptions'!$E$194</f>
        <v/>
      </c>
      <c r="J381" s="15">
        <f>I382*'Assumptions'!$E$194</f>
        <v/>
      </c>
      <c r="K381" s="15">
        <f>J382*'Assumptions'!$E$194</f>
        <v/>
      </c>
      <c r="L381" s="15">
        <f>K382*'Assumptions'!$E$194</f>
        <v/>
      </c>
      <c r="M381" s="15">
        <f>L382*'Assumptions'!$E$194</f>
        <v/>
      </c>
      <c r="N381" s="15">
        <f>M382*'Assumptions'!$E$194</f>
        <v/>
      </c>
      <c r="O381" s="15">
        <f>N382*'Assumptions'!$E$194</f>
        <v/>
      </c>
      <c r="P381" s="15">
        <f>O382*'Assumptions'!$E$194</f>
        <v/>
      </c>
      <c r="Q381" s="15">
        <f>P382*'Assumptions'!$E$194</f>
        <v/>
      </c>
      <c r="R381" s="15">
        <f>Q382*'Assumptions'!$E$194</f>
        <v/>
      </c>
      <c r="S381" s="15">
        <f>R382*'Assumptions'!$E$194</f>
        <v/>
      </c>
      <c r="T381" s="15">
        <f>S382*'Assumptions'!$E$194</f>
        <v/>
      </c>
      <c r="U381" s="15">
        <f>T382*'Assumptions'!$E$194</f>
        <v/>
      </c>
      <c r="V381" s="15">
        <f>U382*'Assumptions'!$E$194</f>
        <v/>
      </c>
      <c r="W381" s="15">
        <f>V382*'Assumptions'!$E$194</f>
        <v/>
      </c>
      <c r="X381" s="15">
        <f>W382*'Assumptions'!$E$194</f>
        <v/>
      </c>
      <c r="Y381" s="15">
        <f>X382*'Assumptions'!$E$194</f>
        <v/>
      </c>
      <c r="Z381" s="15">
        <f>Y382*'Assumptions'!$E$194</f>
        <v/>
      </c>
      <c r="AA381" s="15">
        <f>Z382*'Assumptions'!$E$194</f>
        <v/>
      </c>
      <c r="AB381" s="15">
        <f>AA382*'Assumptions'!$E$194</f>
        <v/>
      </c>
      <c r="AC381" s="15">
        <f>AB382*'Assumptions'!$E$194</f>
        <v/>
      </c>
      <c r="AD381" s="15">
        <f>AC382*'Assumptions'!$E$194</f>
        <v/>
      </c>
      <c r="AE381" s="15">
        <f>AD382*'Assumptions'!$E$194</f>
        <v/>
      </c>
      <c r="AF381" s="15">
        <f>AE382*'Assumptions'!$E$194</f>
        <v/>
      </c>
      <c r="AG381" s="15">
        <f>AF382*'Assumptions'!$E$194</f>
        <v/>
      </c>
      <c r="AH381" s="15">
        <f>AG382*'Assumptions'!$E$194</f>
        <v/>
      </c>
      <c r="AI381" s="15">
        <f>AH382*'Assumptions'!$E$194</f>
        <v/>
      </c>
      <c r="AJ381" s="15">
        <f>AI382*'Assumptions'!$E$194</f>
        <v/>
      </c>
      <c r="AK381" s="15">
        <f>AJ382*'Assumptions'!$E$194</f>
        <v/>
      </c>
      <c r="AL381" s="15">
        <f>AK382*'Assumptions'!$E$194</f>
        <v/>
      </c>
      <c r="AM381" s="57">
        <f>SUMIF($C$6:$AL$6,1,C381:AL381)</f>
        <v/>
      </c>
      <c r="AN381" s="57">
        <f>SUMIF($C$6:$AL$6,2,C381:AL381)</f>
        <v/>
      </c>
      <c r="AO381" s="57">
        <f>SUMIF($C$6:$AL$6,3,C381:AL381)</f>
        <v/>
      </c>
      <c r="AP381" s="57">
        <f>SUM(C381:AL381)</f>
        <v/>
      </c>
    </row>
    <row r="382">
      <c r="A382" s="7" t="inlineStr">
        <is>
          <t xml:space="preserve">   Subscribers at month end</t>
        </is>
      </c>
      <c r="B382" s="9" t="inlineStr">
        <is>
          <t>people</t>
        </is>
      </c>
      <c r="C382" s="58">
        <f>C380-C381</f>
        <v/>
      </c>
      <c r="D382" s="58">
        <f>D380-D381+C382</f>
        <v/>
      </c>
      <c r="E382" s="58">
        <f>E380-E381+D382</f>
        <v/>
      </c>
      <c r="F382" s="58">
        <f>F380-F381+E382</f>
        <v/>
      </c>
      <c r="G382" s="58">
        <f>G380-G381+F382</f>
        <v/>
      </c>
      <c r="H382" s="58">
        <f>H380-H381+G382</f>
        <v/>
      </c>
      <c r="I382" s="58">
        <f>I380-I381+H382</f>
        <v/>
      </c>
      <c r="J382" s="58">
        <f>J380-J381+I382</f>
        <v/>
      </c>
      <c r="K382" s="58">
        <f>K380-K381+J382</f>
        <v/>
      </c>
      <c r="L382" s="58">
        <f>L380-L381+K382</f>
        <v/>
      </c>
      <c r="M382" s="58">
        <f>M380-M381+L382</f>
        <v/>
      </c>
      <c r="N382" s="58">
        <f>N380-N381+M382</f>
        <v/>
      </c>
      <c r="O382" s="58">
        <f>O380-O381+N382</f>
        <v/>
      </c>
      <c r="P382" s="58">
        <f>P380-P381+O382</f>
        <v/>
      </c>
      <c r="Q382" s="58">
        <f>Q380-Q381+P382</f>
        <v/>
      </c>
      <c r="R382" s="58">
        <f>R380-R381+Q382</f>
        <v/>
      </c>
      <c r="S382" s="58">
        <f>S380-S381+R382</f>
        <v/>
      </c>
      <c r="T382" s="58">
        <f>T380-T381+S382</f>
        <v/>
      </c>
      <c r="U382" s="58">
        <f>U380-U381+T382</f>
        <v/>
      </c>
      <c r="V382" s="58">
        <f>V380-V381+U382</f>
        <v/>
      </c>
      <c r="W382" s="58">
        <f>W380-W381+V382</f>
        <v/>
      </c>
      <c r="X382" s="58">
        <f>X380-X381+W382</f>
        <v/>
      </c>
      <c r="Y382" s="58">
        <f>Y380-Y381+X382</f>
        <v/>
      </c>
      <c r="Z382" s="58">
        <f>Z380-Z381+Y382</f>
        <v/>
      </c>
      <c r="AA382" s="58">
        <f>AA380-AA381+Z382</f>
        <v/>
      </c>
      <c r="AB382" s="58">
        <f>AB380-AB381+AA382</f>
        <v/>
      </c>
      <c r="AC382" s="58">
        <f>AC380-AC381+AB382</f>
        <v/>
      </c>
      <c r="AD382" s="58">
        <f>AD380-AD381+AC382</f>
        <v/>
      </c>
      <c r="AE382" s="58">
        <f>AE380-AE381+AD382</f>
        <v/>
      </c>
      <c r="AF382" s="58">
        <f>AF380-AF381+AE382</f>
        <v/>
      </c>
      <c r="AG382" s="58">
        <f>AG380-AG381+AF382</f>
        <v/>
      </c>
      <c r="AH382" s="58">
        <f>AH380-AH381+AG382</f>
        <v/>
      </c>
      <c r="AI382" s="58">
        <f>AI380-AI381+AH382</f>
        <v/>
      </c>
      <c r="AJ382" s="58">
        <f>AJ380-AJ381+AI382</f>
        <v/>
      </c>
      <c r="AK382" s="58">
        <f>AK380-AK381+AJ382</f>
        <v/>
      </c>
      <c r="AL382" s="58">
        <f>AL380-AL381+AK382</f>
        <v/>
      </c>
      <c r="AM382" s="57">
        <f>N382</f>
        <v/>
      </c>
      <c r="AN382" s="57">
        <f>Z382</f>
        <v/>
      </c>
      <c r="AO382" s="57">
        <f>AL382</f>
        <v/>
      </c>
      <c r="AP382" s="57">
        <f>AL382</f>
        <v/>
      </c>
    </row>
    <row r="383">
      <c r="A383" s="5" t="inlineStr">
        <is>
          <t>Totals and operating result</t>
        </is>
      </c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  <c r="AC383" s="6" t="n"/>
      <c r="AD383" s="6" t="n"/>
      <c r="AE383" s="6" t="n"/>
      <c r="AF383" s="6" t="n"/>
      <c r="AG383" s="6" t="n"/>
      <c r="AH383" s="6" t="n"/>
      <c r="AI383" s="6" t="n"/>
      <c r="AJ383" s="6" t="n"/>
      <c r="AK383" s="6" t="n"/>
      <c r="AL383" s="6" t="n"/>
      <c r="AM383" s="6" t="n"/>
      <c r="AN383" s="6" t="n"/>
      <c r="AO383" s="6" t="n"/>
      <c r="AP383" s="6" t="n"/>
    </row>
    <row r="384">
      <c r="A384" s="7" t="inlineStr">
        <is>
          <t>Total orders</t>
        </is>
      </c>
      <c r="B384" s="9" t="inlineStr">
        <is>
          <t>orders</t>
        </is>
      </c>
      <c r="C384" s="58">
        <f>C292+C302+C312+C322+C332+C342+C352+C363+C373</f>
        <v/>
      </c>
      <c r="D384" s="58">
        <f>D292+D302+D312+D322+D332+D342+D352+D363+D373</f>
        <v/>
      </c>
      <c r="E384" s="58">
        <f>E292+E302+E312+E322+E332+E342+E352+E363+E373</f>
        <v/>
      </c>
      <c r="F384" s="58">
        <f>F292+F302+F312+F322+F332+F342+F352+F363+F373</f>
        <v/>
      </c>
      <c r="G384" s="58">
        <f>G292+G302+G312+G322+G332+G342+G352+G363+G373</f>
        <v/>
      </c>
      <c r="H384" s="58">
        <f>H292+H302+H312+H322+H332+H342+H352+H363+H373</f>
        <v/>
      </c>
      <c r="I384" s="58">
        <f>I292+I302+I312+I322+I332+I342+I352+I363+I373</f>
        <v/>
      </c>
      <c r="J384" s="58">
        <f>J292+J302+J312+J322+J332+J342+J352+J363+J373</f>
        <v/>
      </c>
      <c r="K384" s="58">
        <f>K292+K302+K312+K322+K332+K342+K352+K363+K373</f>
        <v/>
      </c>
      <c r="L384" s="58">
        <f>L292+L302+L312+L322+L332+L342+L352+L363+L373</f>
        <v/>
      </c>
      <c r="M384" s="58">
        <f>M292+M302+M312+M322+M332+M342+M352+M363+M373</f>
        <v/>
      </c>
      <c r="N384" s="58">
        <f>N292+N302+N312+N322+N332+N342+N352+N363+N373</f>
        <v/>
      </c>
      <c r="O384" s="58">
        <f>O292+O302+O312+O322+O332+O342+O352+O363+O373</f>
        <v/>
      </c>
      <c r="P384" s="58">
        <f>P292+P302+P312+P322+P332+P342+P352+P363+P373</f>
        <v/>
      </c>
      <c r="Q384" s="58">
        <f>Q292+Q302+Q312+Q322+Q332+Q342+Q352+Q363+Q373</f>
        <v/>
      </c>
      <c r="R384" s="58">
        <f>R292+R302+R312+R322+R332+R342+R352+R363+R373</f>
        <v/>
      </c>
      <c r="S384" s="58">
        <f>S292+S302+S312+S322+S332+S342+S352+S363+S373</f>
        <v/>
      </c>
      <c r="T384" s="58">
        <f>T292+T302+T312+T322+T332+T342+T352+T363+T373</f>
        <v/>
      </c>
      <c r="U384" s="58">
        <f>U292+U302+U312+U322+U332+U342+U352+U363+U373</f>
        <v/>
      </c>
      <c r="V384" s="58">
        <f>V292+V302+V312+V322+V332+V342+V352+V363+V373</f>
        <v/>
      </c>
      <c r="W384" s="58">
        <f>W292+W302+W312+W322+W332+W342+W352+W363+W373</f>
        <v/>
      </c>
      <c r="X384" s="58">
        <f>X292+X302+X312+X322+X332+X342+X352+X363+X373</f>
        <v/>
      </c>
      <c r="Y384" s="58">
        <f>Y292+Y302+Y312+Y322+Y332+Y342+Y352+Y363+Y373</f>
        <v/>
      </c>
      <c r="Z384" s="58">
        <f>Z292+Z302+Z312+Z322+Z332+Z342+Z352+Z363+Z373</f>
        <v/>
      </c>
      <c r="AA384" s="58">
        <f>AA292+AA302+AA312+AA322+AA332+AA342+AA352+AA363+AA373</f>
        <v/>
      </c>
      <c r="AB384" s="58">
        <f>AB292+AB302+AB312+AB322+AB332+AB342+AB352+AB363+AB373</f>
        <v/>
      </c>
      <c r="AC384" s="58">
        <f>AC292+AC302+AC312+AC322+AC332+AC342+AC352+AC363+AC373</f>
        <v/>
      </c>
      <c r="AD384" s="58">
        <f>AD292+AD302+AD312+AD322+AD332+AD342+AD352+AD363+AD373</f>
        <v/>
      </c>
      <c r="AE384" s="58">
        <f>AE292+AE302+AE312+AE322+AE332+AE342+AE352+AE363+AE373</f>
        <v/>
      </c>
      <c r="AF384" s="58">
        <f>AF292+AF302+AF312+AF322+AF332+AF342+AF352+AF363+AF373</f>
        <v/>
      </c>
      <c r="AG384" s="58">
        <f>AG292+AG302+AG312+AG322+AG332+AG342+AG352+AG363+AG373</f>
        <v/>
      </c>
      <c r="AH384" s="58">
        <f>AH292+AH302+AH312+AH322+AH332+AH342+AH352+AH363+AH373</f>
        <v/>
      </c>
      <c r="AI384" s="58">
        <f>AI292+AI302+AI312+AI322+AI332+AI342+AI352+AI363+AI373</f>
        <v/>
      </c>
      <c r="AJ384" s="58">
        <f>AJ292+AJ302+AJ312+AJ322+AJ332+AJ342+AJ352+AJ363+AJ373</f>
        <v/>
      </c>
      <c r="AK384" s="58">
        <f>AK292+AK302+AK312+AK322+AK332+AK342+AK352+AK363+AK373</f>
        <v/>
      </c>
      <c r="AL384" s="58">
        <f>AL292+AL302+AL312+AL322+AL332+AL342+AL352+AL363+AL373</f>
        <v/>
      </c>
      <c r="AM384" s="57">
        <f>SUMIF($C$6:$AL$6,1,C384:AL384)</f>
        <v/>
      </c>
      <c r="AN384" s="57">
        <f>SUMIF($C$6:$AL$6,2,C384:AL384)</f>
        <v/>
      </c>
      <c r="AO384" s="57">
        <f>SUMIF($C$6:$AL$6,3,C384:AL384)</f>
        <v/>
      </c>
      <c r="AP384" s="57">
        <f>SUM(C384:AL384)</f>
        <v/>
      </c>
    </row>
    <row r="385">
      <c r="A385" s="7" t="inlineStr">
        <is>
          <t>Total items sold</t>
        </is>
      </c>
      <c r="B385" s="9" t="inlineStr">
        <is>
          <t>items</t>
        </is>
      </c>
      <c r="C385" s="58">
        <f>C293+C303+C313+C323+C333+C343+C353+C364+C374</f>
        <v/>
      </c>
      <c r="D385" s="58">
        <f>D293+D303+D313+D323+D333+D343+D353+D364+D374</f>
        <v/>
      </c>
      <c r="E385" s="58">
        <f>E293+E303+E313+E323+E333+E343+E353+E364+E374</f>
        <v/>
      </c>
      <c r="F385" s="58">
        <f>F293+F303+F313+F323+F333+F343+F353+F364+F374</f>
        <v/>
      </c>
      <c r="G385" s="58">
        <f>G293+G303+G313+G323+G333+G343+G353+G364+G374</f>
        <v/>
      </c>
      <c r="H385" s="58">
        <f>H293+H303+H313+H323+H333+H343+H353+H364+H374</f>
        <v/>
      </c>
      <c r="I385" s="58">
        <f>I293+I303+I313+I323+I333+I343+I353+I364+I374</f>
        <v/>
      </c>
      <c r="J385" s="58">
        <f>J293+J303+J313+J323+J333+J343+J353+J364+J374</f>
        <v/>
      </c>
      <c r="K385" s="58">
        <f>K293+K303+K313+K323+K333+K343+K353+K364+K374</f>
        <v/>
      </c>
      <c r="L385" s="58">
        <f>L293+L303+L313+L323+L333+L343+L353+L364+L374</f>
        <v/>
      </c>
      <c r="M385" s="58">
        <f>M293+M303+M313+M323+M333+M343+M353+M364+M374</f>
        <v/>
      </c>
      <c r="N385" s="58">
        <f>N293+N303+N313+N323+N333+N343+N353+N364+N374</f>
        <v/>
      </c>
      <c r="O385" s="58">
        <f>O293+O303+O313+O323+O333+O343+O353+O364+O374</f>
        <v/>
      </c>
      <c r="P385" s="58">
        <f>P293+P303+P313+P323+P333+P343+P353+P364+P374</f>
        <v/>
      </c>
      <c r="Q385" s="58">
        <f>Q293+Q303+Q313+Q323+Q333+Q343+Q353+Q364+Q374</f>
        <v/>
      </c>
      <c r="R385" s="58">
        <f>R293+R303+R313+R323+R333+R343+R353+R364+R374</f>
        <v/>
      </c>
      <c r="S385" s="58">
        <f>S293+S303+S313+S323+S333+S343+S353+S364+S374</f>
        <v/>
      </c>
      <c r="T385" s="58">
        <f>T293+T303+T313+T323+T333+T343+T353+T364+T374</f>
        <v/>
      </c>
      <c r="U385" s="58">
        <f>U293+U303+U313+U323+U333+U343+U353+U364+U374</f>
        <v/>
      </c>
      <c r="V385" s="58">
        <f>V293+V303+V313+V323+V333+V343+V353+V364+V374</f>
        <v/>
      </c>
      <c r="W385" s="58">
        <f>W293+W303+W313+W323+W333+W343+W353+W364+W374</f>
        <v/>
      </c>
      <c r="X385" s="58">
        <f>X293+X303+X313+X323+X333+X343+X353+X364+X374</f>
        <v/>
      </c>
      <c r="Y385" s="58">
        <f>Y293+Y303+Y313+Y323+Y333+Y343+Y353+Y364+Y374</f>
        <v/>
      </c>
      <c r="Z385" s="58">
        <f>Z293+Z303+Z313+Z323+Z333+Z343+Z353+Z364+Z374</f>
        <v/>
      </c>
      <c r="AA385" s="58">
        <f>AA293+AA303+AA313+AA323+AA333+AA343+AA353+AA364+AA374</f>
        <v/>
      </c>
      <c r="AB385" s="58">
        <f>AB293+AB303+AB313+AB323+AB333+AB343+AB353+AB364+AB374</f>
        <v/>
      </c>
      <c r="AC385" s="58">
        <f>AC293+AC303+AC313+AC323+AC333+AC343+AC353+AC364+AC374</f>
        <v/>
      </c>
      <c r="AD385" s="58">
        <f>AD293+AD303+AD313+AD323+AD333+AD343+AD353+AD364+AD374</f>
        <v/>
      </c>
      <c r="AE385" s="58">
        <f>AE293+AE303+AE313+AE323+AE333+AE343+AE353+AE364+AE374</f>
        <v/>
      </c>
      <c r="AF385" s="58">
        <f>AF293+AF303+AF313+AF323+AF333+AF343+AF353+AF364+AF374</f>
        <v/>
      </c>
      <c r="AG385" s="58">
        <f>AG293+AG303+AG313+AG323+AG333+AG343+AG353+AG364+AG374</f>
        <v/>
      </c>
      <c r="AH385" s="58">
        <f>AH293+AH303+AH313+AH323+AH333+AH343+AH353+AH364+AH374</f>
        <v/>
      </c>
      <c r="AI385" s="58">
        <f>AI293+AI303+AI313+AI323+AI333+AI343+AI353+AI364+AI374</f>
        <v/>
      </c>
      <c r="AJ385" s="58">
        <f>AJ293+AJ303+AJ313+AJ323+AJ333+AJ343+AJ353+AJ364+AJ374</f>
        <v/>
      </c>
      <c r="AK385" s="58">
        <f>AK293+AK303+AK313+AK323+AK333+AK343+AK353+AK364+AK374</f>
        <v/>
      </c>
      <c r="AL385" s="58">
        <f>AL293+AL303+AL313+AL323+AL333+AL343+AL353+AL364+AL374</f>
        <v/>
      </c>
      <c r="AM385" s="57">
        <f>SUMIF($C$6:$AL$6,1,C385:AL385)</f>
        <v/>
      </c>
      <c r="AN385" s="57">
        <f>SUMIF($C$6:$AL$6,2,C385:AL385)</f>
        <v/>
      </c>
      <c r="AO385" s="57">
        <f>SUMIF($C$6:$AL$6,3,C385:AL385)</f>
        <v/>
      </c>
      <c r="AP385" s="57">
        <f>SUM(C385:AL385)</f>
        <v/>
      </c>
    </row>
    <row r="386">
      <c r="A386" s="7" t="inlineStr">
        <is>
          <t>Cumulative orders</t>
        </is>
      </c>
      <c r="B386" s="9" t="inlineStr">
        <is>
          <t>orders</t>
        </is>
      </c>
      <c r="C386" s="58">
        <f>C384</f>
        <v/>
      </c>
      <c r="D386" s="58">
        <f>D384+C386</f>
        <v/>
      </c>
      <c r="E386" s="58">
        <f>E384+D386</f>
        <v/>
      </c>
      <c r="F386" s="58">
        <f>F384+E386</f>
        <v/>
      </c>
      <c r="G386" s="58">
        <f>G384+F386</f>
        <v/>
      </c>
      <c r="H386" s="58">
        <f>H384+G386</f>
        <v/>
      </c>
      <c r="I386" s="58">
        <f>I384+H386</f>
        <v/>
      </c>
      <c r="J386" s="58">
        <f>J384+I386</f>
        <v/>
      </c>
      <c r="K386" s="58">
        <f>K384+J386</f>
        <v/>
      </c>
      <c r="L386" s="58">
        <f>L384+K386</f>
        <v/>
      </c>
      <c r="M386" s="58">
        <f>M384+L386</f>
        <v/>
      </c>
      <c r="N386" s="58">
        <f>N384+M386</f>
        <v/>
      </c>
      <c r="O386" s="58">
        <f>O384+N386</f>
        <v/>
      </c>
      <c r="P386" s="58">
        <f>P384+O386</f>
        <v/>
      </c>
      <c r="Q386" s="58">
        <f>Q384+P386</f>
        <v/>
      </c>
      <c r="R386" s="58">
        <f>R384+Q386</f>
        <v/>
      </c>
      <c r="S386" s="58">
        <f>S384+R386</f>
        <v/>
      </c>
      <c r="T386" s="58">
        <f>T384+S386</f>
        <v/>
      </c>
      <c r="U386" s="58">
        <f>U384+T386</f>
        <v/>
      </c>
      <c r="V386" s="58">
        <f>V384+U386</f>
        <v/>
      </c>
      <c r="W386" s="58">
        <f>W384+V386</f>
        <v/>
      </c>
      <c r="X386" s="58">
        <f>X384+W386</f>
        <v/>
      </c>
      <c r="Y386" s="58">
        <f>Y384+X386</f>
        <v/>
      </c>
      <c r="Z386" s="58">
        <f>Z384+Y386</f>
        <v/>
      </c>
      <c r="AA386" s="58">
        <f>AA384+Z386</f>
        <v/>
      </c>
      <c r="AB386" s="58">
        <f>AB384+AA386</f>
        <v/>
      </c>
      <c r="AC386" s="58">
        <f>AC384+AB386</f>
        <v/>
      </c>
      <c r="AD386" s="58">
        <f>AD384+AC386</f>
        <v/>
      </c>
      <c r="AE386" s="58">
        <f>AE384+AD386</f>
        <v/>
      </c>
      <c r="AF386" s="58">
        <f>AF384+AE386</f>
        <v/>
      </c>
      <c r="AG386" s="58">
        <f>AG384+AF386</f>
        <v/>
      </c>
      <c r="AH386" s="58">
        <f>AH384+AG386</f>
        <v/>
      </c>
      <c r="AI386" s="58">
        <f>AI384+AH386</f>
        <v/>
      </c>
      <c r="AJ386" s="58">
        <f>AJ384+AI386</f>
        <v/>
      </c>
      <c r="AK386" s="58">
        <f>AK384+AJ386</f>
        <v/>
      </c>
      <c r="AL386" s="58">
        <f>AL384+AK386</f>
        <v/>
      </c>
      <c r="AM386" s="57">
        <f>N386</f>
        <v/>
      </c>
      <c r="AN386" s="57">
        <f>Z386</f>
        <v/>
      </c>
      <c r="AO386" s="57">
        <f>AL386</f>
        <v/>
      </c>
      <c r="AP386" s="57">
        <f>AL386</f>
        <v/>
      </c>
    </row>
    <row r="387">
      <c r="A387" s="7" t="inlineStr">
        <is>
          <t>Cumulative items sold</t>
        </is>
      </c>
      <c r="B387" s="9" t="inlineStr">
        <is>
          <t>items</t>
        </is>
      </c>
      <c r="C387" s="58">
        <f>C385</f>
        <v/>
      </c>
      <c r="D387" s="58">
        <f>D385+C387</f>
        <v/>
      </c>
      <c r="E387" s="58">
        <f>E385+D387</f>
        <v/>
      </c>
      <c r="F387" s="58">
        <f>F385+E387</f>
        <v/>
      </c>
      <c r="G387" s="58">
        <f>G385+F387</f>
        <v/>
      </c>
      <c r="H387" s="58">
        <f>H385+G387</f>
        <v/>
      </c>
      <c r="I387" s="58">
        <f>I385+H387</f>
        <v/>
      </c>
      <c r="J387" s="58">
        <f>J385+I387</f>
        <v/>
      </c>
      <c r="K387" s="58">
        <f>K385+J387</f>
        <v/>
      </c>
      <c r="L387" s="58">
        <f>L385+K387</f>
        <v/>
      </c>
      <c r="M387" s="58">
        <f>M385+L387</f>
        <v/>
      </c>
      <c r="N387" s="58">
        <f>N385+M387</f>
        <v/>
      </c>
      <c r="O387" s="58">
        <f>O385+N387</f>
        <v/>
      </c>
      <c r="P387" s="58">
        <f>P385+O387</f>
        <v/>
      </c>
      <c r="Q387" s="58">
        <f>Q385+P387</f>
        <v/>
      </c>
      <c r="R387" s="58">
        <f>R385+Q387</f>
        <v/>
      </c>
      <c r="S387" s="58">
        <f>S385+R387</f>
        <v/>
      </c>
      <c r="T387" s="58">
        <f>T385+S387</f>
        <v/>
      </c>
      <c r="U387" s="58">
        <f>U385+T387</f>
        <v/>
      </c>
      <c r="V387" s="58">
        <f>V385+U387</f>
        <v/>
      </c>
      <c r="W387" s="58">
        <f>W385+V387</f>
        <v/>
      </c>
      <c r="X387" s="58">
        <f>X385+W387</f>
        <v/>
      </c>
      <c r="Y387" s="58">
        <f>Y385+X387</f>
        <v/>
      </c>
      <c r="Z387" s="58">
        <f>Z385+Y387</f>
        <v/>
      </c>
      <c r="AA387" s="58">
        <f>AA385+Z387</f>
        <v/>
      </c>
      <c r="AB387" s="58">
        <f>AB385+AA387</f>
        <v/>
      </c>
      <c r="AC387" s="58">
        <f>AC385+AB387</f>
        <v/>
      </c>
      <c r="AD387" s="58">
        <f>AD385+AC387</f>
        <v/>
      </c>
      <c r="AE387" s="58">
        <f>AE385+AD387</f>
        <v/>
      </c>
      <c r="AF387" s="58">
        <f>AF385+AE387</f>
        <v/>
      </c>
      <c r="AG387" s="58">
        <f>AG385+AF387</f>
        <v/>
      </c>
      <c r="AH387" s="58">
        <f>AH385+AG387</f>
        <v/>
      </c>
      <c r="AI387" s="58">
        <f>AI385+AH387</f>
        <v/>
      </c>
      <c r="AJ387" s="58">
        <f>AJ385+AI387</f>
        <v/>
      </c>
      <c r="AK387" s="58">
        <f>AK385+AJ387</f>
        <v/>
      </c>
      <c r="AL387" s="58">
        <f>AL385+AK387</f>
        <v/>
      </c>
      <c r="AM387" s="57">
        <f>N387</f>
        <v/>
      </c>
      <c r="AN387" s="57">
        <f>Z387</f>
        <v/>
      </c>
      <c r="AO387" s="57">
        <f>AL387</f>
        <v/>
      </c>
      <c r="AP387" s="57">
        <f>AL387</f>
        <v/>
      </c>
    </row>
    <row r="388">
      <c r="A388" s="60" t="inlineStr">
        <is>
          <t>Total gross sales (customer prices, excl. sales tax/VAT)</t>
        </is>
      </c>
      <c r="B388" s="61" t="inlineStr">
        <is>
          <t>$</t>
        </is>
      </c>
      <c r="C388" s="62">
        <f>C295+C305+C315+C325+C335+C345+C355+C366+C376</f>
        <v/>
      </c>
      <c r="D388" s="62">
        <f>D295+D305+D315+D325+D335+D345+D355+D366+D376</f>
        <v/>
      </c>
      <c r="E388" s="62">
        <f>E295+E305+E315+E325+E335+E345+E355+E366+E376</f>
        <v/>
      </c>
      <c r="F388" s="62">
        <f>F295+F305+F315+F325+F335+F345+F355+F366+F376</f>
        <v/>
      </c>
      <c r="G388" s="62">
        <f>G295+G305+G315+G325+G335+G345+G355+G366+G376</f>
        <v/>
      </c>
      <c r="H388" s="62">
        <f>H295+H305+H315+H325+H335+H345+H355+H366+H376</f>
        <v/>
      </c>
      <c r="I388" s="62">
        <f>I295+I305+I315+I325+I335+I345+I355+I366+I376</f>
        <v/>
      </c>
      <c r="J388" s="62">
        <f>J295+J305+J315+J325+J335+J345+J355+J366+J376</f>
        <v/>
      </c>
      <c r="K388" s="62">
        <f>K295+K305+K315+K325+K335+K345+K355+K366+K376</f>
        <v/>
      </c>
      <c r="L388" s="62">
        <f>L295+L305+L315+L325+L335+L345+L355+L366+L376</f>
        <v/>
      </c>
      <c r="M388" s="62">
        <f>M295+M305+M315+M325+M335+M345+M355+M366+M376</f>
        <v/>
      </c>
      <c r="N388" s="62">
        <f>N295+N305+N315+N325+N335+N345+N355+N366+N376</f>
        <v/>
      </c>
      <c r="O388" s="62">
        <f>O295+O305+O315+O325+O335+O345+O355+O366+O376</f>
        <v/>
      </c>
      <c r="P388" s="62">
        <f>P295+P305+P315+P325+P335+P345+P355+P366+P376</f>
        <v/>
      </c>
      <c r="Q388" s="62">
        <f>Q295+Q305+Q315+Q325+Q335+Q345+Q355+Q366+Q376</f>
        <v/>
      </c>
      <c r="R388" s="62">
        <f>R295+R305+R315+R325+R335+R345+R355+R366+R376</f>
        <v/>
      </c>
      <c r="S388" s="62">
        <f>S295+S305+S315+S325+S335+S345+S355+S366+S376</f>
        <v/>
      </c>
      <c r="T388" s="62">
        <f>T295+T305+T315+T325+T335+T345+T355+T366+T376</f>
        <v/>
      </c>
      <c r="U388" s="62">
        <f>U295+U305+U315+U325+U335+U345+U355+U366+U376</f>
        <v/>
      </c>
      <c r="V388" s="62">
        <f>V295+V305+V315+V325+V335+V345+V355+V366+V376</f>
        <v/>
      </c>
      <c r="W388" s="62">
        <f>W295+W305+W315+W325+W335+W345+W355+W366+W376</f>
        <v/>
      </c>
      <c r="X388" s="62">
        <f>X295+X305+X315+X325+X335+X345+X355+X366+X376</f>
        <v/>
      </c>
      <c r="Y388" s="62">
        <f>Y295+Y305+Y315+Y325+Y335+Y345+Y355+Y366+Y376</f>
        <v/>
      </c>
      <c r="Z388" s="62">
        <f>Z295+Z305+Z315+Z325+Z335+Z345+Z355+Z366+Z376</f>
        <v/>
      </c>
      <c r="AA388" s="62">
        <f>AA295+AA305+AA315+AA325+AA335+AA345+AA355+AA366+AA376</f>
        <v/>
      </c>
      <c r="AB388" s="62">
        <f>AB295+AB305+AB315+AB325+AB335+AB345+AB355+AB366+AB376</f>
        <v/>
      </c>
      <c r="AC388" s="62">
        <f>AC295+AC305+AC315+AC325+AC335+AC345+AC355+AC366+AC376</f>
        <v/>
      </c>
      <c r="AD388" s="62">
        <f>AD295+AD305+AD315+AD325+AD335+AD345+AD355+AD366+AD376</f>
        <v/>
      </c>
      <c r="AE388" s="62">
        <f>AE295+AE305+AE315+AE325+AE335+AE345+AE355+AE366+AE376</f>
        <v/>
      </c>
      <c r="AF388" s="62">
        <f>AF295+AF305+AF315+AF325+AF335+AF345+AF355+AF366+AF376</f>
        <v/>
      </c>
      <c r="AG388" s="62">
        <f>AG295+AG305+AG315+AG325+AG335+AG345+AG355+AG366+AG376</f>
        <v/>
      </c>
      <c r="AH388" s="62">
        <f>AH295+AH305+AH315+AH325+AH335+AH345+AH355+AH366+AH376</f>
        <v/>
      </c>
      <c r="AI388" s="62">
        <f>AI295+AI305+AI315+AI325+AI335+AI345+AI355+AI366+AI376</f>
        <v/>
      </c>
      <c r="AJ388" s="62">
        <f>AJ295+AJ305+AJ315+AJ325+AJ335+AJ345+AJ355+AJ366+AJ376</f>
        <v/>
      </c>
      <c r="AK388" s="62">
        <f>AK295+AK305+AK315+AK325+AK335+AK345+AK355+AK366+AK376</f>
        <v/>
      </c>
      <c r="AL388" s="62">
        <f>AL295+AL305+AL315+AL325+AL335+AL345+AL355+AL366+AL376</f>
        <v/>
      </c>
      <c r="AM388" s="63">
        <f>SUMIF($C$6:$AL$6,1,C388:AL388)</f>
        <v/>
      </c>
      <c r="AN388" s="63">
        <f>SUMIF($C$6:$AL$6,2,C388:AL388)</f>
        <v/>
      </c>
      <c r="AO388" s="63">
        <f>SUMIF($C$6:$AL$6,3,C388:AL388)</f>
        <v/>
      </c>
      <c r="AP388" s="63">
        <f>SUM(C388:AL388)</f>
        <v/>
      </c>
    </row>
    <row r="389">
      <c r="A389" s="60" t="inlineStr">
        <is>
          <t>Total net contribution (after platform, payment, print/POD and fulfilment costs)</t>
        </is>
      </c>
      <c r="B389" s="61" t="inlineStr">
        <is>
          <t>$</t>
        </is>
      </c>
      <c r="C389" s="62">
        <f>C296+C306+C316+C326+C336+C346+C356+C367+C377</f>
        <v/>
      </c>
      <c r="D389" s="62">
        <f>D296+D306+D316+D326+D336+D346+D356+D367+D377</f>
        <v/>
      </c>
      <c r="E389" s="62">
        <f>E296+E306+E316+E326+E336+E346+E356+E367+E377</f>
        <v/>
      </c>
      <c r="F389" s="62">
        <f>F296+F306+F316+F326+F336+F346+F356+F367+F377</f>
        <v/>
      </c>
      <c r="G389" s="62">
        <f>G296+G306+G316+G326+G336+G346+G356+G367+G377</f>
        <v/>
      </c>
      <c r="H389" s="62">
        <f>H296+H306+H316+H326+H336+H346+H356+H367+H377</f>
        <v/>
      </c>
      <c r="I389" s="62">
        <f>I296+I306+I316+I326+I336+I346+I356+I367+I377</f>
        <v/>
      </c>
      <c r="J389" s="62">
        <f>J296+J306+J316+J326+J336+J346+J356+J367+J377</f>
        <v/>
      </c>
      <c r="K389" s="62">
        <f>K296+K306+K316+K326+K336+K346+K356+K367+K377</f>
        <v/>
      </c>
      <c r="L389" s="62">
        <f>L296+L306+L316+L326+L336+L346+L356+L367+L377</f>
        <v/>
      </c>
      <c r="M389" s="62">
        <f>M296+M306+M316+M326+M336+M346+M356+M367+M377</f>
        <v/>
      </c>
      <c r="N389" s="62">
        <f>N296+N306+N316+N326+N336+N346+N356+N367+N377</f>
        <v/>
      </c>
      <c r="O389" s="62">
        <f>O296+O306+O316+O326+O336+O346+O356+O367+O377</f>
        <v/>
      </c>
      <c r="P389" s="62">
        <f>P296+P306+P316+P326+P336+P346+P356+P367+P377</f>
        <v/>
      </c>
      <c r="Q389" s="62">
        <f>Q296+Q306+Q316+Q326+Q336+Q346+Q356+Q367+Q377</f>
        <v/>
      </c>
      <c r="R389" s="62">
        <f>R296+R306+R316+R326+R336+R346+R356+R367+R377</f>
        <v/>
      </c>
      <c r="S389" s="62">
        <f>S296+S306+S316+S326+S336+S346+S356+S367+S377</f>
        <v/>
      </c>
      <c r="T389" s="62">
        <f>T296+T306+T316+T326+T336+T346+T356+T367+T377</f>
        <v/>
      </c>
      <c r="U389" s="62">
        <f>U296+U306+U316+U326+U336+U346+U356+U367+U377</f>
        <v/>
      </c>
      <c r="V389" s="62">
        <f>V296+V306+V316+V326+V336+V346+V356+V367+V377</f>
        <v/>
      </c>
      <c r="W389" s="62">
        <f>W296+W306+W316+W326+W336+W346+W356+W367+W377</f>
        <v/>
      </c>
      <c r="X389" s="62">
        <f>X296+X306+X316+X326+X336+X346+X356+X367+X377</f>
        <v/>
      </c>
      <c r="Y389" s="62">
        <f>Y296+Y306+Y316+Y326+Y336+Y346+Y356+Y367+Y377</f>
        <v/>
      </c>
      <c r="Z389" s="62">
        <f>Z296+Z306+Z316+Z326+Z336+Z346+Z356+Z367+Z377</f>
        <v/>
      </c>
      <c r="AA389" s="62">
        <f>AA296+AA306+AA316+AA326+AA336+AA346+AA356+AA367+AA377</f>
        <v/>
      </c>
      <c r="AB389" s="62">
        <f>AB296+AB306+AB316+AB326+AB336+AB346+AB356+AB367+AB377</f>
        <v/>
      </c>
      <c r="AC389" s="62">
        <f>AC296+AC306+AC316+AC326+AC336+AC346+AC356+AC367+AC377</f>
        <v/>
      </c>
      <c r="AD389" s="62">
        <f>AD296+AD306+AD316+AD326+AD336+AD346+AD356+AD367+AD377</f>
        <v/>
      </c>
      <c r="AE389" s="62">
        <f>AE296+AE306+AE316+AE326+AE336+AE346+AE356+AE367+AE377</f>
        <v/>
      </c>
      <c r="AF389" s="62">
        <f>AF296+AF306+AF316+AF326+AF336+AF346+AF356+AF367+AF377</f>
        <v/>
      </c>
      <c r="AG389" s="62">
        <f>AG296+AG306+AG316+AG326+AG336+AG346+AG356+AG367+AG377</f>
        <v/>
      </c>
      <c r="AH389" s="62">
        <f>AH296+AH306+AH316+AH326+AH336+AH346+AH356+AH367+AH377</f>
        <v/>
      </c>
      <c r="AI389" s="62">
        <f>AI296+AI306+AI316+AI326+AI336+AI346+AI356+AI367+AI377</f>
        <v/>
      </c>
      <c r="AJ389" s="62">
        <f>AJ296+AJ306+AJ316+AJ326+AJ336+AJ346+AJ356+AJ367+AJ377</f>
        <v/>
      </c>
      <c r="AK389" s="62">
        <f>AK296+AK306+AK316+AK326+AK336+AK346+AK356+AK367+AK377</f>
        <v/>
      </c>
      <c r="AL389" s="62">
        <f>AL296+AL306+AL316+AL326+AL336+AL346+AL356+AL367+AL377</f>
        <v/>
      </c>
      <c r="AM389" s="63">
        <f>SUMIF($C$6:$AL$6,1,C389:AL389)</f>
        <v/>
      </c>
      <c r="AN389" s="63">
        <f>SUMIF($C$6:$AL$6,2,C389:AL389)</f>
        <v/>
      </c>
      <c r="AO389" s="63">
        <f>SUMIF($C$6:$AL$6,3,C389:AL389)</f>
        <v/>
      </c>
      <c r="AP389" s="63">
        <f>SUM(C389:AL389)</f>
        <v/>
      </c>
    </row>
    <row r="390">
      <c r="A390" s="7" t="inlineStr">
        <is>
          <t>Net contribution as % of gross sales</t>
        </is>
      </c>
      <c r="B390" s="9" t="inlineStr">
        <is>
          <t>%</t>
        </is>
      </c>
      <c r="C390" s="39">
        <f>IF(C388=0,0,C389/C388)</f>
        <v/>
      </c>
      <c r="D390" s="39">
        <f>IF(D388=0,0,D389/D388)</f>
        <v/>
      </c>
      <c r="E390" s="39">
        <f>IF(E388=0,0,E389/E388)</f>
        <v/>
      </c>
      <c r="F390" s="39">
        <f>IF(F388=0,0,F389/F388)</f>
        <v/>
      </c>
      <c r="G390" s="39">
        <f>IF(G388=0,0,G389/G388)</f>
        <v/>
      </c>
      <c r="H390" s="39">
        <f>IF(H388=0,0,H389/H388)</f>
        <v/>
      </c>
      <c r="I390" s="39">
        <f>IF(I388=0,0,I389/I388)</f>
        <v/>
      </c>
      <c r="J390" s="39">
        <f>IF(J388=0,0,J389/J388)</f>
        <v/>
      </c>
      <c r="K390" s="39">
        <f>IF(K388=0,0,K389/K388)</f>
        <v/>
      </c>
      <c r="L390" s="39">
        <f>IF(L388=0,0,L389/L388)</f>
        <v/>
      </c>
      <c r="M390" s="39">
        <f>IF(M388=0,0,M389/M388)</f>
        <v/>
      </c>
      <c r="N390" s="39">
        <f>IF(N388=0,0,N389/N388)</f>
        <v/>
      </c>
      <c r="O390" s="39">
        <f>IF(O388=0,0,O389/O388)</f>
        <v/>
      </c>
      <c r="P390" s="39">
        <f>IF(P388=0,0,P389/P388)</f>
        <v/>
      </c>
      <c r="Q390" s="39">
        <f>IF(Q388=0,0,Q389/Q388)</f>
        <v/>
      </c>
      <c r="R390" s="39">
        <f>IF(R388=0,0,R389/R388)</f>
        <v/>
      </c>
      <c r="S390" s="39">
        <f>IF(S388=0,0,S389/S388)</f>
        <v/>
      </c>
      <c r="T390" s="39">
        <f>IF(T388=0,0,T389/T388)</f>
        <v/>
      </c>
      <c r="U390" s="39">
        <f>IF(U388=0,0,U389/U388)</f>
        <v/>
      </c>
      <c r="V390" s="39">
        <f>IF(V388=0,0,V389/V388)</f>
        <v/>
      </c>
      <c r="W390" s="39">
        <f>IF(W388=0,0,W389/W388)</f>
        <v/>
      </c>
      <c r="X390" s="39">
        <f>IF(X388=0,0,X389/X388)</f>
        <v/>
      </c>
      <c r="Y390" s="39">
        <f>IF(Y388=0,0,Y389/Y388)</f>
        <v/>
      </c>
      <c r="Z390" s="39">
        <f>IF(Z388=0,0,Z389/Z388)</f>
        <v/>
      </c>
      <c r="AA390" s="39">
        <f>IF(AA388=0,0,AA389/AA388)</f>
        <v/>
      </c>
      <c r="AB390" s="39">
        <f>IF(AB388=0,0,AB389/AB388)</f>
        <v/>
      </c>
      <c r="AC390" s="39">
        <f>IF(AC388=0,0,AC389/AC388)</f>
        <v/>
      </c>
      <c r="AD390" s="39">
        <f>IF(AD388=0,0,AD389/AD388)</f>
        <v/>
      </c>
      <c r="AE390" s="39">
        <f>IF(AE388=0,0,AE389/AE388)</f>
        <v/>
      </c>
      <c r="AF390" s="39">
        <f>IF(AF388=0,0,AF389/AF388)</f>
        <v/>
      </c>
      <c r="AG390" s="39">
        <f>IF(AG388=0,0,AG389/AG388)</f>
        <v/>
      </c>
      <c r="AH390" s="39">
        <f>IF(AH388=0,0,AH389/AH388)</f>
        <v/>
      </c>
      <c r="AI390" s="39">
        <f>IF(AI388=0,0,AI389/AI388)</f>
        <v/>
      </c>
      <c r="AJ390" s="39">
        <f>IF(AJ388=0,0,AJ389/AJ388)</f>
        <v/>
      </c>
      <c r="AK390" s="39">
        <f>IF(AK388=0,0,AK389/AK388)</f>
        <v/>
      </c>
      <c r="AL390" s="39">
        <f>IF(AL388=0,0,AL389/AL388)</f>
        <v/>
      </c>
    </row>
    <row r="391">
      <c r="A391" s="7" t="inlineStr">
        <is>
          <t>Paid advertising (optional tests; no revenue credit)</t>
        </is>
      </c>
      <c r="B391" s="9" t="inlineStr">
        <is>
          <t>$</t>
        </is>
      </c>
      <c r="C391" s="8">
        <f>IF(C$4&gt;='Assumptions'!$E$197,CHOOSE(C$6,'Assumptions'!$E$198,'Assumptions'!$E$199,'Assumptions'!$E$200),0)</f>
        <v/>
      </c>
      <c r="D391" s="8">
        <f>IF(D$4&gt;='Assumptions'!$E$197,CHOOSE(D$6,'Assumptions'!$E$198,'Assumptions'!$E$199,'Assumptions'!$E$200),0)</f>
        <v/>
      </c>
      <c r="E391" s="8">
        <f>IF(E$4&gt;='Assumptions'!$E$197,CHOOSE(E$6,'Assumptions'!$E$198,'Assumptions'!$E$199,'Assumptions'!$E$200),0)</f>
        <v/>
      </c>
      <c r="F391" s="8">
        <f>IF(F$4&gt;='Assumptions'!$E$197,CHOOSE(F$6,'Assumptions'!$E$198,'Assumptions'!$E$199,'Assumptions'!$E$200),0)</f>
        <v/>
      </c>
      <c r="G391" s="8">
        <f>IF(G$4&gt;='Assumptions'!$E$197,CHOOSE(G$6,'Assumptions'!$E$198,'Assumptions'!$E$199,'Assumptions'!$E$200),0)</f>
        <v/>
      </c>
      <c r="H391" s="8">
        <f>IF(H$4&gt;='Assumptions'!$E$197,CHOOSE(H$6,'Assumptions'!$E$198,'Assumptions'!$E$199,'Assumptions'!$E$200),0)</f>
        <v/>
      </c>
      <c r="I391" s="8">
        <f>IF(I$4&gt;='Assumptions'!$E$197,CHOOSE(I$6,'Assumptions'!$E$198,'Assumptions'!$E$199,'Assumptions'!$E$200),0)</f>
        <v/>
      </c>
      <c r="J391" s="8">
        <f>IF(J$4&gt;='Assumptions'!$E$197,CHOOSE(J$6,'Assumptions'!$E$198,'Assumptions'!$E$199,'Assumptions'!$E$200),0)</f>
        <v/>
      </c>
      <c r="K391" s="8">
        <f>IF(K$4&gt;='Assumptions'!$E$197,CHOOSE(K$6,'Assumptions'!$E$198,'Assumptions'!$E$199,'Assumptions'!$E$200),0)</f>
        <v/>
      </c>
      <c r="L391" s="8">
        <f>IF(L$4&gt;='Assumptions'!$E$197,CHOOSE(L$6,'Assumptions'!$E$198,'Assumptions'!$E$199,'Assumptions'!$E$200),0)</f>
        <v/>
      </c>
      <c r="M391" s="8">
        <f>IF(M$4&gt;='Assumptions'!$E$197,CHOOSE(M$6,'Assumptions'!$E$198,'Assumptions'!$E$199,'Assumptions'!$E$200),0)</f>
        <v/>
      </c>
      <c r="N391" s="8">
        <f>IF(N$4&gt;='Assumptions'!$E$197,CHOOSE(N$6,'Assumptions'!$E$198,'Assumptions'!$E$199,'Assumptions'!$E$200),0)</f>
        <v/>
      </c>
      <c r="O391" s="8">
        <f>IF(O$4&gt;='Assumptions'!$E$197,CHOOSE(O$6,'Assumptions'!$E$198,'Assumptions'!$E$199,'Assumptions'!$E$200),0)</f>
        <v/>
      </c>
      <c r="P391" s="8">
        <f>IF(P$4&gt;='Assumptions'!$E$197,CHOOSE(P$6,'Assumptions'!$E$198,'Assumptions'!$E$199,'Assumptions'!$E$200),0)</f>
        <v/>
      </c>
      <c r="Q391" s="8">
        <f>IF(Q$4&gt;='Assumptions'!$E$197,CHOOSE(Q$6,'Assumptions'!$E$198,'Assumptions'!$E$199,'Assumptions'!$E$200),0)</f>
        <v/>
      </c>
      <c r="R391" s="8">
        <f>IF(R$4&gt;='Assumptions'!$E$197,CHOOSE(R$6,'Assumptions'!$E$198,'Assumptions'!$E$199,'Assumptions'!$E$200),0)</f>
        <v/>
      </c>
      <c r="S391" s="8">
        <f>IF(S$4&gt;='Assumptions'!$E$197,CHOOSE(S$6,'Assumptions'!$E$198,'Assumptions'!$E$199,'Assumptions'!$E$200),0)</f>
        <v/>
      </c>
      <c r="T391" s="8">
        <f>IF(T$4&gt;='Assumptions'!$E$197,CHOOSE(T$6,'Assumptions'!$E$198,'Assumptions'!$E$199,'Assumptions'!$E$200),0)</f>
        <v/>
      </c>
      <c r="U391" s="8">
        <f>IF(U$4&gt;='Assumptions'!$E$197,CHOOSE(U$6,'Assumptions'!$E$198,'Assumptions'!$E$199,'Assumptions'!$E$200),0)</f>
        <v/>
      </c>
      <c r="V391" s="8">
        <f>IF(V$4&gt;='Assumptions'!$E$197,CHOOSE(V$6,'Assumptions'!$E$198,'Assumptions'!$E$199,'Assumptions'!$E$200),0)</f>
        <v/>
      </c>
      <c r="W391" s="8">
        <f>IF(W$4&gt;='Assumptions'!$E$197,CHOOSE(W$6,'Assumptions'!$E$198,'Assumptions'!$E$199,'Assumptions'!$E$200),0)</f>
        <v/>
      </c>
      <c r="X391" s="8">
        <f>IF(X$4&gt;='Assumptions'!$E$197,CHOOSE(X$6,'Assumptions'!$E$198,'Assumptions'!$E$199,'Assumptions'!$E$200),0)</f>
        <v/>
      </c>
      <c r="Y391" s="8">
        <f>IF(Y$4&gt;='Assumptions'!$E$197,CHOOSE(Y$6,'Assumptions'!$E$198,'Assumptions'!$E$199,'Assumptions'!$E$200),0)</f>
        <v/>
      </c>
      <c r="Z391" s="8">
        <f>IF(Z$4&gt;='Assumptions'!$E$197,CHOOSE(Z$6,'Assumptions'!$E$198,'Assumptions'!$E$199,'Assumptions'!$E$200),0)</f>
        <v/>
      </c>
      <c r="AA391" s="8">
        <f>IF(AA$4&gt;='Assumptions'!$E$197,CHOOSE(AA$6,'Assumptions'!$E$198,'Assumptions'!$E$199,'Assumptions'!$E$200),0)</f>
        <v/>
      </c>
      <c r="AB391" s="8">
        <f>IF(AB$4&gt;='Assumptions'!$E$197,CHOOSE(AB$6,'Assumptions'!$E$198,'Assumptions'!$E$199,'Assumptions'!$E$200),0)</f>
        <v/>
      </c>
      <c r="AC391" s="8">
        <f>IF(AC$4&gt;='Assumptions'!$E$197,CHOOSE(AC$6,'Assumptions'!$E$198,'Assumptions'!$E$199,'Assumptions'!$E$200),0)</f>
        <v/>
      </c>
      <c r="AD391" s="8">
        <f>IF(AD$4&gt;='Assumptions'!$E$197,CHOOSE(AD$6,'Assumptions'!$E$198,'Assumptions'!$E$199,'Assumptions'!$E$200),0)</f>
        <v/>
      </c>
      <c r="AE391" s="8">
        <f>IF(AE$4&gt;='Assumptions'!$E$197,CHOOSE(AE$6,'Assumptions'!$E$198,'Assumptions'!$E$199,'Assumptions'!$E$200),0)</f>
        <v/>
      </c>
      <c r="AF391" s="8">
        <f>IF(AF$4&gt;='Assumptions'!$E$197,CHOOSE(AF$6,'Assumptions'!$E$198,'Assumptions'!$E$199,'Assumptions'!$E$200),0)</f>
        <v/>
      </c>
      <c r="AG391" s="8">
        <f>IF(AG$4&gt;='Assumptions'!$E$197,CHOOSE(AG$6,'Assumptions'!$E$198,'Assumptions'!$E$199,'Assumptions'!$E$200),0)</f>
        <v/>
      </c>
      <c r="AH391" s="8">
        <f>IF(AH$4&gt;='Assumptions'!$E$197,CHOOSE(AH$6,'Assumptions'!$E$198,'Assumptions'!$E$199,'Assumptions'!$E$200),0)</f>
        <v/>
      </c>
      <c r="AI391" s="8">
        <f>IF(AI$4&gt;='Assumptions'!$E$197,CHOOSE(AI$6,'Assumptions'!$E$198,'Assumptions'!$E$199,'Assumptions'!$E$200),0)</f>
        <v/>
      </c>
      <c r="AJ391" s="8">
        <f>IF(AJ$4&gt;='Assumptions'!$E$197,CHOOSE(AJ$6,'Assumptions'!$E$198,'Assumptions'!$E$199,'Assumptions'!$E$200),0)</f>
        <v/>
      </c>
      <c r="AK391" s="8">
        <f>IF(AK$4&gt;='Assumptions'!$E$197,CHOOSE(AK$6,'Assumptions'!$E$198,'Assumptions'!$E$199,'Assumptions'!$E$200),0)</f>
        <v/>
      </c>
      <c r="AL391" s="8">
        <f>IF(AL$4&gt;='Assumptions'!$E$197,CHOOSE(AL$6,'Assumptions'!$E$198,'Assumptions'!$E$199,'Assumptions'!$E$200),0)</f>
        <v/>
      </c>
      <c r="AM391" s="47">
        <f>SUMIF($C$6:$AL$6,1,C391:AL391)</f>
        <v/>
      </c>
      <c r="AN391" s="47">
        <f>SUMIF($C$6:$AL$6,2,C391:AL391)</f>
        <v/>
      </c>
      <c r="AO391" s="47">
        <f>SUMIF($C$6:$AL$6,3,C391:AL391)</f>
        <v/>
      </c>
      <c r="AP391" s="47">
        <f>SUM(C391:AL391)</f>
        <v/>
      </c>
    </row>
    <row r="392">
      <c r="A392" s="7" t="inlineStr">
        <is>
          <t>Operating costs (Monthly Operating Costs tab)</t>
        </is>
      </c>
      <c r="B392" s="9" t="inlineStr">
        <is>
          <t>$</t>
        </is>
      </c>
      <c r="C392" s="8">
        <f>'Monthly Operating Costs'!O$37</f>
        <v/>
      </c>
      <c r="D392" s="8">
        <f>'Monthly Operating Costs'!P$37</f>
        <v/>
      </c>
      <c r="E392" s="8">
        <f>'Monthly Operating Costs'!Q$37</f>
        <v/>
      </c>
      <c r="F392" s="8">
        <f>'Monthly Operating Costs'!R$37</f>
        <v/>
      </c>
      <c r="G392" s="8">
        <f>'Monthly Operating Costs'!S$37</f>
        <v/>
      </c>
      <c r="H392" s="8">
        <f>'Monthly Operating Costs'!T$37</f>
        <v/>
      </c>
      <c r="I392" s="8">
        <f>'Monthly Operating Costs'!U$37</f>
        <v/>
      </c>
      <c r="J392" s="8">
        <f>'Monthly Operating Costs'!V$37</f>
        <v/>
      </c>
      <c r="K392" s="8">
        <f>'Monthly Operating Costs'!W$37</f>
        <v/>
      </c>
      <c r="L392" s="8">
        <f>'Monthly Operating Costs'!X$37</f>
        <v/>
      </c>
      <c r="M392" s="8">
        <f>'Monthly Operating Costs'!Y$37</f>
        <v/>
      </c>
      <c r="N392" s="8">
        <f>'Monthly Operating Costs'!Z$37</f>
        <v/>
      </c>
      <c r="O392" s="8">
        <f>'Monthly Operating Costs'!AA$37</f>
        <v/>
      </c>
      <c r="P392" s="8">
        <f>'Monthly Operating Costs'!AB$37</f>
        <v/>
      </c>
      <c r="Q392" s="8">
        <f>'Monthly Operating Costs'!AC$37</f>
        <v/>
      </c>
      <c r="R392" s="8">
        <f>'Monthly Operating Costs'!AD$37</f>
        <v/>
      </c>
      <c r="S392" s="8">
        <f>'Monthly Operating Costs'!AE$37</f>
        <v/>
      </c>
      <c r="T392" s="8">
        <f>'Monthly Operating Costs'!AF$37</f>
        <v/>
      </c>
      <c r="U392" s="8">
        <f>'Monthly Operating Costs'!AG$37</f>
        <v/>
      </c>
      <c r="V392" s="8">
        <f>'Monthly Operating Costs'!AH$37</f>
        <v/>
      </c>
      <c r="W392" s="8">
        <f>'Monthly Operating Costs'!AI$37</f>
        <v/>
      </c>
      <c r="X392" s="8">
        <f>'Monthly Operating Costs'!AJ$37</f>
        <v/>
      </c>
      <c r="Y392" s="8">
        <f>'Monthly Operating Costs'!AK$37</f>
        <v/>
      </c>
      <c r="Z392" s="8">
        <f>'Monthly Operating Costs'!AL$37</f>
        <v/>
      </c>
      <c r="AA392" s="8">
        <f>'Monthly Operating Costs'!AM$37</f>
        <v/>
      </c>
      <c r="AB392" s="8">
        <f>'Monthly Operating Costs'!AN$37</f>
        <v/>
      </c>
      <c r="AC392" s="8">
        <f>'Monthly Operating Costs'!AO$37</f>
        <v/>
      </c>
      <c r="AD392" s="8">
        <f>'Monthly Operating Costs'!AP$37</f>
        <v/>
      </c>
      <c r="AE392" s="8">
        <f>'Monthly Operating Costs'!AQ$37</f>
        <v/>
      </c>
      <c r="AF392" s="8">
        <f>'Monthly Operating Costs'!AR$37</f>
        <v/>
      </c>
      <c r="AG392" s="8">
        <f>'Monthly Operating Costs'!AS$37</f>
        <v/>
      </c>
      <c r="AH392" s="8">
        <f>'Monthly Operating Costs'!AT$37</f>
        <v/>
      </c>
      <c r="AI392" s="8">
        <f>'Monthly Operating Costs'!AU$37</f>
        <v/>
      </c>
      <c r="AJ392" s="8">
        <f>'Monthly Operating Costs'!AV$37</f>
        <v/>
      </c>
      <c r="AK392" s="8">
        <f>'Monthly Operating Costs'!AW$37</f>
        <v/>
      </c>
      <c r="AL392" s="8">
        <f>'Monthly Operating Costs'!AX$37</f>
        <v/>
      </c>
      <c r="AM392" s="47">
        <f>SUMIF($C$6:$AL$6,1,C392:AL392)</f>
        <v/>
      </c>
      <c r="AN392" s="47">
        <f>SUMIF($C$6:$AL$6,2,C392:AL392)</f>
        <v/>
      </c>
      <c r="AO392" s="47">
        <f>SUMIF($C$6:$AL$6,3,C392:AL392)</f>
        <v/>
      </c>
      <c r="AP392" s="47">
        <f>SUM(C392:AL392)</f>
        <v/>
      </c>
    </row>
    <row r="393">
      <c r="A393" s="7" t="inlineStr">
        <is>
          <t>Wave fixed costs (3PL minimum, Seller Central, retail EDI/insurance uplift)</t>
        </is>
      </c>
      <c r="B393" s="9" t="inlineStr">
        <is>
          <t>$</t>
        </is>
      </c>
      <c r="C393" s="8">
        <f>IF(AND($B$282=1,C$4&gt;=$B$279),'Assumptions'!$C$69+'Assumptions'!$C$70,0)+IF(C369=1,'Retail Readiness Costs'!$H$36,0)</f>
        <v/>
      </c>
      <c r="D393" s="8">
        <f>IF(AND($B$282=1,D$4&gt;=$B$279),'Assumptions'!$C$69+'Assumptions'!$C$70,0)+IF(D369=1,'Retail Readiness Costs'!$H$36,0)</f>
        <v/>
      </c>
      <c r="E393" s="8">
        <f>IF(AND($B$282=1,E$4&gt;=$B$279),'Assumptions'!$C$69+'Assumptions'!$C$70,0)+IF(E369=1,'Retail Readiness Costs'!$H$36,0)</f>
        <v/>
      </c>
      <c r="F393" s="8">
        <f>IF(AND($B$282=1,F$4&gt;=$B$279),'Assumptions'!$C$69+'Assumptions'!$C$70,0)+IF(F369=1,'Retail Readiness Costs'!$H$36,0)</f>
        <v/>
      </c>
      <c r="G393" s="8">
        <f>IF(AND($B$282=1,G$4&gt;=$B$279),'Assumptions'!$C$69+'Assumptions'!$C$70,0)+IF(G369=1,'Retail Readiness Costs'!$H$36,0)</f>
        <v/>
      </c>
      <c r="H393" s="8">
        <f>IF(AND($B$282=1,H$4&gt;=$B$279),'Assumptions'!$C$69+'Assumptions'!$C$70,0)+IF(H369=1,'Retail Readiness Costs'!$H$36,0)</f>
        <v/>
      </c>
      <c r="I393" s="8">
        <f>IF(AND($B$282=1,I$4&gt;=$B$279),'Assumptions'!$C$69+'Assumptions'!$C$70,0)+IF(I369=1,'Retail Readiness Costs'!$H$36,0)</f>
        <v/>
      </c>
      <c r="J393" s="8">
        <f>IF(AND($B$282=1,J$4&gt;=$B$279),'Assumptions'!$C$69+'Assumptions'!$C$70,0)+IF(J369=1,'Retail Readiness Costs'!$H$36,0)</f>
        <v/>
      </c>
      <c r="K393" s="8">
        <f>IF(AND($B$282=1,K$4&gt;=$B$279),'Assumptions'!$C$69+'Assumptions'!$C$70,0)+IF(K369=1,'Retail Readiness Costs'!$H$36,0)</f>
        <v/>
      </c>
      <c r="L393" s="8">
        <f>IF(AND($B$282=1,L$4&gt;=$B$279),'Assumptions'!$C$69+'Assumptions'!$C$70,0)+IF(L369=1,'Retail Readiness Costs'!$H$36,0)</f>
        <v/>
      </c>
      <c r="M393" s="8">
        <f>IF(AND($B$282=1,M$4&gt;=$B$279),'Assumptions'!$C$69+'Assumptions'!$C$70,0)+IF(M369=1,'Retail Readiness Costs'!$H$36,0)</f>
        <v/>
      </c>
      <c r="N393" s="8">
        <f>IF(AND($B$282=1,N$4&gt;=$B$279),'Assumptions'!$C$69+'Assumptions'!$C$70,0)+IF(N369=1,'Retail Readiness Costs'!$H$36,0)</f>
        <v/>
      </c>
      <c r="O393" s="8">
        <f>IF(AND($B$282=1,O$4&gt;=$B$279),'Assumptions'!$C$69+'Assumptions'!$C$70,0)+IF(O369=1,'Retail Readiness Costs'!$H$36,0)</f>
        <v/>
      </c>
      <c r="P393" s="8">
        <f>IF(AND($B$282=1,P$4&gt;=$B$279),'Assumptions'!$C$69+'Assumptions'!$C$70,0)+IF(P369=1,'Retail Readiness Costs'!$H$36,0)</f>
        <v/>
      </c>
      <c r="Q393" s="8">
        <f>IF(AND($B$282=1,Q$4&gt;=$B$279),'Assumptions'!$C$69+'Assumptions'!$C$70,0)+IF(Q369=1,'Retail Readiness Costs'!$H$36,0)</f>
        <v/>
      </c>
      <c r="R393" s="8">
        <f>IF(AND($B$282=1,R$4&gt;=$B$279),'Assumptions'!$C$69+'Assumptions'!$C$70,0)+IF(R369=1,'Retail Readiness Costs'!$H$36,0)</f>
        <v/>
      </c>
      <c r="S393" s="8">
        <f>IF(AND($B$282=1,S$4&gt;=$B$279),'Assumptions'!$C$69+'Assumptions'!$C$70,0)+IF(S369=1,'Retail Readiness Costs'!$H$36,0)</f>
        <v/>
      </c>
      <c r="T393" s="8">
        <f>IF(AND($B$282=1,T$4&gt;=$B$279),'Assumptions'!$C$69+'Assumptions'!$C$70,0)+IF(T369=1,'Retail Readiness Costs'!$H$36,0)</f>
        <v/>
      </c>
      <c r="U393" s="8">
        <f>IF(AND($B$282=1,U$4&gt;=$B$279),'Assumptions'!$C$69+'Assumptions'!$C$70,0)+IF(U369=1,'Retail Readiness Costs'!$H$36,0)</f>
        <v/>
      </c>
      <c r="V393" s="8">
        <f>IF(AND($B$282=1,V$4&gt;=$B$279),'Assumptions'!$C$69+'Assumptions'!$C$70,0)+IF(V369=1,'Retail Readiness Costs'!$H$36,0)</f>
        <v/>
      </c>
      <c r="W393" s="8">
        <f>IF(AND($B$282=1,W$4&gt;=$B$279),'Assumptions'!$C$69+'Assumptions'!$C$70,0)+IF(W369=1,'Retail Readiness Costs'!$H$36,0)</f>
        <v/>
      </c>
      <c r="X393" s="8">
        <f>IF(AND($B$282=1,X$4&gt;=$B$279),'Assumptions'!$C$69+'Assumptions'!$C$70,0)+IF(X369=1,'Retail Readiness Costs'!$H$36,0)</f>
        <v/>
      </c>
      <c r="Y393" s="8">
        <f>IF(AND($B$282=1,Y$4&gt;=$B$279),'Assumptions'!$C$69+'Assumptions'!$C$70,0)+IF(Y369=1,'Retail Readiness Costs'!$H$36,0)</f>
        <v/>
      </c>
      <c r="Z393" s="8">
        <f>IF(AND($B$282=1,Z$4&gt;=$B$279),'Assumptions'!$C$69+'Assumptions'!$C$70,0)+IF(Z369=1,'Retail Readiness Costs'!$H$36,0)</f>
        <v/>
      </c>
      <c r="AA393" s="8">
        <f>IF(AND($B$282=1,AA$4&gt;=$B$279),'Assumptions'!$C$69+'Assumptions'!$C$70,0)+IF(AA369=1,'Retail Readiness Costs'!$H$36,0)</f>
        <v/>
      </c>
      <c r="AB393" s="8">
        <f>IF(AND($B$282=1,AB$4&gt;=$B$279),'Assumptions'!$C$69+'Assumptions'!$C$70,0)+IF(AB369=1,'Retail Readiness Costs'!$H$36,0)</f>
        <v/>
      </c>
      <c r="AC393" s="8">
        <f>IF(AND($B$282=1,AC$4&gt;=$B$279),'Assumptions'!$C$69+'Assumptions'!$C$70,0)+IF(AC369=1,'Retail Readiness Costs'!$H$36,0)</f>
        <v/>
      </c>
      <c r="AD393" s="8">
        <f>IF(AND($B$282=1,AD$4&gt;=$B$279),'Assumptions'!$C$69+'Assumptions'!$C$70,0)+IF(AD369=1,'Retail Readiness Costs'!$H$36,0)</f>
        <v/>
      </c>
      <c r="AE393" s="8">
        <f>IF(AND($B$282=1,AE$4&gt;=$B$279),'Assumptions'!$C$69+'Assumptions'!$C$70,0)+IF(AE369=1,'Retail Readiness Costs'!$H$36,0)</f>
        <v/>
      </c>
      <c r="AF393" s="8">
        <f>IF(AND($B$282=1,AF$4&gt;=$B$279),'Assumptions'!$C$69+'Assumptions'!$C$70,0)+IF(AF369=1,'Retail Readiness Costs'!$H$36,0)</f>
        <v/>
      </c>
      <c r="AG393" s="8">
        <f>IF(AND($B$282=1,AG$4&gt;=$B$279),'Assumptions'!$C$69+'Assumptions'!$C$70,0)+IF(AG369=1,'Retail Readiness Costs'!$H$36,0)</f>
        <v/>
      </c>
      <c r="AH393" s="8">
        <f>IF(AND($B$282=1,AH$4&gt;=$B$279),'Assumptions'!$C$69+'Assumptions'!$C$70,0)+IF(AH369=1,'Retail Readiness Costs'!$H$36,0)</f>
        <v/>
      </c>
      <c r="AI393" s="8">
        <f>IF(AND($B$282=1,AI$4&gt;=$B$279),'Assumptions'!$C$69+'Assumptions'!$C$70,0)+IF(AI369=1,'Retail Readiness Costs'!$H$36,0)</f>
        <v/>
      </c>
      <c r="AJ393" s="8">
        <f>IF(AND($B$282=1,AJ$4&gt;=$B$279),'Assumptions'!$C$69+'Assumptions'!$C$70,0)+IF(AJ369=1,'Retail Readiness Costs'!$H$36,0)</f>
        <v/>
      </c>
      <c r="AK393" s="8">
        <f>IF(AND($B$282=1,AK$4&gt;=$B$279),'Assumptions'!$C$69+'Assumptions'!$C$70,0)+IF(AK369=1,'Retail Readiness Costs'!$H$36,0)</f>
        <v/>
      </c>
      <c r="AL393" s="8">
        <f>IF(AND($B$282=1,AL$4&gt;=$B$279),'Assumptions'!$C$69+'Assumptions'!$C$70,0)+IF(AL369=1,'Retail Readiness Costs'!$H$36,0)</f>
        <v/>
      </c>
      <c r="AM393" s="47">
        <f>SUMIF($C$6:$AL$6,1,C393:AL393)</f>
        <v/>
      </c>
      <c r="AN393" s="47">
        <f>SUMIF($C$6:$AL$6,2,C393:AL393)</f>
        <v/>
      </c>
      <c r="AO393" s="47">
        <f>SUMIF($C$6:$AL$6,3,C393:AL393)</f>
        <v/>
      </c>
      <c r="AP393" s="47">
        <f>SUM(C393:AL393)</f>
        <v/>
      </c>
    </row>
    <row r="394">
      <c r="A394" s="60" t="inlineStr">
        <is>
          <t>NET OPERATING RESULT (before one-time costs)</t>
        </is>
      </c>
      <c r="B394" s="61" t="inlineStr">
        <is>
          <t>$</t>
        </is>
      </c>
      <c r="C394" s="62">
        <f>C389-C391-C392-C393</f>
        <v/>
      </c>
      <c r="D394" s="62">
        <f>D389-D391-D392-D393</f>
        <v/>
      </c>
      <c r="E394" s="62">
        <f>E389-E391-E392-E393</f>
        <v/>
      </c>
      <c r="F394" s="62">
        <f>F389-F391-F392-F393</f>
        <v/>
      </c>
      <c r="G394" s="62">
        <f>G389-G391-G392-G393</f>
        <v/>
      </c>
      <c r="H394" s="62">
        <f>H389-H391-H392-H393</f>
        <v/>
      </c>
      <c r="I394" s="62">
        <f>I389-I391-I392-I393</f>
        <v/>
      </c>
      <c r="J394" s="62">
        <f>J389-J391-J392-J393</f>
        <v/>
      </c>
      <c r="K394" s="62">
        <f>K389-K391-K392-K393</f>
        <v/>
      </c>
      <c r="L394" s="62">
        <f>L389-L391-L392-L393</f>
        <v/>
      </c>
      <c r="M394" s="62">
        <f>M389-M391-M392-M393</f>
        <v/>
      </c>
      <c r="N394" s="62">
        <f>N389-N391-N392-N393</f>
        <v/>
      </c>
      <c r="O394" s="62">
        <f>O389-O391-O392-O393</f>
        <v/>
      </c>
      <c r="P394" s="62">
        <f>P389-P391-P392-P393</f>
        <v/>
      </c>
      <c r="Q394" s="62">
        <f>Q389-Q391-Q392-Q393</f>
        <v/>
      </c>
      <c r="R394" s="62">
        <f>R389-R391-R392-R393</f>
        <v/>
      </c>
      <c r="S394" s="62">
        <f>S389-S391-S392-S393</f>
        <v/>
      </c>
      <c r="T394" s="62">
        <f>T389-T391-T392-T393</f>
        <v/>
      </c>
      <c r="U394" s="62">
        <f>U389-U391-U392-U393</f>
        <v/>
      </c>
      <c r="V394" s="62">
        <f>V389-V391-V392-V393</f>
        <v/>
      </c>
      <c r="W394" s="62">
        <f>W389-W391-W392-W393</f>
        <v/>
      </c>
      <c r="X394" s="62">
        <f>X389-X391-X392-X393</f>
        <v/>
      </c>
      <c r="Y394" s="62">
        <f>Y389-Y391-Y392-Y393</f>
        <v/>
      </c>
      <c r="Z394" s="62">
        <f>Z389-Z391-Z392-Z393</f>
        <v/>
      </c>
      <c r="AA394" s="62">
        <f>AA389-AA391-AA392-AA393</f>
        <v/>
      </c>
      <c r="AB394" s="62">
        <f>AB389-AB391-AB392-AB393</f>
        <v/>
      </c>
      <c r="AC394" s="62">
        <f>AC389-AC391-AC392-AC393</f>
        <v/>
      </c>
      <c r="AD394" s="62">
        <f>AD389-AD391-AD392-AD393</f>
        <v/>
      </c>
      <c r="AE394" s="62">
        <f>AE389-AE391-AE392-AE393</f>
        <v/>
      </c>
      <c r="AF394" s="62">
        <f>AF389-AF391-AF392-AF393</f>
        <v/>
      </c>
      <c r="AG394" s="62">
        <f>AG389-AG391-AG392-AG393</f>
        <v/>
      </c>
      <c r="AH394" s="62">
        <f>AH389-AH391-AH392-AH393</f>
        <v/>
      </c>
      <c r="AI394" s="62">
        <f>AI389-AI391-AI392-AI393</f>
        <v/>
      </c>
      <c r="AJ394" s="62">
        <f>AJ389-AJ391-AJ392-AJ393</f>
        <v/>
      </c>
      <c r="AK394" s="62">
        <f>AK389-AK391-AK392-AK393</f>
        <v/>
      </c>
      <c r="AL394" s="62">
        <f>AL389-AL391-AL392-AL393</f>
        <v/>
      </c>
      <c r="AM394" s="63">
        <f>SUMIF($C$6:$AL$6,1,C394:AL394)</f>
        <v/>
      </c>
      <c r="AN394" s="63">
        <f>SUMIF($C$6:$AL$6,2,C394:AL394)</f>
        <v/>
      </c>
      <c r="AO394" s="63">
        <f>SUMIF($C$6:$AL$6,3,C394:AL394)</f>
        <v/>
      </c>
      <c r="AP394" s="63">
        <f>SUM(C394:AL394)</f>
        <v/>
      </c>
    </row>
    <row r="395">
      <c r="A395" s="7" t="inlineStr">
        <is>
          <t xml:space="preserve">   Trailing-12-month operating result (months available so far)</t>
        </is>
      </c>
      <c r="B395" s="9" t="inlineStr">
        <is>
          <t>$</t>
        </is>
      </c>
      <c r="C395" s="19">
        <f>SUM(C394:C394)</f>
        <v/>
      </c>
      <c r="D395" s="19">
        <f>SUM(C394:D394)</f>
        <v/>
      </c>
      <c r="E395" s="19">
        <f>SUM(C394:E394)</f>
        <v/>
      </c>
      <c r="F395" s="19">
        <f>SUM(C394:F394)</f>
        <v/>
      </c>
      <c r="G395" s="19">
        <f>SUM(C394:G394)</f>
        <v/>
      </c>
      <c r="H395" s="19">
        <f>SUM(C394:H394)</f>
        <v/>
      </c>
      <c r="I395" s="19">
        <f>SUM(C394:I394)</f>
        <v/>
      </c>
      <c r="J395" s="19">
        <f>SUM(C394:J394)</f>
        <v/>
      </c>
      <c r="K395" s="19">
        <f>SUM(C394:K394)</f>
        <v/>
      </c>
      <c r="L395" s="19">
        <f>SUM(C394:L394)</f>
        <v/>
      </c>
      <c r="M395" s="19">
        <f>SUM(C394:M394)</f>
        <v/>
      </c>
      <c r="N395" s="19">
        <f>SUM(C394:N394)</f>
        <v/>
      </c>
      <c r="O395" s="19">
        <f>SUM(D394:O394)</f>
        <v/>
      </c>
      <c r="P395" s="19">
        <f>SUM(E394:P394)</f>
        <v/>
      </c>
      <c r="Q395" s="19">
        <f>SUM(F394:Q394)</f>
        <v/>
      </c>
      <c r="R395" s="19">
        <f>SUM(G394:R394)</f>
        <v/>
      </c>
      <c r="S395" s="19">
        <f>SUM(H394:S394)</f>
        <v/>
      </c>
      <c r="T395" s="19">
        <f>SUM(I394:T394)</f>
        <v/>
      </c>
      <c r="U395" s="19">
        <f>SUM(J394:U394)</f>
        <v/>
      </c>
      <c r="V395" s="19">
        <f>SUM(K394:V394)</f>
        <v/>
      </c>
      <c r="W395" s="19">
        <f>SUM(L394:W394)</f>
        <v/>
      </c>
      <c r="X395" s="19">
        <f>SUM(M394:X394)</f>
        <v/>
      </c>
      <c r="Y395" s="19">
        <f>SUM(N394:Y394)</f>
        <v/>
      </c>
      <c r="Z395" s="19">
        <f>SUM(O394:Z394)</f>
        <v/>
      </c>
      <c r="AA395" s="19">
        <f>SUM(P394:AA394)</f>
        <v/>
      </c>
      <c r="AB395" s="19">
        <f>SUM(Q394:AB394)</f>
        <v/>
      </c>
      <c r="AC395" s="19">
        <f>SUM(R394:AC394)</f>
        <v/>
      </c>
      <c r="AD395" s="19">
        <f>SUM(S394:AD394)</f>
        <v/>
      </c>
      <c r="AE395" s="19">
        <f>SUM(T394:AE394)</f>
        <v/>
      </c>
      <c r="AF395" s="19">
        <f>SUM(U394:AF394)</f>
        <v/>
      </c>
      <c r="AG395" s="19">
        <f>SUM(V394:AG394)</f>
        <v/>
      </c>
      <c r="AH395" s="19">
        <f>SUM(W394:AH394)</f>
        <v/>
      </c>
      <c r="AI395" s="19">
        <f>SUM(X394:AI394)</f>
        <v/>
      </c>
      <c r="AJ395" s="19">
        <f>SUM(Y394:AJ394)</f>
        <v/>
      </c>
      <c r="AK395" s="19">
        <f>SUM(Z394:AK394)</f>
        <v/>
      </c>
      <c r="AL395" s="19">
        <f>SUM(AA394:AL394)</f>
        <v/>
      </c>
    </row>
    <row r="396">
      <c r="A396" s="7" t="inlineStr">
        <is>
          <t>One-time startup costs (Startup Costs tab, included items)</t>
        </is>
      </c>
      <c r="B396" s="9" t="inlineStr">
        <is>
          <t>$</t>
        </is>
      </c>
      <c r="C396" s="8">
        <f>SUMPRODUCT(('Startup Costs'!$F$6:$F$39=C$4)*'Startup Costs'!$G$6:$G$39*'Startup Costs'!$E$6:$E$39)</f>
        <v/>
      </c>
      <c r="D396" s="8">
        <f>SUMPRODUCT(('Startup Costs'!$F$6:$F$39=D$4)*'Startup Costs'!$G$6:$G$39*'Startup Costs'!$E$6:$E$39)</f>
        <v/>
      </c>
      <c r="E396" s="8">
        <f>SUMPRODUCT(('Startup Costs'!$F$6:$F$39=E$4)*'Startup Costs'!$G$6:$G$39*'Startup Costs'!$E$6:$E$39)</f>
        <v/>
      </c>
      <c r="F396" s="8">
        <f>SUMPRODUCT(('Startup Costs'!$F$6:$F$39=F$4)*'Startup Costs'!$G$6:$G$39*'Startup Costs'!$E$6:$E$39)</f>
        <v/>
      </c>
      <c r="G396" s="8">
        <f>SUMPRODUCT(('Startup Costs'!$F$6:$F$39=G$4)*'Startup Costs'!$G$6:$G$39*'Startup Costs'!$E$6:$E$39)</f>
        <v/>
      </c>
      <c r="H396" s="8">
        <f>SUMPRODUCT(('Startup Costs'!$F$6:$F$39=H$4)*'Startup Costs'!$G$6:$G$39*'Startup Costs'!$E$6:$E$39)</f>
        <v/>
      </c>
      <c r="I396" s="8">
        <f>SUMPRODUCT(('Startup Costs'!$F$6:$F$39=I$4)*'Startup Costs'!$G$6:$G$39*'Startup Costs'!$E$6:$E$39)</f>
        <v/>
      </c>
      <c r="J396" s="8">
        <f>SUMPRODUCT(('Startup Costs'!$F$6:$F$39=J$4)*'Startup Costs'!$G$6:$G$39*'Startup Costs'!$E$6:$E$39)</f>
        <v/>
      </c>
      <c r="K396" s="8">
        <f>SUMPRODUCT(('Startup Costs'!$F$6:$F$39=K$4)*'Startup Costs'!$G$6:$G$39*'Startup Costs'!$E$6:$E$39)</f>
        <v/>
      </c>
      <c r="L396" s="8">
        <f>SUMPRODUCT(('Startup Costs'!$F$6:$F$39=L$4)*'Startup Costs'!$G$6:$G$39*'Startup Costs'!$E$6:$E$39)</f>
        <v/>
      </c>
      <c r="M396" s="8">
        <f>SUMPRODUCT(('Startup Costs'!$F$6:$F$39=M$4)*'Startup Costs'!$G$6:$G$39*'Startup Costs'!$E$6:$E$39)</f>
        <v/>
      </c>
      <c r="N396" s="8">
        <f>SUMPRODUCT(('Startup Costs'!$F$6:$F$39=N$4)*'Startup Costs'!$G$6:$G$39*'Startup Costs'!$E$6:$E$39)</f>
        <v/>
      </c>
      <c r="O396" s="8">
        <f>SUMPRODUCT(('Startup Costs'!$F$6:$F$39=O$4)*'Startup Costs'!$G$6:$G$39*'Startup Costs'!$E$6:$E$39)</f>
        <v/>
      </c>
      <c r="P396" s="8">
        <f>SUMPRODUCT(('Startup Costs'!$F$6:$F$39=P$4)*'Startup Costs'!$G$6:$G$39*'Startup Costs'!$E$6:$E$39)</f>
        <v/>
      </c>
      <c r="Q396" s="8">
        <f>SUMPRODUCT(('Startup Costs'!$F$6:$F$39=Q$4)*'Startup Costs'!$G$6:$G$39*'Startup Costs'!$E$6:$E$39)</f>
        <v/>
      </c>
      <c r="R396" s="8">
        <f>SUMPRODUCT(('Startup Costs'!$F$6:$F$39=R$4)*'Startup Costs'!$G$6:$G$39*'Startup Costs'!$E$6:$E$39)</f>
        <v/>
      </c>
      <c r="S396" s="8">
        <f>SUMPRODUCT(('Startup Costs'!$F$6:$F$39=S$4)*'Startup Costs'!$G$6:$G$39*'Startup Costs'!$E$6:$E$39)</f>
        <v/>
      </c>
      <c r="T396" s="8">
        <f>SUMPRODUCT(('Startup Costs'!$F$6:$F$39=T$4)*'Startup Costs'!$G$6:$G$39*'Startup Costs'!$E$6:$E$39)</f>
        <v/>
      </c>
      <c r="U396" s="8">
        <f>SUMPRODUCT(('Startup Costs'!$F$6:$F$39=U$4)*'Startup Costs'!$G$6:$G$39*'Startup Costs'!$E$6:$E$39)</f>
        <v/>
      </c>
      <c r="V396" s="8">
        <f>SUMPRODUCT(('Startup Costs'!$F$6:$F$39=V$4)*'Startup Costs'!$G$6:$G$39*'Startup Costs'!$E$6:$E$39)</f>
        <v/>
      </c>
      <c r="W396" s="8">
        <f>SUMPRODUCT(('Startup Costs'!$F$6:$F$39=W$4)*'Startup Costs'!$G$6:$G$39*'Startup Costs'!$E$6:$E$39)</f>
        <v/>
      </c>
      <c r="X396" s="8">
        <f>SUMPRODUCT(('Startup Costs'!$F$6:$F$39=X$4)*'Startup Costs'!$G$6:$G$39*'Startup Costs'!$E$6:$E$39)</f>
        <v/>
      </c>
      <c r="Y396" s="8">
        <f>SUMPRODUCT(('Startup Costs'!$F$6:$F$39=Y$4)*'Startup Costs'!$G$6:$G$39*'Startup Costs'!$E$6:$E$39)</f>
        <v/>
      </c>
      <c r="Z396" s="8">
        <f>SUMPRODUCT(('Startup Costs'!$F$6:$F$39=Z$4)*'Startup Costs'!$G$6:$G$39*'Startup Costs'!$E$6:$E$39)</f>
        <v/>
      </c>
      <c r="AA396" s="8">
        <f>SUMPRODUCT(('Startup Costs'!$F$6:$F$39=AA$4)*'Startup Costs'!$G$6:$G$39*'Startup Costs'!$E$6:$E$39)</f>
        <v/>
      </c>
      <c r="AB396" s="8">
        <f>SUMPRODUCT(('Startup Costs'!$F$6:$F$39=AB$4)*'Startup Costs'!$G$6:$G$39*'Startup Costs'!$E$6:$E$39)</f>
        <v/>
      </c>
      <c r="AC396" s="8">
        <f>SUMPRODUCT(('Startup Costs'!$F$6:$F$39=AC$4)*'Startup Costs'!$G$6:$G$39*'Startup Costs'!$E$6:$E$39)</f>
        <v/>
      </c>
      <c r="AD396" s="8">
        <f>SUMPRODUCT(('Startup Costs'!$F$6:$F$39=AD$4)*'Startup Costs'!$G$6:$G$39*'Startup Costs'!$E$6:$E$39)</f>
        <v/>
      </c>
      <c r="AE396" s="8">
        <f>SUMPRODUCT(('Startup Costs'!$F$6:$F$39=AE$4)*'Startup Costs'!$G$6:$G$39*'Startup Costs'!$E$6:$E$39)</f>
        <v/>
      </c>
      <c r="AF396" s="8">
        <f>SUMPRODUCT(('Startup Costs'!$F$6:$F$39=AF$4)*'Startup Costs'!$G$6:$G$39*'Startup Costs'!$E$6:$E$39)</f>
        <v/>
      </c>
      <c r="AG396" s="8">
        <f>SUMPRODUCT(('Startup Costs'!$F$6:$F$39=AG$4)*'Startup Costs'!$G$6:$G$39*'Startup Costs'!$E$6:$E$39)</f>
        <v/>
      </c>
      <c r="AH396" s="8">
        <f>SUMPRODUCT(('Startup Costs'!$F$6:$F$39=AH$4)*'Startup Costs'!$G$6:$G$39*'Startup Costs'!$E$6:$E$39)</f>
        <v/>
      </c>
      <c r="AI396" s="8">
        <f>SUMPRODUCT(('Startup Costs'!$F$6:$F$39=AI$4)*'Startup Costs'!$G$6:$G$39*'Startup Costs'!$E$6:$E$39)</f>
        <v/>
      </c>
      <c r="AJ396" s="8">
        <f>SUMPRODUCT(('Startup Costs'!$F$6:$F$39=AJ$4)*'Startup Costs'!$G$6:$G$39*'Startup Costs'!$E$6:$E$39)</f>
        <v/>
      </c>
      <c r="AK396" s="8">
        <f>SUMPRODUCT(('Startup Costs'!$F$6:$F$39=AK$4)*'Startup Costs'!$G$6:$G$39*'Startup Costs'!$E$6:$E$39)</f>
        <v/>
      </c>
      <c r="AL396" s="8">
        <f>SUMPRODUCT(('Startup Costs'!$F$6:$F$39=AL$4)*'Startup Costs'!$G$6:$G$39*'Startup Costs'!$E$6:$E$39)</f>
        <v/>
      </c>
      <c r="AM396" s="47">
        <f>SUMIF($C$6:$AL$6,1,C396:AL396)</f>
        <v/>
      </c>
      <c r="AN396" s="47">
        <f>SUMIF($C$6:$AL$6,2,C396:AL396)</f>
        <v/>
      </c>
      <c r="AO396" s="47">
        <f>SUMIF($C$6:$AL$6,3,C396:AL396)</f>
        <v/>
      </c>
      <c r="AP396" s="47">
        <f>SUM(C396:AL396)</f>
        <v/>
      </c>
    </row>
    <row r="397">
      <c r="A397" s="7" t="inlineStr">
        <is>
          <t>One-time wave costs (board-book pre-sale/print, retail readiness, school setup)</t>
        </is>
      </c>
      <c r="B397" s="9" t="inlineStr">
        <is>
          <t>$</t>
        </is>
      </c>
      <c r="C397" s="8">
        <f>IF(AND('Assumptions'!$E$164=1,C$4=MAX(1,MAX('Assumptions'!$E$165,'Assumptions'!$C$9)-1)),'Retail Readiness Costs'!$H$11,0)+IF(AND($B$282=1,C$4=$B$279),'Retail Readiness Costs'!$H$20,0)+IF(AND('Assumptions'!$E$164=1,$B$282=0,C$4=$B$279),'Assumptions'!$C$74,0)+IF(AND('Assumptions'!$E$182=1,C$4=MAX(1,MAX('Assumptions'!$E$183,'Assumptions'!$C$9)-'Assumptions'!$C$77)),'Retail Readiness Costs'!$H$30,0)+IF(AND('Assumptions'!$E$173=1,C$4=MAX('Assumptions'!$E$174,'Assumptions'!$C$9)),'Assumptions'!$C$76,0)</f>
        <v/>
      </c>
      <c r="D397" s="8">
        <f>IF(AND('Assumptions'!$E$164=1,D$4=MAX(1,MAX('Assumptions'!$E$165,'Assumptions'!$C$9)-1)),'Retail Readiness Costs'!$H$11,0)+IF(AND($B$282=1,D$4=$B$279),'Retail Readiness Costs'!$H$20,0)+IF(AND('Assumptions'!$E$164=1,$B$282=0,D$4=$B$279),'Assumptions'!$C$74,0)+IF(AND('Assumptions'!$E$182=1,D$4=MAX(1,MAX('Assumptions'!$E$183,'Assumptions'!$C$9)-'Assumptions'!$C$77)),'Retail Readiness Costs'!$H$30,0)+IF(AND('Assumptions'!$E$173=1,D$4=MAX('Assumptions'!$E$174,'Assumptions'!$C$9)),'Assumptions'!$C$76,0)</f>
        <v/>
      </c>
      <c r="E397" s="8">
        <f>IF(AND('Assumptions'!$E$164=1,E$4=MAX(1,MAX('Assumptions'!$E$165,'Assumptions'!$C$9)-1)),'Retail Readiness Costs'!$H$11,0)+IF(AND($B$282=1,E$4=$B$279),'Retail Readiness Costs'!$H$20,0)+IF(AND('Assumptions'!$E$164=1,$B$282=0,E$4=$B$279),'Assumptions'!$C$74,0)+IF(AND('Assumptions'!$E$182=1,E$4=MAX(1,MAX('Assumptions'!$E$183,'Assumptions'!$C$9)-'Assumptions'!$C$77)),'Retail Readiness Costs'!$H$30,0)+IF(AND('Assumptions'!$E$173=1,E$4=MAX('Assumptions'!$E$174,'Assumptions'!$C$9)),'Assumptions'!$C$76,0)</f>
        <v/>
      </c>
      <c r="F397" s="8">
        <f>IF(AND('Assumptions'!$E$164=1,F$4=MAX(1,MAX('Assumptions'!$E$165,'Assumptions'!$C$9)-1)),'Retail Readiness Costs'!$H$11,0)+IF(AND($B$282=1,F$4=$B$279),'Retail Readiness Costs'!$H$20,0)+IF(AND('Assumptions'!$E$164=1,$B$282=0,F$4=$B$279),'Assumptions'!$C$74,0)+IF(AND('Assumptions'!$E$182=1,F$4=MAX(1,MAX('Assumptions'!$E$183,'Assumptions'!$C$9)-'Assumptions'!$C$77)),'Retail Readiness Costs'!$H$30,0)+IF(AND('Assumptions'!$E$173=1,F$4=MAX('Assumptions'!$E$174,'Assumptions'!$C$9)),'Assumptions'!$C$76,0)</f>
        <v/>
      </c>
      <c r="G397" s="8">
        <f>IF(AND('Assumptions'!$E$164=1,G$4=MAX(1,MAX('Assumptions'!$E$165,'Assumptions'!$C$9)-1)),'Retail Readiness Costs'!$H$11,0)+IF(AND($B$282=1,G$4=$B$279),'Retail Readiness Costs'!$H$20,0)+IF(AND('Assumptions'!$E$164=1,$B$282=0,G$4=$B$279),'Assumptions'!$C$74,0)+IF(AND('Assumptions'!$E$182=1,G$4=MAX(1,MAX('Assumptions'!$E$183,'Assumptions'!$C$9)-'Assumptions'!$C$77)),'Retail Readiness Costs'!$H$30,0)+IF(AND('Assumptions'!$E$173=1,G$4=MAX('Assumptions'!$E$174,'Assumptions'!$C$9)),'Assumptions'!$C$76,0)</f>
        <v/>
      </c>
      <c r="H397" s="8">
        <f>IF(AND('Assumptions'!$E$164=1,H$4=MAX(1,MAX('Assumptions'!$E$165,'Assumptions'!$C$9)-1)),'Retail Readiness Costs'!$H$11,0)+IF(AND($B$282=1,H$4=$B$279),'Retail Readiness Costs'!$H$20,0)+IF(AND('Assumptions'!$E$164=1,$B$282=0,H$4=$B$279),'Assumptions'!$C$74,0)+IF(AND('Assumptions'!$E$182=1,H$4=MAX(1,MAX('Assumptions'!$E$183,'Assumptions'!$C$9)-'Assumptions'!$C$77)),'Retail Readiness Costs'!$H$30,0)+IF(AND('Assumptions'!$E$173=1,H$4=MAX('Assumptions'!$E$174,'Assumptions'!$C$9)),'Assumptions'!$C$76,0)</f>
        <v/>
      </c>
      <c r="I397" s="8">
        <f>IF(AND('Assumptions'!$E$164=1,I$4=MAX(1,MAX('Assumptions'!$E$165,'Assumptions'!$C$9)-1)),'Retail Readiness Costs'!$H$11,0)+IF(AND($B$282=1,I$4=$B$279),'Retail Readiness Costs'!$H$20,0)+IF(AND('Assumptions'!$E$164=1,$B$282=0,I$4=$B$279),'Assumptions'!$C$74,0)+IF(AND('Assumptions'!$E$182=1,I$4=MAX(1,MAX('Assumptions'!$E$183,'Assumptions'!$C$9)-'Assumptions'!$C$77)),'Retail Readiness Costs'!$H$30,0)+IF(AND('Assumptions'!$E$173=1,I$4=MAX('Assumptions'!$E$174,'Assumptions'!$C$9)),'Assumptions'!$C$76,0)</f>
        <v/>
      </c>
      <c r="J397" s="8">
        <f>IF(AND('Assumptions'!$E$164=1,J$4=MAX(1,MAX('Assumptions'!$E$165,'Assumptions'!$C$9)-1)),'Retail Readiness Costs'!$H$11,0)+IF(AND($B$282=1,J$4=$B$279),'Retail Readiness Costs'!$H$20,0)+IF(AND('Assumptions'!$E$164=1,$B$282=0,J$4=$B$279),'Assumptions'!$C$74,0)+IF(AND('Assumptions'!$E$182=1,J$4=MAX(1,MAX('Assumptions'!$E$183,'Assumptions'!$C$9)-'Assumptions'!$C$77)),'Retail Readiness Costs'!$H$30,0)+IF(AND('Assumptions'!$E$173=1,J$4=MAX('Assumptions'!$E$174,'Assumptions'!$C$9)),'Assumptions'!$C$76,0)</f>
        <v/>
      </c>
      <c r="K397" s="8">
        <f>IF(AND('Assumptions'!$E$164=1,K$4=MAX(1,MAX('Assumptions'!$E$165,'Assumptions'!$C$9)-1)),'Retail Readiness Costs'!$H$11,0)+IF(AND($B$282=1,K$4=$B$279),'Retail Readiness Costs'!$H$20,0)+IF(AND('Assumptions'!$E$164=1,$B$282=0,K$4=$B$279),'Assumptions'!$C$74,0)+IF(AND('Assumptions'!$E$182=1,K$4=MAX(1,MAX('Assumptions'!$E$183,'Assumptions'!$C$9)-'Assumptions'!$C$77)),'Retail Readiness Costs'!$H$30,0)+IF(AND('Assumptions'!$E$173=1,K$4=MAX('Assumptions'!$E$174,'Assumptions'!$C$9)),'Assumptions'!$C$76,0)</f>
        <v/>
      </c>
      <c r="L397" s="8">
        <f>IF(AND('Assumptions'!$E$164=1,L$4=MAX(1,MAX('Assumptions'!$E$165,'Assumptions'!$C$9)-1)),'Retail Readiness Costs'!$H$11,0)+IF(AND($B$282=1,L$4=$B$279),'Retail Readiness Costs'!$H$20,0)+IF(AND('Assumptions'!$E$164=1,$B$282=0,L$4=$B$279),'Assumptions'!$C$74,0)+IF(AND('Assumptions'!$E$182=1,L$4=MAX(1,MAX('Assumptions'!$E$183,'Assumptions'!$C$9)-'Assumptions'!$C$77)),'Retail Readiness Costs'!$H$30,0)+IF(AND('Assumptions'!$E$173=1,L$4=MAX('Assumptions'!$E$174,'Assumptions'!$C$9)),'Assumptions'!$C$76,0)</f>
        <v/>
      </c>
      <c r="M397" s="8">
        <f>IF(AND('Assumptions'!$E$164=1,M$4=MAX(1,MAX('Assumptions'!$E$165,'Assumptions'!$C$9)-1)),'Retail Readiness Costs'!$H$11,0)+IF(AND($B$282=1,M$4=$B$279),'Retail Readiness Costs'!$H$20,0)+IF(AND('Assumptions'!$E$164=1,$B$282=0,M$4=$B$279),'Assumptions'!$C$74,0)+IF(AND('Assumptions'!$E$182=1,M$4=MAX(1,MAX('Assumptions'!$E$183,'Assumptions'!$C$9)-'Assumptions'!$C$77)),'Retail Readiness Costs'!$H$30,0)+IF(AND('Assumptions'!$E$173=1,M$4=MAX('Assumptions'!$E$174,'Assumptions'!$C$9)),'Assumptions'!$C$76,0)</f>
        <v/>
      </c>
      <c r="N397" s="8">
        <f>IF(AND('Assumptions'!$E$164=1,N$4=MAX(1,MAX('Assumptions'!$E$165,'Assumptions'!$C$9)-1)),'Retail Readiness Costs'!$H$11,0)+IF(AND($B$282=1,N$4=$B$279),'Retail Readiness Costs'!$H$20,0)+IF(AND('Assumptions'!$E$164=1,$B$282=0,N$4=$B$279),'Assumptions'!$C$74,0)+IF(AND('Assumptions'!$E$182=1,N$4=MAX(1,MAX('Assumptions'!$E$183,'Assumptions'!$C$9)-'Assumptions'!$C$77)),'Retail Readiness Costs'!$H$30,0)+IF(AND('Assumptions'!$E$173=1,N$4=MAX('Assumptions'!$E$174,'Assumptions'!$C$9)),'Assumptions'!$C$76,0)</f>
        <v/>
      </c>
      <c r="O397" s="8">
        <f>IF(AND('Assumptions'!$E$164=1,O$4=MAX(1,MAX('Assumptions'!$E$165,'Assumptions'!$C$9)-1)),'Retail Readiness Costs'!$H$11,0)+IF(AND($B$282=1,O$4=$B$279),'Retail Readiness Costs'!$H$20,0)+IF(AND('Assumptions'!$E$164=1,$B$282=0,O$4=$B$279),'Assumptions'!$C$74,0)+IF(AND('Assumptions'!$E$182=1,O$4=MAX(1,MAX('Assumptions'!$E$183,'Assumptions'!$C$9)-'Assumptions'!$C$77)),'Retail Readiness Costs'!$H$30,0)+IF(AND('Assumptions'!$E$173=1,O$4=MAX('Assumptions'!$E$174,'Assumptions'!$C$9)),'Assumptions'!$C$76,0)</f>
        <v/>
      </c>
      <c r="P397" s="8">
        <f>IF(AND('Assumptions'!$E$164=1,P$4=MAX(1,MAX('Assumptions'!$E$165,'Assumptions'!$C$9)-1)),'Retail Readiness Costs'!$H$11,0)+IF(AND($B$282=1,P$4=$B$279),'Retail Readiness Costs'!$H$20,0)+IF(AND('Assumptions'!$E$164=1,$B$282=0,P$4=$B$279),'Assumptions'!$C$74,0)+IF(AND('Assumptions'!$E$182=1,P$4=MAX(1,MAX('Assumptions'!$E$183,'Assumptions'!$C$9)-'Assumptions'!$C$77)),'Retail Readiness Costs'!$H$30,0)+IF(AND('Assumptions'!$E$173=1,P$4=MAX('Assumptions'!$E$174,'Assumptions'!$C$9)),'Assumptions'!$C$76,0)</f>
        <v/>
      </c>
      <c r="Q397" s="8">
        <f>IF(AND('Assumptions'!$E$164=1,Q$4=MAX(1,MAX('Assumptions'!$E$165,'Assumptions'!$C$9)-1)),'Retail Readiness Costs'!$H$11,0)+IF(AND($B$282=1,Q$4=$B$279),'Retail Readiness Costs'!$H$20,0)+IF(AND('Assumptions'!$E$164=1,$B$282=0,Q$4=$B$279),'Assumptions'!$C$74,0)+IF(AND('Assumptions'!$E$182=1,Q$4=MAX(1,MAX('Assumptions'!$E$183,'Assumptions'!$C$9)-'Assumptions'!$C$77)),'Retail Readiness Costs'!$H$30,0)+IF(AND('Assumptions'!$E$173=1,Q$4=MAX('Assumptions'!$E$174,'Assumptions'!$C$9)),'Assumptions'!$C$76,0)</f>
        <v/>
      </c>
      <c r="R397" s="8">
        <f>IF(AND('Assumptions'!$E$164=1,R$4=MAX(1,MAX('Assumptions'!$E$165,'Assumptions'!$C$9)-1)),'Retail Readiness Costs'!$H$11,0)+IF(AND($B$282=1,R$4=$B$279),'Retail Readiness Costs'!$H$20,0)+IF(AND('Assumptions'!$E$164=1,$B$282=0,R$4=$B$279),'Assumptions'!$C$74,0)+IF(AND('Assumptions'!$E$182=1,R$4=MAX(1,MAX('Assumptions'!$E$183,'Assumptions'!$C$9)-'Assumptions'!$C$77)),'Retail Readiness Costs'!$H$30,0)+IF(AND('Assumptions'!$E$173=1,R$4=MAX('Assumptions'!$E$174,'Assumptions'!$C$9)),'Assumptions'!$C$76,0)</f>
        <v/>
      </c>
      <c r="S397" s="8">
        <f>IF(AND('Assumptions'!$E$164=1,S$4=MAX(1,MAX('Assumptions'!$E$165,'Assumptions'!$C$9)-1)),'Retail Readiness Costs'!$H$11,0)+IF(AND($B$282=1,S$4=$B$279),'Retail Readiness Costs'!$H$20,0)+IF(AND('Assumptions'!$E$164=1,$B$282=0,S$4=$B$279),'Assumptions'!$C$74,0)+IF(AND('Assumptions'!$E$182=1,S$4=MAX(1,MAX('Assumptions'!$E$183,'Assumptions'!$C$9)-'Assumptions'!$C$77)),'Retail Readiness Costs'!$H$30,0)+IF(AND('Assumptions'!$E$173=1,S$4=MAX('Assumptions'!$E$174,'Assumptions'!$C$9)),'Assumptions'!$C$76,0)</f>
        <v/>
      </c>
      <c r="T397" s="8">
        <f>IF(AND('Assumptions'!$E$164=1,T$4=MAX(1,MAX('Assumptions'!$E$165,'Assumptions'!$C$9)-1)),'Retail Readiness Costs'!$H$11,0)+IF(AND($B$282=1,T$4=$B$279),'Retail Readiness Costs'!$H$20,0)+IF(AND('Assumptions'!$E$164=1,$B$282=0,T$4=$B$279),'Assumptions'!$C$74,0)+IF(AND('Assumptions'!$E$182=1,T$4=MAX(1,MAX('Assumptions'!$E$183,'Assumptions'!$C$9)-'Assumptions'!$C$77)),'Retail Readiness Costs'!$H$30,0)+IF(AND('Assumptions'!$E$173=1,T$4=MAX('Assumptions'!$E$174,'Assumptions'!$C$9)),'Assumptions'!$C$76,0)</f>
        <v/>
      </c>
      <c r="U397" s="8">
        <f>IF(AND('Assumptions'!$E$164=1,U$4=MAX(1,MAX('Assumptions'!$E$165,'Assumptions'!$C$9)-1)),'Retail Readiness Costs'!$H$11,0)+IF(AND($B$282=1,U$4=$B$279),'Retail Readiness Costs'!$H$20,0)+IF(AND('Assumptions'!$E$164=1,$B$282=0,U$4=$B$279),'Assumptions'!$C$74,0)+IF(AND('Assumptions'!$E$182=1,U$4=MAX(1,MAX('Assumptions'!$E$183,'Assumptions'!$C$9)-'Assumptions'!$C$77)),'Retail Readiness Costs'!$H$30,0)+IF(AND('Assumptions'!$E$173=1,U$4=MAX('Assumptions'!$E$174,'Assumptions'!$C$9)),'Assumptions'!$C$76,0)</f>
        <v/>
      </c>
      <c r="V397" s="8">
        <f>IF(AND('Assumptions'!$E$164=1,V$4=MAX(1,MAX('Assumptions'!$E$165,'Assumptions'!$C$9)-1)),'Retail Readiness Costs'!$H$11,0)+IF(AND($B$282=1,V$4=$B$279),'Retail Readiness Costs'!$H$20,0)+IF(AND('Assumptions'!$E$164=1,$B$282=0,V$4=$B$279),'Assumptions'!$C$74,0)+IF(AND('Assumptions'!$E$182=1,V$4=MAX(1,MAX('Assumptions'!$E$183,'Assumptions'!$C$9)-'Assumptions'!$C$77)),'Retail Readiness Costs'!$H$30,0)+IF(AND('Assumptions'!$E$173=1,V$4=MAX('Assumptions'!$E$174,'Assumptions'!$C$9)),'Assumptions'!$C$76,0)</f>
        <v/>
      </c>
      <c r="W397" s="8">
        <f>IF(AND('Assumptions'!$E$164=1,W$4=MAX(1,MAX('Assumptions'!$E$165,'Assumptions'!$C$9)-1)),'Retail Readiness Costs'!$H$11,0)+IF(AND($B$282=1,W$4=$B$279),'Retail Readiness Costs'!$H$20,0)+IF(AND('Assumptions'!$E$164=1,$B$282=0,W$4=$B$279),'Assumptions'!$C$74,0)+IF(AND('Assumptions'!$E$182=1,W$4=MAX(1,MAX('Assumptions'!$E$183,'Assumptions'!$C$9)-'Assumptions'!$C$77)),'Retail Readiness Costs'!$H$30,0)+IF(AND('Assumptions'!$E$173=1,W$4=MAX('Assumptions'!$E$174,'Assumptions'!$C$9)),'Assumptions'!$C$76,0)</f>
        <v/>
      </c>
      <c r="X397" s="8">
        <f>IF(AND('Assumptions'!$E$164=1,X$4=MAX(1,MAX('Assumptions'!$E$165,'Assumptions'!$C$9)-1)),'Retail Readiness Costs'!$H$11,0)+IF(AND($B$282=1,X$4=$B$279),'Retail Readiness Costs'!$H$20,0)+IF(AND('Assumptions'!$E$164=1,$B$282=0,X$4=$B$279),'Assumptions'!$C$74,0)+IF(AND('Assumptions'!$E$182=1,X$4=MAX(1,MAX('Assumptions'!$E$183,'Assumptions'!$C$9)-'Assumptions'!$C$77)),'Retail Readiness Costs'!$H$30,0)+IF(AND('Assumptions'!$E$173=1,X$4=MAX('Assumptions'!$E$174,'Assumptions'!$C$9)),'Assumptions'!$C$76,0)</f>
        <v/>
      </c>
      <c r="Y397" s="8">
        <f>IF(AND('Assumptions'!$E$164=1,Y$4=MAX(1,MAX('Assumptions'!$E$165,'Assumptions'!$C$9)-1)),'Retail Readiness Costs'!$H$11,0)+IF(AND($B$282=1,Y$4=$B$279),'Retail Readiness Costs'!$H$20,0)+IF(AND('Assumptions'!$E$164=1,$B$282=0,Y$4=$B$279),'Assumptions'!$C$74,0)+IF(AND('Assumptions'!$E$182=1,Y$4=MAX(1,MAX('Assumptions'!$E$183,'Assumptions'!$C$9)-'Assumptions'!$C$77)),'Retail Readiness Costs'!$H$30,0)+IF(AND('Assumptions'!$E$173=1,Y$4=MAX('Assumptions'!$E$174,'Assumptions'!$C$9)),'Assumptions'!$C$76,0)</f>
        <v/>
      </c>
      <c r="Z397" s="8">
        <f>IF(AND('Assumptions'!$E$164=1,Z$4=MAX(1,MAX('Assumptions'!$E$165,'Assumptions'!$C$9)-1)),'Retail Readiness Costs'!$H$11,0)+IF(AND($B$282=1,Z$4=$B$279),'Retail Readiness Costs'!$H$20,0)+IF(AND('Assumptions'!$E$164=1,$B$282=0,Z$4=$B$279),'Assumptions'!$C$74,0)+IF(AND('Assumptions'!$E$182=1,Z$4=MAX(1,MAX('Assumptions'!$E$183,'Assumptions'!$C$9)-'Assumptions'!$C$77)),'Retail Readiness Costs'!$H$30,0)+IF(AND('Assumptions'!$E$173=1,Z$4=MAX('Assumptions'!$E$174,'Assumptions'!$C$9)),'Assumptions'!$C$76,0)</f>
        <v/>
      </c>
      <c r="AA397" s="8">
        <f>IF(AND('Assumptions'!$E$164=1,AA$4=MAX(1,MAX('Assumptions'!$E$165,'Assumptions'!$C$9)-1)),'Retail Readiness Costs'!$H$11,0)+IF(AND($B$282=1,AA$4=$B$279),'Retail Readiness Costs'!$H$20,0)+IF(AND('Assumptions'!$E$164=1,$B$282=0,AA$4=$B$279),'Assumptions'!$C$74,0)+IF(AND('Assumptions'!$E$182=1,AA$4=MAX(1,MAX('Assumptions'!$E$183,'Assumptions'!$C$9)-'Assumptions'!$C$77)),'Retail Readiness Costs'!$H$30,0)+IF(AND('Assumptions'!$E$173=1,AA$4=MAX('Assumptions'!$E$174,'Assumptions'!$C$9)),'Assumptions'!$C$76,0)</f>
        <v/>
      </c>
      <c r="AB397" s="8">
        <f>IF(AND('Assumptions'!$E$164=1,AB$4=MAX(1,MAX('Assumptions'!$E$165,'Assumptions'!$C$9)-1)),'Retail Readiness Costs'!$H$11,0)+IF(AND($B$282=1,AB$4=$B$279),'Retail Readiness Costs'!$H$20,0)+IF(AND('Assumptions'!$E$164=1,$B$282=0,AB$4=$B$279),'Assumptions'!$C$74,0)+IF(AND('Assumptions'!$E$182=1,AB$4=MAX(1,MAX('Assumptions'!$E$183,'Assumptions'!$C$9)-'Assumptions'!$C$77)),'Retail Readiness Costs'!$H$30,0)+IF(AND('Assumptions'!$E$173=1,AB$4=MAX('Assumptions'!$E$174,'Assumptions'!$C$9)),'Assumptions'!$C$76,0)</f>
        <v/>
      </c>
      <c r="AC397" s="8">
        <f>IF(AND('Assumptions'!$E$164=1,AC$4=MAX(1,MAX('Assumptions'!$E$165,'Assumptions'!$C$9)-1)),'Retail Readiness Costs'!$H$11,0)+IF(AND($B$282=1,AC$4=$B$279),'Retail Readiness Costs'!$H$20,0)+IF(AND('Assumptions'!$E$164=1,$B$282=0,AC$4=$B$279),'Assumptions'!$C$74,0)+IF(AND('Assumptions'!$E$182=1,AC$4=MAX(1,MAX('Assumptions'!$E$183,'Assumptions'!$C$9)-'Assumptions'!$C$77)),'Retail Readiness Costs'!$H$30,0)+IF(AND('Assumptions'!$E$173=1,AC$4=MAX('Assumptions'!$E$174,'Assumptions'!$C$9)),'Assumptions'!$C$76,0)</f>
        <v/>
      </c>
      <c r="AD397" s="8">
        <f>IF(AND('Assumptions'!$E$164=1,AD$4=MAX(1,MAX('Assumptions'!$E$165,'Assumptions'!$C$9)-1)),'Retail Readiness Costs'!$H$11,0)+IF(AND($B$282=1,AD$4=$B$279),'Retail Readiness Costs'!$H$20,0)+IF(AND('Assumptions'!$E$164=1,$B$282=0,AD$4=$B$279),'Assumptions'!$C$74,0)+IF(AND('Assumptions'!$E$182=1,AD$4=MAX(1,MAX('Assumptions'!$E$183,'Assumptions'!$C$9)-'Assumptions'!$C$77)),'Retail Readiness Costs'!$H$30,0)+IF(AND('Assumptions'!$E$173=1,AD$4=MAX('Assumptions'!$E$174,'Assumptions'!$C$9)),'Assumptions'!$C$76,0)</f>
        <v/>
      </c>
      <c r="AE397" s="8">
        <f>IF(AND('Assumptions'!$E$164=1,AE$4=MAX(1,MAX('Assumptions'!$E$165,'Assumptions'!$C$9)-1)),'Retail Readiness Costs'!$H$11,0)+IF(AND($B$282=1,AE$4=$B$279),'Retail Readiness Costs'!$H$20,0)+IF(AND('Assumptions'!$E$164=1,$B$282=0,AE$4=$B$279),'Assumptions'!$C$74,0)+IF(AND('Assumptions'!$E$182=1,AE$4=MAX(1,MAX('Assumptions'!$E$183,'Assumptions'!$C$9)-'Assumptions'!$C$77)),'Retail Readiness Costs'!$H$30,0)+IF(AND('Assumptions'!$E$173=1,AE$4=MAX('Assumptions'!$E$174,'Assumptions'!$C$9)),'Assumptions'!$C$76,0)</f>
        <v/>
      </c>
      <c r="AF397" s="8">
        <f>IF(AND('Assumptions'!$E$164=1,AF$4=MAX(1,MAX('Assumptions'!$E$165,'Assumptions'!$C$9)-1)),'Retail Readiness Costs'!$H$11,0)+IF(AND($B$282=1,AF$4=$B$279),'Retail Readiness Costs'!$H$20,0)+IF(AND('Assumptions'!$E$164=1,$B$282=0,AF$4=$B$279),'Assumptions'!$C$74,0)+IF(AND('Assumptions'!$E$182=1,AF$4=MAX(1,MAX('Assumptions'!$E$183,'Assumptions'!$C$9)-'Assumptions'!$C$77)),'Retail Readiness Costs'!$H$30,0)+IF(AND('Assumptions'!$E$173=1,AF$4=MAX('Assumptions'!$E$174,'Assumptions'!$C$9)),'Assumptions'!$C$76,0)</f>
        <v/>
      </c>
      <c r="AG397" s="8">
        <f>IF(AND('Assumptions'!$E$164=1,AG$4=MAX(1,MAX('Assumptions'!$E$165,'Assumptions'!$C$9)-1)),'Retail Readiness Costs'!$H$11,0)+IF(AND($B$282=1,AG$4=$B$279),'Retail Readiness Costs'!$H$20,0)+IF(AND('Assumptions'!$E$164=1,$B$282=0,AG$4=$B$279),'Assumptions'!$C$74,0)+IF(AND('Assumptions'!$E$182=1,AG$4=MAX(1,MAX('Assumptions'!$E$183,'Assumptions'!$C$9)-'Assumptions'!$C$77)),'Retail Readiness Costs'!$H$30,0)+IF(AND('Assumptions'!$E$173=1,AG$4=MAX('Assumptions'!$E$174,'Assumptions'!$C$9)),'Assumptions'!$C$76,0)</f>
        <v/>
      </c>
      <c r="AH397" s="8">
        <f>IF(AND('Assumptions'!$E$164=1,AH$4=MAX(1,MAX('Assumptions'!$E$165,'Assumptions'!$C$9)-1)),'Retail Readiness Costs'!$H$11,0)+IF(AND($B$282=1,AH$4=$B$279),'Retail Readiness Costs'!$H$20,0)+IF(AND('Assumptions'!$E$164=1,$B$282=0,AH$4=$B$279),'Assumptions'!$C$74,0)+IF(AND('Assumptions'!$E$182=1,AH$4=MAX(1,MAX('Assumptions'!$E$183,'Assumptions'!$C$9)-'Assumptions'!$C$77)),'Retail Readiness Costs'!$H$30,0)+IF(AND('Assumptions'!$E$173=1,AH$4=MAX('Assumptions'!$E$174,'Assumptions'!$C$9)),'Assumptions'!$C$76,0)</f>
        <v/>
      </c>
      <c r="AI397" s="8">
        <f>IF(AND('Assumptions'!$E$164=1,AI$4=MAX(1,MAX('Assumptions'!$E$165,'Assumptions'!$C$9)-1)),'Retail Readiness Costs'!$H$11,0)+IF(AND($B$282=1,AI$4=$B$279),'Retail Readiness Costs'!$H$20,0)+IF(AND('Assumptions'!$E$164=1,$B$282=0,AI$4=$B$279),'Assumptions'!$C$74,0)+IF(AND('Assumptions'!$E$182=1,AI$4=MAX(1,MAX('Assumptions'!$E$183,'Assumptions'!$C$9)-'Assumptions'!$C$77)),'Retail Readiness Costs'!$H$30,0)+IF(AND('Assumptions'!$E$173=1,AI$4=MAX('Assumptions'!$E$174,'Assumptions'!$C$9)),'Assumptions'!$C$76,0)</f>
        <v/>
      </c>
      <c r="AJ397" s="8">
        <f>IF(AND('Assumptions'!$E$164=1,AJ$4=MAX(1,MAX('Assumptions'!$E$165,'Assumptions'!$C$9)-1)),'Retail Readiness Costs'!$H$11,0)+IF(AND($B$282=1,AJ$4=$B$279),'Retail Readiness Costs'!$H$20,0)+IF(AND('Assumptions'!$E$164=1,$B$282=0,AJ$4=$B$279),'Assumptions'!$C$74,0)+IF(AND('Assumptions'!$E$182=1,AJ$4=MAX(1,MAX('Assumptions'!$E$183,'Assumptions'!$C$9)-'Assumptions'!$C$77)),'Retail Readiness Costs'!$H$30,0)+IF(AND('Assumptions'!$E$173=1,AJ$4=MAX('Assumptions'!$E$174,'Assumptions'!$C$9)),'Assumptions'!$C$76,0)</f>
        <v/>
      </c>
      <c r="AK397" s="8">
        <f>IF(AND('Assumptions'!$E$164=1,AK$4=MAX(1,MAX('Assumptions'!$E$165,'Assumptions'!$C$9)-1)),'Retail Readiness Costs'!$H$11,0)+IF(AND($B$282=1,AK$4=$B$279),'Retail Readiness Costs'!$H$20,0)+IF(AND('Assumptions'!$E$164=1,$B$282=0,AK$4=$B$279),'Assumptions'!$C$74,0)+IF(AND('Assumptions'!$E$182=1,AK$4=MAX(1,MAX('Assumptions'!$E$183,'Assumptions'!$C$9)-'Assumptions'!$C$77)),'Retail Readiness Costs'!$H$30,0)+IF(AND('Assumptions'!$E$173=1,AK$4=MAX('Assumptions'!$E$174,'Assumptions'!$C$9)),'Assumptions'!$C$76,0)</f>
        <v/>
      </c>
      <c r="AL397" s="8">
        <f>IF(AND('Assumptions'!$E$164=1,AL$4=MAX(1,MAX('Assumptions'!$E$165,'Assumptions'!$C$9)-1)),'Retail Readiness Costs'!$H$11,0)+IF(AND($B$282=1,AL$4=$B$279),'Retail Readiness Costs'!$H$20,0)+IF(AND('Assumptions'!$E$164=1,$B$282=0,AL$4=$B$279),'Assumptions'!$C$74,0)+IF(AND('Assumptions'!$E$182=1,AL$4=MAX(1,MAX('Assumptions'!$E$183,'Assumptions'!$C$9)-'Assumptions'!$C$77)),'Retail Readiness Costs'!$H$30,0)+IF(AND('Assumptions'!$E$173=1,AL$4=MAX('Assumptions'!$E$174,'Assumptions'!$C$9)),'Assumptions'!$C$76,0)</f>
        <v/>
      </c>
      <c r="AM397" s="47">
        <f>SUMIF($C$6:$AL$6,1,C397:AL397)</f>
        <v/>
      </c>
      <c r="AN397" s="47">
        <f>SUMIF($C$6:$AL$6,2,C397:AL397)</f>
        <v/>
      </c>
      <c r="AO397" s="47">
        <f>SUMIF($C$6:$AL$6,3,C397:AL397)</f>
        <v/>
      </c>
      <c r="AP397" s="47">
        <f>SUM(C397:AL397)</f>
        <v/>
      </c>
    </row>
    <row r="398">
      <c r="A398" s="7" t="inlineStr">
        <is>
          <t>Net result after one-time costs</t>
        </is>
      </c>
      <c r="B398" s="9" t="inlineStr">
        <is>
          <t>$</t>
        </is>
      </c>
      <c r="C398" s="19">
        <f>C394-C396-C397</f>
        <v/>
      </c>
      <c r="D398" s="19">
        <f>D394-D396-D397</f>
        <v/>
      </c>
      <c r="E398" s="19">
        <f>E394-E396-E397</f>
        <v/>
      </c>
      <c r="F398" s="19">
        <f>F394-F396-F397</f>
        <v/>
      </c>
      <c r="G398" s="19">
        <f>G394-G396-G397</f>
        <v/>
      </c>
      <c r="H398" s="19">
        <f>H394-H396-H397</f>
        <v/>
      </c>
      <c r="I398" s="19">
        <f>I394-I396-I397</f>
        <v/>
      </c>
      <c r="J398" s="19">
        <f>J394-J396-J397</f>
        <v/>
      </c>
      <c r="K398" s="19">
        <f>K394-K396-K397</f>
        <v/>
      </c>
      <c r="L398" s="19">
        <f>L394-L396-L397</f>
        <v/>
      </c>
      <c r="M398" s="19">
        <f>M394-M396-M397</f>
        <v/>
      </c>
      <c r="N398" s="19">
        <f>N394-N396-N397</f>
        <v/>
      </c>
      <c r="O398" s="19">
        <f>O394-O396-O397</f>
        <v/>
      </c>
      <c r="P398" s="19">
        <f>P394-P396-P397</f>
        <v/>
      </c>
      <c r="Q398" s="19">
        <f>Q394-Q396-Q397</f>
        <v/>
      </c>
      <c r="R398" s="19">
        <f>R394-R396-R397</f>
        <v/>
      </c>
      <c r="S398" s="19">
        <f>S394-S396-S397</f>
        <v/>
      </c>
      <c r="T398" s="19">
        <f>T394-T396-T397</f>
        <v/>
      </c>
      <c r="U398" s="19">
        <f>U394-U396-U397</f>
        <v/>
      </c>
      <c r="V398" s="19">
        <f>V394-V396-V397</f>
        <v/>
      </c>
      <c r="W398" s="19">
        <f>W394-W396-W397</f>
        <v/>
      </c>
      <c r="X398" s="19">
        <f>X394-X396-X397</f>
        <v/>
      </c>
      <c r="Y398" s="19">
        <f>Y394-Y396-Y397</f>
        <v/>
      </c>
      <c r="Z398" s="19">
        <f>Z394-Z396-Z397</f>
        <v/>
      </c>
      <c r="AA398" s="19">
        <f>AA394-AA396-AA397</f>
        <v/>
      </c>
      <c r="AB398" s="19">
        <f>AB394-AB396-AB397</f>
        <v/>
      </c>
      <c r="AC398" s="19">
        <f>AC394-AC396-AC397</f>
        <v/>
      </c>
      <c r="AD398" s="19">
        <f>AD394-AD396-AD397</f>
        <v/>
      </c>
      <c r="AE398" s="19">
        <f>AE394-AE396-AE397</f>
        <v/>
      </c>
      <c r="AF398" s="19">
        <f>AF394-AF396-AF397</f>
        <v/>
      </c>
      <c r="AG398" s="19">
        <f>AG394-AG396-AG397</f>
        <v/>
      </c>
      <c r="AH398" s="19">
        <f>AH394-AH396-AH397</f>
        <v/>
      </c>
      <c r="AI398" s="19">
        <f>AI394-AI396-AI397</f>
        <v/>
      </c>
      <c r="AJ398" s="19">
        <f>AJ394-AJ396-AJ397</f>
        <v/>
      </c>
      <c r="AK398" s="19">
        <f>AK394-AK396-AK397</f>
        <v/>
      </c>
      <c r="AL398" s="19">
        <f>AL394-AL396-AL397</f>
        <v/>
      </c>
      <c r="AM398" s="47">
        <f>SUMIF($C$6:$AL$6,1,C398:AL398)</f>
        <v/>
      </c>
      <c r="AN398" s="47">
        <f>SUMIF($C$6:$AL$6,2,C398:AL398)</f>
        <v/>
      </c>
      <c r="AO398" s="47">
        <f>SUMIF($C$6:$AL$6,3,C398:AL398)</f>
        <v/>
      </c>
      <c r="AP398" s="47">
        <f>SUM(C398:AL398)</f>
        <v/>
      </c>
    </row>
    <row r="399">
      <c r="A399" s="7" t="inlineStr">
        <is>
          <t>Cumulative net result</t>
        </is>
      </c>
      <c r="B399" s="9" t="inlineStr">
        <is>
          <t>$</t>
        </is>
      </c>
      <c r="C399" s="19">
        <f>C398</f>
        <v/>
      </c>
      <c r="D399" s="19">
        <f>D398+C399</f>
        <v/>
      </c>
      <c r="E399" s="19">
        <f>E398+D399</f>
        <v/>
      </c>
      <c r="F399" s="19">
        <f>F398+E399</f>
        <v/>
      </c>
      <c r="G399" s="19">
        <f>G398+F399</f>
        <v/>
      </c>
      <c r="H399" s="19">
        <f>H398+G399</f>
        <v/>
      </c>
      <c r="I399" s="19">
        <f>I398+H399</f>
        <v/>
      </c>
      <c r="J399" s="19">
        <f>J398+I399</f>
        <v/>
      </c>
      <c r="K399" s="19">
        <f>K398+J399</f>
        <v/>
      </c>
      <c r="L399" s="19">
        <f>L398+K399</f>
        <v/>
      </c>
      <c r="M399" s="19">
        <f>M398+L399</f>
        <v/>
      </c>
      <c r="N399" s="19">
        <f>N398+M399</f>
        <v/>
      </c>
      <c r="O399" s="19">
        <f>O398+N399</f>
        <v/>
      </c>
      <c r="P399" s="19">
        <f>P398+O399</f>
        <v/>
      </c>
      <c r="Q399" s="19">
        <f>Q398+P399</f>
        <v/>
      </c>
      <c r="R399" s="19">
        <f>R398+Q399</f>
        <v/>
      </c>
      <c r="S399" s="19">
        <f>S398+R399</f>
        <v/>
      </c>
      <c r="T399" s="19">
        <f>T398+S399</f>
        <v/>
      </c>
      <c r="U399" s="19">
        <f>U398+T399</f>
        <v/>
      </c>
      <c r="V399" s="19">
        <f>V398+U399</f>
        <v/>
      </c>
      <c r="W399" s="19">
        <f>W398+V399</f>
        <v/>
      </c>
      <c r="X399" s="19">
        <f>X398+W399</f>
        <v/>
      </c>
      <c r="Y399" s="19">
        <f>Y398+X399</f>
        <v/>
      </c>
      <c r="Z399" s="19">
        <f>Z398+Y399</f>
        <v/>
      </c>
      <c r="AA399" s="19">
        <f>AA398+Z399</f>
        <v/>
      </c>
      <c r="AB399" s="19">
        <f>AB398+AA399</f>
        <v/>
      </c>
      <c r="AC399" s="19">
        <f>AC398+AB399</f>
        <v/>
      </c>
      <c r="AD399" s="19">
        <f>AD398+AC399</f>
        <v/>
      </c>
      <c r="AE399" s="19">
        <f>AE398+AD399</f>
        <v/>
      </c>
      <c r="AF399" s="19">
        <f>AF398+AE399</f>
        <v/>
      </c>
      <c r="AG399" s="19">
        <f>AG398+AF399</f>
        <v/>
      </c>
      <c r="AH399" s="19">
        <f>AH398+AG399</f>
        <v/>
      </c>
      <c r="AI399" s="19">
        <f>AI398+AH399</f>
        <v/>
      </c>
      <c r="AJ399" s="19">
        <f>AJ398+AI399</f>
        <v/>
      </c>
      <c r="AK399" s="19">
        <f>AK398+AJ399</f>
        <v/>
      </c>
      <c r="AL399" s="19">
        <f>AL398+AK399</f>
        <v/>
      </c>
      <c r="AM399" s="47">
        <f>N399</f>
        <v/>
      </c>
      <c r="AN399" s="47">
        <f>Z399</f>
        <v/>
      </c>
      <c r="AO399" s="47">
        <f>AL399</f>
        <v/>
      </c>
      <c r="AP399" s="47">
        <f>AL399</f>
        <v/>
      </c>
    </row>
    <row r="400">
      <c r="A400" s="5" t="inlineStr">
        <is>
          <t>Held inventory (board book and retail; stock sits at a 3PL or Amazon, never with the founder)</t>
        </is>
      </c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  <c r="AC400" s="6" t="n"/>
      <c r="AD400" s="6" t="n"/>
      <c r="AE400" s="6" t="n"/>
      <c r="AF400" s="6" t="n"/>
      <c r="AG400" s="6" t="n"/>
      <c r="AH400" s="6" t="n"/>
      <c r="AI400" s="6" t="n"/>
      <c r="AJ400" s="6" t="n"/>
      <c r="AK400" s="6" t="n"/>
      <c r="AL400" s="6" t="n"/>
      <c r="AM400" s="6" t="n"/>
      <c r="AN400" s="6" t="n"/>
      <c r="AO400" s="6" t="n"/>
      <c r="AP400" s="6" t="n"/>
    </row>
    <row r="401">
      <c r="A401" s="7" t="inlineStr">
        <is>
          <t xml:space="preserve">   Physical items sold from held stock (board book + retail)</t>
        </is>
      </c>
      <c r="B401" s="9" t="inlineStr">
        <is>
          <t>items</t>
        </is>
      </c>
      <c r="C401" s="58">
        <f>C353+C374</f>
        <v/>
      </c>
      <c r="D401" s="58">
        <f>D353+D374</f>
        <v/>
      </c>
      <c r="E401" s="58">
        <f>E353+E374</f>
        <v/>
      </c>
      <c r="F401" s="58">
        <f>F353+F374</f>
        <v/>
      </c>
      <c r="G401" s="58">
        <f>G353+G374</f>
        <v/>
      </c>
      <c r="H401" s="58">
        <f>H353+H374</f>
        <v/>
      </c>
      <c r="I401" s="58">
        <f>I353+I374</f>
        <v/>
      </c>
      <c r="J401" s="58">
        <f>J353+J374</f>
        <v/>
      </c>
      <c r="K401" s="58">
        <f>K353+K374</f>
        <v/>
      </c>
      <c r="L401" s="58">
        <f>L353+L374</f>
        <v/>
      </c>
      <c r="M401" s="58">
        <f>M353+M374</f>
        <v/>
      </c>
      <c r="N401" s="58">
        <f>N353+N374</f>
        <v/>
      </c>
      <c r="O401" s="58">
        <f>O353+O374</f>
        <v/>
      </c>
      <c r="P401" s="58">
        <f>P353+P374</f>
        <v/>
      </c>
      <c r="Q401" s="58">
        <f>Q353+Q374</f>
        <v/>
      </c>
      <c r="R401" s="58">
        <f>R353+R374</f>
        <v/>
      </c>
      <c r="S401" s="58">
        <f>S353+S374</f>
        <v/>
      </c>
      <c r="T401" s="58">
        <f>T353+T374</f>
        <v/>
      </c>
      <c r="U401" s="58">
        <f>U353+U374</f>
        <v/>
      </c>
      <c r="V401" s="58">
        <f>V353+V374</f>
        <v/>
      </c>
      <c r="W401" s="58">
        <f>W353+W374</f>
        <v/>
      </c>
      <c r="X401" s="58">
        <f>X353+X374</f>
        <v/>
      </c>
      <c r="Y401" s="58">
        <f>Y353+Y374</f>
        <v/>
      </c>
      <c r="Z401" s="58">
        <f>Z353+Z374</f>
        <v/>
      </c>
      <c r="AA401" s="58">
        <f>AA353+AA374</f>
        <v/>
      </c>
      <c r="AB401" s="58">
        <f>AB353+AB374</f>
        <v/>
      </c>
      <c r="AC401" s="58">
        <f>AC353+AC374</f>
        <v/>
      </c>
      <c r="AD401" s="58">
        <f>AD353+AD374</f>
        <v/>
      </c>
      <c r="AE401" s="58">
        <f>AE353+AE374</f>
        <v/>
      </c>
      <c r="AF401" s="58">
        <f>AF353+AF374</f>
        <v/>
      </c>
      <c r="AG401" s="58">
        <f>AG353+AG374</f>
        <v/>
      </c>
      <c r="AH401" s="58">
        <f>AH353+AH374</f>
        <v/>
      </c>
      <c r="AI401" s="58">
        <f>AI353+AI374</f>
        <v/>
      </c>
      <c r="AJ401" s="58">
        <f>AJ353+AJ374</f>
        <v/>
      </c>
      <c r="AK401" s="58">
        <f>AK353+AK374</f>
        <v/>
      </c>
      <c r="AL401" s="58">
        <f>AL353+AL374</f>
        <v/>
      </c>
      <c r="AM401" s="57">
        <f>SUMIF($C$6:$AL$6,1,C401:AL401)</f>
        <v/>
      </c>
      <c r="AN401" s="57">
        <f>SUMIF($C$6:$AL$6,2,C401:AL401)</f>
        <v/>
      </c>
      <c r="AO401" s="57">
        <f>SUMIF($C$6:$AL$6,3,C401:AL401)</f>
        <v/>
      </c>
      <c r="AP401" s="57">
        <f>SUM(C401:AL401)</f>
        <v/>
      </c>
    </row>
    <row r="402">
      <c r="A402" s="7" t="inlineStr">
        <is>
          <t xml:space="preserve">   Cumulative physical items</t>
        </is>
      </c>
      <c r="B402" s="9" t="inlineStr">
        <is>
          <t>items</t>
        </is>
      </c>
      <c r="C402" s="58">
        <f>C401</f>
        <v/>
      </c>
      <c r="D402" s="58">
        <f>D401+C402</f>
        <v/>
      </c>
      <c r="E402" s="58">
        <f>E401+D402</f>
        <v/>
      </c>
      <c r="F402" s="58">
        <f>F401+E402</f>
        <v/>
      </c>
      <c r="G402" s="58">
        <f>G401+F402</f>
        <v/>
      </c>
      <c r="H402" s="58">
        <f>H401+G402</f>
        <v/>
      </c>
      <c r="I402" s="58">
        <f>I401+H402</f>
        <v/>
      </c>
      <c r="J402" s="58">
        <f>J401+I402</f>
        <v/>
      </c>
      <c r="K402" s="58">
        <f>K401+J402</f>
        <v/>
      </c>
      <c r="L402" s="58">
        <f>L401+K402</f>
        <v/>
      </c>
      <c r="M402" s="58">
        <f>M401+L402</f>
        <v/>
      </c>
      <c r="N402" s="58">
        <f>N401+M402</f>
        <v/>
      </c>
      <c r="O402" s="58">
        <f>O401+N402</f>
        <v/>
      </c>
      <c r="P402" s="58">
        <f>P401+O402</f>
        <v/>
      </c>
      <c r="Q402" s="58">
        <f>Q401+P402</f>
        <v/>
      </c>
      <c r="R402" s="58">
        <f>R401+Q402</f>
        <v/>
      </c>
      <c r="S402" s="58">
        <f>S401+R402</f>
        <v/>
      </c>
      <c r="T402" s="58">
        <f>T401+S402</f>
        <v/>
      </c>
      <c r="U402" s="58">
        <f>U401+T402</f>
        <v/>
      </c>
      <c r="V402" s="58">
        <f>V401+U402</f>
        <v/>
      </c>
      <c r="W402" s="58">
        <f>W401+V402</f>
        <v/>
      </c>
      <c r="X402" s="58">
        <f>X401+W402</f>
        <v/>
      </c>
      <c r="Y402" s="58">
        <f>Y401+X402</f>
        <v/>
      </c>
      <c r="Z402" s="58">
        <f>Z401+Y402</f>
        <v/>
      </c>
      <c r="AA402" s="58">
        <f>AA401+Z402</f>
        <v/>
      </c>
      <c r="AB402" s="58">
        <f>AB401+AA402</f>
        <v/>
      </c>
      <c r="AC402" s="58">
        <f>AC401+AB402</f>
        <v/>
      </c>
      <c r="AD402" s="58">
        <f>AD401+AC402</f>
        <v/>
      </c>
      <c r="AE402" s="58">
        <f>AE401+AD402</f>
        <v/>
      </c>
      <c r="AF402" s="58">
        <f>AF401+AE402</f>
        <v/>
      </c>
      <c r="AG402" s="58">
        <f>AG401+AF402</f>
        <v/>
      </c>
      <c r="AH402" s="58">
        <f>AH401+AG402</f>
        <v/>
      </c>
      <c r="AI402" s="58">
        <f>AI401+AH402</f>
        <v/>
      </c>
      <c r="AJ402" s="58">
        <f>AJ401+AI402</f>
        <v/>
      </c>
      <c r="AK402" s="58">
        <f>AK401+AJ402</f>
        <v/>
      </c>
      <c r="AL402" s="58">
        <f>AL401+AK402</f>
        <v/>
      </c>
      <c r="AM402" s="57">
        <f>N402</f>
        <v/>
      </c>
      <c r="AN402" s="57">
        <f>Z402</f>
        <v/>
      </c>
      <c r="AO402" s="57">
        <f>AL402</f>
        <v/>
      </c>
      <c r="AP402" s="57">
        <f>AL402</f>
        <v/>
      </c>
    </row>
    <row r="403">
      <c r="A403" s="7" t="inlineStr">
        <is>
          <t xml:space="preserve">   Copies ordered from the printer (first run + reorders at the reorder point)</t>
        </is>
      </c>
      <c r="B403" s="9" t="inlineStr">
        <is>
          <t>copies</t>
        </is>
      </c>
      <c r="C403" s="15">
        <f>IF($B$283=0,0,IF(C$4=$B$279,$B$283,IF(C$4&gt;$B$279,IF(0-C401&lt;'Assumptions'!$C$75*C401,$B$283,0),0)))</f>
        <v/>
      </c>
      <c r="D403" s="15">
        <f>IF($B$283=0,0,IF(D$4=$B$279,$B$283,IF(D$4&gt;$B$279,IF(C406-D401&lt;'Assumptions'!$C$75*D401,$B$283,0),0)))</f>
        <v/>
      </c>
      <c r="E403" s="15">
        <f>IF($B$283=0,0,IF(E$4=$B$279,$B$283,IF(E$4&gt;$B$279,IF(D406-E401&lt;'Assumptions'!$C$75*E401,$B$283,0),0)))</f>
        <v/>
      </c>
      <c r="F403" s="15">
        <f>IF($B$283=0,0,IF(F$4=$B$279,$B$283,IF(F$4&gt;$B$279,IF(E406-F401&lt;'Assumptions'!$C$75*F401,$B$283,0),0)))</f>
        <v/>
      </c>
      <c r="G403" s="15">
        <f>IF($B$283=0,0,IF(G$4=$B$279,$B$283,IF(G$4&gt;$B$279,IF(F406-G401&lt;'Assumptions'!$C$75*G401,$B$283,0),0)))</f>
        <v/>
      </c>
      <c r="H403" s="15">
        <f>IF($B$283=0,0,IF(H$4=$B$279,$B$283,IF(H$4&gt;$B$279,IF(G406-H401&lt;'Assumptions'!$C$75*H401,$B$283,0),0)))</f>
        <v/>
      </c>
      <c r="I403" s="15">
        <f>IF($B$283=0,0,IF(I$4=$B$279,$B$283,IF(I$4&gt;$B$279,IF(H406-I401&lt;'Assumptions'!$C$75*I401,$B$283,0),0)))</f>
        <v/>
      </c>
      <c r="J403" s="15">
        <f>IF($B$283=0,0,IF(J$4=$B$279,$B$283,IF(J$4&gt;$B$279,IF(I406-J401&lt;'Assumptions'!$C$75*J401,$B$283,0),0)))</f>
        <v/>
      </c>
      <c r="K403" s="15">
        <f>IF($B$283=0,0,IF(K$4=$B$279,$B$283,IF(K$4&gt;$B$279,IF(J406-K401&lt;'Assumptions'!$C$75*K401,$B$283,0),0)))</f>
        <v/>
      </c>
      <c r="L403" s="15">
        <f>IF($B$283=0,0,IF(L$4=$B$279,$B$283,IF(L$4&gt;$B$279,IF(K406-L401&lt;'Assumptions'!$C$75*L401,$B$283,0),0)))</f>
        <v/>
      </c>
      <c r="M403" s="15">
        <f>IF($B$283=0,0,IF(M$4=$B$279,$B$283,IF(M$4&gt;$B$279,IF(L406-M401&lt;'Assumptions'!$C$75*M401,$B$283,0),0)))</f>
        <v/>
      </c>
      <c r="N403" s="15">
        <f>IF($B$283=0,0,IF(N$4=$B$279,$B$283,IF(N$4&gt;$B$279,IF(M406-N401&lt;'Assumptions'!$C$75*N401,$B$283,0),0)))</f>
        <v/>
      </c>
      <c r="O403" s="15">
        <f>IF($B$283=0,0,IF(O$4=$B$279,$B$283,IF(O$4&gt;$B$279,IF(N406-O401&lt;'Assumptions'!$C$75*O401,$B$283,0),0)))</f>
        <v/>
      </c>
      <c r="P403" s="15">
        <f>IF($B$283=0,0,IF(P$4=$B$279,$B$283,IF(P$4&gt;$B$279,IF(O406-P401&lt;'Assumptions'!$C$75*P401,$B$283,0),0)))</f>
        <v/>
      </c>
      <c r="Q403" s="15">
        <f>IF($B$283=0,0,IF(Q$4=$B$279,$B$283,IF(Q$4&gt;$B$279,IF(P406-Q401&lt;'Assumptions'!$C$75*Q401,$B$283,0),0)))</f>
        <v/>
      </c>
      <c r="R403" s="15">
        <f>IF($B$283=0,0,IF(R$4=$B$279,$B$283,IF(R$4&gt;$B$279,IF(Q406-R401&lt;'Assumptions'!$C$75*R401,$B$283,0),0)))</f>
        <v/>
      </c>
      <c r="S403" s="15">
        <f>IF($B$283=0,0,IF(S$4=$B$279,$B$283,IF(S$4&gt;$B$279,IF(R406-S401&lt;'Assumptions'!$C$75*S401,$B$283,0),0)))</f>
        <v/>
      </c>
      <c r="T403" s="15">
        <f>IF($B$283=0,0,IF(T$4=$B$279,$B$283,IF(T$4&gt;$B$279,IF(S406-T401&lt;'Assumptions'!$C$75*T401,$B$283,0),0)))</f>
        <v/>
      </c>
      <c r="U403" s="15">
        <f>IF($B$283=0,0,IF(U$4=$B$279,$B$283,IF(U$4&gt;$B$279,IF(T406-U401&lt;'Assumptions'!$C$75*U401,$B$283,0),0)))</f>
        <v/>
      </c>
      <c r="V403" s="15">
        <f>IF($B$283=0,0,IF(V$4=$B$279,$B$283,IF(V$4&gt;$B$279,IF(U406-V401&lt;'Assumptions'!$C$75*V401,$B$283,0),0)))</f>
        <v/>
      </c>
      <c r="W403" s="15">
        <f>IF($B$283=0,0,IF(W$4=$B$279,$B$283,IF(W$4&gt;$B$279,IF(V406-W401&lt;'Assumptions'!$C$75*W401,$B$283,0),0)))</f>
        <v/>
      </c>
      <c r="X403" s="15">
        <f>IF($B$283=0,0,IF(X$4=$B$279,$B$283,IF(X$4&gt;$B$279,IF(W406-X401&lt;'Assumptions'!$C$75*X401,$B$283,0),0)))</f>
        <v/>
      </c>
      <c r="Y403" s="15">
        <f>IF($B$283=0,0,IF(Y$4=$B$279,$B$283,IF(Y$4&gt;$B$279,IF(X406-Y401&lt;'Assumptions'!$C$75*Y401,$B$283,0),0)))</f>
        <v/>
      </c>
      <c r="Z403" s="15">
        <f>IF($B$283=0,0,IF(Z$4=$B$279,$B$283,IF(Z$4&gt;$B$279,IF(Y406-Z401&lt;'Assumptions'!$C$75*Z401,$B$283,0),0)))</f>
        <v/>
      </c>
      <c r="AA403" s="15">
        <f>IF($B$283=0,0,IF(AA$4=$B$279,$B$283,IF(AA$4&gt;$B$279,IF(Z406-AA401&lt;'Assumptions'!$C$75*AA401,$B$283,0),0)))</f>
        <v/>
      </c>
      <c r="AB403" s="15">
        <f>IF($B$283=0,0,IF(AB$4=$B$279,$B$283,IF(AB$4&gt;$B$279,IF(AA406-AB401&lt;'Assumptions'!$C$75*AB401,$B$283,0),0)))</f>
        <v/>
      </c>
      <c r="AC403" s="15">
        <f>IF($B$283=0,0,IF(AC$4=$B$279,$B$283,IF(AC$4&gt;$B$279,IF(AB406-AC401&lt;'Assumptions'!$C$75*AC401,$B$283,0),0)))</f>
        <v/>
      </c>
      <c r="AD403" s="15">
        <f>IF($B$283=0,0,IF(AD$4=$B$279,$B$283,IF(AD$4&gt;$B$279,IF(AC406-AD401&lt;'Assumptions'!$C$75*AD401,$B$283,0),0)))</f>
        <v/>
      </c>
      <c r="AE403" s="15">
        <f>IF($B$283=0,0,IF(AE$4=$B$279,$B$283,IF(AE$4&gt;$B$279,IF(AD406-AE401&lt;'Assumptions'!$C$75*AE401,$B$283,0),0)))</f>
        <v/>
      </c>
      <c r="AF403" s="15">
        <f>IF($B$283=0,0,IF(AF$4=$B$279,$B$283,IF(AF$4&gt;$B$279,IF(AE406-AF401&lt;'Assumptions'!$C$75*AF401,$B$283,0),0)))</f>
        <v/>
      </c>
      <c r="AG403" s="15">
        <f>IF($B$283=0,0,IF(AG$4=$B$279,$B$283,IF(AG$4&gt;$B$279,IF(AF406-AG401&lt;'Assumptions'!$C$75*AG401,$B$283,0),0)))</f>
        <v/>
      </c>
      <c r="AH403" s="15">
        <f>IF($B$283=0,0,IF(AH$4=$B$279,$B$283,IF(AH$4&gt;$B$279,IF(AG406-AH401&lt;'Assumptions'!$C$75*AH401,$B$283,0),0)))</f>
        <v/>
      </c>
      <c r="AI403" s="15">
        <f>IF($B$283=0,0,IF(AI$4=$B$279,$B$283,IF(AI$4&gt;$B$279,IF(AH406-AI401&lt;'Assumptions'!$C$75*AI401,$B$283,0),0)))</f>
        <v/>
      </c>
      <c r="AJ403" s="15">
        <f>IF($B$283=0,0,IF(AJ$4=$B$279,$B$283,IF(AJ$4&gt;$B$279,IF(AI406-AJ401&lt;'Assumptions'!$C$75*AJ401,$B$283,0),0)))</f>
        <v/>
      </c>
      <c r="AK403" s="15">
        <f>IF($B$283=0,0,IF(AK$4=$B$279,$B$283,IF(AK$4&gt;$B$279,IF(AJ406-AK401&lt;'Assumptions'!$C$75*AK401,$B$283,0),0)))</f>
        <v/>
      </c>
      <c r="AL403" s="15">
        <f>IF($B$283=0,0,IF(AL$4=$B$279,$B$283,IF(AL$4&gt;$B$279,IF(AK406-AL401&lt;'Assumptions'!$C$75*AL401,$B$283,0),0)))</f>
        <v/>
      </c>
      <c r="AM403" s="57">
        <f>SUMIF($C$6:$AL$6,1,C403:AL403)</f>
        <v/>
      </c>
      <c r="AN403" s="57">
        <f>SUMIF($C$6:$AL$6,2,C403:AL403)</f>
        <v/>
      </c>
      <c r="AO403" s="57">
        <f>SUMIF($C$6:$AL$6,3,C403:AL403)</f>
        <v/>
      </c>
      <c r="AP403" s="57">
        <f>SUM(C403:AL403)</f>
        <v/>
      </c>
    </row>
    <row r="404">
      <c r="A404" s="7" t="inlineStr">
        <is>
          <t xml:space="preserve">   Inventory purchases (cash; not in operating result)</t>
        </is>
      </c>
      <c r="B404" s="9" t="inlineStr">
        <is>
          <t>$</t>
        </is>
      </c>
      <c r="C404" s="8">
        <f>C403*'Assumptions'!$C$66</f>
        <v/>
      </c>
      <c r="D404" s="8">
        <f>D403*'Assumptions'!$C$66</f>
        <v/>
      </c>
      <c r="E404" s="8">
        <f>E403*'Assumptions'!$C$66</f>
        <v/>
      </c>
      <c r="F404" s="8">
        <f>F403*'Assumptions'!$C$66</f>
        <v/>
      </c>
      <c r="G404" s="8">
        <f>G403*'Assumptions'!$C$66</f>
        <v/>
      </c>
      <c r="H404" s="8">
        <f>H403*'Assumptions'!$C$66</f>
        <v/>
      </c>
      <c r="I404" s="8">
        <f>I403*'Assumptions'!$C$66</f>
        <v/>
      </c>
      <c r="J404" s="8">
        <f>J403*'Assumptions'!$C$66</f>
        <v/>
      </c>
      <c r="K404" s="8">
        <f>K403*'Assumptions'!$C$66</f>
        <v/>
      </c>
      <c r="L404" s="8">
        <f>L403*'Assumptions'!$C$66</f>
        <v/>
      </c>
      <c r="M404" s="8">
        <f>M403*'Assumptions'!$C$66</f>
        <v/>
      </c>
      <c r="N404" s="8">
        <f>N403*'Assumptions'!$C$66</f>
        <v/>
      </c>
      <c r="O404" s="8">
        <f>O403*'Assumptions'!$C$66</f>
        <v/>
      </c>
      <c r="P404" s="8">
        <f>P403*'Assumptions'!$C$66</f>
        <v/>
      </c>
      <c r="Q404" s="8">
        <f>Q403*'Assumptions'!$C$66</f>
        <v/>
      </c>
      <c r="R404" s="8">
        <f>R403*'Assumptions'!$C$66</f>
        <v/>
      </c>
      <c r="S404" s="8">
        <f>S403*'Assumptions'!$C$66</f>
        <v/>
      </c>
      <c r="T404" s="8">
        <f>T403*'Assumptions'!$C$66</f>
        <v/>
      </c>
      <c r="U404" s="8">
        <f>U403*'Assumptions'!$C$66</f>
        <v/>
      </c>
      <c r="V404" s="8">
        <f>V403*'Assumptions'!$C$66</f>
        <v/>
      </c>
      <c r="W404" s="8">
        <f>W403*'Assumptions'!$C$66</f>
        <v/>
      </c>
      <c r="X404" s="8">
        <f>X403*'Assumptions'!$C$66</f>
        <v/>
      </c>
      <c r="Y404" s="8">
        <f>Y403*'Assumptions'!$C$66</f>
        <v/>
      </c>
      <c r="Z404" s="8">
        <f>Z403*'Assumptions'!$C$66</f>
        <v/>
      </c>
      <c r="AA404" s="8">
        <f>AA403*'Assumptions'!$C$66</f>
        <v/>
      </c>
      <c r="AB404" s="8">
        <f>AB403*'Assumptions'!$C$66</f>
        <v/>
      </c>
      <c r="AC404" s="8">
        <f>AC403*'Assumptions'!$C$66</f>
        <v/>
      </c>
      <c r="AD404" s="8">
        <f>AD403*'Assumptions'!$C$66</f>
        <v/>
      </c>
      <c r="AE404" s="8">
        <f>AE403*'Assumptions'!$C$66</f>
        <v/>
      </c>
      <c r="AF404" s="8">
        <f>AF403*'Assumptions'!$C$66</f>
        <v/>
      </c>
      <c r="AG404" s="8">
        <f>AG403*'Assumptions'!$C$66</f>
        <v/>
      </c>
      <c r="AH404" s="8">
        <f>AH403*'Assumptions'!$C$66</f>
        <v/>
      </c>
      <c r="AI404" s="8">
        <f>AI403*'Assumptions'!$C$66</f>
        <v/>
      </c>
      <c r="AJ404" s="8">
        <f>AJ403*'Assumptions'!$C$66</f>
        <v/>
      </c>
      <c r="AK404" s="8">
        <f>AK403*'Assumptions'!$C$66</f>
        <v/>
      </c>
      <c r="AL404" s="8">
        <f>AL403*'Assumptions'!$C$66</f>
        <v/>
      </c>
      <c r="AM404" s="47">
        <f>SUMIF($C$6:$AL$6,1,C404:AL404)</f>
        <v/>
      </c>
      <c r="AN404" s="47">
        <f>SUMIF($C$6:$AL$6,2,C404:AL404)</f>
        <v/>
      </c>
      <c r="AO404" s="47">
        <f>SUMIF($C$6:$AL$6,3,C404:AL404)</f>
        <v/>
      </c>
      <c r="AP404" s="47">
        <f>SUM(C404:AL404)</f>
        <v/>
      </c>
    </row>
    <row r="405">
      <c r="A405" s="7" t="inlineStr">
        <is>
          <t xml:space="preserve">   Cumulative copies ordered</t>
        </is>
      </c>
      <c r="B405" s="9" t="inlineStr">
        <is>
          <t>copies</t>
        </is>
      </c>
      <c r="C405" s="58">
        <f>C403</f>
        <v/>
      </c>
      <c r="D405" s="58">
        <f>D403+C405</f>
        <v/>
      </c>
      <c r="E405" s="58">
        <f>E403+D405</f>
        <v/>
      </c>
      <c r="F405" s="58">
        <f>F403+E405</f>
        <v/>
      </c>
      <c r="G405" s="58">
        <f>G403+F405</f>
        <v/>
      </c>
      <c r="H405" s="58">
        <f>H403+G405</f>
        <v/>
      </c>
      <c r="I405" s="58">
        <f>I403+H405</f>
        <v/>
      </c>
      <c r="J405" s="58">
        <f>J403+I405</f>
        <v/>
      </c>
      <c r="K405" s="58">
        <f>K403+J405</f>
        <v/>
      </c>
      <c r="L405" s="58">
        <f>L403+K405</f>
        <v/>
      </c>
      <c r="M405" s="58">
        <f>M403+L405</f>
        <v/>
      </c>
      <c r="N405" s="58">
        <f>N403+M405</f>
        <v/>
      </c>
      <c r="O405" s="58">
        <f>O403+N405</f>
        <v/>
      </c>
      <c r="P405" s="58">
        <f>P403+O405</f>
        <v/>
      </c>
      <c r="Q405" s="58">
        <f>Q403+P405</f>
        <v/>
      </c>
      <c r="R405" s="58">
        <f>R403+Q405</f>
        <v/>
      </c>
      <c r="S405" s="58">
        <f>S403+R405</f>
        <v/>
      </c>
      <c r="T405" s="58">
        <f>T403+S405</f>
        <v/>
      </c>
      <c r="U405" s="58">
        <f>U403+T405</f>
        <v/>
      </c>
      <c r="V405" s="58">
        <f>V403+U405</f>
        <v/>
      </c>
      <c r="W405" s="58">
        <f>W403+V405</f>
        <v/>
      </c>
      <c r="X405" s="58">
        <f>X403+W405</f>
        <v/>
      </c>
      <c r="Y405" s="58">
        <f>Y403+X405</f>
        <v/>
      </c>
      <c r="Z405" s="58">
        <f>Z403+Y405</f>
        <v/>
      </c>
      <c r="AA405" s="58">
        <f>AA403+Z405</f>
        <v/>
      </c>
      <c r="AB405" s="58">
        <f>AB403+AA405</f>
        <v/>
      </c>
      <c r="AC405" s="58">
        <f>AC403+AB405</f>
        <v/>
      </c>
      <c r="AD405" s="58">
        <f>AD403+AC405</f>
        <v/>
      </c>
      <c r="AE405" s="58">
        <f>AE403+AD405</f>
        <v/>
      </c>
      <c r="AF405" s="58">
        <f>AF403+AE405</f>
        <v/>
      </c>
      <c r="AG405" s="58">
        <f>AG403+AF405</f>
        <v/>
      </c>
      <c r="AH405" s="58">
        <f>AH403+AG405</f>
        <v/>
      </c>
      <c r="AI405" s="58">
        <f>AI403+AH405</f>
        <v/>
      </c>
      <c r="AJ405" s="58">
        <f>AJ403+AI405</f>
        <v/>
      </c>
      <c r="AK405" s="58">
        <f>AK403+AJ405</f>
        <v/>
      </c>
      <c r="AL405" s="58">
        <f>AL403+AK405</f>
        <v/>
      </c>
      <c r="AM405" s="57">
        <f>N405</f>
        <v/>
      </c>
      <c r="AN405" s="57">
        <f>Z405</f>
        <v/>
      </c>
      <c r="AO405" s="57">
        <f>AL405</f>
        <v/>
      </c>
      <c r="AP405" s="57">
        <f>AL405</f>
        <v/>
      </c>
    </row>
    <row r="406">
      <c r="A406" s="7" t="inlineStr">
        <is>
          <t xml:space="preserve">   Copies at the 3PL (negative = pre-sale copies still owed)</t>
        </is>
      </c>
      <c r="B406" s="9" t="inlineStr">
        <is>
          <t>copies</t>
        </is>
      </c>
      <c r="C406" s="58">
        <f>C405-C402</f>
        <v/>
      </c>
      <c r="D406" s="58">
        <f>D405-D402</f>
        <v/>
      </c>
      <c r="E406" s="58">
        <f>E405-E402</f>
        <v/>
      </c>
      <c r="F406" s="58">
        <f>F405-F402</f>
        <v/>
      </c>
      <c r="G406" s="58">
        <f>G405-G402</f>
        <v/>
      </c>
      <c r="H406" s="58">
        <f>H405-H402</f>
        <v/>
      </c>
      <c r="I406" s="58">
        <f>I405-I402</f>
        <v/>
      </c>
      <c r="J406" s="58">
        <f>J405-J402</f>
        <v/>
      </c>
      <c r="K406" s="58">
        <f>K405-K402</f>
        <v/>
      </c>
      <c r="L406" s="58">
        <f>L405-L402</f>
        <v/>
      </c>
      <c r="M406" s="58">
        <f>M405-M402</f>
        <v/>
      </c>
      <c r="N406" s="58">
        <f>N405-N402</f>
        <v/>
      </c>
      <c r="O406" s="58">
        <f>O405-O402</f>
        <v/>
      </c>
      <c r="P406" s="58">
        <f>P405-P402</f>
        <v/>
      </c>
      <c r="Q406" s="58">
        <f>Q405-Q402</f>
        <v/>
      </c>
      <c r="R406" s="58">
        <f>R405-R402</f>
        <v/>
      </c>
      <c r="S406" s="58">
        <f>S405-S402</f>
        <v/>
      </c>
      <c r="T406" s="58">
        <f>T405-T402</f>
        <v/>
      </c>
      <c r="U406" s="58">
        <f>U405-U402</f>
        <v/>
      </c>
      <c r="V406" s="58">
        <f>V405-V402</f>
        <v/>
      </c>
      <c r="W406" s="58">
        <f>W405-W402</f>
        <v/>
      </c>
      <c r="X406" s="58">
        <f>X405-X402</f>
        <v/>
      </c>
      <c r="Y406" s="58">
        <f>Y405-Y402</f>
        <v/>
      </c>
      <c r="Z406" s="58">
        <f>Z405-Z402</f>
        <v/>
      </c>
      <c r="AA406" s="58">
        <f>AA405-AA402</f>
        <v/>
      </c>
      <c r="AB406" s="58">
        <f>AB405-AB402</f>
        <v/>
      </c>
      <c r="AC406" s="58">
        <f>AC405-AC402</f>
        <v/>
      </c>
      <c r="AD406" s="58">
        <f>AD405-AD402</f>
        <v/>
      </c>
      <c r="AE406" s="58">
        <f>AE405-AE402</f>
        <v/>
      </c>
      <c r="AF406" s="58">
        <f>AF405-AF402</f>
        <v/>
      </c>
      <c r="AG406" s="58">
        <f>AG405-AG402</f>
        <v/>
      </c>
      <c r="AH406" s="58">
        <f>AH405-AH402</f>
        <v/>
      </c>
      <c r="AI406" s="58">
        <f>AI405-AI402</f>
        <v/>
      </c>
      <c r="AJ406" s="58">
        <f>AJ405-AJ402</f>
        <v/>
      </c>
      <c r="AK406" s="58">
        <f>AK405-AK402</f>
        <v/>
      </c>
      <c r="AL406" s="58">
        <f>AL405-AL402</f>
        <v/>
      </c>
      <c r="AM406" s="57">
        <f>N406</f>
        <v/>
      </c>
      <c r="AN406" s="57">
        <f>Z406</f>
        <v/>
      </c>
      <c r="AO406" s="57">
        <f>AL406</f>
        <v/>
      </c>
      <c r="AP406" s="57">
        <f>AL406</f>
        <v/>
      </c>
    </row>
    <row r="407">
      <c r="A407" s="5" t="inlineStr">
        <is>
          <t>Break-even helper rows</t>
        </is>
      </c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  <c r="AC407" s="6" t="n"/>
      <c r="AD407" s="6" t="n"/>
      <c r="AE407" s="6" t="n"/>
      <c r="AF407" s="6" t="n"/>
      <c r="AG407" s="6" t="n"/>
      <c r="AH407" s="6" t="n"/>
      <c r="AI407" s="6" t="n"/>
      <c r="AJ407" s="6" t="n"/>
      <c r="AK407" s="6" t="n"/>
      <c r="AL407" s="6" t="n"/>
      <c r="AM407" s="6" t="n"/>
      <c r="AN407" s="6" t="n"/>
      <c r="AO407" s="6" t="n"/>
      <c r="AP407" s="6" t="n"/>
    </row>
    <row r="408">
      <c r="A408" s="7" t="inlineStr">
        <is>
          <t xml:space="preserve">   Month # if monthly operating result &gt;= 0</t>
        </is>
      </c>
      <c r="B408" s="9" t="inlineStr">
        <is>
          <t>month</t>
        </is>
      </c>
      <c r="C408" s="43">
        <f>IF(C394&gt;=0,C$4,"")</f>
        <v/>
      </c>
      <c r="D408" s="43">
        <f>IF(D394&gt;=0,D$4,"")</f>
        <v/>
      </c>
      <c r="E408" s="43">
        <f>IF(E394&gt;=0,E$4,"")</f>
        <v/>
      </c>
      <c r="F408" s="43">
        <f>IF(F394&gt;=0,F$4,"")</f>
        <v/>
      </c>
      <c r="G408" s="43">
        <f>IF(G394&gt;=0,G$4,"")</f>
        <v/>
      </c>
      <c r="H408" s="43">
        <f>IF(H394&gt;=0,H$4,"")</f>
        <v/>
      </c>
      <c r="I408" s="43">
        <f>IF(I394&gt;=0,I$4,"")</f>
        <v/>
      </c>
      <c r="J408" s="43">
        <f>IF(J394&gt;=0,J$4,"")</f>
        <v/>
      </c>
      <c r="K408" s="43">
        <f>IF(K394&gt;=0,K$4,"")</f>
        <v/>
      </c>
      <c r="L408" s="43">
        <f>IF(L394&gt;=0,L$4,"")</f>
        <v/>
      </c>
      <c r="M408" s="43">
        <f>IF(M394&gt;=0,M$4,"")</f>
        <v/>
      </c>
      <c r="N408" s="43">
        <f>IF(N394&gt;=0,N$4,"")</f>
        <v/>
      </c>
      <c r="O408" s="43">
        <f>IF(O394&gt;=0,O$4,"")</f>
        <v/>
      </c>
      <c r="P408" s="43">
        <f>IF(P394&gt;=0,P$4,"")</f>
        <v/>
      </c>
      <c r="Q408" s="43">
        <f>IF(Q394&gt;=0,Q$4,"")</f>
        <v/>
      </c>
      <c r="R408" s="43">
        <f>IF(R394&gt;=0,R$4,"")</f>
        <v/>
      </c>
      <c r="S408" s="43">
        <f>IF(S394&gt;=0,S$4,"")</f>
        <v/>
      </c>
      <c r="T408" s="43">
        <f>IF(T394&gt;=0,T$4,"")</f>
        <v/>
      </c>
      <c r="U408" s="43">
        <f>IF(U394&gt;=0,U$4,"")</f>
        <v/>
      </c>
      <c r="V408" s="43">
        <f>IF(V394&gt;=0,V$4,"")</f>
        <v/>
      </c>
      <c r="W408" s="43">
        <f>IF(W394&gt;=0,W$4,"")</f>
        <v/>
      </c>
      <c r="X408" s="43">
        <f>IF(X394&gt;=0,X$4,"")</f>
        <v/>
      </c>
      <c r="Y408" s="43">
        <f>IF(Y394&gt;=0,Y$4,"")</f>
        <v/>
      </c>
      <c r="Z408" s="43">
        <f>IF(Z394&gt;=0,Z$4,"")</f>
        <v/>
      </c>
      <c r="AA408" s="43">
        <f>IF(AA394&gt;=0,AA$4,"")</f>
        <v/>
      </c>
      <c r="AB408" s="43">
        <f>IF(AB394&gt;=0,AB$4,"")</f>
        <v/>
      </c>
      <c r="AC408" s="43">
        <f>IF(AC394&gt;=0,AC$4,"")</f>
        <v/>
      </c>
      <c r="AD408" s="43">
        <f>IF(AD394&gt;=0,AD$4,"")</f>
        <v/>
      </c>
      <c r="AE408" s="43">
        <f>IF(AE394&gt;=0,AE$4,"")</f>
        <v/>
      </c>
      <c r="AF408" s="43">
        <f>IF(AF394&gt;=0,AF$4,"")</f>
        <v/>
      </c>
      <c r="AG408" s="43">
        <f>IF(AG394&gt;=0,AG$4,"")</f>
        <v/>
      </c>
      <c r="AH408" s="43">
        <f>IF(AH394&gt;=0,AH$4,"")</f>
        <v/>
      </c>
      <c r="AI408" s="43">
        <f>IF(AI394&gt;=0,AI$4,"")</f>
        <v/>
      </c>
      <c r="AJ408" s="43">
        <f>IF(AJ394&gt;=0,AJ$4,"")</f>
        <v/>
      </c>
      <c r="AK408" s="43">
        <f>IF(AK394&gt;=0,AK$4,"")</f>
        <v/>
      </c>
      <c r="AL408" s="43">
        <f>IF(AL394&gt;=0,AL$4,"")</f>
        <v/>
      </c>
    </row>
    <row r="409">
      <c r="A409" s="7" t="inlineStr">
        <is>
          <t xml:space="preserve">   Month # if monthly operating result stays &gt;= 0 through month 36</t>
        </is>
      </c>
      <c r="B409" s="9" t="inlineStr">
        <is>
          <t>month</t>
        </is>
      </c>
      <c r="C409" s="43">
        <f>IF(COUNTIF(C394:$AL394,"&lt;0")=0,C$4,"")</f>
        <v/>
      </c>
      <c r="D409" s="43">
        <f>IF(COUNTIF(D394:$AL394,"&lt;0")=0,D$4,"")</f>
        <v/>
      </c>
      <c r="E409" s="43">
        <f>IF(COUNTIF(E394:$AL394,"&lt;0")=0,E$4,"")</f>
        <v/>
      </c>
      <c r="F409" s="43">
        <f>IF(COUNTIF(F394:$AL394,"&lt;0")=0,F$4,"")</f>
        <v/>
      </c>
      <c r="G409" s="43">
        <f>IF(COUNTIF(G394:$AL394,"&lt;0")=0,G$4,"")</f>
        <v/>
      </c>
      <c r="H409" s="43">
        <f>IF(COUNTIF(H394:$AL394,"&lt;0")=0,H$4,"")</f>
        <v/>
      </c>
      <c r="I409" s="43">
        <f>IF(COUNTIF(I394:$AL394,"&lt;0")=0,I$4,"")</f>
        <v/>
      </c>
      <c r="J409" s="43">
        <f>IF(COUNTIF(J394:$AL394,"&lt;0")=0,J$4,"")</f>
        <v/>
      </c>
      <c r="K409" s="43">
        <f>IF(COUNTIF(K394:$AL394,"&lt;0")=0,K$4,"")</f>
        <v/>
      </c>
      <c r="L409" s="43">
        <f>IF(COUNTIF(L394:$AL394,"&lt;0")=0,L$4,"")</f>
        <v/>
      </c>
      <c r="M409" s="43">
        <f>IF(COUNTIF(M394:$AL394,"&lt;0")=0,M$4,"")</f>
        <v/>
      </c>
      <c r="N409" s="43">
        <f>IF(COUNTIF(N394:$AL394,"&lt;0")=0,N$4,"")</f>
        <v/>
      </c>
      <c r="O409" s="43">
        <f>IF(COUNTIF(O394:$AL394,"&lt;0")=0,O$4,"")</f>
        <v/>
      </c>
      <c r="P409" s="43">
        <f>IF(COUNTIF(P394:$AL394,"&lt;0")=0,P$4,"")</f>
        <v/>
      </c>
      <c r="Q409" s="43">
        <f>IF(COUNTIF(Q394:$AL394,"&lt;0")=0,Q$4,"")</f>
        <v/>
      </c>
      <c r="R409" s="43">
        <f>IF(COUNTIF(R394:$AL394,"&lt;0")=0,R$4,"")</f>
        <v/>
      </c>
      <c r="S409" s="43">
        <f>IF(COUNTIF(S394:$AL394,"&lt;0")=0,S$4,"")</f>
        <v/>
      </c>
      <c r="T409" s="43">
        <f>IF(COUNTIF(T394:$AL394,"&lt;0")=0,T$4,"")</f>
        <v/>
      </c>
      <c r="U409" s="43">
        <f>IF(COUNTIF(U394:$AL394,"&lt;0")=0,U$4,"")</f>
        <v/>
      </c>
      <c r="V409" s="43">
        <f>IF(COUNTIF(V394:$AL394,"&lt;0")=0,V$4,"")</f>
        <v/>
      </c>
      <c r="W409" s="43">
        <f>IF(COUNTIF(W394:$AL394,"&lt;0")=0,W$4,"")</f>
        <v/>
      </c>
      <c r="X409" s="43">
        <f>IF(COUNTIF(X394:$AL394,"&lt;0")=0,X$4,"")</f>
        <v/>
      </c>
      <c r="Y409" s="43">
        <f>IF(COUNTIF(Y394:$AL394,"&lt;0")=0,Y$4,"")</f>
        <v/>
      </c>
      <c r="Z409" s="43">
        <f>IF(COUNTIF(Z394:$AL394,"&lt;0")=0,Z$4,"")</f>
        <v/>
      </c>
      <c r="AA409" s="43">
        <f>IF(COUNTIF(AA394:$AL394,"&lt;0")=0,AA$4,"")</f>
        <v/>
      </c>
      <c r="AB409" s="43">
        <f>IF(COUNTIF(AB394:$AL394,"&lt;0")=0,AB$4,"")</f>
        <v/>
      </c>
      <c r="AC409" s="43">
        <f>IF(COUNTIF(AC394:$AL394,"&lt;0")=0,AC$4,"")</f>
        <v/>
      </c>
      <c r="AD409" s="43">
        <f>IF(COUNTIF(AD394:$AL394,"&lt;0")=0,AD$4,"")</f>
        <v/>
      </c>
      <c r="AE409" s="43">
        <f>IF(COUNTIF(AE394:$AL394,"&lt;0")=0,AE$4,"")</f>
        <v/>
      </c>
      <c r="AF409" s="43">
        <f>IF(COUNTIF(AF394:$AL394,"&lt;0")=0,AF$4,"")</f>
        <v/>
      </c>
      <c r="AG409" s="43">
        <f>IF(COUNTIF(AG394:$AL394,"&lt;0")=0,AG$4,"")</f>
        <v/>
      </c>
      <c r="AH409" s="43">
        <f>IF(COUNTIF(AH394:$AL394,"&lt;0")=0,AH$4,"")</f>
        <v/>
      </c>
      <c r="AI409" s="43">
        <f>IF(COUNTIF(AI394:$AL394,"&lt;0")=0,AI$4,"")</f>
        <v/>
      </c>
      <c r="AJ409" s="43">
        <f>IF(COUNTIF(AJ394:$AL394,"&lt;0")=0,AJ$4,"")</f>
        <v/>
      </c>
      <c r="AK409" s="43">
        <f>IF(COUNTIF(AK394:$AL394,"&lt;0")=0,AK$4,"")</f>
        <v/>
      </c>
      <c r="AL409" s="43">
        <f>IF(COUNTIF(AL394:$AL394,"&lt;0")=0,AL$4,"")</f>
        <v/>
      </c>
    </row>
    <row r="410">
      <c r="A410" s="7" t="inlineStr">
        <is>
          <t xml:space="preserve">   Month # if trailing-12-month result stays &gt;= 0 through month 36 (headline)</t>
        </is>
      </c>
      <c r="B410" s="9" t="inlineStr">
        <is>
          <t>month</t>
        </is>
      </c>
      <c r="C410" s="43">
        <f>IF(COUNTIF(C395:$AL395,"&lt;0")=0,C$4,"")</f>
        <v/>
      </c>
      <c r="D410" s="43">
        <f>IF(COUNTIF(D395:$AL395,"&lt;0")=0,D$4,"")</f>
        <v/>
      </c>
      <c r="E410" s="43">
        <f>IF(COUNTIF(E395:$AL395,"&lt;0")=0,E$4,"")</f>
        <v/>
      </c>
      <c r="F410" s="43">
        <f>IF(COUNTIF(F395:$AL395,"&lt;0")=0,F$4,"")</f>
        <v/>
      </c>
      <c r="G410" s="43">
        <f>IF(COUNTIF(G395:$AL395,"&lt;0")=0,G$4,"")</f>
        <v/>
      </c>
      <c r="H410" s="43">
        <f>IF(COUNTIF(H395:$AL395,"&lt;0")=0,H$4,"")</f>
        <v/>
      </c>
      <c r="I410" s="43">
        <f>IF(COUNTIF(I395:$AL395,"&lt;0")=0,I$4,"")</f>
        <v/>
      </c>
      <c r="J410" s="43">
        <f>IF(COUNTIF(J395:$AL395,"&lt;0")=0,J$4,"")</f>
        <v/>
      </c>
      <c r="K410" s="43">
        <f>IF(COUNTIF(K395:$AL395,"&lt;0")=0,K$4,"")</f>
        <v/>
      </c>
      <c r="L410" s="43">
        <f>IF(COUNTIF(L395:$AL395,"&lt;0")=0,L$4,"")</f>
        <v/>
      </c>
      <c r="M410" s="43">
        <f>IF(COUNTIF(M395:$AL395,"&lt;0")=0,M$4,"")</f>
        <v/>
      </c>
      <c r="N410" s="43">
        <f>IF(COUNTIF(N395:$AL395,"&lt;0")=0,N$4,"")</f>
        <v/>
      </c>
      <c r="O410" s="43">
        <f>IF(COUNTIF(O395:$AL395,"&lt;0")=0,O$4,"")</f>
        <v/>
      </c>
      <c r="P410" s="43">
        <f>IF(COUNTIF(P395:$AL395,"&lt;0")=0,P$4,"")</f>
        <v/>
      </c>
      <c r="Q410" s="43">
        <f>IF(COUNTIF(Q395:$AL395,"&lt;0")=0,Q$4,"")</f>
        <v/>
      </c>
      <c r="R410" s="43">
        <f>IF(COUNTIF(R395:$AL395,"&lt;0")=0,R$4,"")</f>
        <v/>
      </c>
      <c r="S410" s="43">
        <f>IF(COUNTIF(S395:$AL395,"&lt;0")=0,S$4,"")</f>
        <v/>
      </c>
      <c r="T410" s="43">
        <f>IF(COUNTIF(T395:$AL395,"&lt;0")=0,T$4,"")</f>
        <v/>
      </c>
      <c r="U410" s="43">
        <f>IF(COUNTIF(U395:$AL395,"&lt;0")=0,U$4,"")</f>
        <v/>
      </c>
      <c r="V410" s="43">
        <f>IF(COUNTIF(V395:$AL395,"&lt;0")=0,V$4,"")</f>
        <v/>
      </c>
      <c r="W410" s="43">
        <f>IF(COUNTIF(W395:$AL395,"&lt;0")=0,W$4,"")</f>
        <v/>
      </c>
      <c r="X410" s="43">
        <f>IF(COUNTIF(X395:$AL395,"&lt;0")=0,X$4,"")</f>
        <v/>
      </c>
      <c r="Y410" s="43">
        <f>IF(COUNTIF(Y395:$AL395,"&lt;0")=0,Y$4,"")</f>
        <v/>
      </c>
      <c r="Z410" s="43">
        <f>IF(COUNTIF(Z395:$AL395,"&lt;0")=0,Z$4,"")</f>
        <v/>
      </c>
      <c r="AA410" s="43">
        <f>IF(COUNTIF(AA395:$AL395,"&lt;0")=0,AA$4,"")</f>
        <v/>
      </c>
      <c r="AB410" s="43">
        <f>IF(COUNTIF(AB395:$AL395,"&lt;0")=0,AB$4,"")</f>
        <v/>
      </c>
      <c r="AC410" s="43">
        <f>IF(COUNTIF(AC395:$AL395,"&lt;0")=0,AC$4,"")</f>
        <v/>
      </c>
      <c r="AD410" s="43">
        <f>IF(COUNTIF(AD395:$AL395,"&lt;0")=0,AD$4,"")</f>
        <v/>
      </c>
      <c r="AE410" s="43">
        <f>IF(COUNTIF(AE395:$AL395,"&lt;0")=0,AE$4,"")</f>
        <v/>
      </c>
      <c r="AF410" s="43">
        <f>IF(COUNTIF(AF395:$AL395,"&lt;0")=0,AF$4,"")</f>
        <v/>
      </c>
      <c r="AG410" s="43">
        <f>IF(COUNTIF(AG395:$AL395,"&lt;0")=0,AG$4,"")</f>
        <v/>
      </c>
      <c r="AH410" s="43">
        <f>IF(COUNTIF(AH395:$AL395,"&lt;0")=0,AH$4,"")</f>
        <v/>
      </c>
      <c r="AI410" s="43">
        <f>IF(COUNTIF(AI395:$AL395,"&lt;0")=0,AI$4,"")</f>
        <v/>
      </c>
      <c r="AJ410" s="43">
        <f>IF(COUNTIF(AJ395:$AL395,"&lt;0")=0,AJ$4,"")</f>
        <v/>
      </c>
      <c r="AK410" s="43">
        <f>IF(COUNTIF(AK395:$AL395,"&lt;0")=0,AK$4,"")</f>
        <v/>
      </c>
      <c r="AL410" s="43">
        <f>IF(COUNTIF(AL395:$AL395,"&lt;0")=0,AL$4,"")</f>
        <v/>
      </c>
    </row>
  </sheetData>
  <mergeCells count="1">
    <mergeCell ref="A2:P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AP99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2" customWidth="1" min="39" max="39"/>
    <col width="12" customWidth="1" min="40" max="40"/>
    <col width="12" customWidth="1" min="41" max="41"/>
    <col width="12" customWidth="1" min="42" max="42"/>
  </cols>
  <sheetData>
    <row r="1">
      <c r="A1" s="20" t="inlineStr">
        <is>
          <t>Cash flow: payout delays, inventory purchases, one-time costs and the tax reserve</t>
        </is>
      </c>
    </row>
    <row r="2" ht="28" customHeight="1">
      <c r="A2" s="2" t="inlineStr">
        <is>
          <t>Marketplace payouts arrive after the sale month (KDP about 60 days, IngramSpark about 90 days; see Assumptions section 4). Costs are negative. Sales tax and VAT are pass-through and excluded. Founder capital goes in whenever the operating account would fall below zero, so the cumulative founder capital row is the funding need. The tax reserve holds 25% of cumulative profit after one-time costs (none while cumulative results are negative); the accountant sets the real figure.</t>
        </is>
      </c>
    </row>
    <row r="3"/>
    <row r="4">
      <c r="A4" s="10" t="inlineStr">
        <is>
          <t>Model month #</t>
        </is>
      </c>
      <c r="C4" s="18">
        <f>'36-Month Forecast'!C4</f>
        <v/>
      </c>
      <c r="D4" s="18">
        <f>'36-Month Forecast'!D4</f>
        <v/>
      </c>
      <c r="E4" s="18">
        <f>'36-Month Forecast'!E4</f>
        <v/>
      </c>
      <c r="F4" s="18">
        <f>'36-Month Forecast'!F4</f>
        <v/>
      </c>
      <c r="G4" s="18">
        <f>'36-Month Forecast'!G4</f>
        <v/>
      </c>
      <c r="H4" s="18">
        <f>'36-Month Forecast'!H4</f>
        <v/>
      </c>
      <c r="I4" s="18">
        <f>'36-Month Forecast'!I4</f>
        <v/>
      </c>
      <c r="J4" s="18">
        <f>'36-Month Forecast'!J4</f>
        <v/>
      </c>
      <c r="K4" s="18">
        <f>'36-Month Forecast'!K4</f>
        <v/>
      </c>
      <c r="L4" s="18">
        <f>'36-Month Forecast'!L4</f>
        <v/>
      </c>
      <c r="M4" s="18">
        <f>'36-Month Forecast'!M4</f>
        <v/>
      </c>
      <c r="N4" s="18">
        <f>'36-Month Forecast'!N4</f>
        <v/>
      </c>
      <c r="O4" s="18">
        <f>'36-Month Forecast'!O4</f>
        <v/>
      </c>
      <c r="P4" s="18">
        <f>'36-Month Forecast'!P4</f>
        <v/>
      </c>
      <c r="Q4" s="18">
        <f>'36-Month Forecast'!Q4</f>
        <v/>
      </c>
      <c r="R4" s="18">
        <f>'36-Month Forecast'!R4</f>
        <v/>
      </c>
      <c r="S4" s="18">
        <f>'36-Month Forecast'!S4</f>
        <v/>
      </c>
      <c r="T4" s="18">
        <f>'36-Month Forecast'!T4</f>
        <v/>
      </c>
      <c r="U4" s="18">
        <f>'36-Month Forecast'!U4</f>
        <v/>
      </c>
      <c r="V4" s="18">
        <f>'36-Month Forecast'!V4</f>
        <v/>
      </c>
      <c r="W4" s="18">
        <f>'36-Month Forecast'!W4</f>
        <v/>
      </c>
      <c r="X4" s="18">
        <f>'36-Month Forecast'!X4</f>
        <v/>
      </c>
      <c r="Y4" s="18">
        <f>'36-Month Forecast'!Y4</f>
        <v/>
      </c>
      <c r="Z4" s="18">
        <f>'36-Month Forecast'!Z4</f>
        <v/>
      </c>
      <c r="AA4" s="18">
        <f>'36-Month Forecast'!AA4</f>
        <v/>
      </c>
      <c r="AB4" s="18">
        <f>'36-Month Forecast'!AB4</f>
        <v/>
      </c>
      <c r="AC4" s="18">
        <f>'36-Month Forecast'!AC4</f>
        <v/>
      </c>
      <c r="AD4" s="18">
        <f>'36-Month Forecast'!AD4</f>
        <v/>
      </c>
      <c r="AE4" s="18">
        <f>'36-Month Forecast'!AE4</f>
        <v/>
      </c>
      <c r="AF4" s="18">
        <f>'36-Month Forecast'!AF4</f>
        <v/>
      </c>
      <c r="AG4" s="18">
        <f>'36-Month Forecast'!AG4</f>
        <v/>
      </c>
      <c r="AH4" s="18">
        <f>'36-Month Forecast'!AH4</f>
        <v/>
      </c>
      <c r="AI4" s="18">
        <f>'36-Month Forecast'!AI4</f>
        <v/>
      </c>
      <c r="AJ4" s="18">
        <f>'36-Month Forecast'!AJ4</f>
        <v/>
      </c>
      <c r="AK4" s="18">
        <f>'36-Month Forecast'!AK4</f>
        <v/>
      </c>
      <c r="AL4" s="18">
        <f>'36-Month Forecast'!AL4</f>
        <v/>
      </c>
    </row>
    <row r="5">
      <c r="A5" s="10" t="inlineStr">
        <is>
          <t>Month</t>
        </is>
      </c>
      <c r="C5" s="50">
        <f>'36-Month Forecast'!C5</f>
        <v/>
      </c>
      <c r="D5" s="50">
        <f>'36-Month Forecast'!D5</f>
        <v/>
      </c>
      <c r="E5" s="50">
        <f>'36-Month Forecast'!E5</f>
        <v/>
      </c>
      <c r="F5" s="50">
        <f>'36-Month Forecast'!F5</f>
        <v/>
      </c>
      <c r="G5" s="50">
        <f>'36-Month Forecast'!G5</f>
        <v/>
      </c>
      <c r="H5" s="50">
        <f>'36-Month Forecast'!H5</f>
        <v/>
      </c>
      <c r="I5" s="50">
        <f>'36-Month Forecast'!I5</f>
        <v/>
      </c>
      <c r="J5" s="50">
        <f>'36-Month Forecast'!J5</f>
        <v/>
      </c>
      <c r="K5" s="50">
        <f>'36-Month Forecast'!K5</f>
        <v/>
      </c>
      <c r="L5" s="50">
        <f>'36-Month Forecast'!L5</f>
        <v/>
      </c>
      <c r="M5" s="50">
        <f>'36-Month Forecast'!M5</f>
        <v/>
      </c>
      <c r="N5" s="50">
        <f>'36-Month Forecast'!N5</f>
        <v/>
      </c>
      <c r="O5" s="50">
        <f>'36-Month Forecast'!O5</f>
        <v/>
      </c>
      <c r="P5" s="50">
        <f>'36-Month Forecast'!P5</f>
        <v/>
      </c>
      <c r="Q5" s="50">
        <f>'36-Month Forecast'!Q5</f>
        <v/>
      </c>
      <c r="R5" s="50">
        <f>'36-Month Forecast'!R5</f>
        <v/>
      </c>
      <c r="S5" s="50">
        <f>'36-Month Forecast'!S5</f>
        <v/>
      </c>
      <c r="T5" s="50">
        <f>'36-Month Forecast'!T5</f>
        <v/>
      </c>
      <c r="U5" s="50">
        <f>'36-Month Forecast'!U5</f>
        <v/>
      </c>
      <c r="V5" s="50">
        <f>'36-Month Forecast'!V5</f>
        <v/>
      </c>
      <c r="W5" s="50">
        <f>'36-Month Forecast'!W5</f>
        <v/>
      </c>
      <c r="X5" s="50">
        <f>'36-Month Forecast'!X5</f>
        <v/>
      </c>
      <c r="Y5" s="50">
        <f>'36-Month Forecast'!Y5</f>
        <v/>
      </c>
      <c r="Z5" s="50">
        <f>'36-Month Forecast'!Z5</f>
        <v/>
      </c>
      <c r="AA5" s="50">
        <f>'36-Month Forecast'!AA5</f>
        <v/>
      </c>
      <c r="AB5" s="50">
        <f>'36-Month Forecast'!AB5</f>
        <v/>
      </c>
      <c r="AC5" s="50">
        <f>'36-Month Forecast'!AC5</f>
        <v/>
      </c>
      <c r="AD5" s="50">
        <f>'36-Month Forecast'!AD5</f>
        <v/>
      </c>
      <c r="AE5" s="50">
        <f>'36-Month Forecast'!AE5</f>
        <v/>
      </c>
      <c r="AF5" s="50">
        <f>'36-Month Forecast'!AF5</f>
        <v/>
      </c>
      <c r="AG5" s="50">
        <f>'36-Month Forecast'!AG5</f>
        <v/>
      </c>
      <c r="AH5" s="50">
        <f>'36-Month Forecast'!AH5</f>
        <v/>
      </c>
      <c r="AI5" s="50">
        <f>'36-Month Forecast'!AI5</f>
        <v/>
      </c>
      <c r="AJ5" s="50">
        <f>'36-Month Forecast'!AJ5</f>
        <v/>
      </c>
      <c r="AK5" s="50">
        <f>'36-Month Forecast'!AK5</f>
        <v/>
      </c>
      <c r="AL5" s="50">
        <f>'36-Month Forecast'!AL5</f>
        <v/>
      </c>
      <c r="AM5" s="4" t="inlineStr">
        <is>
          <t>Year 1</t>
        </is>
      </c>
      <c r="AN5" s="4" t="inlineStr">
        <is>
          <t>Year 2</t>
        </is>
      </c>
      <c r="AO5" s="4" t="inlineStr">
        <is>
          <t>Year 3</t>
        </is>
      </c>
      <c r="AP5" s="4" t="inlineStr">
        <is>
          <t>36 months</t>
        </is>
      </c>
    </row>
    <row r="6">
      <c r="A6" s="10" t="inlineStr">
        <is>
          <t>Model year</t>
        </is>
      </c>
      <c r="C6" s="18">
        <f>'36-Month Forecast'!C6</f>
        <v/>
      </c>
      <c r="D6" s="18">
        <f>'36-Month Forecast'!D6</f>
        <v/>
      </c>
      <c r="E6" s="18">
        <f>'36-Month Forecast'!E6</f>
        <v/>
      </c>
      <c r="F6" s="18">
        <f>'36-Month Forecast'!F6</f>
        <v/>
      </c>
      <c r="G6" s="18">
        <f>'36-Month Forecast'!G6</f>
        <v/>
      </c>
      <c r="H6" s="18">
        <f>'36-Month Forecast'!H6</f>
        <v/>
      </c>
      <c r="I6" s="18">
        <f>'36-Month Forecast'!I6</f>
        <v/>
      </c>
      <c r="J6" s="18">
        <f>'36-Month Forecast'!J6</f>
        <v/>
      </c>
      <c r="K6" s="18">
        <f>'36-Month Forecast'!K6</f>
        <v/>
      </c>
      <c r="L6" s="18">
        <f>'36-Month Forecast'!L6</f>
        <v/>
      </c>
      <c r="M6" s="18">
        <f>'36-Month Forecast'!M6</f>
        <v/>
      </c>
      <c r="N6" s="18">
        <f>'36-Month Forecast'!N6</f>
        <v/>
      </c>
      <c r="O6" s="18">
        <f>'36-Month Forecast'!O6</f>
        <v/>
      </c>
      <c r="P6" s="18">
        <f>'36-Month Forecast'!P6</f>
        <v/>
      </c>
      <c r="Q6" s="18">
        <f>'36-Month Forecast'!Q6</f>
        <v/>
      </c>
      <c r="R6" s="18">
        <f>'36-Month Forecast'!R6</f>
        <v/>
      </c>
      <c r="S6" s="18">
        <f>'36-Month Forecast'!S6</f>
        <v/>
      </c>
      <c r="T6" s="18">
        <f>'36-Month Forecast'!T6</f>
        <v/>
      </c>
      <c r="U6" s="18">
        <f>'36-Month Forecast'!U6</f>
        <v/>
      </c>
      <c r="V6" s="18">
        <f>'36-Month Forecast'!V6</f>
        <v/>
      </c>
      <c r="W6" s="18">
        <f>'36-Month Forecast'!W6</f>
        <v/>
      </c>
      <c r="X6" s="18">
        <f>'36-Month Forecast'!X6</f>
        <v/>
      </c>
      <c r="Y6" s="18">
        <f>'36-Month Forecast'!Y6</f>
        <v/>
      </c>
      <c r="Z6" s="18">
        <f>'36-Month Forecast'!Z6</f>
        <v/>
      </c>
      <c r="AA6" s="18">
        <f>'36-Month Forecast'!AA6</f>
        <v/>
      </c>
      <c r="AB6" s="18">
        <f>'36-Month Forecast'!AB6</f>
        <v/>
      </c>
      <c r="AC6" s="18">
        <f>'36-Month Forecast'!AC6</f>
        <v/>
      </c>
      <c r="AD6" s="18">
        <f>'36-Month Forecast'!AD6</f>
        <v/>
      </c>
      <c r="AE6" s="18">
        <f>'36-Month Forecast'!AE6</f>
        <v/>
      </c>
      <c r="AF6" s="18">
        <f>'36-Month Forecast'!AF6</f>
        <v/>
      </c>
      <c r="AG6" s="18">
        <f>'36-Month Forecast'!AG6</f>
        <v/>
      </c>
      <c r="AH6" s="18">
        <f>'36-Month Forecast'!AH6</f>
        <v/>
      </c>
      <c r="AI6" s="18">
        <f>'36-Month Forecast'!AI6</f>
        <v/>
      </c>
      <c r="AJ6" s="18">
        <f>'36-Month Forecast'!AJ6</f>
        <v/>
      </c>
      <c r="AK6" s="18">
        <f>'36-Month Forecast'!AK6</f>
        <v/>
      </c>
      <c r="AL6" s="18">
        <f>'36-Month Forecast'!AL6</f>
        <v/>
      </c>
    </row>
    <row r="8">
      <c r="A8" s="3" t="inlineStr">
        <is>
          <t>CONSERVATIVE SCENARIO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  <c r="AP8" s="4" t="n"/>
    </row>
    <row r="9">
      <c r="A9" s="7" t="inlineStr">
        <is>
          <t xml:space="preserve">   Payout: Own site: printables and PDFs (Shopify)</t>
        </is>
      </c>
      <c r="C9" s="8">
        <f>IF(C$4-'Assumptions'!$C$80&gt;=1,INDEX('36-Month Forecast'!$C$28:$AL$28,1,C$4-'Assumptions'!$C$80)+INDEX('36-Month Forecast'!$C$25:$AL$25,1,C$4-'Assumptions'!$C$80)*'Unit Economics'!$H$49,0)</f>
        <v/>
      </c>
      <c r="D9" s="8">
        <f>IF(D$4-'Assumptions'!$C$80&gt;=1,INDEX('36-Month Forecast'!$C$28:$AL$28,1,D$4-'Assumptions'!$C$80)+INDEX('36-Month Forecast'!$C$25:$AL$25,1,D$4-'Assumptions'!$C$80)*'Unit Economics'!$H$49,0)</f>
        <v/>
      </c>
      <c r="E9" s="8">
        <f>IF(E$4-'Assumptions'!$C$80&gt;=1,INDEX('36-Month Forecast'!$C$28:$AL$28,1,E$4-'Assumptions'!$C$80)+INDEX('36-Month Forecast'!$C$25:$AL$25,1,E$4-'Assumptions'!$C$80)*'Unit Economics'!$H$49,0)</f>
        <v/>
      </c>
      <c r="F9" s="8">
        <f>IF(F$4-'Assumptions'!$C$80&gt;=1,INDEX('36-Month Forecast'!$C$28:$AL$28,1,F$4-'Assumptions'!$C$80)+INDEX('36-Month Forecast'!$C$25:$AL$25,1,F$4-'Assumptions'!$C$80)*'Unit Economics'!$H$49,0)</f>
        <v/>
      </c>
      <c r="G9" s="8">
        <f>IF(G$4-'Assumptions'!$C$80&gt;=1,INDEX('36-Month Forecast'!$C$28:$AL$28,1,G$4-'Assumptions'!$C$80)+INDEX('36-Month Forecast'!$C$25:$AL$25,1,G$4-'Assumptions'!$C$80)*'Unit Economics'!$H$49,0)</f>
        <v/>
      </c>
      <c r="H9" s="8">
        <f>IF(H$4-'Assumptions'!$C$80&gt;=1,INDEX('36-Month Forecast'!$C$28:$AL$28,1,H$4-'Assumptions'!$C$80)+INDEX('36-Month Forecast'!$C$25:$AL$25,1,H$4-'Assumptions'!$C$80)*'Unit Economics'!$H$49,0)</f>
        <v/>
      </c>
      <c r="I9" s="8">
        <f>IF(I$4-'Assumptions'!$C$80&gt;=1,INDEX('36-Month Forecast'!$C$28:$AL$28,1,I$4-'Assumptions'!$C$80)+INDEX('36-Month Forecast'!$C$25:$AL$25,1,I$4-'Assumptions'!$C$80)*'Unit Economics'!$H$49,0)</f>
        <v/>
      </c>
      <c r="J9" s="8">
        <f>IF(J$4-'Assumptions'!$C$80&gt;=1,INDEX('36-Month Forecast'!$C$28:$AL$28,1,J$4-'Assumptions'!$C$80)+INDEX('36-Month Forecast'!$C$25:$AL$25,1,J$4-'Assumptions'!$C$80)*'Unit Economics'!$H$49,0)</f>
        <v/>
      </c>
      <c r="K9" s="8">
        <f>IF(K$4-'Assumptions'!$C$80&gt;=1,INDEX('36-Month Forecast'!$C$28:$AL$28,1,K$4-'Assumptions'!$C$80)+INDEX('36-Month Forecast'!$C$25:$AL$25,1,K$4-'Assumptions'!$C$80)*'Unit Economics'!$H$49,0)</f>
        <v/>
      </c>
      <c r="L9" s="8">
        <f>IF(L$4-'Assumptions'!$C$80&gt;=1,INDEX('36-Month Forecast'!$C$28:$AL$28,1,L$4-'Assumptions'!$C$80)+INDEX('36-Month Forecast'!$C$25:$AL$25,1,L$4-'Assumptions'!$C$80)*'Unit Economics'!$H$49,0)</f>
        <v/>
      </c>
      <c r="M9" s="8">
        <f>IF(M$4-'Assumptions'!$C$80&gt;=1,INDEX('36-Month Forecast'!$C$28:$AL$28,1,M$4-'Assumptions'!$C$80)+INDEX('36-Month Forecast'!$C$25:$AL$25,1,M$4-'Assumptions'!$C$80)*'Unit Economics'!$H$49,0)</f>
        <v/>
      </c>
      <c r="N9" s="8">
        <f>IF(N$4-'Assumptions'!$C$80&gt;=1,INDEX('36-Month Forecast'!$C$28:$AL$28,1,N$4-'Assumptions'!$C$80)+INDEX('36-Month Forecast'!$C$25:$AL$25,1,N$4-'Assumptions'!$C$80)*'Unit Economics'!$H$49,0)</f>
        <v/>
      </c>
      <c r="O9" s="8">
        <f>IF(O$4-'Assumptions'!$C$80&gt;=1,INDEX('36-Month Forecast'!$C$28:$AL$28,1,O$4-'Assumptions'!$C$80)+INDEX('36-Month Forecast'!$C$25:$AL$25,1,O$4-'Assumptions'!$C$80)*'Unit Economics'!$H$49,0)</f>
        <v/>
      </c>
      <c r="P9" s="8">
        <f>IF(P$4-'Assumptions'!$C$80&gt;=1,INDEX('36-Month Forecast'!$C$28:$AL$28,1,P$4-'Assumptions'!$C$80)+INDEX('36-Month Forecast'!$C$25:$AL$25,1,P$4-'Assumptions'!$C$80)*'Unit Economics'!$H$49,0)</f>
        <v/>
      </c>
      <c r="Q9" s="8">
        <f>IF(Q$4-'Assumptions'!$C$80&gt;=1,INDEX('36-Month Forecast'!$C$28:$AL$28,1,Q$4-'Assumptions'!$C$80)+INDEX('36-Month Forecast'!$C$25:$AL$25,1,Q$4-'Assumptions'!$C$80)*'Unit Economics'!$H$49,0)</f>
        <v/>
      </c>
      <c r="R9" s="8">
        <f>IF(R$4-'Assumptions'!$C$80&gt;=1,INDEX('36-Month Forecast'!$C$28:$AL$28,1,R$4-'Assumptions'!$C$80)+INDEX('36-Month Forecast'!$C$25:$AL$25,1,R$4-'Assumptions'!$C$80)*'Unit Economics'!$H$49,0)</f>
        <v/>
      </c>
      <c r="S9" s="8">
        <f>IF(S$4-'Assumptions'!$C$80&gt;=1,INDEX('36-Month Forecast'!$C$28:$AL$28,1,S$4-'Assumptions'!$C$80)+INDEX('36-Month Forecast'!$C$25:$AL$25,1,S$4-'Assumptions'!$C$80)*'Unit Economics'!$H$49,0)</f>
        <v/>
      </c>
      <c r="T9" s="8">
        <f>IF(T$4-'Assumptions'!$C$80&gt;=1,INDEX('36-Month Forecast'!$C$28:$AL$28,1,T$4-'Assumptions'!$C$80)+INDEX('36-Month Forecast'!$C$25:$AL$25,1,T$4-'Assumptions'!$C$80)*'Unit Economics'!$H$49,0)</f>
        <v/>
      </c>
      <c r="U9" s="8">
        <f>IF(U$4-'Assumptions'!$C$80&gt;=1,INDEX('36-Month Forecast'!$C$28:$AL$28,1,U$4-'Assumptions'!$C$80)+INDEX('36-Month Forecast'!$C$25:$AL$25,1,U$4-'Assumptions'!$C$80)*'Unit Economics'!$H$49,0)</f>
        <v/>
      </c>
      <c r="V9" s="8">
        <f>IF(V$4-'Assumptions'!$C$80&gt;=1,INDEX('36-Month Forecast'!$C$28:$AL$28,1,V$4-'Assumptions'!$C$80)+INDEX('36-Month Forecast'!$C$25:$AL$25,1,V$4-'Assumptions'!$C$80)*'Unit Economics'!$H$49,0)</f>
        <v/>
      </c>
      <c r="W9" s="8">
        <f>IF(W$4-'Assumptions'!$C$80&gt;=1,INDEX('36-Month Forecast'!$C$28:$AL$28,1,W$4-'Assumptions'!$C$80)+INDEX('36-Month Forecast'!$C$25:$AL$25,1,W$4-'Assumptions'!$C$80)*'Unit Economics'!$H$49,0)</f>
        <v/>
      </c>
      <c r="X9" s="8">
        <f>IF(X$4-'Assumptions'!$C$80&gt;=1,INDEX('36-Month Forecast'!$C$28:$AL$28,1,X$4-'Assumptions'!$C$80)+INDEX('36-Month Forecast'!$C$25:$AL$25,1,X$4-'Assumptions'!$C$80)*'Unit Economics'!$H$49,0)</f>
        <v/>
      </c>
      <c r="Y9" s="8">
        <f>IF(Y$4-'Assumptions'!$C$80&gt;=1,INDEX('36-Month Forecast'!$C$28:$AL$28,1,Y$4-'Assumptions'!$C$80)+INDEX('36-Month Forecast'!$C$25:$AL$25,1,Y$4-'Assumptions'!$C$80)*'Unit Economics'!$H$49,0)</f>
        <v/>
      </c>
      <c r="Z9" s="8">
        <f>IF(Z$4-'Assumptions'!$C$80&gt;=1,INDEX('36-Month Forecast'!$C$28:$AL$28,1,Z$4-'Assumptions'!$C$80)+INDEX('36-Month Forecast'!$C$25:$AL$25,1,Z$4-'Assumptions'!$C$80)*'Unit Economics'!$H$49,0)</f>
        <v/>
      </c>
      <c r="AA9" s="8">
        <f>IF(AA$4-'Assumptions'!$C$80&gt;=1,INDEX('36-Month Forecast'!$C$28:$AL$28,1,AA$4-'Assumptions'!$C$80)+INDEX('36-Month Forecast'!$C$25:$AL$25,1,AA$4-'Assumptions'!$C$80)*'Unit Economics'!$H$49,0)</f>
        <v/>
      </c>
      <c r="AB9" s="8">
        <f>IF(AB$4-'Assumptions'!$C$80&gt;=1,INDEX('36-Month Forecast'!$C$28:$AL$28,1,AB$4-'Assumptions'!$C$80)+INDEX('36-Month Forecast'!$C$25:$AL$25,1,AB$4-'Assumptions'!$C$80)*'Unit Economics'!$H$49,0)</f>
        <v/>
      </c>
      <c r="AC9" s="8">
        <f>IF(AC$4-'Assumptions'!$C$80&gt;=1,INDEX('36-Month Forecast'!$C$28:$AL$28,1,AC$4-'Assumptions'!$C$80)+INDEX('36-Month Forecast'!$C$25:$AL$25,1,AC$4-'Assumptions'!$C$80)*'Unit Economics'!$H$49,0)</f>
        <v/>
      </c>
      <c r="AD9" s="8">
        <f>IF(AD$4-'Assumptions'!$C$80&gt;=1,INDEX('36-Month Forecast'!$C$28:$AL$28,1,AD$4-'Assumptions'!$C$80)+INDEX('36-Month Forecast'!$C$25:$AL$25,1,AD$4-'Assumptions'!$C$80)*'Unit Economics'!$H$49,0)</f>
        <v/>
      </c>
      <c r="AE9" s="8">
        <f>IF(AE$4-'Assumptions'!$C$80&gt;=1,INDEX('36-Month Forecast'!$C$28:$AL$28,1,AE$4-'Assumptions'!$C$80)+INDEX('36-Month Forecast'!$C$25:$AL$25,1,AE$4-'Assumptions'!$C$80)*'Unit Economics'!$H$49,0)</f>
        <v/>
      </c>
      <c r="AF9" s="8">
        <f>IF(AF$4-'Assumptions'!$C$80&gt;=1,INDEX('36-Month Forecast'!$C$28:$AL$28,1,AF$4-'Assumptions'!$C$80)+INDEX('36-Month Forecast'!$C$25:$AL$25,1,AF$4-'Assumptions'!$C$80)*'Unit Economics'!$H$49,0)</f>
        <v/>
      </c>
      <c r="AG9" s="8">
        <f>IF(AG$4-'Assumptions'!$C$80&gt;=1,INDEX('36-Month Forecast'!$C$28:$AL$28,1,AG$4-'Assumptions'!$C$80)+INDEX('36-Month Forecast'!$C$25:$AL$25,1,AG$4-'Assumptions'!$C$80)*'Unit Economics'!$H$49,0)</f>
        <v/>
      </c>
      <c r="AH9" s="8">
        <f>IF(AH$4-'Assumptions'!$C$80&gt;=1,INDEX('36-Month Forecast'!$C$28:$AL$28,1,AH$4-'Assumptions'!$C$80)+INDEX('36-Month Forecast'!$C$25:$AL$25,1,AH$4-'Assumptions'!$C$80)*'Unit Economics'!$H$49,0)</f>
        <v/>
      </c>
      <c r="AI9" s="8">
        <f>IF(AI$4-'Assumptions'!$C$80&gt;=1,INDEX('36-Month Forecast'!$C$28:$AL$28,1,AI$4-'Assumptions'!$C$80)+INDEX('36-Month Forecast'!$C$25:$AL$25,1,AI$4-'Assumptions'!$C$80)*'Unit Economics'!$H$49,0)</f>
        <v/>
      </c>
      <c r="AJ9" s="8">
        <f>IF(AJ$4-'Assumptions'!$C$80&gt;=1,INDEX('36-Month Forecast'!$C$28:$AL$28,1,AJ$4-'Assumptions'!$C$80)+INDEX('36-Month Forecast'!$C$25:$AL$25,1,AJ$4-'Assumptions'!$C$80)*'Unit Economics'!$H$49,0)</f>
        <v/>
      </c>
      <c r="AK9" s="8">
        <f>IF(AK$4-'Assumptions'!$C$80&gt;=1,INDEX('36-Month Forecast'!$C$28:$AL$28,1,AK$4-'Assumptions'!$C$80)+INDEX('36-Month Forecast'!$C$25:$AL$25,1,AK$4-'Assumptions'!$C$80)*'Unit Economics'!$H$49,0)</f>
        <v/>
      </c>
      <c r="AL9" s="8">
        <f>IF(AL$4-'Assumptions'!$C$80&gt;=1,INDEX('36-Month Forecast'!$C$28:$AL$28,1,AL$4-'Assumptions'!$C$80)+INDEX('36-Month Forecast'!$C$25:$AL$25,1,AL$4-'Assumptions'!$C$80)*'Unit Economics'!$H$49,0)</f>
        <v/>
      </c>
      <c r="AM9" s="47">
        <f>SUMIF($C$6:$AL$6,1,C9:AL9)</f>
        <v/>
      </c>
      <c r="AN9" s="47">
        <f>SUMIF($C$6:$AL$6,2,C9:AL9)</f>
        <v/>
      </c>
      <c r="AO9" s="47">
        <f>SUMIF($C$6:$AL$6,3,C9:AL9)</f>
        <v/>
      </c>
      <c r="AP9" s="47">
        <f>SUM(C9:AL9)</f>
        <v/>
      </c>
    </row>
    <row r="10">
      <c r="A10" s="7" t="inlineStr">
        <is>
          <t xml:space="preserve">   Payout: Etsy: printables</t>
        </is>
      </c>
      <c r="C10" s="8">
        <f>IF(C$4-'Assumptions'!$C$81&gt;=1,INDEX('36-Month Forecast'!$C$38:$AL$38,1,C$4-'Assumptions'!$C$81)+INDEX('36-Month Forecast'!$C$35:$AL$35,1,C$4-'Assumptions'!$C$81)*'Unit Economics'!$H$50,0)</f>
        <v/>
      </c>
      <c r="D10" s="8">
        <f>IF(D$4-'Assumptions'!$C$81&gt;=1,INDEX('36-Month Forecast'!$C$38:$AL$38,1,D$4-'Assumptions'!$C$81)+INDEX('36-Month Forecast'!$C$35:$AL$35,1,D$4-'Assumptions'!$C$81)*'Unit Economics'!$H$50,0)</f>
        <v/>
      </c>
      <c r="E10" s="8">
        <f>IF(E$4-'Assumptions'!$C$81&gt;=1,INDEX('36-Month Forecast'!$C$38:$AL$38,1,E$4-'Assumptions'!$C$81)+INDEX('36-Month Forecast'!$C$35:$AL$35,1,E$4-'Assumptions'!$C$81)*'Unit Economics'!$H$50,0)</f>
        <v/>
      </c>
      <c r="F10" s="8">
        <f>IF(F$4-'Assumptions'!$C$81&gt;=1,INDEX('36-Month Forecast'!$C$38:$AL$38,1,F$4-'Assumptions'!$C$81)+INDEX('36-Month Forecast'!$C$35:$AL$35,1,F$4-'Assumptions'!$C$81)*'Unit Economics'!$H$50,0)</f>
        <v/>
      </c>
      <c r="G10" s="8">
        <f>IF(G$4-'Assumptions'!$C$81&gt;=1,INDEX('36-Month Forecast'!$C$38:$AL$38,1,G$4-'Assumptions'!$C$81)+INDEX('36-Month Forecast'!$C$35:$AL$35,1,G$4-'Assumptions'!$C$81)*'Unit Economics'!$H$50,0)</f>
        <v/>
      </c>
      <c r="H10" s="8">
        <f>IF(H$4-'Assumptions'!$C$81&gt;=1,INDEX('36-Month Forecast'!$C$38:$AL$38,1,H$4-'Assumptions'!$C$81)+INDEX('36-Month Forecast'!$C$35:$AL$35,1,H$4-'Assumptions'!$C$81)*'Unit Economics'!$H$50,0)</f>
        <v/>
      </c>
      <c r="I10" s="8">
        <f>IF(I$4-'Assumptions'!$C$81&gt;=1,INDEX('36-Month Forecast'!$C$38:$AL$38,1,I$4-'Assumptions'!$C$81)+INDEX('36-Month Forecast'!$C$35:$AL$35,1,I$4-'Assumptions'!$C$81)*'Unit Economics'!$H$50,0)</f>
        <v/>
      </c>
      <c r="J10" s="8">
        <f>IF(J$4-'Assumptions'!$C$81&gt;=1,INDEX('36-Month Forecast'!$C$38:$AL$38,1,J$4-'Assumptions'!$C$81)+INDEX('36-Month Forecast'!$C$35:$AL$35,1,J$4-'Assumptions'!$C$81)*'Unit Economics'!$H$50,0)</f>
        <v/>
      </c>
      <c r="K10" s="8">
        <f>IF(K$4-'Assumptions'!$C$81&gt;=1,INDEX('36-Month Forecast'!$C$38:$AL$38,1,K$4-'Assumptions'!$C$81)+INDEX('36-Month Forecast'!$C$35:$AL$35,1,K$4-'Assumptions'!$C$81)*'Unit Economics'!$H$50,0)</f>
        <v/>
      </c>
      <c r="L10" s="8">
        <f>IF(L$4-'Assumptions'!$C$81&gt;=1,INDEX('36-Month Forecast'!$C$38:$AL$38,1,L$4-'Assumptions'!$C$81)+INDEX('36-Month Forecast'!$C$35:$AL$35,1,L$4-'Assumptions'!$C$81)*'Unit Economics'!$H$50,0)</f>
        <v/>
      </c>
      <c r="M10" s="8">
        <f>IF(M$4-'Assumptions'!$C$81&gt;=1,INDEX('36-Month Forecast'!$C$38:$AL$38,1,M$4-'Assumptions'!$C$81)+INDEX('36-Month Forecast'!$C$35:$AL$35,1,M$4-'Assumptions'!$C$81)*'Unit Economics'!$H$50,0)</f>
        <v/>
      </c>
      <c r="N10" s="8">
        <f>IF(N$4-'Assumptions'!$C$81&gt;=1,INDEX('36-Month Forecast'!$C$38:$AL$38,1,N$4-'Assumptions'!$C$81)+INDEX('36-Month Forecast'!$C$35:$AL$35,1,N$4-'Assumptions'!$C$81)*'Unit Economics'!$H$50,0)</f>
        <v/>
      </c>
      <c r="O10" s="8">
        <f>IF(O$4-'Assumptions'!$C$81&gt;=1,INDEX('36-Month Forecast'!$C$38:$AL$38,1,O$4-'Assumptions'!$C$81)+INDEX('36-Month Forecast'!$C$35:$AL$35,1,O$4-'Assumptions'!$C$81)*'Unit Economics'!$H$50,0)</f>
        <v/>
      </c>
      <c r="P10" s="8">
        <f>IF(P$4-'Assumptions'!$C$81&gt;=1,INDEX('36-Month Forecast'!$C$38:$AL$38,1,P$4-'Assumptions'!$C$81)+INDEX('36-Month Forecast'!$C$35:$AL$35,1,P$4-'Assumptions'!$C$81)*'Unit Economics'!$H$50,0)</f>
        <v/>
      </c>
      <c r="Q10" s="8">
        <f>IF(Q$4-'Assumptions'!$C$81&gt;=1,INDEX('36-Month Forecast'!$C$38:$AL$38,1,Q$4-'Assumptions'!$C$81)+INDEX('36-Month Forecast'!$C$35:$AL$35,1,Q$4-'Assumptions'!$C$81)*'Unit Economics'!$H$50,0)</f>
        <v/>
      </c>
      <c r="R10" s="8">
        <f>IF(R$4-'Assumptions'!$C$81&gt;=1,INDEX('36-Month Forecast'!$C$38:$AL$38,1,R$4-'Assumptions'!$C$81)+INDEX('36-Month Forecast'!$C$35:$AL$35,1,R$4-'Assumptions'!$C$81)*'Unit Economics'!$H$50,0)</f>
        <v/>
      </c>
      <c r="S10" s="8">
        <f>IF(S$4-'Assumptions'!$C$81&gt;=1,INDEX('36-Month Forecast'!$C$38:$AL$38,1,S$4-'Assumptions'!$C$81)+INDEX('36-Month Forecast'!$C$35:$AL$35,1,S$4-'Assumptions'!$C$81)*'Unit Economics'!$H$50,0)</f>
        <v/>
      </c>
      <c r="T10" s="8">
        <f>IF(T$4-'Assumptions'!$C$81&gt;=1,INDEX('36-Month Forecast'!$C$38:$AL$38,1,T$4-'Assumptions'!$C$81)+INDEX('36-Month Forecast'!$C$35:$AL$35,1,T$4-'Assumptions'!$C$81)*'Unit Economics'!$H$50,0)</f>
        <v/>
      </c>
      <c r="U10" s="8">
        <f>IF(U$4-'Assumptions'!$C$81&gt;=1,INDEX('36-Month Forecast'!$C$38:$AL$38,1,U$4-'Assumptions'!$C$81)+INDEX('36-Month Forecast'!$C$35:$AL$35,1,U$4-'Assumptions'!$C$81)*'Unit Economics'!$H$50,0)</f>
        <v/>
      </c>
      <c r="V10" s="8">
        <f>IF(V$4-'Assumptions'!$C$81&gt;=1,INDEX('36-Month Forecast'!$C$38:$AL$38,1,V$4-'Assumptions'!$C$81)+INDEX('36-Month Forecast'!$C$35:$AL$35,1,V$4-'Assumptions'!$C$81)*'Unit Economics'!$H$50,0)</f>
        <v/>
      </c>
      <c r="W10" s="8">
        <f>IF(W$4-'Assumptions'!$C$81&gt;=1,INDEX('36-Month Forecast'!$C$38:$AL$38,1,W$4-'Assumptions'!$C$81)+INDEX('36-Month Forecast'!$C$35:$AL$35,1,W$4-'Assumptions'!$C$81)*'Unit Economics'!$H$50,0)</f>
        <v/>
      </c>
      <c r="X10" s="8">
        <f>IF(X$4-'Assumptions'!$C$81&gt;=1,INDEX('36-Month Forecast'!$C$38:$AL$38,1,X$4-'Assumptions'!$C$81)+INDEX('36-Month Forecast'!$C$35:$AL$35,1,X$4-'Assumptions'!$C$81)*'Unit Economics'!$H$50,0)</f>
        <v/>
      </c>
      <c r="Y10" s="8">
        <f>IF(Y$4-'Assumptions'!$C$81&gt;=1,INDEX('36-Month Forecast'!$C$38:$AL$38,1,Y$4-'Assumptions'!$C$81)+INDEX('36-Month Forecast'!$C$35:$AL$35,1,Y$4-'Assumptions'!$C$81)*'Unit Economics'!$H$50,0)</f>
        <v/>
      </c>
      <c r="Z10" s="8">
        <f>IF(Z$4-'Assumptions'!$C$81&gt;=1,INDEX('36-Month Forecast'!$C$38:$AL$38,1,Z$4-'Assumptions'!$C$81)+INDEX('36-Month Forecast'!$C$35:$AL$35,1,Z$4-'Assumptions'!$C$81)*'Unit Economics'!$H$50,0)</f>
        <v/>
      </c>
      <c r="AA10" s="8">
        <f>IF(AA$4-'Assumptions'!$C$81&gt;=1,INDEX('36-Month Forecast'!$C$38:$AL$38,1,AA$4-'Assumptions'!$C$81)+INDEX('36-Month Forecast'!$C$35:$AL$35,1,AA$4-'Assumptions'!$C$81)*'Unit Economics'!$H$50,0)</f>
        <v/>
      </c>
      <c r="AB10" s="8">
        <f>IF(AB$4-'Assumptions'!$C$81&gt;=1,INDEX('36-Month Forecast'!$C$38:$AL$38,1,AB$4-'Assumptions'!$C$81)+INDEX('36-Month Forecast'!$C$35:$AL$35,1,AB$4-'Assumptions'!$C$81)*'Unit Economics'!$H$50,0)</f>
        <v/>
      </c>
      <c r="AC10" s="8">
        <f>IF(AC$4-'Assumptions'!$C$81&gt;=1,INDEX('36-Month Forecast'!$C$38:$AL$38,1,AC$4-'Assumptions'!$C$81)+INDEX('36-Month Forecast'!$C$35:$AL$35,1,AC$4-'Assumptions'!$C$81)*'Unit Economics'!$H$50,0)</f>
        <v/>
      </c>
      <c r="AD10" s="8">
        <f>IF(AD$4-'Assumptions'!$C$81&gt;=1,INDEX('36-Month Forecast'!$C$38:$AL$38,1,AD$4-'Assumptions'!$C$81)+INDEX('36-Month Forecast'!$C$35:$AL$35,1,AD$4-'Assumptions'!$C$81)*'Unit Economics'!$H$50,0)</f>
        <v/>
      </c>
      <c r="AE10" s="8">
        <f>IF(AE$4-'Assumptions'!$C$81&gt;=1,INDEX('36-Month Forecast'!$C$38:$AL$38,1,AE$4-'Assumptions'!$C$81)+INDEX('36-Month Forecast'!$C$35:$AL$35,1,AE$4-'Assumptions'!$C$81)*'Unit Economics'!$H$50,0)</f>
        <v/>
      </c>
      <c r="AF10" s="8">
        <f>IF(AF$4-'Assumptions'!$C$81&gt;=1,INDEX('36-Month Forecast'!$C$38:$AL$38,1,AF$4-'Assumptions'!$C$81)+INDEX('36-Month Forecast'!$C$35:$AL$35,1,AF$4-'Assumptions'!$C$81)*'Unit Economics'!$H$50,0)</f>
        <v/>
      </c>
      <c r="AG10" s="8">
        <f>IF(AG$4-'Assumptions'!$C$81&gt;=1,INDEX('36-Month Forecast'!$C$38:$AL$38,1,AG$4-'Assumptions'!$C$81)+INDEX('36-Month Forecast'!$C$35:$AL$35,1,AG$4-'Assumptions'!$C$81)*'Unit Economics'!$H$50,0)</f>
        <v/>
      </c>
      <c r="AH10" s="8">
        <f>IF(AH$4-'Assumptions'!$C$81&gt;=1,INDEX('36-Month Forecast'!$C$38:$AL$38,1,AH$4-'Assumptions'!$C$81)+INDEX('36-Month Forecast'!$C$35:$AL$35,1,AH$4-'Assumptions'!$C$81)*'Unit Economics'!$H$50,0)</f>
        <v/>
      </c>
      <c r="AI10" s="8">
        <f>IF(AI$4-'Assumptions'!$C$81&gt;=1,INDEX('36-Month Forecast'!$C$38:$AL$38,1,AI$4-'Assumptions'!$C$81)+INDEX('36-Month Forecast'!$C$35:$AL$35,1,AI$4-'Assumptions'!$C$81)*'Unit Economics'!$H$50,0)</f>
        <v/>
      </c>
      <c r="AJ10" s="8">
        <f>IF(AJ$4-'Assumptions'!$C$81&gt;=1,INDEX('36-Month Forecast'!$C$38:$AL$38,1,AJ$4-'Assumptions'!$C$81)+INDEX('36-Month Forecast'!$C$35:$AL$35,1,AJ$4-'Assumptions'!$C$81)*'Unit Economics'!$H$50,0)</f>
        <v/>
      </c>
      <c r="AK10" s="8">
        <f>IF(AK$4-'Assumptions'!$C$81&gt;=1,INDEX('36-Month Forecast'!$C$38:$AL$38,1,AK$4-'Assumptions'!$C$81)+INDEX('36-Month Forecast'!$C$35:$AL$35,1,AK$4-'Assumptions'!$C$81)*'Unit Economics'!$H$50,0)</f>
        <v/>
      </c>
      <c r="AL10" s="8">
        <f>IF(AL$4-'Assumptions'!$C$81&gt;=1,INDEX('36-Month Forecast'!$C$38:$AL$38,1,AL$4-'Assumptions'!$C$81)+INDEX('36-Month Forecast'!$C$35:$AL$35,1,AL$4-'Assumptions'!$C$81)*'Unit Economics'!$H$50,0)</f>
        <v/>
      </c>
      <c r="AM10" s="47">
        <f>SUMIF($C$6:$AL$6,1,C10:AL10)</f>
        <v/>
      </c>
      <c r="AN10" s="47">
        <f>SUMIF($C$6:$AL$6,2,C10:AL10)</f>
        <v/>
      </c>
      <c r="AO10" s="47">
        <f>SUMIF($C$6:$AL$6,3,C10:AL10)</f>
        <v/>
      </c>
      <c r="AP10" s="47">
        <f>SUM(C10:AL10)</f>
        <v/>
      </c>
    </row>
    <row r="11">
      <c r="A11" s="7" t="inlineStr">
        <is>
          <t xml:space="preserve">   Payout: Amazon KDP: paperbacks</t>
        </is>
      </c>
      <c r="C11" s="8">
        <f>IF(C$4-'Assumptions'!$C$82&gt;=1,INDEX('36-Month Forecast'!$C$48:$AL$48,1,C$4-'Assumptions'!$C$82)+INDEX('36-Month Forecast'!$C$45:$AL$45,1,C$4-'Assumptions'!$C$82)*'Unit Economics'!$H$51,0)</f>
        <v/>
      </c>
      <c r="D11" s="8">
        <f>IF(D$4-'Assumptions'!$C$82&gt;=1,INDEX('36-Month Forecast'!$C$48:$AL$48,1,D$4-'Assumptions'!$C$82)+INDEX('36-Month Forecast'!$C$45:$AL$45,1,D$4-'Assumptions'!$C$82)*'Unit Economics'!$H$51,0)</f>
        <v/>
      </c>
      <c r="E11" s="8">
        <f>IF(E$4-'Assumptions'!$C$82&gt;=1,INDEX('36-Month Forecast'!$C$48:$AL$48,1,E$4-'Assumptions'!$C$82)+INDEX('36-Month Forecast'!$C$45:$AL$45,1,E$4-'Assumptions'!$C$82)*'Unit Economics'!$H$51,0)</f>
        <v/>
      </c>
      <c r="F11" s="8">
        <f>IF(F$4-'Assumptions'!$C$82&gt;=1,INDEX('36-Month Forecast'!$C$48:$AL$48,1,F$4-'Assumptions'!$C$82)+INDEX('36-Month Forecast'!$C$45:$AL$45,1,F$4-'Assumptions'!$C$82)*'Unit Economics'!$H$51,0)</f>
        <v/>
      </c>
      <c r="G11" s="8">
        <f>IF(G$4-'Assumptions'!$C$82&gt;=1,INDEX('36-Month Forecast'!$C$48:$AL$48,1,G$4-'Assumptions'!$C$82)+INDEX('36-Month Forecast'!$C$45:$AL$45,1,G$4-'Assumptions'!$C$82)*'Unit Economics'!$H$51,0)</f>
        <v/>
      </c>
      <c r="H11" s="8">
        <f>IF(H$4-'Assumptions'!$C$82&gt;=1,INDEX('36-Month Forecast'!$C$48:$AL$48,1,H$4-'Assumptions'!$C$82)+INDEX('36-Month Forecast'!$C$45:$AL$45,1,H$4-'Assumptions'!$C$82)*'Unit Economics'!$H$51,0)</f>
        <v/>
      </c>
      <c r="I11" s="8">
        <f>IF(I$4-'Assumptions'!$C$82&gt;=1,INDEX('36-Month Forecast'!$C$48:$AL$48,1,I$4-'Assumptions'!$C$82)+INDEX('36-Month Forecast'!$C$45:$AL$45,1,I$4-'Assumptions'!$C$82)*'Unit Economics'!$H$51,0)</f>
        <v/>
      </c>
      <c r="J11" s="8">
        <f>IF(J$4-'Assumptions'!$C$82&gt;=1,INDEX('36-Month Forecast'!$C$48:$AL$48,1,J$4-'Assumptions'!$C$82)+INDEX('36-Month Forecast'!$C$45:$AL$45,1,J$4-'Assumptions'!$C$82)*'Unit Economics'!$H$51,0)</f>
        <v/>
      </c>
      <c r="K11" s="8">
        <f>IF(K$4-'Assumptions'!$C$82&gt;=1,INDEX('36-Month Forecast'!$C$48:$AL$48,1,K$4-'Assumptions'!$C$82)+INDEX('36-Month Forecast'!$C$45:$AL$45,1,K$4-'Assumptions'!$C$82)*'Unit Economics'!$H$51,0)</f>
        <v/>
      </c>
      <c r="L11" s="8">
        <f>IF(L$4-'Assumptions'!$C$82&gt;=1,INDEX('36-Month Forecast'!$C$48:$AL$48,1,L$4-'Assumptions'!$C$82)+INDEX('36-Month Forecast'!$C$45:$AL$45,1,L$4-'Assumptions'!$C$82)*'Unit Economics'!$H$51,0)</f>
        <v/>
      </c>
      <c r="M11" s="8">
        <f>IF(M$4-'Assumptions'!$C$82&gt;=1,INDEX('36-Month Forecast'!$C$48:$AL$48,1,M$4-'Assumptions'!$C$82)+INDEX('36-Month Forecast'!$C$45:$AL$45,1,M$4-'Assumptions'!$C$82)*'Unit Economics'!$H$51,0)</f>
        <v/>
      </c>
      <c r="N11" s="8">
        <f>IF(N$4-'Assumptions'!$C$82&gt;=1,INDEX('36-Month Forecast'!$C$48:$AL$48,1,N$4-'Assumptions'!$C$82)+INDEX('36-Month Forecast'!$C$45:$AL$45,1,N$4-'Assumptions'!$C$82)*'Unit Economics'!$H$51,0)</f>
        <v/>
      </c>
      <c r="O11" s="8">
        <f>IF(O$4-'Assumptions'!$C$82&gt;=1,INDEX('36-Month Forecast'!$C$48:$AL$48,1,O$4-'Assumptions'!$C$82)+INDEX('36-Month Forecast'!$C$45:$AL$45,1,O$4-'Assumptions'!$C$82)*'Unit Economics'!$H$51,0)</f>
        <v/>
      </c>
      <c r="P11" s="8">
        <f>IF(P$4-'Assumptions'!$C$82&gt;=1,INDEX('36-Month Forecast'!$C$48:$AL$48,1,P$4-'Assumptions'!$C$82)+INDEX('36-Month Forecast'!$C$45:$AL$45,1,P$4-'Assumptions'!$C$82)*'Unit Economics'!$H$51,0)</f>
        <v/>
      </c>
      <c r="Q11" s="8">
        <f>IF(Q$4-'Assumptions'!$C$82&gt;=1,INDEX('36-Month Forecast'!$C$48:$AL$48,1,Q$4-'Assumptions'!$C$82)+INDEX('36-Month Forecast'!$C$45:$AL$45,1,Q$4-'Assumptions'!$C$82)*'Unit Economics'!$H$51,0)</f>
        <v/>
      </c>
      <c r="R11" s="8">
        <f>IF(R$4-'Assumptions'!$C$82&gt;=1,INDEX('36-Month Forecast'!$C$48:$AL$48,1,R$4-'Assumptions'!$C$82)+INDEX('36-Month Forecast'!$C$45:$AL$45,1,R$4-'Assumptions'!$C$82)*'Unit Economics'!$H$51,0)</f>
        <v/>
      </c>
      <c r="S11" s="8">
        <f>IF(S$4-'Assumptions'!$C$82&gt;=1,INDEX('36-Month Forecast'!$C$48:$AL$48,1,S$4-'Assumptions'!$C$82)+INDEX('36-Month Forecast'!$C$45:$AL$45,1,S$4-'Assumptions'!$C$82)*'Unit Economics'!$H$51,0)</f>
        <v/>
      </c>
      <c r="T11" s="8">
        <f>IF(T$4-'Assumptions'!$C$82&gt;=1,INDEX('36-Month Forecast'!$C$48:$AL$48,1,T$4-'Assumptions'!$C$82)+INDEX('36-Month Forecast'!$C$45:$AL$45,1,T$4-'Assumptions'!$C$82)*'Unit Economics'!$H$51,0)</f>
        <v/>
      </c>
      <c r="U11" s="8">
        <f>IF(U$4-'Assumptions'!$C$82&gt;=1,INDEX('36-Month Forecast'!$C$48:$AL$48,1,U$4-'Assumptions'!$C$82)+INDEX('36-Month Forecast'!$C$45:$AL$45,1,U$4-'Assumptions'!$C$82)*'Unit Economics'!$H$51,0)</f>
        <v/>
      </c>
      <c r="V11" s="8">
        <f>IF(V$4-'Assumptions'!$C$82&gt;=1,INDEX('36-Month Forecast'!$C$48:$AL$48,1,V$4-'Assumptions'!$C$82)+INDEX('36-Month Forecast'!$C$45:$AL$45,1,V$4-'Assumptions'!$C$82)*'Unit Economics'!$H$51,0)</f>
        <v/>
      </c>
      <c r="W11" s="8">
        <f>IF(W$4-'Assumptions'!$C$82&gt;=1,INDEX('36-Month Forecast'!$C$48:$AL$48,1,W$4-'Assumptions'!$C$82)+INDEX('36-Month Forecast'!$C$45:$AL$45,1,W$4-'Assumptions'!$C$82)*'Unit Economics'!$H$51,0)</f>
        <v/>
      </c>
      <c r="X11" s="8">
        <f>IF(X$4-'Assumptions'!$C$82&gt;=1,INDEX('36-Month Forecast'!$C$48:$AL$48,1,X$4-'Assumptions'!$C$82)+INDEX('36-Month Forecast'!$C$45:$AL$45,1,X$4-'Assumptions'!$C$82)*'Unit Economics'!$H$51,0)</f>
        <v/>
      </c>
      <c r="Y11" s="8">
        <f>IF(Y$4-'Assumptions'!$C$82&gt;=1,INDEX('36-Month Forecast'!$C$48:$AL$48,1,Y$4-'Assumptions'!$C$82)+INDEX('36-Month Forecast'!$C$45:$AL$45,1,Y$4-'Assumptions'!$C$82)*'Unit Economics'!$H$51,0)</f>
        <v/>
      </c>
      <c r="Z11" s="8">
        <f>IF(Z$4-'Assumptions'!$C$82&gt;=1,INDEX('36-Month Forecast'!$C$48:$AL$48,1,Z$4-'Assumptions'!$C$82)+INDEX('36-Month Forecast'!$C$45:$AL$45,1,Z$4-'Assumptions'!$C$82)*'Unit Economics'!$H$51,0)</f>
        <v/>
      </c>
      <c r="AA11" s="8">
        <f>IF(AA$4-'Assumptions'!$C$82&gt;=1,INDEX('36-Month Forecast'!$C$48:$AL$48,1,AA$4-'Assumptions'!$C$82)+INDEX('36-Month Forecast'!$C$45:$AL$45,1,AA$4-'Assumptions'!$C$82)*'Unit Economics'!$H$51,0)</f>
        <v/>
      </c>
      <c r="AB11" s="8">
        <f>IF(AB$4-'Assumptions'!$C$82&gt;=1,INDEX('36-Month Forecast'!$C$48:$AL$48,1,AB$4-'Assumptions'!$C$82)+INDEX('36-Month Forecast'!$C$45:$AL$45,1,AB$4-'Assumptions'!$C$82)*'Unit Economics'!$H$51,0)</f>
        <v/>
      </c>
      <c r="AC11" s="8">
        <f>IF(AC$4-'Assumptions'!$C$82&gt;=1,INDEX('36-Month Forecast'!$C$48:$AL$48,1,AC$4-'Assumptions'!$C$82)+INDEX('36-Month Forecast'!$C$45:$AL$45,1,AC$4-'Assumptions'!$C$82)*'Unit Economics'!$H$51,0)</f>
        <v/>
      </c>
      <c r="AD11" s="8">
        <f>IF(AD$4-'Assumptions'!$C$82&gt;=1,INDEX('36-Month Forecast'!$C$48:$AL$48,1,AD$4-'Assumptions'!$C$82)+INDEX('36-Month Forecast'!$C$45:$AL$45,1,AD$4-'Assumptions'!$C$82)*'Unit Economics'!$H$51,0)</f>
        <v/>
      </c>
      <c r="AE11" s="8">
        <f>IF(AE$4-'Assumptions'!$C$82&gt;=1,INDEX('36-Month Forecast'!$C$48:$AL$48,1,AE$4-'Assumptions'!$C$82)+INDEX('36-Month Forecast'!$C$45:$AL$45,1,AE$4-'Assumptions'!$C$82)*'Unit Economics'!$H$51,0)</f>
        <v/>
      </c>
      <c r="AF11" s="8">
        <f>IF(AF$4-'Assumptions'!$C$82&gt;=1,INDEX('36-Month Forecast'!$C$48:$AL$48,1,AF$4-'Assumptions'!$C$82)+INDEX('36-Month Forecast'!$C$45:$AL$45,1,AF$4-'Assumptions'!$C$82)*'Unit Economics'!$H$51,0)</f>
        <v/>
      </c>
      <c r="AG11" s="8">
        <f>IF(AG$4-'Assumptions'!$C$82&gt;=1,INDEX('36-Month Forecast'!$C$48:$AL$48,1,AG$4-'Assumptions'!$C$82)+INDEX('36-Month Forecast'!$C$45:$AL$45,1,AG$4-'Assumptions'!$C$82)*'Unit Economics'!$H$51,0)</f>
        <v/>
      </c>
      <c r="AH11" s="8">
        <f>IF(AH$4-'Assumptions'!$C$82&gt;=1,INDEX('36-Month Forecast'!$C$48:$AL$48,1,AH$4-'Assumptions'!$C$82)+INDEX('36-Month Forecast'!$C$45:$AL$45,1,AH$4-'Assumptions'!$C$82)*'Unit Economics'!$H$51,0)</f>
        <v/>
      </c>
      <c r="AI11" s="8">
        <f>IF(AI$4-'Assumptions'!$C$82&gt;=1,INDEX('36-Month Forecast'!$C$48:$AL$48,1,AI$4-'Assumptions'!$C$82)+INDEX('36-Month Forecast'!$C$45:$AL$45,1,AI$4-'Assumptions'!$C$82)*'Unit Economics'!$H$51,0)</f>
        <v/>
      </c>
      <c r="AJ11" s="8">
        <f>IF(AJ$4-'Assumptions'!$C$82&gt;=1,INDEX('36-Month Forecast'!$C$48:$AL$48,1,AJ$4-'Assumptions'!$C$82)+INDEX('36-Month Forecast'!$C$45:$AL$45,1,AJ$4-'Assumptions'!$C$82)*'Unit Economics'!$H$51,0)</f>
        <v/>
      </c>
      <c r="AK11" s="8">
        <f>IF(AK$4-'Assumptions'!$C$82&gt;=1,INDEX('36-Month Forecast'!$C$48:$AL$48,1,AK$4-'Assumptions'!$C$82)+INDEX('36-Month Forecast'!$C$45:$AL$45,1,AK$4-'Assumptions'!$C$82)*'Unit Economics'!$H$51,0)</f>
        <v/>
      </c>
      <c r="AL11" s="8">
        <f>IF(AL$4-'Assumptions'!$C$82&gt;=1,INDEX('36-Month Forecast'!$C$48:$AL$48,1,AL$4-'Assumptions'!$C$82)+INDEX('36-Month Forecast'!$C$45:$AL$45,1,AL$4-'Assumptions'!$C$82)*'Unit Economics'!$H$51,0)</f>
        <v/>
      </c>
      <c r="AM11" s="47">
        <f>SUMIF($C$6:$AL$6,1,C11:AL11)</f>
        <v/>
      </c>
      <c r="AN11" s="47">
        <f>SUMIF($C$6:$AL$6,2,C11:AL11)</f>
        <v/>
      </c>
      <c r="AO11" s="47">
        <f>SUMIF($C$6:$AL$6,3,C11:AL11)</f>
        <v/>
      </c>
      <c r="AP11" s="47">
        <f>SUM(C11:AL11)</f>
        <v/>
      </c>
    </row>
    <row r="12">
      <c r="A12" s="7" t="inlineStr">
        <is>
          <t xml:space="preserve">   Payout: IngramSpark: paperbacks to bookstores and libraries</t>
        </is>
      </c>
      <c r="C12" s="8">
        <f>IF(C$4-'Assumptions'!$C$83&gt;=1,INDEX('36-Month Forecast'!$C$58:$AL$58,1,C$4-'Assumptions'!$C$83)+INDEX('36-Month Forecast'!$C$55:$AL$55,1,C$4-'Assumptions'!$C$83)*'Unit Economics'!$H$52,0)</f>
        <v/>
      </c>
      <c r="D12" s="8">
        <f>IF(D$4-'Assumptions'!$C$83&gt;=1,INDEX('36-Month Forecast'!$C$58:$AL$58,1,D$4-'Assumptions'!$C$83)+INDEX('36-Month Forecast'!$C$55:$AL$55,1,D$4-'Assumptions'!$C$83)*'Unit Economics'!$H$52,0)</f>
        <v/>
      </c>
      <c r="E12" s="8">
        <f>IF(E$4-'Assumptions'!$C$83&gt;=1,INDEX('36-Month Forecast'!$C$58:$AL$58,1,E$4-'Assumptions'!$C$83)+INDEX('36-Month Forecast'!$C$55:$AL$55,1,E$4-'Assumptions'!$C$83)*'Unit Economics'!$H$52,0)</f>
        <v/>
      </c>
      <c r="F12" s="8">
        <f>IF(F$4-'Assumptions'!$C$83&gt;=1,INDEX('36-Month Forecast'!$C$58:$AL$58,1,F$4-'Assumptions'!$C$83)+INDEX('36-Month Forecast'!$C$55:$AL$55,1,F$4-'Assumptions'!$C$83)*'Unit Economics'!$H$52,0)</f>
        <v/>
      </c>
      <c r="G12" s="8">
        <f>IF(G$4-'Assumptions'!$C$83&gt;=1,INDEX('36-Month Forecast'!$C$58:$AL$58,1,G$4-'Assumptions'!$C$83)+INDEX('36-Month Forecast'!$C$55:$AL$55,1,G$4-'Assumptions'!$C$83)*'Unit Economics'!$H$52,0)</f>
        <v/>
      </c>
      <c r="H12" s="8">
        <f>IF(H$4-'Assumptions'!$C$83&gt;=1,INDEX('36-Month Forecast'!$C$58:$AL$58,1,H$4-'Assumptions'!$C$83)+INDEX('36-Month Forecast'!$C$55:$AL$55,1,H$4-'Assumptions'!$C$83)*'Unit Economics'!$H$52,0)</f>
        <v/>
      </c>
      <c r="I12" s="8">
        <f>IF(I$4-'Assumptions'!$C$83&gt;=1,INDEX('36-Month Forecast'!$C$58:$AL$58,1,I$4-'Assumptions'!$C$83)+INDEX('36-Month Forecast'!$C$55:$AL$55,1,I$4-'Assumptions'!$C$83)*'Unit Economics'!$H$52,0)</f>
        <v/>
      </c>
      <c r="J12" s="8">
        <f>IF(J$4-'Assumptions'!$C$83&gt;=1,INDEX('36-Month Forecast'!$C$58:$AL$58,1,J$4-'Assumptions'!$C$83)+INDEX('36-Month Forecast'!$C$55:$AL$55,1,J$4-'Assumptions'!$C$83)*'Unit Economics'!$H$52,0)</f>
        <v/>
      </c>
      <c r="K12" s="8">
        <f>IF(K$4-'Assumptions'!$C$83&gt;=1,INDEX('36-Month Forecast'!$C$58:$AL$58,1,K$4-'Assumptions'!$C$83)+INDEX('36-Month Forecast'!$C$55:$AL$55,1,K$4-'Assumptions'!$C$83)*'Unit Economics'!$H$52,0)</f>
        <v/>
      </c>
      <c r="L12" s="8">
        <f>IF(L$4-'Assumptions'!$C$83&gt;=1,INDEX('36-Month Forecast'!$C$58:$AL$58,1,L$4-'Assumptions'!$C$83)+INDEX('36-Month Forecast'!$C$55:$AL$55,1,L$4-'Assumptions'!$C$83)*'Unit Economics'!$H$52,0)</f>
        <v/>
      </c>
      <c r="M12" s="8">
        <f>IF(M$4-'Assumptions'!$C$83&gt;=1,INDEX('36-Month Forecast'!$C$58:$AL$58,1,M$4-'Assumptions'!$C$83)+INDEX('36-Month Forecast'!$C$55:$AL$55,1,M$4-'Assumptions'!$C$83)*'Unit Economics'!$H$52,0)</f>
        <v/>
      </c>
      <c r="N12" s="8">
        <f>IF(N$4-'Assumptions'!$C$83&gt;=1,INDEX('36-Month Forecast'!$C$58:$AL$58,1,N$4-'Assumptions'!$C$83)+INDEX('36-Month Forecast'!$C$55:$AL$55,1,N$4-'Assumptions'!$C$83)*'Unit Economics'!$H$52,0)</f>
        <v/>
      </c>
      <c r="O12" s="8">
        <f>IF(O$4-'Assumptions'!$C$83&gt;=1,INDEX('36-Month Forecast'!$C$58:$AL$58,1,O$4-'Assumptions'!$C$83)+INDEX('36-Month Forecast'!$C$55:$AL$55,1,O$4-'Assumptions'!$C$83)*'Unit Economics'!$H$52,0)</f>
        <v/>
      </c>
      <c r="P12" s="8">
        <f>IF(P$4-'Assumptions'!$C$83&gt;=1,INDEX('36-Month Forecast'!$C$58:$AL$58,1,P$4-'Assumptions'!$C$83)+INDEX('36-Month Forecast'!$C$55:$AL$55,1,P$4-'Assumptions'!$C$83)*'Unit Economics'!$H$52,0)</f>
        <v/>
      </c>
      <c r="Q12" s="8">
        <f>IF(Q$4-'Assumptions'!$C$83&gt;=1,INDEX('36-Month Forecast'!$C$58:$AL$58,1,Q$4-'Assumptions'!$C$83)+INDEX('36-Month Forecast'!$C$55:$AL$55,1,Q$4-'Assumptions'!$C$83)*'Unit Economics'!$H$52,0)</f>
        <v/>
      </c>
      <c r="R12" s="8">
        <f>IF(R$4-'Assumptions'!$C$83&gt;=1,INDEX('36-Month Forecast'!$C$58:$AL$58,1,R$4-'Assumptions'!$C$83)+INDEX('36-Month Forecast'!$C$55:$AL$55,1,R$4-'Assumptions'!$C$83)*'Unit Economics'!$H$52,0)</f>
        <v/>
      </c>
      <c r="S12" s="8">
        <f>IF(S$4-'Assumptions'!$C$83&gt;=1,INDEX('36-Month Forecast'!$C$58:$AL$58,1,S$4-'Assumptions'!$C$83)+INDEX('36-Month Forecast'!$C$55:$AL$55,1,S$4-'Assumptions'!$C$83)*'Unit Economics'!$H$52,0)</f>
        <v/>
      </c>
      <c r="T12" s="8">
        <f>IF(T$4-'Assumptions'!$C$83&gt;=1,INDEX('36-Month Forecast'!$C$58:$AL$58,1,T$4-'Assumptions'!$C$83)+INDEX('36-Month Forecast'!$C$55:$AL$55,1,T$4-'Assumptions'!$C$83)*'Unit Economics'!$H$52,0)</f>
        <v/>
      </c>
      <c r="U12" s="8">
        <f>IF(U$4-'Assumptions'!$C$83&gt;=1,INDEX('36-Month Forecast'!$C$58:$AL$58,1,U$4-'Assumptions'!$C$83)+INDEX('36-Month Forecast'!$C$55:$AL$55,1,U$4-'Assumptions'!$C$83)*'Unit Economics'!$H$52,0)</f>
        <v/>
      </c>
      <c r="V12" s="8">
        <f>IF(V$4-'Assumptions'!$C$83&gt;=1,INDEX('36-Month Forecast'!$C$58:$AL$58,1,V$4-'Assumptions'!$C$83)+INDEX('36-Month Forecast'!$C$55:$AL$55,1,V$4-'Assumptions'!$C$83)*'Unit Economics'!$H$52,0)</f>
        <v/>
      </c>
      <c r="W12" s="8">
        <f>IF(W$4-'Assumptions'!$C$83&gt;=1,INDEX('36-Month Forecast'!$C$58:$AL$58,1,W$4-'Assumptions'!$C$83)+INDEX('36-Month Forecast'!$C$55:$AL$55,1,W$4-'Assumptions'!$C$83)*'Unit Economics'!$H$52,0)</f>
        <v/>
      </c>
      <c r="X12" s="8">
        <f>IF(X$4-'Assumptions'!$C$83&gt;=1,INDEX('36-Month Forecast'!$C$58:$AL$58,1,X$4-'Assumptions'!$C$83)+INDEX('36-Month Forecast'!$C$55:$AL$55,1,X$4-'Assumptions'!$C$83)*'Unit Economics'!$H$52,0)</f>
        <v/>
      </c>
      <c r="Y12" s="8">
        <f>IF(Y$4-'Assumptions'!$C$83&gt;=1,INDEX('36-Month Forecast'!$C$58:$AL$58,1,Y$4-'Assumptions'!$C$83)+INDEX('36-Month Forecast'!$C$55:$AL$55,1,Y$4-'Assumptions'!$C$83)*'Unit Economics'!$H$52,0)</f>
        <v/>
      </c>
      <c r="Z12" s="8">
        <f>IF(Z$4-'Assumptions'!$C$83&gt;=1,INDEX('36-Month Forecast'!$C$58:$AL$58,1,Z$4-'Assumptions'!$C$83)+INDEX('36-Month Forecast'!$C$55:$AL$55,1,Z$4-'Assumptions'!$C$83)*'Unit Economics'!$H$52,0)</f>
        <v/>
      </c>
      <c r="AA12" s="8">
        <f>IF(AA$4-'Assumptions'!$C$83&gt;=1,INDEX('36-Month Forecast'!$C$58:$AL$58,1,AA$4-'Assumptions'!$C$83)+INDEX('36-Month Forecast'!$C$55:$AL$55,1,AA$4-'Assumptions'!$C$83)*'Unit Economics'!$H$52,0)</f>
        <v/>
      </c>
      <c r="AB12" s="8">
        <f>IF(AB$4-'Assumptions'!$C$83&gt;=1,INDEX('36-Month Forecast'!$C$58:$AL$58,1,AB$4-'Assumptions'!$C$83)+INDEX('36-Month Forecast'!$C$55:$AL$55,1,AB$4-'Assumptions'!$C$83)*'Unit Economics'!$H$52,0)</f>
        <v/>
      </c>
      <c r="AC12" s="8">
        <f>IF(AC$4-'Assumptions'!$C$83&gt;=1,INDEX('36-Month Forecast'!$C$58:$AL$58,1,AC$4-'Assumptions'!$C$83)+INDEX('36-Month Forecast'!$C$55:$AL$55,1,AC$4-'Assumptions'!$C$83)*'Unit Economics'!$H$52,0)</f>
        <v/>
      </c>
      <c r="AD12" s="8">
        <f>IF(AD$4-'Assumptions'!$C$83&gt;=1,INDEX('36-Month Forecast'!$C$58:$AL$58,1,AD$4-'Assumptions'!$C$83)+INDEX('36-Month Forecast'!$C$55:$AL$55,1,AD$4-'Assumptions'!$C$83)*'Unit Economics'!$H$52,0)</f>
        <v/>
      </c>
      <c r="AE12" s="8">
        <f>IF(AE$4-'Assumptions'!$C$83&gt;=1,INDEX('36-Month Forecast'!$C$58:$AL$58,1,AE$4-'Assumptions'!$C$83)+INDEX('36-Month Forecast'!$C$55:$AL$55,1,AE$4-'Assumptions'!$C$83)*'Unit Economics'!$H$52,0)</f>
        <v/>
      </c>
      <c r="AF12" s="8">
        <f>IF(AF$4-'Assumptions'!$C$83&gt;=1,INDEX('36-Month Forecast'!$C$58:$AL$58,1,AF$4-'Assumptions'!$C$83)+INDEX('36-Month Forecast'!$C$55:$AL$55,1,AF$4-'Assumptions'!$C$83)*'Unit Economics'!$H$52,0)</f>
        <v/>
      </c>
      <c r="AG12" s="8">
        <f>IF(AG$4-'Assumptions'!$C$83&gt;=1,INDEX('36-Month Forecast'!$C$58:$AL$58,1,AG$4-'Assumptions'!$C$83)+INDEX('36-Month Forecast'!$C$55:$AL$55,1,AG$4-'Assumptions'!$C$83)*'Unit Economics'!$H$52,0)</f>
        <v/>
      </c>
      <c r="AH12" s="8">
        <f>IF(AH$4-'Assumptions'!$C$83&gt;=1,INDEX('36-Month Forecast'!$C$58:$AL$58,1,AH$4-'Assumptions'!$C$83)+INDEX('36-Month Forecast'!$C$55:$AL$55,1,AH$4-'Assumptions'!$C$83)*'Unit Economics'!$H$52,0)</f>
        <v/>
      </c>
      <c r="AI12" s="8">
        <f>IF(AI$4-'Assumptions'!$C$83&gt;=1,INDEX('36-Month Forecast'!$C$58:$AL$58,1,AI$4-'Assumptions'!$C$83)+INDEX('36-Month Forecast'!$C$55:$AL$55,1,AI$4-'Assumptions'!$C$83)*'Unit Economics'!$H$52,0)</f>
        <v/>
      </c>
      <c r="AJ12" s="8">
        <f>IF(AJ$4-'Assumptions'!$C$83&gt;=1,INDEX('36-Month Forecast'!$C$58:$AL$58,1,AJ$4-'Assumptions'!$C$83)+INDEX('36-Month Forecast'!$C$55:$AL$55,1,AJ$4-'Assumptions'!$C$83)*'Unit Economics'!$H$52,0)</f>
        <v/>
      </c>
      <c r="AK12" s="8">
        <f>IF(AK$4-'Assumptions'!$C$83&gt;=1,INDEX('36-Month Forecast'!$C$58:$AL$58,1,AK$4-'Assumptions'!$C$83)+INDEX('36-Month Forecast'!$C$55:$AL$55,1,AK$4-'Assumptions'!$C$83)*'Unit Economics'!$H$52,0)</f>
        <v/>
      </c>
      <c r="AL12" s="8">
        <f>IF(AL$4-'Assumptions'!$C$83&gt;=1,INDEX('36-Month Forecast'!$C$58:$AL$58,1,AL$4-'Assumptions'!$C$83)+INDEX('36-Month Forecast'!$C$55:$AL$55,1,AL$4-'Assumptions'!$C$83)*'Unit Economics'!$H$52,0)</f>
        <v/>
      </c>
      <c r="AM12" s="47">
        <f>SUMIF($C$6:$AL$6,1,C12:AL12)</f>
        <v/>
      </c>
      <c r="AN12" s="47">
        <f>SUMIF($C$6:$AL$6,2,C12:AL12)</f>
        <v/>
      </c>
      <c r="AO12" s="47">
        <f>SUMIF($C$6:$AL$6,3,C12:AL12)</f>
        <v/>
      </c>
      <c r="AP12" s="47">
        <f>SUM(C12:AL12)</f>
        <v/>
      </c>
    </row>
    <row r="13">
      <c r="A13" s="7" t="inlineStr">
        <is>
          <t xml:space="preserve">   Payout: International digital via merchant of record (Gumroad)</t>
        </is>
      </c>
      <c r="C13" s="8">
        <f>IF(C$4-'Assumptions'!$C$84&gt;=1,INDEX('36-Month Forecast'!$C$68:$AL$68,1,C$4-'Assumptions'!$C$84)+INDEX('36-Month Forecast'!$C$65:$AL$65,1,C$4-'Assumptions'!$C$84)*'Unit Economics'!$H$53,0)</f>
        <v/>
      </c>
      <c r="D13" s="8">
        <f>IF(D$4-'Assumptions'!$C$84&gt;=1,INDEX('36-Month Forecast'!$C$68:$AL$68,1,D$4-'Assumptions'!$C$84)+INDEX('36-Month Forecast'!$C$65:$AL$65,1,D$4-'Assumptions'!$C$84)*'Unit Economics'!$H$53,0)</f>
        <v/>
      </c>
      <c r="E13" s="8">
        <f>IF(E$4-'Assumptions'!$C$84&gt;=1,INDEX('36-Month Forecast'!$C$68:$AL$68,1,E$4-'Assumptions'!$C$84)+INDEX('36-Month Forecast'!$C$65:$AL$65,1,E$4-'Assumptions'!$C$84)*'Unit Economics'!$H$53,0)</f>
        <v/>
      </c>
      <c r="F13" s="8">
        <f>IF(F$4-'Assumptions'!$C$84&gt;=1,INDEX('36-Month Forecast'!$C$68:$AL$68,1,F$4-'Assumptions'!$C$84)+INDEX('36-Month Forecast'!$C$65:$AL$65,1,F$4-'Assumptions'!$C$84)*'Unit Economics'!$H$53,0)</f>
        <v/>
      </c>
      <c r="G13" s="8">
        <f>IF(G$4-'Assumptions'!$C$84&gt;=1,INDEX('36-Month Forecast'!$C$68:$AL$68,1,G$4-'Assumptions'!$C$84)+INDEX('36-Month Forecast'!$C$65:$AL$65,1,G$4-'Assumptions'!$C$84)*'Unit Economics'!$H$53,0)</f>
        <v/>
      </c>
      <c r="H13" s="8">
        <f>IF(H$4-'Assumptions'!$C$84&gt;=1,INDEX('36-Month Forecast'!$C$68:$AL$68,1,H$4-'Assumptions'!$C$84)+INDEX('36-Month Forecast'!$C$65:$AL$65,1,H$4-'Assumptions'!$C$84)*'Unit Economics'!$H$53,0)</f>
        <v/>
      </c>
      <c r="I13" s="8">
        <f>IF(I$4-'Assumptions'!$C$84&gt;=1,INDEX('36-Month Forecast'!$C$68:$AL$68,1,I$4-'Assumptions'!$C$84)+INDEX('36-Month Forecast'!$C$65:$AL$65,1,I$4-'Assumptions'!$C$84)*'Unit Economics'!$H$53,0)</f>
        <v/>
      </c>
      <c r="J13" s="8">
        <f>IF(J$4-'Assumptions'!$C$84&gt;=1,INDEX('36-Month Forecast'!$C$68:$AL$68,1,J$4-'Assumptions'!$C$84)+INDEX('36-Month Forecast'!$C$65:$AL$65,1,J$4-'Assumptions'!$C$84)*'Unit Economics'!$H$53,0)</f>
        <v/>
      </c>
      <c r="K13" s="8">
        <f>IF(K$4-'Assumptions'!$C$84&gt;=1,INDEX('36-Month Forecast'!$C$68:$AL$68,1,K$4-'Assumptions'!$C$84)+INDEX('36-Month Forecast'!$C$65:$AL$65,1,K$4-'Assumptions'!$C$84)*'Unit Economics'!$H$53,0)</f>
        <v/>
      </c>
      <c r="L13" s="8">
        <f>IF(L$4-'Assumptions'!$C$84&gt;=1,INDEX('36-Month Forecast'!$C$68:$AL$68,1,L$4-'Assumptions'!$C$84)+INDEX('36-Month Forecast'!$C$65:$AL$65,1,L$4-'Assumptions'!$C$84)*'Unit Economics'!$H$53,0)</f>
        <v/>
      </c>
      <c r="M13" s="8">
        <f>IF(M$4-'Assumptions'!$C$84&gt;=1,INDEX('36-Month Forecast'!$C$68:$AL$68,1,M$4-'Assumptions'!$C$84)+INDEX('36-Month Forecast'!$C$65:$AL$65,1,M$4-'Assumptions'!$C$84)*'Unit Economics'!$H$53,0)</f>
        <v/>
      </c>
      <c r="N13" s="8">
        <f>IF(N$4-'Assumptions'!$C$84&gt;=1,INDEX('36-Month Forecast'!$C$68:$AL$68,1,N$4-'Assumptions'!$C$84)+INDEX('36-Month Forecast'!$C$65:$AL$65,1,N$4-'Assumptions'!$C$84)*'Unit Economics'!$H$53,0)</f>
        <v/>
      </c>
      <c r="O13" s="8">
        <f>IF(O$4-'Assumptions'!$C$84&gt;=1,INDEX('36-Month Forecast'!$C$68:$AL$68,1,O$4-'Assumptions'!$C$84)+INDEX('36-Month Forecast'!$C$65:$AL$65,1,O$4-'Assumptions'!$C$84)*'Unit Economics'!$H$53,0)</f>
        <v/>
      </c>
      <c r="P13" s="8">
        <f>IF(P$4-'Assumptions'!$C$84&gt;=1,INDEX('36-Month Forecast'!$C$68:$AL$68,1,P$4-'Assumptions'!$C$84)+INDEX('36-Month Forecast'!$C$65:$AL$65,1,P$4-'Assumptions'!$C$84)*'Unit Economics'!$H$53,0)</f>
        <v/>
      </c>
      <c r="Q13" s="8">
        <f>IF(Q$4-'Assumptions'!$C$84&gt;=1,INDEX('36-Month Forecast'!$C$68:$AL$68,1,Q$4-'Assumptions'!$C$84)+INDEX('36-Month Forecast'!$C$65:$AL$65,1,Q$4-'Assumptions'!$C$84)*'Unit Economics'!$H$53,0)</f>
        <v/>
      </c>
      <c r="R13" s="8">
        <f>IF(R$4-'Assumptions'!$C$84&gt;=1,INDEX('36-Month Forecast'!$C$68:$AL$68,1,R$4-'Assumptions'!$C$84)+INDEX('36-Month Forecast'!$C$65:$AL$65,1,R$4-'Assumptions'!$C$84)*'Unit Economics'!$H$53,0)</f>
        <v/>
      </c>
      <c r="S13" s="8">
        <f>IF(S$4-'Assumptions'!$C$84&gt;=1,INDEX('36-Month Forecast'!$C$68:$AL$68,1,S$4-'Assumptions'!$C$84)+INDEX('36-Month Forecast'!$C$65:$AL$65,1,S$4-'Assumptions'!$C$84)*'Unit Economics'!$H$53,0)</f>
        <v/>
      </c>
      <c r="T13" s="8">
        <f>IF(T$4-'Assumptions'!$C$84&gt;=1,INDEX('36-Month Forecast'!$C$68:$AL$68,1,T$4-'Assumptions'!$C$84)+INDEX('36-Month Forecast'!$C$65:$AL$65,1,T$4-'Assumptions'!$C$84)*'Unit Economics'!$H$53,0)</f>
        <v/>
      </c>
      <c r="U13" s="8">
        <f>IF(U$4-'Assumptions'!$C$84&gt;=1,INDEX('36-Month Forecast'!$C$68:$AL$68,1,U$4-'Assumptions'!$C$84)+INDEX('36-Month Forecast'!$C$65:$AL$65,1,U$4-'Assumptions'!$C$84)*'Unit Economics'!$H$53,0)</f>
        <v/>
      </c>
      <c r="V13" s="8">
        <f>IF(V$4-'Assumptions'!$C$84&gt;=1,INDEX('36-Month Forecast'!$C$68:$AL$68,1,V$4-'Assumptions'!$C$84)+INDEX('36-Month Forecast'!$C$65:$AL$65,1,V$4-'Assumptions'!$C$84)*'Unit Economics'!$H$53,0)</f>
        <v/>
      </c>
      <c r="W13" s="8">
        <f>IF(W$4-'Assumptions'!$C$84&gt;=1,INDEX('36-Month Forecast'!$C$68:$AL$68,1,W$4-'Assumptions'!$C$84)+INDEX('36-Month Forecast'!$C$65:$AL$65,1,W$4-'Assumptions'!$C$84)*'Unit Economics'!$H$53,0)</f>
        <v/>
      </c>
      <c r="X13" s="8">
        <f>IF(X$4-'Assumptions'!$C$84&gt;=1,INDEX('36-Month Forecast'!$C$68:$AL$68,1,X$4-'Assumptions'!$C$84)+INDEX('36-Month Forecast'!$C$65:$AL$65,1,X$4-'Assumptions'!$C$84)*'Unit Economics'!$H$53,0)</f>
        <v/>
      </c>
      <c r="Y13" s="8">
        <f>IF(Y$4-'Assumptions'!$C$84&gt;=1,INDEX('36-Month Forecast'!$C$68:$AL$68,1,Y$4-'Assumptions'!$C$84)+INDEX('36-Month Forecast'!$C$65:$AL$65,1,Y$4-'Assumptions'!$C$84)*'Unit Economics'!$H$53,0)</f>
        <v/>
      </c>
      <c r="Z13" s="8">
        <f>IF(Z$4-'Assumptions'!$C$84&gt;=1,INDEX('36-Month Forecast'!$C$68:$AL$68,1,Z$4-'Assumptions'!$C$84)+INDEX('36-Month Forecast'!$C$65:$AL$65,1,Z$4-'Assumptions'!$C$84)*'Unit Economics'!$H$53,0)</f>
        <v/>
      </c>
      <c r="AA13" s="8">
        <f>IF(AA$4-'Assumptions'!$C$84&gt;=1,INDEX('36-Month Forecast'!$C$68:$AL$68,1,AA$4-'Assumptions'!$C$84)+INDEX('36-Month Forecast'!$C$65:$AL$65,1,AA$4-'Assumptions'!$C$84)*'Unit Economics'!$H$53,0)</f>
        <v/>
      </c>
      <c r="AB13" s="8">
        <f>IF(AB$4-'Assumptions'!$C$84&gt;=1,INDEX('36-Month Forecast'!$C$68:$AL$68,1,AB$4-'Assumptions'!$C$84)+INDEX('36-Month Forecast'!$C$65:$AL$65,1,AB$4-'Assumptions'!$C$84)*'Unit Economics'!$H$53,0)</f>
        <v/>
      </c>
      <c r="AC13" s="8">
        <f>IF(AC$4-'Assumptions'!$C$84&gt;=1,INDEX('36-Month Forecast'!$C$68:$AL$68,1,AC$4-'Assumptions'!$C$84)+INDEX('36-Month Forecast'!$C$65:$AL$65,1,AC$4-'Assumptions'!$C$84)*'Unit Economics'!$H$53,0)</f>
        <v/>
      </c>
      <c r="AD13" s="8">
        <f>IF(AD$4-'Assumptions'!$C$84&gt;=1,INDEX('36-Month Forecast'!$C$68:$AL$68,1,AD$4-'Assumptions'!$C$84)+INDEX('36-Month Forecast'!$C$65:$AL$65,1,AD$4-'Assumptions'!$C$84)*'Unit Economics'!$H$53,0)</f>
        <v/>
      </c>
      <c r="AE13" s="8">
        <f>IF(AE$4-'Assumptions'!$C$84&gt;=1,INDEX('36-Month Forecast'!$C$68:$AL$68,1,AE$4-'Assumptions'!$C$84)+INDEX('36-Month Forecast'!$C$65:$AL$65,1,AE$4-'Assumptions'!$C$84)*'Unit Economics'!$H$53,0)</f>
        <v/>
      </c>
      <c r="AF13" s="8">
        <f>IF(AF$4-'Assumptions'!$C$84&gt;=1,INDEX('36-Month Forecast'!$C$68:$AL$68,1,AF$4-'Assumptions'!$C$84)+INDEX('36-Month Forecast'!$C$65:$AL$65,1,AF$4-'Assumptions'!$C$84)*'Unit Economics'!$H$53,0)</f>
        <v/>
      </c>
      <c r="AG13" s="8">
        <f>IF(AG$4-'Assumptions'!$C$84&gt;=1,INDEX('36-Month Forecast'!$C$68:$AL$68,1,AG$4-'Assumptions'!$C$84)+INDEX('36-Month Forecast'!$C$65:$AL$65,1,AG$4-'Assumptions'!$C$84)*'Unit Economics'!$H$53,0)</f>
        <v/>
      </c>
      <c r="AH13" s="8">
        <f>IF(AH$4-'Assumptions'!$C$84&gt;=1,INDEX('36-Month Forecast'!$C$68:$AL$68,1,AH$4-'Assumptions'!$C$84)+INDEX('36-Month Forecast'!$C$65:$AL$65,1,AH$4-'Assumptions'!$C$84)*'Unit Economics'!$H$53,0)</f>
        <v/>
      </c>
      <c r="AI13" s="8">
        <f>IF(AI$4-'Assumptions'!$C$84&gt;=1,INDEX('36-Month Forecast'!$C$68:$AL$68,1,AI$4-'Assumptions'!$C$84)+INDEX('36-Month Forecast'!$C$65:$AL$65,1,AI$4-'Assumptions'!$C$84)*'Unit Economics'!$H$53,0)</f>
        <v/>
      </c>
      <c r="AJ13" s="8">
        <f>IF(AJ$4-'Assumptions'!$C$84&gt;=1,INDEX('36-Month Forecast'!$C$68:$AL$68,1,AJ$4-'Assumptions'!$C$84)+INDEX('36-Month Forecast'!$C$65:$AL$65,1,AJ$4-'Assumptions'!$C$84)*'Unit Economics'!$H$53,0)</f>
        <v/>
      </c>
      <c r="AK13" s="8">
        <f>IF(AK$4-'Assumptions'!$C$84&gt;=1,INDEX('36-Month Forecast'!$C$68:$AL$68,1,AK$4-'Assumptions'!$C$84)+INDEX('36-Month Forecast'!$C$65:$AL$65,1,AK$4-'Assumptions'!$C$84)*'Unit Economics'!$H$53,0)</f>
        <v/>
      </c>
      <c r="AL13" s="8">
        <f>IF(AL$4-'Assumptions'!$C$84&gt;=1,INDEX('36-Month Forecast'!$C$68:$AL$68,1,AL$4-'Assumptions'!$C$84)+INDEX('36-Month Forecast'!$C$65:$AL$65,1,AL$4-'Assumptions'!$C$84)*'Unit Economics'!$H$53,0)</f>
        <v/>
      </c>
      <c r="AM13" s="47">
        <f>SUMIF($C$6:$AL$6,1,C13:AL13)</f>
        <v/>
      </c>
      <c r="AN13" s="47">
        <f>SUMIF($C$6:$AL$6,2,C13:AL13)</f>
        <v/>
      </c>
      <c r="AO13" s="47">
        <f>SUMIF($C$6:$AL$6,3,C13:AL13)</f>
        <v/>
      </c>
      <c r="AP13" s="47">
        <f>SUM(C13:AL13)</f>
        <v/>
      </c>
    </row>
    <row r="14">
      <c r="A14" s="7" t="inlineStr">
        <is>
          <t xml:space="preserve">   Payout: 30-Day Screen Reset written course (Wave 2)</t>
        </is>
      </c>
      <c r="C14" s="8">
        <f>IF(C$4-'Assumptions'!$C$85&gt;=1,INDEX('36-Month Forecast'!$C$78:$AL$78,1,C$4-'Assumptions'!$C$85)+INDEX('36-Month Forecast'!$C$75:$AL$75,1,C$4-'Assumptions'!$C$85)*'Unit Economics'!$H$54,0)</f>
        <v/>
      </c>
      <c r="D14" s="8">
        <f>IF(D$4-'Assumptions'!$C$85&gt;=1,INDEX('36-Month Forecast'!$C$78:$AL$78,1,D$4-'Assumptions'!$C$85)+INDEX('36-Month Forecast'!$C$75:$AL$75,1,D$4-'Assumptions'!$C$85)*'Unit Economics'!$H$54,0)</f>
        <v/>
      </c>
      <c r="E14" s="8">
        <f>IF(E$4-'Assumptions'!$C$85&gt;=1,INDEX('36-Month Forecast'!$C$78:$AL$78,1,E$4-'Assumptions'!$C$85)+INDEX('36-Month Forecast'!$C$75:$AL$75,1,E$4-'Assumptions'!$C$85)*'Unit Economics'!$H$54,0)</f>
        <v/>
      </c>
      <c r="F14" s="8">
        <f>IF(F$4-'Assumptions'!$C$85&gt;=1,INDEX('36-Month Forecast'!$C$78:$AL$78,1,F$4-'Assumptions'!$C$85)+INDEX('36-Month Forecast'!$C$75:$AL$75,1,F$4-'Assumptions'!$C$85)*'Unit Economics'!$H$54,0)</f>
        <v/>
      </c>
      <c r="G14" s="8">
        <f>IF(G$4-'Assumptions'!$C$85&gt;=1,INDEX('36-Month Forecast'!$C$78:$AL$78,1,G$4-'Assumptions'!$C$85)+INDEX('36-Month Forecast'!$C$75:$AL$75,1,G$4-'Assumptions'!$C$85)*'Unit Economics'!$H$54,0)</f>
        <v/>
      </c>
      <c r="H14" s="8">
        <f>IF(H$4-'Assumptions'!$C$85&gt;=1,INDEX('36-Month Forecast'!$C$78:$AL$78,1,H$4-'Assumptions'!$C$85)+INDEX('36-Month Forecast'!$C$75:$AL$75,1,H$4-'Assumptions'!$C$85)*'Unit Economics'!$H$54,0)</f>
        <v/>
      </c>
      <c r="I14" s="8">
        <f>IF(I$4-'Assumptions'!$C$85&gt;=1,INDEX('36-Month Forecast'!$C$78:$AL$78,1,I$4-'Assumptions'!$C$85)+INDEX('36-Month Forecast'!$C$75:$AL$75,1,I$4-'Assumptions'!$C$85)*'Unit Economics'!$H$54,0)</f>
        <v/>
      </c>
      <c r="J14" s="8">
        <f>IF(J$4-'Assumptions'!$C$85&gt;=1,INDEX('36-Month Forecast'!$C$78:$AL$78,1,J$4-'Assumptions'!$C$85)+INDEX('36-Month Forecast'!$C$75:$AL$75,1,J$4-'Assumptions'!$C$85)*'Unit Economics'!$H$54,0)</f>
        <v/>
      </c>
      <c r="K14" s="8">
        <f>IF(K$4-'Assumptions'!$C$85&gt;=1,INDEX('36-Month Forecast'!$C$78:$AL$78,1,K$4-'Assumptions'!$C$85)+INDEX('36-Month Forecast'!$C$75:$AL$75,1,K$4-'Assumptions'!$C$85)*'Unit Economics'!$H$54,0)</f>
        <v/>
      </c>
      <c r="L14" s="8">
        <f>IF(L$4-'Assumptions'!$C$85&gt;=1,INDEX('36-Month Forecast'!$C$78:$AL$78,1,L$4-'Assumptions'!$C$85)+INDEX('36-Month Forecast'!$C$75:$AL$75,1,L$4-'Assumptions'!$C$85)*'Unit Economics'!$H$54,0)</f>
        <v/>
      </c>
      <c r="M14" s="8">
        <f>IF(M$4-'Assumptions'!$C$85&gt;=1,INDEX('36-Month Forecast'!$C$78:$AL$78,1,M$4-'Assumptions'!$C$85)+INDEX('36-Month Forecast'!$C$75:$AL$75,1,M$4-'Assumptions'!$C$85)*'Unit Economics'!$H$54,0)</f>
        <v/>
      </c>
      <c r="N14" s="8">
        <f>IF(N$4-'Assumptions'!$C$85&gt;=1,INDEX('36-Month Forecast'!$C$78:$AL$78,1,N$4-'Assumptions'!$C$85)+INDEX('36-Month Forecast'!$C$75:$AL$75,1,N$4-'Assumptions'!$C$85)*'Unit Economics'!$H$54,0)</f>
        <v/>
      </c>
      <c r="O14" s="8">
        <f>IF(O$4-'Assumptions'!$C$85&gt;=1,INDEX('36-Month Forecast'!$C$78:$AL$78,1,O$4-'Assumptions'!$C$85)+INDEX('36-Month Forecast'!$C$75:$AL$75,1,O$4-'Assumptions'!$C$85)*'Unit Economics'!$H$54,0)</f>
        <v/>
      </c>
      <c r="P14" s="8">
        <f>IF(P$4-'Assumptions'!$C$85&gt;=1,INDEX('36-Month Forecast'!$C$78:$AL$78,1,P$4-'Assumptions'!$C$85)+INDEX('36-Month Forecast'!$C$75:$AL$75,1,P$4-'Assumptions'!$C$85)*'Unit Economics'!$H$54,0)</f>
        <v/>
      </c>
      <c r="Q14" s="8">
        <f>IF(Q$4-'Assumptions'!$C$85&gt;=1,INDEX('36-Month Forecast'!$C$78:$AL$78,1,Q$4-'Assumptions'!$C$85)+INDEX('36-Month Forecast'!$C$75:$AL$75,1,Q$4-'Assumptions'!$C$85)*'Unit Economics'!$H$54,0)</f>
        <v/>
      </c>
      <c r="R14" s="8">
        <f>IF(R$4-'Assumptions'!$C$85&gt;=1,INDEX('36-Month Forecast'!$C$78:$AL$78,1,R$4-'Assumptions'!$C$85)+INDEX('36-Month Forecast'!$C$75:$AL$75,1,R$4-'Assumptions'!$C$85)*'Unit Economics'!$H$54,0)</f>
        <v/>
      </c>
      <c r="S14" s="8">
        <f>IF(S$4-'Assumptions'!$C$85&gt;=1,INDEX('36-Month Forecast'!$C$78:$AL$78,1,S$4-'Assumptions'!$C$85)+INDEX('36-Month Forecast'!$C$75:$AL$75,1,S$4-'Assumptions'!$C$85)*'Unit Economics'!$H$54,0)</f>
        <v/>
      </c>
      <c r="T14" s="8">
        <f>IF(T$4-'Assumptions'!$C$85&gt;=1,INDEX('36-Month Forecast'!$C$78:$AL$78,1,T$4-'Assumptions'!$C$85)+INDEX('36-Month Forecast'!$C$75:$AL$75,1,T$4-'Assumptions'!$C$85)*'Unit Economics'!$H$54,0)</f>
        <v/>
      </c>
      <c r="U14" s="8">
        <f>IF(U$4-'Assumptions'!$C$85&gt;=1,INDEX('36-Month Forecast'!$C$78:$AL$78,1,U$4-'Assumptions'!$C$85)+INDEX('36-Month Forecast'!$C$75:$AL$75,1,U$4-'Assumptions'!$C$85)*'Unit Economics'!$H$54,0)</f>
        <v/>
      </c>
      <c r="V14" s="8">
        <f>IF(V$4-'Assumptions'!$C$85&gt;=1,INDEX('36-Month Forecast'!$C$78:$AL$78,1,V$4-'Assumptions'!$C$85)+INDEX('36-Month Forecast'!$C$75:$AL$75,1,V$4-'Assumptions'!$C$85)*'Unit Economics'!$H$54,0)</f>
        <v/>
      </c>
      <c r="W14" s="8">
        <f>IF(W$4-'Assumptions'!$C$85&gt;=1,INDEX('36-Month Forecast'!$C$78:$AL$78,1,W$4-'Assumptions'!$C$85)+INDEX('36-Month Forecast'!$C$75:$AL$75,1,W$4-'Assumptions'!$C$85)*'Unit Economics'!$H$54,0)</f>
        <v/>
      </c>
      <c r="X14" s="8">
        <f>IF(X$4-'Assumptions'!$C$85&gt;=1,INDEX('36-Month Forecast'!$C$78:$AL$78,1,X$4-'Assumptions'!$C$85)+INDEX('36-Month Forecast'!$C$75:$AL$75,1,X$4-'Assumptions'!$C$85)*'Unit Economics'!$H$54,0)</f>
        <v/>
      </c>
      <c r="Y14" s="8">
        <f>IF(Y$4-'Assumptions'!$C$85&gt;=1,INDEX('36-Month Forecast'!$C$78:$AL$78,1,Y$4-'Assumptions'!$C$85)+INDEX('36-Month Forecast'!$C$75:$AL$75,1,Y$4-'Assumptions'!$C$85)*'Unit Economics'!$H$54,0)</f>
        <v/>
      </c>
      <c r="Z14" s="8">
        <f>IF(Z$4-'Assumptions'!$C$85&gt;=1,INDEX('36-Month Forecast'!$C$78:$AL$78,1,Z$4-'Assumptions'!$C$85)+INDEX('36-Month Forecast'!$C$75:$AL$75,1,Z$4-'Assumptions'!$C$85)*'Unit Economics'!$H$54,0)</f>
        <v/>
      </c>
      <c r="AA14" s="8">
        <f>IF(AA$4-'Assumptions'!$C$85&gt;=1,INDEX('36-Month Forecast'!$C$78:$AL$78,1,AA$4-'Assumptions'!$C$85)+INDEX('36-Month Forecast'!$C$75:$AL$75,1,AA$4-'Assumptions'!$C$85)*'Unit Economics'!$H$54,0)</f>
        <v/>
      </c>
      <c r="AB14" s="8">
        <f>IF(AB$4-'Assumptions'!$C$85&gt;=1,INDEX('36-Month Forecast'!$C$78:$AL$78,1,AB$4-'Assumptions'!$C$85)+INDEX('36-Month Forecast'!$C$75:$AL$75,1,AB$4-'Assumptions'!$C$85)*'Unit Economics'!$H$54,0)</f>
        <v/>
      </c>
      <c r="AC14" s="8">
        <f>IF(AC$4-'Assumptions'!$C$85&gt;=1,INDEX('36-Month Forecast'!$C$78:$AL$78,1,AC$4-'Assumptions'!$C$85)+INDEX('36-Month Forecast'!$C$75:$AL$75,1,AC$4-'Assumptions'!$C$85)*'Unit Economics'!$H$54,0)</f>
        <v/>
      </c>
      <c r="AD14" s="8">
        <f>IF(AD$4-'Assumptions'!$C$85&gt;=1,INDEX('36-Month Forecast'!$C$78:$AL$78,1,AD$4-'Assumptions'!$C$85)+INDEX('36-Month Forecast'!$C$75:$AL$75,1,AD$4-'Assumptions'!$C$85)*'Unit Economics'!$H$54,0)</f>
        <v/>
      </c>
      <c r="AE14" s="8">
        <f>IF(AE$4-'Assumptions'!$C$85&gt;=1,INDEX('36-Month Forecast'!$C$78:$AL$78,1,AE$4-'Assumptions'!$C$85)+INDEX('36-Month Forecast'!$C$75:$AL$75,1,AE$4-'Assumptions'!$C$85)*'Unit Economics'!$H$54,0)</f>
        <v/>
      </c>
      <c r="AF14" s="8">
        <f>IF(AF$4-'Assumptions'!$C$85&gt;=1,INDEX('36-Month Forecast'!$C$78:$AL$78,1,AF$4-'Assumptions'!$C$85)+INDEX('36-Month Forecast'!$C$75:$AL$75,1,AF$4-'Assumptions'!$C$85)*'Unit Economics'!$H$54,0)</f>
        <v/>
      </c>
      <c r="AG14" s="8">
        <f>IF(AG$4-'Assumptions'!$C$85&gt;=1,INDEX('36-Month Forecast'!$C$78:$AL$78,1,AG$4-'Assumptions'!$C$85)+INDEX('36-Month Forecast'!$C$75:$AL$75,1,AG$4-'Assumptions'!$C$85)*'Unit Economics'!$H$54,0)</f>
        <v/>
      </c>
      <c r="AH14" s="8">
        <f>IF(AH$4-'Assumptions'!$C$85&gt;=1,INDEX('36-Month Forecast'!$C$78:$AL$78,1,AH$4-'Assumptions'!$C$85)+INDEX('36-Month Forecast'!$C$75:$AL$75,1,AH$4-'Assumptions'!$C$85)*'Unit Economics'!$H$54,0)</f>
        <v/>
      </c>
      <c r="AI14" s="8">
        <f>IF(AI$4-'Assumptions'!$C$85&gt;=1,INDEX('36-Month Forecast'!$C$78:$AL$78,1,AI$4-'Assumptions'!$C$85)+INDEX('36-Month Forecast'!$C$75:$AL$75,1,AI$4-'Assumptions'!$C$85)*'Unit Economics'!$H$54,0)</f>
        <v/>
      </c>
      <c r="AJ14" s="8">
        <f>IF(AJ$4-'Assumptions'!$C$85&gt;=1,INDEX('36-Month Forecast'!$C$78:$AL$78,1,AJ$4-'Assumptions'!$C$85)+INDEX('36-Month Forecast'!$C$75:$AL$75,1,AJ$4-'Assumptions'!$C$85)*'Unit Economics'!$H$54,0)</f>
        <v/>
      </c>
      <c r="AK14" s="8">
        <f>IF(AK$4-'Assumptions'!$C$85&gt;=1,INDEX('36-Month Forecast'!$C$78:$AL$78,1,AK$4-'Assumptions'!$C$85)+INDEX('36-Month Forecast'!$C$75:$AL$75,1,AK$4-'Assumptions'!$C$85)*'Unit Economics'!$H$54,0)</f>
        <v/>
      </c>
      <c r="AL14" s="8">
        <f>IF(AL$4-'Assumptions'!$C$85&gt;=1,INDEX('36-Month Forecast'!$C$78:$AL$78,1,AL$4-'Assumptions'!$C$85)+INDEX('36-Month Forecast'!$C$75:$AL$75,1,AL$4-'Assumptions'!$C$85)*'Unit Economics'!$H$54,0)</f>
        <v/>
      </c>
      <c r="AM14" s="47">
        <f>SUMIF($C$6:$AL$6,1,C14:AL14)</f>
        <v/>
      </c>
      <c r="AN14" s="47">
        <f>SUMIF($C$6:$AL$6,2,C14:AL14)</f>
        <v/>
      </c>
      <c r="AO14" s="47">
        <f>SUMIF($C$6:$AL$6,3,C14:AL14)</f>
        <v/>
      </c>
      <c r="AP14" s="47">
        <f>SUM(C14:AL14)</f>
        <v/>
      </c>
    </row>
    <row r="15">
      <c r="A15" s="7" t="inlineStr">
        <is>
          <t xml:space="preserve">   Payout: Board book: pre-sale, then 3PL and Amazon FBA (gated option; off in base)</t>
        </is>
      </c>
      <c r="C15" s="8">
        <f>IF(C$4-'Assumptions'!$C$86&gt;=1,INDEX('36-Month Forecast'!$C$88:$AL$88,1,C$4-'Assumptions'!$C$86)+INDEX('36-Month Forecast'!$C$85:$AL$85,1,C$4-'Assumptions'!$C$86)*'Unit Economics'!$H$55,0)</f>
        <v/>
      </c>
      <c r="D15" s="8">
        <f>IF(D$4-'Assumptions'!$C$86&gt;=1,INDEX('36-Month Forecast'!$C$88:$AL$88,1,D$4-'Assumptions'!$C$86)+INDEX('36-Month Forecast'!$C$85:$AL$85,1,D$4-'Assumptions'!$C$86)*'Unit Economics'!$H$55,0)</f>
        <v/>
      </c>
      <c r="E15" s="8">
        <f>IF(E$4-'Assumptions'!$C$86&gt;=1,INDEX('36-Month Forecast'!$C$88:$AL$88,1,E$4-'Assumptions'!$C$86)+INDEX('36-Month Forecast'!$C$85:$AL$85,1,E$4-'Assumptions'!$C$86)*'Unit Economics'!$H$55,0)</f>
        <v/>
      </c>
      <c r="F15" s="8">
        <f>IF(F$4-'Assumptions'!$C$86&gt;=1,INDEX('36-Month Forecast'!$C$88:$AL$88,1,F$4-'Assumptions'!$C$86)+INDEX('36-Month Forecast'!$C$85:$AL$85,1,F$4-'Assumptions'!$C$86)*'Unit Economics'!$H$55,0)</f>
        <v/>
      </c>
      <c r="G15" s="8">
        <f>IF(G$4-'Assumptions'!$C$86&gt;=1,INDEX('36-Month Forecast'!$C$88:$AL$88,1,G$4-'Assumptions'!$C$86)+INDEX('36-Month Forecast'!$C$85:$AL$85,1,G$4-'Assumptions'!$C$86)*'Unit Economics'!$H$55,0)</f>
        <v/>
      </c>
      <c r="H15" s="8">
        <f>IF(H$4-'Assumptions'!$C$86&gt;=1,INDEX('36-Month Forecast'!$C$88:$AL$88,1,H$4-'Assumptions'!$C$86)+INDEX('36-Month Forecast'!$C$85:$AL$85,1,H$4-'Assumptions'!$C$86)*'Unit Economics'!$H$55,0)</f>
        <v/>
      </c>
      <c r="I15" s="8">
        <f>IF(I$4-'Assumptions'!$C$86&gt;=1,INDEX('36-Month Forecast'!$C$88:$AL$88,1,I$4-'Assumptions'!$C$86)+INDEX('36-Month Forecast'!$C$85:$AL$85,1,I$4-'Assumptions'!$C$86)*'Unit Economics'!$H$55,0)</f>
        <v/>
      </c>
      <c r="J15" s="8">
        <f>IF(J$4-'Assumptions'!$C$86&gt;=1,INDEX('36-Month Forecast'!$C$88:$AL$88,1,J$4-'Assumptions'!$C$86)+INDEX('36-Month Forecast'!$C$85:$AL$85,1,J$4-'Assumptions'!$C$86)*'Unit Economics'!$H$55,0)</f>
        <v/>
      </c>
      <c r="K15" s="8">
        <f>IF(K$4-'Assumptions'!$C$86&gt;=1,INDEX('36-Month Forecast'!$C$88:$AL$88,1,K$4-'Assumptions'!$C$86)+INDEX('36-Month Forecast'!$C$85:$AL$85,1,K$4-'Assumptions'!$C$86)*'Unit Economics'!$H$55,0)</f>
        <v/>
      </c>
      <c r="L15" s="8">
        <f>IF(L$4-'Assumptions'!$C$86&gt;=1,INDEX('36-Month Forecast'!$C$88:$AL$88,1,L$4-'Assumptions'!$C$86)+INDEX('36-Month Forecast'!$C$85:$AL$85,1,L$4-'Assumptions'!$C$86)*'Unit Economics'!$H$55,0)</f>
        <v/>
      </c>
      <c r="M15" s="8">
        <f>IF(M$4-'Assumptions'!$C$86&gt;=1,INDEX('36-Month Forecast'!$C$88:$AL$88,1,M$4-'Assumptions'!$C$86)+INDEX('36-Month Forecast'!$C$85:$AL$85,1,M$4-'Assumptions'!$C$86)*'Unit Economics'!$H$55,0)</f>
        <v/>
      </c>
      <c r="N15" s="8">
        <f>IF(N$4-'Assumptions'!$C$86&gt;=1,INDEX('36-Month Forecast'!$C$88:$AL$88,1,N$4-'Assumptions'!$C$86)+INDEX('36-Month Forecast'!$C$85:$AL$85,1,N$4-'Assumptions'!$C$86)*'Unit Economics'!$H$55,0)</f>
        <v/>
      </c>
      <c r="O15" s="8">
        <f>IF(O$4-'Assumptions'!$C$86&gt;=1,INDEX('36-Month Forecast'!$C$88:$AL$88,1,O$4-'Assumptions'!$C$86)+INDEX('36-Month Forecast'!$C$85:$AL$85,1,O$4-'Assumptions'!$C$86)*'Unit Economics'!$H$55,0)</f>
        <v/>
      </c>
      <c r="P15" s="8">
        <f>IF(P$4-'Assumptions'!$C$86&gt;=1,INDEX('36-Month Forecast'!$C$88:$AL$88,1,P$4-'Assumptions'!$C$86)+INDEX('36-Month Forecast'!$C$85:$AL$85,1,P$4-'Assumptions'!$C$86)*'Unit Economics'!$H$55,0)</f>
        <v/>
      </c>
      <c r="Q15" s="8">
        <f>IF(Q$4-'Assumptions'!$C$86&gt;=1,INDEX('36-Month Forecast'!$C$88:$AL$88,1,Q$4-'Assumptions'!$C$86)+INDEX('36-Month Forecast'!$C$85:$AL$85,1,Q$4-'Assumptions'!$C$86)*'Unit Economics'!$H$55,0)</f>
        <v/>
      </c>
      <c r="R15" s="8">
        <f>IF(R$4-'Assumptions'!$C$86&gt;=1,INDEX('36-Month Forecast'!$C$88:$AL$88,1,R$4-'Assumptions'!$C$86)+INDEX('36-Month Forecast'!$C$85:$AL$85,1,R$4-'Assumptions'!$C$86)*'Unit Economics'!$H$55,0)</f>
        <v/>
      </c>
      <c r="S15" s="8">
        <f>IF(S$4-'Assumptions'!$C$86&gt;=1,INDEX('36-Month Forecast'!$C$88:$AL$88,1,S$4-'Assumptions'!$C$86)+INDEX('36-Month Forecast'!$C$85:$AL$85,1,S$4-'Assumptions'!$C$86)*'Unit Economics'!$H$55,0)</f>
        <v/>
      </c>
      <c r="T15" s="8">
        <f>IF(T$4-'Assumptions'!$C$86&gt;=1,INDEX('36-Month Forecast'!$C$88:$AL$88,1,T$4-'Assumptions'!$C$86)+INDEX('36-Month Forecast'!$C$85:$AL$85,1,T$4-'Assumptions'!$C$86)*'Unit Economics'!$H$55,0)</f>
        <v/>
      </c>
      <c r="U15" s="8">
        <f>IF(U$4-'Assumptions'!$C$86&gt;=1,INDEX('36-Month Forecast'!$C$88:$AL$88,1,U$4-'Assumptions'!$C$86)+INDEX('36-Month Forecast'!$C$85:$AL$85,1,U$4-'Assumptions'!$C$86)*'Unit Economics'!$H$55,0)</f>
        <v/>
      </c>
      <c r="V15" s="8">
        <f>IF(V$4-'Assumptions'!$C$86&gt;=1,INDEX('36-Month Forecast'!$C$88:$AL$88,1,V$4-'Assumptions'!$C$86)+INDEX('36-Month Forecast'!$C$85:$AL$85,1,V$4-'Assumptions'!$C$86)*'Unit Economics'!$H$55,0)</f>
        <v/>
      </c>
      <c r="W15" s="8">
        <f>IF(W$4-'Assumptions'!$C$86&gt;=1,INDEX('36-Month Forecast'!$C$88:$AL$88,1,W$4-'Assumptions'!$C$86)+INDEX('36-Month Forecast'!$C$85:$AL$85,1,W$4-'Assumptions'!$C$86)*'Unit Economics'!$H$55,0)</f>
        <v/>
      </c>
      <c r="X15" s="8">
        <f>IF(X$4-'Assumptions'!$C$86&gt;=1,INDEX('36-Month Forecast'!$C$88:$AL$88,1,X$4-'Assumptions'!$C$86)+INDEX('36-Month Forecast'!$C$85:$AL$85,1,X$4-'Assumptions'!$C$86)*'Unit Economics'!$H$55,0)</f>
        <v/>
      </c>
      <c r="Y15" s="8">
        <f>IF(Y$4-'Assumptions'!$C$86&gt;=1,INDEX('36-Month Forecast'!$C$88:$AL$88,1,Y$4-'Assumptions'!$C$86)+INDEX('36-Month Forecast'!$C$85:$AL$85,1,Y$4-'Assumptions'!$C$86)*'Unit Economics'!$H$55,0)</f>
        <v/>
      </c>
      <c r="Z15" s="8">
        <f>IF(Z$4-'Assumptions'!$C$86&gt;=1,INDEX('36-Month Forecast'!$C$88:$AL$88,1,Z$4-'Assumptions'!$C$86)+INDEX('36-Month Forecast'!$C$85:$AL$85,1,Z$4-'Assumptions'!$C$86)*'Unit Economics'!$H$55,0)</f>
        <v/>
      </c>
      <c r="AA15" s="8">
        <f>IF(AA$4-'Assumptions'!$C$86&gt;=1,INDEX('36-Month Forecast'!$C$88:$AL$88,1,AA$4-'Assumptions'!$C$86)+INDEX('36-Month Forecast'!$C$85:$AL$85,1,AA$4-'Assumptions'!$C$86)*'Unit Economics'!$H$55,0)</f>
        <v/>
      </c>
      <c r="AB15" s="8">
        <f>IF(AB$4-'Assumptions'!$C$86&gt;=1,INDEX('36-Month Forecast'!$C$88:$AL$88,1,AB$4-'Assumptions'!$C$86)+INDEX('36-Month Forecast'!$C$85:$AL$85,1,AB$4-'Assumptions'!$C$86)*'Unit Economics'!$H$55,0)</f>
        <v/>
      </c>
      <c r="AC15" s="8">
        <f>IF(AC$4-'Assumptions'!$C$86&gt;=1,INDEX('36-Month Forecast'!$C$88:$AL$88,1,AC$4-'Assumptions'!$C$86)+INDEX('36-Month Forecast'!$C$85:$AL$85,1,AC$4-'Assumptions'!$C$86)*'Unit Economics'!$H$55,0)</f>
        <v/>
      </c>
      <c r="AD15" s="8">
        <f>IF(AD$4-'Assumptions'!$C$86&gt;=1,INDEX('36-Month Forecast'!$C$88:$AL$88,1,AD$4-'Assumptions'!$C$86)+INDEX('36-Month Forecast'!$C$85:$AL$85,1,AD$4-'Assumptions'!$C$86)*'Unit Economics'!$H$55,0)</f>
        <v/>
      </c>
      <c r="AE15" s="8">
        <f>IF(AE$4-'Assumptions'!$C$86&gt;=1,INDEX('36-Month Forecast'!$C$88:$AL$88,1,AE$4-'Assumptions'!$C$86)+INDEX('36-Month Forecast'!$C$85:$AL$85,1,AE$4-'Assumptions'!$C$86)*'Unit Economics'!$H$55,0)</f>
        <v/>
      </c>
      <c r="AF15" s="8">
        <f>IF(AF$4-'Assumptions'!$C$86&gt;=1,INDEX('36-Month Forecast'!$C$88:$AL$88,1,AF$4-'Assumptions'!$C$86)+INDEX('36-Month Forecast'!$C$85:$AL$85,1,AF$4-'Assumptions'!$C$86)*'Unit Economics'!$H$55,0)</f>
        <v/>
      </c>
      <c r="AG15" s="8">
        <f>IF(AG$4-'Assumptions'!$C$86&gt;=1,INDEX('36-Month Forecast'!$C$88:$AL$88,1,AG$4-'Assumptions'!$C$86)+INDEX('36-Month Forecast'!$C$85:$AL$85,1,AG$4-'Assumptions'!$C$86)*'Unit Economics'!$H$55,0)</f>
        <v/>
      </c>
      <c r="AH15" s="8">
        <f>IF(AH$4-'Assumptions'!$C$86&gt;=1,INDEX('36-Month Forecast'!$C$88:$AL$88,1,AH$4-'Assumptions'!$C$86)+INDEX('36-Month Forecast'!$C$85:$AL$85,1,AH$4-'Assumptions'!$C$86)*'Unit Economics'!$H$55,0)</f>
        <v/>
      </c>
      <c r="AI15" s="8">
        <f>IF(AI$4-'Assumptions'!$C$86&gt;=1,INDEX('36-Month Forecast'!$C$88:$AL$88,1,AI$4-'Assumptions'!$C$86)+INDEX('36-Month Forecast'!$C$85:$AL$85,1,AI$4-'Assumptions'!$C$86)*'Unit Economics'!$H$55,0)</f>
        <v/>
      </c>
      <c r="AJ15" s="8">
        <f>IF(AJ$4-'Assumptions'!$C$86&gt;=1,INDEX('36-Month Forecast'!$C$88:$AL$88,1,AJ$4-'Assumptions'!$C$86)+INDEX('36-Month Forecast'!$C$85:$AL$85,1,AJ$4-'Assumptions'!$C$86)*'Unit Economics'!$H$55,0)</f>
        <v/>
      </c>
      <c r="AK15" s="8">
        <f>IF(AK$4-'Assumptions'!$C$86&gt;=1,INDEX('36-Month Forecast'!$C$88:$AL$88,1,AK$4-'Assumptions'!$C$86)+INDEX('36-Month Forecast'!$C$85:$AL$85,1,AK$4-'Assumptions'!$C$86)*'Unit Economics'!$H$55,0)</f>
        <v/>
      </c>
      <c r="AL15" s="8">
        <f>IF(AL$4-'Assumptions'!$C$86&gt;=1,INDEX('36-Month Forecast'!$C$88:$AL$88,1,AL$4-'Assumptions'!$C$86)+INDEX('36-Month Forecast'!$C$85:$AL$85,1,AL$4-'Assumptions'!$C$86)*'Unit Economics'!$H$55,0)</f>
        <v/>
      </c>
      <c r="AM15" s="47">
        <f>SUMIF($C$6:$AL$6,1,C15:AL15)</f>
        <v/>
      </c>
      <c r="AN15" s="47">
        <f>SUMIF($C$6:$AL$6,2,C15:AL15)</f>
        <v/>
      </c>
      <c r="AO15" s="47">
        <f>SUMIF($C$6:$AL$6,3,C15:AL15)</f>
        <v/>
      </c>
      <c r="AP15" s="47">
        <f>SUM(C15:AL15)</f>
        <v/>
      </c>
    </row>
    <row r="16">
      <c r="A16" s="7" t="inlineStr">
        <is>
          <t xml:space="preserve">   Payout: School and group licenses + TPT (overlay only if counsel clears in writing; off in base)</t>
        </is>
      </c>
      <c r="C16" s="8">
        <f>IF(C$4-'Assumptions'!$C$87&gt;=1,INDEX('36-Month Forecast'!$C$99:$AL$99,1,C$4-'Assumptions'!$C$87)+INDEX('36-Month Forecast'!$C$96:$AL$96,1,C$4-'Assumptions'!$C$87)*'Unit Economics'!$H$56,0)</f>
        <v/>
      </c>
      <c r="D16" s="8">
        <f>IF(D$4-'Assumptions'!$C$87&gt;=1,INDEX('36-Month Forecast'!$C$99:$AL$99,1,D$4-'Assumptions'!$C$87)+INDEX('36-Month Forecast'!$C$96:$AL$96,1,D$4-'Assumptions'!$C$87)*'Unit Economics'!$H$56,0)</f>
        <v/>
      </c>
      <c r="E16" s="8">
        <f>IF(E$4-'Assumptions'!$C$87&gt;=1,INDEX('36-Month Forecast'!$C$99:$AL$99,1,E$4-'Assumptions'!$C$87)+INDEX('36-Month Forecast'!$C$96:$AL$96,1,E$4-'Assumptions'!$C$87)*'Unit Economics'!$H$56,0)</f>
        <v/>
      </c>
      <c r="F16" s="8">
        <f>IF(F$4-'Assumptions'!$C$87&gt;=1,INDEX('36-Month Forecast'!$C$99:$AL$99,1,F$4-'Assumptions'!$C$87)+INDEX('36-Month Forecast'!$C$96:$AL$96,1,F$4-'Assumptions'!$C$87)*'Unit Economics'!$H$56,0)</f>
        <v/>
      </c>
      <c r="G16" s="8">
        <f>IF(G$4-'Assumptions'!$C$87&gt;=1,INDEX('36-Month Forecast'!$C$99:$AL$99,1,G$4-'Assumptions'!$C$87)+INDEX('36-Month Forecast'!$C$96:$AL$96,1,G$4-'Assumptions'!$C$87)*'Unit Economics'!$H$56,0)</f>
        <v/>
      </c>
      <c r="H16" s="8">
        <f>IF(H$4-'Assumptions'!$C$87&gt;=1,INDEX('36-Month Forecast'!$C$99:$AL$99,1,H$4-'Assumptions'!$C$87)+INDEX('36-Month Forecast'!$C$96:$AL$96,1,H$4-'Assumptions'!$C$87)*'Unit Economics'!$H$56,0)</f>
        <v/>
      </c>
      <c r="I16" s="8">
        <f>IF(I$4-'Assumptions'!$C$87&gt;=1,INDEX('36-Month Forecast'!$C$99:$AL$99,1,I$4-'Assumptions'!$C$87)+INDEX('36-Month Forecast'!$C$96:$AL$96,1,I$4-'Assumptions'!$C$87)*'Unit Economics'!$H$56,0)</f>
        <v/>
      </c>
      <c r="J16" s="8">
        <f>IF(J$4-'Assumptions'!$C$87&gt;=1,INDEX('36-Month Forecast'!$C$99:$AL$99,1,J$4-'Assumptions'!$C$87)+INDEX('36-Month Forecast'!$C$96:$AL$96,1,J$4-'Assumptions'!$C$87)*'Unit Economics'!$H$56,0)</f>
        <v/>
      </c>
      <c r="K16" s="8">
        <f>IF(K$4-'Assumptions'!$C$87&gt;=1,INDEX('36-Month Forecast'!$C$99:$AL$99,1,K$4-'Assumptions'!$C$87)+INDEX('36-Month Forecast'!$C$96:$AL$96,1,K$4-'Assumptions'!$C$87)*'Unit Economics'!$H$56,0)</f>
        <v/>
      </c>
      <c r="L16" s="8">
        <f>IF(L$4-'Assumptions'!$C$87&gt;=1,INDEX('36-Month Forecast'!$C$99:$AL$99,1,L$4-'Assumptions'!$C$87)+INDEX('36-Month Forecast'!$C$96:$AL$96,1,L$4-'Assumptions'!$C$87)*'Unit Economics'!$H$56,0)</f>
        <v/>
      </c>
      <c r="M16" s="8">
        <f>IF(M$4-'Assumptions'!$C$87&gt;=1,INDEX('36-Month Forecast'!$C$99:$AL$99,1,M$4-'Assumptions'!$C$87)+INDEX('36-Month Forecast'!$C$96:$AL$96,1,M$4-'Assumptions'!$C$87)*'Unit Economics'!$H$56,0)</f>
        <v/>
      </c>
      <c r="N16" s="8">
        <f>IF(N$4-'Assumptions'!$C$87&gt;=1,INDEX('36-Month Forecast'!$C$99:$AL$99,1,N$4-'Assumptions'!$C$87)+INDEX('36-Month Forecast'!$C$96:$AL$96,1,N$4-'Assumptions'!$C$87)*'Unit Economics'!$H$56,0)</f>
        <v/>
      </c>
      <c r="O16" s="8">
        <f>IF(O$4-'Assumptions'!$C$87&gt;=1,INDEX('36-Month Forecast'!$C$99:$AL$99,1,O$4-'Assumptions'!$C$87)+INDEX('36-Month Forecast'!$C$96:$AL$96,1,O$4-'Assumptions'!$C$87)*'Unit Economics'!$H$56,0)</f>
        <v/>
      </c>
      <c r="P16" s="8">
        <f>IF(P$4-'Assumptions'!$C$87&gt;=1,INDEX('36-Month Forecast'!$C$99:$AL$99,1,P$4-'Assumptions'!$C$87)+INDEX('36-Month Forecast'!$C$96:$AL$96,1,P$4-'Assumptions'!$C$87)*'Unit Economics'!$H$56,0)</f>
        <v/>
      </c>
      <c r="Q16" s="8">
        <f>IF(Q$4-'Assumptions'!$C$87&gt;=1,INDEX('36-Month Forecast'!$C$99:$AL$99,1,Q$4-'Assumptions'!$C$87)+INDEX('36-Month Forecast'!$C$96:$AL$96,1,Q$4-'Assumptions'!$C$87)*'Unit Economics'!$H$56,0)</f>
        <v/>
      </c>
      <c r="R16" s="8">
        <f>IF(R$4-'Assumptions'!$C$87&gt;=1,INDEX('36-Month Forecast'!$C$99:$AL$99,1,R$4-'Assumptions'!$C$87)+INDEX('36-Month Forecast'!$C$96:$AL$96,1,R$4-'Assumptions'!$C$87)*'Unit Economics'!$H$56,0)</f>
        <v/>
      </c>
      <c r="S16" s="8">
        <f>IF(S$4-'Assumptions'!$C$87&gt;=1,INDEX('36-Month Forecast'!$C$99:$AL$99,1,S$4-'Assumptions'!$C$87)+INDEX('36-Month Forecast'!$C$96:$AL$96,1,S$4-'Assumptions'!$C$87)*'Unit Economics'!$H$56,0)</f>
        <v/>
      </c>
      <c r="T16" s="8">
        <f>IF(T$4-'Assumptions'!$C$87&gt;=1,INDEX('36-Month Forecast'!$C$99:$AL$99,1,T$4-'Assumptions'!$C$87)+INDEX('36-Month Forecast'!$C$96:$AL$96,1,T$4-'Assumptions'!$C$87)*'Unit Economics'!$H$56,0)</f>
        <v/>
      </c>
      <c r="U16" s="8">
        <f>IF(U$4-'Assumptions'!$C$87&gt;=1,INDEX('36-Month Forecast'!$C$99:$AL$99,1,U$4-'Assumptions'!$C$87)+INDEX('36-Month Forecast'!$C$96:$AL$96,1,U$4-'Assumptions'!$C$87)*'Unit Economics'!$H$56,0)</f>
        <v/>
      </c>
      <c r="V16" s="8">
        <f>IF(V$4-'Assumptions'!$C$87&gt;=1,INDEX('36-Month Forecast'!$C$99:$AL$99,1,V$4-'Assumptions'!$C$87)+INDEX('36-Month Forecast'!$C$96:$AL$96,1,V$4-'Assumptions'!$C$87)*'Unit Economics'!$H$56,0)</f>
        <v/>
      </c>
      <c r="W16" s="8">
        <f>IF(W$4-'Assumptions'!$C$87&gt;=1,INDEX('36-Month Forecast'!$C$99:$AL$99,1,W$4-'Assumptions'!$C$87)+INDEX('36-Month Forecast'!$C$96:$AL$96,1,W$4-'Assumptions'!$C$87)*'Unit Economics'!$H$56,0)</f>
        <v/>
      </c>
      <c r="X16" s="8">
        <f>IF(X$4-'Assumptions'!$C$87&gt;=1,INDEX('36-Month Forecast'!$C$99:$AL$99,1,X$4-'Assumptions'!$C$87)+INDEX('36-Month Forecast'!$C$96:$AL$96,1,X$4-'Assumptions'!$C$87)*'Unit Economics'!$H$56,0)</f>
        <v/>
      </c>
      <c r="Y16" s="8">
        <f>IF(Y$4-'Assumptions'!$C$87&gt;=1,INDEX('36-Month Forecast'!$C$99:$AL$99,1,Y$4-'Assumptions'!$C$87)+INDEX('36-Month Forecast'!$C$96:$AL$96,1,Y$4-'Assumptions'!$C$87)*'Unit Economics'!$H$56,0)</f>
        <v/>
      </c>
      <c r="Z16" s="8">
        <f>IF(Z$4-'Assumptions'!$C$87&gt;=1,INDEX('36-Month Forecast'!$C$99:$AL$99,1,Z$4-'Assumptions'!$C$87)+INDEX('36-Month Forecast'!$C$96:$AL$96,1,Z$4-'Assumptions'!$C$87)*'Unit Economics'!$H$56,0)</f>
        <v/>
      </c>
      <c r="AA16" s="8">
        <f>IF(AA$4-'Assumptions'!$C$87&gt;=1,INDEX('36-Month Forecast'!$C$99:$AL$99,1,AA$4-'Assumptions'!$C$87)+INDEX('36-Month Forecast'!$C$96:$AL$96,1,AA$4-'Assumptions'!$C$87)*'Unit Economics'!$H$56,0)</f>
        <v/>
      </c>
      <c r="AB16" s="8">
        <f>IF(AB$4-'Assumptions'!$C$87&gt;=1,INDEX('36-Month Forecast'!$C$99:$AL$99,1,AB$4-'Assumptions'!$C$87)+INDEX('36-Month Forecast'!$C$96:$AL$96,1,AB$4-'Assumptions'!$C$87)*'Unit Economics'!$H$56,0)</f>
        <v/>
      </c>
      <c r="AC16" s="8">
        <f>IF(AC$4-'Assumptions'!$C$87&gt;=1,INDEX('36-Month Forecast'!$C$99:$AL$99,1,AC$4-'Assumptions'!$C$87)+INDEX('36-Month Forecast'!$C$96:$AL$96,1,AC$4-'Assumptions'!$C$87)*'Unit Economics'!$H$56,0)</f>
        <v/>
      </c>
      <c r="AD16" s="8">
        <f>IF(AD$4-'Assumptions'!$C$87&gt;=1,INDEX('36-Month Forecast'!$C$99:$AL$99,1,AD$4-'Assumptions'!$C$87)+INDEX('36-Month Forecast'!$C$96:$AL$96,1,AD$4-'Assumptions'!$C$87)*'Unit Economics'!$H$56,0)</f>
        <v/>
      </c>
      <c r="AE16" s="8">
        <f>IF(AE$4-'Assumptions'!$C$87&gt;=1,INDEX('36-Month Forecast'!$C$99:$AL$99,1,AE$4-'Assumptions'!$C$87)+INDEX('36-Month Forecast'!$C$96:$AL$96,1,AE$4-'Assumptions'!$C$87)*'Unit Economics'!$H$56,0)</f>
        <v/>
      </c>
      <c r="AF16" s="8">
        <f>IF(AF$4-'Assumptions'!$C$87&gt;=1,INDEX('36-Month Forecast'!$C$99:$AL$99,1,AF$4-'Assumptions'!$C$87)+INDEX('36-Month Forecast'!$C$96:$AL$96,1,AF$4-'Assumptions'!$C$87)*'Unit Economics'!$H$56,0)</f>
        <v/>
      </c>
      <c r="AG16" s="8">
        <f>IF(AG$4-'Assumptions'!$C$87&gt;=1,INDEX('36-Month Forecast'!$C$99:$AL$99,1,AG$4-'Assumptions'!$C$87)+INDEX('36-Month Forecast'!$C$96:$AL$96,1,AG$4-'Assumptions'!$C$87)*'Unit Economics'!$H$56,0)</f>
        <v/>
      </c>
      <c r="AH16" s="8">
        <f>IF(AH$4-'Assumptions'!$C$87&gt;=1,INDEX('36-Month Forecast'!$C$99:$AL$99,1,AH$4-'Assumptions'!$C$87)+INDEX('36-Month Forecast'!$C$96:$AL$96,1,AH$4-'Assumptions'!$C$87)*'Unit Economics'!$H$56,0)</f>
        <v/>
      </c>
      <c r="AI16" s="8">
        <f>IF(AI$4-'Assumptions'!$C$87&gt;=1,INDEX('36-Month Forecast'!$C$99:$AL$99,1,AI$4-'Assumptions'!$C$87)+INDEX('36-Month Forecast'!$C$96:$AL$96,1,AI$4-'Assumptions'!$C$87)*'Unit Economics'!$H$56,0)</f>
        <v/>
      </c>
      <c r="AJ16" s="8">
        <f>IF(AJ$4-'Assumptions'!$C$87&gt;=1,INDEX('36-Month Forecast'!$C$99:$AL$99,1,AJ$4-'Assumptions'!$C$87)+INDEX('36-Month Forecast'!$C$96:$AL$96,1,AJ$4-'Assumptions'!$C$87)*'Unit Economics'!$H$56,0)</f>
        <v/>
      </c>
      <c r="AK16" s="8">
        <f>IF(AK$4-'Assumptions'!$C$87&gt;=1,INDEX('36-Month Forecast'!$C$99:$AL$99,1,AK$4-'Assumptions'!$C$87)+INDEX('36-Month Forecast'!$C$96:$AL$96,1,AK$4-'Assumptions'!$C$87)*'Unit Economics'!$H$56,0)</f>
        <v/>
      </c>
      <c r="AL16" s="8">
        <f>IF(AL$4-'Assumptions'!$C$87&gt;=1,INDEX('36-Month Forecast'!$C$99:$AL$99,1,AL$4-'Assumptions'!$C$87)+INDEX('36-Month Forecast'!$C$96:$AL$96,1,AL$4-'Assumptions'!$C$87)*'Unit Economics'!$H$56,0)</f>
        <v/>
      </c>
      <c r="AM16" s="47">
        <f>SUMIF($C$6:$AL$6,1,C16:AL16)</f>
        <v/>
      </c>
      <c r="AN16" s="47">
        <f>SUMIF($C$6:$AL$6,2,C16:AL16)</f>
        <v/>
      </c>
      <c r="AO16" s="47">
        <f>SUMIF($C$6:$AL$6,3,C16:AL16)</f>
        <v/>
      </c>
      <c r="AP16" s="47">
        <f>SUM(C16:AL16)</f>
        <v/>
      </c>
    </row>
    <row r="17">
      <c r="A17" s="7" t="inlineStr">
        <is>
          <t xml:space="preserve">   Payout: Retail and wholesale: Faire, Walmart Marketplace (off in base)</t>
        </is>
      </c>
      <c r="C17" s="8">
        <f>IF(C$4-'Assumptions'!$C$88&gt;=1,INDEX('36-Month Forecast'!$C$109:$AL$109,1,C$4-'Assumptions'!$C$88)+INDEX('36-Month Forecast'!$C$106:$AL$106,1,C$4-'Assumptions'!$C$88)*'Unit Economics'!$H$57,0)</f>
        <v/>
      </c>
      <c r="D17" s="8">
        <f>IF(D$4-'Assumptions'!$C$88&gt;=1,INDEX('36-Month Forecast'!$C$109:$AL$109,1,D$4-'Assumptions'!$C$88)+INDEX('36-Month Forecast'!$C$106:$AL$106,1,D$4-'Assumptions'!$C$88)*'Unit Economics'!$H$57,0)</f>
        <v/>
      </c>
      <c r="E17" s="8">
        <f>IF(E$4-'Assumptions'!$C$88&gt;=1,INDEX('36-Month Forecast'!$C$109:$AL$109,1,E$4-'Assumptions'!$C$88)+INDEX('36-Month Forecast'!$C$106:$AL$106,1,E$4-'Assumptions'!$C$88)*'Unit Economics'!$H$57,0)</f>
        <v/>
      </c>
      <c r="F17" s="8">
        <f>IF(F$4-'Assumptions'!$C$88&gt;=1,INDEX('36-Month Forecast'!$C$109:$AL$109,1,F$4-'Assumptions'!$C$88)+INDEX('36-Month Forecast'!$C$106:$AL$106,1,F$4-'Assumptions'!$C$88)*'Unit Economics'!$H$57,0)</f>
        <v/>
      </c>
      <c r="G17" s="8">
        <f>IF(G$4-'Assumptions'!$C$88&gt;=1,INDEX('36-Month Forecast'!$C$109:$AL$109,1,G$4-'Assumptions'!$C$88)+INDEX('36-Month Forecast'!$C$106:$AL$106,1,G$4-'Assumptions'!$C$88)*'Unit Economics'!$H$57,0)</f>
        <v/>
      </c>
      <c r="H17" s="8">
        <f>IF(H$4-'Assumptions'!$C$88&gt;=1,INDEX('36-Month Forecast'!$C$109:$AL$109,1,H$4-'Assumptions'!$C$88)+INDEX('36-Month Forecast'!$C$106:$AL$106,1,H$4-'Assumptions'!$C$88)*'Unit Economics'!$H$57,0)</f>
        <v/>
      </c>
      <c r="I17" s="8">
        <f>IF(I$4-'Assumptions'!$C$88&gt;=1,INDEX('36-Month Forecast'!$C$109:$AL$109,1,I$4-'Assumptions'!$C$88)+INDEX('36-Month Forecast'!$C$106:$AL$106,1,I$4-'Assumptions'!$C$88)*'Unit Economics'!$H$57,0)</f>
        <v/>
      </c>
      <c r="J17" s="8">
        <f>IF(J$4-'Assumptions'!$C$88&gt;=1,INDEX('36-Month Forecast'!$C$109:$AL$109,1,J$4-'Assumptions'!$C$88)+INDEX('36-Month Forecast'!$C$106:$AL$106,1,J$4-'Assumptions'!$C$88)*'Unit Economics'!$H$57,0)</f>
        <v/>
      </c>
      <c r="K17" s="8">
        <f>IF(K$4-'Assumptions'!$C$88&gt;=1,INDEX('36-Month Forecast'!$C$109:$AL$109,1,K$4-'Assumptions'!$C$88)+INDEX('36-Month Forecast'!$C$106:$AL$106,1,K$4-'Assumptions'!$C$88)*'Unit Economics'!$H$57,0)</f>
        <v/>
      </c>
      <c r="L17" s="8">
        <f>IF(L$4-'Assumptions'!$C$88&gt;=1,INDEX('36-Month Forecast'!$C$109:$AL$109,1,L$4-'Assumptions'!$C$88)+INDEX('36-Month Forecast'!$C$106:$AL$106,1,L$4-'Assumptions'!$C$88)*'Unit Economics'!$H$57,0)</f>
        <v/>
      </c>
      <c r="M17" s="8">
        <f>IF(M$4-'Assumptions'!$C$88&gt;=1,INDEX('36-Month Forecast'!$C$109:$AL$109,1,M$4-'Assumptions'!$C$88)+INDEX('36-Month Forecast'!$C$106:$AL$106,1,M$4-'Assumptions'!$C$88)*'Unit Economics'!$H$57,0)</f>
        <v/>
      </c>
      <c r="N17" s="8">
        <f>IF(N$4-'Assumptions'!$C$88&gt;=1,INDEX('36-Month Forecast'!$C$109:$AL$109,1,N$4-'Assumptions'!$C$88)+INDEX('36-Month Forecast'!$C$106:$AL$106,1,N$4-'Assumptions'!$C$88)*'Unit Economics'!$H$57,0)</f>
        <v/>
      </c>
      <c r="O17" s="8">
        <f>IF(O$4-'Assumptions'!$C$88&gt;=1,INDEX('36-Month Forecast'!$C$109:$AL$109,1,O$4-'Assumptions'!$C$88)+INDEX('36-Month Forecast'!$C$106:$AL$106,1,O$4-'Assumptions'!$C$88)*'Unit Economics'!$H$57,0)</f>
        <v/>
      </c>
      <c r="P17" s="8">
        <f>IF(P$4-'Assumptions'!$C$88&gt;=1,INDEX('36-Month Forecast'!$C$109:$AL$109,1,P$4-'Assumptions'!$C$88)+INDEX('36-Month Forecast'!$C$106:$AL$106,1,P$4-'Assumptions'!$C$88)*'Unit Economics'!$H$57,0)</f>
        <v/>
      </c>
      <c r="Q17" s="8">
        <f>IF(Q$4-'Assumptions'!$C$88&gt;=1,INDEX('36-Month Forecast'!$C$109:$AL$109,1,Q$4-'Assumptions'!$C$88)+INDEX('36-Month Forecast'!$C$106:$AL$106,1,Q$4-'Assumptions'!$C$88)*'Unit Economics'!$H$57,0)</f>
        <v/>
      </c>
      <c r="R17" s="8">
        <f>IF(R$4-'Assumptions'!$C$88&gt;=1,INDEX('36-Month Forecast'!$C$109:$AL$109,1,R$4-'Assumptions'!$C$88)+INDEX('36-Month Forecast'!$C$106:$AL$106,1,R$4-'Assumptions'!$C$88)*'Unit Economics'!$H$57,0)</f>
        <v/>
      </c>
      <c r="S17" s="8">
        <f>IF(S$4-'Assumptions'!$C$88&gt;=1,INDEX('36-Month Forecast'!$C$109:$AL$109,1,S$4-'Assumptions'!$C$88)+INDEX('36-Month Forecast'!$C$106:$AL$106,1,S$4-'Assumptions'!$C$88)*'Unit Economics'!$H$57,0)</f>
        <v/>
      </c>
      <c r="T17" s="8">
        <f>IF(T$4-'Assumptions'!$C$88&gt;=1,INDEX('36-Month Forecast'!$C$109:$AL$109,1,T$4-'Assumptions'!$C$88)+INDEX('36-Month Forecast'!$C$106:$AL$106,1,T$4-'Assumptions'!$C$88)*'Unit Economics'!$H$57,0)</f>
        <v/>
      </c>
      <c r="U17" s="8">
        <f>IF(U$4-'Assumptions'!$C$88&gt;=1,INDEX('36-Month Forecast'!$C$109:$AL$109,1,U$4-'Assumptions'!$C$88)+INDEX('36-Month Forecast'!$C$106:$AL$106,1,U$4-'Assumptions'!$C$88)*'Unit Economics'!$H$57,0)</f>
        <v/>
      </c>
      <c r="V17" s="8">
        <f>IF(V$4-'Assumptions'!$C$88&gt;=1,INDEX('36-Month Forecast'!$C$109:$AL$109,1,V$4-'Assumptions'!$C$88)+INDEX('36-Month Forecast'!$C$106:$AL$106,1,V$4-'Assumptions'!$C$88)*'Unit Economics'!$H$57,0)</f>
        <v/>
      </c>
      <c r="W17" s="8">
        <f>IF(W$4-'Assumptions'!$C$88&gt;=1,INDEX('36-Month Forecast'!$C$109:$AL$109,1,W$4-'Assumptions'!$C$88)+INDEX('36-Month Forecast'!$C$106:$AL$106,1,W$4-'Assumptions'!$C$88)*'Unit Economics'!$H$57,0)</f>
        <v/>
      </c>
      <c r="X17" s="8">
        <f>IF(X$4-'Assumptions'!$C$88&gt;=1,INDEX('36-Month Forecast'!$C$109:$AL$109,1,X$4-'Assumptions'!$C$88)+INDEX('36-Month Forecast'!$C$106:$AL$106,1,X$4-'Assumptions'!$C$88)*'Unit Economics'!$H$57,0)</f>
        <v/>
      </c>
      <c r="Y17" s="8">
        <f>IF(Y$4-'Assumptions'!$C$88&gt;=1,INDEX('36-Month Forecast'!$C$109:$AL$109,1,Y$4-'Assumptions'!$C$88)+INDEX('36-Month Forecast'!$C$106:$AL$106,1,Y$4-'Assumptions'!$C$88)*'Unit Economics'!$H$57,0)</f>
        <v/>
      </c>
      <c r="Z17" s="8">
        <f>IF(Z$4-'Assumptions'!$C$88&gt;=1,INDEX('36-Month Forecast'!$C$109:$AL$109,1,Z$4-'Assumptions'!$C$88)+INDEX('36-Month Forecast'!$C$106:$AL$106,1,Z$4-'Assumptions'!$C$88)*'Unit Economics'!$H$57,0)</f>
        <v/>
      </c>
      <c r="AA17" s="8">
        <f>IF(AA$4-'Assumptions'!$C$88&gt;=1,INDEX('36-Month Forecast'!$C$109:$AL$109,1,AA$4-'Assumptions'!$C$88)+INDEX('36-Month Forecast'!$C$106:$AL$106,1,AA$4-'Assumptions'!$C$88)*'Unit Economics'!$H$57,0)</f>
        <v/>
      </c>
      <c r="AB17" s="8">
        <f>IF(AB$4-'Assumptions'!$C$88&gt;=1,INDEX('36-Month Forecast'!$C$109:$AL$109,1,AB$4-'Assumptions'!$C$88)+INDEX('36-Month Forecast'!$C$106:$AL$106,1,AB$4-'Assumptions'!$C$88)*'Unit Economics'!$H$57,0)</f>
        <v/>
      </c>
      <c r="AC17" s="8">
        <f>IF(AC$4-'Assumptions'!$C$88&gt;=1,INDEX('36-Month Forecast'!$C$109:$AL$109,1,AC$4-'Assumptions'!$C$88)+INDEX('36-Month Forecast'!$C$106:$AL$106,1,AC$4-'Assumptions'!$C$88)*'Unit Economics'!$H$57,0)</f>
        <v/>
      </c>
      <c r="AD17" s="8">
        <f>IF(AD$4-'Assumptions'!$C$88&gt;=1,INDEX('36-Month Forecast'!$C$109:$AL$109,1,AD$4-'Assumptions'!$C$88)+INDEX('36-Month Forecast'!$C$106:$AL$106,1,AD$4-'Assumptions'!$C$88)*'Unit Economics'!$H$57,0)</f>
        <v/>
      </c>
      <c r="AE17" s="8">
        <f>IF(AE$4-'Assumptions'!$C$88&gt;=1,INDEX('36-Month Forecast'!$C$109:$AL$109,1,AE$4-'Assumptions'!$C$88)+INDEX('36-Month Forecast'!$C$106:$AL$106,1,AE$4-'Assumptions'!$C$88)*'Unit Economics'!$H$57,0)</f>
        <v/>
      </c>
      <c r="AF17" s="8">
        <f>IF(AF$4-'Assumptions'!$C$88&gt;=1,INDEX('36-Month Forecast'!$C$109:$AL$109,1,AF$4-'Assumptions'!$C$88)+INDEX('36-Month Forecast'!$C$106:$AL$106,1,AF$4-'Assumptions'!$C$88)*'Unit Economics'!$H$57,0)</f>
        <v/>
      </c>
      <c r="AG17" s="8">
        <f>IF(AG$4-'Assumptions'!$C$88&gt;=1,INDEX('36-Month Forecast'!$C$109:$AL$109,1,AG$4-'Assumptions'!$C$88)+INDEX('36-Month Forecast'!$C$106:$AL$106,1,AG$4-'Assumptions'!$C$88)*'Unit Economics'!$H$57,0)</f>
        <v/>
      </c>
      <c r="AH17" s="8">
        <f>IF(AH$4-'Assumptions'!$C$88&gt;=1,INDEX('36-Month Forecast'!$C$109:$AL$109,1,AH$4-'Assumptions'!$C$88)+INDEX('36-Month Forecast'!$C$106:$AL$106,1,AH$4-'Assumptions'!$C$88)*'Unit Economics'!$H$57,0)</f>
        <v/>
      </c>
      <c r="AI17" s="8">
        <f>IF(AI$4-'Assumptions'!$C$88&gt;=1,INDEX('36-Month Forecast'!$C$109:$AL$109,1,AI$4-'Assumptions'!$C$88)+INDEX('36-Month Forecast'!$C$106:$AL$106,1,AI$4-'Assumptions'!$C$88)*'Unit Economics'!$H$57,0)</f>
        <v/>
      </c>
      <c r="AJ17" s="8">
        <f>IF(AJ$4-'Assumptions'!$C$88&gt;=1,INDEX('36-Month Forecast'!$C$109:$AL$109,1,AJ$4-'Assumptions'!$C$88)+INDEX('36-Month Forecast'!$C$106:$AL$106,1,AJ$4-'Assumptions'!$C$88)*'Unit Economics'!$H$57,0)</f>
        <v/>
      </c>
      <c r="AK17" s="8">
        <f>IF(AK$4-'Assumptions'!$C$88&gt;=1,INDEX('36-Month Forecast'!$C$109:$AL$109,1,AK$4-'Assumptions'!$C$88)+INDEX('36-Month Forecast'!$C$106:$AL$106,1,AK$4-'Assumptions'!$C$88)*'Unit Economics'!$H$57,0)</f>
        <v/>
      </c>
      <c r="AL17" s="8">
        <f>IF(AL$4-'Assumptions'!$C$88&gt;=1,INDEX('36-Month Forecast'!$C$109:$AL$109,1,AL$4-'Assumptions'!$C$88)+INDEX('36-Month Forecast'!$C$106:$AL$106,1,AL$4-'Assumptions'!$C$88)*'Unit Economics'!$H$57,0)</f>
        <v/>
      </c>
      <c r="AM17" s="47">
        <f>SUMIF($C$6:$AL$6,1,C17:AL17)</f>
        <v/>
      </c>
      <c r="AN17" s="47">
        <f>SUMIF($C$6:$AL$6,2,C17:AL17)</f>
        <v/>
      </c>
      <c r="AO17" s="47">
        <f>SUMIF($C$6:$AL$6,3,C17:AL17)</f>
        <v/>
      </c>
      <c r="AP17" s="47">
        <f>SUM(C17:AL17)</f>
        <v/>
      </c>
    </row>
    <row r="18">
      <c r="A18" s="10" t="inlineStr">
        <is>
          <t>Total payouts received</t>
        </is>
      </c>
      <c r="C18" s="19">
        <f>SUM(C9:C17)</f>
        <v/>
      </c>
      <c r="D18" s="19">
        <f>SUM(D9:D17)</f>
        <v/>
      </c>
      <c r="E18" s="19">
        <f>SUM(E9:E17)</f>
        <v/>
      </c>
      <c r="F18" s="19">
        <f>SUM(F9:F17)</f>
        <v/>
      </c>
      <c r="G18" s="19">
        <f>SUM(G9:G17)</f>
        <v/>
      </c>
      <c r="H18" s="19">
        <f>SUM(H9:H17)</f>
        <v/>
      </c>
      <c r="I18" s="19">
        <f>SUM(I9:I17)</f>
        <v/>
      </c>
      <c r="J18" s="19">
        <f>SUM(J9:J17)</f>
        <v/>
      </c>
      <c r="K18" s="19">
        <f>SUM(K9:K17)</f>
        <v/>
      </c>
      <c r="L18" s="19">
        <f>SUM(L9:L17)</f>
        <v/>
      </c>
      <c r="M18" s="19">
        <f>SUM(M9:M17)</f>
        <v/>
      </c>
      <c r="N18" s="19">
        <f>SUM(N9:N17)</f>
        <v/>
      </c>
      <c r="O18" s="19">
        <f>SUM(O9:O17)</f>
        <v/>
      </c>
      <c r="P18" s="19">
        <f>SUM(P9:P17)</f>
        <v/>
      </c>
      <c r="Q18" s="19">
        <f>SUM(Q9:Q17)</f>
        <v/>
      </c>
      <c r="R18" s="19">
        <f>SUM(R9:R17)</f>
        <v/>
      </c>
      <c r="S18" s="19">
        <f>SUM(S9:S17)</f>
        <v/>
      </c>
      <c r="T18" s="19">
        <f>SUM(T9:T17)</f>
        <v/>
      </c>
      <c r="U18" s="19">
        <f>SUM(U9:U17)</f>
        <v/>
      </c>
      <c r="V18" s="19">
        <f>SUM(V9:V17)</f>
        <v/>
      </c>
      <c r="W18" s="19">
        <f>SUM(W9:W17)</f>
        <v/>
      </c>
      <c r="X18" s="19">
        <f>SUM(X9:X17)</f>
        <v/>
      </c>
      <c r="Y18" s="19">
        <f>SUM(Y9:Y17)</f>
        <v/>
      </c>
      <c r="Z18" s="19">
        <f>SUM(Z9:Z17)</f>
        <v/>
      </c>
      <c r="AA18" s="19">
        <f>SUM(AA9:AA17)</f>
        <v/>
      </c>
      <c r="AB18" s="19">
        <f>SUM(AB9:AB17)</f>
        <v/>
      </c>
      <c r="AC18" s="19">
        <f>SUM(AC9:AC17)</f>
        <v/>
      </c>
      <c r="AD18" s="19">
        <f>SUM(AD9:AD17)</f>
        <v/>
      </c>
      <c r="AE18" s="19">
        <f>SUM(AE9:AE17)</f>
        <v/>
      </c>
      <c r="AF18" s="19">
        <f>SUM(AF9:AF17)</f>
        <v/>
      </c>
      <c r="AG18" s="19">
        <f>SUM(AG9:AG17)</f>
        <v/>
      </c>
      <c r="AH18" s="19">
        <f>SUM(AH9:AH17)</f>
        <v/>
      </c>
      <c r="AI18" s="19">
        <f>SUM(AI9:AI17)</f>
        <v/>
      </c>
      <c r="AJ18" s="19">
        <f>SUM(AJ9:AJ17)</f>
        <v/>
      </c>
      <c r="AK18" s="19">
        <f>SUM(AK9:AK17)</f>
        <v/>
      </c>
      <c r="AL18" s="19">
        <f>SUM(AL9:AL17)</f>
        <v/>
      </c>
      <c r="AM18" s="47">
        <f>SUMIF($C$6:$AL$6,1,C18:AL18)</f>
        <v/>
      </c>
      <c r="AN18" s="47">
        <f>SUMIF($C$6:$AL$6,2,C18:AL18)</f>
        <v/>
      </c>
      <c r="AO18" s="47">
        <f>SUMIF($C$6:$AL$6,3,C18:AL18)</f>
        <v/>
      </c>
      <c r="AP18" s="47">
        <f>SUM(C18:AL18)</f>
        <v/>
      </c>
    </row>
    <row r="19">
      <c r="A19" s="7" t="inlineStr">
        <is>
          <t>Existing business-card balance paid off (month 1)</t>
        </is>
      </c>
      <c r="C19" s="8">
        <f>-'Assumptions'!$C$18</f>
        <v/>
      </c>
      <c r="D19" s="19">
        <f>0</f>
        <v/>
      </c>
      <c r="E19" s="19">
        <f>0</f>
        <v/>
      </c>
      <c r="F19" s="19">
        <f>0</f>
        <v/>
      </c>
      <c r="G19" s="19">
        <f>0</f>
        <v/>
      </c>
      <c r="H19" s="19">
        <f>0</f>
        <v/>
      </c>
      <c r="I19" s="19">
        <f>0</f>
        <v/>
      </c>
      <c r="J19" s="19">
        <f>0</f>
        <v/>
      </c>
      <c r="K19" s="19">
        <f>0</f>
        <v/>
      </c>
      <c r="L19" s="19">
        <f>0</f>
        <v/>
      </c>
      <c r="M19" s="19">
        <f>0</f>
        <v/>
      </c>
      <c r="N19" s="19">
        <f>0</f>
        <v/>
      </c>
      <c r="O19" s="19">
        <f>0</f>
        <v/>
      </c>
      <c r="P19" s="19">
        <f>0</f>
        <v/>
      </c>
      <c r="Q19" s="19">
        <f>0</f>
        <v/>
      </c>
      <c r="R19" s="19">
        <f>0</f>
        <v/>
      </c>
      <c r="S19" s="19">
        <f>0</f>
        <v/>
      </c>
      <c r="T19" s="19">
        <f>0</f>
        <v/>
      </c>
      <c r="U19" s="19">
        <f>0</f>
        <v/>
      </c>
      <c r="V19" s="19">
        <f>0</f>
        <v/>
      </c>
      <c r="W19" s="19">
        <f>0</f>
        <v/>
      </c>
      <c r="X19" s="19">
        <f>0</f>
        <v/>
      </c>
      <c r="Y19" s="19">
        <f>0</f>
        <v/>
      </c>
      <c r="Z19" s="19">
        <f>0</f>
        <v/>
      </c>
      <c r="AA19" s="19">
        <f>0</f>
        <v/>
      </c>
      <c r="AB19" s="19">
        <f>0</f>
        <v/>
      </c>
      <c r="AC19" s="19">
        <f>0</f>
        <v/>
      </c>
      <c r="AD19" s="19">
        <f>0</f>
        <v/>
      </c>
      <c r="AE19" s="19">
        <f>0</f>
        <v/>
      </c>
      <c r="AF19" s="19">
        <f>0</f>
        <v/>
      </c>
      <c r="AG19" s="19">
        <f>0</f>
        <v/>
      </c>
      <c r="AH19" s="19">
        <f>0</f>
        <v/>
      </c>
      <c r="AI19" s="19">
        <f>0</f>
        <v/>
      </c>
      <c r="AJ19" s="19">
        <f>0</f>
        <v/>
      </c>
      <c r="AK19" s="19">
        <f>0</f>
        <v/>
      </c>
      <c r="AL19" s="19">
        <f>0</f>
        <v/>
      </c>
      <c r="AM19" s="47">
        <f>SUMIF($C$6:$AL$6,1,C19:AL19)</f>
        <v/>
      </c>
      <c r="AN19" s="47">
        <f>SUMIF($C$6:$AL$6,2,C19:AL19)</f>
        <v/>
      </c>
      <c r="AO19" s="47">
        <f>SUMIF($C$6:$AL$6,3,C19:AL19)</f>
        <v/>
      </c>
      <c r="AP19" s="47">
        <f>SUM(C19:AL19)</f>
        <v/>
      </c>
    </row>
    <row r="20">
      <c r="A20" s="7" t="inlineStr">
        <is>
          <t>Inventory purchases (offset print runs, landed)</t>
        </is>
      </c>
      <c r="C20" s="8">
        <f>-'36-Month Forecast'!C136</f>
        <v/>
      </c>
      <c r="D20" s="8">
        <f>-'36-Month Forecast'!D136</f>
        <v/>
      </c>
      <c r="E20" s="8">
        <f>-'36-Month Forecast'!E136</f>
        <v/>
      </c>
      <c r="F20" s="8">
        <f>-'36-Month Forecast'!F136</f>
        <v/>
      </c>
      <c r="G20" s="8">
        <f>-'36-Month Forecast'!G136</f>
        <v/>
      </c>
      <c r="H20" s="8">
        <f>-'36-Month Forecast'!H136</f>
        <v/>
      </c>
      <c r="I20" s="8">
        <f>-'36-Month Forecast'!I136</f>
        <v/>
      </c>
      <c r="J20" s="8">
        <f>-'36-Month Forecast'!J136</f>
        <v/>
      </c>
      <c r="K20" s="8">
        <f>-'36-Month Forecast'!K136</f>
        <v/>
      </c>
      <c r="L20" s="8">
        <f>-'36-Month Forecast'!L136</f>
        <v/>
      </c>
      <c r="M20" s="8">
        <f>-'36-Month Forecast'!M136</f>
        <v/>
      </c>
      <c r="N20" s="8">
        <f>-'36-Month Forecast'!N136</f>
        <v/>
      </c>
      <c r="O20" s="8">
        <f>-'36-Month Forecast'!O136</f>
        <v/>
      </c>
      <c r="P20" s="8">
        <f>-'36-Month Forecast'!P136</f>
        <v/>
      </c>
      <c r="Q20" s="8">
        <f>-'36-Month Forecast'!Q136</f>
        <v/>
      </c>
      <c r="R20" s="8">
        <f>-'36-Month Forecast'!R136</f>
        <v/>
      </c>
      <c r="S20" s="8">
        <f>-'36-Month Forecast'!S136</f>
        <v/>
      </c>
      <c r="T20" s="8">
        <f>-'36-Month Forecast'!T136</f>
        <v/>
      </c>
      <c r="U20" s="8">
        <f>-'36-Month Forecast'!U136</f>
        <v/>
      </c>
      <c r="V20" s="8">
        <f>-'36-Month Forecast'!V136</f>
        <v/>
      </c>
      <c r="W20" s="8">
        <f>-'36-Month Forecast'!W136</f>
        <v/>
      </c>
      <c r="X20" s="8">
        <f>-'36-Month Forecast'!X136</f>
        <v/>
      </c>
      <c r="Y20" s="8">
        <f>-'36-Month Forecast'!Y136</f>
        <v/>
      </c>
      <c r="Z20" s="8">
        <f>-'36-Month Forecast'!Z136</f>
        <v/>
      </c>
      <c r="AA20" s="8">
        <f>-'36-Month Forecast'!AA136</f>
        <v/>
      </c>
      <c r="AB20" s="8">
        <f>-'36-Month Forecast'!AB136</f>
        <v/>
      </c>
      <c r="AC20" s="8">
        <f>-'36-Month Forecast'!AC136</f>
        <v/>
      </c>
      <c r="AD20" s="8">
        <f>-'36-Month Forecast'!AD136</f>
        <v/>
      </c>
      <c r="AE20" s="8">
        <f>-'36-Month Forecast'!AE136</f>
        <v/>
      </c>
      <c r="AF20" s="8">
        <f>-'36-Month Forecast'!AF136</f>
        <v/>
      </c>
      <c r="AG20" s="8">
        <f>-'36-Month Forecast'!AG136</f>
        <v/>
      </c>
      <c r="AH20" s="8">
        <f>-'36-Month Forecast'!AH136</f>
        <v/>
      </c>
      <c r="AI20" s="8">
        <f>-'36-Month Forecast'!AI136</f>
        <v/>
      </c>
      <c r="AJ20" s="8">
        <f>-'36-Month Forecast'!AJ136</f>
        <v/>
      </c>
      <c r="AK20" s="8">
        <f>-'36-Month Forecast'!AK136</f>
        <v/>
      </c>
      <c r="AL20" s="8">
        <f>-'36-Month Forecast'!AL136</f>
        <v/>
      </c>
      <c r="AM20" s="47">
        <f>SUMIF($C$6:$AL$6,1,C20:AL20)</f>
        <v/>
      </c>
      <c r="AN20" s="47">
        <f>SUMIF($C$6:$AL$6,2,C20:AL20)</f>
        <v/>
      </c>
      <c r="AO20" s="47">
        <f>SUMIF($C$6:$AL$6,3,C20:AL20)</f>
        <v/>
      </c>
      <c r="AP20" s="47">
        <f>SUM(C20:AL20)</f>
        <v/>
      </c>
    </row>
    <row r="21">
      <c r="A21" s="7" t="inlineStr">
        <is>
          <t>Paid advertising</t>
        </is>
      </c>
      <c r="C21" s="8">
        <f>-'36-Month Forecast'!C123</f>
        <v/>
      </c>
      <c r="D21" s="8">
        <f>-'36-Month Forecast'!D123</f>
        <v/>
      </c>
      <c r="E21" s="8">
        <f>-'36-Month Forecast'!E123</f>
        <v/>
      </c>
      <c r="F21" s="8">
        <f>-'36-Month Forecast'!F123</f>
        <v/>
      </c>
      <c r="G21" s="8">
        <f>-'36-Month Forecast'!G123</f>
        <v/>
      </c>
      <c r="H21" s="8">
        <f>-'36-Month Forecast'!H123</f>
        <v/>
      </c>
      <c r="I21" s="8">
        <f>-'36-Month Forecast'!I123</f>
        <v/>
      </c>
      <c r="J21" s="8">
        <f>-'36-Month Forecast'!J123</f>
        <v/>
      </c>
      <c r="K21" s="8">
        <f>-'36-Month Forecast'!K123</f>
        <v/>
      </c>
      <c r="L21" s="8">
        <f>-'36-Month Forecast'!L123</f>
        <v/>
      </c>
      <c r="M21" s="8">
        <f>-'36-Month Forecast'!M123</f>
        <v/>
      </c>
      <c r="N21" s="8">
        <f>-'36-Month Forecast'!N123</f>
        <v/>
      </c>
      <c r="O21" s="8">
        <f>-'36-Month Forecast'!O123</f>
        <v/>
      </c>
      <c r="P21" s="8">
        <f>-'36-Month Forecast'!P123</f>
        <v/>
      </c>
      <c r="Q21" s="8">
        <f>-'36-Month Forecast'!Q123</f>
        <v/>
      </c>
      <c r="R21" s="8">
        <f>-'36-Month Forecast'!R123</f>
        <v/>
      </c>
      <c r="S21" s="8">
        <f>-'36-Month Forecast'!S123</f>
        <v/>
      </c>
      <c r="T21" s="8">
        <f>-'36-Month Forecast'!T123</f>
        <v/>
      </c>
      <c r="U21" s="8">
        <f>-'36-Month Forecast'!U123</f>
        <v/>
      </c>
      <c r="V21" s="8">
        <f>-'36-Month Forecast'!V123</f>
        <v/>
      </c>
      <c r="W21" s="8">
        <f>-'36-Month Forecast'!W123</f>
        <v/>
      </c>
      <c r="X21" s="8">
        <f>-'36-Month Forecast'!X123</f>
        <v/>
      </c>
      <c r="Y21" s="8">
        <f>-'36-Month Forecast'!Y123</f>
        <v/>
      </c>
      <c r="Z21" s="8">
        <f>-'36-Month Forecast'!Z123</f>
        <v/>
      </c>
      <c r="AA21" s="8">
        <f>-'36-Month Forecast'!AA123</f>
        <v/>
      </c>
      <c r="AB21" s="8">
        <f>-'36-Month Forecast'!AB123</f>
        <v/>
      </c>
      <c r="AC21" s="8">
        <f>-'36-Month Forecast'!AC123</f>
        <v/>
      </c>
      <c r="AD21" s="8">
        <f>-'36-Month Forecast'!AD123</f>
        <v/>
      </c>
      <c r="AE21" s="8">
        <f>-'36-Month Forecast'!AE123</f>
        <v/>
      </c>
      <c r="AF21" s="8">
        <f>-'36-Month Forecast'!AF123</f>
        <v/>
      </c>
      <c r="AG21" s="8">
        <f>-'36-Month Forecast'!AG123</f>
        <v/>
      </c>
      <c r="AH21" s="8">
        <f>-'36-Month Forecast'!AH123</f>
        <v/>
      </c>
      <c r="AI21" s="8">
        <f>-'36-Month Forecast'!AI123</f>
        <v/>
      </c>
      <c r="AJ21" s="8">
        <f>-'36-Month Forecast'!AJ123</f>
        <v/>
      </c>
      <c r="AK21" s="8">
        <f>-'36-Month Forecast'!AK123</f>
        <v/>
      </c>
      <c r="AL21" s="8">
        <f>-'36-Month Forecast'!AL123</f>
        <v/>
      </c>
      <c r="AM21" s="47">
        <f>SUMIF($C$6:$AL$6,1,C21:AL21)</f>
        <v/>
      </c>
      <c r="AN21" s="47">
        <f>SUMIF($C$6:$AL$6,2,C21:AL21)</f>
        <v/>
      </c>
      <c r="AO21" s="47">
        <f>SUMIF($C$6:$AL$6,3,C21:AL21)</f>
        <v/>
      </c>
      <c r="AP21" s="47">
        <f>SUM(C21:AL21)</f>
        <v/>
      </c>
    </row>
    <row r="22">
      <c r="A22" s="7" t="inlineStr">
        <is>
          <t>Operating costs</t>
        </is>
      </c>
      <c r="C22" s="8">
        <f>-'36-Month Forecast'!C124</f>
        <v/>
      </c>
      <c r="D22" s="8">
        <f>-'36-Month Forecast'!D124</f>
        <v/>
      </c>
      <c r="E22" s="8">
        <f>-'36-Month Forecast'!E124</f>
        <v/>
      </c>
      <c r="F22" s="8">
        <f>-'36-Month Forecast'!F124</f>
        <v/>
      </c>
      <c r="G22" s="8">
        <f>-'36-Month Forecast'!G124</f>
        <v/>
      </c>
      <c r="H22" s="8">
        <f>-'36-Month Forecast'!H124</f>
        <v/>
      </c>
      <c r="I22" s="8">
        <f>-'36-Month Forecast'!I124</f>
        <v/>
      </c>
      <c r="J22" s="8">
        <f>-'36-Month Forecast'!J124</f>
        <v/>
      </c>
      <c r="K22" s="8">
        <f>-'36-Month Forecast'!K124</f>
        <v/>
      </c>
      <c r="L22" s="8">
        <f>-'36-Month Forecast'!L124</f>
        <v/>
      </c>
      <c r="M22" s="8">
        <f>-'36-Month Forecast'!M124</f>
        <v/>
      </c>
      <c r="N22" s="8">
        <f>-'36-Month Forecast'!N124</f>
        <v/>
      </c>
      <c r="O22" s="8">
        <f>-'36-Month Forecast'!O124</f>
        <v/>
      </c>
      <c r="P22" s="8">
        <f>-'36-Month Forecast'!P124</f>
        <v/>
      </c>
      <c r="Q22" s="8">
        <f>-'36-Month Forecast'!Q124</f>
        <v/>
      </c>
      <c r="R22" s="8">
        <f>-'36-Month Forecast'!R124</f>
        <v/>
      </c>
      <c r="S22" s="8">
        <f>-'36-Month Forecast'!S124</f>
        <v/>
      </c>
      <c r="T22" s="8">
        <f>-'36-Month Forecast'!T124</f>
        <v/>
      </c>
      <c r="U22" s="8">
        <f>-'36-Month Forecast'!U124</f>
        <v/>
      </c>
      <c r="V22" s="8">
        <f>-'36-Month Forecast'!V124</f>
        <v/>
      </c>
      <c r="W22" s="8">
        <f>-'36-Month Forecast'!W124</f>
        <v/>
      </c>
      <c r="X22" s="8">
        <f>-'36-Month Forecast'!X124</f>
        <v/>
      </c>
      <c r="Y22" s="8">
        <f>-'36-Month Forecast'!Y124</f>
        <v/>
      </c>
      <c r="Z22" s="8">
        <f>-'36-Month Forecast'!Z124</f>
        <v/>
      </c>
      <c r="AA22" s="8">
        <f>-'36-Month Forecast'!AA124</f>
        <v/>
      </c>
      <c r="AB22" s="8">
        <f>-'36-Month Forecast'!AB124</f>
        <v/>
      </c>
      <c r="AC22" s="8">
        <f>-'36-Month Forecast'!AC124</f>
        <v/>
      </c>
      <c r="AD22" s="8">
        <f>-'36-Month Forecast'!AD124</f>
        <v/>
      </c>
      <c r="AE22" s="8">
        <f>-'36-Month Forecast'!AE124</f>
        <v/>
      </c>
      <c r="AF22" s="8">
        <f>-'36-Month Forecast'!AF124</f>
        <v/>
      </c>
      <c r="AG22" s="8">
        <f>-'36-Month Forecast'!AG124</f>
        <v/>
      </c>
      <c r="AH22" s="8">
        <f>-'36-Month Forecast'!AH124</f>
        <v/>
      </c>
      <c r="AI22" s="8">
        <f>-'36-Month Forecast'!AI124</f>
        <v/>
      </c>
      <c r="AJ22" s="8">
        <f>-'36-Month Forecast'!AJ124</f>
        <v/>
      </c>
      <c r="AK22" s="8">
        <f>-'36-Month Forecast'!AK124</f>
        <v/>
      </c>
      <c r="AL22" s="8">
        <f>-'36-Month Forecast'!AL124</f>
        <v/>
      </c>
      <c r="AM22" s="47">
        <f>SUMIF($C$6:$AL$6,1,C22:AL22)</f>
        <v/>
      </c>
      <c r="AN22" s="47">
        <f>SUMIF($C$6:$AL$6,2,C22:AL22)</f>
        <v/>
      </c>
      <c r="AO22" s="47">
        <f>SUMIF($C$6:$AL$6,3,C22:AL22)</f>
        <v/>
      </c>
      <c r="AP22" s="47">
        <f>SUM(C22:AL22)</f>
        <v/>
      </c>
    </row>
    <row r="23">
      <c r="A23" s="7" t="inlineStr">
        <is>
          <t>Wave fixed costs</t>
        </is>
      </c>
      <c r="C23" s="8">
        <f>-'36-Month Forecast'!C125</f>
        <v/>
      </c>
      <c r="D23" s="8">
        <f>-'36-Month Forecast'!D125</f>
        <v/>
      </c>
      <c r="E23" s="8">
        <f>-'36-Month Forecast'!E125</f>
        <v/>
      </c>
      <c r="F23" s="8">
        <f>-'36-Month Forecast'!F125</f>
        <v/>
      </c>
      <c r="G23" s="8">
        <f>-'36-Month Forecast'!G125</f>
        <v/>
      </c>
      <c r="H23" s="8">
        <f>-'36-Month Forecast'!H125</f>
        <v/>
      </c>
      <c r="I23" s="8">
        <f>-'36-Month Forecast'!I125</f>
        <v/>
      </c>
      <c r="J23" s="8">
        <f>-'36-Month Forecast'!J125</f>
        <v/>
      </c>
      <c r="K23" s="8">
        <f>-'36-Month Forecast'!K125</f>
        <v/>
      </c>
      <c r="L23" s="8">
        <f>-'36-Month Forecast'!L125</f>
        <v/>
      </c>
      <c r="M23" s="8">
        <f>-'36-Month Forecast'!M125</f>
        <v/>
      </c>
      <c r="N23" s="8">
        <f>-'36-Month Forecast'!N125</f>
        <v/>
      </c>
      <c r="O23" s="8">
        <f>-'36-Month Forecast'!O125</f>
        <v/>
      </c>
      <c r="P23" s="8">
        <f>-'36-Month Forecast'!P125</f>
        <v/>
      </c>
      <c r="Q23" s="8">
        <f>-'36-Month Forecast'!Q125</f>
        <v/>
      </c>
      <c r="R23" s="8">
        <f>-'36-Month Forecast'!R125</f>
        <v/>
      </c>
      <c r="S23" s="8">
        <f>-'36-Month Forecast'!S125</f>
        <v/>
      </c>
      <c r="T23" s="8">
        <f>-'36-Month Forecast'!T125</f>
        <v/>
      </c>
      <c r="U23" s="8">
        <f>-'36-Month Forecast'!U125</f>
        <v/>
      </c>
      <c r="V23" s="8">
        <f>-'36-Month Forecast'!V125</f>
        <v/>
      </c>
      <c r="W23" s="8">
        <f>-'36-Month Forecast'!W125</f>
        <v/>
      </c>
      <c r="X23" s="8">
        <f>-'36-Month Forecast'!X125</f>
        <v/>
      </c>
      <c r="Y23" s="8">
        <f>-'36-Month Forecast'!Y125</f>
        <v/>
      </c>
      <c r="Z23" s="8">
        <f>-'36-Month Forecast'!Z125</f>
        <v/>
      </c>
      <c r="AA23" s="8">
        <f>-'36-Month Forecast'!AA125</f>
        <v/>
      </c>
      <c r="AB23" s="8">
        <f>-'36-Month Forecast'!AB125</f>
        <v/>
      </c>
      <c r="AC23" s="8">
        <f>-'36-Month Forecast'!AC125</f>
        <v/>
      </c>
      <c r="AD23" s="8">
        <f>-'36-Month Forecast'!AD125</f>
        <v/>
      </c>
      <c r="AE23" s="8">
        <f>-'36-Month Forecast'!AE125</f>
        <v/>
      </c>
      <c r="AF23" s="8">
        <f>-'36-Month Forecast'!AF125</f>
        <v/>
      </c>
      <c r="AG23" s="8">
        <f>-'36-Month Forecast'!AG125</f>
        <v/>
      </c>
      <c r="AH23" s="8">
        <f>-'36-Month Forecast'!AH125</f>
        <v/>
      </c>
      <c r="AI23" s="8">
        <f>-'36-Month Forecast'!AI125</f>
        <v/>
      </c>
      <c r="AJ23" s="8">
        <f>-'36-Month Forecast'!AJ125</f>
        <v/>
      </c>
      <c r="AK23" s="8">
        <f>-'36-Month Forecast'!AK125</f>
        <v/>
      </c>
      <c r="AL23" s="8">
        <f>-'36-Month Forecast'!AL125</f>
        <v/>
      </c>
      <c r="AM23" s="47">
        <f>SUMIF($C$6:$AL$6,1,C23:AL23)</f>
        <v/>
      </c>
      <c r="AN23" s="47">
        <f>SUMIF($C$6:$AL$6,2,C23:AL23)</f>
        <v/>
      </c>
      <c r="AO23" s="47">
        <f>SUMIF($C$6:$AL$6,3,C23:AL23)</f>
        <v/>
      </c>
      <c r="AP23" s="47">
        <f>SUM(C23:AL23)</f>
        <v/>
      </c>
    </row>
    <row r="24">
      <c r="A24" s="7" t="inlineStr">
        <is>
          <t>One-time startup costs</t>
        </is>
      </c>
      <c r="C24" s="8">
        <f>-'36-Month Forecast'!C128</f>
        <v/>
      </c>
      <c r="D24" s="8">
        <f>-'36-Month Forecast'!D128</f>
        <v/>
      </c>
      <c r="E24" s="8">
        <f>-'36-Month Forecast'!E128</f>
        <v/>
      </c>
      <c r="F24" s="8">
        <f>-'36-Month Forecast'!F128</f>
        <v/>
      </c>
      <c r="G24" s="8">
        <f>-'36-Month Forecast'!G128</f>
        <v/>
      </c>
      <c r="H24" s="8">
        <f>-'36-Month Forecast'!H128</f>
        <v/>
      </c>
      <c r="I24" s="8">
        <f>-'36-Month Forecast'!I128</f>
        <v/>
      </c>
      <c r="J24" s="8">
        <f>-'36-Month Forecast'!J128</f>
        <v/>
      </c>
      <c r="K24" s="8">
        <f>-'36-Month Forecast'!K128</f>
        <v/>
      </c>
      <c r="L24" s="8">
        <f>-'36-Month Forecast'!L128</f>
        <v/>
      </c>
      <c r="M24" s="8">
        <f>-'36-Month Forecast'!M128</f>
        <v/>
      </c>
      <c r="N24" s="8">
        <f>-'36-Month Forecast'!N128</f>
        <v/>
      </c>
      <c r="O24" s="8">
        <f>-'36-Month Forecast'!O128</f>
        <v/>
      </c>
      <c r="P24" s="8">
        <f>-'36-Month Forecast'!P128</f>
        <v/>
      </c>
      <c r="Q24" s="8">
        <f>-'36-Month Forecast'!Q128</f>
        <v/>
      </c>
      <c r="R24" s="8">
        <f>-'36-Month Forecast'!R128</f>
        <v/>
      </c>
      <c r="S24" s="8">
        <f>-'36-Month Forecast'!S128</f>
        <v/>
      </c>
      <c r="T24" s="8">
        <f>-'36-Month Forecast'!T128</f>
        <v/>
      </c>
      <c r="U24" s="8">
        <f>-'36-Month Forecast'!U128</f>
        <v/>
      </c>
      <c r="V24" s="8">
        <f>-'36-Month Forecast'!V128</f>
        <v/>
      </c>
      <c r="W24" s="8">
        <f>-'36-Month Forecast'!W128</f>
        <v/>
      </c>
      <c r="X24" s="8">
        <f>-'36-Month Forecast'!X128</f>
        <v/>
      </c>
      <c r="Y24" s="8">
        <f>-'36-Month Forecast'!Y128</f>
        <v/>
      </c>
      <c r="Z24" s="8">
        <f>-'36-Month Forecast'!Z128</f>
        <v/>
      </c>
      <c r="AA24" s="8">
        <f>-'36-Month Forecast'!AA128</f>
        <v/>
      </c>
      <c r="AB24" s="8">
        <f>-'36-Month Forecast'!AB128</f>
        <v/>
      </c>
      <c r="AC24" s="8">
        <f>-'36-Month Forecast'!AC128</f>
        <v/>
      </c>
      <c r="AD24" s="8">
        <f>-'36-Month Forecast'!AD128</f>
        <v/>
      </c>
      <c r="AE24" s="8">
        <f>-'36-Month Forecast'!AE128</f>
        <v/>
      </c>
      <c r="AF24" s="8">
        <f>-'36-Month Forecast'!AF128</f>
        <v/>
      </c>
      <c r="AG24" s="8">
        <f>-'36-Month Forecast'!AG128</f>
        <v/>
      </c>
      <c r="AH24" s="8">
        <f>-'36-Month Forecast'!AH128</f>
        <v/>
      </c>
      <c r="AI24" s="8">
        <f>-'36-Month Forecast'!AI128</f>
        <v/>
      </c>
      <c r="AJ24" s="8">
        <f>-'36-Month Forecast'!AJ128</f>
        <v/>
      </c>
      <c r="AK24" s="8">
        <f>-'36-Month Forecast'!AK128</f>
        <v/>
      </c>
      <c r="AL24" s="8">
        <f>-'36-Month Forecast'!AL128</f>
        <v/>
      </c>
      <c r="AM24" s="47">
        <f>SUMIF($C$6:$AL$6,1,C24:AL24)</f>
        <v/>
      </c>
      <c r="AN24" s="47">
        <f>SUMIF($C$6:$AL$6,2,C24:AL24)</f>
        <v/>
      </c>
      <c r="AO24" s="47">
        <f>SUMIF($C$6:$AL$6,3,C24:AL24)</f>
        <v/>
      </c>
      <c r="AP24" s="47">
        <f>SUM(C24:AL24)</f>
        <v/>
      </c>
    </row>
    <row r="25">
      <c r="A25" s="7" t="inlineStr">
        <is>
          <t>One-time wave costs</t>
        </is>
      </c>
      <c r="C25" s="8">
        <f>-'36-Month Forecast'!C129</f>
        <v/>
      </c>
      <c r="D25" s="8">
        <f>-'36-Month Forecast'!D129</f>
        <v/>
      </c>
      <c r="E25" s="8">
        <f>-'36-Month Forecast'!E129</f>
        <v/>
      </c>
      <c r="F25" s="8">
        <f>-'36-Month Forecast'!F129</f>
        <v/>
      </c>
      <c r="G25" s="8">
        <f>-'36-Month Forecast'!G129</f>
        <v/>
      </c>
      <c r="H25" s="8">
        <f>-'36-Month Forecast'!H129</f>
        <v/>
      </c>
      <c r="I25" s="8">
        <f>-'36-Month Forecast'!I129</f>
        <v/>
      </c>
      <c r="J25" s="8">
        <f>-'36-Month Forecast'!J129</f>
        <v/>
      </c>
      <c r="K25" s="8">
        <f>-'36-Month Forecast'!K129</f>
        <v/>
      </c>
      <c r="L25" s="8">
        <f>-'36-Month Forecast'!L129</f>
        <v/>
      </c>
      <c r="M25" s="8">
        <f>-'36-Month Forecast'!M129</f>
        <v/>
      </c>
      <c r="N25" s="8">
        <f>-'36-Month Forecast'!N129</f>
        <v/>
      </c>
      <c r="O25" s="8">
        <f>-'36-Month Forecast'!O129</f>
        <v/>
      </c>
      <c r="P25" s="8">
        <f>-'36-Month Forecast'!P129</f>
        <v/>
      </c>
      <c r="Q25" s="8">
        <f>-'36-Month Forecast'!Q129</f>
        <v/>
      </c>
      <c r="R25" s="8">
        <f>-'36-Month Forecast'!R129</f>
        <v/>
      </c>
      <c r="S25" s="8">
        <f>-'36-Month Forecast'!S129</f>
        <v/>
      </c>
      <c r="T25" s="8">
        <f>-'36-Month Forecast'!T129</f>
        <v/>
      </c>
      <c r="U25" s="8">
        <f>-'36-Month Forecast'!U129</f>
        <v/>
      </c>
      <c r="V25" s="8">
        <f>-'36-Month Forecast'!V129</f>
        <v/>
      </c>
      <c r="W25" s="8">
        <f>-'36-Month Forecast'!W129</f>
        <v/>
      </c>
      <c r="X25" s="8">
        <f>-'36-Month Forecast'!X129</f>
        <v/>
      </c>
      <c r="Y25" s="8">
        <f>-'36-Month Forecast'!Y129</f>
        <v/>
      </c>
      <c r="Z25" s="8">
        <f>-'36-Month Forecast'!Z129</f>
        <v/>
      </c>
      <c r="AA25" s="8">
        <f>-'36-Month Forecast'!AA129</f>
        <v/>
      </c>
      <c r="AB25" s="8">
        <f>-'36-Month Forecast'!AB129</f>
        <v/>
      </c>
      <c r="AC25" s="8">
        <f>-'36-Month Forecast'!AC129</f>
        <v/>
      </c>
      <c r="AD25" s="8">
        <f>-'36-Month Forecast'!AD129</f>
        <v/>
      </c>
      <c r="AE25" s="8">
        <f>-'36-Month Forecast'!AE129</f>
        <v/>
      </c>
      <c r="AF25" s="8">
        <f>-'36-Month Forecast'!AF129</f>
        <v/>
      </c>
      <c r="AG25" s="8">
        <f>-'36-Month Forecast'!AG129</f>
        <v/>
      </c>
      <c r="AH25" s="8">
        <f>-'36-Month Forecast'!AH129</f>
        <v/>
      </c>
      <c r="AI25" s="8">
        <f>-'36-Month Forecast'!AI129</f>
        <v/>
      </c>
      <c r="AJ25" s="8">
        <f>-'36-Month Forecast'!AJ129</f>
        <v/>
      </c>
      <c r="AK25" s="8">
        <f>-'36-Month Forecast'!AK129</f>
        <v/>
      </c>
      <c r="AL25" s="8">
        <f>-'36-Month Forecast'!AL129</f>
        <v/>
      </c>
      <c r="AM25" s="47">
        <f>SUMIF($C$6:$AL$6,1,C25:AL25)</f>
        <v/>
      </c>
      <c r="AN25" s="47">
        <f>SUMIF($C$6:$AL$6,2,C25:AL25)</f>
        <v/>
      </c>
      <c r="AO25" s="47">
        <f>SUMIF($C$6:$AL$6,3,C25:AL25)</f>
        <v/>
      </c>
      <c r="AP25" s="47">
        <f>SUM(C25:AL25)</f>
        <v/>
      </c>
    </row>
    <row r="26">
      <c r="A26" s="60" t="inlineStr">
        <is>
          <t>NET CASH FLOW before tax reserve and founder capital</t>
        </is>
      </c>
      <c r="B26" s="64" t="n"/>
      <c r="C26" s="62">
        <f>SUM(C18:C25)</f>
        <v/>
      </c>
      <c r="D26" s="62">
        <f>SUM(D18:D25)</f>
        <v/>
      </c>
      <c r="E26" s="62">
        <f>SUM(E18:E25)</f>
        <v/>
      </c>
      <c r="F26" s="62">
        <f>SUM(F18:F25)</f>
        <v/>
      </c>
      <c r="G26" s="62">
        <f>SUM(G18:G25)</f>
        <v/>
      </c>
      <c r="H26" s="62">
        <f>SUM(H18:H25)</f>
        <v/>
      </c>
      <c r="I26" s="62">
        <f>SUM(I18:I25)</f>
        <v/>
      </c>
      <c r="J26" s="62">
        <f>SUM(J18:J25)</f>
        <v/>
      </c>
      <c r="K26" s="62">
        <f>SUM(K18:K25)</f>
        <v/>
      </c>
      <c r="L26" s="62">
        <f>SUM(L18:L25)</f>
        <v/>
      </c>
      <c r="M26" s="62">
        <f>SUM(M18:M25)</f>
        <v/>
      </c>
      <c r="N26" s="62">
        <f>SUM(N18:N25)</f>
        <v/>
      </c>
      <c r="O26" s="62">
        <f>SUM(O18:O25)</f>
        <v/>
      </c>
      <c r="P26" s="62">
        <f>SUM(P18:P25)</f>
        <v/>
      </c>
      <c r="Q26" s="62">
        <f>SUM(Q18:Q25)</f>
        <v/>
      </c>
      <c r="R26" s="62">
        <f>SUM(R18:R25)</f>
        <v/>
      </c>
      <c r="S26" s="62">
        <f>SUM(S18:S25)</f>
        <v/>
      </c>
      <c r="T26" s="62">
        <f>SUM(T18:T25)</f>
        <v/>
      </c>
      <c r="U26" s="62">
        <f>SUM(U18:U25)</f>
        <v/>
      </c>
      <c r="V26" s="62">
        <f>SUM(V18:V25)</f>
        <v/>
      </c>
      <c r="W26" s="62">
        <f>SUM(W18:W25)</f>
        <v/>
      </c>
      <c r="X26" s="62">
        <f>SUM(X18:X25)</f>
        <v/>
      </c>
      <c r="Y26" s="62">
        <f>SUM(Y18:Y25)</f>
        <v/>
      </c>
      <c r="Z26" s="62">
        <f>SUM(Z18:Z25)</f>
        <v/>
      </c>
      <c r="AA26" s="62">
        <f>SUM(AA18:AA25)</f>
        <v/>
      </c>
      <c r="AB26" s="62">
        <f>SUM(AB18:AB25)</f>
        <v/>
      </c>
      <c r="AC26" s="62">
        <f>SUM(AC18:AC25)</f>
        <v/>
      </c>
      <c r="AD26" s="62">
        <f>SUM(AD18:AD25)</f>
        <v/>
      </c>
      <c r="AE26" s="62">
        <f>SUM(AE18:AE25)</f>
        <v/>
      </c>
      <c r="AF26" s="62">
        <f>SUM(AF18:AF25)</f>
        <v/>
      </c>
      <c r="AG26" s="62">
        <f>SUM(AG18:AG25)</f>
        <v/>
      </c>
      <c r="AH26" s="62">
        <f>SUM(AH18:AH25)</f>
        <v/>
      </c>
      <c r="AI26" s="62">
        <f>SUM(AI18:AI25)</f>
        <v/>
      </c>
      <c r="AJ26" s="62">
        <f>SUM(AJ18:AJ25)</f>
        <v/>
      </c>
      <c r="AK26" s="62">
        <f>SUM(AK18:AK25)</f>
        <v/>
      </c>
      <c r="AL26" s="62">
        <f>SUM(AL18:AL25)</f>
        <v/>
      </c>
      <c r="AM26" s="63">
        <f>SUMIF($C$6:$AL$6,1,C26:AL26)</f>
        <v/>
      </c>
      <c r="AN26" s="63">
        <f>SUMIF($C$6:$AL$6,2,C26:AL26)</f>
        <v/>
      </c>
      <c r="AO26" s="63">
        <f>SUMIF($C$6:$AL$6,3,C26:AL26)</f>
        <v/>
      </c>
      <c r="AP26" s="63">
        <f>SUM(C26:AL26)</f>
        <v/>
      </c>
    </row>
    <row r="27">
      <c r="A27" s="7" t="inlineStr">
        <is>
          <t>Transfer to (-) or from (+) the tax reserve account</t>
        </is>
      </c>
      <c r="C27" s="19">
        <f>0-C31</f>
        <v/>
      </c>
      <c r="D27" s="19">
        <f>C31-D31</f>
        <v/>
      </c>
      <c r="E27" s="19">
        <f>D31-E31</f>
        <v/>
      </c>
      <c r="F27" s="19">
        <f>E31-F31</f>
        <v/>
      </c>
      <c r="G27" s="19">
        <f>F31-G31</f>
        <v/>
      </c>
      <c r="H27" s="19">
        <f>G31-H31</f>
        <v/>
      </c>
      <c r="I27" s="19">
        <f>H31-I31</f>
        <v/>
      </c>
      <c r="J27" s="19">
        <f>I31-J31</f>
        <v/>
      </c>
      <c r="K27" s="19">
        <f>J31-K31</f>
        <v/>
      </c>
      <c r="L27" s="19">
        <f>K31-L31</f>
        <v/>
      </c>
      <c r="M27" s="19">
        <f>L31-M31</f>
        <v/>
      </c>
      <c r="N27" s="19">
        <f>M31-N31</f>
        <v/>
      </c>
      <c r="O27" s="19">
        <f>N31-O31</f>
        <v/>
      </c>
      <c r="P27" s="19">
        <f>O31-P31</f>
        <v/>
      </c>
      <c r="Q27" s="19">
        <f>P31-Q31</f>
        <v/>
      </c>
      <c r="R27" s="19">
        <f>Q31-R31</f>
        <v/>
      </c>
      <c r="S27" s="19">
        <f>R31-S31</f>
        <v/>
      </c>
      <c r="T27" s="19">
        <f>S31-T31</f>
        <v/>
      </c>
      <c r="U27" s="19">
        <f>T31-U31</f>
        <v/>
      </c>
      <c r="V27" s="19">
        <f>U31-V31</f>
        <v/>
      </c>
      <c r="W27" s="19">
        <f>V31-W31</f>
        <v/>
      </c>
      <c r="X27" s="19">
        <f>W31-X31</f>
        <v/>
      </c>
      <c r="Y27" s="19">
        <f>X31-Y31</f>
        <v/>
      </c>
      <c r="Z27" s="19">
        <f>Y31-Z31</f>
        <v/>
      </c>
      <c r="AA27" s="19">
        <f>Z31-AA31</f>
        <v/>
      </c>
      <c r="AB27" s="19">
        <f>AA31-AB31</f>
        <v/>
      </c>
      <c r="AC27" s="19">
        <f>AB31-AC31</f>
        <v/>
      </c>
      <c r="AD27" s="19">
        <f>AC31-AD31</f>
        <v/>
      </c>
      <c r="AE27" s="19">
        <f>AD31-AE31</f>
        <v/>
      </c>
      <c r="AF27" s="19">
        <f>AE31-AF31</f>
        <v/>
      </c>
      <c r="AG27" s="19">
        <f>AF31-AG31</f>
        <v/>
      </c>
      <c r="AH27" s="19">
        <f>AG31-AH31</f>
        <v/>
      </c>
      <c r="AI27" s="19">
        <f>AH31-AI31</f>
        <v/>
      </c>
      <c r="AJ27" s="19">
        <f>AI31-AJ31</f>
        <v/>
      </c>
      <c r="AK27" s="19">
        <f>AJ31-AK31</f>
        <v/>
      </c>
      <c r="AL27" s="19">
        <f>AK31-AL31</f>
        <v/>
      </c>
      <c r="AM27" s="47">
        <f>SUMIF($C$6:$AL$6,1,C27:AL27)</f>
        <v/>
      </c>
      <c r="AN27" s="47">
        <f>SUMIF($C$6:$AL$6,2,C27:AL27)</f>
        <v/>
      </c>
      <c r="AO27" s="47">
        <f>SUMIF($C$6:$AL$6,3,C27:AL27)</f>
        <v/>
      </c>
      <c r="AP27" s="47">
        <f>SUM(C27:AL27)</f>
        <v/>
      </c>
    </row>
    <row r="28">
      <c r="A28" s="7" t="inlineStr">
        <is>
          <t xml:space="preserve">   Operating balance before founder capital</t>
        </is>
      </c>
      <c r="C28" s="8">
        <f>'Assumptions'!$C$16+C26+C27</f>
        <v/>
      </c>
      <c r="D28" s="19">
        <f>C30+D26+D27</f>
        <v/>
      </c>
      <c r="E28" s="19">
        <f>D30+E26+E27</f>
        <v/>
      </c>
      <c r="F28" s="19">
        <f>E30+F26+F27</f>
        <v/>
      </c>
      <c r="G28" s="19">
        <f>F30+G26+G27</f>
        <v/>
      </c>
      <c r="H28" s="19">
        <f>G30+H26+H27</f>
        <v/>
      </c>
      <c r="I28" s="19">
        <f>H30+I26+I27</f>
        <v/>
      </c>
      <c r="J28" s="19">
        <f>I30+J26+J27</f>
        <v/>
      </c>
      <c r="K28" s="19">
        <f>J30+K26+K27</f>
        <v/>
      </c>
      <c r="L28" s="19">
        <f>K30+L26+L27</f>
        <v/>
      </c>
      <c r="M28" s="19">
        <f>L30+M26+M27</f>
        <v/>
      </c>
      <c r="N28" s="19">
        <f>M30+N26+N27</f>
        <v/>
      </c>
      <c r="O28" s="19">
        <f>N30+O26+O27</f>
        <v/>
      </c>
      <c r="P28" s="19">
        <f>O30+P26+P27</f>
        <v/>
      </c>
      <c r="Q28" s="19">
        <f>P30+Q26+Q27</f>
        <v/>
      </c>
      <c r="R28" s="19">
        <f>Q30+R26+R27</f>
        <v/>
      </c>
      <c r="S28" s="19">
        <f>R30+S26+S27</f>
        <v/>
      </c>
      <c r="T28" s="19">
        <f>S30+T26+T27</f>
        <v/>
      </c>
      <c r="U28" s="19">
        <f>T30+U26+U27</f>
        <v/>
      </c>
      <c r="V28" s="19">
        <f>U30+V26+V27</f>
        <v/>
      </c>
      <c r="W28" s="19">
        <f>V30+W26+W27</f>
        <v/>
      </c>
      <c r="X28" s="19">
        <f>W30+X26+X27</f>
        <v/>
      </c>
      <c r="Y28" s="19">
        <f>X30+Y26+Y27</f>
        <v/>
      </c>
      <c r="Z28" s="19">
        <f>Y30+Z26+Z27</f>
        <v/>
      </c>
      <c r="AA28" s="19">
        <f>Z30+AA26+AA27</f>
        <v/>
      </c>
      <c r="AB28" s="19">
        <f>AA30+AB26+AB27</f>
        <v/>
      </c>
      <c r="AC28" s="19">
        <f>AB30+AC26+AC27</f>
        <v/>
      </c>
      <c r="AD28" s="19">
        <f>AC30+AD26+AD27</f>
        <v/>
      </c>
      <c r="AE28" s="19">
        <f>AD30+AE26+AE27</f>
        <v/>
      </c>
      <c r="AF28" s="19">
        <f>AE30+AF26+AF27</f>
        <v/>
      </c>
      <c r="AG28" s="19">
        <f>AF30+AG26+AG27</f>
        <v/>
      </c>
      <c r="AH28" s="19">
        <f>AG30+AH26+AH27</f>
        <v/>
      </c>
      <c r="AI28" s="19">
        <f>AH30+AI26+AI27</f>
        <v/>
      </c>
      <c r="AJ28" s="19">
        <f>AI30+AJ26+AJ27</f>
        <v/>
      </c>
      <c r="AK28" s="19">
        <f>AJ30+AK26+AK27</f>
        <v/>
      </c>
      <c r="AL28" s="19">
        <f>AK30+AL26+AL27</f>
        <v/>
      </c>
    </row>
    <row r="29">
      <c r="A29" s="60" t="inlineStr">
        <is>
          <t>FOUNDER CAPITAL IN (planned month-1 amount + any top-up that keeps the balance at zero or above)</t>
        </is>
      </c>
      <c r="B29" s="64" t="n"/>
      <c r="C29" s="65">
        <f>'Assumptions'!$C$17+MAX(0,-(C28+'Assumptions'!$C$17))</f>
        <v/>
      </c>
      <c r="D29" s="62">
        <f>0+MAX(0,-(D28+0))</f>
        <v/>
      </c>
      <c r="E29" s="62">
        <f>0+MAX(0,-(E28+0))</f>
        <v/>
      </c>
      <c r="F29" s="62">
        <f>0+MAX(0,-(F28+0))</f>
        <v/>
      </c>
      <c r="G29" s="62">
        <f>0+MAX(0,-(G28+0))</f>
        <v/>
      </c>
      <c r="H29" s="62">
        <f>0+MAX(0,-(H28+0))</f>
        <v/>
      </c>
      <c r="I29" s="62">
        <f>0+MAX(0,-(I28+0))</f>
        <v/>
      </c>
      <c r="J29" s="62">
        <f>0+MAX(0,-(J28+0))</f>
        <v/>
      </c>
      <c r="K29" s="62">
        <f>0+MAX(0,-(K28+0))</f>
        <v/>
      </c>
      <c r="L29" s="62">
        <f>0+MAX(0,-(L28+0))</f>
        <v/>
      </c>
      <c r="M29" s="62">
        <f>0+MAX(0,-(M28+0))</f>
        <v/>
      </c>
      <c r="N29" s="62">
        <f>0+MAX(0,-(N28+0))</f>
        <v/>
      </c>
      <c r="O29" s="62">
        <f>0+MAX(0,-(O28+0))</f>
        <v/>
      </c>
      <c r="P29" s="62">
        <f>0+MAX(0,-(P28+0))</f>
        <v/>
      </c>
      <c r="Q29" s="62">
        <f>0+MAX(0,-(Q28+0))</f>
        <v/>
      </c>
      <c r="R29" s="62">
        <f>0+MAX(0,-(R28+0))</f>
        <v/>
      </c>
      <c r="S29" s="62">
        <f>0+MAX(0,-(S28+0))</f>
        <v/>
      </c>
      <c r="T29" s="62">
        <f>0+MAX(0,-(T28+0))</f>
        <v/>
      </c>
      <c r="U29" s="62">
        <f>0+MAX(0,-(U28+0))</f>
        <v/>
      </c>
      <c r="V29" s="62">
        <f>0+MAX(0,-(V28+0))</f>
        <v/>
      </c>
      <c r="W29" s="62">
        <f>0+MAX(0,-(W28+0))</f>
        <v/>
      </c>
      <c r="X29" s="62">
        <f>0+MAX(0,-(X28+0))</f>
        <v/>
      </c>
      <c r="Y29" s="62">
        <f>0+MAX(0,-(Y28+0))</f>
        <v/>
      </c>
      <c r="Z29" s="62">
        <f>0+MAX(0,-(Z28+0))</f>
        <v/>
      </c>
      <c r="AA29" s="62">
        <f>0+MAX(0,-(AA28+0))</f>
        <v/>
      </c>
      <c r="AB29" s="62">
        <f>0+MAX(0,-(AB28+0))</f>
        <v/>
      </c>
      <c r="AC29" s="62">
        <f>0+MAX(0,-(AC28+0))</f>
        <v/>
      </c>
      <c r="AD29" s="62">
        <f>0+MAX(0,-(AD28+0))</f>
        <v/>
      </c>
      <c r="AE29" s="62">
        <f>0+MAX(0,-(AE28+0))</f>
        <v/>
      </c>
      <c r="AF29" s="62">
        <f>0+MAX(0,-(AF28+0))</f>
        <v/>
      </c>
      <c r="AG29" s="62">
        <f>0+MAX(0,-(AG28+0))</f>
        <v/>
      </c>
      <c r="AH29" s="62">
        <f>0+MAX(0,-(AH28+0))</f>
        <v/>
      </c>
      <c r="AI29" s="62">
        <f>0+MAX(0,-(AI28+0))</f>
        <v/>
      </c>
      <c r="AJ29" s="62">
        <f>0+MAX(0,-(AJ28+0))</f>
        <v/>
      </c>
      <c r="AK29" s="62">
        <f>0+MAX(0,-(AK28+0))</f>
        <v/>
      </c>
      <c r="AL29" s="62">
        <f>0+MAX(0,-(AL28+0))</f>
        <v/>
      </c>
      <c r="AM29" s="63">
        <f>SUMIF($C$6:$AL$6,1,C29:AL29)</f>
        <v/>
      </c>
      <c r="AN29" s="63">
        <f>SUMIF($C$6:$AL$6,2,C29:AL29)</f>
        <v/>
      </c>
      <c r="AO29" s="63">
        <f>SUMIF($C$6:$AL$6,3,C29:AL29)</f>
        <v/>
      </c>
      <c r="AP29" s="63">
        <f>SUM(C29:AL29)</f>
        <v/>
      </c>
    </row>
    <row r="30">
      <c r="A30" s="60" t="inlineStr">
        <is>
          <t>OPERATING ACCOUNT BALANCE (month end)</t>
        </is>
      </c>
      <c r="B30" s="64" t="n"/>
      <c r="C30" s="62">
        <f>C28+C29</f>
        <v/>
      </c>
      <c r="D30" s="62">
        <f>D28+D29</f>
        <v/>
      </c>
      <c r="E30" s="62">
        <f>E28+E29</f>
        <v/>
      </c>
      <c r="F30" s="62">
        <f>F28+F29</f>
        <v/>
      </c>
      <c r="G30" s="62">
        <f>G28+G29</f>
        <v/>
      </c>
      <c r="H30" s="62">
        <f>H28+H29</f>
        <v/>
      </c>
      <c r="I30" s="62">
        <f>I28+I29</f>
        <v/>
      </c>
      <c r="J30" s="62">
        <f>J28+J29</f>
        <v/>
      </c>
      <c r="K30" s="62">
        <f>K28+K29</f>
        <v/>
      </c>
      <c r="L30" s="62">
        <f>L28+L29</f>
        <v/>
      </c>
      <c r="M30" s="62">
        <f>M28+M29</f>
        <v/>
      </c>
      <c r="N30" s="62">
        <f>N28+N29</f>
        <v/>
      </c>
      <c r="O30" s="62">
        <f>O28+O29</f>
        <v/>
      </c>
      <c r="P30" s="62">
        <f>P28+P29</f>
        <v/>
      </c>
      <c r="Q30" s="62">
        <f>Q28+Q29</f>
        <v/>
      </c>
      <c r="R30" s="62">
        <f>R28+R29</f>
        <v/>
      </c>
      <c r="S30" s="62">
        <f>S28+S29</f>
        <v/>
      </c>
      <c r="T30" s="62">
        <f>T28+T29</f>
        <v/>
      </c>
      <c r="U30" s="62">
        <f>U28+U29</f>
        <v/>
      </c>
      <c r="V30" s="62">
        <f>V28+V29</f>
        <v/>
      </c>
      <c r="W30" s="62">
        <f>W28+W29</f>
        <v/>
      </c>
      <c r="X30" s="62">
        <f>X28+X29</f>
        <v/>
      </c>
      <c r="Y30" s="62">
        <f>Y28+Y29</f>
        <v/>
      </c>
      <c r="Z30" s="62">
        <f>Z28+Z29</f>
        <v/>
      </c>
      <c r="AA30" s="62">
        <f>AA28+AA29</f>
        <v/>
      </c>
      <c r="AB30" s="62">
        <f>AB28+AB29</f>
        <v/>
      </c>
      <c r="AC30" s="62">
        <f>AC28+AC29</f>
        <v/>
      </c>
      <c r="AD30" s="62">
        <f>AD28+AD29</f>
        <v/>
      </c>
      <c r="AE30" s="62">
        <f>AE28+AE29</f>
        <v/>
      </c>
      <c r="AF30" s="62">
        <f>AF28+AF29</f>
        <v/>
      </c>
      <c r="AG30" s="62">
        <f>AG28+AG29</f>
        <v/>
      </c>
      <c r="AH30" s="62">
        <f>AH28+AH29</f>
        <v/>
      </c>
      <c r="AI30" s="62">
        <f>AI28+AI29</f>
        <v/>
      </c>
      <c r="AJ30" s="62">
        <f>AJ28+AJ29</f>
        <v/>
      </c>
      <c r="AK30" s="62">
        <f>AK28+AK29</f>
        <v/>
      </c>
      <c r="AL30" s="62">
        <f>AL28+AL29</f>
        <v/>
      </c>
      <c r="AM30" s="63">
        <f>N30</f>
        <v/>
      </c>
      <c r="AN30" s="63">
        <f>Z30</f>
        <v/>
      </c>
      <c r="AO30" s="63">
        <f>AL30</f>
        <v/>
      </c>
      <c r="AP30" s="63">
        <f>AL30</f>
        <v/>
      </c>
    </row>
    <row r="31">
      <c r="A31" s="7" t="inlineStr">
        <is>
          <t>Tax reserve account balance (25% of cumulative profit after one-time costs, if positive)</t>
        </is>
      </c>
      <c r="C31" s="8">
        <f>'Assumptions'!$C$15*MAX(0,'36-Month Forecast'!C131)</f>
        <v/>
      </c>
      <c r="D31" s="8">
        <f>'Assumptions'!$C$15*MAX(0,'36-Month Forecast'!D131)</f>
        <v/>
      </c>
      <c r="E31" s="8">
        <f>'Assumptions'!$C$15*MAX(0,'36-Month Forecast'!E131)</f>
        <v/>
      </c>
      <c r="F31" s="8">
        <f>'Assumptions'!$C$15*MAX(0,'36-Month Forecast'!F131)</f>
        <v/>
      </c>
      <c r="G31" s="8">
        <f>'Assumptions'!$C$15*MAX(0,'36-Month Forecast'!G131)</f>
        <v/>
      </c>
      <c r="H31" s="8">
        <f>'Assumptions'!$C$15*MAX(0,'36-Month Forecast'!H131)</f>
        <v/>
      </c>
      <c r="I31" s="8">
        <f>'Assumptions'!$C$15*MAX(0,'36-Month Forecast'!I131)</f>
        <v/>
      </c>
      <c r="J31" s="8">
        <f>'Assumptions'!$C$15*MAX(0,'36-Month Forecast'!J131)</f>
        <v/>
      </c>
      <c r="K31" s="8">
        <f>'Assumptions'!$C$15*MAX(0,'36-Month Forecast'!K131)</f>
        <v/>
      </c>
      <c r="L31" s="8">
        <f>'Assumptions'!$C$15*MAX(0,'36-Month Forecast'!L131)</f>
        <v/>
      </c>
      <c r="M31" s="8">
        <f>'Assumptions'!$C$15*MAX(0,'36-Month Forecast'!M131)</f>
        <v/>
      </c>
      <c r="N31" s="8">
        <f>'Assumptions'!$C$15*MAX(0,'36-Month Forecast'!N131)</f>
        <v/>
      </c>
      <c r="O31" s="8">
        <f>'Assumptions'!$C$15*MAX(0,'36-Month Forecast'!O131)</f>
        <v/>
      </c>
      <c r="P31" s="8">
        <f>'Assumptions'!$C$15*MAX(0,'36-Month Forecast'!P131)</f>
        <v/>
      </c>
      <c r="Q31" s="8">
        <f>'Assumptions'!$C$15*MAX(0,'36-Month Forecast'!Q131)</f>
        <v/>
      </c>
      <c r="R31" s="8">
        <f>'Assumptions'!$C$15*MAX(0,'36-Month Forecast'!R131)</f>
        <v/>
      </c>
      <c r="S31" s="8">
        <f>'Assumptions'!$C$15*MAX(0,'36-Month Forecast'!S131)</f>
        <v/>
      </c>
      <c r="T31" s="8">
        <f>'Assumptions'!$C$15*MAX(0,'36-Month Forecast'!T131)</f>
        <v/>
      </c>
      <c r="U31" s="8">
        <f>'Assumptions'!$C$15*MAX(0,'36-Month Forecast'!U131)</f>
        <v/>
      </c>
      <c r="V31" s="8">
        <f>'Assumptions'!$C$15*MAX(0,'36-Month Forecast'!V131)</f>
        <v/>
      </c>
      <c r="W31" s="8">
        <f>'Assumptions'!$C$15*MAX(0,'36-Month Forecast'!W131)</f>
        <v/>
      </c>
      <c r="X31" s="8">
        <f>'Assumptions'!$C$15*MAX(0,'36-Month Forecast'!X131)</f>
        <v/>
      </c>
      <c r="Y31" s="8">
        <f>'Assumptions'!$C$15*MAX(0,'36-Month Forecast'!Y131)</f>
        <v/>
      </c>
      <c r="Z31" s="8">
        <f>'Assumptions'!$C$15*MAX(0,'36-Month Forecast'!Z131)</f>
        <v/>
      </c>
      <c r="AA31" s="8">
        <f>'Assumptions'!$C$15*MAX(0,'36-Month Forecast'!AA131)</f>
        <v/>
      </c>
      <c r="AB31" s="8">
        <f>'Assumptions'!$C$15*MAX(0,'36-Month Forecast'!AB131)</f>
        <v/>
      </c>
      <c r="AC31" s="8">
        <f>'Assumptions'!$C$15*MAX(0,'36-Month Forecast'!AC131)</f>
        <v/>
      </c>
      <c r="AD31" s="8">
        <f>'Assumptions'!$C$15*MAX(0,'36-Month Forecast'!AD131)</f>
        <v/>
      </c>
      <c r="AE31" s="8">
        <f>'Assumptions'!$C$15*MAX(0,'36-Month Forecast'!AE131)</f>
        <v/>
      </c>
      <c r="AF31" s="8">
        <f>'Assumptions'!$C$15*MAX(0,'36-Month Forecast'!AF131)</f>
        <v/>
      </c>
      <c r="AG31" s="8">
        <f>'Assumptions'!$C$15*MAX(0,'36-Month Forecast'!AG131)</f>
        <v/>
      </c>
      <c r="AH31" s="8">
        <f>'Assumptions'!$C$15*MAX(0,'36-Month Forecast'!AH131)</f>
        <v/>
      </c>
      <c r="AI31" s="8">
        <f>'Assumptions'!$C$15*MAX(0,'36-Month Forecast'!AI131)</f>
        <v/>
      </c>
      <c r="AJ31" s="8">
        <f>'Assumptions'!$C$15*MAX(0,'36-Month Forecast'!AJ131)</f>
        <v/>
      </c>
      <c r="AK31" s="8">
        <f>'Assumptions'!$C$15*MAX(0,'36-Month Forecast'!AK131)</f>
        <v/>
      </c>
      <c r="AL31" s="8">
        <f>'Assumptions'!$C$15*MAX(0,'36-Month Forecast'!AL131)</f>
        <v/>
      </c>
      <c r="AM31" s="47">
        <f>N31</f>
        <v/>
      </c>
      <c r="AN31" s="47">
        <f>Z31</f>
        <v/>
      </c>
      <c r="AO31" s="47">
        <f>AL31</f>
        <v/>
      </c>
      <c r="AP31" s="47">
        <f>AL31</f>
        <v/>
      </c>
    </row>
    <row r="32">
      <c r="A32" s="7" t="inlineStr">
        <is>
          <t>Total cash (both accounts)</t>
        </is>
      </c>
      <c r="C32" s="19">
        <f>C30+C31</f>
        <v/>
      </c>
      <c r="D32" s="19">
        <f>D30+D31</f>
        <v/>
      </c>
      <c r="E32" s="19">
        <f>E30+E31</f>
        <v/>
      </c>
      <c r="F32" s="19">
        <f>F30+F31</f>
        <v/>
      </c>
      <c r="G32" s="19">
        <f>G30+G31</f>
        <v/>
      </c>
      <c r="H32" s="19">
        <f>H30+H31</f>
        <v/>
      </c>
      <c r="I32" s="19">
        <f>I30+I31</f>
        <v/>
      </c>
      <c r="J32" s="19">
        <f>J30+J31</f>
        <v/>
      </c>
      <c r="K32" s="19">
        <f>K30+K31</f>
        <v/>
      </c>
      <c r="L32" s="19">
        <f>L30+L31</f>
        <v/>
      </c>
      <c r="M32" s="19">
        <f>M30+M31</f>
        <v/>
      </c>
      <c r="N32" s="19">
        <f>N30+N31</f>
        <v/>
      </c>
      <c r="O32" s="19">
        <f>O30+O31</f>
        <v/>
      </c>
      <c r="P32" s="19">
        <f>P30+P31</f>
        <v/>
      </c>
      <c r="Q32" s="19">
        <f>Q30+Q31</f>
        <v/>
      </c>
      <c r="R32" s="19">
        <f>R30+R31</f>
        <v/>
      </c>
      <c r="S32" s="19">
        <f>S30+S31</f>
        <v/>
      </c>
      <c r="T32" s="19">
        <f>T30+T31</f>
        <v/>
      </c>
      <c r="U32" s="19">
        <f>U30+U31</f>
        <v/>
      </c>
      <c r="V32" s="19">
        <f>V30+V31</f>
        <v/>
      </c>
      <c r="W32" s="19">
        <f>W30+W31</f>
        <v/>
      </c>
      <c r="X32" s="19">
        <f>X30+X31</f>
        <v/>
      </c>
      <c r="Y32" s="19">
        <f>Y30+Y31</f>
        <v/>
      </c>
      <c r="Z32" s="19">
        <f>Z30+Z31</f>
        <v/>
      </c>
      <c r="AA32" s="19">
        <f>AA30+AA31</f>
        <v/>
      </c>
      <c r="AB32" s="19">
        <f>AB30+AB31</f>
        <v/>
      </c>
      <c r="AC32" s="19">
        <f>AC30+AC31</f>
        <v/>
      </c>
      <c r="AD32" s="19">
        <f>AD30+AD31</f>
        <v/>
      </c>
      <c r="AE32" s="19">
        <f>AE30+AE31</f>
        <v/>
      </c>
      <c r="AF32" s="19">
        <f>AF30+AF31</f>
        <v/>
      </c>
      <c r="AG32" s="19">
        <f>AG30+AG31</f>
        <v/>
      </c>
      <c r="AH32" s="19">
        <f>AH30+AH31</f>
        <v/>
      </c>
      <c r="AI32" s="19">
        <f>AI30+AI31</f>
        <v/>
      </c>
      <c r="AJ32" s="19">
        <f>AJ30+AJ31</f>
        <v/>
      </c>
      <c r="AK32" s="19">
        <f>AK30+AK31</f>
        <v/>
      </c>
      <c r="AL32" s="19">
        <f>AL30+AL31</f>
        <v/>
      </c>
      <c r="AM32" s="47">
        <f>N32</f>
        <v/>
      </c>
      <c r="AN32" s="47">
        <f>Z32</f>
        <v/>
      </c>
      <c r="AO32" s="47">
        <f>AL32</f>
        <v/>
      </c>
      <c r="AP32" s="47">
        <f>AL32</f>
        <v/>
      </c>
    </row>
    <row r="33">
      <c r="A33" s="60" t="inlineStr">
        <is>
          <t>CUMULATIVE FOUNDER CAPITAL (the funding need)</t>
        </is>
      </c>
      <c r="B33" s="64" t="n"/>
      <c r="C33" s="62">
        <f>C29</f>
        <v/>
      </c>
      <c r="D33" s="62">
        <f>D29+C33</f>
        <v/>
      </c>
      <c r="E33" s="62">
        <f>E29+D33</f>
        <v/>
      </c>
      <c r="F33" s="62">
        <f>F29+E33</f>
        <v/>
      </c>
      <c r="G33" s="62">
        <f>G29+F33</f>
        <v/>
      </c>
      <c r="H33" s="62">
        <f>H29+G33</f>
        <v/>
      </c>
      <c r="I33" s="62">
        <f>I29+H33</f>
        <v/>
      </c>
      <c r="J33" s="62">
        <f>J29+I33</f>
        <v/>
      </c>
      <c r="K33" s="62">
        <f>K29+J33</f>
        <v/>
      </c>
      <c r="L33" s="62">
        <f>L29+K33</f>
        <v/>
      </c>
      <c r="M33" s="62">
        <f>M29+L33</f>
        <v/>
      </c>
      <c r="N33" s="62">
        <f>N29+M33</f>
        <v/>
      </c>
      <c r="O33" s="62">
        <f>O29+N33</f>
        <v/>
      </c>
      <c r="P33" s="62">
        <f>P29+O33</f>
        <v/>
      </c>
      <c r="Q33" s="62">
        <f>Q29+P33</f>
        <v/>
      </c>
      <c r="R33" s="62">
        <f>R29+Q33</f>
        <v/>
      </c>
      <c r="S33" s="62">
        <f>S29+R33</f>
        <v/>
      </c>
      <c r="T33" s="62">
        <f>T29+S33</f>
        <v/>
      </c>
      <c r="U33" s="62">
        <f>U29+T33</f>
        <v/>
      </c>
      <c r="V33" s="62">
        <f>V29+U33</f>
        <v/>
      </c>
      <c r="W33" s="62">
        <f>W29+V33</f>
        <v/>
      </c>
      <c r="X33" s="62">
        <f>X29+W33</f>
        <v/>
      </c>
      <c r="Y33" s="62">
        <f>Y29+X33</f>
        <v/>
      </c>
      <c r="Z33" s="62">
        <f>Z29+Y33</f>
        <v/>
      </c>
      <c r="AA33" s="62">
        <f>AA29+Z33</f>
        <v/>
      </c>
      <c r="AB33" s="62">
        <f>AB29+AA33</f>
        <v/>
      </c>
      <c r="AC33" s="62">
        <f>AC29+AB33</f>
        <v/>
      </c>
      <c r="AD33" s="62">
        <f>AD29+AC33</f>
        <v/>
      </c>
      <c r="AE33" s="62">
        <f>AE29+AD33</f>
        <v/>
      </c>
      <c r="AF33" s="62">
        <f>AF29+AE33</f>
        <v/>
      </c>
      <c r="AG33" s="62">
        <f>AG29+AF33</f>
        <v/>
      </c>
      <c r="AH33" s="62">
        <f>AH29+AG33</f>
        <v/>
      </c>
      <c r="AI33" s="62">
        <f>AI29+AH33</f>
        <v/>
      </c>
      <c r="AJ33" s="62">
        <f>AJ29+AI33</f>
        <v/>
      </c>
      <c r="AK33" s="62">
        <f>AK29+AJ33</f>
        <v/>
      </c>
      <c r="AL33" s="62">
        <f>AL29+AK33</f>
        <v/>
      </c>
      <c r="AM33" s="63">
        <f>N33</f>
        <v/>
      </c>
      <c r="AN33" s="63">
        <f>Z33</f>
        <v/>
      </c>
      <c r="AO33" s="63">
        <f>AL33</f>
        <v/>
      </c>
      <c r="AP33" s="63">
        <f>AL33</f>
        <v/>
      </c>
    </row>
    <row r="34">
      <c r="A34" s="7" t="inlineStr">
        <is>
          <t>Reserve target (months x fixed costs incl. ads)</t>
        </is>
      </c>
      <c r="C34" s="8">
        <f>'Assumptions'!$C$21*('36-Month Forecast'!C124+'36-Month Forecast'!C125+'36-Month Forecast'!C123)</f>
        <v/>
      </c>
      <c r="D34" s="8">
        <f>'Assumptions'!$C$21*('36-Month Forecast'!D124+'36-Month Forecast'!D125+'36-Month Forecast'!D123)</f>
        <v/>
      </c>
      <c r="E34" s="8">
        <f>'Assumptions'!$C$21*('36-Month Forecast'!E124+'36-Month Forecast'!E125+'36-Month Forecast'!E123)</f>
        <v/>
      </c>
      <c r="F34" s="8">
        <f>'Assumptions'!$C$21*('36-Month Forecast'!F124+'36-Month Forecast'!F125+'36-Month Forecast'!F123)</f>
        <v/>
      </c>
      <c r="G34" s="8">
        <f>'Assumptions'!$C$21*('36-Month Forecast'!G124+'36-Month Forecast'!G125+'36-Month Forecast'!G123)</f>
        <v/>
      </c>
      <c r="H34" s="8">
        <f>'Assumptions'!$C$21*('36-Month Forecast'!H124+'36-Month Forecast'!H125+'36-Month Forecast'!H123)</f>
        <v/>
      </c>
      <c r="I34" s="8">
        <f>'Assumptions'!$C$21*('36-Month Forecast'!I124+'36-Month Forecast'!I125+'36-Month Forecast'!I123)</f>
        <v/>
      </c>
      <c r="J34" s="8">
        <f>'Assumptions'!$C$21*('36-Month Forecast'!J124+'36-Month Forecast'!J125+'36-Month Forecast'!J123)</f>
        <v/>
      </c>
      <c r="K34" s="8">
        <f>'Assumptions'!$C$21*('36-Month Forecast'!K124+'36-Month Forecast'!K125+'36-Month Forecast'!K123)</f>
        <v/>
      </c>
      <c r="L34" s="8">
        <f>'Assumptions'!$C$21*('36-Month Forecast'!L124+'36-Month Forecast'!L125+'36-Month Forecast'!L123)</f>
        <v/>
      </c>
      <c r="M34" s="8">
        <f>'Assumptions'!$C$21*('36-Month Forecast'!M124+'36-Month Forecast'!M125+'36-Month Forecast'!M123)</f>
        <v/>
      </c>
      <c r="N34" s="8">
        <f>'Assumptions'!$C$21*('36-Month Forecast'!N124+'36-Month Forecast'!N125+'36-Month Forecast'!N123)</f>
        <v/>
      </c>
      <c r="O34" s="8">
        <f>'Assumptions'!$C$21*('36-Month Forecast'!O124+'36-Month Forecast'!O125+'36-Month Forecast'!O123)</f>
        <v/>
      </c>
      <c r="P34" s="8">
        <f>'Assumptions'!$C$21*('36-Month Forecast'!P124+'36-Month Forecast'!P125+'36-Month Forecast'!P123)</f>
        <v/>
      </c>
      <c r="Q34" s="8">
        <f>'Assumptions'!$C$21*('36-Month Forecast'!Q124+'36-Month Forecast'!Q125+'36-Month Forecast'!Q123)</f>
        <v/>
      </c>
      <c r="R34" s="8">
        <f>'Assumptions'!$C$21*('36-Month Forecast'!R124+'36-Month Forecast'!R125+'36-Month Forecast'!R123)</f>
        <v/>
      </c>
      <c r="S34" s="8">
        <f>'Assumptions'!$C$21*('36-Month Forecast'!S124+'36-Month Forecast'!S125+'36-Month Forecast'!S123)</f>
        <v/>
      </c>
      <c r="T34" s="8">
        <f>'Assumptions'!$C$21*('36-Month Forecast'!T124+'36-Month Forecast'!T125+'36-Month Forecast'!T123)</f>
        <v/>
      </c>
      <c r="U34" s="8">
        <f>'Assumptions'!$C$21*('36-Month Forecast'!U124+'36-Month Forecast'!U125+'36-Month Forecast'!U123)</f>
        <v/>
      </c>
      <c r="V34" s="8">
        <f>'Assumptions'!$C$21*('36-Month Forecast'!V124+'36-Month Forecast'!V125+'36-Month Forecast'!V123)</f>
        <v/>
      </c>
      <c r="W34" s="8">
        <f>'Assumptions'!$C$21*('36-Month Forecast'!W124+'36-Month Forecast'!W125+'36-Month Forecast'!W123)</f>
        <v/>
      </c>
      <c r="X34" s="8">
        <f>'Assumptions'!$C$21*('36-Month Forecast'!X124+'36-Month Forecast'!X125+'36-Month Forecast'!X123)</f>
        <v/>
      </c>
      <c r="Y34" s="8">
        <f>'Assumptions'!$C$21*('36-Month Forecast'!Y124+'36-Month Forecast'!Y125+'36-Month Forecast'!Y123)</f>
        <v/>
      </c>
      <c r="Z34" s="8">
        <f>'Assumptions'!$C$21*('36-Month Forecast'!Z124+'36-Month Forecast'!Z125+'36-Month Forecast'!Z123)</f>
        <v/>
      </c>
      <c r="AA34" s="8">
        <f>'Assumptions'!$C$21*('36-Month Forecast'!AA124+'36-Month Forecast'!AA125+'36-Month Forecast'!AA123)</f>
        <v/>
      </c>
      <c r="AB34" s="8">
        <f>'Assumptions'!$C$21*('36-Month Forecast'!AB124+'36-Month Forecast'!AB125+'36-Month Forecast'!AB123)</f>
        <v/>
      </c>
      <c r="AC34" s="8">
        <f>'Assumptions'!$C$21*('36-Month Forecast'!AC124+'36-Month Forecast'!AC125+'36-Month Forecast'!AC123)</f>
        <v/>
      </c>
      <c r="AD34" s="8">
        <f>'Assumptions'!$C$21*('36-Month Forecast'!AD124+'36-Month Forecast'!AD125+'36-Month Forecast'!AD123)</f>
        <v/>
      </c>
      <c r="AE34" s="8">
        <f>'Assumptions'!$C$21*('36-Month Forecast'!AE124+'36-Month Forecast'!AE125+'36-Month Forecast'!AE123)</f>
        <v/>
      </c>
      <c r="AF34" s="8">
        <f>'Assumptions'!$C$21*('36-Month Forecast'!AF124+'36-Month Forecast'!AF125+'36-Month Forecast'!AF123)</f>
        <v/>
      </c>
      <c r="AG34" s="8">
        <f>'Assumptions'!$C$21*('36-Month Forecast'!AG124+'36-Month Forecast'!AG125+'36-Month Forecast'!AG123)</f>
        <v/>
      </c>
      <c r="AH34" s="8">
        <f>'Assumptions'!$C$21*('36-Month Forecast'!AH124+'36-Month Forecast'!AH125+'36-Month Forecast'!AH123)</f>
        <v/>
      </c>
      <c r="AI34" s="8">
        <f>'Assumptions'!$C$21*('36-Month Forecast'!AI124+'36-Month Forecast'!AI125+'36-Month Forecast'!AI123)</f>
        <v/>
      </c>
      <c r="AJ34" s="8">
        <f>'Assumptions'!$C$21*('36-Month Forecast'!AJ124+'36-Month Forecast'!AJ125+'36-Month Forecast'!AJ123)</f>
        <v/>
      </c>
      <c r="AK34" s="8">
        <f>'Assumptions'!$C$21*('36-Month Forecast'!AK124+'36-Month Forecast'!AK125+'36-Month Forecast'!AK123)</f>
        <v/>
      </c>
      <c r="AL34" s="8">
        <f>'Assumptions'!$C$21*('36-Month Forecast'!AL124+'36-Month Forecast'!AL125+'36-Month Forecast'!AL123)</f>
        <v/>
      </c>
      <c r="AM34" s="47">
        <f>N34</f>
        <v/>
      </c>
      <c r="AN34" s="47">
        <f>Z34</f>
        <v/>
      </c>
      <c r="AO34" s="47">
        <f>AL34</f>
        <v/>
      </c>
      <c r="AP34" s="47">
        <f>AL34</f>
        <v/>
      </c>
    </row>
    <row r="35">
      <c r="A35" s="7" t="inlineStr">
        <is>
          <t>Operating balance above / (below) reserve target</t>
        </is>
      </c>
      <c r="C35" s="19">
        <f>C30-C34</f>
        <v/>
      </c>
      <c r="D35" s="19">
        <f>D30-D34</f>
        <v/>
      </c>
      <c r="E35" s="19">
        <f>E30-E34</f>
        <v/>
      </c>
      <c r="F35" s="19">
        <f>F30-F34</f>
        <v/>
      </c>
      <c r="G35" s="19">
        <f>G30-G34</f>
        <v/>
      </c>
      <c r="H35" s="19">
        <f>H30-H34</f>
        <v/>
      </c>
      <c r="I35" s="19">
        <f>I30-I34</f>
        <v/>
      </c>
      <c r="J35" s="19">
        <f>J30-J34</f>
        <v/>
      </c>
      <c r="K35" s="19">
        <f>K30-K34</f>
        <v/>
      </c>
      <c r="L35" s="19">
        <f>L30-L34</f>
        <v/>
      </c>
      <c r="M35" s="19">
        <f>M30-M34</f>
        <v/>
      </c>
      <c r="N35" s="19">
        <f>N30-N34</f>
        <v/>
      </c>
      <c r="O35" s="19">
        <f>O30-O34</f>
        <v/>
      </c>
      <c r="P35" s="19">
        <f>P30-P34</f>
        <v/>
      </c>
      <c r="Q35" s="19">
        <f>Q30-Q34</f>
        <v/>
      </c>
      <c r="R35" s="19">
        <f>R30-R34</f>
        <v/>
      </c>
      <c r="S35" s="19">
        <f>S30-S34</f>
        <v/>
      </c>
      <c r="T35" s="19">
        <f>T30-T34</f>
        <v/>
      </c>
      <c r="U35" s="19">
        <f>U30-U34</f>
        <v/>
      </c>
      <c r="V35" s="19">
        <f>V30-V34</f>
        <v/>
      </c>
      <c r="W35" s="19">
        <f>W30-W34</f>
        <v/>
      </c>
      <c r="X35" s="19">
        <f>X30-X34</f>
        <v/>
      </c>
      <c r="Y35" s="19">
        <f>Y30-Y34</f>
        <v/>
      </c>
      <c r="Z35" s="19">
        <f>Z30-Z34</f>
        <v/>
      </c>
      <c r="AA35" s="19">
        <f>AA30-AA34</f>
        <v/>
      </c>
      <c r="AB35" s="19">
        <f>AB30-AB34</f>
        <v/>
      </c>
      <c r="AC35" s="19">
        <f>AC30-AC34</f>
        <v/>
      </c>
      <c r="AD35" s="19">
        <f>AD30-AD34</f>
        <v/>
      </c>
      <c r="AE35" s="19">
        <f>AE30-AE34</f>
        <v/>
      </c>
      <c r="AF35" s="19">
        <f>AF30-AF34</f>
        <v/>
      </c>
      <c r="AG35" s="19">
        <f>AG30-AG34</f>
        <v/>
      </c>
      <c r="AH35" s="19">
        <f>AH30-AH34</f>
        <v/>
      </c>
      <c r="AI35" s="19">
        <f>AI30-AI34</f>
        <v/>
      </c>
      <c r="AJ35" s="19">
        <f>AJ30-AJ34</f>
        <v/>
      </c>
      <c r="AK35" s="19">
        <f>AK30-AK34</f>
        <v/>
      </c>
      <c r="AL35" s="19">
        <f>AL30-AL34</f>
        <v/>
      </c>
      <c r="AM35" s="47">
        <f>N35</f>
        <v/>
      </c>
      <c r="AN35" s="47">
        <f>Z35</f>
        <v/>
      </c>
      <c r="AO35" s="47">
        <f>AL35</f>
        <v/>
      </c>
      <c r="AP35" s="47">
        <f>AL35</f>
        <v/>
      </c>
    </row>
    <row r="36">
      <c r="A36" s="7" t="inlineStr">
        <is>
          <t xml:space="preserve">   Helper: month # if founder capital goes in</t>
        </is>
      </c>
      <c r="C36" s="43">
        <f>IF(C29&gt;0.5,C$4,"")</f>
        <v/>
      </c>
      <c r="D36" s="43">
        <f>IF(D29&gt;0.5,D$4,"")</f>
        <v/>
      </c>
      <c r="E36" s="43">
        <f>IF(E29&gt;0.5,E$4,"")</f>
        <v/>
      </c>
      <c r="F36" s="43">
        <f>IF(F29&gt;0.5,F$4,"")</f>
        <v/>
      </c>
      <c r="G36" s="43">
        <f>IF(G29&gt;0.5,G$4,"")</f>
        <v/>
      </c>
      <c r="H36" s="43">
        <f>IF(H29&gt;0.5,H$4,"")</f>
        <v/>
      </c>
      <c r="I36" s="43">
        <f>IF(I29&gt;0.5,I$4,"")</f>
        <v/>
      </c>
      <c r="J36" s="43">
        <f>IF(J29&gt;0.5,J$4,"")</f>
        <v/>
      </c>
      <c r="K36" s="43">
        <f>IF(K29&gt;0.5,K$4,"")</f>
        <v/>
      </c>
      <c r="L36" s="43">
        <f>IF(L29&gt;0.5,L$4,"")</f>
        <v/>
      </c>
      <c r="M36" s="43">
        <f>IF(M29&gt;0.5,M$4,"")</f>
        <v/>
      </c>
      <c r="N36" s="43">
        <f>IF(N29&gt;0.5,N$4,"")</f>
        <v/>
      </c>
      <c r="O36" s="43">
        <f>IF(O29&gt;0.5,O$4,"")</f>
        <v/>
      </c>
      <c r="P36" s="43">
        <f>IF(P29&gt;0.5,P$4,"")</f>
        <v/>
      </c>
      <c r="Q36" s="43">
        <f>IF(Q29&gt;0.5,Q$4,"")</f>
        <v/>
      </c>
      <c r="R36" s="43">
        <f>IF(R29&gt;0.5,R$4,"")</f>
        <v/>
      </c>
      <c r="S36" s="43">
        <f>IF(S29&gt;0.5,S$4,"")</f>
        <v/>
      </c>
      <c r="T36" s="43">
        <f>IF(T29&gt;0.5,T$4,"")</f>
        <v/>
      </c>
      <c r="U36" s="43">
        <f>IF(U29&gt;0.5,U$4,"")</f>
        <v/>
      </c>
      <c r="V36" s="43">
        <f>IF(V29&gt;0.5,V$4,"")</f>
        <v/>
      </c>
      <c r="W36" s="43">
        <f>IF(W29&gt;0.5,W$4,"")</f>
        <v/>
      </c>
      <c r="X36" s="43">
        <f>IF(X29&gt;0.5,X$4,"")</f>
        <v/>
      </c>
      <c r="Y36" s="43">
        <f>IF(Y29&gt;0.5,Y$4,"")</f>
        <v/>
      </c>
      <c r="Z36" s="43">
        <f>IF(Z29&gt;0.5,Z$4,"")</f>
        <v/>
      </c>
      <c r="AA36" s="43">
        <f>IF(AA29&gt;0.5,AA$4,"")</f>
        <v/>
      </c>
      <c r="AB36" s="43">
        <f>IF(AB29&gt;0.5,AB$4,"")</f>
        <v/>
      </c>
      <c r="AC36" s="43">
        <f>IF(AC29&gt;0.5,AC$4,"")</f>
        <v/>
      </c>
      <c r="AD36" s="43">
        <f>IF(AD29&gt;0.5,AD$4,"")</f>
        <v/>
      </c>
      <c r="AE36" s="43">
        <f>IF(AE29&gt;0.5,AE$4,"")</f>
        <v/>
      </c>
      <c r="AF36" s="43">
        <f>IF(AF29&gt;0.5,AF$4,"")</f>
        <v/>
      </c>
      <c r="AG36" s="43">
        <f>IF(AG29&gt;0.5,AG$4,"")</f>
        <v/>
      </c>
      <c r="AH36" s="43">
        <f>IF(AH29&gt;0.5,AH$4,"")</f>
        <v/>
      </c>
      <c r="AI36" s="43">
        <f>IF(AI29&gt;0.5,AI$4,"")</f>
        <v/>
      </c>
      <c r="AJ36" s="43">
        <f>IF(AJ29&gt;0.5,AJ$4,"")</f>
        <v/>
      </c>
      <c r="AK36" s="43">
        <f>IF(AK29&gt;0.5,AK$4,"")</f>
        <v/>
      </c>
      <c r="AL36" s="43">
        <f>IF(AL29&gt;0.5,AL$4,"")</f>
        <v/>
      </c>
    </row>
    <row r="37">
      <c r="A37" s="7" t="inlineStr">
        <is>
          <t xml:space="preserve">   Helper: month # if cumulative founder capital is above the household-money cap</t>
        </is>
      </c>
      <c r="C37" s="18">
        <f>IF(C33&gt;'Assumptions'!$C$19,C$4,"")</f>
        <v/>
      </c>
      <c r="D37" s="18">
        <f>IF(D33&gt;'Assumptions'!$C$19,D$4,"")</f>
        <v/>
      </c>
      <c r="E37" s="18">
        <f>IF(E33&gt;'Assumptions'!$C$19,E$4,"")</f>
        <v/>
      </c>
      <c r="F37" s="18">
        <f>IF(F33&gt;'Assumptions'!$C$19,F$4,"")</f>
        <v/>
      </c>
      <c r="G37" s="18">
        <f>IF(G33&gt;'Assumptions'!$C$19,G$4,"")</f>
        <v/>
      </c>
      <c r="H37" s="18">
        <f>IF(H33&gt;'Assumptions'!$C$19,H$4,"")</f>
        <v/>
      </c>
      <c r="I37" s="18">
        <f>IF(I33&gt;'Assumptions'!$C$19,I$4,"")</f>
        <v/>
      </c>
      <c r="J37" s="18">
        <f>IF(J33&gt;'Assumptions'!$C$19,J$4,"")</f>
        <v/>
      </c>
      <c r="K37" s="18">
        <f>IF(K33&gt;'Assumptions'!$C$19,K$4,"")</f>
        <v/>
      </c>
      <c r="L37" s="18">
        <f>IF(L33&gt;'Assumptions'!$C$19,L$4,"")</f>
        <v/>
      </c>
      <c r="M37" s="18">
        <f>IF(M33&gt;'Assumptions'!$C$19,M$4,"")</f>
        <v/>
      </c>
      <c r="N37" s="18">
        <f>IF(N33&gt;'Assumptions'!$C$19,N$4,"")</f>
        <v/>
      </c>
      <c r="O37" s="18">
        <f>IF(O33&gt;'Assumptions'!$C$19,O$4,"")</f>
        <v/>
      </c>
      <c r="P37" s="18">
        <f>IF(P33&gt;'Assumptions'!$C$19,P$4,"")</f>
        <v/>
      </c>
      <c r="Q37" s="18">
        <f>IF(Q33&gt;'Assumptions'!$C$19,Q$4,"")</f>
        <v/>
      </c>
      <c r="R37" s="18">
        <f>IF(R33&gt;'Assumptions'!$C$19,R$4,"")</f>
        <v/>
      </c>
      <c r="S37" s="18">
        <f>IF(S33&gt;'Assumptions'!$C$19,S$4,"")</f>
        <v/>
      </c>
      <c r="T37" s="18">
        <f>IF(T33&gt;'Assumptions'!$C$19,T$4,"")</f>
        <v/>
      </c>
      <c r="U37" s="18">
        <f>IF(U33&gt;'Assumptions'!$C$19,U$4,"")</f>
        <v/>
      </c>
      <c r="V37" s="18">
        <f>IF(V33&gt;'Assumptions'!$C$19,V$4,"")</f>
        <v/>
      </c>
      <c r="W37" s="18">
        <f>IF(W33&gt;'Assumptions'!$C$19,W$4,"")</f>
        <v/>
      </c>
      <c r="X37" s="18">
        <f>IF(X33&gt;'Assumptions'!$C$19,X$4,"")</f>
        <v/>
      </c>
      <c r="Y37" s="18">
        <f>IF(Y33&gt;'Assumptions'!$C$19,Y$4,"")</f>
        <v/>
      </c>
      <c r="Z37" s="18">
        <f>IF(Z33&gt;'Assumptions'!$C$19,Z$4,"")</f>
        <v/>
      </c>
      <c r="AA37" s="18">
        <f>IF(AA33&gt;'Assumptions'!$C$19,AA$4,"")</f>
        <v/>
      </c>
      <c r="AB37" s="18">
        <f>IF(AB33&gt;'Assumptions'!$C$19,AB$4,"")</f>
        <v/>
      </c>
      <c r="AC37" s="18">
        <f>IF(AC33&gt;'Assumptions'!$C$19,AC$4,"")</f>
        <v/>
      </c>
      <c r="AD37" s="18">
        <f>IF(AD33&gt;'Assumptions'!$C$19,AD$4,"")</f>
        <v/>
      </c>
      <c r="AE37" s="18">
        <f>IF(AE33&gt;'Assumptions'!$C$19,AE$4,"")</f>
        <v/>
      </c>
      <c r="AF37" s="18">
        <f>IF(AF33&gt;'Assumptions'!$C$19,AF$4,"")</f>
        <v/>
      </c>
      <c r="AG37" s="18">
        <f>IF(AG33&gt;'Assumptions'!$C$19,AG$4,"")</f>
        <v/>
      </c>
      <c r="AH37" s="18">
        <f>IF(AH33&gt;'Assumptions'!$C$19,AH$4,"")</f>
        <v/>
      </c>
      <c r="AI37" s="18">
        <f>IF(AI33&gt;'Assumptions'!$C$19,AI$4,"")</f>
        <v/>
      </c>
      <c r="AJ37" s="18">
        <f>IF(AJ33&gt;'Assumptions'!$C$19,AJ$4,"")</f>
        <v/>
      </c>
      <c r="AK37" s="18">
        <f>IF(AK33&gt;'Assumptions'!$C$19,AK$4,"")</f>
        <v/>
      </c>
      <c r="AL37" s="18">
        <f>IF(AL33&gt;'Assumptions'!$C$19,AL$4,"")</f>
        <v/>
      </c>
    </row>
    <row r="39">
      <c r="A39" s="3" t="inlineStr">
        <is>
          <t>EXPECTED SCENARIO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</row>
    <row r="40">
      <c r="A40" s="7" t="inlineStr">
        <is>
          <t xml:space="preserve">   Payout: Own site: printables and PDFs (Shopify)</t>
        </is>
      </c>
      <c r="C40" s="8">
        <f>IF(C$4-'Assumptions'!$C$80&gt;=1,INDEX('36-Month Forecast'!$C$162:$AL$162,1,C$4-'Assumptions'!$C$80)+INDEX('36-Month Forecast'!$C$159:$AL$159,1,C$4-'Assumptions'!$C$80)*'Unit Economics'!$H$49,0)</f>
        <v/>
      </c>
      <c r="D40" s="8">
        <f>IF(D$4-'Assumptions'!$C$80&gt;=1,INDEX('36-Month Forecast'!$C$162:$AL$162,1,D$4-'Assumptions'!$C$80)+INDEX('36-Month Forecast'!$C$159:$AL$159,1,D$4-'Assumptions'!$C$80)*'Unit Economics'!$H$49,0)</f>
        <v/>
      </c>
      <c r="E40" s="8">
        <f>IF(E$4-'Assumptions'!$C$80&gt;=1,INDEX('36-Month Forecast'!$C$162:$AL$162,1,E$4-'Assumptions'!$C$80)+INDEX('36-Month Forecast'!$C$159:$AL$159,1,E$4-'Assumptions'!$C$80)*'Unit Economics'!$H$49,0)</f>
        <v/>
      </c>
      <c r="F40" s="8">
        <f>IF(F$4-'Assumptions'!$C$80&gt;=1,INDEX('36-Month Forecast'!$C$162:$AL$162,1,F$4-'Assumptions'!$C$80)+INDEX('36-Month Forecast'!$C$159:$AL$159,1,F$4-'Assumptions'!$C$80)*'Unit Economics'!$H$49,0)</f>
        <v/>
      </c>
      <c r="G40" s="8">
        <f>IF(G$4-'Assumptions'!$C$80&gt;=1,INDEX('36-Month Forecast'!$C$162:$AL$162,1,G$4-'Assumptions'!$C$80)+INDEX('36-Month Forecast'!$C$159:$AL$159,1,G$4-'Assumptions'!$C$80)*'Unit Economics'!$H$49,0)</f>
        <v/>
      </c>
      <c r="H40" s="8">
        <f>IF(H$4-'Assumptions'!$C$80&gt;=1,INDEX('36-Month Forecast'!$C$162:$AL$162,1,H$4-'Assumptions'!$C$80)+INDEX('36-Month Forecast'!$C$159:$AL$159,1,H$4-'Assumptions'!$C$80)*'Unit Economics'!$H$49,0)</f>
        <v/>
      </c>
      <c r="I40" s="8">
        <f>IF(I$4-'Assumptions'!$C$80&gt;=1,INDEX('36-Month Forecast'!$C$162:$AL$162,1,I$4-'Assumptions'!$C$80)+INDEX('36-Month Forecast'!$C$159:$AL$159,1,I$4-'Assumptions'!$C$80)*'Unit Economics'!$H$49,0)</f>
        <v/>
      </c>
      <c r="J40" s="8">
        <f>IF(J$4-'Assumptions'!$C$80&gt;=1,INDEX('36-Month Forecast'!$C$162:$AL$162,1,J$4-'Assumptions'!$C$80)+INDEX('36-Month Forecast'!$C$159:$AL$159,1,J$4-'Assumptions'!$C$80)*'Unit Economics'!$H$49,0)</f>
        <v/>
      </c>
      <c r="K40" s="8">
        <f>IF(K$4-'Assumptions'!$C$80&gt;=1,INDEX('36-Month Forecast'!$C$162:$AL$162,1,K$4-'Assumptions'!$C$80)+INDEX('36-Month Forecast'!$C$159:$AL$159,1,K$4-'Assumptions'!$C$80)*'Unit Economics'!$H$49,0)</f>
        <v/>
      </c>
      <c r="L40" s="8">
        <f>IF(L$4-'Assumptions'!$C$80&gt;=1,INDEX('36-Month Forecast'!$C$162:$AL$162,1,L$4-'Assumptions'!$C$80)+INDEX('36-Month Forecast'!$C$159:$AL$159,1,L$4-'Assumptions'!$C$80)*'Unit Economics'!$H$49,0)</f>
        <v/>
      </c>
      <c r="M40" s="8">
        <f>IF(M$4-'Assumptions'!$C$80&gt;=1,INDEX('36-Month Forecast'!$C$162:$AL$162,1,M$4-'Assumptions'!$C$80)+INDEX('36-Month Forecast'!$C$159:$AL$159,1,M$4-'Assumptions'!$C$80)*'Unit Economics'!$H$49,0)</f>
        <v/>
      </c>
      <c r="N40" s="8">
        <f>IF(N$4-'Assumptions'!$C$80&gt;=1,INDEX('36-Month Forecast'!$C$162:$AL$162,1,N$4-'Assumptions'!$C$80)+INDEX('36-Month Forecast'!$C$159:$AL$159,1,N$4-'Assumptions'!$C$80)*'Unit Economics'!$H$49,0)</f>
        <v/>
      </c>
      <c r="O40" s="8">
        <f>IF(O$4-'Assumptions'!$C$80&gt;=1,INDEX('36-Month Forecast'!$C$162:$AL$162,1,O$4-'Assumptions'!$C$80)+INDEX('36-Month Forecast'!$C$159:$AL$159,1,O$4-'Assumptions'!$C$80)*'Unit Economics'!$H$49,0)</f>
        <v/>
      </c>
      <c r="P40" s="8">
        <f>IF(P$4-'Assumptions'!$C$80&gt;=1,INDEX('36-Month Forecast'!$C$162:$AL$162,1,P$4-'Assumptions'!$C$80)+INDEX('36-Month Forecast'!$C$159:$AL$159,1,P$4-'Assumptions'!$C$80)*'Unit Economics'!$H$49,0)</f>
        <v/>
      </c>
      <c r="Q40" s="8">
        <f>IF(Q$4-'Assumptions'!$C$80&gt;=1,INDEX('36-Month Forecast'!$C$162:$AL$162,1,Q$4-'Assumptions'!$C$80)+INDEX('36-Month Forecast'!$C$159:$AL$159,1,Q$4-'Assumptions'!$C$80)*'Unit Economics'!$H$49,0)</f>
        <v/>
      </c>
      <c r="R40" s="8">
        <f>IF(R$4-'Assumptions'!$C$80&gt;=1,INDEX('36-Month Forecast'!$C$162:$AL$162,1,R$4-'Assumptions'!$C$80)+INDEX('36-Month Forecast'!$C$159:$AL$159,1,R$4-'Assumptions'!$C$80)*'Unit Economics'!$H$49,0)</f>
        <v/>
      </c>
      <c r="S40" s="8">
        <f>IF(S$4-'Assumptions'!$C$80&gt;=1,INDEX('36-Month Forecast'!$C$162:$AL$162,1,S$4-'Assumptions'!$C$80)+INDEX('36-Month Forecast'!$C$159:$AL$159,1,S$4-'Assumptions'!$C$80)*'Unit Economics'!$H$49,0)</f>
        <v/>
      </c>
      <c r="T40" s="8">
        <f>IF(T$4-'Assumptions'!$C$80&gt;=1,INDEX('36-Month Forecast'!$C$162:$AL$162,1,T$4-'Assumptions'!$C$80)+INDEX('36-Month Forecast'!$C$159:$AL$159,1,T$4-'Assumptions'!$C$80)*'Unit Economics'!$H$49,0)</f>
        <v/>
      </c>
      <c r="U40" s="8">
        <f>IF(U$4-'Assumptions'!$C$80&gt;=1,INDEX('36-Month Forecast'!$C$162:$AL$162,1,U$4-'Assumptions'!$C$80)+INDEX('36-Month Forecast'!$C$159:$AL$159,1,U$4-'Assumptions'!$C$80)*'Unit Economics'!$H$49,0)</f>
        <v/>
      </c>
      <c r="V40" s="8">
        <f>IF(V$4-'Assumptions'!$C$80&gt;=1,INDEX('36-Month Forecast'!$C$162:$AL$162,1,V$4-'Assumptions'!$C$80)+INDEX('36-Month Forecast'!$C$159:$AL$159,1,V$4-'Assumptions'!$C$80)*'Unit Economics'!$H$49,0)</f>
        <v/>
      </c>
      <c r="W40" s="8">
        <f>IF(W$4-'Assumptions'!$C$80&gt;=1,INDEX('36-Month Forecast'!$C$162:$AL$162,1,W$4-'Assumptions'!$C$80)+INDEX('36-Month Forecast'!$C$159:$AL$159,1,W$4-'Assumptions'!$C$80)*'Unit Economics'!$H$49,0)</f>
        <v/>
      </c>
      <c r="X40" s="8">
        <f>IF(X$4-'Assumptions'!$C$80&gt;=1,INDEX('36-Month Forecast'!$C$162:$AL$162,1,X$4-'Assumptions'!$C$80)+INDEX('36-Month Forecast'!$C$159:$AL$159,1,X$4-'Assumptions'!$C$80)*'Unit Economics'!$H$49,0)</f>
        <v/>
      </c>
      <c r="Y40" s="8">
        <f>IF(Y$4-'Assumptions'!$C$80&gt;=1,INDEX('36-Month Forecast'!$C$162:$AL$162,1,Y$4-'Assumptions'!$C$80)+INDEX('36-Month Forecast'!$C$159:$AL$159,1,Y$4-'Assumptions'!$C$80)*'Unit Economics'!$H$49,0)</f>
        <v/>
      </c>
      <c r="Z40" s="8">
        <f>IF(Z$4-'Assumptions'!$C$80&gt;=1,INDEX('36-Month Forecast'!$C$162:$AL$162,1,Z$4-'Assumptions'!$C$80)+INDEX('36-Month Forecast'!$C$159:$AL$159,1,Z$4-'Assumptions'!$C$80)*'Unit Economics'!$H$49,0)</f>
        <v/>
      </c>
      <c r="AA40" s="8">
        <f>IF(AA$4-'Assumptions'!$C$80&gt;=1,INDEX('36-Month Forecast'!$C$162:$AL$162,1,AA$4-'Assumptions'!$C$80)+INDEX('36-Month Forecast'!$C$159:$AL$159,1,AA$4-'Assumptions'!$C$80)*'Unit Economics'!$H$49,0)</f>
        <v/>
      </c>
      <c r="AB40" s="8">
        <f>IF(AB$4-'Assumptions'!$C$80&gt;=1,INDEX('36-Month Forecast'!$C$162:$AL$162,1,AB$4-'Assumptions'!$C$80)+INDEX('36-Month Forecast'!$C$159:$AL$159,1,AB$4-'Assumptions'!$C$80)*'Unit Economics'!$H$49,0)</f>
        <v/>
      </c>
      <c r="AC40" s="8">
        <f>IF(AC$4-'Assumptions'!$C$80&gt;=1,INDEX('36-Month Forecast'!$C$162:$AL$162,1,AC$4-'Assumptions'!$C$80)+INDEX('36-Month Forecast'!$C$159:$AL$159,1,AC$4-'Assumptions'!$C$80)*'Unit Economics'!$H$49,0)</f>
        <v/>
      </c>
      <c r="AD40" s="8">
        <f>IF(AD$4-'Assumptions'!$C$80&gt;=1,INDEX('36-Month Forecast'!$C$162:$AL$162,1,AD$4-'Assumptions'!$C$80)+INDEX('36-Month Forecast'!$C$159:$AL$159,1,AD$4-'Assumptions'!$C$80)*'Unit Economics'!$H$49,0)</f>
        <v/>
      </c>
      <c r="AE40" s="8">
        <f>IF(AE$4-'Assumptions'!$C$80&gt;=1,INDEX('36-Month Forecast'!$C$162:$AL$162,1,AE$4-'Assumptions'!$C$80)+INDEX('36-Month Forecast'!$C$159:$AL$159,1,AE$4-'Assumptions'!$C$80)*'Unit Economics'!$H$49,0)</f>
        <v/>
      </c>
      <c r="AF40" s="8">
        <f>IF(AF$4-'Assumptions'!$C$80&gt;=1,INDEX('36-Month Forecast'!$C$162:$AL$162,1,AF$4-'Assumptions'!$C$80)+INDEX('36-Month Forecast'!$C$159:$AL$159,1,AF$4-'Assumptions'!$C$80)*'Unit Economics'!$H$49,0)</f>
        <v/>
      </c>
      <c r="AG40" s="8">
        <f>IF(AG$4-'Assumptions'!$C$80&gt;=1,INDEX('36-Month Forecast'!$C$162:$AL$162,1,AG$4-'Assumptions'!$C$80)+INDEX('36-Month Forecast'!$C$159:$AL$159,1,AG$4-'Assumptions'!$C$80)*'Unit Economics'!$H$49,0)</f>
        <v/>
      </c>
      <c r="AH40" s="8">
        <f>IF(AH$4-'Assumptions'!$C$80&gt;=1,INDEX('36-Month Forecast'!$C$162:$AL$162,1,AH$4-'Assumptions'!$C$80)+INDEX('36-Month Forecast'!$C$159:$AL$159,1,AH$4-'Assumptions'!$C$80)*'Unit Economics'!$H$49,0)</f>
        <v/>
      </c>
      <c r="AI40" s="8">
        <f>IF(AI$4-'Assumptions'!$C$80&gt;=1,INDEX('36-Month Forecast'!$C$162:$AL$162,1,AI$4-'Assumptions'!$C$80)+INDEX('36-Month Forecast'!$C$159:$AL$159,1,AI$4-'Assumptions'!$C$80)*'Unit Economics'!$H$49,0)</f>
        <v/>
      </c>
      <c r="AJ40" s="8">
        <f>IF(AJ$4-'Assumptions'!$C$80&gt;=1,INDEX('36-Month Forecast'!$C$162:$AL$162,1,AJ$4-'Assumptions'!$C$80)+INDEX('36-Month Forecast'!$C$159:$AL$159,1,AJ$4-'Assumptions'!$C$80)*'Unit Economics'!$H$49,0)</f>
        <v/>
      </c>
      <c r="AK40" s="8">
        <f>IF(AK$4-'Assumptions'!$C$80&gt;=1,INDEX('36-Month Forecast'!$C$162:$AL$162,1,AK$4-'Assumptions'!$C$80)+INDEX('36-Month Forecast'!$C$159:$AL$159,1,AK$4-'Assumptions'!$C$80)*'Unit Economics'!$H$49,0)</f>
        <v/>
      </c>
      <c r="AL40" s="8">
        <f>IF(AL$4-'Assumptions'!$C$80&gt;=1,INDEX('36-Month Forecast'!$C$162:$AL$162,1,AL$4-'Assumptions'!$C$80)+INDEX('36-Month Forecast'!$C$159:$AL$159,1,AL$4-'Assumptions'!$C$80)*'Unit Economics'!$H$49,0)</f>
        <v/>
      </c>
      <c r="AM40" s="47">
        <f>SUMIF($C$6:$AL$6,1,C40:AL40)</f>
        <v/>
      </c>
      <c r="AN40" s="47">
        <f>SUMIF($C$6:$AL$6,2,C40:AL40)</f>
        <v/>
      </c>
      <c r="AO40" s="47">
        <f>SUMIF($C$6:$AL$6,3,C40:AL40)</f>
        <v/>
      </c>
      <c r="AP40" s="47">
        <f>SUM(C40:AL40)</f>
        <v/>
      </c>
    </row>
    <row r="41">
      <c r="A41" s="7" t="inlineStr">
        <is>
          <t xml:space="preserve">   Payout: Etsy: printables</t>
        </is>
      </c>
      <c r="C41" s="8">
        <f>IF(C$4-'Assumptions'!$C$81&gt;=1,INDEX('36-Month Forecast'!$C$172:$AL$172,1,C$4-'Assumptions'!$C$81)+INDEX('36-Month Forecast'!$C$169:$AL$169,1,C$4-'Assumptions'!$C$81)*'Unit Economics'!$H$50,0)</f>
        <v/>
      </c>
      <c r="D41" s="8">
        <f>IF(D$4-'Assumptions'!$C$81&gt;=1,INDEX('36-Month Forecast'!$C$172:$AL$172,1,D$4-'Assumptions'!$C$81)+INDEX('36-Month Forecast'!$C$169:$AL$169,1,D$4-'Assumptions'!$C$81)*'Unit Economics'!$H$50,0)</f>
        <v/>
      </c>
      <c r="E41" s="8">
        <f>IF(E$4-'Assumptions'!$C$81&gt;=1,INDEX('36-Month Forecast'!$C$172:$AL$172,1,E$4-'Assumptions'!$C$81)+INDEX('36-Month Forecast'!$C$169:$AL$169,1,E$4-'Assumptions'!$C$81)*'Unit Economics'!$H$50,0)</f>
        <v/>
      </c>
      <c r="F41" s="8">
        <f>IF(F$4-'Assumptions'!$C$81&gt;=1,INDEX('36-Month Forecast'!$C$172:$AL$172,1,F$4-'Assumptions'!$C$81)+INDEX('36-Month Forecast'!$C$169:$AL$169,1,F$4-'Assumptions'!$C$81)*'Unit Economics'!$H$50,0)</f>
        <v/>
      </c>
      <c r="G41" s="8">
        <f>IF(G$4-'Assumptions'!$C$81&gt;=1,INDEX('36-Month Forecast'!$C$172:$AL$172,1,G$4-'Assumptions'!$C$81)+INDEX('36-Month Forecast'!$C$169:$AL$169,1,G$4-'Assumptions'!$C$81)*'Unit Economics'!$H$50,0)</f>
        <v/>
      </c>
      <c r="H41" s="8">
        <f>IF(H$4-'Assumptions'!$C$81&gt;=1,INDEX('36-Month Forecast'!$C$172:$AL$172,1,H$4-'Assumptions'!$C$81)+INDEX('36-Month Forecast'!$C$169:$AL$169,1,H$4-'Assumptions'!$C$81)*'Unit Economics'!$H$50,0)</f>
        <v/>
      </c>
      <c r="I41" s="8">
        <f>IF(I$4-'Assumptions'!$C$81&gt;=1,INDEX('36-Month Forecast'!$C$172:$AL$172,1,I$4-'Assumptions'!$C$81)+INDEX('36-Month Forecast'!$C$169:$AL$169,1,I$4-'Assumptions'!$C$81)*'Unit Economics'!$H$50,0)</f>
        <v/>
      </c>
      <c r="J41" s="8">
        <f>IF(J$4-'Assumptions'!$C$81&gt;=1,INDEX('36-Month Forecast'!$C$172:$AL$172,1,J$4-'Assumptions'!$C$81)+INDEX('36-Month Forecast'!$C$169:$AL$169,1,J$4-'Assumptions'!$C$81)*'Unit Economics'!$H$50,0)</f>
        <v/>
      </c>
      <c r="K41" s="8">
        <f>IF(K$4-'Assumptions'!$C$81&gt;=1,INDEX('36-Month Forecast'!$C$172:$AL$172,1,K$4-'Assumptions'!$C$81)+INDEX('36-Month Forecast'!$C$169:$AL$169,1,K$4-'Assumptions'!$C$81)*'Unit Economics'!$H$50,0)</f>
        <v/>
      </c>
      <c r="L41" s="8">
        <f>IF(L$4-'Assumptions'!$C$81&gt;=1,INDEX('36-Month Forecast'!$C$172:$AL$172,1,L$4-'Assumptions'!$C$81)+INDEX('36-Month Forecast'!$C$169:$AL$169,1,L$4-'Assumptions'!$C$81)*'Unit Economics'!$H$50,0)</f>
        <v/>
      </c>
      <c r="M41" s="8">
        <f>IF(M$4-'Assumptions'!$C$81&gt;=1,INDEX('36-Month Forecast'!$C$172:$AL$172,1,M$4-'Assumptions'!$C$81)+INDEX('36-Month Forecast'!$C$169:$AL$169,1,M$4-'Assumptions'!$C$81)*'Unit Economics'!$H$50,0)</f>
        <v/>
      </c>
      <c r="N41" s="8">
        <f>IF(N$4-'Assumptions'!$C$81&gt;=1,INDEX('36-Month Forecast'!$C$172:$AL$172,1,N$4-'Assumptions'!$C$81)+INDEX('36-Month Forecast'!$C$169:$AL$169,1,N$4-'Assumptions'!$C$81)*'Unit Economics'!$H$50,0)</f>
        <v/>
      </c>
      <c r="O41" s="8">
        <f>IF(O$4-'Assumptions'!$C$81&gt;=1,INDEX('36-Month Forecast'!$C$172:$AL$172,1,O$4-'Assumptions'!$C$81)+INDEX('36-Month Forecast'!$C$169:$AL$169,1,O$4-'Assumptions'!$C$81)*'Unit Economics'!$H$50,0)</f>
        <v/>
      </c>
      <c r="P41" s="8">
        <f>IF(P$4-'Assumptions'!$C$81&gt;=1,INDEX('36-Month Forecast'!$C$172:$AL$172,1,P$4-'Assumptions'!$C$81)+INDEX('36-Month Forecast'!$C$169:$AL$169,1,P$4-'Assumptions'!$C$81)*'Unit Economics'!$H$50,0)</f>
        <v/>
      </c>
      <c r="Q41" s="8">
        <f>IF(Q$4-'Assumptions'!$C$81&gt;=1,INDEX('36-Month Forecast'!$C$172:$AL$172,1,Q$4-'Assumptions'!$C$81)+INDEX('36-Month Forecast'!$C$169:$AL$169,1,Q$4-'Assumptions'!$C$81)*'Unit Economics'!$H$50,0)</f>
        <v/>
      </c>
      <c r="R41" s="8">
        <f>IF(R$4-'Assumptions'!$C$81&gt;=1,INDEX('36-Month Forecast'!$C$172:$AL$172,1,R$4-'Assumptions'!$C$81)+INDEX('36-Month Forecast'!$C$169:$AL$169,1,R$4-'Assumptions'!$C$81)*'Unit Economics'!$H$50,0)</f>
        <v/>
      </c>
      <c r="S41" s="8">
        <f>IF(S$4-'Assumptions'!$C$81&gt;=1,INDEX('36-Month Forecast'!$C$172:$AL$172,1,S$4-'Assumptions'!$C$81)+INDEX('36-Month Forecast'!$C$169:$AL$169,1,S$4-'Assumptions'!$C$81)*'Unit Economics'!$H$50,0)</f>
        <v/>
      </c>
      <c r="T41" s="8">
        <f>IF(T$4-'Assumptions'!$C$81&gt;=1,INDEX('36-Month Forecast'!$C$172:$AL$172,1,T$4-'Assumptions'!$C$81)+INDEX('36-Month Forecast'!$C$169:$AL$169,1,T$4-'Assumptions'!$C$81)*'Unit Economics'!$H$50,0)</f>
        <v/>
      </c>
      <c r="U41" s="8">
        <f>IF(U$4-'Assumptions'!$C$81&gt;=1,INDEX('36-Month Forecast'!$C$172:$AL$172,1,U$4-'Assumptions'!$C$81)+INDEX('36-Month Forecast'!$C$169:$AL$169,1,U$4-'Assumptions'!$C$81)*'Unit Economics'!$H$50,0)</f>
        <v/>
      </c>
      <c r="V41" s="8">
        <f>IF(V$4-'Assumptions'!$C$81&gt;=1,INDEX('36-Month Forecast'!$C$172:$AL$172,1,V$4-'Assumptions'!$C$81)+INDEX('36-Month Forecast'!$C$169:$AL$169,1,V$4-'Assumptions'!$C$81)*'Unit Economics'!$H$50,0)</f>
        <v/>
      </c>
      <c r="W41" s="8">
        <f>IF(W$4-'Assumptions'!$C$81&gt;=1,INDEX('36-Month Forecast'!$C$172:$AL$172,1,W$4-'Assumptions'!$C$81)+INDEX('36-Month Forecast'!$C$169:$AL$169,1,W$4-'Assumptions'!$C$81)*'Unit Economics'!$H$50,0)</f>
        <v/>
      </c>
      <c r="X41" s="8">
        <f>IF(X$4-'Assumptions'!$C$81&gt;=1,INDEX('36-Month Forecast'!$C$172:$AL$172,1,X$4-'Assumptions'!$C$81)+INDEX('36-Month Forecast'!$C$169:$AL$169,1,X$4-'Assumptions'!$C$81)*'Unit Economics'!$H$50,0)</f>
        <v/>
      </c>
      <c r="Y41" s="8">
        <f>IF(Y$4-'Assumptions'!$C$81&gt;=1,INDEX('36-Month Forecast'!$C$172:$AL$172,1,Y$4-'Assumptions'!$C$81)+INDEX('36-Month Forecast'!$C$169:$AL$169,1,Y$4-'Assumptions'!$C$81)*'Unit Economics'!$H$50,0)</f>
        <v/>
      </c>
      <c r="Z41" s="8">
        <f>IF(Z$4-'Assumptions'!$C$81&gt;=1,INDEX('36-Month Forecast'!$C$172:$AL$172,1,Z$4-'Assumptions'!$C$81)+INDEX('36-Month Forecast'!$C$169:$AL$169,1,Z$4-'Assumptions'!$C$81)*'Unit Economics'!$H$50,0)</f>
        <v/>
      </c>
      <c r="AA41" s="8">
        <f>IF(AA$4-'Assumptions'!$C$81&gt;=1,INDEX('36-Month Forecast'!$C$172:$AL$172,1,AA$4-'Assumptions'!$C$81)+INDEX('36-Month Forecast'!$C$169:$AL$169,1,AA$4-'Assumptions'!$C$81)*'Unit Economics'!$H$50,0)</f>
        <v/>
      </c>
      <c r="AB41" s="8">
        <f>IF(AB$4-'Assumptions'!$C$81&gt;=1,INDEX('36-Month Forecast'!$C$172:$AL$172,1,AB$4-'Assumptions'!$C$81)+INDEX('36-Month Forecast'!$C$169:$AL$169,1,AB$4-'Assumptions'!$C$81)*'Unit Economics'!$H$50,0)</f>
        <v/>
      </c>
      <c r="AC41" s="8">
        <f>IF(AC$4-'Assumptions'!$C$81&gt;=1,INDEX('36-Month Forecast'!$C$172:$AL$172,1,AC$4-'Assumptions'!$C$81)+INDEX('36-Month Forecast'!$C$169:$AL$169,1,AC$4-'Assumptions'!$C$81)*'Unit Economics'!$H$50,0)</f>
        <v/>
      </c>
      <c r="AD41" s="8">
        <f>IF(AD$4-'Assumptions'!$C$81&gt;=1,INDEX('36-Month Forecast'!$C$172:$AL$172,1,AD$4-'Assumptions'!$C$81)+INDEX('36-Month Forecast'!$C$169:$AL$169,1,AD$4-'Assumptions'!$C$81)*'Unit Economics'!$H$50,0)</f>
        <v/>
      </c>
      <c r="AE41" s="8">
        <f>IF(AE$4-'Assumptions'!$C$81&gt;=1,INDEX('36-Month Forecast'!$C$172:$AL$172,1,AE$4-'Assumptions'!$C$81)+INDEX('36-Month Forecast'!$C$169:$AL$169,1,AE$4-'Assumptions'!$C$81)*'Unit Economics'!$H$50,0)</f>
        <v/>
      </c>
      <c r="AF41" s="8">
        <f>IF(AF$4-'Assumptions'!$C$81&gt;=1,INDEX('36-Month Forecast'!$C$172:$AL$172,1,AF$4-'Assumptions'!$C$81)+INDEX('36-Month Forecast'!$C$169:$AL$169,1,AF$4-'Assumptions'!$C$81)*'Unit Economics'!$H$50,0)</f>
        <v/>
      </c>
      <c r="AG41" s="8">
        <f>IF(AG$4-'Assumptions'!$C$81&gt;=1,INDEX('36-Month Forecast'!$C$172:$AL$172,1,AG$4-'Assumptions'!$C$81)+INDEX('36-Month Forecast'!$C$169:$AL$169,1,AG$4-'Assumptions'!$C$81)*'Unit Economics'!$H$50,0)</f>
        <v/>
      </c>
      <c r="AH41" s="8">
        <f>IF(AH$4-'Assumptions'!$C$81&gt;=1,INDEX('36-Month Forecast'!$C$172:$AL$172,1,AH$4-'Assumptions'!$C$81)+INDEX('36-Month Forecast'!$C$169:$AL$169,1,AH$4-'Assumptions'!$C$81)*'Unit Economics'!$H$50,0)</f>
        <v/>
      </c>
      <c r="AI41" s="8">
        <f>IF(AI$4-'Assumptions'!$C$81&gt;=1,INDEX('36-Month Forecast'!$C$172:$AL$172,1,AI$4-'Assumptions'!$C$81)+INDEX('36-Month Forecast'!$C$169:$AL$169,1,AI$4-'Assumptions'!$C$81)*'Unit Economics'!$H$50,0)</f>
        <v/>
      </c>
      <c r="AJ41" s="8">
        <f>IF(AJ$4-'Assumptions'!$C$81&gt;=1,INDEX('36-Month Forecast'!$C$172:$AL$172,1,AJ$4-'Assumptions'!$C$81)+INDEX('36-Month Forecast'!$C$169:$AL$169,1,AJ$4-'Assumptions'!$C$81)*'Unit Economics'!$H$50,0)</f>
        <v/>
      </c>
      <c r="AK41" s="8">
        <f>IF(AK$4-'Assumptions'!$C$81&gt;=1,INDEX('36-Month Forecast'!$C$172:$AL$172,1,AK$4-'Assumptions'!$C$81)+INDEX('36-Month Forecast'!$C$169:$AL$169,1,AK$4-'Assumptions'!$C$81)*'Unit Economics'!$H$50,0)</f>
        <v/>
      </c>
      <c r="AL41" s="8">
        <f>IF(AL$4-'Assumptions'!$C$81&gt;=1,INDEX('36-Month Forecast'!$C$172:$AL$172,1,AL$4-'Assumptions'!$C$81)+INDEX('36-Month Forecast'!$C$169:$AL$169,1,AL$4-'Assumptions'!$C$81)*'Unit Economics'!$H$50,0)</f>
        <v/>
      </c>
      <c r="AM41" s="47">
        <f>SUMIF($C$6:$AL$6,1,C41:AL41)</f>
        <v/>
      </c>
      <c r="AN41" s="47">
        <f>SUMIF($C$6:$AL$6,2,C41:AL41)</f>
        <v/>
      </c>
      <c r="AO41" s="47">
        <f>SUMIF($C$6:$AL$6,3,C41:AL41)</f>
        <v/>
      </c>
      <c r="AP41" s="47">
        <f>SUM(C41:AL41)</f>
        <v/>
      </c>
    </row>
    <row r="42">
      <c r="A42" s="7" t="inlineStr">
        <is>
          <t xml:space="preserve">   Payout: Amazon KDP: paperbacks</t>
        </is>
      </c>
      <c r="C42" s="8">
        <f>IF(C$4-'Assumptions'!$C$82&gt;=1,INDEX('36-Month Forecast'!$C$182:$AL$182,1,C$4-'Assumptions'!$C$82)+INDEX('36-Month Forecast'!$C$179:$AL$179,1,C$4-'Assumptions'!$C$82)*'Unit Economics'!$H$51,0)</f>
        <v/>
      </c>
      <c r="D42" s="8">
        <f>IF(D$4-'Assumptions'!$C$82&gt;=1,INDEX('36-Month Forecast'!$C$182:$AL$182,1,D$4-'Assumptions'!$C$82)+INDEX('36-Month Forecast'!$C$179:$AL$179,1,D$4-'Assumptions'!$C$82)*'Unit Economics'!$H$51,0)</f>
        <v/>
      </c>
      <c r="E42" s="8">
        <f>IF(E$4-'Assumptions'!$C$82&gt;=1,INDEX('36-Month Forecast'!$C$182:$AL$182,1,E$4-'Assumptions'!$C$82)+INDEX('36-Month Forecast'!$C$179:$AL$179,1,E$4-'Assumptions'!$C$82)*'Unit Economics'!$H$51,0)</f>
        <v/>
      </c>
      <c r="F42" s="8">
        <f>IF(F$4-'Assumptions'!$C$82&gt;=1,INDEX('36-Month Forecast'!$C$182:$AL$182,1,F$4-'Assumptions'!$C$82)+INDEX('36-Month Forecast'!$C$179:$AL$179,1,F$4-'Assumptions'!$C$82)*'Unit Economics'!$H$51,0)</f>
        <v/>
      </c>
      <c r="G42" s="8">
        <f>IF(G$4-'Assumptions'!$C$82&gt;=1,INDEX('36-Month Forecast'!$C$182:$AL$182,1,G$4-'Assumptions'!$C$82)+INDEX('36-Month Forecast'!$C$179:$AL$179,1,G$4-'Assumptions'!$C$82)*'Unit Economics'!$H$51,0)</f>
        <v/>
      </c>
      <c r="H42" s="8">
        <f>IF(H$4-'Assumptions'!$C$82&gt;=1,INDEX('36-Month Forecast'!$C$182:$AL$182,1,H$4-'Assumptions'!$C$82)+INDEX('36-Month Forecast'!$C$179:$AL$179,1,H$4-'Assumptions'!$C$82)*'Unit Economics'!$H$51,0)</f>
        <v/>
      </c>
      <c r="I42" s="8">
        <f>IF(I$4-'Assumptions'!$C$82&gt;=1,INDEX('36-Month Forecast'!$C$182:$AL$182,1,I$4-'Assumptions'!$C$82)+INDEX('36-Month Forecast'!$C$179:$AL$179,1,I$4-'Assumptions'!$C$82)*'Unit Economics'!$H$51,0)</f>
        <v/>
      </c>
      <c r="J42" s="8">
        <f>IF(J$4-'Assumptions'!$C$82&gt;=1,INDEX('36-Month Forecast'!$C$182:$AL$182,1,J$4-'Assumptions'!$C$82)+INDEX('36-Month Forecast'!$C$179:$AL$179,1,J$4-'Assumptions'!$C$82)*'Unit Economics'!$H$51,0)</f>
        <v/>
      </c>
      <c r="K42" s="8">
        <f>IF(K$4-'Assumptions'!$C$82&gt;=1,INDEX('36-Month Forecast'!$C$182:$AL$182,1,K$4-'Assumptions'!$C$82)+INDEX('36-Month Forecast'!$C$179:$AL$179,1,K$4-'Assumptions'!$C$82)*'Unit Economics'!$H$51,0)</f>
        <v/>
      </c>
      <c r="L42" s="8">
        <f>IF(L$4-'Assumptions'!$C$82&gt;=1,INDEX('36-Month Forecast'!$C$182:$AL$182,1,L$4-'Assumptions'!$C$82)+INDEX('36-Month Forecast'!$C$179:$AL$179,1,L$4-'Assumptions'!$C$82)*'Unit Economics'!$H$51,0)</f>
        <v/>
      </c>
      <c r="M42" s="8">
        <f>IF(M$4-'Assumptions'!$C$82&gt;=1,INDEX('36-Month Forecast'!$C$182:$AL$182,1,M$4-'Assumptions'!$C$82)+INDEX('36-Month Forecast'!$C$179:$AL$179,1,M$4-'Assumptions'!$C$82)*'Unit Economics'!$H$51,0)</f>
        <v/>
      </c>
      <c r="N42" s="8">
        <f>IF(N$4-'Assumptions'!$C$82&gt;=1,INDEX('36-Month Forecast'!$C$182:$AL$182,1,N$4-'Assumptions'!$C$82)+INDEX('36-Month Forecast'!$C$179:$AL$179,1,N$4-'Assumptions'!$C$82)*'Unit Economics'!$H$51,0)</f>
        <v/>
      </c>
      <c r="O42" s="8">
        <f>IF(O$4-'Assumptions'!$C$82&gt;=1,INDEX('36-Month Forecast'!$C$182:$AL$182,1,O$4-'Assumptions'!$C$82)+INDEX('36-Month Forecast'!$C$179:$AL$179,1,O$4-'Assumptions'!$C$82)*'Unit Economics'!$H$51,0)</f>
        <v/>
      </c>
      <c r="P42" s="8">
        <f>IF(P$4-'Assumptions'!$C$82&gt;=1,INDEX('36-Month Forecast'!$C$182:$AL$182,1,P$4-'Assumptions'!$C$82)+INDEX('36-Month Forecast'!$C$179:$AL$179,1,P$4-'Assumptions'!$C$82)*'Unit Economics'!$H$51,0)</f>
        <v/>
      </c>
      <c r="Q42" s="8">
        <f>IF(Q$4-'Assumptions'!$C$82&gt;=1,INDEX('36-Month Forecast'!$C$182:$AL$182,1,Q$4-'Assumptions'!$C$82)+INDEX('36-Month Forecast'!$C$179:$AL$179,1,Q$4-'Assumptions'!$C$82)*'Unit Economics'!$H$51,0)</f>
        <v/>
      </c>
      <c r="R42" s="8">
        <f>IF(R$4-'Assumptions'!$C$82&gt;=1,INDEX('36-Month Forecast'!$C$182:$AL$182,1,R$4-'Assumptions'!$C$82)+INDEX('36-Month Forecast'!$C$179:$AL$179,1,R$4-'Assumptions'!$C$82)*'Unit Economics'!$H$51,0)</f>
        <v/>
      </c>
      <c r="S42" s="8">
        <f>IF(S$4-'Assumptions'!$C$82&gt;=1,INDEX('36-Month Forecast'!$C$182:$AL$182,1,S$4-'Assumptions'!$C$82)+INDEX('36-Month Forecast'!$C$179:$AL$179,1,S$4-'Assumptions'!$C$82)*'Unit Economics'!$H$51,0)</f>
        <v/>
      </c>
      <c r="T42" s="8">
        <f>IF(T$4-'Assumptions'!$C$82&gt;=1,INDEX('36-Month Forecast'!$C$182:$AL$182,1,T$4-'Assumptions'!$C$82)+INDEX('36-Month Forecast'!$C$179:$AL$179,1,T$4-'Assumptions'!$C$82)*'Unit Economics'!$H$51,0)</f>
        <v/>
      </c>
      <c r="U42" s="8">
        <f>IF(U$4-'Assumptions'!$C$82&gt;=1,INDEX('36-Month Forecast'!$C$182:$AL$182,1,U$4-'Assumptions'!$C$82)+INDEX('36-Month Forecast'!$C$179:$AL$179,1,U$4-'Assumptions'!$C$82)*'Unit Economics'!$H$51,0)</f>
        <v/>
      </c>
      <c r="V42" s="8">
        <f>IF(V$4-'Assumptions'!$C$82&gt;=1,INDEX('36-Month Forecast'!$C$182:$AL$182,1,V$4-'Assumptions'!$C$82)+INDEX('36-Month Forecast'!$C$179:$AL$179,1,V$4-'Assumptions'!$C$82)*'Unit Economics'!$H$51,0)</f>
        <v/>
      </c>
      <c r="W42" s="8">
        <f>IF(W$4-'Assumptions'!$C$82&gt;=1,INDEX('36-Month Forecast'!$C$182:$AL$182,1,W$4-'Assumptions'!$C$82)+INDEX('36-Month Forecast'!$C$179:$AL$179,1,W$4-'Assumptions'!$C$82)*'Unit Economics'!$H$51,0)</f>
        <v/>
      </c>
      <c r="X42" s="8">
        <f>IF(X$4-'Assumptions'!$C$82&gt;=1,INDEX('36-Month Forecast'!$C$182:$AL$182,1,X$4-'Assumptions'!$C$82)+INDEX('36-Month Forecast'!$C$179:$AL$179,1,X$4-'Assumptions'!$C$82)*'Unit Economics'!$H$51,0)</f>
        <v/>
      </c>
      <c r="Y42" s="8">
        <f>IF(Y$4-'Assumptions'!$C$82&gt;=1,INDEX('36-Month Forecast'!$C$182:$AL$182,1,Y$4-'Assumptions'!$C$82)+INDEX('36-Month Forecast'!$C$179:$AL$179,1,Y$4-'Assumptions'!$C$82)*'Unit Economics'!$H$51,0)</f>
        <v/>
      </c>
      <c r="Z42" s="8">
        <f>IF(Z$4-'Assumptions'!$C$82&gt;=1,INDEX('36-Month Forecast'!$C$182:$AL$182,1,Z$4-'Assumptions'!$C$82)+INDEX('36-Month Forecast'!$C$179:$AL$179,1,Z$4-'Assumptions'!$C$82)*'Unit Economics'!$H$51,0)</f>
        <v/>
      </c>
      <c r="AA42" s="8">
        <f>IF(AA$4-'Assumptions'!$C$82&gt;=1,INDEX('36-Month Forecast'!$C$182:$AL$182,1,AA$4-'Assumptions'!$C$82)+INDEX('36-Month Forecast'!$C$179:$AL$179,1,AA$4-'Assumptions'!$C$82)*'Unit Economics'!$H$51,0)</f>
        <v/>
      </c>
      <c r="AB42" s="8">
        <f>IF(AB$4-'Assumptions'!$C$82&gt;=1,INDEX('36-Month Forecast'!$C$182:$AL$182,1,AB$4-'Assumptions'!$C$82)+INDEX('36-Month Forecast'!$C$179:$AL$179,1,AB$4-'Assumptions'!$C$82)*'Unit Economics'!$H$51,0)</f>
        <v/>
      </c>
      <c r="AC42" s="8">
        <f>IF(AC$4-'Assumptions'!$C$82&gt;=1,INDEX('36-Month Forecast'!$C$182:$AL$182,1,AC$4-'Assumptions'!$C$82)+INDEX('36-Month Forecast'!$C$179:$AL$179,1,AC$4-'Assumptions'!$C$82)*'Unit Economics'!$H$51,0)</f>
        <v/>
      </c>
      <c r="AD42" s="8">
        <f>IF(AD$4-'Assumptions'!$C$82&gt;=1,INDEX('36-Month Forecast'!$C$182:$AL$182,1,AD$4-'Assumptions'!$C$82)+INDEX('36-Month Forecast'!$C$179:$AL$179,1,AD$4-'Assumptions'!$C$82)*'Unit Economics'!$H$51,0)</f>
        <v/>
      </c>
      <c r="AE42" s="8">
        <f>IF(AE$4-'Assumptions'!$C$82&gt;=1,INDEX('36-Month Forecast'!$C$182:$AL$182,1,AE$4-'Assumptions'!$C$82)+INDEX('36-Month Forecast'!$C$179:$AL$179,1,AE$4-'Assumptions'!$C$82)*'Unit Economics'!$H$51,0)</f>
        <v/>
      </c>
      <c r="AF42" s="8">
        <f>IF(AF$4-'Assumptions'!$C$82&gt;=1,INDEX('36-Month Forecast'!$C$182:$AL$182,1,AF$4-'Assumptions'!$C$82)+INDEX('36-Month Forecast'!$C$179:$AL$179,1,AF$4-'Assumptions'!$C$82)*'Unit Economics'!$H$51,0)</f>
        <v/>
      </c>
      <c r="AG42" s="8">
        <f>IF(AG$4-'Assumptions'!$C$82&gt;=1,INDEX('36-Month Forecast'!$C$182:$AL$182,1,AG$4-'Assumptions'!$C$82)+INDEX('36-Month Forecast'!$C$179:$AL$179,1,AG$4-'Assumptions'!$C$82)*'Unit Economics'!$H$51,0)</f>
        <v/>
      </c>
      <c r="AH42" s="8">
        <f>IF(AH$4-'Assumptions'!$C$82&gt;=1,INDEX('36-Month Forecast'!$C$182:$AL$182,1,AH$4-'Assumptions'!$C$82)+INDEX('36-Month Forecast'!$C$179:$AL$179,1,AH$4-'Assumptions'!$C$82)*'Unit Economics'!$H$51,0)</f>
        <v/>
      </c>
      <c r="AI42" s="8">
        <f>IF(AI$4-'Assumptions'!$C$82&gt;=1,INDEX('36-Month Forecast'!$C$182:$AL$182,1,AI$4-'Assumptions'!$C$82)+INDEX('36-Month Forecast'!$C$179:$AL$179,1,AI$4-'Assumptions'!$C$82)*'Unit Economics'!$H$51,0)</f>
        <v/>
      </c>
      <c r="AJ42" s="8">
        <f>IF(AJ$4-'Assumptions'!$C$82&gt;=1,INDEX('36-Month Forecast'!$C$182:$AL$182,1,AJ$4-'Assumptions'!$C$82)+INDEX('36-Month Forecast'!$C$179:$AL$179,1,AJ$4-'Assumptions'!$C$82)*'Unit Economics'!$H$51,0)</f>
        <v/>
      </c>
      <c r="AK42" s="8">
        <f>IF(AK$4-'Assumptions'!$C$82&gt;=1,INDEX('36-Month Forecast'!$C$182:$AL$182,1,AK$4-'Assumptions'!$C$82)+INDEX('36-Month Forecast'!$C$179:$AL$179,1,AK$4-'Assumptions'!$C$82)*'Unit Economics'!$H$51,0)</f>
        <v/>
      </c>
      <c r="AL42" s="8">
        <f>IF(AL$4-'Assumptions'!$C$82&gt;=1,INDEX('36-Month Forecast'!$C$182:$AL$182,1,AL$4-'Assumptions'!$C$82)+INDEX('36-Month Forecast'!$C$179:$AL$179,1,AL$4-'Assumptions'!$C$82)*'Unit Economics'!$H$51,0)</f>
        <v/>
      </c>
      <c r="AM42" s="47">
        <f>SUMIF($C$6:$AL$6,1,C42:AL42)</f>
        <v/>
      </c>
      <c r="AN42" s="47">
        <f>SUMIF($C$6:$AL$6,2,C42:AL42)</f>
        <v/>
      </c>
      <c r="AO42" s="47">
        <f>SUMIF($C$6:$AL$6,3,C42:AL42)</f>
        <v/>
      </c>
      <c r="AP42" s="47">
        <f>SUM(C42:AL42)</f>
        <v/>
      </c>
    </row>
    <row r="43">
      <c r="A43" s="7" t="inlineStr">
        <is>
          <t xml:space="preserve">   Payout: IngramSpark: paperbacks to bookstores and libraries</t>
        </is>
      </c>
      <c r="C43" s="8">
        <f>IF(C$4-'Assumptions'!$C$83&gt;=1,INDEX('36-Month Forecast'!$C$192:$AL$192,1,C$4-'Assumptions'!$C$83)+INDEX('36-Month Forecast'!$C$189:$AL$189,1,C$4-'Assumptions'!$C$83)*'Unit Economics'!$H$52,0)</f>
        <v/>
      </c>
      <c r="D43" s="8">
        <f>IF(D$4-'Assumptions'!$C$83&gt;=1,INDEX('36-Month Forecast'!$C$192:$AL$192,1,D$4-'Assumptions'!$C$83)+INDEX('36-Month Forecast'!$C$189:$AL$189,1,D$4-'Assumptions'!$C$83)*'Unit Economics'!$H$52,0)</f>
        <v/>
      </c>
      <c r="E43" s="8">
        <f>IF(E$4-'Assumptions'!$C$83&gt;=1,INDEX('36-Month Forecast'!$C$192:$AL$192,1,E$4-'Assumptions'!$C$83)+INDEX('36-Month Forecast'!$C$189:$AL$189,1,E$4-'Assumptions'!$C$83)*'Unit Economics'!$H$52,0)</f>
        <v/>
      </c>
      <c r="F43" s="8">
        <f>IF(F$4-'Assumptions'!$C$83&gt;=1,INDEX('36-Month Forecast'!$C$192:$AL$192,1,F$4-'Assumptions'!$C$83)+INDEX('36-Month Forecast'!$C$189:$AL$189,1,F$4-'Assumptions'!$C$83)*'Unit Economics'!$H$52,0)</f>
        <v/>
      </c>
      <c r="G43" s="8">
        <f>IF(G$4-'Assumptions'!$C$83&gt;=1,INDEX('36-Month Forecast'!$C$192:$AL$192,1,G$4-'Assumptions'!$C$83)+INDEX('36-Month Forecast'!$C$189:$AL$189,1,G$4-'Assumptions'!$C$83)*'Unit Economics'!$H$52,0)</f>
        <v/>
      </c>
      <c r="H43" s="8">
        <f>IF(H$4-'Assumptions'!$C$83&gt;=1,INDEX('36-Month Forecast'!$C$192:$AL$192,1,H$4-'Assumptions'!$C$83)+INDEX('36-Month Forecast'!$C$189:$AL$189,1,H$4-'Assumptions'!$C$83)*'Unit Economics'!$H$52,0)</f>
        <v/>
      </c>
      <c r="I43" s="8">
        <f>IF(I$4-'Assumptions'!$C$83&gt;=1,INDEX('36-Month Forecast'!$C$192:$AL$192,1,I$4-'Assumptions'!$C$83)+INDEX('36-Month Forecast'!$C$189:$AL$189,1,I$4-'Assumptions'!$C$83)*'Unit Economics'!$H$52,0)</f>
        <v/>
      </c>
      <c r="J43" s="8">
        <f>IF(J$4-'Assumptions'!$C$83&gt;=1,INDEX('36-Month Forecast'!$C$192:$AL$192,1,J$4-'Assumptions'!$C$83)+INDEX('36-Month Forecast'!$C$189:$AL$189,1,J$4-'Assumptions'!$C$83)*'Unit Economics'!$H$52,0)</f>
        <v/>
      </c>
      <c r="K43" s="8">
        <f>IF(K$4-'Assumptions'!$C$83&gt;=1,INDEX('36-Month Forecast'!$C$192:$AL$192,1,K$4-'Assumptions'!$C$83)+INDEX('36-Month Forecast'!$C$189:$AL$189,1,K$4-'Assumptions'!$C$83)*'Unit Economics'!$H$52,0)</f>
        <v/>
      </c>
      <c r="L43" s="8">
        <f>IF(L$4-'Assumptions'!$C$83&gt;=1,INDEX('36-Month Forecast'!$C$192:$AL$192,1,L$4-'Assumptions'!$C$83)+INDEX('36-Month Forecast'!$C$189:$AL$189,1,L$4-'Assumptions'!$C$83)*'Unit Economics'!$H$52,0)</f>
        <v/>
      </c>
      <c r="M43" s="8">
        <f>IF(M$4-'Assumptions'!$C$83&gt;=1,INDEX('36-Month Forecast'!$C$192:$AL$192,1,M$4-'Assumptions'!$C$83)+INDEX('36-Month Forecast'!$C$189:$AL$189,1,M$4-'Assumptions'!$C$83)*'Unit Economics'!$H$52,0)</f>
        <v/>
      </c>
      <c r="N43" s="8">
        <f>IF(N$4-'Assumptions'!$C$83&gt;=1,INDEX('36-Month Forecast'!$C$192:$AL$192,1,N$4-'Assumptions'!$C$83)+INDEX('36-Month Forecast'!$C$189:$AL$189,1,N$4-'Assumptions'!$C$83)*'Unit Economics'!$H$52,0)</f>
        <v/>
      </c>
      <c r="O43" s="8">
        <f>IF(O$4-'Assumptions'!$C$83&gt;=1,INDEX('36-Month Forecast'!$C$192:$AL$192,1,O$4-'Assumptions'!$C$83)+INDEX('36-Month Forecast'!$C$189:$AL$189,1,O$4-'Assumptions'!$C$83)*'Unit Economics'!$H$52,0)</f>
        <v/>
      </c>
      <c r="P43" s="8">
        <f>IF(P$4-'Assumptions'!$C$83&gt;=1,INDEX('36-Month Forecast'!$C$192:$AL$192,1,P$4-'Assumptions'!$C$83)+INDEX('36-Month Forecast'!$C$189:$AL$189,1,P$4-'Assumptions'!$C$83)*'Unit Economics'!$H$52,0)</f>
        <v/>
      </c>
      <c r="Q43" s="8">
        <f>IF(Q$4-'Assumptions'!$C$83&gt;=1,INDEX('36-Month Forecast'!$C$192:$AL$192,1,Q$4-'Assumptions'!$C$83)+INDEX('36-Month Forecast'!$C$189:$AL$189,1,Q$4-'Assumptions'!$C$83)*'Unit Economics'!$H$52,0)</f>
        <v/>
      </c>
      <c r="R43" s="8">
        <f>IF(R$4-'Assumptions'!$C$83&gt;=1,INDEX('36-Month Forecast'!$C$192:$AL$192,1,R$4-'Assumptions'!$C$83)+INDEX('36-Month Forecast'!$C$189:$AL$189,1,R$4-'Assumptions'!$C$83)*'Unit Economics'!$H$52,0)</f>
        <v/>
      </c>
      <c r="S43" s="8">
        <f>IF(S$4-'Assumptions'!$C$83&gt;=1,INDEX('36-Month Forecast'!$C$192:$AL$192,1,S$4-'Assumptions'!$C$83)+INDEX('36-Month Forecast'!$C$189:$AL$189,1,S$4-'Assumptions'!$C$83)*'Unit Economics'!$H$52,0)</f>
        <v/>
      </c>
      <c r="T43" s="8">
        <f>IF(T$4-'Assumptions'!$C$83&gt;=1,INDEX('36-Month Forecast'!$C$192:$AL$192,1,T$4-'Assumptions'!$C$83)+INDEX('36-Month Forecast'!$C$189:$AL$189,1,T$4-'Assumptions'!$C$83)*'Unit Economics'!$H$52,0)</f>
        <v/>
      </c>
      <c r="U43" s="8">
        <f>IF(U$4-'Assumptions'!$C$83&gt;=1,INDEX('36-Month Forecast'!$C$192:$AL$192,1,U$4-'Assumptions'!$C$83)+INDEX('36-Month Forecast'!$C$189:$AL$189,1,U$4-'Assumptions'!$C$83)*'Unit Economics'!$H$52,0)</f>
        <v/>
      </c>
      <c r="V43" s="8">
        <f>IF(V$4-'Assumptions'!$C$83&gt;=1,INDEX('36-Month Forecast'!$C$192:$AL$192,1,V$4-'Assumptions'!$C$83)+INDEX('36-Month Forecast'!$C$189:$AL$189,1,V$4-'Assumptions'!$C$83)*'Unit Economics'!$H$52,0)</f>
        <v/>
      </c>
      <c r="W43" s="8">
        <f>IF(W$4-'Assumptions'!$C$83&gt;=1,INDEX('36-Month Forecast'!$C$192:$AL$192,1,W$4-'Assumptions'!$C$83)+INDEX('36-Month Forecast'!$C$189:$AL$189,1,W$4-'Assumptions'!$C$83)*'Unit Economics'!$H$52,0)</f>
        <v/>
      </c>
      <c r="X43" s="8">
        <f>IF(X$4-'Assumptions'!$C$83&gt;=1,INDEX('36-Month Forecast'!$C$192:$AL$192,1,X$4-'Assumptions'!$C$83)+INDEX('36-Month Forecast'!$C$189:$AL$189,1,X$4-'Assumptions'!$C$83)*'Unit Economics'!$H$52,0)</f>
        <v/>
      </c>
      <c r="Y43" s="8">
        <f>IF(Y$4-'Assumptions'!$C$83&gt;=1,INDEX('36-Month Forecast'!$C$192:$AL$192,1,Y$4-'Assumptions'!$C$83)+INDEX('36-Month Forecast'!$C$189:$AL$189,1,Y$4-'Assumptions'!$C$83)*'Unit Economics'!$H$52,0)</f>
        <v/>
      </c>
      <c r="Z43" s="8">
        <f>IF(Z$4-'Assumptions'!$C$83&gt;=1,INDEX('36-Month Forecast'!$C$192:$AL$192,1,Z$4-'Assumptions'!$C$83)+INDEX('36-Month Forecast'!$C$189:$AL$189,1,Z$4-'Assumptions'!$C$83)*'Unit Economics'!$H$52,0)</f>
        <v/>
      </c>
      <c r="AA43" s="8">
        <f>IF(AA$4-'Assumptions'!$C$83&gt;=1,INDEX('36-Month Forecast'!$C$192:$AL$192,1,AA$4-'Assumptions'!$C$83)+INDEX('36-Month Forecast'!$C$189:$AL$189,1,AA$4-'Assumptions'!$C$83)*'Unit Economics'!$H$52,0)</f>
        <v/>
      </c>
      <c r="AB43" s="8">
        <f>IF(AB$4-'Assumptions'!$C$83&gt;=1,INDEX('36-Month Forecast'!$C$192:$AL$192,1,AB$4-'Assumptions'!$C$83)+INDEX('36-Month Forecast'!$C$189:$AL$189,1,AB$4-'Assumptions'!$C$83)*'Unit Economics'!$H$52,0)</f>
        <v/>
      </c>
      <c r="AC43" s="8">
        <f>IF(AC$4-'Assumptions'!$C$83&gt;=1,INDEX('36-Month Forecast'!$C$192:$AL$192,1,AC$4-'Assumptions'!$C$83)+INDEX('36-Month Forecast'!$C$189:$AL$189,1,AC$4-'Assumptions'!$C$83)*'Unit Economics'!$H$52,0)</f>
        <v/>
      </c>
      <c r="AD43" s="8">
        <f>IF(AD$4-'Assumptions'!$C$83&gt;=1,INDEX('36-Month Forecast'!$C$192:$AL$192,1,AD$4-'Assumptions'!$C$83)+INDEX('36-Month Forecast'!$C$189:$AL$189,1,AD$4-'Assumptions'!$C$83)*'Unit Economics'!$H$52,0)</f>
        <v/>
      </c>
      <c r="AE43" s="8">
        <f>IF(AE$4-'Assumptions'!$C$83&gt;=1,INDEX('36-Month Forecast'!$C$192:$AL$192,1,AE$4-'Assumptions'!$C$83)+INDEX('36-Month Forecast'!$C$189:$AL$189,1,AE$4-'Assumptions'!$C$83)*'Unit Economics'!$H$52,0)</f>
        <v/>
      </c>
      <c r="AF43" s="8">
        <f>IF(AF$4-'Assumptions'!$C$83&gt;=1,INDEX('36-Month Forecast'!$C$192:$AL$192,1,AF$4-'Assumptions'!$C$83)+INDEX('36-Month Forecast'!$C$189:$AL$189,1,AF$4-'Assumptions'!$C$83)*'Unit Economics'!$H$52,0)</f>
        <v/>
      </c>
      <c r="AG43" s="8">
        <f>IF(AG$4-'Assumptions'!$C$83&gt;=1,INDEX('36-Month Forecast'!$C$192:$AL$192,1,AG$4-'Assumptions'!$C$83)+INDEX('36-Month Forecast'!$C$189:$AL$189,1,AG$4-'Assumptions'!$C$83)*'Unit Economics'!$H$52,0)</f>
        <v/>
      </c>
      <c r="AH43" s="8">
        <f>IF(AH$4-'Assumptions'!$C$83&gt;=1,INDEX('36-Month Forecast'!$C$192:$AL$192,1,AH$4-'Assumptions'!$C$83)+INDEX('36-Month Forecast'!$C$189:$AL$189,1,AH$4-'Assumptions'!$C$83)*'Unit Economics'!$H$52,0)</f>
        <v/>
      </c>
      <c r="AI43" s="8">
        <f>IF(AI$4-'Assumptions'!$C$83&gt;=1,INDEX('36-Month Forecast'!$C$192:$AL$192,1,AI$4-'Assumptions'!$C$83)+INDEX('36-Month Forecast'!$C$189:$AL$189,1,AI$4-'Assumptions'!$C$83)*'Unit Economics'!$H$52,0)</f>
        <v/>
      </c>
      <c r="AJ43" s="8">
        <f>IF(AJ$4-'Assumptions'!$C$83&gt;=1,INDEX('36-Month Forecast'!$C$192:$AL$192,1,AJ$4-'Assumptions'!$C$83)+INDEX('36-Month Forecast'!$C$189:$AL$189,1,AJ$4-'Assumptions'!$C$83)*'Unit Economics'!$H$52,0)</f>
        <v/>
      </c>
      <c r="AK43" s="8">
        <f>IF(AK$4-'Assumptions'!$C$83&gt;=1,INDEX('36-Month Forecast'!$C$192:$AL$192,1,AK$4-'Assumptions'!$C$83)+INDEX('36-Month Forecast'!$C$189:$AL$189,1,AK$4-'Assumptions'!$C$83)*'Unit Economics'!$H$52,0)</f>
        <v/>
      </c>
      <c r="AL43" s="8">
        <f>IF(AL$4-'Assumptions'!$C$83&gt;=1,INDEX('36-Month Forecast'!$C$192:$AL$192,1,AL$4-'Assumptions'!$C$83)+INDEX('36-Month Forecast'!$C$189:$AL$189,1,AL$4-'Assumptions'!$C$83)*'Unit Economics'!$H$52,0)</f>
        <v/>
      </c>
      <c r="AM43" s="47">
        <f>SUMIF($C$6:$AL$6,1,C43:AL43)</f>
        <v/>
      </c>
      <c r="AN43" s="47">
        <f>SUMIF($C$6:$AL$6,2,C43:AL43)</f>
        <v/>
      </c>
      <c r="AO43" s="47">
        <f>SUMIF($C$6:$AL$6,3,C43:AL43)</f>
        <v/>
      </c>
      <c r="AP43" s="47">
        <f>SUM(C43:AL43)</f>
        <v/>
      </c>
    </row>
    <row r="44">
      <c r="A44" s="7" t="inlineStr">
        <is>
          <t xml:space="preserve">   Payout: International digital via merchant of record (Gumroad)</t>
        </is>
      </c>
      <c r="C44" s="8">
        <f>IF(C$4-'Assumptions'!$C$84&gt;=1,INDEX('36-Month Forecast'!$C$202:$AL$202,1,C$4-'Assumptions'!$C$84)+INDEX('36-Month Forecast'!$C$199:$AL$199,1,C$4-'Assumptions'!$C$84)*'Unit Economics'!$H$53,0)</f>
        <v/>
      </c>
      <c r="D44" s="8">
        <f>IF(D$4-'Assumptions'!$C$84&gt;=1,INDEX('36-Month Forecast'!$C$202:$AL$202,1,D$4-'Assumptions'!$C$84)+INDEX('36-Month Forecast'!$C$199:$AL$199,1,D$4-'Assumptions'!$C$84)*'Unit Economics'!$H$53,0)</f>
        <v/>
      </c>
      <c r="E44" s="8">
        <f>IF(E$4-'Assumptions'!$C$84&gt;=1,INDEX('36-Month Forecast'!$C$202:$AL$202,1,E$4-'Assumptions'!$C$84)+INDEX('36-Month Forecast'!$C$199:$AL$199,1,E$4-'Assumptions'!$C$84)*'Unit Economics'!$H$53,0)</f>
        <v/>
      </c>
      <c r="F44" s="8">
        <f>IF(F$4-'Assumptions'!$C$84&gt;=1,INDEX('36-Month Forecast'!$C$202:$AL$202,1,F$4-'Assumptions'!$C$84)+INDEX('36-Month Forecast'!$C$199:$AL$199,1,F$4-'Assumptions'!$C$84)*'Unit Economics'!$H$53,0)</f>
        <v/>
      </c>
      <c r="G44" s="8">
        <f>IF(G$4-'Assumptions'!$C$84&gt;=1,INDEX('36-Month Forecast'!$C$202:$AL$202,1,G$4-'Assumptions'!$C$84)+INDEX('36-Month Forecast'!$C$199:$AL$199,1,G$4-'Assumptions'!$C$84)*'Unit Economics'!$H$53,0)</f>
        <v/>
      </c>
      <c r="H44" s="8">
        <f>IF(H$4-'Assumptions'!$C$84&gt;=1,INDEX('36-Month Forecast'!$C$202:$AL$202,1,H$4-'Assumptions'!$C$84)+INDEX('36-Month Forecast'!$C$199:$AL$199,1,H$4-'Assumptions'!$C$84)*'Unit Economics'!$H$53,0)</f>
        <v/>
      </c>
      <c r="I44" s="8">
        <f>IF(I$4-'Assumptions'!$C$84&gt;=1,INDEX('36-Month Forecast'!$C$202:$AL$202,1,I$4-'Assumptions'!$C$84)+INDEX('36-Month Forecast'!$C$199:$AL$199,1,I$4-'Assumptions'!$C$84)*'Unit Economics'!$H$53,0)</f>
        <v/>
      </c>
      <c r="J44" s="8">
        <f>IF(J$4-'Assumptions'!$C$84&gt;=1,INDEX('36-Month Forecast'!$C$202:$AL$202,1,J$4-'Assumptions'!$C$84)+INDEX('36-Month Forecast'!$C$199:$AL$199,1,J$4-'Assumptions'!$C$84)*'Unit Economics'!$H$53,0)</f>
        <v/>
      </c>
      <c r="K44" s="8">
        <f>IF(K$4-'Assumptions'!$C$84&gt;=1,INDEX('36-Month Forecast'!$C$202:$AL$202,1,K$4-'Assumptions'!$C$84)+INDEX('36-Month Forecast'!$C$199:$AL$199,1,K$4-'Assumptions'!$C$84)*'Unit Economics'!$H$53,0)</f>
        <v/>
      </c>
      <c r="L44" s="8">
        <f>IF(L$4-'Assumptions'!$C$84&gt;=1,INDEX('36-Month Forecast'!$C$202:$AL$202,1,L$4-'Assumptions'!$C$84)+INDEX('36-Month Forecast'!$C$199:$AL$199,1,L$4-'Assumptions'!$C$84)*'Unit Economics'!$H$53,0)</f>
        <v/>
      </c>
      <c r="M44" s="8">
        <f>IF(M$4-'Assumptions'!$C$84&gt;=1,INDEX('36-Month Forecast'!$C$202:$AL$202,1,M$4-'Assumptions'!$C$84)+INDEX('36-Month Forecast'!$C$199:$AL$199,1,M$4-'Assumptions'!$C$84)*'Unit Economics'!$H$53,0)</f>
        <v/>
      </c>
      <c r="N44" s="8">
        <f>IF(N$4-'Assumptions'!$C$84&gt;=1,INDEX('36-Month Forecast'!$C$202:$AL$202,1,N$4-'Assumptions'!$C$84)+INDEX('36-Month Forecast'!$C$199:$AL$199,1,N$4-'Assumptions'!$C$84)*'Unit Economics'!$H$53,0)</f>
        <v/>
      </c>
      <c r="O44" s="8">
        <f>IF(O$4-'Assumptions'!$C$84&gt;=1,INDEX('36-Month Forecast'!$C$202:$AL$202,1,O$4-'Assumptions'!$C$84)+INDEX('36-Month Forecast'!$C$199:$AL$199,1,O$4-'Assumptions'!$C$84)*'Unit Economics'!$H$53,0)</f>
        <v/>
      </c>
      <c r="P44" s="8">
        <f>IF(P$4-'Assumptions'!$C$84&gt;=1,INDEX('36-Month Forecast'!$C$202:$AL$202,1,P$4-'Assumptions'!$C$84)+INDEX('36-Month Forecast'!$C$199:$AL$199,1,P$4-'Assumptions'!$C$84)*'Unit Economics'!$H$53,0)</f>
        <v/>
      </c>
      <c r="Q44" s="8">
        <f>IF(Q$4-'Assumptions'!$C$84&gt;=1,INDEX('36-Month Forecast'!$C$202:$AL$202,1,Q$4-'Assumptions'!$C$84)+INDEX('36-Month Forecast'!$C$199:$AL$199,1,Q$4-'Assumptions'!$C$84)*'Unit Economics'!$H$53,0)</f>
        <v/>
      </c>
      <c r="R44" s="8">
        <f>IF(R$4-'Assumptions'!$C$84&gt;=1,INDEX('36-Month Forecast'!$C$202:$AL$202,1,R$4-'Assumptions'!$C$84)+INDEX('36-Month Forecast'!$C$199:$AL$199,1,R$4-'Assumptions'!$C$84)*'Unit Economics'!$H$53,0)</f>
        <v/>
      </c>
      <c r="S44" s="8">
        <f>IF(S$4-'Assumptions'!$C$84&gt;=1,INDEX('36-Month Forecast'!$C$202:$AL$202,1,S$4-'Assumptions'!$C$84)+INDEX('36-Month Forecast'!$C$199:$AL$199,1,S$4-'Assumptions'!$C$84)*'Unit Economics'!$H$53,0)</f>
        <v/>
      </c>
      <c r="T44" s="8">
        <f>IF(T$4-'Assumptions'!$C$84&gt;=1,INDEX('36-Month Forecast'!$C$202:$AL$202,1,T$4-'Assumptions'!$C$84)+INDEX('36-Month Forecast'!$C$199:$AL$199,1,T$4-'Assumptions'!$C$84)*'Unit Economics'!$H$53,0)</f>
        <v/>
      </c>
      <c r="U44" s="8">
        <f>IF(U$4-'Assumptions'!$C$84&gt;=1,INDEX('36-Month Forecast'!$C$202:$AL$202,1,U$4-'Assumptions'!$C$84)+INDEX('36-Month Forecast'!$C$199:$AL$199,1,U$4-'Assumptions'!$C$84)*'Unit Economics'!$H$53,0)</f>
        <v/>
      </c>
      <c r="V44" s="8">
        <f>IF(V$4-'Assumptions'!$C$84&gt;=1,INDEX('36-Month Forecast'!$C$202:$AL$202,1,V$4-'Assumptions'!$C$84)+INDEX('36-Month Forecast'!$C$199:$AL$199,1,V$4-'Assumptions'!$C$84)*'Unit Economics'!$H$53,0)</f>
        <v/>
      </c>
      <c r="W44" s="8">
        <f>IF(W$4-'Assumptions'!$C$84&gt;=1,INDEX('36-Month Forecast'!$C$202:$AL$202,1,W$4-'Assumptions'!$C$84)+INDEX('36-Month Forecast'!$C$199:$AL$199,1,W$4-'Assumptions'!$C$84)*'Unit Economics'!$H$53,0)</f>
        <v/>
      </c>
      <c r="X44" s="8">
        <f>IF(X$4-'Assumptions'!$C$84&gt;=1,INDEX('36-Month Forecast'!$C$202:$AL$202,1,X$4-'Assumptions'!$C$84)+INDEX('36-Month Forecast'!$C$199:$AL$199,1,X$4-'Assumptions'!$C$84)*'Unit Economics'!$H$53,0)</f>
        <v/>
      </c>
      <c r="Y44" s="8">
        <f>IF(Y$4-'Assumptions'!$C$84&gt;=1,INDEX('36-Month Forecast'!$C$202:$AL$202,1,Y$4-'Assumptions'!$C$84)+INDEX('36-Month Forecast'!$C$199:$AL$199,1,Y$4-'Assumptions'!$C$84)*'Unit Economics'!$H$53,0)</f>
        <v/>
      </c>
      <c r="Z44" s="8">
        <f>IF(Z$4-'Assumptions'!$C$84&gt;=1,INDEX('36-Month Forecast'!$C$202:$AL$202,1,Z$4-'Assumptions'!$C$84)+INDEX('36-Month Forecast'!$C$199:$AL$199,1,Z$4-'Assumptions'!$C$84)*'Unit Economics'!$H$53,0)</f>
        <v/>
      </c>
      <c r="AA44" s="8">
        <f>IF(AA$4-'Assumptions'!$C$84&gt;=1,INDEX('36-Month Forecast'!$C$202:$AL$202,1,AA$4-'Assumptions'!$C$84)+INDEX('36-Month Forecast'!$C$199:$AL$199,1,AA$4-'Assumptions'!$C$84)*'Unit Economics'!$H$53,0)</f>
        <v/>
      </c>
      <c r="AB44" s="8">
        <f>IF(AB$4-'Assumptions'!$C$84&gt;=1,INDEX('36-Month Forecast'!$C$202:$AL$202,1,AB$4-'Assumptions'!$C$84)+INDEX('36-Month Forecast'!$C$199:$AL$199,1,AB$4-'Assumptions'!$C$84)*'Unit Economics'!$H$53,0)</f>
        <v/>
      </c>
      <c r="AC44" s="8">
        <f>IF(AC$4-'Assumptions'!$C$84&gt;=1,INDEX('36-Month Forecast'!$C$202:$AL$202,1,AC$4-'Assumptions'!$C$84)+INDEX('36-Month Forecast'!$C$199:$AL$199,1,AC$4-'Assumptions'!$C$84)*'Unit Economics'!$H$53,0)</f>
        <v/>
      </c>
      <c r="AD44" s="8">
        <f>IF(AD$4-'Assumptions'!$C$84&gt;=1,INDEX('36-Month Forecast'!$C$202:$AL$202,1,AD$4-'Assumptions'!$C$84)+INDEX('36-Month Forecast'!$C$199:$AL$199,1,AD$4-'Assumptions'!$C$84)*'Unit Economics'!$H$53,0)</f>
        <v/>
      </c>
      <c r="AE44" s="8">
        <f>IF(AE$4-'Assumptions'!$C$84&gt;=1,INDEX('36-Month Forecast'!$C$202:$AL$202,1,AE$4-'Assumptions'!$C$84)+INDEX('36-Month Forecast'!$C$199:$AL$199,1,AE$4-'Assumptions'!$C$84)*'Unit Economics'!$H$53,0)</f>
        <v/>
      </c>
      <c r="AF44" s="8">
        <f>IF(AF$4-'Assumptions'!$C$84&gt;=1,INDEX('36-Month Forecast'!$C$202:$AL$202,1,AF$4-'Assumptions'!$C$84)+INDEX('36-Month Forecast'!$C$199:$AL$199,1,AF$4-'Assumptions'!$C$84)*'Unit Economics'!$H$53,0)</f>
        <v/>
      </c>
      <c r="AG44" s="8">
        <f>IF(AG$4-'Assumptions'!$C$84&gt;=1,INDEX('36-Month Forecast'!$C$202:$AL$202,1,AG$4-'Assumptions'!$C$84)+INDEX('36-Month Forecast'!$C$199:$AL$199,1,AG$4-'Assumptions'!$C$84)*'Unit Economics'!$H$53,0)</f>
        <v/>
      </c>
      <c r="AH44" s="8">
        <f>IF(AH$4-'Assumptions'!$C$84&gt;=1,INDEX('36-Month Forecast'!$C$202:$AL$202,1,AH$4-'Assumptions'!$C$84)+INDEX('36-Month Forecast'!$C$199:$AL$199,1,AH$4-'Assumptions'!$C$84)*'Unit Economics'!$H$53,0)</f>
        <v/>
      </c>
      <c r="AI44" s="8">
        <f>IF(AI$4-'Assumptions'!$C$84&gt;=1,INDEX('36-Month Forecast'!$C$202:$AL$202,1,AI$4-'Assumptions'!$C$84)+INDEX('36-Month Forecast'!$C$199:$AL$199,1,AI$4-'Assumptions'!$C$84)*'Unit Economics'!$H$53,0)</f>
        <v/>
      </c>
      <c r="AJ44" s="8">
        <f>IF(AJ$4-'Assumptions'!$C$84&gt;=1,INDEX('36-Month Forecast'!$C$202:$AL$202,1,AJ$4-'Assumptions'!$C$84)+INDEX('36-Month Forecast'!$C$199:$AL$199,1,AJ$4-'Assumptions'!$C$84)*'Unit Economics'!$H$53,0)</f>
        <v/>
      </c>
      <c r="AK44" s="8">
        <f>IF(AK$4-'Assumptions'!$C$84&gt;=1,INDEX('36-Month Forecast'!$C$202:$AL$202,1,AK$4-'Assumptions'!$C$84)+INDEX('36-Month Forecast'!$C$199:$AL$199,1,AK$4-'Assumptions'!$C$84)*'Unit Economics'!$H$53,0)</f>
        <v/>
      </c>
      <c r="AL44" s="8">
        <f>IF(AL$4-'Assumptions'!$C$84&gt;=1,INDEX('36-Month Forecast'!$C$202:$AL$202,1,AL$4-'Assumptions'!$C$84)+INDEX('36-Month Forecast'!$C$199:$AL$199,1,AL$4-'Assumptions'!$C$84)*'Unit Economics'!$H$53,0)</f>
        <v/>
      </c>
      <c r="AM44" s="47">
        <f>SUMIF($C$6:$AL$6,1,C44:AL44)</f>
        <v/>
      </c>
      <c r="AN44" s="47">
        <f>SUMIF($C$6:$AL$6,2,C44:AL44)</f>
        <v/>
      </c>
      <c r="AO44" s="47">
        <f>SUMIF($C$6:$AL$6,3,C44:AL44)</f>
        <v/>
      </c>
      <c r="AP44" s="47">
        <f>SUM(C44:AL44)</f>
        <v/>
      </c>
    </row>
    <row r="45">
      <c r="A45" s="7" t="inlineStr">
        <is>
          <t xml:space="preserve">   Payout: 30-Day Screen Reset written course (Wave 2)</t>
        </is>
      </c>
      <c r="C45" s="8">
        <f>IF(C$4-'Assumptions'!$C$85&gt;=1,INDEX('36-Month Forecast'!$C$212:$AL$212,1,C$4-'Assumptions'!$C$85)+INDEX('36-Month Forecast'!$C$209:$AL$209,1,C$4-'Assumptions'!$C$85)*'Unit Economics'!$H$54,0)</f>
        <v/>
      </c>
      <c r="D45" s="8">
        <f>IF(D$4-'Assumptions'!$C$85&gt;=1,INDEX('36-Month Forecast'!$C$212:$AL$212,1,D$4-'Assumptions'!$C$85)+INDEX('36-Month Forecast'!$C$209:$AL$209,1,D$4-'Assumptions'!$C$85)*'Unit Economics'!$H$54,0)</f>
        <v/>
      </c>
      <c r="E45" s="8">
        <f>IF(E$4-'Assumptions'!$C$85&gt;=1,INDEX('36-Month Forecast'!$C$212:$AL$212,1,E$4-'Assumptions'!$C$85)+INDEX('36-Month Forecast'!$C$209:$AL$209,1,E$4-'Assumptions'!$C$85)*'Unit Economics'!$H$54,0)</f>
        <v/>
      </c>
      <c r="F45" s="8">
        <f>IF(F$4-'Assumptions'!$C$85&gt;=1,INDEX('36-Month Forecast'!$C$212:$AL$212,1,F$4-'Assumptions'!$C$85)+INDEX('36-Month Forecast'!$C$209:$AL$209,1,F$4-'Assumptions'!$C$85)*'Unit Economics'!$H$54,0)</f>
        <v/>
      </c>
      <c r="G45" s="8">
        <f>IF(G$4-'Assumptions'!$C$85&gt;=1,INDEX('36-Month Forecast'!$C$212:$AL$212,1,G$4-'Assumptions'!$C$85)+INDEX('36-Month Forecast'!$C$209:$AL$209,1,G$4-'Assumptions'!$C$85)*'Unit Economics'!$H$54,0)</f>
        <v/>
      </c>
      <c r="H45" s="8">
        <f>IF(H$4-'Assumptions'!$C$85&gt;=1,INDEX('36-Month Forecast'!$C$212:$AL$212,1,H$4-'Assumptions'!$C$85)+INDEX('36-Month Forecast'!$C$209:$AL$209,1,H$4-'Assumptions'!$C$85)*'Unit Economics'!$H$54,0)</f>
        <v/>
      </c>
      <c r="I45" s="8">
        <f>IF(I$4-'Assumptions'!$C$85&gt;=1,INDEX('36-Month Forecast'!$C$212:$AL$212,1,I$4-'Assumptions'!$C$85)+INDEX('36-Month Forecast'!$C$209:$AL$209,1,I$4-'Assumptions'!$C$85)*'Unit Economics'!$H$54,0)</f>
        <v/>
      </c>
      <c r="J45" s="8">
        <f>IF(J$4-'Assumptions'!$C$85&gt;=1,INDEX('36-Month Forecast'!$C$212:$AL$212,1,J$4-'Assumptions'!$C$85)+INDEX('36-Month Forecast'!$C$209:$AL$209,1,J$4-'Assumptions'!$C$85)*'Unit Economics'!$H$54,0)</f>
        <v/>
      </c>
      <c r="K45" s="8">
        <f>IF(K$4-'Assumptions'!$C$85&gt;=1,INDEX('36-Month Forecast'!$C$212:$AL$212,1,K$4-'Assumptions'!$C$85)+INDEX('36-Month Forecast'!$C$209:$AL$209,1,K$4-'Assumptions'!$C$85)*'Unit Economics'!$H$54,0)</f>
        <v/>
      </c>
      <c r="L45" s="8">
        <f>IF(L$4-'Assumptions'!$C$85&gt;=1,INDEX('36-Month Forecast'!$C$212:$AL$212,1,L$4-'Assumptions'!$C$85)+INDEX('36-Month Forecast'!$C$209:$AL$209,1,L$4-'Assumptions'!$C$85)*'Unit Economics'!$H$54,0)</f>
        <v/>
      </c>
      <c r="M45" s="8">
        <f>IF(M$4-'Assumptions'!$C$85&gt;=1,INDEX('36-Month Forecast'!$C$212:$AL$212,1,M$4-'Assumptions'!$C$85)+INDEX('36-Month Forecast'!$C$209:$AL$209,1,M$4-'Assumptions'!$C$85)*'Unit Economics'!$H$54,0)</f>
        <v/>
      </c>
      <c r="N45" s="8">
        <f>IF(N$4-'Assumptions'!$C$85&gt;=1,INDEX('36-Month Forecast'!$C$212:$AL$212,1,N$4-'Assumptions'!$C$85)+INDEX('36-Month Forecast'!$C$209:$AL$209,1,N$4-'Assumptions'!$C$85)*'Unit Economics'!$H$54,0)</f>
        <v/>
      </c>
      <c r="O45" s="8">
        <f>IF(O$4-'Assumptions'!$C$85&gt;=1,INDEX('36-Month Forecast'!$C$212:$AL$212,1,O$4-'Assumptions'!$C$85)+INDEX('36-Month Forecast'!$C$209:$AL$209,1,O$4-'Assumptions'!$C$85)*'Unit Economics'!$H$54,0)</f>
        <v/>
      </c>
      <c r="P45" s="8">
        <f>IF(P$4-'Assumptions'!$C$85&gt;=1,INDEX('36-Month Forecast'!$C$212:$AL$212,1,P$4-'Assumptions'!$C$85)+INDEX('36-Month Forecast'!$C$209:$AL$209,1,P$4-'Assumptions'!$C$85)*'Unit Economics'!$H$54,0)</f>
        <v/>
      </c>
      <c r="Q45" s="8">
        <f>IF(Q$4-'Assumptions'!$C$85&gt;=1,INDEX('36-Month Forecast'!$C$212:$AL$212,1,Q$4-'Assumptions'!$C$85)+INDEX('36-Month Forecast'!$C$209:$AL$209,1,Q$4-'Assumptions'!$C$85)*'Unit Economics'!$H$54,0)</f>
        <v/>
      </c>
      <c r="R45" s="8">
        <f>IF(R$4-'Assumptions'!$C$85&gt;=1,INDEX('36-Month Forecast'!$C$212:$AL$212,1,R$4-'Assumptions'!$C$85)+INDEX('36-Month Forecast'!$C$209:$AL$209,1,R$4-'Assumptions'!$C$85)*'Unit Economics'!$H$54,0)</f>
        <v/>
      </c>
      <c r="S45" s="8">
        <f>IF(S$4-'Assumptions'!$C$85&gt;=1,INDEX('36-Month Forecast'!$C$212:$AL$212,1,S$4-'Assumptions'!$C$85)+INDEX('36-Month Forecast'!$C$209:$AL$209,1,S$4-'Assumptions'!$C$85)*'Unit Economics'!$H$54,0)</f>
        <v/>
      </c>
      <c r="T45" s="8">
        <f>IF(T$4-'Assumptions'!$C$85&gt;=1,INDEX('36-Month Forecast'!$C$212:$AL$212,1,T$4-'Assumptions'!$C$85)+INDEX('36-Month Forecast'!$C$209:$AL$209,1,T$4-'Assumptions'!$C$85)*'Unit Economics'!$H$54,0)</f>
        <v/>
      </c>
      <c r="U45" s="8">
        <f>IF(U$4-'Assumptions'!$C$85&gt;=1,INDEX('36-Month Forecast'!$C$212:$AL$212,1,U$4-'Assumptions'!$C$85)+INDEX('36-Month Forecast'!$C$209:$AL$209,1,U$4-'Assumptions'!$C$85)*'Unit Economics'!$H$54,0)</f>
        <v/>
      </c>
      <c r="V45" s="8">
        <f>IF(V$4-'Assumptions'!$C$85&gt;=1,INDEX('36-Month Forecast'!$C$212:$AL$212,1,V$4-'Assumptions'!$C$85)+INDEX('36-Month Forecast'!$C$209:$AL$209,1,V$4-'Assumptions'!$C$85)*'Unit Economics'!$H$54,0)</f>
        <v/>
      </c>
      <c r="W45" s="8">
        <f>IF(W$4-'Assumptions'!$C$85&gt;=1,INDEX('36-Month Forecast'!$C$212:$AL$212,1,W$4-'Assumptions'!$C$85)+INDEX('36-Month Forecast'!$C$209:$AL$209,1,W$4-'Assumptions'!$C$85)*'Unit Economics'!$H$54,0)</f>
        <v/>
      </c>
      <c r="X45" s="8">
        <f>IF(X$4-'Assumptions'!$C$85&gt;=1,INDEX('36-Month Forecast'!$C$212:$AL$212,1,X$4-'Assumptions'!$C$85)+INDEX('36-Month Forecast'!$C$209:$AL$209,1,X$4-'Assumptions'!$C$85)*'Unit Economics'!$H$54,0)</f>
        <v/>
      </c>
      <c r="Y45" s="8">
        <f>IF(Y$4-'Assumptions'!$C$85&gt;=1,INDEX('36-Month Forecast'!$C$212:$AL$212,1,Y$4-'Assumptions'!$C$85)+INDEX('36-Month Forecast'!$C$209:$AL$209,1,Y$4-'Assumptions'!$C$85)*'Unit Economics'!$H$54,0)</f>
        <v/>
      </c>
      <c r="Z45" s="8">
        <f>IF(Z$4-'Assumptions'!$C$85&gt;=1,INDEX('36-Month Forecast'!$C$212:$AL$212,1,Z$4-'Assumptions'!$C$85)+INDEX('36-Month Forecast'!$C$209:$AL$209,1,Z$4-'Assumptions'!$C$85)*'Unit Economics'!$H$54,0)</f>
        <v/>
      </c>
      <c r="AA45" s="8">
        <f>IF(AA$4-'Assumptions'!$C$85&gt;=1,INDEX('36-Month Forecast'!$C$212:$AL$212,1,AA$4-'Assumptions'!$C$85)+INDEX('36-Month Forecast'!$C$209:$AL$209,1,AA$4-'Assumptions'!$C$85)*'Unit Economics'!$H$54,0)</f>
        <v/>
      </c>
      <c r="AB45" s="8">
        <f>IF(AB$4-'Assumptions'!$C$85&gt;=1,INDEX('36-Month Forecast'!$C$212:$AL$212,1,AB$4-'Assumptions'!$C$85)+INDEX('36-Month Forecast'!$C$209:$AL$209,1,AB$4-'Assumptions'!$C$85)*'Unit Economics'!$H$54,0)</f>
        <v/>
      </c>
      <c r="AC45" s="8">
        <f>IF(AC$4-'Assumptions'!$C$85&gt;=1,INDEX('36-Month Forecast'!$C$212:$AL$212,1,AC$4-'Assumptions'!$C$85)+INDEX('36-Month Forecast'!$C$209:$AL$209,1,AC$4-'Assumptions'!$C$85)*'Unit Economics'!$H$54,0)</f>
        <v/>
      </c>
      <c r="AD45" s="8">
        <f>IF(AD$4-'Assumptions'!$C$85&gt;=1,INDEX('36-Month Forecast'!$C$212:$AL$212,1,AD$4-'Assumptions'!$C$85)+INDEX('36-Month Forecast'!$C$209:$AL$209,1,AD$4-'Assumptions'!$C$85)*'Unit Economics'!$H$54,0)</f>
        <v/>
      </c>
      <c r="AE45" s="8">
        <f>IF(AE$4-'Assumptions'!$C$85&gt;=1,INDEX('36-Month Forecast'!$C$212:$AL$212,1,AE$4-'Assumptions'!$C$85)+INDEX('36-Month Forecast'!$C$209:$AL$209,1,AE$4-'Assumptions'!$C$85)*'Unit Economics'!$H$54,0)</f>
        <v/>
      </c>
      <c r="AF45" s="8">
        <f>IF(AF$4-'Assumptions'!$C$85&gt;=1,INDEX('36-Month Forecast'!$C$212:$AL$212,1,AF$4-'Assumptions'!$C$85)+INDEX('36-Month Forecast'!$C$209:$AL$209,1,AF$4-'Assumptions'!$C$85)*'Unit Economics'!$H$54,0)</f>
        <v/>
      </c>
      <c r="AG45" s="8">
        <f>IF(AG$4-'Assumptions'!$C$85&gt;=1,INDEX('36-Month Forecast'!$C$212:$AL$212,1,AG$4-'Assumptions'!$C$85)+INDEX('36-Month Forecast'!$C$209:$AL$209,1,AG$4-'Assumptions'!$C$85)*'Unit Economics'!$H$54,0)</f>
        <v/>
      </c>
      <c r="AH45" s="8">
        <f>IF(AH$4-'Assumptions'!$C$85&gt;=1,INDEX('36-Month Forecast'!$C$212:$AL$212,1,AH$4-'Assumptions'!$C$85)+INDEX('36-Month Forecast'!$C$209:$AL$209,1,AH$4-'Assumptions'!$C$85)*'Unit Economics'!$H$54,0)</f>
        <v/>
      </c>
      <c r="AI45" s="8">
        <f>IF(AI$4-'Assumptions'!$C$85&gt;=1,INDEX('36-Month Forecast'!$C$212:$AL$212,1,AI$4-'Assumptions'!$C$85)+INDEX('36-Month Forecast'!$C$209:$AL$209,1,AI$4-'Assumptions'!$C$85)*'Unit Economics'!$H$54,0)</f>
        <v/>
      </c>
      <c r="AJ45" s="8">
        <f>IF(AJ$4-'Assumptions'!$C$85&gt;=1,INDEX('36-Month Forecast'!$C$212:$AL$212,1,AJ$4-'Assumptions'!$C$85)+INDEX('36-Month Forecast'!$C$209:$AL$209,1,AJ$4-'Assumptions'!$C$85)*'Unit Economics'!$H$54,0)</f>
        <v/>
      </c>
      <c r="AK45" s="8">
        <f>IF(AK$4-'Assumptions'!$C$85&gt;=1,INDEX('36-Month Forecast'!$C$212:$AL$212,1,AK$4-'Assumptions'!$C$85)+INDEX('36-Month Forecast'!$C$209:$AL$209,1,AK$4-'Assumptions'!$C$85)*'Unit Economics'!$H$54,0)</f>
        <v/>
      </c>
      <c r="AL45" s="8">
        <f>IF(AL$4-'Assumptions'!$C$85&gt;=1,INDEX('36-Month Forecast'!$C$212:$AL$212,1,AL$4-'Assumptions'!$C$85)+INDEX('36-Month Forecast'!$C$209:$AL$209,1,AL$4-'Assumptions'!$C$85)*'Unit Economics'!$H$54,0)</f>
        <v/>
      </c>
      <c r="AM45" s="47">
        <f>SUMIF($C$6:$AL$6,1,C45:AL45)</f>
        <v/>
      </c>
      <c r="AN45" s="47">
        <f>SUMIF($C$6:$AL$6,2,C45:AL45)</f>
        <v/>
      </c>
      <c r="AO45" s="47">
        <f>SUMIF($C$6:$AL$6,3,C45:AL45)</f>
        <v/>
      </c>
      <c r="AP45" s="47">
        <f>SUM(C45:AL45)</f>
        <v/>
      </c>
    </row>
    <row r="46">
      <c r="A46" s="7" t="inlineStr">
        <is>
          <t xml:space="preserve">   Payout: Board book: pre-sale, then 3PL and Amazon FBA (gated option; off in base)</t>
        </is>
      </c>
      <c r="C46" s="8">
        <f>IF(C$4-'Assumptions'!$C$86&gt;=1,INDEX('36-Month Forecast'!$C$222:$AL$222,1,C$4-'Assumptions'!$C$86)+INDEX('36-Month Forecast'!$C$219:$AL$219,1,C$4-'Assumptions'!$C$86)*'Unit Economics'!$H$55,0)</f>
        <v/>
      </c>
      <c r="D46" s="8">
        <f>IF(D$4-'Assumptions'!$C$86&gt;=1,INDEX('36-Month Forecast'!$C$222:$AL$222,1,D$4-'Assumptions'!$C$86)+INDEX('36-Month Forecast'!$C$219:$AL$219,1,D$4-'Assumptions'!$C$86)*'Unit Economics'!$H$55,0)</f>
        <v/>
      </c>
      <c r="E46" s="8">
        <f>IF(E$4-'Assumptions'!$C$86&gt;=1,INDEX('36-Month Forecast'!$C$222:$AL$222,1,E$4-'Assumptions'!$C$86)+INDEX('36-Month Forecast'!$C$219:$AL$219,1,E$4-'Assumptions'!$C$86)*'Unit Economics'!$H$55,0)</f>
        <v/>
      </c>
      <c r="F46" s="8">
        <f>IF(F$4-'Assumptions'!$C$86&gt;=1,INDEX('36-Month Forecast'!$C$222:$AL$222,1,F$4-'Assumptions'!$C$86)+INDEX('36-Month Forecast'!$C$219:$AL$219,1,F$4-'Assumptions'!$C$86)*'Unit Economics'!$H$55,0)</f>
        <v/>
      </c>
      <c r="G46" s="8">
        <f>IF(G$4-'Assumptions'!$C$86&gt;=1,INDEX('36-Month Forecast'!$C$222:$AL$222,1,G$4-'Assumptions'!$C$86)+INDEX('36-Month Forecast'!$C$219:$AL$219,1,G$4-'Assumptions'!$C$86)*'Unit Economics'!$H$55,0)</f>
        <v/>
      </c>
      <c r="H46" s="8">
        <f>IF(H$4-'Assumptions'!$C$86&gt;=1,INDEX('36-Month Forecast'!$C$222:$AL$222,1,H$4-'Assumptions'!$C$86)+INDEX('36-Month Forecast'!$C$219:$AL$219,1,H$4-'Assumptions'!$C$86)*'Unit Economics'!$H$55,0)</f>
        <v/>
      </c>
      <c r="I46" s="8">
        <f>IF(I$4-'Assumptions'!$C$86&gt;=1,INDEX('36-Month Forecast'!$C$222:$AL$222,1,I$4-'Assumptions'!$C$86)+INDEX('36-Month Forecast'!$C$219:$AL$219,1,I$4-'Assumptions'!$C$86)*'Unit Economics'!$H$55,0)</f>
        <v/>
      </c>
      <c r="J46" s="8">
        <f>IF(J$4-'Assumptions'!$C$86&gt;=1,INDEX('36-Month Forecast'!$C$222:$AL$222,1,J$4-'Assumptions'!$C$86)+INDEX('36-Month Forecast'!$C$219:$AL$219,1,J$4-'Assumptions'!$C$86)*'Unit Economics'!$H$55,0)</f>
        <v/>
      </c>
      <c r="K46" s="8">
        <f>IF(K$4-'Assumptions'!$C$86&gt;=1,INDEX('36-Month Forecast'!$C$222:$AL$222,1,K$4-'Assumptions'!$C$86)+INDEX('36-Month Forecast'!$C$219:$AL$219,1,K$4-'Assumptions'!$C$86)*'Unit Economics'!$H$55,0)</f>
        <v/>
      </c>
      <c r="L46" s="8">
        <f>IF(L$4-'Assumptions'!$C$86&gt;=1,INDEX('36-Month Forecast'!$C$222:$AL$222,1,L$4-'Assumptions'!$C$86)+INDEX('36-Month Forecast'!$C$219:$AL$219,1,L$4-'Assumptions'!$C$86)*'Unit Economics'!$H$55,0)</f>
        <v/>
      </c>
      <c r="M46" s="8">
        <f>IF(M$4-'Assumptions'!$C$86&gt;=1,INDEX('36-Month Forecast'!$C$222:$AL$222,1,M$4-'Assumptions'!$C$86)+INDEX('36-Month Forecast'!$C$219:$AL$219,1,M$4-'Assumptions'!$C$86)*'Unit Economics'!$H$55,0)</f>
        <v/>
      </c>
      <c r="N46" s="8">
        <f>IF(N$4-'Assumptions'!$C$86&gt;=1,INDEX('36-Month Forecast'!$C$222:$AL$222,1,N$4-'Assumptions'!$C$86)+INDEX('36-Month Forecast'!$C$219:$AL$219,1,N$4-'Assumptions'!$C$86)*'Unit Economics'!$H$55,0)</f>
        <v/>
      </c>
      <c r="O46" s="8">
        <f>IF(O$4-'Assumptions'!$C$86&gt;=1,INDEX('36-Month Forecast'!$C$222:$AL$222,1,O$4-'Assumptions'!$C$86)+INDEX('36-Month Forecast'!$C$219:$AL$219,1,O$4-'Assumptions'!$C$86)*'Unit Economics'!$H$55,0)</f>
        <v/>
      </c>
      <c r="P46" s="8">
        <f>IF(P$4-'Assumptions'!$C$86&gt;=1,INDEX('36-Month Forecast'!$C$222:$AL$222,1,P$4-'Assumptions'!$C$86)+INDEX('36-Month Forecast'!$C$219:$AL$219,1,P$4-'Assumptions'!$C$86)*'Unit Economics'!$H$55,0)</f>
        <v/>
      </c>
      <c r="Q46" s="8">
        <f>IF(Q$4-'Assumptions'!$C$86&gt;=1,INDEX('36-Month Forecast'!$C$222:$AL$222,1,Q$4-'Assumptions'!$C$86)+INDEX('36-Month Forecast'!$C$219:$AL$219,1,Q$4-'Assumptions'!$C$86)*'Unit Economics'!$H$55,0)</f>
        <v/>
      </c>
      <c r="R46" s="8">
        <f>IF(R$4-'Assumptions'!$C$86&gt;=1,INDEX('36-Month Forecast'!$C$222:$AL$222,1,R$4-'Assumptions'!$C$86)+INDEX('36-Month Forecast'!$C$219:$AL$219,1,R$4-'Assumptions'!$C$86)*'Unit Economics'!$H$55,0)</f>
        <v/>
      </c>
      <c r="S46" s="8">
        <f>IF(S$4-'Assumptions'!$C$86&gt;=1,INDEX('36-Month Forecast'!$C$222:$AL$222,1,S$4-'Assumptions'!$C$86)+INDEX('36-Month Forecast'!$C$219:$AL$219,1,S$4-'Assumptions'!$C$86)*'Unit Economics'!$H$55,0)</f>
        <v/>
      </c>
      <c r="T46" s="8">
        <f>IF(T$4-'Assumptions'!$C$86&gt;=1,INDEX('36-Month Forecast'!$C$222:$AL$222,1,T$4-'Assumptions'!$C$86)+INDEX('36-Month Forecast'!$C$219:$AL$219,1,T$4-'Assumptions'!$C$86)*'Unit Economics'!$H$55,0)</f>
        <v/>
      </c>
      <c r="U46" s="8">
        <f>IF(U$4-'Assumptions'!$C$86&gt;=1,INDEX('36-Month Forecast'!$C$222:$AL$222,1,U$4-'Assumptions'!$C$86)+INDEX('36-Month Forecast'!$C$219:$AL$219,1,U$4-'Assumptions'!$C$86)*'Unit Economics'!$H$55,0)</f>
        <v/>
      </c>
      <c r="V46" s="8">
        <f>IF(V$4-'Assumptions'!$C$86&gt;=1,INDEX('36-Month Forecast'!$C$222:$AL$222,1,V$4-'Assumptions'!$C$86)+INDEX('36-Month Forecast'!$C$219:$AL$219,1,V$4-'Assumptions'!$C$86)*'Unit Economics'!$H$55,0)</f>
        <v/>
      </c>
      <c r="W46" s="8">
        <f>IF(W$4-'Assumptions'!$C$86&gt;=1,INDEX('36-Month Forecast'!$C$222:$AL$222,1,W$4-'Assumptions'!$C$86)+INDEX('36-Month Forecast'!$C$219:$AL$219,1,W$4-'Assumptions'!$C$86)*'Unit Economics'!$H$55,0)</f>
        <v/>
      </c>
      <c r="X46" s="8">
        <f>IF(X$4-'Assumptions'!$C$86&gt;=1,INDEX('36-Month Forecast'!$C$222:$AL$222,1,X$4-'Assumptions'!$C$86)+INDEX('36-Month Forecast'!$C$219:$AL$219,1,X$4-'Assumptions'!$C$86)*'Unit Economics'!$H$55,0)</f>
        <v/>
      </c>
      <c r="Y46" s="8">
        <f>IF(Y$4-'Assumptions'!$C$86&gt;=1,INDEX('36-Month Forecast'!$C$222:$AL$222,1,Y$4-'Assumptions'!$C$86)+INDEX('36-Month Forecast'!$C$219:$AL$219,1,Y$4-'Assumptions'!$C$86)*'Unit Economics'!$H$55,0)</f>
        <v/>
      </c>
      <c r="Z46" s="8">
        <f>IF(Z$4-'Assumptions'!$C$86&gt;=1,INDEX('36-Month Forecast'!$C$222:$AL$222,1,Z$4-'Assumptions'!$C$86)+INDEX('36-Month Forecast'!$C$219:$AL$219,1,Z$4-'Assumptions'!$C$86)*'Unit Economics'!$H$55,0)</f>
        <v/>
      </c>
      <c r="AA46" s="8">
        <f>IF(AA$4-'Assumptions'!$C$86&gt;=1,INDEX('36-Month Forecast'!$C$222:$AL$222,1,AA$4-'Assumptions'!$C$86)+INDEX('36-Month Forecast'!$C$219:$AL$219,1,AA$4-'Assumptions'!$C$86)*'Unit Economics'!$H$55,0)</f>
        <v/>
      </c>
      <c r="AB46" s="8">
        <f>IF(AB$4-'Assumptions'!$C$86&gt;=1,INDEX('36-Month Forecast'!$C$222:$AL$222,1,AB$4-'Assumptions'!$C$86)+INDEX('36-Month Forecast'!$C$219:$AL$219,1,AB$4-'Assumptions'!$C$86)*'Unit Economics'!$H$55,0)</f>
        <v/>
      </c>
      <c r="AC46" s="8">
        <f>IF(AC$4-'Assumptions'!$C$86&gt;=1,INDEX('36-Month Forecast'!$C$222:$AL$222,1,AC$4-'Assumptions'!$C$86)+INDEX('36-Month Forecast'!$C$219:$AL$219,1,AC$4-'Assumptions'!$C$86)*'Unit Economics'!$H$55,0)</f>
        <v/>
      </c>
      <c r="AD46" s="8">
        <f>IF(AD$4-'Assumptions'!$C$86&gt;=1,INDEX('36-Month Forecast'!$C$222:$AL$222,1,AD$4-'Assumptions'!$C$86)+INDEX('36-Month Forecast'!$C$219:$AL$219,1,AD$4-'Assumptions'!$C$86)*'Unit Economics'!$H$55,0)</f>
        <v/>
      </c>
      <c r="AE46" s="8">
        <f>IF(AE$4-'Assumptions'!$C$86&gt;=1,INDEX('36-Month Forecast'!$C$222:$AL$222,1,AE$4-'Assumptions'!$C$86)+INDEX('36-Month Forecast'!$C$219:$AL$219,1,AE$4-'Assumptions'!$C$86)*'Unit Economics'!$H$55,0)</f>
        <v/>
      </c>
      <c r="AF46" s="8">
        <f>IF(AF$4-'Assumptions'!$C$86&gt;=1,INDEX('36-Month Forecast'!$C$222:$AL$222,1,AF$4-'Assumptions'!$C$86)+INDEX('36-Month Forecast'!$C$219:$AL$219,1,AF$4-'Assumptions'!$C$86)*'Unit Economics'!$H$55,0)</f>
        <v/>
      </c>
      <c r="AG46" s="8">
        <f>IF(AG$4-'Assumptions'!$C$86&gt;=1,INDEX('36-Month Forecast'!$C$222:$AL$222,1,AG$4-'Assumptions'!$C$86)+INDEX('36-Month Forecast'!$C$219:$AL$219,1,AG$4-'Assumptions'!$C$86)*'Unit Economics'!$H$55,0)</f>
        <v/>
      </c>
      <c r="AH46" s="8">
        <f>IF(AH$4-'Assumptions'!$C$86&gt;=1,INDEX('36-Month Forecast'!$C$222:$AL$222,1,AH$4-'Assumptions'!$C$86)+INDEX('36-Month Forecast'!$C$219:$AL$219,1,AH$4-'Assumptions'!$C$86)*'Unit Economics'!$H$55,0)</f>
        <v/>
      </c>
      <c r="AI46" s="8">
        <f>IF(AI$4-'Assumptions'!$C$86&gt;=1,INDEX('36-Month Forecast'!$C$222:$AL$222,1,AI$4-'Assumptions'!$C$86)+INDEX('36-Month Forecast'!$C$219:$AL$219,1,AI$4-'Assumptions'!$C$86)*'Unit Economics'!$H$55,0)</f>
        <v/>
      </c>
      <c r="AJ46" s="8">
        <f>IF(AJ$4-'Assumptions'!$C$86&gt;=1,INDEX('36-Month Forecast'!$C$222:$AL$222,1,AJ$4-'Assumptions'!$C$86)+INDEX('36-Month Forecast'!$C$219:$AL$219,1,AJ$4-'Assumptions'!$C$86)*'Unit Economics'!$H$55,0)</f>
        <v/>
      </c>
      <c r="AK46" s="8">
        <f>IF(AK$4-'Assumptions'!$C$86&gt;=1,INDEX('36-Month Forecast'!$C$222:$AL$222,1,AK$4-'Assumptions'!$C$86)+INDEX('36-Month Forecast'!$C$219:$AL$219,1,AK$4-'Assumptions'!$C$86)*'Unit Economics'!$H$55,0)</f>
        <v/>
      </c>
      <c r="AL46" s="8">
        <f>IF(AL$4-'Assumptions'!$C$86&gt;=1,INDEX('36-Month Forecast'!$C$222:$AL$222,1,AL$4-'Assumptions'!$C$86)+INDEX('36-Month Forecast'!$C$219:$AL$219,1,AL$4-'Assumptions'!$C$86)*'Unit Economics'!$H$55,0)</f>
        <v/>
      </c>
      <c r="AM46" s="47">
        <f>SUMIF($C$6:$AL$6,1,C46:AL46)</f>
        <v/>
      </c>
      <c r="AN46" s="47">
        <f>SUMIF($C$6:$AL$6,2,C46:AL46)</f>
        <v/>
      </c>
      <c r="AO46" s="47">
        <f>SUMIF($C$6:$AL$6,3,C46:AL46)</f>
        <v/>
      </c>
      <c r="AP46" s="47">
        <f>SUM(C46:AL46)</f>
        <v/>
      </c>
    </row>
    <row r="47">
      <c r="A47" s="7" t="inlineStr">
        <is>
          <t xml:space="preserve">   Payout: School and group licenses + TPT (overlay only if counsel clears in writing; off in base)</t>
        </is>
      </c>
      <c r="C47" s="8">
        <f>IF(C$4-'Assumptions'!$C$87&gt;=1,INDEX('36-Month Forecast'!$C$233:$AL$233,1,C$4-'Assumptions'!$C$87)+INDEX('36-Month Forecast'!$C$230:$AL$230,1,C$4-'Assumptions'!$C$87)*'Unit Economics'!$H$56,0)</f>
        <v/>
      </c>
      <c r="D47" s="8">
        <f>IF(D$4-'Assumptions'!$C$87&gt;=1,INDEX('36-Month Forecast'!$C$233:$AL$233,1,D$4-'Assumptions'!$C$87)+INDEX('36-Month Forecast'!$C$230:$AL$230,1,D$4-'Assumptions'!$C$87)*'Unit Economics'!$H$56,0)</f>
        <v/>
      </c>
      <c r="E47" s="8">
        <f>IF(E$4-'Assumptions'!$C$87&gt;=1,INDEX('36-Month Forecast'!$C$233:$AL$233,1,E$4-'Assumptions'!$C$87)+INDEX('36-Month Forecast'!$C$230:$AL$230,1,E$4-'Assumptions'!$C$87)*'Unit Economics'!$H$56,0)</f>
        <v/>
      </c>
      <c r="F47" s="8">
        <f>IF(F$4-'Assumptions'!$C$87&gt;=1,INDEX('36-Month Forecast'!$C$233:$AL$233,1,F$4-'Assumptions'!$C$87)+INDEX('36-Month Forecast'!$C$230:$AL$230,1,F$4-'Assumptions'!$C$87)*'Unit Economics'!$H$56,0)</f>
        <v/>
      </c>
      <c r="G47" s="8">
        <f>IF(G$4-'Assumptions'!$C$87&gt;=1,INDEX('36-Month Forecast'!$C$233:$AL$233,1,G$4-'Assumptions'!$C$87)+INDEX('36-Month Forecast'!$C$230:$AL$230,1,G$4-'Assumptions'!$C$87)*'Unit Economics'!$H$56,0)</f>
        <v/>
      </c>
      <c r="H47" s="8">
        <f>IF(H$4-'Assumptions'!$C$87&gt;=1,INDEX('36-Month Forecast'!$C$233:$AL$233,1,H$4-'Assumptions'!$C$87)+INDEX('36-Month Forecast'!$C$230:$AL$230,1,H$4-'Assumptions'!$C$87)*'Unit Economics'!$H$56,0)</f>
        <v/>
      </c>
      <c r="I47" s="8">
        <f>IF(I$4-'Assumptions'!$C$87&gt;=1,INDEX('36-Month Forecast'!$C$233:$AL$233,1,I$4-'Assumptions'!$C$87)+INDEX('36-Month Forecast'!$C$230:$AL$230,1,I$4-'Assumptions'!$C$87)*'Unit Economics'!$H$56,0)</f>
        <v/>
      </c>
      <c r="J47" s="8">
        <f>IF(J$4-'Assumptions'!$C$87&gt;=1,INDEX('36-Month Forecast'!$C$233:$AL$233,1,J$4-'Assumptions'!$C$87)+INDEX('36-Month Forecast'!$C$230:$AL$230,1,J$4-'Assumptions'!$C$87)*'Unit Economics'!$H$56,0)</f>
        <v/>
      </c>
      <c r="K47" s="8">
        <f>IF(K$4-'Assumptions'!$C$87&gt;=1,INDEX('36-Month Forecast'!$C$233:$AL$233,1,K$4-'Assumptions'!$C$87)+INDEX('36-Month Forecast'!$C$230:$AL$230,1,K$4-'Assumptions'!$C$87)*'Unit Economics'!$H$56,0)</f>
        <v/>
      </c>
      <c r="L47" s="8">
        <f>IF(L$4-'Assumptions'!$C$87&gt;=1,INDEX('36-Month Forecast'!$C$233:$AL$233,1,L$4-'Assumptions'!$C$87)+INDEX('36-Month Forecast'!$C$230:$AL$230,1,L$4-'Assumptions'!$C$87)*'Unit Economics'!$H$56,0)</f>
        <v/>
      </c>
      <c r="M47" s="8">
        <f>IF(M$4-'Assumptions'!$C$87&gt;=1,INDEX('36-Month Forecast'!$C$233:$AL$233,1,M$4-'Assumptions'!$C$87)+INDEX('36-Month Forecast'!$C$230:$AL$230,1,M$4-'Assumptions'!$C$87)*'Unit Economics'!$H$56,0)</f>
        <v/>
      </c>
      <c r="N47" s="8">
        <f>IF(N$4-'Assumptions'!$C$87&gt;=1,INDEX('36-Month Forecast'!$C$233:$AL$233,1,N$4-'Assumptions'!$C$87)+INDEX('36-Month Forecast'!$C$230:$AL$230,1,N$4-'Assumptions'!$C$87)*'Unit Economics'!$H$56,0)</f>
        <v/>
      </c>
      <c r="O47" s="8">
        <f>IF(O$4-'Assumptions'!$C$87&gt;=1,INDEX('36-Month Forecast'!$C$233:$AL$233,1,O$4-'Assumptions'!$C$87)+INDEX('36-Month Forecast'!$C$230:$AL$230,1,O$4-'Assumptions'!$C$87)*'Unit Economics'!$H$56,0)</f>
        <v/>
      </c>
      <c r="P47" s="8">
        <f>IF(P$4-'Assumptions'!$C$87&gt;=1,INDEX('36-Month Forecast'!$C$233:$AL$233,1,P$4-'Assumptions'!$C$87)+INDEX('36-Month Forecast'!$C$230:$AL$230,1,P$4-'Assumptions'!$C$87)*'Unit Economics'!$H$56,0)</f>
        <v/>
      </c>
      <c r="Q47" s="8">
        <f>IF(Q$4-'Assumptions'!$C$87&gt;=1,INDEX('36-Month Forecast'!$C$233:$AL$233,1,Q$4-'Assumptions'!$C$87)+INDEX('36-Month Forecast'!$C$230:$AL$230,1,Q$4-'Assumptions'!$C$87)*'Unit Economics'!$H$56,0)</f>
        <v/>
      </c>
      <c r="R47" s="8">
        <f>IF(R$4-'Assumptions'!$C$87&gt;=1,INDEX('36-Month Forecast'!$C$233:$AL$233,1,R$4-'Assumptions'!$C$87)+INDEX('36-Month Forecast'!$C$230:$AL$230,1,R$4-'Assumptions'!$C$87)*'Unit Economics'!$H$56,0)</f>
        <v/>
      </c>
      <c r="S47" s="8">
        <f>IF(S$4-'Assumptions'!$C$87&gt;=1,INDEX('36-Month Forecast'!$C$233:$AL$233,1,S$4-'Assumptions'!$C$87)+INDEX('36-Month Forecast'!$C$230:$AL$230,1,S$4-'Assumptions'!$C$87)*'Unit Economics'!$H$56,0)</f>
        <v/>
      </c>
      <c r="T47" s="8">
        <f>IF(T$4-'Assumptions'!$C$87&gt;=1,INDEX('36-Month Forecast'!$C$233:$AL$233,1,T$4-'Assumptions'!$C$87)+INDEX('36-Month Forecast'!$C$230:$AL$230,1,T$4-'Assumptions'!$C$87)*'Unit Economics'!$H$56,0)</f>
        <v/>
      </c>
      <c r="U47" s="8">
        <f>IF(U$4-'Assumptions'!$C$87&gt;=1,INDEX('36-Month Forecast'!$C$233:$AL$233,1,U$4-'Assumptions'!$C$87)+INDEX('36-Month Forecast'!$C$230:$AL$230,1,U$4-'Assumptions'!$C$87)*'Unit Economics'!$H$56,0)</f>
        <v/>
      </c>
      <c r="V47" s="8">
        <f>IF(V$4-'Assumptions'!$C$87&gt;=1,INDEX('36-Month Forecast'!$C$233:$AL$233,1,V$4-'Assumptions'!$C$87)+INDEX('36-Month Forecast'!$C$230:$AL$230,1,V$4-'Assumptions'!$C$87)*'Unit Economics'!$H$56,0)</f>
        <v/>
      </c>
      <c r="W47" s="8">
        <f>IF(W$4-'Assumptions'!$C$87&gt;=1,INDEX('36-Month Forecast'!$C$233:$AL$233,1,W$4-'Assumptions'!$C$87)+INDEX('36-Month Forecast'!$C$230:$AL$230,1,W$4-'Assumptions'!$C$87)*'Unit Economics'!$H$56,0)</f>
        <v/>
      </c>
      <c r="X47" s="8">
        <f>IF(X$4-'Assumptions'!$C$87&gt;=1,INDEX('36-Month Forecast'!$C$233:$AL$233,1,X$4-'Assumptions'!$C$87)+INDEX('36-Month Forecast'!$C$230:$AL$230,1,X$4-'Assumptions'!$C$87)*'Unit Economics'!$H$56,0)</f>
        <v/>
      </c>
      <c r="Y47" s="8">
        <f>IF(Y$4-'Assumptions'!$C$87&gt;=1,INDEX('36-Month Forecast'!$C$233:$AL$233,1,Y$4-'Assumptions'!$C$87)+INDEX('36-Month Forecast'!$C$230:$AL$230,1,Y$4-'Assumptions'!$C$87)*'Unit Economics'!$H$56,0)</f>
        <v/>
      </c>
      <c r="Z47" s="8">
        <f>IF(Z$4-'Assumptions'!$C$87&gt;=1,INDEX('36-Month Forecast'!$C$233:$AL$233,1,Z$4-'Assumptions'!$C$87)+INDEX('36-Month Forecast'!$C$230:$AL$230,1,Z$4-'Assumptions'!$C$87)*'Unit Economics'!$H$56,0)</f>
        <v/>
      </c>
      <c r="AA47" s="8">
        <f>IF(AA$4-'Assumptions'!$C$87&gt;=1,INDEX('36-Month Forecast'!$C$233:$AL$233,1,AA$4-'Assumptions'!$C$87)+INDEX('36-Month Forecast'!$C$230:$AL$230,1,AA$4-'Assumptions'!$C$87)*'Unit Economics'!$H$56,0)</f>
        <v/>
      </c>
      <c r="AB47" s="8">
        <f>IF(AB$4-'Assumptions'!$C$87&gt;=1,INDEX('36-Month Forecast'!$C$233:$AL$233,1,AB$4-'Assumptions'!$C$87)+INDEX('36-Month Forecast'!$C$230:$AL$230,1,AB$4-'Assumptions'!$C$87)*'Unit Economics'!$H$56,0)</f>
        <v/>
      </c>
      <c r="AC47" s="8">
        <f>IF(AC$4-'Assumptions'!$C$87&gt;=1,INDEX('36-Month Forecast'!$C$233:$AL$233,1,AC$4-'Assumptions'!$C$87)+INDEX('36-Month Forecast'!$C$230:$AL$230,1,AC$4-'Assumptions'!$C$87)*'Unit Economics'!$H$56,0)</f>
        <v/>
      </c>
      <c r="AD47" s="8">
        <f>IF(AD$4-'Assumptions'!$C$87&gt;=1,INDEX('36-Month Forecast'!$C$233:$AL$233,1,AD$4-'Assumptions'!$C$87)+INDEX('36-Month Forecast'!$C$230:$AL$230,1,AD$4-'Assumptions'!$C$87)*'Unit Economics'!$H$56,0)</f>
        <v/>
      </c>
      <c r="AE47" s="8">
        <f>IF(AE$4-'Assumptions'!$C$87&gt;=1,INDEX('36-Month Forecast'!$C$233:$AL$233,1,AE$4-'Assumptions'!$C$87)+INDEX('36-Month Forecast'!$C$230:$AL$230,1,AE$4-'Assumptions'!$C$87)*'Unit Economics'!$H$56,0)</f>
        <v/>
      </c>
      <c r="AF47" s="8">
        <f>IF(AF$4-'Assumptions'!$C$87&gt;=1,INDEX('36-Month Forecast'!$C$233:$AL$233,1,AF$4-'Assumptions'!$C$87)+INDEX('36-Month Forecast'!$C$230:$AL$230,1,AF$4-'Assumptions'!$C$87)*'Unit Economics'!$H$56,0)</f>
        <v/>
      </c>
      <c r="AG47" s="8">
        <f>IF(AG$4-'Assumptions'!$C$87&gt;=1,INDEX('36-Month Forecast'!$C$233:$AL$233,1,AG$4-'Assumptions'!$C$87)+INDEX('36-Month Forecast'!$C$230:$AL$230,1,AG$4-'Assumptions'!$C$87)*'Unit Economics'!$H$56,0)</f>
        <v/>
      </c>
      <c r="AH47" s="8">
        <f>IF(AH$4-'Assumptions'!$C$87&gt;=1,INDEX('36-Month Forecast'!$C$233:$AL$233,1,AH$4-'Assumptions'!$C$87)+INDEX('36-Month Forecast'!$C$230:$AL$230,1,AH$4-'Assumptions'!$C$87)*'Unit Economics'!$H$56,0)</f>
        <v/>
      </c>
      <c r="AI47" s="8">
        <f>IF(AI$4-'Assumptions'!$C$87&gt;=1,INDEX('36-Month Forecast'!$C$233:$AL$233,1,AI$4-'Assumptions'!$C$87)+INDEX('36-Month Forecast'!$C$230:$AL$230,1,AI$4-'Assumptions'!$C$87)*'Unit Economics'!$H$56,0)</f>
        <v/>
      </c>
      <c r="AJ47" s="8">
        <f>IF(AJ$4-'Assumptions'!$C$87&gt;=1,INDEX('36-Month Forecast'!$C$233:$AL$233,1,AJ$4-'Assumptions'!$C$87)+INDEX('36-Month Forecast'!$C$230:$AL$230,1,AJ$4-'Assumptions'!$C$87)*'Unit Economics'!$H$56,0)</f>
        <v/>
      </c>
      <c r="AK47" s="8">
        <f>IF(AK$4-'Assumptions'!$C$87&gt;=1,INDEX('36-Month Forecast'!$C$233:$AL$233,1,AK$4-'Assumptions'!$C$87)+INDEX('36-Month Forecast'!$C$230:$AL$230,1,AK$4-'Assumptions'!$C$87)*'Unit Economics'!$H$56,0)</f>
        <v/>
      </c>
      <c r="AL47" s="8">
        <f>IF(AL$4-'Assumptions'!$C$87&gt;=1,INDEX('36-Month Forecast'!$C$233:$AL$233,1,AL$4-'Assumptions'!$C$87)+INDEX('36-Month Forecast'!$C$230:$AL$230,1,AL$4-'Assumptions'!$C$87)*'Unit Economics'!$H$56,0)</f>
        <v/>
      </c>
      <c r="AM47" s="47">
        <f>SUMIF($C$6:$AL$6,1,C47:AL47)</f>
        <v/>
      </c>
      <c r="AN47" s="47">
        <f>SUMIF($C$6:$AL$6,2,C47:AL47)</f>
        <v/>
      </c>
      <c r="AO47" s="47">
        <f>SUMIF($C$6:$AL$6,3,C47:AL47)</f>
        <v/>
      </c>
      <c r="AP47" s="47">
        <f>SUM(C47:AL47)</f>
        <v/>
      </c>
    </row>
    <row r="48">
      <c r="A48" s="7" t="inlineStr">
        <is>
          <t xml:space="preserve">   Payout: Retail and wholesale: Faire, Walmart Marketplace (off in base)</t>
        </is>
      </c>
      <c r="C48" s="8">
        <f>IF(C$4-'Assumptions'!$C$88&gt;=1,INDEX('36-Month Forecast'!$C$243:$AL$243,1,C$4-'Assumptions'!$C$88)+INDEX('36-Month Forecast'!$C$240:$AL$240,1,C$4-'Assumptions'!$C$88)*'Unit Economics'!$H$57,0)</f>
        <v/>
      </c>
      <c r="D48" s="8">
        <f>IF(D$4-'Assumptions'!$C$88&gt;=1,INDEX('36-Month Forecast'!$C$243:$AL$243,1,D$4-'Assumptions'!$C$88)+INDEX('36-Month Forecast'!$C$240:$AL$240,1,D$4-'Assumptions'!$C$88)*'Unit Economics'!$H$57,0)</f>
        <v/>
      </c>
      <c r="E48" s="8">
        <f>IF(E$4-'Assumptions'!$C$88&gt;=1,INDEX('36-Month Forecast'!$C$243:$AL$243,1,E$4-'Assumptions'!$C$88)+INDEX('36-Month Forecast'!$C$240:$AL$240,1,E$4-'Assumptions'!$C$88)*'Unit Economics'!$H$57,0)</f>
        <v/>
      </c>
      <c r="F48" s="8">
        <f>IF(F$4-'Assumptions'!$C$88&gt;=1,INDEX('36-Month Forecast'!$C$243:$AL$243,1,F$4-'Assumptions'!$C$88)+INDEX('36-Month Forecast'!$C$240:$AL$240,1,F$4-'Assumptions'!$C$88)*'Unit Economics'!$H$57,0)</f>
        <v/>
      </c>
      <c r="G48" s="8">
        <f>IF(G$4-'Assumptions'!$C$88&gt;=1,INDEX('36-Month Forecast'!$C$243:$AL$243,1,G$4-'Assumptions'!$C$88)+INDEX('36-Month Forecast'!$C$240:$AL$240,1,G$4-'Assumptions'!$C$88)*'Unit Economics'!$H$57,0)</f>
        <v/>
      </c>
      <c r="H48" s="8">
        <f>IF(H$4-'Assumptions'!$C$88&gt;=1,INDEX('36-Month Forecast'!$C$243:$AL$243,1,H$4-'Assumptions'!$C$88)+INDEX('36-Month Forecast'!$C$240:$AL$240,1,H$4-'Assumptions'!$C$88)*'Unit Economics'!$H$57,0)</f>
        <v/>
      </c>
      <c r="I48" s="8">
        <f>IF(I$4-'Assumptions'!$C$88&gt;=1,INDEX('36-Month Forecast'!$C$243:$AL$243,1,I$4-'Assumptions'!$C$88)+INDEX('36-Month Forecast'!$C$240:$AL$240,1,I$4-'Assumptions'!$C$88)*'Unit Economics'!$H$57,0)</f>
        <v/>
      </c>
      <c r="J48" s="8">
        <f>IF(J$4-'Assumptions'!$C$88&gt;=1,INDEX('36-Month Forecast'!$C$243:$AL$243,1,J$4-'Assumptions'!$C$88)+INDEX('36-Month Forecast'!$C$240:$AL$240,1,J$4-'Assumptions'!$C$88)*'Unit Economics'!$H$57,0)</f>
        <v/>
      </c>
      <c r="K48" s="8">
        <f>IF(K$4-'Assumptions'!$C$88&gt;=1,INDEX('36-Month Forecast'!$C$243:$AL$243,1,K$4-'Assumptions'!$C$88)+INDEX('36-Month Forecast'!$C$240:$AL$240,1,K$4-'Assumptions'!$C$88)*'Unit Economics'!$H$57,0)</f>
        <v/>
      </c>
      <c r="L48" s="8">
        <f>IF(L$4-'Assumptions'!$C$88&gt;=1,INDEX('36-Month Forecast'!$C$243:$AL$243,1,L$4-'Assumptions'!$C$88)+INDEX('36-Month Forecast'!$C$240:$AL$240,1,L$4-'Assumptions'!$C$88)*'Unit Economics'!$H$57,0)</f>
        <v/>
      </c>
      <c r="M48" s="8">
        <f>IF(M$4-'Assumptions'!$C$88&gt;=1,INDEX('36-Month Forecast'!$C$243:$AL$243,1,M$4-'Assumptions'!$C$88)+INDEX('36-Month Forecast'!$C$240:$AL$240,1,M$4-'Assumptions'!$C$88)*'Unit Economics'!$H$57,0)</f>
        <v/>
      </c>
      <c r="N48" s="8">
        <f>IF(N$4-'Assumptions'!$C$88&gt;=1,INDEX('36-Month Forecast'!$C$243:$AL$243,1,N$4-'Assumptions'!$C$88)+INDEX('36-Month Forecast'!$C$240:$AL$240,1,N$4-'Assumptions'!$C$88)*'Unit Economics'!$H$57,0)</f>
        <v/>
      </c>
      <c r="O48" s="8">
        <f>IF(O$4-'Assumptions'!$C$88&gt;=1,INDEX('36-Month Forecast'!$C$243:$AL$243,1,O$4-'Assumptions'!$C$88)+INDEX('36-Month Forecast'!$C$240:$AL$240,1,O$4-'Assumptions'!$C$88)*'Unit Economics'!$H$57,0)</f>
        <v/>
      </c>
      <c r="P48" s="8">
        <f>IF(P$4-'Assumptions'!$C$88&gt;=1,INDEX('36-Month Forecast'!$C$243:$AL$243,1,P$4-'Assumptions'!$C$88)+INDEX('36-Month Forecast'!$C$240:$AL$240,1,P$4-'Assumptions'!$C$88)*'Unit Economics'!$H$57,0)</f>
        <v/>
      </c>
      <c r="Q48" s="8">
        <f>IF(Q$4-'Assumptions'!$C$88&gt;=1,INDEX('36-Month Forecast'!$C$243:$AL$243,1,Q$4-'Assumptions'!$C$88)+INDEX('36-Month Forecast'!$C$240:$AL$240,1,Q$4-'Assumptions'!$C$88)*'Unit Economics'!$H$57,0)</f>
        <v/>
      </c>
      <c r="R48" s="8">
        <f>IF(R$4-'Assumptions'!$C$88&gt;=1,INDEX('36-Month Forecast'!$C$243:$AL$243,1,R$4-'Assumptions'!$C$88)+INDEX('36-Month Forecast'!$C$240:$AL$240,1,R$4-'Assumptions'!$C$88)*'Unit Economics'!$H$57,0)</f>
        <v/>
      </c>
      <c r="S48" s="8">
        <f>IF(S$4-'Assumptions'!$C$88&gt;=1,INDEX('36-Month Forecast'!$C$243:$AL$243,1,S$4-'Assumptions'!$C$88)+INDEX('36-Month Forecast'!$C$240:$AL$240,1,S$4-'Assumptions'!$C$88)*'Unit Economics'!$H$57,0)</f>
        <v/>
      </c>
      <c r="T48" s="8">
        <f>IF(T$4-'Assumptions'!$C$88&gt;=1,INDEX('36-Month Forecast'!$C$243:$AL$243,1,T$4-'Assumptions'!$C$88)+INDEX('36-Month Forecast'!$C$240:$AL$240,1,T$4-'Assumptions'!$C$88)*'Unit Economics'!$H$57,0)</f>
        <v/>
      </c>
      <c r="U48" s="8">
        <f>IF(U$4-'Assumptions'!$C$88&gt;=1,INDEX('36-Month Forecast'!$C$243:$AL$243,1,U$4-'Assumptions'!$C$88)+INDEX('36-Month Forecast'!$C$240:$AL$240,1,U$4-'Assumptions'!$C$88)*'Unit Economics'!$H$57,0)</f>
        <v/>
      </c>
      <c r="V48" s="8">
        <f>IF(V$4-'Assumptions'!$C$88&gt;=1,INDEX('36-Month Forecast'!$C$243:$AL$243,1,V$4-'Assumptions'!$C$88)+INDEX('36-Month Forecast'!$C$240:$AL$240,1,V$4-'Assumptions'!$C$88)*'Unit Economics'!$H$57,0)</f>
        <v/>
      </c>
      <c r="W48" s="8">
        <f>IF(W$4-'Assumptions'!$C$88&gt;=1,INDEX('36-Month Forecast'!$C$243:$AL$243,1,W$4-'Assumptions'!$C$88)+INDEX('36-Month Forecast'!$C$240:$AL$240,1,W$4-'Assumptions'!$C$88)*'Unit Economics'!$H$57,0)</f>
        <v/>
      </c>
      <c r="X48" s="8">
        <f>IF(X$4-'Assumptions'!$C$88&gt;=1,INDEX('36-Month Forecast'!$C$243:$AL$243,1,X$4-'Assumptions'!$C$88)+INDEX('36-Month Forecast'!$C$240:$AL$240,1,X$4-'Assumptions'!$C$88)*'Unit Economics'!$H$57,0)</f>
        <v/>
      </c>
      <c r="Y48" s="8">
        <f>IF(Y$4-'Assumptions'!$C$88&gt;=1,INDEX('36-Month Forecast'!$C$243:$AL$243,1,Y$4-'Assumptions'!$C$88)+INDEX('36-Month Forecast'!$C$240:$AL$240,1,Y$4-'Assumptions'!$C$88)*'Unit Economics'!$H$57,0)</f>
        <v/>
      </c>
      <c r="Z48" s="8">
        <f>IF(Z$4-'Assumptions'!$C$88&gt;=1,INDEX('36-Month Forecast'!$C$243:$AL$243,1,Z$4-'Assumptions'!$C$88)+INDEX('36-Month Forecast'!$C$240:$AL$240,1,Z$4-'Assumptions'!$C$88)*'Unit Economics'!$H$57,0)</f>
        <v/>
      </c>
      <c r="AA48" s="8">
        <f>IF(AA$4-'Assumptions'!$C$88&gt;=1,INDEX('36-Month Forecast'!$C$243:$AL$243,1,AA$4-'Assumptions'!$C$88)+INDEX('36-Month Forecast'!$C$240:$AL$240,1,AA$4-'Assumptions'!$C$88)*'Unit Economics'!$H$57,0)</f>
        <v/>
      </c>
      <c r="AB48" s="8">
        <f>IF(AB$4-'Assumptions'!$C$88&gt;=1,INDEX('36-Month Forecast'!$C$243:$AL$243,1,AB$4-'Assumptions'!$C$88)+INDEX('36-Month Forecast'!$C$240:$AL$240,1,AB$4-'Assumptions'!$C$88)*'Unit Economics'!$H$57,0)</f>
        <v/>
      </c>
      <c r="AC48" s="8">
        <f>IF(AC$4-'Assumptions'!$C$88&gt;=1,INDEX('36-Month Forecast'!$C$243:$AL$243,1,AC$4-'Assumptions'!$C$88)+INDEX('36-Month Forecast'!$C$240:$AL$240,1,AC$4-'Assumptions'!$C$88)*'Unit Economics'!$H$57,0)</f>
        <v/>
      </c>
      <c r="AD48" s="8">
        <f>IF(AD$4-'Assumptions'!$C$88&gt;=1,INDEX('36-Month Forecast'!$C$243:$AL$243,1,AD$4-'Assumptions'!$C$88)+INDEX('36-Month Forecast'!$C$240:$AL$240,1,AD$4-'Assumptions'!$C$88)*'Unit Economics'!$H$57,0)</f>
        <v/>
      </c>
      <c r="AE48" s="8">
        <f>IF(AE$4-'Assumptions'!$C$88&gt;=1,INDEX('36-Month Forecast'!$C$243:$AL$243,1,AE$4-'Assumptions'!$C$88)+INDEX('36-Month Forecast'!$C$240:$AL$240,1,AE$4-'Assumptions'!$C$88)*'Unit Economics'!$H$57,0)</f>
        <v/>
      </c>
      <c r="AF48" s="8">
        <f>IF(AF$4-'Assumptions'!$C$88&gt;=1,INDEX('36-Month Forecast'!$C$243:$AL$243,1,AF$4-'Assumptions'!$C$88)+INDEX('36-Month Forecast'!$C$240:$AL$240,1,AF$4-'Assumptions'!$C$88)*'Unit Economics'!$H$57,0)</f>
        <v/>
      </c>
      <c r="AG48" s="8">
        <f>IF(AG$4-'Assumptions'!$C$88&gt;=1,INDEX('36-Month Forecast'!$C$243:$AL$243,1,AG$4-'Assumptions'!$C$88)+INDEX('36-Month Forecast'!$C$240:$AL$240,1,AG$4-'Assumptions'!$C$88)*'Unit Economics'!$H$57,0)</f>
        <v/>
      </c>
      <c r="AH48" s="8">
        <f>IF(AH$4-'Assumptions'!$C$88&gt;=1,INDEX('36-Month Forecast'!$C$243:$AL$243,1,AH$4-'Assumptions'!$C$88)+INDEX('36-Month Forecast'!$C$240:$AL$240,1,AH$4-'Assumptions'!$C$88)*'Unit Economics'!$H$57,0)</f>
        <v/>
      </c>
      <c r="AI48" s="8">
        <f>IF(AI$4-'Assumptions'!$C$88&gt;=1,INDEX('36-Month Forecast'!$C$243:$AL$243,1,AI$4-'Assumptions'!$C$88)+INDEX('36-Month Forecast'!$C$240:$AL$240,1,AI$4-'Assumptions'!$C$88)*'Unit Economics'!$H$57,0)</f>
        <v/>
      </c>
      <c r="AJ48" s="8">
        <f>IF(AJ$4-'Assumptions'!$C$88&gt;=1,INDEX('36-Month Forecast'!$C$243:$AL$243,1,AJ$4-'Assumptions'!$C$88)+INDEX('36-Month Forecast'!$C$240:$AL$240,1,AJ$4-'Assumptions'!$C$88)*'Unit Economics'!$H$57,0)</f>
        <v/>
      </c>
      <c r="AK48" s="8">
        <f>IF(AK$4-'Assumptions'!$C$88&gt;=1,INDEX('36-Month Forecast'!$C$243:$AL$243,1,AK$4-'Assumptions'!$C$88)+INDEX('36-Month Forecast'!$C$240:$AL$240,1,AK$4-'Assumptions'!$C$88)*'Unit Economics'!$H$57,0)</f>
        <v/>
      </c>
      <c r="AL48" s="8">
        <f>IF(AL$4-'Assumptions'!$C$88&gt;=1,INDEX('36-Month Forecast'!$C$243:$AL$243,1,AL$4-'Assumptions'!$C$88)+INDEX('36-Month Forecast'!$C$240:$AL$240,1,AL$4-'Assumptions'!$C$88)*'Unit Economics'!$H$57,0)</f>
        <v/>
      </c>
      <c r="AM48" s="47">
        <f>SUMIF($C$6:$AL$6,1,C48:AL48)</f>
        <v/>
      </c>
      <c r="AN48" s="47">
        <f>SUMIF($C$6:$AL$6,2,C48:AL48)</f>
        <v/>
      </c>
      <c r="AO48" s="47">
        <f>SUMIF($C$6:$AL$6,3,C48:AL48)</f>
        <v/>
      </c>
      <c r="AP48" s="47">
        <f>SUM(C48:AL48)</f>
        <v/>
      </c>
    </row>
    <row r="49">
      <c r="A49" s="10" t="inlineStr">
        <is>
          <t>Total payouts received</t>
        </is>
      </c>
      <c r="C49" s="19">
        <f>SUM(C40:C48)</f>
        <v/>
      </c>
      <c r="D49" s="19">
        <f>SUM(D40:D48)</f>
        <v/>
      </c>
      <c r="E49" s="19">
        <f>SUM(E40:E48)</f>
        <v/>
      </c>
      <c r="F49" s="19">
        <f>SUM(F40:F48)</f>
        <v/>
      </c>
      <c r="G49" s="19">
        <f>SUM(G40:G48)</f>
        <v/>
      </c>
      <c r="H49" s="19">
        <f>SUM(H40:H48)</f>
        <v/>
      </c>
      <c r="I49" s="19">
        <f>SUM(I40:I48)</f>
        <v/>
      </c>
      <c r="J49" s="19">
        <f>SUM(J40:J48)</f>
        <v/>
      </c>
      <c r="K49" s="19">
        <f>SUM(K40:K48)</f>
        <v/>
      </c>
      <c r="L49" s="19">
        <f>SUM(L40:L48)</f>
        <v/>
      </c>
      <c r="M49" s="19">
        <f>SUM(M40:M48)</f>
        <v/>
      </c>
      <c r="N49" s="19">
        <f>SUM(N40:N48)</f>
        <v/>
      </c>
      <c r="O49" s="19">
        <f>SUM(O40:O48)</f>
        <v/>
      </c>
      <c r="P49" s="19">
        <f>SUM(P40:P48)</f>
        <v/>
      </c>
      <c r="Q49" s="19">
        <f>SUM(Q40:Q48)</f>
        <v/>
      </c>
      <c r="R49" s="19">
        <f>SUM(R40:R48)</f>
        <v/>
      </c>
      <c r="S49" s="19">
        <f>SUM(S40:S48)</f>
        <v/>
      </c>
      <c r="T49" s="19">
        <f>SUM(T40:T48)</f>
        <v/>
      </c>
      <c r="U49" s="19">
        <f>SUM(U40:U48)</f>
        <v/>
      </c>
      <c r="V49" s="19">
        <f>SUM(V40:V48)</f>
        <v/>
      </c>
      <c r="W49" s="19">
        <f>SUM(W40:W48)</f>
        <v/>
      </c>
      <c r="X49" s="19">
        <f>SUM(X40:X48)</f>
        <v/>
      </c>
      <c r="Y49" s="19">
        <f>SUM(Y40:Y48)</f>
        <v/>
      </c>
      <c r="Z49" s="19">
        <f>SUM(Z40:Z48)</f>
        <v/>
      </c>
      <c r="AA49" s="19">
        <f>SUM(AA40:AA48)</f>
        <v/>
      </c>
      <c r="AB49" s="19">
        <f>SUM(AB40:AB48)</f>
        <v/>
      </c>
      <c r="AC49" s="19">
        <f>SUM(AC40:AC48)</f>
        <v/>
      </c>
      <c r="AD49" s="19">
        <f>SUM(AD40:AD48)</f>
        <v/>
      </c>
      <c r="AE49" s="19">
        <f>SUM(AE40:AE48)</f>
        <v/>
      </c>
      <c r="AF49" s="19">
        <f>SUM(AF40:AF48)</f>
        <v/>
      </c>
      <c r="AG49" s="19">
        <f>SUM(AG40:AG48)</f>
        <v/>
      </c>
      <c r="AH49" s="19">
        <f>SUM(AH40:AH48)</f>
        <v/>
      </c>
      <c r="AI49" s="19">
        <f>SUM(AI40:AI48)</f>
        <v/>
      </c>
      <c r="AJ49" s="19">
        <f>SUM(AJ40:AJ48)</f>
        <v/>
      </c>
      <c r="AK49" s="19">
        <f>SUM(AK40:AK48)</f>
        <v/>
      </c>
      <c r="AL49" s="19">
        <f>SUM(AL40:AL48)</f>
        <v/>
      </c>
      <c r="AM49" s="47">
        <f>SUMIF($C$6:$AL$6,1,C49:AL49)</f>
        <v/>
      </c>
      <c r="AN49" s="47">
        <f>SUMIF($C$6:$AL$6,2,C49:AL49)</f>
        <v/>
      </c>
      <c r="AO49" s="47">
        <f>SUMIF($C$6:$AL$6,3,C49:AL49)</f>
        <v/>
      </c>
      <c r="AP49" s="47">
        <f>SUM(C49:AL49)</f>
        <v/>
      </c>
    </row>
    <row r="50">
      <c r="A50" s="7" t="inlineStr">
        <is>
          <t>Existing business-card balance paid off (month 1)</t>
        </is>
      </c>
      <c r="C50" s="8">
        <f>-'Assumptions'!$C$18</f>
        <v/>
      </c>
      <c r="D50" s="19">
        <f>0</f>
        <v/>
      </c>
      <c r="E50" s="19">
        <f>0</f>
        <v/>
      </c>
      <c r="F50" s="19">
        <f>0</f>
        <v/>
      </c>
      <c r="G50" s="19">
        <f>0</f>
        <v/>
      </c>
      <c r="H50" s="19">
        <f>0</f>
        <v/>
      </c>
      <c r="I50" s="19">
        <f>0</f>
        <v/>
      </c>
      <c r="J50" s="19">
        <f>0</f>
        <v/>
      </c>
      <c r="K50" s="19">
        <f>0</f>
        <v/>
      </c>
      <c r="L50" s="19">
        <f>0</f>
        <v/>
      </c>
      <c r="M50" s="19">
        <f>0</f>
        <v/>
      </c>
      <c r="N50" s="19">
        <f>0</f>
        <v/>
      </c>
      <c r="O50" s="19">
        <f>0</f>
        <v/>
      </c>
      <c r="P50" s="19">
        <f>0</f>
        <v/>
      </c>
      <c r="Q50" s="19">
        <f>0</f>
        <v/>
      </c>
      <c r="R50" s="19">
        <f>0</f>
        <v/>
      </c>
      <c r="S50" s="19">
        <f>0</f>
        <v/>
      </c>
      <c r="T50" s="19">
        <f>0</f>
        <v/>
      </c>
      <c r="U50" s="19">
        <f>0</f>
        <v/>
      </c>
      <c r="V50" s="19">
        <f>0</f>
        <v/>
      </c>
      <c r="W50" s="19">
        <f>0</f>
        <v/>
      </c>
      <c r="X50" s="19">
        <f>0</f>
        <v/>
      </c>
      <c r="Y50" s="19">
        <f>0</f>
        <v/>
      </c>
      <c r="Z50" s="19">
        <f>0</f>
        <v/>
      </c>
      <c r="AA50" s="19">
        <f>0</f>
        <v/>
      </c>
      <c r="AB50" s="19">
        <f>0</f>
        <v/>
      </c>
      <c r="AC50" s="19">
        <f>0</f>
        <v/>
      </c>
      <c r="AD50" s="19">
        <f>0</f>
        <v/>
      </c>
      <c r="AE50" s="19">
        <f>0</f>
        <v/>
      </c>
      <c r="AF50" s="19">
        <f>0</f>
        <v/>
      </c>
      <c r="AG50" s="19">
        <f>0</f>
        <v/>
      </c>
      <c r="AH50" s="19">
        <f>0</f>
        <v/>
      </c>
      <c r="AI50" s="19">
        <f>0</f>
        <v/>
      </c>
      <c r="AJ50" s="19">
        <f>0</f>
        <v/>
      </c>
      <c r="AK50" s="19">
        <f>0</f>
        <v/>
      </c>
      <c r="AL50" s="19">
        <f>0</f>
        <v/>
      </c>
      <c r="AM50" s="47">
        <f>SUMIF($C$6:$AL$6,1,C50:AL50)</f>
        <v/>
      </c>
      <c r="AN50" s="47">
        <f>SUMIF($C$6:$AL$6,2,C50:AL50)</f>
        <v/>
      </c>
      <c r="AO50" s="47">
        <f>SUMIF($C$6:$AL$6,3,C50:AL50)</f>
        <v/>
      </c>
      <c r="AP50" s="47">
        <f>SUM(C50:AL50)</f>
        <v/>
      </c>
    </row>
    <row r="51">
      <c r="A51" s="7" t="inlineStr">
        <is>
          <t>Inventory purchases (offset print runs, landed)</t>
        </is>
      </c>
      <c r="C51" s="8">
        <f>-'36-Month Forecast'!C270</f>
        <v/>
      </c>
      <c r="D51" s="8">
        <f>-'36-Month Forecast'!D270</f>
        <v/>
      </c>
      <c r="E51" s="8">
        <f>-'36-Month Forecast'!E270</f>
        <v/>
      </c>
      <c r="F51" s="8">
        <f>-'36-Month Forecast'!F270</f>
        <v/>
      </c>
      <c r="G51" s="8">
        <f>-'36-Month Forecast'!G270</f>
        <v/>
      </c>
      <c r="H51" s="8">
        <f>-'36-Month Forecast'!H270</f>
        <v/>
      </c>
      <c r="I51" s="8">
        <f>-'36-Month Forecast'!I270</f>
        <v/>
      </c>
      <c r="J51" s="8">
        <f>-'36-Month Forecast'!J270</f>
        <v/>
      </c>
      <c r="K51" s="8">
        <f>-'36-Month Forecast'!K270</f>
        <v/>
      </c>
      <c r="L51" s="8">
        <f>-'36-Month Forecast'!L270</f>
        <v/>
      </c>
      <c r="M51" s="8">
        <f>-'36-Month Forecast'!M270</f>
        <v/>
      </c>
      <c r="N51" s="8">
        <f>-'36-Month Forecast'!N270</f>
        <v/>
      </c>
      <c r="O51" s="8">
        <f>-'36-Month Forecast'!O270</f>
        <v/>
      </c>
      <c r="P51" s="8">
        <f>-'36-Month Forecast'!P270</f>
        <v/>
      </c>
      <c r="Q51" s="8">
        <f>-'36-Month Forecast'!Q270</f>
        <v/>
      </c>
      <c r="R51" s="8">
        <f>-'36-Month Forecast'!R270</f>
        <v/>
      </c>
      <c r="S51" s="8">
        <f>-'36-Month Forecast'!S270</f>
        <v/>
      </c>
      <c r="T51" s="8">
        <f>-'36-Month Forecast'!T270</f>
        <v/>
      </c>
      <c r="U51" s="8">
        <f>-'36-Month Forecast'!U270</f>
        <v/>
      </c>
      <c r="V51" s="8">
        <f>-'36-Month Forecast'!V270</f>
        <v/>
      </c>
      <c r="W51" s="8">
        <f>-'36-Month Forecast'!W270</f>
        <v/>
      </c>
      <c r="X51" s="8">
        <f>-'36-Month Forecast'!X270</f>
        <v/>
      </c>
      <c r="Y51" s="8">
        <f>-'36-Month Forecast'!Y270</f>
        <v/>
      </c>
      <c r="Z51" s="8">
        <f>-'36-Month Forecast'!Z270</f>
        <v/>
      </c>
      <c r="AA51" s="8">
        <f>-'36-Month Forecast'!AA270</f>
        <v/>
      </c>
      <c r="AB51" s="8">
        <f>-'36-Month Forecast'!AB270</f>
        <v/>
      </c>
      <c r="AC51" s="8">
        <f>-'36-Month Forecast'!AC270</f>
        <v/>
      </c>
      <c r="AD51" s="8">
        <f>-'36-Month Forecast'!AD270</f>
        <v/>
      </c>
      <c r="AE51" s="8">
        <f>-'36-Month Forecast'!AE270</f>
        <v/>
      </c>
      <c r="AF51" s="8">
        <f>-'36-Month Forecast'!AF270</f>
        <v/>
      </c>
      <c r="AG51" s="8">
        <f>-'36-Month Forecast'!AG270</f>
        <v/>
      </c>
      <c r="AH51" s="8">
        <f>-'36-Month Forecast'!AH270</f>
        <v/>
      </c>
      <c r="AI51" s="8">
        <f>-'36-Month Forecast'!AI270</f>
        <v/>
      </c>
      <c r="AJ51" s="8">
        <f>-'36-Month Forecast'!AJ270</f>
        <v/>
      </c>
      <c r="AK51" s="8">
        <f>-'36-Month Forecast'!AK270</f>
        <v/>
      </c>
      <c r="AL51" s="8">
        <f>-'36-Month Forecast'!AL270</f>
        <v/>
      </c>
      <c r="AM51" s="47">
        <f>SUMIF($C$6:$AL$6,1,C51:AL51)</f>
        <v/>
      </c>
      <c r="AN51" s="47">
        <f>SUMIF($C$6:$AL$6,2,C51:AL51)</f>
        <v/>
      </c>
      <c r="AO51" s="47">
        <f>SUMIF($C$6:$AL$6,3,C51:AL51)</f>
        <v/>
      </c>
      <c r="AP51" s="47">
        <f>SUM(C51:AL51)</f>
        <v/>
      </c>
    </row>
    <row r="52">
      <c r="A52" s="7" t="inlineStr">
        <is>
          <t>Paid advertising</t>
        </is>
      </c>
      <c r="C52" s="8">
        <f>-'36-Month Forecast'!C257</f>
        <v/>
      </c>
      <c r="D52" s="8">
        <f>-'36-Month Forecast'!D257</f>
        <v/>
      </c>
      <c r="E52" s="8">
        <f>-'36-Month Forecast'!E257</f>
        <v/>
      </c>
      <c r="F52" s="8">
        <f>-'36-Month Forecast'!F257</f>
        <v/>
      </c>
      <c r="G52" s="8">
        <f>-'36-Month Forecast'!G257</f>
        <v/>
      </c>
      <c r="H52" s="8">
        <f>-'36-Month Forecast'!H257</f>
        <v/>
      </c>
      <c r="I52" s="8">
        <f>-'36-Month Forecast'!I257</f>
        <v/>
      </c>
      <c r="J52" s="8">
        <f>-'36-Month Forecast'!J257</f>
        <v/>
      </c>
      <c r="K52" s="8">
        <f>-'36-Month Forecast'!K257</f>
        <v/>
      </c>
      <c r="L52" s="8">
        <f>-'36-Month Forecast'!L257</f>
        <v/>
      </c>
      <c r="M52" s="8">
        <f>-'36-Month Forecast'!M257</f>
        <v/>
      </c>
      <c r="N52" s="8">
        <f>-'36-Month Forecast'!N257</f>
        <v/>
      </c>
      <c r="O52" s="8">
        <f>-'36-Month Forecast'!O257</f>
        <v/>
      </c>
      <c r="P52" s="8">
        <f>-'36-Month Forecast'!P257</f>
        <v/>
      </c>
      <c r="Q52" s="8">
        <f>-'36-Month Forecast'!Q257</f>
        <v/>
      </c>
      <c r="R52" s="8">
        <f>-'36-Month Forecast'!R257</f>
        <v/>
      </c>
      <c r="S52" s="8">
        <f>-'36-Month Forecast'!S257</f>
        <v/>
      </c>
      <c r="T52" s="8">
        <f>-'36-Month Forecast'!T257</f>
        <v/>
      </c>
      <c r="U52" s="8">
        <f>-'36-Month Forecast'!U257</f>
        <v/>
      </c>
      <c r="V52" s="8">
        <f>-'36-Month Forecast'!V257</f>
        <v/>
      </c>
      <c r="W52" s="8">
        <f>-'36-Month Forecast'!W257</f>
        <v/>
      </c>
      <c r="X52" s="8">
        <f>-'36-Month Forecast'!X257</f>
        <v/>
      </c>
      <c r="Y52" s="8">
        <f>-'36-Month Forecast'!Y257</f>
        <v/>
      </c>
      <c r="Z52" s="8">
        <f>-'36-Month Forecast'!Z257</f>
        <v/>
      </c>
      <c r="AA52" s="8">
        <f>-'36-Month Forecast'!AA257</f>
        <v/>
      </c>
      <c r="AB52" s="8">
        <f>-'36-Month Forecast'!AB257</f>
        <v/>
      </c>
      <c r="AC52" s="8">
        <f>-'36-Month Forecast'!AC257</f>
        <v/>
      </c>
      <c r="AD52" s="8">
        <f>-'36-Month Forecast'!AD257</f>
        <v/>
      </c>
      <c r="AE52" s="8">
        <f>-'36-Month Forecast'!AE257</f>
        <v/>
      </c>
      <c r="AF52" s="8">
        <f>-'36-Month Forecast'!AF257</f>
        <v/>
      </c>
      <c r="AG52" s="8">
        <f>-'36-Month Forecast'!AG257</f>
        <v/>
      </c>
      <c r="AH52" s="8">
        <f>-'36-Month Forecast'!AH257</f>
        <v/>
      </c>
      <c r="AI52" s="8">
        <f>-'36-Month Forecast'!AI257</f>
        <v/>
      </c>
      <c r="AJ52" s="8">
        <f>-'36-Month Forecast'!AJ257</f>
        <v/>
      </c>
      <c r="AK52" s="8">
        <f>-'36-Month Forecast'!AK257</f>
        <v/>
      </c>
      <c r="AL52" s="8">
        <f>-'36-Month Forecast'!AL257</f>
        <v/>
      </c>
      <c r="AM52" s="47">
        <f>SUMIF($C$6:$AL$6,1,C52:AL52)</f>
        <v/>
      </c>
      <c r="AN52" s="47">
        <f>SUMIF($C$6:$AL$6,2,C52:AL52)</f>
        <v/>
      </c>
      <c r="AO52" s="47">
        <f>SUMIF($C$6:$AL$6,3,C52:AL52)</f>
        <v/>
      </c>
      <c r="AP52" s="47">
        <f>SUM(C52:AL52)</f>
        <v/>
      </c>
    </row>
    <row r="53">
      <c r="A53" s="7" t="inlineStr">
        <is>
          <t>Operating costs</t>
        </is>
      </c>
      <c r="C53" s="8">
        <f>-'36-Month Forecast'!C258</f>
        <v/>
      </c>
      <c r="D53" s="8">
        <f>-'36-Month Forecast'!D258</f>
        <v/>
      </c>
      <c r="E53" s="8">
        <f>-'36-Month Forecast'!E258</f>
        <v/>
      </c>
      <c r="F53" s="8">
        <f>-'36-Month Forecast'!F258</f>
        <v/>
      </c>
      <c r="G53" s="8">
        <f>-'36-Month Forecast'!G258</f>
        <v/>
      </c>
      <c r="H53" s="8">
        <f>-'36-Month Forecast'!H258</f>
        <v/>
      </c>
      <c r="I53" s="8">
        <f>-'36-Month Forecast'!I258</f>
        <v/>
      </c>
      <c r="J53" s="8">
        <f>-'36-Month Forecast'!J258</f>
        <v/>
      </c>
      <c r="K53" s="8">
        <f>-'36-Month Forecast'!K258</f>
        <v/>
      </c>
      <c r="L53" s="8">
        <f>-'36-Month Forecast'!L258</f>
        <v/>
      </c>
      <c r="M53" s="8">
        <f>-'36-Month Forecast'!M258</f>
        <v/>
      </c>
      <c r="N53" s="8">
        <f>-'36-Month Forecast'!N258</f>
        <v/>
      </c>
      <c r="O53" s="8">
        <f>-'36-Month Forecast'!O258</f>
        <v/>
      </c>
      <c r="P53" s="8">
        <f>-'36-Month Forecast'!P258</f>
        <v/>
      </c>
      <c r="Q53" s="8">
        <f>-'36-Month Forecast'!Q258</f>
        <v/>
      </c>
      <c r="R53" s="8">
        <f>-'36-Month Forecast'!R258</f>
        <v/>
      </c>
      <c r="S53" s="8">
        <f>-'36-Month Forecast'!S258</f>
        <v/>
      </c>
      <c r="T53" s="8">
        <f>-'36-Month Forecast'!T258</f>
        <v/>
      </c>
      <c r="U53" s="8">
        <f>-'36-Month Forecast'!U258</f>
        <v/>
      </c>
      <c r="V53" s="8">
        <f>-'36-Month Forecast'!V258</f>
        <v/>
      </c>
      <c r="W53" s="8">
        <f>-'36-Month Forecast'!W258</f>
        <v/>
      </c>
      <c r="X53" s="8">
        <f>-'36-Month Forecast'!X258</f>
        <v/>
      </c>
      <c r="Y53" s="8">
        <f>-'36-Month Forecast'!Y258</f>
        <v/>
      </c>
      <c r="Z53" s="8">
        <f>-'36-Month Forecast'!Z258</f>
        <v/>
      </c>
      <c r="AA53" s="8">
        <f>-'36-Month Forecast'!AA258</f>
        <v/>
      </c>
      <c r="AB53" s="8">
        <f>-'36-Month Forecast'!AB258</f>
        <v/>
      </c>
      <c r="AC53" s="8">
        <f>-'36-Month Forecast'!AC258</f>
        <v/>
      </c>
      <c r="AD53" s="8">
        <f>-'36-Month Forecast'!AD258</f>
        <v/>
      </c>
      <c r="AE53" s="8">
        <f>-'36-Month Forecast'!AE258</f>
        <v/>
      </c>
      <c r="AF53" s="8">
        <f>-'36-Month Forecast'!AF258</f>
        <v/>
      </c>
      <c r="AG53" s="8">
        <f>-'36-Month Forecast'!AG258</f>
        <v/>
      </c>
      <c r="AH53" s="8">
        <f>-'36-Month Forecast'!AH258</f>
        <v/>
      </c>
      <c r="AI53" s="8">
        <f>-'36-Month Forecast'!AI258</f>
        <v/>
      </c>
      <c r="AJ53" s="8">
        <f>-'36-Month Forecast'!AJ258</f>
        <v/>
      </c>
      <c r="AK53" s="8">
        <f>-'36-Month Forecast'!AK258</f>
        <v/>
      </c>
      <c r="AL53" s="8">
        <f>-'36-Month Forecast'!AL258</f>
        <v/>
      </c>
      <c r="AM53" s="47">
        <f>SUMIF($C$6:$AL$6,1,C53:AL53)</f>
        <v/>
      </c>
      <c r="AN53" s="47">
        <f>SUMIF($C$6:$AL$6,2,C53:AL53)</f>
        <v/>
      </c>
      <c r="AO53" s="47">
        <f>SUMIF($C$6:$AL$6,3,C53:AL53)</f>
        <v/>
      </c>
      <c r="AP53" s="47">
        <f>SUM(C53:AL53)</f>
        <v/>
      </c>
    </row>
    <row r="54">
      <c r="A54" s="7" t="inlineStr">
        <is>
          <t>Wave fixed costs</t>
        </is>
      </c>
      <c r="C54" s="8">
        <f>-'36-Month Forecast'!C259</f>
        <v/>
      </c>
      <c r="D54" s="8">
        <f>-'36-Month Forecast'!D259</f>
        <v/>
      </c>
      <c r="E54" s="8">
        <f>-'36-Month Forecast'!E259</f>
        <v/>
      </c>
      <c r="F54" s="8">
        <f>-'36-Month Forecast'!F259</f>
        <v/>
      </c>
      <c r="G54" s="8">
        <f>-'36-Month Forecast'!G259</f>
        <v/>
      </c>
      <c r="H54" s="8">
        <f>-'36-Month Forecast'!H259</f>
        <v/>
      </c>
      <c r="I54" s="8">
        <f>-'36-Month Forecast'!I259</f>
        <v/>
      </c>
      <c r="J54" s="8">
        <f>-'36-Month Forecast'!J259</f>
        <v/>
      </c>
      <c r="K54" s="8">
        <f>-'36-Month Forecast'!K259</f>
        <v/>
      </c>
      <c r="L54" s="8">
        <f>-'36-Month Forecast'!L259</f>
        <v/>
      </c>
      <c r="M54" s="8">
        <f>-'36-Month Forecast'!M259</f>
        <v/>
      </c>
      <c r="N54" s="8">
        <f>-'36-Month Forecast'!N259</f>
        <v/>
      </c>
      <c r="O54" s="8">
        <f>-'36-Month Forecast'!O259</f>
        <v/>
      </c>
      <c r="P54" s="8">
        <f>-'36-Month Forecast'!P259</f>
        <v/>
      </c>
      <c r="Q54" s="8">
        <f>-'36-Month Forecast'!Q259</f>
        <v/>
      </c>
      <c r="R54" s="8">
        <f>-'36-Month Forecast'!R259</f>
        <v/>
      </c>
      <c r="S54" s="8">
        <f>-'36-Month Forecast'!S259</f>
        <v/>
      </c>
      <c r="T54" s="8">
        <f>-'36-Month Forecast'!T259</f>
        <v/>
      </c>
      <c r="U54" s="8">
        <f>-'36-Month Forecast'!U259</f>
        <v/>
      </c>
      <c r="V54" s="8">
        <f>-'36-Month Forecast'!V259</f>
        <v/>
      </c>
      <c r="W54" s="8">
        <f>-'36-Month Forecast'!W259</f>
        <v/>
      </c>
      <c r="X54" s="8">
        <f>-'36-Month Forecast'!X259</f>
        <v/>
      </c>
      <c r="Y54" s="8">
        <f>-'36-Month Forecast'!Y259</f>
        <v/>
      </c>
      <c r="Z54" s="8">
        <f>-'36-Month Forecast'!Z259</f>
        <v/>
      </c>
      <c r="AA54" s="8">
        <f>-'36-Month Forecast'!AA259</f>
        <v/>
      </c>
      <c r="AB54" s="8">
        <f>-'36-Month Forecast'!AB259</f>
        <v/>
      </c>
      <c r="AC54" s="8">
        <f>-'36-Month Forecast'!AC259</f>
        <v/>
      </c>
      <c r="AD54" s="8">
        <f>-'36-Month Forecast'!AD259</f>
        <v/>
      </c>
      <c r="AE54" s="8">
        <f>-'36-Month Forecast'!AE259</f>
        <v/>
      </c>
      <c r="AF54" s="8">
        <f>-'36-Month Forecast'!AF259</f>
        <v/>
      </c>
      <c r="AG54" s="8">
        <f>-'36-Month Forecast'!AG259</f>
        <v/>
      </c>
      <c r="AH54" s="8">
        <f>-'36-Month Forecast'!AH259</f>
        <v/>
      </c>
      <c r="AI54" s="8">
        <f>-'36-Month Forecast'!AI259</f>
        <v/>
      </c>
      <c r="AJ54" s="8">
        <f>-'36-Month Forecast'!AJ259</f>
        <v/>
      </c>
      <c r="AK54" s="8">
        <f>-'36-Month Forecast'!AK259</f>
        <v/>
      </c>
      <c r="AL54" s="8">
        <f>-'36-Month Forecast'!AL259</f>
        <v/>
      </c>
      <c r="AM54" s="47">
        <f>SUMIF($C$6:$AL$6,1,C54:AL54)</f>
        <v/>
      </c>
      <c r="AN54" s="47">
        <f>SUMIF($C$6:$AL$6,2,C54:AL54)</f>
        <v/>
      </c>
      <c r="AO54" s="47">
        <f>SUMIF($C$6:$AL$6,3,C54:AL54)</f>
        <v/>
      </c>
      <c r="AP54" s="47">
        <f>SUM(C54:AL54)</f>
        <v/>
      </c>
    </row>
    <row r="55">
      <c r="A55" s="7" t="inlineStr">
        <is>
          <t>One-time startup costs</t>
        </is>
      </c>
      <c r="C55" s="8">
        <f>-'36-Month Forecast'!C262</f>
        <v/>
      </c>
      <c r="D55" s="8">
        <f>-'36-Month Forecast'!D262</f>
        <v/>
      </c>
      <c r="E55" s="8">
        <f>-'36-Month Forecast'!E262</f>
        <v/>
      </c>
      <c r="F55" s="8">
        <f>-'36-Month Forecast'!F262</f>
        <v/>
      </c>
      <c r="G55" s="8">
        <f>-'36-Month Forecast'!G262</f>
        <v/>
      </c>
      <c r="H55" s="8">
        <f>-'36-Month Forecast'!H262</f>
        <v/>
      </c>
      <c r="I55" s="8">
        <f>-'36-Month Forecast'!I262</f>
        <v/>
      </c>
      <c r="J55" s="8">
        <f>-'36-Month Forecast'!J262</f>
        <v/>
      </c>
      <c r="K55" s="8">
        <f>-'36-Month Forecast'!K262</f>
        <v/>
      </c>
      <c r="L55" s="8">
        <f>-'36-Month Forecast'!L262</f>
        <v/>
      </c>
      <c r="M55" s="8">
        <f>-'36-Month Forecast'!M262</f>
        <v/>
      </c>
      <c r="N55" s="8">
        <f>-'36-Month Forecast'!N262</f>
        <v/>
      </c>
      <c r="O55" s="8">
        <f>-'36-Month Forecast'!O262</f>
        <v/>
      </c>
      <c r="P55" s="8">
        <f>-'36-Month Forecast'!P262</f>
        <v/>
      </c>
      <c r="Q55" s="8">
        <f>-'36-Month Forecast'!Q262</f>
        <v/>
      </c>
      <c r="R55" s="8">
        <f>-'36-Month Forecast'!R262</f>
        <v/>
      </c>
      <c r="S55" s="8">
        <f>-'36-Month Forecast'!S262</f>
        <v/>
      </c>
      <c r="T55" s="8">
        <f>-'36-Month Forecast'!T262</f>
        <v/>
      </c>
      <c r="U55" s="8">
        <f>-'36-Month Forecast'!U262</f>
        <v/>
      </c>
      <c r="V55" s="8">
        <f>-'36-Month Forecast'!V262</f>
        <v/>
      </c>
      <c r="W55" s="8">
        <f>-'36-Month Forecast'!W262</f>
        <v/>
      </c>
      <c r="X55" s="8">
        <f>-'36-Month Forecast'!X262</f>
        <v/>
      </c>
      <c r="Y55" s="8">
        <f>-'36-Month Forecast'!Y262</f>
        <v/>
      </c>
      <c r="Z55" s="8">
        <f>-'36-Month Forecast'!Z262</f>
        <v/>
      </c>
      <c r="AA55" s="8">
        <f>-'36-Month Forecast'!AA262</f>
        <v/>
      </c>
      <c r="AB55" s="8">
        <f>-'36-Month Forecast'!AB262</f>
        <v/>
      </c>
      <c r="AC55" s="8">
        <f>-'36-Month Forecast'!AC262</f>
        <v/>
      </c>
      <c r="AD55" s="8">
        <f>-'36-Month Forecast'!AD262</f>
        <v/>
      </c>
      <c r="AE55" s="8">
        <f>-'36-Month Forecast'!AE262</f>
        <v/>
      </c>
      <c r="AF55" s="8">
        <f>-'36-Month Forecast'!AF262</f>
        <v/>
      </c>
      <c r="AG55" s="8">
        <f>-'36-Month Forecast'!AG262</f>
        <v/>
      </c>
      <c r="AH55" s="8">
        <f>-'36-Month Forecast'!AH262</f>
        <v/>
      </c>
      <c r="AI55" s="8">
        <f>-'36-Month Forecast'!AI262</f>
        <v/>
      </c>
      <c r="AJ55" s="8">
        <f>-'36-Month Forecast'!AJ262</f>
        <v/>
      </c>
      <c r="AK55" s="8">
        <f>-'36-Month Forecast'!AK262</f>
        <v/>
      </c>
      <c r="AL55" s="8">
        <f>-'36-Month Forecast'!AL262</f>
        <v/>
      </c>
      <c r="AM55" s="47">
        <f>SUMIF($C$6:$AL$6,1,C55:AL55)</f>
        <v/>
      </c>
      <c r="AN55" s="47">
        <f>SUMIF($C$6:$AL$6,2,C55:AL55)</f>
        <v/>
      </c>
      <c r="AO55" s="47">
        <f>SUMIF($C$6:$AL$6,3,C55:AL55)</f>
        <v/>
      </c>
      <c r="AP55" s="47">
        <f>SUM(C55:AL55)</f>
        <v/>
      </c>
    </row>
    <row r="56">
      <c r="A56" s="7" t="inlineStr">
        <is>
          <t>One-time wave costs</t>
        </is>
      </c>
      <c r="C56" s="8">
        <f>-'36-Month Forecast'!C263</f>
        <v/>
      </c>
      <c r="D56" s="8">
        <f>-'36-Month Forecast'!D263</f>
        <v/>
      </c>
      <c r="E56" s="8">
        <f>-'36-Month Forecast'!E263</f>
        <v/>
      </c>
      <c r="F56" s="8">
        <f>-'36-Month Forecast'!F263</f>
        <v/>
      </c>
      <c r="G56" s="8">
        <f>-'36-Month Forecast'!G263</f>
        <v/>
      </c>
      <c r="H56" s="8">
        <f>-'36-Month Forecast'!H263</f>
        <v/>
      </c>
      <c r="I56" s="8">
        <f>-'36-Month Forecast'!I263</f>
        <v/>
      </c>
      <c r="J56" s="8">
        <f>-'36-Month Forecast'!J263</f>
        <v/>
      </c>
      <c r="K56" s="8">
        <f>-'36-Month Forecast'!K263</f>
        <v/>
      </c>
      <c r="L56" s="8">
        <f>-'36-Month Forecast'!L263</f>
        <v/>
      </c>
      <c r="M56" s="8">
        <f>-'36-Month Forecast'!M263</f>
        <v/>
      </c>
      <c r="N56" s="8">
        <f>-'36-Month Forecast'!N263</f>
        <v/>
      </c>
      <c r="O56" s="8">
        <f>-'36-Month Forecast'!O263</f>
        <v/>
      </c>
      <c r="P56" s="8">
        <f>-'36-Month Forecast'!P263</f>
        <v/>
      </c>
      <c r="Q56" s="8">
        <f>-'36-Month Forecast'!Q263</f>
        <v/>
      </c>
      <c r="R56" s="8">
        <f>-'36-Month Forecast'!R263</f>
        <v/>
      </c>
      <c r="S56" s="8">
        <f>-'36-Month Forecast'!S263</f>
        <v/>
      </c>
      <c r="T56" s="8">
        <f>-'36-Month Forecast'!T263</f>
        <v/>
      </c>
      <c r="U56" s="8">
        <f>-'36-Month Forecast'!U263</f>
        <v/>
      </c>
      <c r="V56" s="8">
        <f>-'36-Month Forecast'!V263</f>
        <v/>
      </c>
      <c r="W56" s="8">
        <f>-'36-Month Forecast'!W263</f>
        <v/>
      </c>
      <c r="X56" s="8">
        <f>-'36-Month Forecast'!X263</f>
        <v/>
      </c>
      <c r="Y56" s="8">
        <f>-'36-Month Forecast'!Y263</f>
        <v/>
      </c>
      <c r="Z56" s="8">
        <f>-'36-Month Forecast'!Z263</f>
        <v/>
      </c>
      <c r="AA56" s="8">
        <f>-'36-Month Forecast'!AA263</f>
        <v/>
      </c>
      <c r="AB56" s="8">
        <f>-'36-Month Forecast'!AB263</f>
        <v/>
      </c>
      <c r="AC56" s="8">
        <f>-'36-Month Forecast'!AC263</f>
        <v/>
      </c>
      <c r="AD56" s="8">
        <f>-'36-Month Forecast'!AD263</f>
        <v/>
      </c>
      <c r="AE56" s="8">
        <f>-'36-Month Forecast'!AE263</f>
        <v/>
      </c>
      <c r="AF56" s="8">
        <f>-'36-Month Forecast'!AF263</f>
        <v/>
      </c>
      <c r="AG56" s="8">
        <f>-'36-Month Forecast'!AG263</f>
        <v/>
      </c>
      <c r="AH56" s="8">
        <f>-'36-Month Forecast'!AH263</f>
        <v/>
      </c>
      <c r="AI56" s="8">
        <f>-'36-Month Forecast'!AI263</f>
        <v/>
      </c>
      <c r="AJ56" s="8">
        <f>-'36-Month Forecast'!AJ263</f>
        <v/>
      </c>
      <c r="AK56" s="8">
        <f>-'36-Month Forecast'!AK263</f>
        <v/>
      </c>
      <c r="AL56" s="8">
        <f>-'36-Month Forecast'!AL263</f>
        <v/>
      </c>
      <c r="AM56" s="47">
        <f>SUMIF($C$6:$AL$6,1,C56:AL56)</f>
        <v/>
      </c>
      <c r="AN56" s="47">
        <f>SUMIF($C$6:$AL$6,2,C56:AL56)</f>
        <v/>
      </c>
      <c r="AO56" s="47">
        <f>SUMIF($C$6:$AL$6,3,C56:AL56)</f>
        <v/>
      </c>
      <c r="AP56" s="47">
        <f>SUM(C56:AL56)</f>
        <v/>
      </c>
    </row>
    <row r="57">
      <c r="A57" s="60" t="inlineStr">
        <is>
          <t>NET CASH FLOW before tax reserve and founder capital</t>
        </is>
      </c>
      <c r="B57" s="64" t="n"/>
      <c r="C57" s="62">
        <f>SUM(C49:C56)</f>
        <v/>
      </c>
      <c r="D57" s="62">
        <f>SUM(D49:D56)</f>
        <v/>
      </c>
      <c r="E57" s="62">
        <f>SUM(E49:E56)</f>
        <v/>
      </c>
      <c r="F57" s="62">
        <f>SUM(F49:F56)</f>
        <v/>
      </c>
      <c r="G57" s="62">
        <f>SUM(G49:G56)</f>
        <v/>
      </c>
      <c r="H57" s="62">
        <f>SUM(H49:H56)</f>
        <v/>
      </c>
      <c r="I57" s="62">
        <f>SUM(I49:I56)</f>
        <v/>
      </c>
      <c r="J57" s="62">
        <f>SUM(J49:J56)</f>
        <v/>
      </c>
      <c r="K57" s="62">
        <f>SUM(K49:K56)</f>
        <v/>
      </c>
      <c r="L57" s="62">
        <f>SUM(L49:L56)</f>
        <v/>
      </c>
      <c r="M57" s="62">
        <f>SUM(M49:M56)</f>
        <v/>
      </c>
      <c r="N57" s="62">
        <f>SUM(N49:N56)</f>
        <v/>
      </c>
      <c r="O57" s="62">
        <f>SUM(O49:O56)</f>
        <v/>
      </c>
      <c r="P57" s="62">
        <f>SUM(P49:P56)</f>
        <v/>
      </c>
      <c r="Q57" s="62">
        <f>SUM(Q49:Q56)</f>
        <v/>
      </c>
      <c r="R57" s="62">
        <f>SUM(R49:R56)</f>
        <v/>
      </c>
      <c r="S57" s="62">
        <f>SUM(S49:S56)</f>
        <v/>
      </c>
      <c r="T57" s="62">
        <f>SUM(T49:T56)</f>
        <v/>
      </c>
      <c r="U57" s="62">
        <f>SUM(U49:U56)</f>
        <v/>
      </c>
      <c r="V57" s="62">
        <f>SUM(V49:V56)</f>
        <v/>
      </c>
      <c r="W57" s="62">
        <f>SUM(W49:W56)</f>
        <v/>
      </c>
      <c r="X57" s="62">
        <f>SUM(X49:X56)</f>
        <v/>
      </c>
      <c r="Y57" s="62">
        <f>SUM(Y49:Y56)</f>
        <v/>
      </c>
      <c r="Z57" s="62">
        <f>SUM(Z49:Z56)</f>
        <v/>
      </c>
      <c r="AA57" s="62">
        <f>SUM(AA49:AA56)</f>
        <v/>
      </c>
      <c r="AB57" s="62">
        <f>SUM(AB49:AB56)</f>
        <v/>
      </c>
      <c r="AC57" s="62">
        <f>SUM(AC49:AC56)</f>
        <v/>
      </c>
      <c r="AD57" s="62">
        <f>SUM(AD49:AD56)</f>
        <v/>
      </c>
      <c r="AE57" s="62">
        <f>SUM(AE49:AE56)</f>
        <v/>
      </c>
      <c r="AF57" s="62">
        <f>SUM(AF49:AF56)</f>
        <v/>
      </c>
      <c r="AG57" s="62">
        <f>SUM(AG49:AG56)</f>
        <v/>
      </c>
      <c r="AH57" s="62">
        <f>SUM(AH49:AH56)</f>
        <v/>
      </c>
      <c r="AI57" s="62">
        <f>SUM(AI49:AI56)</f>
        <v/>
      </c>
      <c r="AJ57" s="62">
        <f>SUM(AJ49:AJ56)</f>
        <v/>
      </c>
      <c r="AK57" s="62">
        <f>SUM(AK49:AK56)</f>
        <v/>
      </c>
      <c r="AL57" s="62">
        <f>SUM(AL49:AL56)</f>
        <v/>
      </c>
      <c r="AM57" s="63">
        <f>SUMIF($C$6:$AL$6,1,C57:AL57)</f>
        <v/>
      </c>
      <c r="AN57" s="63">
        <f>SUMIF($C$6:$AL$6,2,C57:AL57)</f>
        <v/>
      </c>
      <c r="AO57" s="63">
        <f>SUMIF($C$6:$AL$6,3,C57:AL57)</f>
        <v/>
      </c>
      <c r="AP57" s="63">
        <f>SUM(C57:AL57)</f>
        <v/>
      </c>
    </row>
    <row r="58">
      <c r="A58" s="7" t="inlineStr">
        <is>
          <t>Transfer to (-) or from (+) the tax reserve account</t>
        </is>
      </c>
      <c r="C58" s="19">
        <f>0-C62</f>
        <v/>
      </c>
      <c r="D58" s="19">
        <f>C62-D62</f>
        <v/>
      </c>
      <c r="E58" s="19">
        <f>D62-E62</f>
        <v/>
      </c>
      <c r="F58" s="19">
        <f>E62-F62</f>
        <v/>
      </c>
      <c r="G58" s="19">
        <f>F62-G62</f>
        <v/>
      </c>
      <c r="H58" s="19">
        <f>G62-H62</f>
        <v/>
      </c>
      <c r="I58" s="19">
        <f>H62-I62</f>
        <v/>
      </c>
      <c r="J58" s="19">
        <f>I62-J62</f>
        <v/>
      </c>
      <c r="K58" s="19">
        <f>J62-K62</f>
        <v/>
      </c>
      <c r="L58" s="19">
        <f>K62-L62</f>
        <v/>
      </c>
      <c r="M58" s="19">
        <f>L62-M62</f>
        <v/>
      </c>
      <c r="N58" s="19">
        <f>M62-N62</f>
        <v/>
      </c>
      <c r="O58" s="19">
        <f>N62-O62</f>
        <v/>
      </c>
      <c r="P58" s="19">
        <f>O62-P62</f>
        <v/>
      </c>
      <c r="Q58" s="19">
        <f>P62-Q62</f>
        <v/>
      </c>
      <c r="R58" s="19">
        <f>Q62-R62</f>
        <v/>
      </c>
      <c r="S58" s="19">
        <f>R62-S62</f>
        <v/>
      </c>
      <c r="T58" s="19">
        <f>S62-T62</f>
        <v/>
      </c>
      <c r="U58" s="19">
        <f>T62-U62</f>
        <v/>
      </c>
      <c r="V58" s="19">
        <f>U62-V62</f>
        <v/>
      </c>
      <c r="W58" s="19">
        <f>V62-W62</f>
        <v/>
      </c>
      <c r="X58" s="19">
        <f>W62-X62</f>
        <v/>
      </c>
      <c r="Y58" s="19">
        <f>X62-Y62</f>
        <v/>
      </c>
      <c r="Z58" s="19">
        <f>Y62-Z62</f>
        <v/>
      </c>
      <c r="AA58" s="19">
        <f>Z62-AA62</f>
        <v/>
      </c>
      <c r="AB58" s="19">
        <f>AA62-AB62</f>
        <v/>
      </c>
      <c r="AC58" s="19">
        <f>AB62-AC62</f>
        <v/>
      </c>
      <c r="AD58" s="19">
        <f>AC62-AD62</f>
        <v/>
      </c>
      <c r="AE58" s="19">
        <f>AD62-AE62</f>
        <v/>
      </c>
      <c r="AF58" s="19">
        <f>AE62-AF62</f>
        <v/>
      </c>
      <c r="AG58" s="19">
        <f>AF62-AG62</f>
        <v/>
      </c>
      <c r="AH58" s="19">
        <f>AG62-AH62</f>
        <v/>
      </c>
      <c r="AI58" s="19">
        <f>AH62-AI62</f>
        <v/>
      </c>
      <c r="AJ58" s="19">
        <f>AI62-AJ62</f>
        <v/>
      </c>
      <c r="AK58" s="19">
        <f>AJ62-AK62</f>
        <v/>
      </c>
      <c r="AL58" s="19">
        <f>AK62-AL62</f>
        <v/>
      </c>
      <c r="AM58" s="47">
        <f>SUMIF($C$6:$AL$6,1,C58:AL58)</f>
        <v/>
      </c>
      <c r="AN58" s="47">
        <f>SUMIF($C$6:$AL$6,2,C58:AL58)</f>
        <v/>
      </c>
      <c r="AO58" s="47">
        <f>SUMIF($C$6:$AL$6,3,C58:AL58)</f>
        <v/>
      </c>
      <c r="AP58" s="47">
        <f>SUM(C58:AL58)</f>
        <v/>
      </c>
    </row>
    <row r="59">
      <c r="A59" s="7" t="inlineStr">
        <is>
          <t xml:space="preserve">   Operating balance before founder capital</t>
        </is>
      </c>
      <c r="C59" s="8">
        <f>'Assumptions'!$C$16+C57+C58</f>
        <v/>
      </c>
      <c r="D59" s="19">
        <f>C61+D57+D58</f>
        <v/>
      </c>
      <c r="E59" s="19">
        <f>D61+E57+E58</f>
        <v/>
      </c>
      <c r="F59" s="19">
        <f>E61+F57+F58</f>
        <v/>
      </c>
      <c r="G59" s="19">
        <f>F61+G57+G58</f>
        <v/>
      </c>
      <c r="H59" s="19">
        <f>G61+H57+H58</f>
        <v/>
      </c>
      <c r="I59" s="19">
        <f>H61+I57+I58</f>
        <v/>
      </c>
      <c r="J59" s="19">
        <f>I61+J57+J58</f>
        <v/>
      </c>
      <c r="K59" s="19">
        <f>J61+K57+K58</f>
        <v/>
      </c>
      <c r="L59" s="19">
        <f>K61+L57+L58</f>
        <v/>
      </c>
      <c r="M59" s="19">
        <f>L61+M57+M58</f>
        <v/>
      </c>
      <c r="N59" s="19">
        <f>M61+N57+N58</f>
        <v/>
      </c>
      <c r="O59" s="19">
        <f>N61+O57+O58</f>
        <v/>
      </c>
      <c r="P59" s="19">
        <f>O61+P57+P58</f>
        <v/>
      </c>
      <c r="Q59" s="19">
        <f>P61+Q57+Q58</f>
        <v/>
      </c>
      <c r="R59" s="19">
        <f>Q61+R57+R58</f>
        <v/>
      </c>
      <c r="S59" s="19">
        <f>R61+S57+S58</f>
        <v/>
      </c>
      <c r="T59" s="19">
        <f>S61+T57+T58</f>
        <v/>
      </c>
      <c r="U59" s="19">
        <f>T61+U57+U58</f>
        <v/>
      </c>
      <c r="V59" s="19">
        <f>U61+V57+V58</f>
        <v/>
      </c>
      <c r="W59" s="19">
        <f>V61+W57+W58</f>
        <v/>
      </c>
      <c r="X59" s="19">
        <f>W61+X57+X58</f>
        <v/>
      </c>
      <c r="Y59" s="19">
        <f>X61+Y57+Y58</f>
        <v/>
      </c>
      <c r="Z59" s="19">
        <f>Y61+Z57+Z58</f>
        <v/>
      </c>
      <c r="AA59" s="19">
        <f>Z61+AA57+AA58</f>
        <v/>
      </c>
      <c r="AB59" s="19">
        <f>AA61+AB57+AB58</f>
        <v/>
      </c>
      <c r="AC59" s="19">
        <f>AB61+AC57+AC58</f>
        <v/>
      </c>
      <c r="AD59" s="19">
        <f>AC61+AD57+AD58</f>
        <v/>
      </c>
      <c r="AE59" s="19">
        <f>AD61+AE57+AE58</f>
        <v/>
      </c>
      <c r="AF59" s="19">
        <f>AE61+AF57+AF58</f>
        <v/>
      </c>
      <c r="AG59" s="19">
        <f>AF61+AG57+AG58</f>
        <v/>
      </c>
      <c r="AH59" s="19">
        <f>AG61+AH57+AH58</f>
        <v/>
      </c>
      <c r="AI59" s="19">
        <f>AH61+AI57+AI58</f>
        <v/>
      </c>
      <c r="AJ59" s="19">
        <f>AI61+AJ57+AJ58</f>
        <v/>
      </c>
      <c r="AK59" s="19">
        <f>AJ61+AK57+AK58</f>
        <v/>
      </c>
      <c r="AL59" s="19">
        <f>AK61+AL57+AL58</f>
        <v/>
      </c>
    </row>
    <row r="60">
      <c r="A60" s="60" t="inlineStr">
        <is>
          <t>FOUNDER CAPITAL IN (planned month-1 amount + any top-up that keeps the balance at zero or above)</t>
        </is>
      </c>
      <c r="B60" s="64" t="n"/>
      <c r="C60" s="65">
        <f>'Assumptions'!$C$17+MAX(0,-(C59+'Assumptions'!$C$17))</f>
        <v/>
      </c>
      <c r="D60" s="62">
        <f>0+MAX(0,-(D59+0))</f>
        <v/>
      </c>
      <c r="E60" s="62">
        <f>0+MAX(0,-(E59+0))</f>
        <v/>
      </c>
      <c r="F60" s="62">
        <f>0+MAX(0,-(F59+0))</f>
        <v/>
      </c>
      <c r="G60" s="62">
        <f>0+MAX(0,-(G59+0))</f>
        <v/>
      </c>
      <c r="H60" s="62">
        <f>0+MAX(0,-(H59+0))</f>
        <v/>
      </c>
      <c r="I60" s="62">
        <f>0+MAX(0,-(I59+0))</f>
        <v/>
      </c>
      <c r="J60" s="62">
        <f>0+MAX(0,-(J59+0))</f>
        <v/>
      </c>
      <c r="K60" s="62">
        <f>0+MAX(0,-(K59+0))</f>
        <v/>
      </c>
      <c r="L60" s="62">
        <f>0+MAX(0,-(L59+0))</f>
        <v/>
      </c>
      <c r="M60" s="62">
        <f>0+MAX(0,-(M59+0))</f>
        <v/>
      </c>
      <c r="N60" s="62">
        <f>0+MAX(0,-(N59+0))</f>
        <v/>
      </c>
      <c r="O60" s="62">
        <f>0+MAX(0,-(O59+0))</f>
        <v/>
      </c>
      <c r="P60" s="62">
        <f>0+MAX(0,-(P59+0))</f>
        <v/>
      </c>
      <c r="Q60" s="62">
        <f>0+MAX(0,-(Q59+0))</f>
        <v/>
      </c>
      <c r="R60" s="62">
        <f>0+MAX(0,-(R59+0))</f>
        <v/>
      </c>
      <c r="S60" s="62">
        <f>0+MAX(0,-(S59+0))</f>
        <v/>
      </c>
      <c r="T60" s="62">
        <f>0+MAX(0,-(T59+0))</f>
        <v/>
      </c>
      <c r="U60" s="62">
        <f>0+MAX(0,-(U59+0))</f>
        <v/>
      </c>
      <c r="V60" s="62">
        <f>0+MAX(0,-(V59+0))</f>
        <v/>
      </c>
      <c r="W60" s="62">
        <f>0+MAX(0,-(W59+0))</f>
        <v/>
      </c>
      <c r="X60" s="62">
        <f>0+MAX(0,-(X59+0))</f>
        <v/>
      </c>
      <c r="Y60" s="62">
        <f>0+MAX(0,-(Y59+0))</f>
        <v/>
      </c>
      <c r="Z60" s="62">
        <f>0+MAX(0,-(Z59+0))</f>
        <v/>
      </c>
      <c r="AA60" s="62">
        <f>0+MAX(0,-(AA59+0))</f>
        <v/>
      </c>
      <c r="AB60" s="62">
        <f>0+MAX(0,-(AB59+0))</f>
        <v/>
      </c>
      <c r="AC60" s="62">
        <f>0+MAX(0,-(AC59+0))</f>
        <v/>
      </c>
      <c r="AD60" s="62">
        <f>0+MAX(0,-(AD59+0))</f>
        <v/>
      </c>
      <c r="AE60" s="62">
        <f>0+MAX(0,-(AE59+0))</f>
        <v/>
      </c>
      <c r="AF60" s="62">
        <f>0+MAX(0,-(AF59+0))</f>
        <v/>
      </c>
      <c r="AG60" s="62">
        <f>0+MAX(0,-(AG59+0))</f>
        <v/>
      </c>
      <c r="AH60" s="62">
        <f>0+MAX(0,-(AH59+0))</f>
        <v/>
      </c>
      <c r="AI60" s="62">
        <f>0+MAX(0,-(AI59+0))</f>
        <v/>
      </c>
      <c r="AJ60" s="62">
        <f>0+MAX(0,-(AJ59+0))</f>
        <v/>
      </c>
      <c r="AK60" s="62">
        <f>0+MAX(0,-(AK59+0))</f>
        <v/>
      </c>
      <c r="AL60" s="62">
        <f>0+MAX(0,-(AL59+0))</f>
        <v/>
      </c>
      <c r="AM60" s="63">
        <f>SUMIF($C$6:$AL$6,1,C60:AL60)</f>
        <v/>
      </c>
      <c r="AN60" s="63">
        <f>SUMIF($C$6:$AL$6,2,C60:AL60)</f>
        <v/>
      </c>
      <c r="AO60" s="63">
        <f>SUMIF($C$6:$AL$6,3,C60:AL60)</f>
        <v/>
      </c>
      <c r="AP60" s="63">
        <f>SUM(C60:AL60)</f>
        <v/>
      </c>
    </row>
    <row r="61">
      <c r="A61" s="60" t="inlineStr">
        <is>
          <t>OPERATING ACCOUNT BALANCE (month end)</t>
        </is>
      </c>
      <c r="B61" s="64" t="n"/>
      <c r="C61" s="62">
        <f>C59+C60</f>
        <v/>
      </c>
      <c r="D61" s="62">
        <f>D59+D60</f>
        <v/>
      </c>
      <c r="E61" s="62">
        <f>E59+E60</f>
        <v/>
      </c>
      <c r="F61" s="62">
        <f>F59+F60</f>
        <v/>
      </c>
      <c r="G61" s="62">
        <f>G59+G60</f>
        <v/>
      </c>
      <c r="H61" s="62">
        <f>H59+H60</f>
        <v/>
      </c>
      <c r="I61" s="62">
        <f>I59+I60</f>
        <v/>
      </c>
      <c r="J61" s="62">
        <f>J59+J60</f>
        <v/>
      </c>
      <c r="K61" s="62">
        <f>K59+K60</f>
        <v/>
      </c>
      <c r="L61" s="62">
        <f>L59+L60</f>
        <v/>
      </c>
      <c r="M61" s="62">
        <f>M59+M60</f>
        <v/>
      </c>
      <c r="N61" s="62">
        <f>N59+N60</f>
        <v/>
      </c>
      <c r="O61" s="62">
        <f>O59+O60</f>
        <v/>
      </c>
      <c r="P61" s="62">
        <f>P59+P60</f>
        <v/>
      </c>
      <c r="Q61" s="62">
        <f>Q59+Q60</f>
        <v/>
      </c>
      <c r="R61" s="62">
        <f>R59+R60</f>
        <v/>
      </c>
      <c r="S61" s="62">
        <f>S59+S60</f>
        <v/>
      </c>
      <c r="T61" s="62">
        <f>T59+T60</f>
        <v/>
      </c>
      <c r="U61" s="62">
        <f>U59+U60</f>
        <v/>
      </c>
      <c r="V61" s="62">
        <f>V59+V60</f>
        <v/>
      </c>
      <c r="W61" s="62">
        <f>W59+W60</f>
        <v/>
      </c>
      <c r="X61" s="62">
        <f>X59+X60</f>
        <v/>
      </c>
      <c r="Y61" s="62">
        <f>Y59+Y60</f>
        <v/>
      </c>
      <c r="Z61" s="62">
        <f>Z59+Z60</f>
        <v/>
      </c>
      <c r="AA61" s="62">
        <f>AA59+AA60</f>
        <v/>
      </c>
      <c r="AB61" s="62">
        <f>AB59+AB60</f>
        <v/>
      </c>
      <c r="AC61" s="62">
        <f>AC59+AC60</f>
        <v/>
      </c>
      <c r="AD61" s="62">
        <f>AD59+AD60</f>
        <v/>
      </c>
      <c r="AE61" s="62">
        <f>AE59+AE60</f>
        <v/>
      </c>
      <c r="AF61" s="62">
        <f>AF59+AF60</f>
        <v/>
      </c>
      <c r="AG61" s="62">
        <f>AG59+AG60</f>
        <v/>
      </c>
      <c r="AH61" s="62">
        <f>AH59+AH60</f>
        <v/>
      </c>
      <c r="AI61" s="62">
        <f>AI59+AI60</f>
        <v/>
      </c>
      <c r="AJ61" s="62">
        <f>AJ59+AJ60</f>
        <v/>
      </c>
      <c r="AK61" s="62">
        <f>AK59+AK60</f>
        <v/>
      </c>
      <c r="AL61" s="62">
        <f>AL59+AL60</f>
        <v/>
      </c>
      <c r="AM61" s="63">
        <f>N61</f>
        <v/>
      </c>
      <c r="AN61" s="63">
        <f>Z61</f>
        <v/>
      </c>
      <c r="AO61" s="63">
        <f>AL61</f>
        <v/>
      </c>
      <c r="AP61" s="63">
        <f>AL61</f>
        <v/>
      </c>
    </row>
    <row r="62">
      <c r="A62" s="7" t="inlineStr">
        <is>
          <t>Tax reserve account balance (25% of cumulative profit after one-time costs, if positive)</t>
        </is>
      </c>
      <c r="C62" s="8">
        <f>'Assumptions'!$C$15*MAX(0,'36-Month Forecast'!C265)</f>
        <v/>
      </c>
      <c r="D62" s="8">
        <f>'Assumptions'!$C$15*MAX(0,'36-Month Forecast'!D265)</f>
        <v/>
      </c>
      <c r="E62" s="8">
        <f>'Assumptions'!$C$15*MAX(0,'36-Month Forecast'!E265)</f>
        <v/>
      </c>
      <c r="F62" s="8">
        <f>'Assumptions'!$C$15*MAX(0,'36-Month Forecast'!F265)</f>
        <v/>
      </c>
      <c r="G62" s="8">
        <f>'Assumptions'!$C$15*MAX(0,'36-Month Forecast'!G265)</f>
        <v/>
      </c>
      <c r="H62" s="8">
        <f>'Assumptions'!$C$15*MAX(0,'36-Month Forecast'!H265)</f>
        <v/>
      </c>
      <c r="I62" s="8">
        <f>'Assumptions'!$C$15*MAX(0,'36-Month Forecast'!I265)</f>
        <v/>
      </c>
      <c r="J62" s="8">
        <f>'Assumptions'!$C$15*MAX(0,'36-Month Forecast'!J265)</f>
        <v/>
      </c>
      <c r="K62" s="8">
        <f>'Assumptions'!$C$15*MAX(0,'36-Month Forecast'!K265)</f>
        <v/>
      </c>
      <c r="L62" s="8">
        <f>'Assumptions'!$C$15*MAX(0,'36-Month Forecast'!L265)</f>
        <v/>
      </c>
      <c r="M62" s="8">
        <f>'Assumptions'!$C$15*MAX(0,'36-Month Forecast'!M265)</f>
        <v/>
      </c>
      <c r="N62" s="8">
        <f>'Assumptions'!$C$15*MAX(0,'36-Month Forecast'!N265)</f>
        <v/>
      </c>
      <c r="O62" s="8">
        <f>'Assumptions'!$C$15*MAX(0,'36-Month Forecast'!O265)</f>
        <v/>
      </c>
      <c r="P62" s="8">
        <f>'Assumptions'!$C$15*MAX(0,'36-Month Forecast'!P265)</f>
        <v/>
      </c>
      <c r="Q62" s="8">
        <f>'Assumptions'!$C$15*MAX(0,'36-Month Forecast'!Q265)</f>
        <v/>
      </c>
      <c r="R62" s="8">
        <f>'Assumptions'!$C$15*MAX(0,'36-Month Forecast'!R265)</f>
        <v/>
      </c>
      <c r="S62" s="8">
        <f>'Assumptions'!$C$15*MAX(0,'36-Month Forecast'!S265)</f>
        <v/>
      </c>
      <c r="T62" s="8">
        <f>'Assumptions'!$C$15*MAX(0,'36-Month Forecast'!T265)</f>
        <v/>
      </c>
      <c r="U62" s="8">
        <f>'Assumptions'!$C$15*MAX(0,'36-Month Forecast'!U265)</f>
        <v/>
      </c>
      <c r="V62" s="8">
        <f>'Assumptions'!$C$15*MAX(0,'36-Month Forecast'!V265)</f>
        <v/>
      </c>
      <c r="W62" s="8">
        <f>'Assumptions'!$C$15*MAX(0,'36-Month Forecast'!W265)</f>
        <v/>
      </c>
      <c r="X62" s="8">
        <f>'Assumptions'!$C$15*MAX(0,'36-Month Forecast'!X265)</f>
        <v/>
      </c>
      <c r="Y62" s="8">
        <f>'Assumptions'!$C$15*MAX(0,'36-Month Forecast'!Y265)</f>
        <v/>
      </c>
      <c r="Z62" s="8">
        <f>'Assumptions'!$C$15*MAX(0,'36-Month Forecast'!Z265)</f>
        <v/>
      </c>
      <c r="AA62" s="8">
        <f>'Assumptions'!$C$15*MAX(0,'36-Month Forecast'!AA265)</f>
        <v/>
      </c>
      <c r="AB62" s="8">
        <f>'Assumptions'!$C$15*MAX(0,'36-Month Forecast'!AB265)</f>
        <v/>
      </c>
      <c r="AC62" s="8">
        <f>'Assumptions'!$C$15*MAX(0,'36-Month Forecast'!AC265)</f>
        <v/>
      </c>
      <c r="AD62" s="8">
        <f>'Assumptions'!$C$15*MAX(0,'36-Month Forecast'!AD265)</f>
        <v/>
      </c>
      <c r="AE62" s="8">
        <f>'Assumptions'!$C$15*MAX(0,'36-Month Forecast'!AE265)</f>
        <v/>
      </c>
      <c r="AF62" s="8">
        <f>'Assumptions'!$C$15*MAX(0,'36-Month Forecast'!AF265)</f>
        <v/>
      </c>
      <c r="AG62" s="8">
        <f>'Assumptions'!$C$15*MAX(0,'36-Month Forecast'!AG265)</f>
        <v/>
      </c>
      <c r="AH62" s="8">
        <f>'Assumptions'!$C$15*MAX(0,'36-Month Forecast'!AH265)</f>
        <v/>
      </c>
      <c r="AI62" s="8">
        <f>'Assumptions'!$C$15*MAX(0,'36-Month Forecast'!AI265)</f>
        <v/>
      </c>
      <c r="AJ62" s="8">
        <f>'Assumptions'!$C$15*MAX(0,'36-Month Forecast'!AJ265)</f>
        <v/>
      </c>
      <c r="AK62" s="8">
        <f>'Assumptions'!$C$15*MAX(0,'36-Month Forecast'!AK265)</f>
        <v/>
      </c>
      <c r="AL62" s="8">
        <f>'Assumptions'!$C$15*MAX(0,'36-Month Forecast'!AL265)</f>
        <v/>
      </c>
      <c r="AM62" s="47">
        <f>N62</f>
        <v/>
      </c>
      <c r="AN62" s="47">
        <f>Z62</f>
        <v/>
      </c>
      <c r="AO62" s="47">
        <f>AL62</f>
        <v/>
      </c>
      <c r="AP62" s="47">
        <f>AL62</f>
        <v/>
      </c>
    </row>
    <row r="63">
      <c r="A63" s="7" t="inlineStr">
        <is>
          <t>Total cash (both accounts)</t>
        </is>
      </c>
      <c r="C63" s="19">
        <f>C61+C62</f>
        <v/>
      </c>
      <c r="D63" s="19">
        <f>D61+D62</f>
        <v/>
      </c>
      <c r="E63" s="19">
        <f>E61+E62</f>
        <v/>
      </c>
      <c r="F63" s="19">
        <f>F61+F62</f>
        <v/>
      </c>
      <c r="G63" s="19">
        <f>G61+G62</f>
        <v/>
      </c>
      <c r="H63" s="19">
        <f>H61+H62</f>
        <v/>
      </c>
      <c r="I63" s="19">
        <f>I61+I62</f>
        <v/>
      </c>
      <c r="J63" s="19">
        <f>J61+J62</f>
        <v/>
      </c>
      <c r="K63" s="19">
        <f>K61+K62</f>
        <v/>
      </c>
      <c r="L63" s="19">
        <f>L61+L62</f>
        <v/>
      </c>
      <c r="M63" s="19">
        <f>M61+M62</f>
        <v/>
      </c>
      <c r="N63" s="19">
        <f>N61+N62</f>
        <v/>
      </c>
      <c r="O63" s="19">
        <f>O61+O62</f>
        <v/>
      </c>
      <c r="P63" s="19">
        <f>P61+P62</f>
        <v/>
      </c>
      <c r="Q63" s="19">
        <f>Q61+Q62</f>
        <v/>
      </c>
      <c r="R63" s="19">
        <f>R61+R62</f>
        <v/>
      </c>
      <c r="S63" s="19">
        <f>S61+S62</f>
        <v/>
      </c>
      <c r="T63" s="19">
        <f>T61+T62</f>
        <v/>
      </c>
      <c r="U63" s="19">
        <f>U61+U62</f>
        <v/>
      </c>
      <c r="V63" s="19">
        <f>V61+V62</f>
        <v/>
      </c>
      <c r="W63" s="19">
        <f>W61+W62</f>
        <v/>
      </c>
      <c r="X63" s="19">
        <f>X61+X62</f>
        <v/>
      </c>
      <c r="Y63" s="19">
        <f>Y61+Y62</f>
        <v/>
      </c>
      <c r="Z63" s="19">
        <f>Z61+Z62</f>
        <v/>
      </c>
      <c r="AA63" s="19">
        <f>AA61+AA62</f>
        <v/>
      </c>
      <c r="AB63" s="19">
        <f>AB61+AB62</f>
        <v/>
      </c>
      <c r="AC63" s="19">
        <f>AC61+AC62</f>
        <v/>
      </c>
      <c r="AD63" s="19">
        <f>AD61+AD62</f>
        <v/>
      </c>
      <c r="AE63" s="19">
        <f>AE61+AE62</f>
        <v/>
      </c>
      <c r="AF63" s="19">
        <f>AF61+AF62</f>
        <v/>
      </c>
      <c r="AG63" s="19">
        <f>AG61+AG62</f>
        <v/>
      </c>
      <c r="AH63" s="19">
        <f>AH61+AH62</f>
        <v/>
      </c>
      <c r="AI63" s="19">
        <f>AI61+AI62</f>
        <v/>
      </c>
      <c r="AJ63" s="19">
        <f>AJ61+AJ62</f>
        <v/>
      </c>
      <c r="AK63" s="19">
        <f>AK61+AK62</f>
        <v/>
      </c>
      <c r="AL63" s="19">
        <f>AL61+AL62</f>
        <v/>
      </c>
      <c r="AM63" s="47">
        <f>N63</f>
        <v/>
      </c>
      <c r="AN63" s="47">
        <f>Z63</f>
        <v/>
      </c>
      <c r="AO63" s="47">
        <f>AL63</f>
        <v/>
      </c>
      <c r="AP63" s="47">
        <f>AL63</f>
        <v/>
      </c>
    </row>
    <row r="64">
      <c r="A64" s="60" t="inlineStr">
        <is>
          <t>CUMULATIVE FOUNDER CAPITAL (the funding need)</t>
        </is>
      </c>
      <c r="B64" s="64" t="n"/>
      <c r="C64" s="62">
        <f>C60</f>
        <v/>
      </c>
      <c r="D64" s="62">
        <f>D60+C64</f>
        <v/>
      </c>
      <c r="E64" s="62">
        <f>E60+D64</f>
        <v/>
      </c>
      <c r="F64" s="62">
        <f>F60+E64</f>
        <v/>
      </c>
      <c r="G64" s="62">
        <f>G60+F64</f>
        <v/>
      </c>
      <c r="H64" s="62">
        <f>H60+G64</f>
        <v/>
      </c>
      <c r="I64" s="62">
        <f>I60+H64</f>
        <v/>
      </c>
      <c r="J64" s="62">
        <f>J60+I64</f>
        <v/>
      </c>
      <c r="K64" s="62">
        <f>K60+J64</f>
        <v/>
      </c>
      <c r="L64" s="62">
        <f>L60+K64</f>
        <v/>
      </c>
      <c r="M64" s="62">
        <f>M60+L64</f>
        <v/>
      </c>
      <c r="N64" s="62">
        <f>N60+M64</f>
        <v/>
      </c>
      <c r="O64" s="62">
        <f>O60+N64</f>
        <v/>
      </c>
      <c r="P64" s="62">
        <f>P60+O64</f>
        <v/>
      </c>
      <c r="Q64" s="62">
        <f>Q60+P64</f>
        <v/>
      </c>
      <c r="R64" s="62">
        <f>R60+Q64</f>
        <v/>
      </c>
      <c r="S64" s="62">
        <f>S60+R64</f>
        <v/>
      </c>
      <c r="T64" s="62">
        <f>T60+S64</f>
        <v/>
      </c>
      <c r="U64" s="62">
        <f>U60+T64</f>
        <v/>
      </c>
      <c r="V64" s="62">
        <f>V60+U64</f>
        <v/>
      </c>
      <c r="W64" s="62">
        <f>W60+V64</f>
        <v/>
      </c>
      <c r="X64" s="62">
        <f>X60+W64</f>
        <v/>
      </c>
      <c r="Y64" s="62">
        <f>Y60+X64</f>
        <v/>
      </c>
      <c r="Z64" s="62">
        <f>Z60+Y64</f>
        <v/>
      </c>
      <c r="AA64" s="62">
        <f>AA60+Z64</f>
        <v/>
      </c>
      <c r="AB64" s="62">
        <f>AB60+AA64</f>
        <v/>
      </c>
      <c r="AC64" s="62">
        <f>AC60+AB64</f>
        <v/>
      </c>
      <c r="AD64" s="62">
        <f>AD60+AC64</f>
        <v/>
      </c>
      <c r="AE64" s="62">
        <f>AE60+AD64</f>
        <v/>
      </c>
      <c r="AF64" s="62">
        <f>AF60+AE64</f>
        <v/>
      </c>
      <c r="AG64" s="62">
        <f>AG60+AF64</f>
        <v/>
      </c>
      <c r="AH64" s="62">
        <f>AH60+AG64</f>
        <v/>
      </c>
      <c r="AI64" s="62">
        <f>AI60+AH64</f>
        <v/>
      </c>
      <c r="AJ64" s="62">
        <f>AJ60+AI64</f>
        <v/>
      </c>
      <c r="AK64" s="62">
        <f>AK60+AJ64</f>
        <v/>
      </c>
      <c r="AL64" s="62">
        <f>AL60+AK64</f>
        <v/>
      </c>
      <c r="AM64" s="63">
        <f>N64</f>
        <v/>
      </c>
      <c r="AN64" s="63">
        <f>Z64</f>
        <v/>
      </c>
      <c r="AO64" s="63">
        <f>AL64</f>
        <v/>
      </c>
      <c r="AP64" s="63">
        <f>AL64</f>
        <v/>
      </c>
    </row>
    <row r="65">
      <c r="A65" s="7" t="inlineStr">
        <is>
          <t>Reserve target (months x fixed costs incl. ads)</t>
        </is>
      </c>
      <c r="C65" s="8">
        <f>'Assumptions'!$C$21*('36-Month Forecast'!C258+'36-Month Forecast'!C259+'36-Month Forecast'!C257)</f>
        <v/>
      </c>
      <c r="D65" s="8">
        <f>'Assumptions'!$C$21*('36-Month Forecast'!D258+'36-Month Forecast'!D259+'36-Month Forecast'!D257)</f>
        <v/>
      </c>
      <c r="E65" s="8">
        <f>'Assumptions'!$C$21*('36-Month Forecast'!E258+'36-Month Forecast'!E259+'36-Month Forecast'!E257)</f>
        <v/>
      </c>
      <c r="F65" s="8">
        <f>'Assumptions'!$C$21*('36-Month Forecast'!F258+'36-Month Forecast'!F259+'36-Month Forecast'!F257)</f>
        <v/>
      </c>
      <c r="G65" s="8">
        <f>'Assumptions'!$C$21*('36-Month Forecast'!G258+'36-Month Forecast'!G259+'36-Month Forecast'!G257)</f>
        <v/>
      </c>
      <c r="H65" s="8">
        <f>'Assumptions'!$C$21*('36-Month Forecast'!H258+'36-Month Forecast'!H259+'36-Month Forecast'!H257)</f>
        <v/>
      </c>
      <c r="I65" s="8">
        <f>'Assumptions'!$C$21*('36-Month Forecast'!I258+'36-Month Forecast'!I259+'36-Month Forecast'!I257)</f>
        <v/>
      </c>
      <c r="J65" s="8">
        <f>'Assumptions'!$C$21*('36-Month Forecast'!J258+'36-Month Forecast'!J259+'36-Month Forecast'!J257)</f>
        <v/>
      </c>
      <c r="K65" s="8">
        <f>'Assumptions'!$C$21*('36-Month Forecast'!K258+'36-Month Forecast'!K259+'36-Month Forecast'!K257)</f>
        <v/>
      </c>
      <c r="L65" s="8">
        <f>'Assumptions'!$C$21*('36-Month Forecast'!L258+'36-Month Forecast'!L259+'36-Month Forecast'!L257)</f>
        <v/>
      </c>
      <c r="M65" s="8">
        <f>'Assumptions'!$C$21*('36-Month Forecast'!M258+'36-Month Forecast'!M259+'36-Month Forecast'!M257)</f>
        <v/>
      </c>
      <c r="N65" s="8">
        <f>'Assumptions'!$C$21*('36-Month Forecast'!N258+'36-Month Forecast'!N259+'36-Month Forecast'!N257)</f>
        <v/>
      </c>
      <c r="O65" s="8">
        <f>'Assumptions'!$C$21*('36-Month Forecast'!O258+'36-Month Forecast'!O259+'36-Month Forecast'!O257)</f>
        <v/>
      </c>
      <c r="P65" s="8">
        <f>'Assumptions'!$C$21*('36-Month Forecast'!P258+'36-Month Forecast'!P259+'36-Month Forecast'!P257)</f>
        <v/>
      </c>
      <c r="Q65" s="8">
        <f>'Assumptions'!$C$21*('36-Month Forecast'!Q258+'36-Month Forecast'!Q259+'36-Month Forecast'!Q257)</f>
        <v/>
      </c>
      <c r="R65" s="8">
        <f>'Assumptions'!$C$21*('36-Month Forecast'!R258+'36-Month Forecast'!R259+'36-Month Forecast'!R257)</f>
        <v/>
      </c>
      <c r="S65" s="8">
        <f>'Assumptions'!$C$21*('36-Month Forecast'!S258+'36-Month Forecast'!S259+'36-Month Forecast'!S257)</f>
        <v/>
      </c>
      <c r="T65" s="8">
        <f>'Assumptions'!$C$21*('36-Month Forecast'!T258+'36-Month Forecast'!T259+'36-Month Forecast'!T257)</f>
        <v/>
      </c>
      <c r="U65" s="8">
        <f>'Assumptions'!$C$21*('36-Month Forecast'!U258+'36-Month Forecast'!U259+'36-Month Forecast'!U257)</f>
        <v/>
      </c>
      <c r="V65" s="8">
        <f>'Assumptions'!$C$21*('36-Month Forecast'!V258+'36-Month Forecast'!V259+'36-Month Forecast'!V257)</f>
        <v/>
      </c>
      <c r="W65" s="8">
        <f>'Assumptions'!$C$21*('36-Month Forecast'!W258+'36-Month Forecast'!W259+'36-Month Forecast'!W257)</f>
        <v/>
      </c>
      <c r="X65" s="8">
        <f>'Assumptions'!$C$21*('36-Month Forecast'!X258+'36-Month Forecast'!X259+'36-Month Forecast'!X257)</f>
        <v/>
      </c>
      <c r="Y65" s="8">
        <f>'Assumptions'!$C$21*('36-Month Forecast'!Y258+'36-Month Forecast'!Y259+'36-Month Forecast'!Y257)</f>
        <v/>
      </c>
      <c r="Z65" s="8">
        <f>'Assumptions'!$C$21*('36-Month Forecast'!Z258+'36-Month Forecast'!Z259+'36-Month Forecast'!Z257)</f>
        <v/>
      </c>
      <c r="AA65" s="8">
        <f>'Assumptions'!$C$21*('36-Month Forecast'!AA258+'36-Month Forecast'!AA259+'36-Month Forecast'!AA257)</f>
        <v/>
      </c>
      <c r="AB65" s="8">
        <f>'Assumptions'!$C$21*('36-Month Forecast'!AB258+'36-Month Forecast'!AB259+'36-Month Forecast'!AB257)</f>
        <v/>
      </c>
      <c r="AC65" s="8">
        <f>'Assumptions'!$C$21*('36-Month Forecast'!AC258+'36-Month Forecast'!AC259+'36-Month Forecast'!AC257)</f>
        <v/>
      </c>
      <c r="AD65" s="8">
        <f>'Assumptions'!$C$21*('36-Month Forecast'!AD258+'36-Month Forecast'!AD259+'36-Month Forecast'!AD257)</f>
        <v/>
      </c>
      <c r="AE65" s="8">
        <f>'Assumptions'!$C$21*('36-Month Forecast'!AE258+'36-Month Forecast'!AE259+'36-Month Forecast'!AE257)</f>
        <v/>
      </c>
      <c r="AF65" s="8">
        <f>'Assumptions'!$C$21*('36-Month Forecast'!AF258+'36-Month Forecast'!AF259+'36-Month Forecast'!AF257)</f>
        <v/>
      </c>
      <c r="AG65" s="8">
        <f>'Assumptions'!$C$21*('36-Month Forecast'!AG258+'36-Month Forecast'!AG259+'36-Month Forecast'!AG257)</f>
        <v/>
      </c>
      <c r="AH65" s="8">
        <f>'Assumptions'!$C$21*('36-Month Forecast'!AH258+'36-Month Forecast'!AH259+'36-Month Forecast'!AH257)</f>
        <v/>
      </c>
      <c r="AI65" s="8">
        <f>'Assumptions'!$C$21*('36-Month Forecast'!AI258+'36-Month Forecast'!AI259+'36-Month Forecast'!AI257)</f>
        <v/>
      </c>
      <c r="AJ65" s="8">
        <f>'Assumptions'!$C$21*('36-Month Forecast'!AJ258+'36-Month Forecast'!AJ259+'36-Month Forecast'!AJ257)</f>
        <v/>
      </c>
      <c r="AK65" s="8">
        <f>'Assumptions'!$C$21*('36-Month Forecast'!AK258+'36-Month Forecast'!AK259+'36-Month Forecast'!AK257)</f>
        <v/>
      </c>
      <c r="AL65" s="8">
        <f>'Assumptions'!$C$21*('36-Month Forecast'!AL258+'36-Month Forecast'!AL259+'36-Month Forecast'!AL257)</f>
        <v/>
      </c>
      <c r="AM65" s="47">
        <f>N65</f>
        <v/>
      </c>
      <c r="AN65" s="47">
        <f>Z65</f>
        <v/>
      </c>
      <c r="AO65" s="47">
        <f>AL65</f>
        <v/>
      </c>
      <c r="AP65" s="47">
        <f>AL65</f>
        <v/>
      </c>
    </row>
    <row r="66">
      <c r="A66" s="7" t="inlineStr">
        <is>
          <t>Operating balance above / (below) reserve target</t>
        </is>
      </c>
      <c r="C66" s="19">
        <f>C61-C65</f>
        <v/>
      </c>
      <c r="D66" s="19">
        <f>D61-D65</f>
        <v/>
      </c>
      <c r="E66" s="19">
        <f>E61-E65</f>
        <v/>
      </c>
      <c r="F66" s="19">
        <f>F61-F65</f>
        <v/>
      </c>
      <c r="G66" s="19">
        <f>G61-G65</f>
        <v/>
      </c>
      <c r="H66" s="19">
        <f>H61-H65</f>
        <v/>
      </c>
      <c r="I66" s="19">
        <f>I61-I65</f>
        <v/>
      </c>
      <c r="J66" s="19">
        <f>J61-J65</f>
        <v/>
      </c>
      <c r="K66" s="19">
        <f>K61-K65</f>
        <v/>
      </c>
      <c r="L66" s="19">
        <f>L61-L65</f>
        <v/>
      </c>
      <c r="M66" s="19">
        <f>M61-M65</f>
        <v/>
      </c>
      <c r="N66" s="19">
        <f>N61-N65</f>
        <v/>
      </c>
      <c r="O66" s="19">
        <f>O61-O65</f>
        <v/>
      </c>
      <c r="P66" s="19">
        <f>P61-P65</f>
        <v/>
      </c>
      <c r="Q66" s="19">
        <f>Q61-Q65</f>
        <v/>
      </c>
      <c r="R66" s="19">
        <f>R61-R65</f>
        <v/>
      </c>
      <c r="S66" s="19">
        <f>S61-S65</f>
        <v/>
      </c>
      <c r="T66" s="19">
        <f>T61-T65</f>
        <v/>
      </c>
      <c r="U66" s="19">
        <f>U61-U65</f>
        <v/>
      </c>
      <c r="V66" s="19">
        <f>V61-V65</f>
        <v/>
      </c>
      <c r="W66" s="19">
        <f>W61-W65</f>
        <v/>
      </c>
      <c r="X66" s="19">
        <f>X61-X65</f>
        <v/>
      </c>
      <c r="Y66" s="19">
        <f>Y61-Y65</f>
        <v/>
      </c>
      <c r="Z66" s="19">
        <f>Z61-Z65</f>
        <v/>
      </c>
      <c r="AA66" s="19">
        <f>AA61-AA65</f>
        <v/>
      </c>
      <c r="AB66" s="19">
        <f>AB61-AB65</f>
        <v/>
      </c>
      <c r="AC66" s="19">
        <f>AC61-AC65</f>
        <v/>
      </c>
      <c r="AD66" s="19">
        <f>AD61-AD65</f>
        <v/>
      </c>
      <c r="AE66" s="19">
        <f>AE61-AE65</f>
        <v/>
      </c>
      <c r="AF66" s="19">
        <f>AF61-AF65</f>
        <v/>
      </c>
      <c r="AG66" s="19">
        <f>AG61-AG65</f>
        <v/>
      </c>
      <c r="AH66" s="19">
        <f>AH61-AH65</f>
        <v/>
      </c>
      <c r="AI66" s="19">
        <f>AI61-AI65</f>
        <v/>
      </c>
      <c r="AJ66" s="19">
        <f>AJ61-AJ65</f>
        <v/>
      </c>
      <c r="AK66" s="19">
        <f>AK61-AK65</f>
        <v/>
      </c>
      <c r="AL66" s="19">
        <f>AL61-AL65</f>
        <v/>
      </c>
      <c r="AM66" s="47">
        <f>N66</f>
        <v/>
      </c>
      <c r="AN66" s="47">
        <f>Z66</f>
        <v/>
      </c>
      <c r="AO66" s="47">
        <f>AL66</f>
        <v/>
      </c>
      <c r="AP66" s="47">
        <f>AL66</f>
        <v/>
      </c>
    </row>
    <row r="67">
      <c r="A67" s="7" t="inlineStr">
        <is>
          <t xml:space="preserve">   Helper: month # if founder capital goes in</t>
        </is>
      </c>
      <c r="C67" s="43">
        <f>IF(C60&gt;0.5,C$4,"")</f>
        <v/>
      </c>
      <c r="D67" s="43">
        <f>IF(D60&gt;0.5,D$4,"")</f>
        <v/>
      </c>
      <c r="E67" s="43">
        <f>IF(E60&gt;0.5,E$4,"")</f>
        <v/>
      </c>
      <c r="F67" s="43">
        <f>IF(F60&gt;0.5,F$4,"")</f>
        <v/>
      </c>
      <c r="G67" s="43">
        <f>IF(G60&gt;0.5,G$4,"")</f>
        <v/>
      </c>
      <c r="H67" s="43">
        <f>IF(H60&gt;0.5,H$4,"")</f>
        <v/>
      </c>
      <c r="I67" s="43">
        <f>IF(I60&gt;0.5,I$4,"")</f>
        <v/>
      </c>
      <c r="J67" s="43">
        <f>IF(J60&gt;0.5,J$4,"")</f>
        <v/>
      </c>
      <c r="K67" s="43">
        <f>IF(K60&gt;0.5,K$4,"")</f>
        <v/>
      </c>
      <c r="L67" s="43">
        <f>IF(L60&gt;0.5,L$4,"")</f>
        <v/>
      </c>
      <c r="M67" s="43">
        <f>IF(M60&gt;0.5,M$4,"")</f>
        <v/>
      </c>
      <c r="N67" s="43">
        <f>IF(N60&gt;0.5,N$4,"")</f>
        <v/>
      </c>
      <c r="O67" s="43">
        <f>IF(O60&gt;0.5,O$4,"")</f>
        <v/>
      </c>
      <c r="P67" s="43">
        <f>IF(P60&gt;0.5,P$4,"")</f>
        <v/>
      </c>
      <c r="Q67" s="43">
        <f>IF(Q60&gt;0.5,Q$4,"")</f>
        <v/>
      </c>
      <c r="R67" s="43">
        <f>IF(R60&gt;0.5,R$4,"")</f>
        <v/>
      </c>
      <c r="S67" s="43">
        <f>IF(S60&gt;0.5,S$4,"")</f>
        <v/>
      </c>
      <c r="T67" s="43">
        <f>IF(T60&gt;0.5,T$4,"")</f>
        <v/>
      </c>
      <c r="U67" s="43">
        <f>IF(U60&gt;0.5,U$4,"")</f>
        <v/>
      </c>
      <c r="V67" s="43">
        <f>IF(V60&gt;0.5,V$4,"")</f>
        <v/>
      </c>
      <c r="W67" s="43">
        <f>IF(W60&gt;0.5,W$4,"")</f>
        <v/>
      </c>
      <c r="X67" s="43">
        <f>IF(X60&gt;0.5,X$4,"")</f>
        <v/>
      </c>
      <c r="Y67" s="43">
        <f>IF(Y60&gt;0.5,Y$4,"")</f>
        <v/>
      </c>
      <c r="Z67" s="43">
        <f>IF(Z60&gt;0.5,Z$4,"")</f>
        <v/>
      </c>
      <c r="AA67" s="43">
        <f>IF(AA60&gt;0.5,AA$4,"")</f>
        <v/>
      </c>
      <c r="AB67" s="43">
        <f>IF(AB60&gt;0.5,AB$4,"")</f>
        <v/>
      </c>
      <c r="AC67" s="43">
        <f>IF(AC60&gt;0.5,AC$4,"")</f>
        <v/>
      </c>
      <c r="AD67" s="43">
        <f>IF(AD60&gt;0.5,AD$4,"")</f>
        <v/>
      </c>
      <c r="AE67" s="43">
        <f>IF(AE60&gt;0.5,AE$4,"")</f>
        <v/>
      </c>
      <c r="AF67" s="43">
        <f>IF(AF60&gt;0.5,AF$4,"")</f>
        <v/>
      </c>
      <c r="AG67" s="43">
        <f>IF(AG60&gt;0.5,AG$4,"")</f>
        <v/>
      </c>
      <c r="AH67" s="43">
        <f>IF(AH60&gt;0.5,AH$4,"")</f>
        <v/>
      </c>
      <c r="AI67" s="43">
        <f>IF(AI60&gt;0.5,AI$4,"")</f>
        <v/>
      </c>
      <c r="AJ67" s="43">
        <f>IF(AJ60&gt;0.5,AJ$4,"")</f>
        <v/>
      </c>
      <c r="AK67" s="43">
        <f>IF(AK60&gt;0.5,AK$4,"")</f>
        <v/>
      </c>
      <c r="AL67" s="43">
        <f>IF(AL60&gt;0.5,AL$4,"")</f>
        <v/>
      </c>
    </row>
    <row r="68">
      <c r="A68" s="7" t="inlineStr">
        <is>
          <t xml:space="preserve">   Helper: month # if cumulative founder capital is above the household-money cap</t>
        </is>
      </c>
      <c r="C68" s="18">
        <f>IF(C64&gt;'Assumptions'!$C$19,C$4,"")</f>
        <v/>
      </c>
      <c r="D68" s="18">
        <f>IF(D64&gt;'Assumptions'!$C$19,D$4,"")</f>
        <v/>
      </c>
      <c r="E68" s="18">
        <f>IF(E64&gt;'Assumptions'!$C$19,E$4,"")</f>
        <v/>
      </c>
      <c r="F68" s="18">
        <f>IF(F64&gt;'Assumptions'!$C$19,F$4,"")</f>
        <v/>
      </c>
      <c r="G68" s="18">
        <f>IF(G64&gt;'Assumptions'!$C$19,G$4,"")</f>
        <v/>
      </c>
      <c r="H68" s="18">
        <f>IF(H64&gt;'Assumptions'!$C$19,H$4,"")</f>
        <v/>
      </c>
      <c r="I68" s="18">
        <f>IF(I64&gt;'Assumptions'!$C$19,I$4,"")</f>
        <v/>
      </c>
      <c r="J68" s="18">
        <f>IF(J64&gt;'Assumptions'!$C$19,J$4,"")</f>
        <v/>
      </c>
      <c r="K68" s="18">
        <f>IF(K64&gt;'Assumptions'!$C$19,K$4,"")</f>
        <v/>
      </c>
      <c r="L68" s="18">
        <f>IF(L64&gt;'Assumptions'!$C$19,L$4,"")</f>
        <v/>
      </c>
      <c r="M68" s="18">
        <f>IF(M64&gt;'Assumptions'!$C$19,M$4,"")</f>
        <v/>
      </c>
      <c r="N68" s="18">
        <f>IF(N64&gt;'Assumptions'!$C$19,N$4,"")</f>
        <v/>
      </c>
      <c r="O68" s="18">
        <f>IF(O64&gt;'Assumptions'!$C$19,O$4,"")</f>
        <v/>
      </c>
      <c r="P68" s="18">
        <f>IF(P64&gt;'Assumptions'!$C$19,P$4,"")</f>
        <v/>
      </c>
      <c r="Q68" s="18">
        <f>IF(Q64&gt;'Assumptions'!$C$19,Q$4,"")</f>
        <v/>
      </c>
      <c r="R68" s="18">
        <f>IF(R64&gt;'Assumptions'!$C$19,R$4,"")</f>
        <v/>
      </c>
      <c r="S68" s="18">
        <f>IF(S64&gt;'Assumptions'!$C$19,S$4,"")</f>
        <v/>
      </c>
      <c r="T68" s="18">
        <f>IF(T64&gt;'Assumptions'!$C$19,T$4,"")</f>
        <v/>
      </c>
      <c r="U68" s="18">
        <f>IF(U64&gt;'Assumptions'!$C$19,U$4,"")</f>
        <v/>
      </c>
      <c r="V68" s="18">
        <f>IF(V64&gt;'Assumptions'!$C$19,V$4,"")</f>
        <v/>
      </c>
      <c r="W68" s="18">
        <f>IF(W64&gt;'Assumptions'!$C$19,W$4,"")</f>
        <v/>
      </c>
      <c r="X68" s="18">
        <f>IF(X64&gt;'Assumptions'!$C$19,X$4,"")</f>
        <v/>
      </c>
      <c r="Y68" s="18">
        <f>IF(Y64&gt;'Assumptions'!$C$19,Y$4,"")</f>
        <v/>
      </c>
      <c r="Z68" s="18">
        <f>IF(Z64&gt;'Assumptions'!$C$19,Z$4,"")</f>
        <v/>
      </c>
      <c r="AA68" s="18">
        <f>IF(AA64&gt;'Assumptions'!$C$19,AA$4,"")</f>
        <v/>
      </c>
      <c r="AB68" s="18">
        <f>IF(AB64&gt;'Assumptions'!$C$19,AB$4,"")</f>
        <v/>
      </c>
      <c r="AC68" s="18">
        <f>IF(AC64&gt;'Assumptions'!$C$19,AC$4,"")</f>
        <v/>
      </c>
      <c r="AD68" s="18">
        <f>IF(AD64&gt;'Assumptions'!$C$19,AD$4,"")</f>
        <v/>
      </c>
      <c r="AE68" s="18">
        <f>IF(AE64&gt;'Assumptions'!$C$19,AE$4,"")</f>
        <v/>
      </c>
      <c r="AF68" s="18">
        <f>IF(AF64&gt;'Assumptions'!$C$19,AF$4,"")</f>
        <v/>
      </c>
      <c r="AG68" s="18">
        <f>IF(AG64&gt;'Assumptions'!$C$19,AG$4,"")</f>
        <v/>
      </c>
      <c r="AH68" s="18">
        <f>IF(AH64&gt;'Assumptions'!$C$19,AH$4,"")</f>
        <v/>
      </c>
      <c r="AI68" s="18">
        <f>IF(AI64&gt;'Assumptions'!$C$19,AI$4,"")</f>
        <v/>
      </c>
      <c r="AJ68" s="18">
        <f>IF(AJ64&gt;'Assumptions'!$C$19,AJ$4,"")</f>
        <v/>
      </c>
      <c r="AK68" s="18">
        <f>IF(AK64&gt;'Assumptions'!$C$19,AK$4,"")</f>
        <v/>
      </c>
      <c r="AL68" s="18">
        <f>IF(AL64&gt;'Assumptions'!$C$19,AL$4,"")</f>
        <v/>
      </c>
    </row>
    <row r="70">
      <c r="A70" s="3" t="inlineStr">
        <is>
          <t>STRONG SCENARIO</t>
        </is>
      </c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</row>
    <row r="71">
      <c r="A71" s="7" t="inlineStr">
        <is>
          <t xml:space="preserve">   Payout: Own site: printables and PDFs (Shopify)</t>
        </is>
      </c>
      <c r="C71" s="8">
        <f>IF(C$4-'Assumptions'!$C$80&gt;=1,INDEX('36-Month Forecast'!$C$296:$AL$296,1,C$4-'Assumptions'!$C$80)+INDEX('36-Month Forecast'!$C$293:$AL$293,1,C$4-'Assumptions'!$C$80)*'Unit Economics'!$H$49,0)</f>
        <v/>
      </c>
      <c r="D71" s="8">
        <f>IF(D$4-'Assumptions'!$C$80&gt;=1,INDEX('36-Month Forecast'!$C$296:$AL$296,1,D$4-'Assumptions'!$C$80)+INDEX('36-Month Forecast'!$C$293:$AL$293,1,D$4-'Assumptions'!$C$80)*'Unit Economics'!$H$49,0)</f>
        <v/>
      </c>
      <c r="E71" s="8">
        <f>IF(E$4-'Assumptions'!$C$80&gt;=1,INDEX('36-Month Forecast'!$C$296:$AL$296,1,E$4-'Assumptions'!$C$80)+INDEX('36-Month Forecast'!$C$293:$AL$293,1,E$4-'Assumptions'!$C$80)*'Unit Economics'!$H$49,0)</f>
        <v/>
      </c>
      <c r="F71" s="8">
        <f>IF(F$4-'Assumptions'!$C$80&gt;=1,INDEX('36-Month Forecast'!$C$296:$AL$296,1,F$4-'Assumptions'!$C$80)+INDEX('36-Month Forecast'!$C$293:$AL$293,1,F$4-'Assumptions'!$C$80)*'Unit Economics'!$H$49,0)</f>
        <v/>
      </c>
      <c r="G71" s="8">
        <f>IF(G$4-'Assumptions'!$C$80&gt;=1,INDEX('36-Month Forecast'!$C$296:$AL$296,1,G$4-'Assumptions'!$C$80)+INDEX('36-Month Forecast'!$C$293:$AL$293,1,G$4-'Assumptions'!$C$80)*'Unit Economics'!$H$49,0)</f>
        <v/>
      </c>
      <c r="H71" s="8">
        <f>IF(H$4-'Assumptions'!$C$80&gt;=1,INDEX('36-Month Forecast'!$C$296:$AL$296,1,H$4-'Assumptions'!$C$80)+INDEX('36-Month Forecast'!$C$293:$AL$293,1,H$4-'Assumptions'!$C$80)*'Unit Economics'!$H$49,0)</f>
        <v/>
      </c>
      <c r="I71" s="8">
        <f>IF(I$4-'Assumptions'!$C$80&gt;=1,INDEX('36-Month Forecast'!$C$296:$AL$296,1,I$4-'Assumptions'!$C$80)+INDEX('36-Month Forecast'!$C$293:$AL$293,1,I$4-'Assumptions'!$C$80)*'Unit Economics'!$H$49,0)</f>
        <v/>
      </c>
      <c r="J71" s="8">
        <f>IF(J$4-'Assumptions'!$C$80&gt;=1,INDEX('36-Month Forecast'!$C$296:$AL$296,1,J$4-'Assumptions'!$C$80)+INDEX('36-Month Forecast'!$C$293:$AL$293,1,J$4-'Assumptions'!$C$80)*'Unit Economics'!$H$49,0)</f>
        <v/>
      </c>
      <c r="K71" s="8">
        <f>IF(K$4-'Assumptions'!$C$80&gt;=1,INDEX('36-Month Forecast'!$C$296:$AL$296,1,K$4-'Assumptions'!$C$80)+INDEX('36-Month Forecast'!$C$293:$AL$293,1,K$4-'Assumptions'!$C$80)*'Unit Economics'!$H$49,0)</f>
        <v/>
      </c>
      <c r="L71" s="8">
        <f>IF(L$4-'Assumptions'!$C$80&gt;=1,INDEX('36-Month Forecast'!$C$296:$AL$296,1,L$4-'Assumptions'!$C$80)+INDEX('36-Month Forecast'!$C$293:$AL$293,1,L$4-'Assumptions'!$C$80)*'Unit Economics'!$H$49,0)</f>
        <v/>
      </c>
      <c r="M71" s="8">
        <f>IF(M$4-'Assumptions'!$C$80&gt;=1,INDEX('36-Month Forecast'!$C$296:$AL$296,1,M$4-'Assumptions'!$C$80)+INDEX('36-Month Forecast'!$C$293:$AL$293,1,M$4-'Assumptions'!$C$80)*'Unit Economics'!$H$49,0)</f>
        <v/>
      </c>
      <c r="N71" s="8">
        <f>IF(N$4-'Assumptions'!$C$80&gt;=1,INDEX('36-Month Forecast'!$C$296:$AL$296,1,N$4-'Assumptions'!$C$80)+INDEX('36-Month Forecast'!$C$293:$AL$293,1,N$4-'Assumptions'!$C$80)*'Unit Economics'!$H$49,0)</f>
        <v/>
      </c>
      <c r="O71" s="8">
        <f>IF(O$4-'Assumptions'!$C$80&gt;=1,INDEX('36-Month Forecast'!$C$296:$AL$296,1,O$4-'Assumptions'!$C$80)+INDEX('36-Month Forecast'!$C$293:$AL$293,1,O$4-'Assumptions'!$C$80)*'Unit Economics'!$H$49,0)</f>
        <v/>
      </c>
      <c r="P71" s="8">
        <f>IF(P$4-'Assumptions'!$C$80&gt;=1,INDEX('36-Month Forecast'!$C$296:$AL$296,1,P$4-'Assumptions'!$C$80)+INDEX('36-Month Forecast'!$C$293:$AL$293,1,P$4-'Assumptions'!$C$80)*'Unit Economics'!$H$49,0)</f>
        <v/>
      </c>
      <c r="Q71" s="8">
        <f>IF(Q$4-'Assumptions'!$C$80&gt;=1,INDEX('36-Month Forecast'!$C$296:$AL$296,1,Q$4-'Assumptions'!$C$80)+INDEX('36-Month Forecast'!$C$293:$AL$293,1,Q$4-'Assumptions'!$C$80)*'Unit Economics'!$H$49,0)</f>
        <v/>
      </c>
      <c r="R71" s="8">
        <f>IF(R$4-'Assumptions'!$C$80&gt;=1,INDEX('36-Month Forecast'!$C$296:$AL$296,1,R$4-'Assumptions'!$C$80)+INDEX('36-Month Forecast'!$C$293:$AL$293,1,R$4-'Assumptions'!$C$80)*'Unit Economics'!$H$49,0)</f>
        <v/>
      </c>
      <c r="S71" s="8">
        <f>IF(S$4-'Assumptions'!$C$80&gt;=1,INDEX('36-Month Forecast'!$C$296:$AL$296,1,S$4-'Assumptions'!$C$80)+INDEX('36-Month Forecast'!$C$293:$AL$293,1,S$4-'Assumptions'!$C$80)*'Unit Economics'!$H$49,0)</f>
        <v/>
      </c>
      <c r="T71" s="8">
        <f>IF(T$4-'Assumptions'!$C$80&gt;=1,INDEX('36-Month Forecast'!$C$296:$AL$296,1,T$4-'Assumptions'!$C$80)+INDEX('36-Month Forecast'!$C$293:$AL$293,1,T$4-'Assumptions'!$C$80)*'Unit Economics'!$H$49,0)</f>
        <v/>
      </c>
      <c r="U71" s="8">
        <f>IF(U$4-'Assumptions'!$C$80&gt;=1,INDEX('36-Month Forecast'!$C$296:$AL$296,1,U$4-'Assumptions'!$C$80)+INDEX('36-Month Forecast'!$C$293:$AL$293,1,U$4-'Assumptions'!$C$80)*'Unit Economics'!$H$49,0)</f>
        <v/>
      </c>
      <c r="V71" s="8">
        <f>IF(V$4-'Assumptions'!$C$80&gt;=1,INDEX('36-Month Forecast'!$C$296:$AL$296,1,V$4-'Assumptions'!$C$80)+INDEX('36-Month Forecast'!$C$293:$AL$293,1,V$4-'Assumptions'!$C$80)*'Unit Economics'!$H$49,0)</f>
        <v/>
      </c>
      <c r="W71" s="8">
        <f>IF(W$4-'Assumptions'!$C$80&gt;=1,INDEX('36-Month Forecast'!$C$296:$AL$296,1,W$4-'Assumptions'!$C$80)+INDEX('36-Month Forecast'!$C$293:$AL$293,1,W$4-'Assumptions'!$C$80)*'Unit Economics'!$H$49,0)</f>
        <v/>
      </c>
      <c r="X71" s="8">
        <f>IF(X$4-'Assumptions'!$C$80&gt;=1,INDEX('36-Month Forecast'!$C$296:$AL$296,1,X$4-'Assumptions'!$C$80)+INDEX('36-Month Forecast'!$C$293:$AL$293,1,X$4-'Assumptions'!$C$80)*'Unit Economics'!$H$49,0)</f>
        <v/>
      </c>
      <c r="Y71" s="8">
        <f>IF(Y$4-'Assumptions'!$C$80&gt;=1,INDEX('36-Month Forecast'!$C$296:$AL$296,1,Y$4-'Assumptions'!$C$80)+INDEX('36-Month Forecast'!$C$293:$AL$293,1,Y$4-'Assumptions'!$C$80)*'Unit Economics'!$H$49,0)</f>
        <v/>
      </c>
      <c r="Z71" s="8">
        <f>IF(Z$4-'Assumptions'!$C$80&gt;=1,INDEX('36-Month Forecast'!$C$296:$AL$296,1,Z$4-'Assumptions'!$C$80)+INDEX('36-Month Forecast'!$C$293:$AL$293,1,Z$4-'Assumptions'!$C$80)*'Unit Economics'!$H$49,0)</f>
        <v/>
      </c>
      <c r="AA71" s="8">
        <f>IF(AA$4-'Assumptions'!$C$80&gt;=1,INDEX('36-Month Forecast'!$C$296:$AL$296,1,AA$4-'Assumptions'!$C$80)+INDEX('36-Month Forecast'!$C$293:$AL$293,1,AA$4-'Assumptions'!$C$80)*'Unit Economics'!$H$49,0)</f>
        <v/>
      </c>
      <c r="AB71" s="8">
        <f>IF(AB$4-'Assumptions'!$C$80&gt;=1,INDEX('36-Month Forecast'!$C$296:$AL$296,1,AB$4-'Assumptions'!$C$80)+INDEX('36-Month Forecast'!$C$293:$AL$293,1,AB$4-'Assumptions'!$C$80)*'Unit Economics'!$H$49,0)</f>
        <v/>
      </c>
      <c r="AC71" s="8">
        <f>IF(AC$4-'Assumptions'!$C$80&gt;=1,INDEX('36-Month Forecast'!$C$296:$AL$296,1,AC$4-'Assumptions'!$C$80)+INDEX('36-Month Forecast'!$C$293:$AL$293,1,AC$4-'Assumptions'!$C$80)*'Unit Economics'!$H$49,0)</f>
        <v/>
      </c>
      <c r="AD71" s="8">
        <f>IF(AD$4-'Assumptions'!$C$80&gt;=1,INDEX('36-Month Forecast'!$C$296:$AL$296,1,AD$4-'Assumptions'!$C$80)+INDEX('36-Month Forecast'!$C$293:$AL$293,1,AD$4-'Assumptions'!$C$80)*'Unit Economics'!$H$49,0)</f>
        <v/>
      </c>
      <c r="AE71" s="8">
        <f>IF(AE$4-'Assumptions'!$C$80&gt;=1,INDEX('36-Month Forecast'!$C$296:$AL$296,1,AE$4-'Assumptions'!$C$80)+INDEX('36-Month Forecast'!$C$293:$AL$293,1,AE$4-'Assumptions'!$C$80)*'Unit Economics'!$H$49,0)</f>
        <v/>
      </c>
      <c r="AF71" s="8">
        <f>IF(AF$4-'Assumptions'!$C$80&gt;=1,INDEX('36-Month Forecast'!$C$296:$AL$296,1,AF$4-'Assumptions'!$C$80)+INDEX('36-Month Forecast'!$C$293:$AL$293,1,AF$4-'Assumptions'!$C$80)*'Unit Economics'!$H$49,0)</f>
        <v/>
      </c>
      <c r="AG71" s="8">
        <f>IF(AG$4-'Assumptions'!$C$80&gt;=1,INDEX('36-Month Forecast'!$C$296:$AL$296,1,AG$4-'Assumptions'!$C$80)+INDEX('36-Month Forecast'!$C$293:$AL$293,1,AG$4-'Assumptions'!$C$80)*'Unit Economics'!$H$49,0)</f>
        <v/>
      </c>
      <c r="AH71" s="8">
        <f>IF(AH$4-'Assumptions'!$C$80&gt;=1,INDEX('36-Month Forecast'!$C$296:$AL$296,1,AH$4-'Assumptions'!$C$80)+INDEX('36-Month Forecast'!$C$293:$AL$293,1,AH$4-'Assumptions'!$C$80)*'Unit Economics'!$H$49,0)</f>
        <v/>
      </c>
      <c r="AI71" s="8">
        <f>IF(AI$4-'Assumptions'!$C$80&gt;=1,INDEX('36-Month Forecast'!$C$296:$AL$296,1,AI$4-'Assumptions'!$C$80)+INDEX('36-Month Forecast'!$C$293:$AL$293,1,AI$4-'Assumptions'!$C$80)*'Unit Economics'!$H$49,0)</f>
        <v/>
      </c>
      <c r="AJ71" s="8">
        <f>IF(AJ$4-'Assumptions'!$C$80&gt;=1,INDEX('36-Month Forecast'!$C$296:$AL$296,1,AJ$4-'Assumptions'!$C$80)+INDEX('36-Month Forecast'!$C$293:$AL$293,1,AJ$4-'Assumptions'!$C$80)*'Unit Economics'!$H$49,0)</f>
        <v/>
      </c>
      <c r="AK71" s="8">
        <f>IF(AK$4-'Assumptions'!$C$80&gt;=1,INDEX('36-Month Forecast'!$C$296:$AL$296,1,AK$4-'Assumptions'!$C$80)+INDEX('36-Month Forecast'!$C$293:$AL$293,1,AK$4-'Assumptions'!$C$80)*'Unit Economics'!$H$49,0)</f>
        <v/>
      </c>
      <c r="AL71" s="8">
        <f>IF(AL$4-'Assumptions'!$C$80&gt;=1,INDEX('36-Month Forecast'!$C$296:$AL$296,1,AL$4-'Assumptions'!$C$80)+INDEX('36-Month Forecast'!$C$293:$AL$293,1,AL$4-'Assumptions'!$C$80)*'Unit Economics'!$H$49,0)</f>
        <v/>
      </c>
      <c r="AM71" s="47">
        <f>SUMIF($C$6:$AL$6,1,C71:AL71)</f>
        <v/>
      </c>
      <c r="AN71" s="47">
        <f>SUMIF($C$6:$AL$6,2,C71:AL71)</f>
        <v/>
      </c>
      <c r="AO71" s="47">
        <f>SUMIF($C$6:$AL$6,3,C71:AL71)</f>
        <v/>
      </c>
      <c r="AP71" s="47">
        <f>SUM(C71:AL71)</f>
        <v/>
      </c>
    </row>
    <row r="72">
      <c r="A72" s="7" t="inlineStr">
        <is>
          <t xml:space="preserve">   Payout: Etsy: printables</t>
        </is>
      </c>
      <c r="C72" s="8">
        <f>IF(C$4-'Assumptions'!$C$81&gt;=1,INDEX('36-Month Forecast'!$C$306:$AL$306,1,C$4-'Assumptions'!$C$81)+INDEX('36-Month Forecast'!$C$303:$AL$303,1,C$4-'Assumptions'!$C$81)*'Unit Economics'!$H$50,0)</f>
        <v/>
      </c>
      <c r="D72" s="8">
        <f>IF(D$4-'Assumptions'!$C$81&gt;=1,INDEX('36-Month Forecast'!$C$306:$AL$306,1,D$4-'Assumptions'!$C$81)+INDEX('36-Month Forecast'!$C$303:$AL$303,1,D$4-'Assumptions'!$C$81)*'Unit Economics'!$H$50,0)</f>
        <v/>
      </c>
      <c r="E72" s="8">
        <f>IF(E$4-'Assumptions'!$C$81&gt;=1,INDEX('36-Month Forecast'!$C$306:$AL$306,1,E$4-'Assumptions'!$C$81)+INDEX('36-Month Forecast'!$C$303:$AL$303,1,E$4-'Assumptions'!$C$81)*'Unit Economics'!$H$50,0)</f>
        <v/>
      </c>
      <c r="F72" s="8">
        <f>IF(F$4-'Assumptions'!$C$81&gt;=1,INDEX('36-Month Forecast'!$C$306:$AL$306,1,F$4-'Assumptions'!$C$81)+INDEX('36-Month Forecast'!$C$303:$AL$303,1,F$4-'Assumptions'!$C$81)*'Unit Economics'!$H$50,0)</f>
        <v/>
      </c>
      <c r="G72" s="8">
        <f>IF(G$4-'Assumptions'!$C$81&gt;=1,INDEX('36-Month Forecast'!$C$306:$AL$306,1,G$4-'Assumptions'!$C$81)+INDEX('36-Month Forecast'!$C$303:$AL$303,1,G$4-'Assumptions'!$C$81)*'Unit Economics'!$H$50,0)</f>
        <v/>
      </c>
      <c r="H72" s="8">
        <f>IF(H$4-'Assumptions'!$C$81&gt;=1,INDEX('36-Month Forecast'!$C$306:$AL$306,1,H$4-'Assumptions'!$C$81)+INDEX('36-Month Forecast'!$C$303:$AL$303,1,H$4-'Assumptions'!$C$81)*'Unit Economics'!$H$50,0)</f>
        <v/>
      </c>
      <c r="I72" s="8">
        <f>IF(I$4-'Assumptions'!$C$81&gt;=1,INDEX('36-Month Forecast'!$C$306:$AL$306,1,I$4-'Assumptions'!$C$81)+INDEX('36-Month Forecast'!$C$303:$AL$303,1,I$4-'Assumptions'!$C$81)*'Unit Economics'!$H$50,0)</f>
        <v/>
      </c>
      <c r="J72" s="8">
        <f>IF(J$4-'Assumptions'!$C$81&gt;=1,INDEX('36-Month Forecast'!$C$306:$AL$306,1,J$4-'Assumptions'!$C$81)+INDEX('36-Month Forecast'!$C$303:$AL$303,1,J$4-'Assumptions'!$C$81)*'Unit Economics'!$H$50,0)</f>
        <v/>
      </c>
      <c r="K72" s="8">
        <f>IF(K$4-'Assumptions'!$C$81&gt;=1,INDEX('36-Month Forecast'!$C$306:$AL$306,1,K$4-'Assumptions'!$C$81)+INDEX('36-Month Forecast'!$C$303:$AL$303,1,K$4-'Assumptions'!$C$81)*'Unit Economics'!$H$50,0)</f>
        <v/>
      </c>
      <c r="L72" s="8">
        <f>IF(L$4-'Assumptions'!$C$81&gt;=1,INDEX('36-Month Forecast'!$C$306:$AL$306,1,L$4-'Assumptions'!$C$81)+INDEX('36-Month Forecast'!$C$303:$AL$303,1,L$4-'Assumptions'!$C$81)*'Unit Economics'!$H$50,0)</f>
        <v/>
      </c>
      <c r="M72" s="8">
        <f>IF(M$4-'Assumptions'!$C$81&gt;=1,INDEX('36-Month Forecast'!$C$306:$AL$306,1,M$4-'Assumptions'!$C$81)+INDEX('36-Month Forecast'!$C$303:$AL$303,1,M$4-'Assumptions'!$C$81)*'Unit Economics'!$H$50,0)</f>
        <v/>
      </c>
      <c r="N72" s="8">
        <f>IF(N$4-'Assumptions'!$C$81&gt;=1,INDEX('36-Month Forecast'!$C$306:$AL$306,1,N$4-'Assumptions'!$C$81)+INDEX('36-Month Forecast'!$C$303:$AL$303,1,N$4-'Assumptions'!$C$81)*'Unit Economics'!$H$50,0)</f>
        <v/>
      </c>
      <c r="O72" s="8">
        <f>IF(O$4-'Assumptions'!$C$81&gt;=1,INDEX('36-Month Forecast'!$C$306:$AL$306,1,O$4-'Assumptions'!$C$81)+INDEX('36-Month Forecast'!$C$303:$AL$303,1,O$4-'Assumptions'!$C$81)*'Unit Economics'!$H$50,0)</f>
        <v/>
      </c>
      <c r="P72" s="8">
        <f>IF(P$4-'Assumptions'!$C$81&gt;=1,INDEX('36-Month Forecast'!$C$306:$AL$306,1,P$4-'Assumptions'!$C$81)+INDEX('36-Month Forecast'!$C$303:$AL$303,1,P$4-'Assumptions'!$C$81)*'Unit Economics'!$H$50,0)</f>
        <v/>
      </c>
      <c r="Q72" s="8">
        <f>IF(Q$4-'Assumptions'!$C$81&gt;=1,INDEX('36-Month Forecast'!$C$306:$AL$306,1,Q$4-'Assumptions'!$C$81)+INDEX('36-Month Forecast'!$C$303:$AL$303,1,Q$4-'Assumptions'!$C$81)*'Unit Economics'!$H$50,0)</f>
        <v/>
      </c>
      <c r="R72" s="8">
        <f>IF(R$4-'Assumptions'!$C$81&gt;=1,INDEX('36-Month Forecast'!$C$306:$AL$306,1,R$4-'Assumptions'!$C$81)+INDEX('36-Month Forecast'!$C$303:$AL$303,1,R$4-'Assumptions'!$C$81)*'Unit Economics'!$H$50,0)</f>
        <v/>
      </c>
      <c r="S72" s="8">
        <f>IF(S$4-'Assumptions'!$C$81&gt;=1,INDEX('36-Month Forecast'!$C$306:$AL$306,1,S$4-'Assumptions'!$C$81)+INDEX('36-Month Forecast'!$C$303:$AL$303,1,S$4-'Assumptions'!$C$81)*'Unit Economics'!$H$50,0)</f>
        <v/>
      </c>
      <c r="T72" s="8">
        <f>IF(T$4-'Assumptions'!$C$81&gt;=1,INDEX('36-Month Forecast'!$C$306:$AL$306,1,T$4-'Assumptions'!$C$81)+INDEX('36-Month Forecast'!$C$303:$AL$303,1,T$4-'Assumptions'!$C$81)*'Unit Economics'!$H$50,0)</f>
        <v/>
      </c>
      <c r="U72" s="8">
        <f>IF(U$4-'Assumptions'!$C$81&gt;=1,INDEX('36-Month Forecast'!$C$306:$AL$306,1,U$4-'Assumptions'!$C$81)+INDEX('36-Month Forecast'!$C$303:$AL$303,1,U$4-'Assumptions'!$C$81)*'Unit Economics'!$H$50,0)</f>
        <v/>
      </c>
      <c r="V72" s="8">
        <f>IF(V$4-'Assumptions'!$C$81&gt;=1,INDEX('36-Month Forecast'!$C$306:$AL$306,1,V$4-'Assumptions'!$C$81)+INDEX('36-Month Forecast'!$C$303:$AL$303,1,V$4-'Assumptions'!$C$81)*'Unit Economics'!$H$50,0)</f>
        <v/>
      </c>
      <c r="W72" s="8">
        <f>IF(W$4-'Assumptions'!$C$81&gt;=1,INDEX('36-Month Forecast'!$C$306:$AL$306,1,W$4-'Assumptions'!$C$81)+INDEX('36-Month Forecast'!$C$303:$AL$303,1,W$4-'Assumptions'!$C$81)*'Unit Economics'!$H$50,0)</f>
        <v/>
      </c>
      <c r="X72" s="8">
        <f>IF(X$4-'Assumptions'!$C$81&gt;=1,INDEX('36-Month Forecast'!$C$306:$AL$306,1,X$4-'Assumptions'!$C$81)+INDEX('36-Month Forecast'!$C$303:$AL$303,1,X$4-'Assumptions'!$C$81)*'Unit Economics'!$H$50,0)</f>
        <v/>
      </c>
      <c r="Y72" s="8">
        <f>IF(Y$4-'Assumptions'!$C$81&gt;=1,INDEX('36-Month Forecast'!$C$306:$AL$306,1,Y$4-'Assumptions'!$C$81)+INDEX('36-Month Forecast'!$C$303:$AL$303,1,Y$4-'Assumptions'!$C$81)*'Unit Economics'!$H$50,0)</f>
        <v/>
      </c>
      <c r="Z72" s="8">
        <f>IF(Z$4-'Assumptions'!$C$81&gt;=1,INDEX('36-Month Forecast'!$C$306:$AL$306,1,Z$4-'Assumptions'!$C$81)+INDEX('36-Month Forecast'!$C$303:$AL$303,1,Z$4-'Assumptions'!$C$81)*'Unit Economics'!$H$50,0)</f>
        <v/>
      </c>
      <c r="AA72" s="8">
        <f>IF(AA$4-'Assumptions'!$C$81&gt;=1,INDEX('36-Month Forecast'!$C$306:$AL$306,1,AA$4-'Assumptions'!$C$81)+INDEX('36-Month Forecast'!$C$303:$AL$303,1,AA$4-'Assumptions'!$C$81)*'Unit Economics'!$H$50,0)</f>
        <v/>
      </c>
      <c r="AB72" s="8">
        <f>IF(AB$4-'Assumptions'!$C$81&gt;=1,INDEX('36-Month Forecast'!$C$306:$AL$306,1,AB$4-'Assumptions'!$C$81)+INDEX('36-Month Forecast'!$C$303:$AL$303,1,AB$4-'Assumptions'!$C$81)*'Unit Economics'!$H$50,0)</f>
        <v/>
      </c>
      <c r="AC72" s="8">
        <f>IF(AC$4-'Assumptions'!$C$81&gt;=1,INDEX('36-Month Forecast'!$C$306:$AL$306,1,AC$4-'Assumptions'!$C$81)+INDEX('36-Month Forecast'!$C$303:$AL$303,1,AC$4-'Assumptions'!$C$81)*'Unit Economics'!$H$50,0)</f>
        <v/>
      </c>
      <c r="AD72" s="8">
        <f>IF(AD$4-'Assumptions'!$C$81&gt;=1,INDEX('36-Month Forecast'!$C$306:$AL$306,1,AD$4-'Assumptions'!$C$81)+INDEX('36-Month Forecast'!$C$303:$AL$303,1,AD$4-'Assumptions'!$C$81)*'Unit Economics'!$H$50,0)</f>
        <v/>
      </c>
      <c r="AE72" s="8">
        <f>IF(AE$4-'Assumptions'!$C$81&gt;=1,INDEX('36-Month Forecast'!$C$306:$AL$306,1,AE$4-'Assumptions'!$C$81)+INDEX('36-Month Forecast'!$C$303:$AL$303,1,AE$4-'Assumptions'!$C$81)*'Unit Economics'!$H$50,0)</f>
        <v/>
      </c>
      <c r="AF72" s="8">
        <f>IF(AF$4-'Assumptions'!$C$81&gt;=1,INDEX('36-Month Forecast'!$C$306:$AL$306,1,AF$4-'Assumptions'!$C$81)+INDEX('36-Month Forecast'!$C$303:$AL$303,1,AF$4-'Assumptions'!$C$81)*'Unit Economics'!$H$50,0)</f>
        <v/>
      </c>
      <c r="AG72" s="8">
        <f>IF(AG$4-'Assumptions'!$C$81&gt;=1,INDEX('36-Month Forecast'!$C$306:$AL$306,1,AG$4-'Assumptions'!$C$81)+INDEX('36-Month Forecast'!$C$303:$AL$303,1,AG$4-'Assumptions'!$C$81)*'Unit Economics'!$H$50,0)</f>
        <v/>
      </c>
      <c r="AH72" s="8">
        <f>IF(AH$4-'Assumptions'!$C$81&gt;=1,INDEX('36-Month Forecast'!$C$306:$AL$306,1,AH$4-'Assumptions'!$C$81)+INDEX('36-Month Forecast'!$C$303:$AL$303,1,AH$4-'Assumptions'!$C$81)*'Unit Economics'!$H$50,0)</f>
        <v/>
      </c>
      <c r="AI72" s="8">
        <f>IF(AI$4-'Assumptions'!$C$81&gt;=1,INDEX('36-Month Forecast'!$C$306:$AL$306,1,AI$4-'Assumptions'!$C$81)+INDEX('36-Month Forecast'!$C$303:$AL$303,1,AI$4-'Assumptions'!$C$81)*'Unit Economics'!$H$50,0)</f>
        <v/>
      </c>
      <c r="AJ72" s="8">
        <f>IF(AJ$4-'Assumptions'!$C$81&gt;=1,INDEX('36-Month Forecast'!$C$306:$AL$306,1,AJ$4-'Assumptions'!$C$81)+INDEX('36-Month Forecast'!$C$303:$AL$303,1,AJ$4-'Assumptions'!$C$81)*'Unit Economics'!$H$50,0)</f>
        <v/>
      </c>
      <c r="AK72" s="8">
        <f>IF(AK$4-'Assumptions'!$C$81&gt;=1,INDEX('36-Month Forecast'!$C$306:$AL$306,1,AK$4-'Assumptions'!$C$81)+INDEX('36-Month Forecast'!$C$303:$AL$303,1,AK$4-'Assumptions'!$C$81)*'Unit Economics'!$H$50,0)</f>
        <v/>
      </c>
      <c r="AL72" s="8">
        <f>IF(AL$4-'Assumptions'!$C$81&gt;=1,INDEX('36-Month Forecast'!$C$306:$AL$306,1,AL$4-'Assumptions'!$C$81)+INDEX('36-Month Forecast'!$C$303:$AL$303,1,AL$4-'Assumptions'!$C$81)*'Unit Economics'!$H$50,0)</f>
        <v/>
      </c>
      <c r="AM72" s="47">
        <f>SUMIF($C$6:$AL$6,1,C72:AL72)</f>
        <v/>
      </c>
      <c r="AN72" s="47">
        <f>SUMIF($C$6:$AL$6,2,C72:AL72)</f>
        <v/>
      </c>
      <c r="AO72" s="47">
        <f>SUMIF($C$6:$AL$6,3,C72:AL72)</f>
        <v/>
      </c>
      <c r="AP72" s="47">
        <f>SUM(C72:AL72)</f>
        <v/>
      </c>
    </row>
    <row r="73">
      <c r="A73" s="7" t="inlineStr">
        <is>
          <t xml:space="preserve">   Payout: Amazon KDP: paperbacks</t>
        </is>
      </c>
      <c r="C73" s="8">
        <f>IF(C$4-'Assumptions'!$C$82&gt;=1,INDEX('36-Month Forecast'!$C$316:$AL$316,1,C$4-'Assumptions'!$C$82)+INDEX('36-Month Forecast'!$C$313:$AL$313,1,C$4-'Assumptions'!$C$82)*'Unit Economics'!$H$51,0)</f>
        <v/>
      </c>
      <c r="D73" s="8">
        <f>IF(D$4-'Assumptions'!$C$82&gt;=1,INDEX('36-Month Forecast'!$C$316:$AL$316,1,D$4-'Assumptions'!$C$82)+INDEX('36-Month Forecast'!$C$313:$AL$313,1,D$4-'Assumptions'!$C$82)*'Unit Economics'!$H$51,0)</f>
        <v/>
      </c>
      <c r="E73" s="8">
        <f>IF(E$4-'Assumptions'!$C$82&gt;=1,INDEX('36-Month Forecast'!$C$316:$AL$316,1,E$4-'Assumptions'!$C$82)+INDEX('36-Month Forecast'!$C$313:$AL$313,1,E$4-'Assumptions'!$C$82)*'Unit Economics'!$H$51,0)</f>
        <v/>
      </c>
      <c r="F73" s="8">
        <f>IF(F$4-'Assumptions'!$C$82&gt;=1,INDEX('36-Month Forecast'!$C$316:$AL$316,1,F$4-'Assumptions'!$C$82)+INDEX('36-Month Forecast'!$C$313:$AL$313,1,F$4-'Assumptions'!$C$82)*'Unit Economics'!$H$51,0)</f>
        <v/>
      </c>
      <c r="G73" s="8">
        <f>IF(G$4-'Assumptions'!$C$82&gt;=1,INDEX('36-Month Forecast'!$C$316:$AL$316,1,G$4-'Assumptions'!$C$82)+INDEX('36-Month Forecast'!$C$313:$AL$313,1,G$4-'Assumptions'!$C$82)*'Unit Economics'!$H$51,0)</f>
        <v/>
      </c>
      <c r="H73" s="8">
        <f>IF(H$4-'Assumptions'!$C$82&gt;=1,INDEX('36-Month Forecast'!$C$316:$AL$316,1,H$4-'Assumptions'!$C$82)+INDEX('36-Month Forecast'!$C$313:$AL$313,1,H$4-'Assumptions'!$C$82)*'Unit Economics'!$H$51,0)</f>
        <v/>
      </c>
      <c r="I73" s="8">
        <f>IF(I$4-'Assumptions'!$C$82&gt;=1,INDEX('36-Month Forecast'!$C$316:$AL$316,1,I$4-'Assumptions'!$C$82)+INDEX('36-Month Forecast'!$C$313:$AL$313,1,I$4-'Assumptions'!$C$82)*'Unit Economics'!$H$51,0)</f>
        <v/>
      </c>
      <c r="J73" s="8">
        <f>IF(J$4-'Assumptions'!$C$82&gt;=1,INDEX('36-Month Forecast'!$C$316:$AL$316,1,J$4-'Assumptions'!$C$82)+INDEX('36-Month Forecast'!$C$313:$AL$313,1,J$4-'Assumptions'!$C$82)*'Unit Economics'!$H$51,0)</f>
        <v/>
      </c>
      <c r="K73" s="8">
        <f>IF(K$4-'Assumptions'!$C$82&gt;=1,INDEX('36-Month Forecast'!$C$316:$AL$316,1,K$4-'Assumptions'!$C$82)+INDEX('36-Month Forecast'!$C$313:$AL$313,1,K$4-'Assumptions'!$C$82)*'Unit Economics'!$H$51,0)</f>
        <v/>
      </c>
      <c r="L73" s="8">
        <f>IF(L$4-'Assumptions'!$C$82&gt;=1,INDEX('36-Month Forecast'!$C$316:$AL$316,1,L$4-'Assumptions'!$C$82)+INDEX('36-Month Forecast'!$C$313:$AL$313,1,L$4-'Assumptions'!$C$82)*'Unit Economics'!$H$51,0)</f>
        <v/>
      </c>
      <c r="M73" s="8">
        <f>IF(M$4-'Assumptions'!$C$82&gt;=1,INDEX('36-Month Forecast'!$C$316:$AL$316,1,M$4-'Assumptions'!$C$82)+INDEX('36-Month Forecast'!$C$313:$AL$313,1,M$4-'Assumptions'!$C$82)*'Unit Economics'!$H$51,0)</f>
        <v/>
      </c>
      <c r="N73" s="8">
        <f>IF(N$4-'Assumptions'!$C$82&gt;=1,INDEX('36-Month Forecast'!$C$316:$AL$316,1,N$4-'Assumptions'!$C$82)+INDEX('36-Month Forecast'!$C$313:$AL$313,1,N$4-'Assumptions'!$C$82)*'Unit Economics'!$H$51,0)</f>
        <v/>
      </c>
      <c r="O73" s="8">
        <f>IF(O$4-'Assumptions'!$C$82&gt;=1,INDEX('36-Month Forecast'!$C$316:$AL$316,1,O$4-'Assumptions'!$C$82)+INDEX('36-Month Forecast'!$C$313:$AL$313,1,O$4-'Assumptions'!$C$82)*'Unit Economics'!$H$51,0)</f>
        <v/>
      </c>
      <c r="P73" s="8">
        <f>IF(P$4-'Assumptions'!$C$82&gt;=1,INDEX('36-Month Forecast'!$C$316:$AL$316,1,P$4-'Assumptions'!$C$82)+INDEX('36-Month Forecast'!$C$313:$AL$313,1,P$4-'Assumptions'!$C$82)*'Unit Economics'!$H$51,0)</f>
        <v/>
      </c>
      <c r="Q73" s="8">
        <f>IF(Q$4-'Assumptions'!$C$82&gt;=1,INDEX('36-Month Forecast'!$C$316:$AL$316,1,Q$4-'Assumptions'!$C$82)+INDEX('36-Month Forecast'!$C$313:$AL$313,1,Q$4-'Assumptions'!$C$82)*'Unit Economics'!$H$51,0)</f>
        <v/>
      </c>
      <c r="R73" s="8">
        <f>IF(R$4-'Assumptions'!$C$82&gt;=1,INDEX('36-Month Forecast'!$C$316:$AL$316,1,R$4-'Assumptions'!$C$82)+INDEX('36-Month Forecast'!$C$313:$AL$313,1,R$4-'Assumptions'!$C$82)*'Unit Economics'!$H$51,0)</f>
        <v/>
      </c>
      <c r="S73" s="8">
        <f>IF(S$4-'Assumptions'!$C$82&gt;=1,INDEX('36-Month Forecast'!$C$316:$AL$316,1,S$4-'Assumptions'!$C$82)+INDEX('36-Month Forecast'!$C$313:$AL$313,1,S$4-'Assumptions'!$C$82)*'Unit Economics'!$H$51,0)</f>
        <v/>
      </c>
      <c r="T73" s="8">
        <f>IF(T$4-'Assumptions'!$C$82&gt;=1,INDEX('36-Month Forecast'!$C$316:$AL$316,1,T$4-'Assumptions'!$C$82)+INDEX('36-Month Forecast'!$C$313:$AL$313,1,T$4-'Assumptions'!$C$82)*'Unit Economics'!$H$51,0)</f>
        <v/>
      </c>
      <c r="U73" s="8">
        <f>IF(U$4-'Assumptions'!$C$82&gt;=1,INDEX('36-Month Forecast'!$C$316:$AL$316,1,U$4-'Assumptions'!$C$82)+INDEX('36-Month Forecast'!$C$313:$AL$313,1,U$4-'Assumptions'!$C$82)*'Unit Economics'!$H$51,0)</f>
        <v/>
      </c>
      <c r="V73" s="8">
        <f>IF(V$4-'Assumptions'!$C$82&gt;=1,INDEX('36-Month Forecast'!$C$316:$AL$316,1,V$4-'Assumptions'!$C$82)+INDEX('36-Month Forecast'!$C$313:$AL$313,1,V$4-'Assumptions'!$C$82)*'Unit Economics'!$H$51,0)</f>
        <v/>
      </c>
      <c r="W73" s="8">
        <f>IF(W$4-'Assumptions'!$C$82&gt;=1,INDEX('36-Month Forecast'!$C$316:$AL$316,1,W$4-'Assumptions'!$C$82)+INDEX('36-Month Forecast'!$C$313:$AL$313,1,W$4-'Assumptions'!$C$82)*'Unit Economics'!$H$51,0)</f>
        <v/>
      </c>
      <c r="X73" s="8">
        <f>IF(X$4-'Assumptions'!$C$82&gt;=1,INDEX('36-Month Forecast'!$C$316:$AL$316,1,X$4-'Assumptions'!$C$82)+INDEX('36-Month Forecast'!$C$313:$AL$313,1,X$4-'Assumptions'!$C$82)*'Unit Economics'!$H$51,0)</f>
        <v/>
      </c>
      <c r="Y73" s="8">
        <f>IF(Y$4-'Assumptions'!$C$82&gt;=1,INDEX('36-Month Forecast'!$C$316:$AL$316,1,Y$4-'Assumptions'!$C$82)+INDEX('36-Month Forecast'!$C$313:$AL$313,1,Y$4-'Assumptions'!$C$82)*'Unit Economics'!$H$51,0)</f>
        <v/>
      </c>
      <c r="Z73" s="8">
        <f>IF(Z$4-'Assumptions'!$C$82&gt;=1,INDEX('36-Month Forecast'!$C$316:$AL$316,1,Z$4-'Assumptions'!$C$82)+INDEX('36-Month Forecast'!$C$313:$AL$313,1,Z$4-'Assumptions'!$C$82)*'Unit Economics'!$H$51,0)</f>
        <v/>
      </c>
      <c r="AA73" s="8">
        <f>IF(AA$4-'Assumptions'!$C$82&gt;=1,INDEX('36-Month Forecast'!$C$316:$AL$316,1,AA$4-'Assumptions'!$C$82)+INDEX('36-Month Forecast'!$C$313:$AL$313,1,AA$4-'Assumptions'!$C$82)*'Unit Economics'!$H$51,0)</f>
        <v/>
      </c>
      <c r="AB73" s="8">
        <f>IF(AB$4-'Assumptions'!$C$82&gt;=1,INDEX('36-Month Forecast'!$C$316:$AL$316,1,AB$4-'Assumptions'!$C$82)+INDEX('36-Month Forecast'!$C$313:$AL$313,1,AB$4-'Assumptions'!$C$82)*'Unit Economics'!$H$51,0)</f>
        <v/>
      </c>
      <c r="AC73" s="8">
        <f>IF(AC$4-'Assumptions'!$C$82&gt;=1,INDEX('36-Month Forecast'!$C$316:$AL$316,1,AC$4-'Assumptions'!$C$82)+INDEX('36-Month Forecast'!$C$313:$AL$313,1,AC$4-'Assumptions'!$C$82)*'Unit Economics'!$H$51,0)</f>
        <v/>
      </c>
      <c r="AD73" s="8">
        <f>IF(AD$4-'Assumptions'!$C$82&gt;=1,INDEX('36-Month Forecast'!$C$316:$AL$316,1,AD$4-'Assumptions'!$C$82)+INDEX('36-Month Forecast'!$C$313:$AL$313,1,AD$4-'Assumptions'!$C$82)*'Unit Economics'!$H$51,0)</f>
        <v/>
      </c>
      <c r="AE73" s="8">
        <f>IF(AE$4-'Assumptions'!$C$82&gt;=1,INDEX('36-Month Forecast'!$C$316:$AL$316,1,AE$4-'Assumptions'!$C$82)+INDEX('36-Month Forecast'!$C$313:$AL$313,1,AE$4-'Assumptions'!$C$82)*'Unit Economics'!$H$51,0)</f>
        <v/>
      </c>
      <c r="AF73" s="8">
        <f>IF(AF$4-'Assumptions'!$C$82&gt;=1,INDEX('36-Month Forecast'!$C$316:$AL$316,1,AF$4-'Assumptions'!$C$82)+INDEX('36-Month Forecast'!$C$313:$AL$313,1,AF$4-'Assumptions'!$C$82)*'Unit Economics'!$H$51,0)</f>
        <v/>
      </c>
      <c r="AG73" s="8">
        <f>IF(AG$4-'Assumptions'!$C$82&gt;=1,INDEX('36-Month Forecast'!$C$316:$AL$316,1,AG$4-'Assumptions'!$C$82)+INDEX('36-Month Forecast'!$C$313:$AL$313,1,AG$4-'Assumptions'!$C$82)*'Unit Economics'!$H$51,0)</f>
        <v/>
      </c>
      <c r="AH73" s="8">
        <f>IF(AH$4-'Assumptions'!$C$82&gt;=1,INDEX('36-Month Forecast'!$C$316:$AL$316,1,AH$4-'Assumptions'!$C$82)+INDEX('36-Month Forecast'!$C$313:$AL$313,1,AH$4-'Assumptions'!$C$82)*'Unit Economics'!$H$51,0)</f>
        <v/>
      </c>
      <c r="AI73" s="8">
        <f>IF(AI$4-'Assumptions'!$C$82&gt;=1,INDEX('36-Month Forecast'!$C$316:$AL$316,1,AI$4-'Assumptions'!$C$82)+INDEX('36-Month Forecast'!$C$313:$AL$313,1,AI$4-'Assumptions'!$C$82)*'Unit Economics'!$H$51,0)</f>
        <v/>
      </c>
      <c r="AJ73" s="8">
        <f>IF(AJ$4-'Assumptions'!$C$82&gt;=1,INDEX('36-Month Forecast'!$C$316:$AL$316,1,AJ$4-'Assumptions'!$C$82)+INDEX('36-Month Forecast'!$C$313:$AL$313,1,AJ$4-'Assumptions'!$C$82)*'Unit Economics'!$H$51,0)</f>
        <v/>
      </c>
      <c r="AK73" s="8">
        <f>IF(AK$4-'Assumptions'!$C$82&gt;=1,INDEX('36-Month Forecast'!$C$316:$AL$316,1,AK$4-'Assumptions'!$C$82)+INDEX('36-Month Forecast'!$C$313:$AL$313,1,AK$4-'Assumptions'!$C$82)*'Unit Economics'!$H$51,0)</f>
        <v/>
      </c>
      <c r="AL73" s="8">
        <f>IF(AL$4-'Assumptions'!$C$82&gt;=1,INDEX('36-Month Forecast'!$C$316:$AL$316,1,AL$4-'Assumptions'!$C$82)+INDEX('36-Month Forecast'!$C$313:$AL$313,1,AL$4-'Assumptions'!$C$82)*'Unit Economics'!$H$51,0)</f>
        <v/>
      </c>
      <c r="AM73" s="47">
        <f>SUMIF($C$6:$AL$6,1,C73:AL73)</f>
        <v/>
      </c>
      <c r="AN73" s="47">
        <f>SUMIF($C$6:$AL$6,2,C73:AL73)</f>
        <v/>
      </c>
      <c r="AO73" s="47">
        <f>SUMIF($C$6:$AL$6,3,C73:AL73)</f>
        <v/>
      </c>
      <c r="AP73" s="47">
        <f>SUM(C73:AL73)</f>
        <v/>
      </c>
    </row>
    <row r="74">
      <c r="A74" s="7" t="inlineStr">
        <is>
          <t xml:space="preserve">   Payout: IngramSpark: paperbacks to bookstores and libraries</t>
        </is>
      </c>
      <c r="C74" s="8">
        <f>IF(C$4-'Assumptions'!$C$83&gt;=1,INDEX('36-Month Forecast'!$C$326:$AL$326,1,C$4-'Assumptions'!$C$83)+INDEX('36-Month Forecast'!$C$323:$AL$323,1,C$4-'Assumptions'!$C$83)*'Unit Economics'!$H$52,0)</f>
        <v/>
      </c>
      <c r="D74" s="8">
        <f>IF(D$4-'Assumptions'!$C$83&gt;=1,INDEX('36-Month Forecast'!$C$326:$AL$326,1,D$4-'Assumptions'!$C$83)+INDEX('36-Month Forecast'!$C$323:$AL$323,1,D$4-'Assumptions'!$C$83)*'Unit Economics'!$H$52,0)</f>
        <v/>
      </c>
      <c r="E74" s="8">
        <f>IF(E$4-'Assumptions'!$C$83&gt;=1,INDEX('36-Month Forecast'!$C$326:$AL$326,1,E$4-'Assumptions'!$C$83)+INDEX('36-Month Forecast'!$C$323:$AL$323,1,E$4-'Assumptions'!$C$83)*'Unit Economics'!$H$52,0)</f>
        <v/>
      </c>
      <c r="F74" s="8">
        <f>IF(F$4-'Assumptions'!$C$83&gt;=1,INDEX('36-Month Forecast'!$C$326:$AL$326,1,F$4-'Assumptions'!$C$83)+INDEX('36-Month Forecast'!$C$323:$AL$323,1,F$4-'Assumptions'!$C$83)*'Unit Economics'!$H$52,0)</f>
        <v/>
      </c>
      <c r="G74" s="8">
        <f>IF(G$4-'Assumptions'!$C$83&gt;=1,INDEX('36-Month Forecast'!$C$326:$AL$326,1,G$4-'Assumptions'!$C$83)+INDEX('36-Month Forecast'!$C$323:$AL$323,1,G$4-'Assumptions'!$C$83)*'Unit Economics'!$H$52,0)</f>
        <v/>
      </c>
      <c r="H74" s="8">
        <f>IF(H$4-'Assumptions'!$C$83&gt;=1,INDEX('36-Month Forecast'!$C$326:$AL$326,1,H$4-'Assumptions'!$C$83)+INDEX('36-Month Forecast'!$C$323:$AL$323,1,H$4-'Assumptions'!$C$83)*'Unit Economics'!$H$52,0)</f>
        <v/>
      </c>
      <c r="I74" s="8">
        <f>IF(I$4-'Assumptions'!$C$83&gt;=1,INDEX('36-Month Forecast'!$C$326:$AL$326,1,I$4-'Assumptions'!$C$83)+INDEX('36-Month Forecast'!$C$323:$AL$323,1,I$4-'Assumptions'!$C$83)*'Unit Economics'!$H$52,0)</f>
        <v/>
      </c>
      <c r="J74" s="8">
        <f>IF(J$4-'Assumptions'!$C$83&gt;=1,INDEX('36-Month Forecast'!$C$326:$AL$326,1,J$4-'Assumptions'!$C$83)+INDEX('36-Month Forecast'!$C$323:$AL$323,1,J$4-'Assumptions'!$C$83)*'Unit Economics'!$H$52,0)</f>
        <v/>
      </c>
      <c r="K74" s="8">
        <f>IF(K$4-'Assumptions'!$C$83&gt;=1,INDEX('36-Month Forecast'!$C$326:$AL$326,1,K$4-'Assumptions'!$C$83)+INDEX('36-Month Forecast'!$C$323:$AL$323,1,K$4-'Assumptions'!$C$83)*'Unit Economics'!$H$52,0)</f>
        <v/>
      </c>
      <c r="L74" s="8">
        <f>IF(L$4-'Assumptions'!$C$83&gt;=1,INDEX('36-Month Forecast'!$C$326:$AL$326,1,L$4-'Assumptions'!$C$83)+INDEX('36-Month Forecast'!$C$323:$AL$323,1,L$4-'Assumptions'!$C$83)*'Unit Economics'!$H$52,0)</f>
        <v/>
      </c>
      <c r="M74" s="8">
        <f>IF(M$4-'Assumptions'!$C$83&gt;=1,INDEX('36-Month Forecast'!$C$326:$AL$326,1,M$4-'Assumptions'!$C$83)+INDEX('36-Month Forecast'!$C$323:$AL$323,1,M$4-'Assumptions'!$C$83)*'Unit Economics'!$H$52,0)</f>
        <v/>
      </c>
      <c r="N74" s="8">
        <f>IF(N$4-'Assumptions'!$C$83&gt;=1,INDEX('36-Month Forecast'!$C$326:$AL$326,1,N$4-'Assumptions'!$C$83)+INDEX('36-Month Forecast'!$C$323:$AL$323,1,N$4-'Assumptions'!$C$83)*'Unit Economics'!$H$52,0)</f>
        <v/>
      </c>
      <c r="O74" s="8">
        <f>IF(O$4-'Assumptions'!$C$83&gt;=1,INDEX('36-Month Forecast'!$C$326:$AL$326,1,O$4-'Assumptions'!$C$83)+INDEX('36-Month Forecast'!$C$323:$AL$323,1,O$4-'Assumptions'!$C$83)*'Unit Economics'!$H$52,0)</f>
        <v/>
      </c>
      <c r="P74" s="8">
        <f>IF(P$4-'Assumptions'!$C$83&gt;=1,INDEX('36-Month Forecast'!$C$326:$AL$326,1,P$4-'Assumptions'!$C$83)+INDEX('36-Month Forecast'!$C$323:$AL$323,1,P$4-'Assumptions'!$C$83)*'Unit Economics'!$H$52,0)</f>
        <v/>
      </c>
      <c r="Q74" s="8">
        <f>IF(Q$4-'Assumptions'!$C$83&gt;=1,INDEX('36-Month Forecast'!$C$326:$AL$326,1,Q$4-'Assumptions'!$C$83)+INDEX('36-Month Forecast'!$C$323:$AL$323,1,Q$4-'Assumptions'!$C$83)*'Unit Economics'!$H$52,0)</f>
        <v/>
      </c>
      <c r="R74" s="8">
        <f>IF(R$4-'Assumptions'!$C$83&gt;=1,INDEX('36-Month Forecast'!$C$326:$AL$326,1,R$4-'Assumptions'!$C$83)+INDEX('36-Month Forecast'!$C$323:$AL$323,1,R$4-'Assumptions'!$C$83)*'Unit Economics'!$H$52,0)</f>
        <v/>
      </c>
      <c r="S74" s="8">
        <f>IF(S$4-'Assumptions'!$C$83&gt;=1,INDEX('36-Month Forecast'!$C$326:$AL$326,1,S$4-'Assumptions'!$C$83)+INDEX('36-Month Forecast'!$C$323:$AL$323,1,S$4-'Assumptions'!$C$83)*'Unit Economics'!$H$52,0)</f>
        <v/>
      </c>
      <c r="T74" s="8">
        <f>IF(T$4-'Assumptions'!$C$83&gt;=1,INDEX('36-Month Forecast'!$C$326:$AL$326,1,T$4-'Assumptions'!$C$83)+INDEX('36-Month Forecast'!$C$323:$AL$323,1,T$4-'Assumptions'!$C$83)*'Unit Economics'!$H$52,0)</f>
        <v/>
      </c>
      <c r="U74" s="8">
        <f>IF(U$4-'Assumptions'!$C$83&gt;=1,INDEX('36-Month Forecast'!$C$326:$AL$326,1,U$4-'Assumptions'!$C$83)+INDEX('36-Month Forecast'!$C$323:$AL$323,1,U$4-'Assumptions'!$C$83)*'Unit Economics'!$H$52,0)</f>
        <v/>
      </c>
      <c r="V74" s="8">
        <f>IF(V$4-'Assumptions'!$C$83&gt;=1,INDEX('36-Month Forecast'!$C$326:$AL$326,1,V$4-'Assumptions'!$C$83)+INDEX('36-Month Forecast'!$C$323:$AL$323,1,V$4-'Assumptions'!$C$83)*'Unit Economics'!$H$52,0)</f>
        <v/>
      </c>
      <c r="W74" s="8">
        <f>IF(W$4-'Assumptions'!$C$83&gt;=1,INDEX('36-Month Forecast'!$C$326:$AL$326,1,W$4-'Assumptions'!$C$83)+INDEX('36-Month Forecast'!$C$323:$AL$323,1,W$4-'Assumptions'!$C$83)*'Unit Economics'!$H$52,0)</f>
        <v/>
      </c>
      <c r="X74" s="8">
        <f>IF(X$4-'Assumptions'!$C$83&gt;=1,INDEX('36-Month Forecast'!$C$326:$AL$326,1,X$4-'Assumptions'!$C$83)+INDEX('36-Month Forecast'!$C$323:$AL$323,1,X$4-'Assumptions'!$C$83)*'Unit Economics'!$H$52,0)</f>
        <v/>
      </c>
      <c r="Y74" s="8">
        <f>IF(Y$4-'Assumptions'!$C$83&gt;=1,INDEX('36-Month Forecast'!$C$326:$AL$326,1,Y$4-'Assumptions'!$C$83)+INDEX('36-Month Forecast'!$C$323:$AL$323,1,Y$4-'Assumptions'!$C$83)*'Unit Economics'!$H$52,0)</f>
        <v/>
      </c>
      <c r="Z74" s="8">
        <f>IF(Z$4-'Assumptions'!$C$83&gt;=1,INDEX('36-Month Forecast'!$C$326:$AL$326,1,Z$4-'Assumptions'!$C$83)+INDEX('36-Month Forecast'!$C$323:$AL$323,1,Z$4-'Assumptions'!$C$83)*'Unit Economics'!$H$52,0)</f>
        <v/>
      </c>
      <c r="AA74" s="8">
        <f>IF(AA$4-'Assumptions'!$C$83&gt;=1,INDEX('36-Month Forecast'!$C$326:$AL$326,1,AA$4-'Assumptions'!$C$83)+INDEX('36-Month Forecast'!$C$323:$AL$323,1,AA$4-'Assumptions'!$C$83)*'Unit Economics'!$H$52,0)</f>
        <v/>
      </c>
      <c r="AB74" s="8">
        <f>IF(AB$4-'Assumptions'!$C$83&gt;=1,INDEX('36-Month Forecast'!$C$326:$AL$326,1,AB$4-'Assumptions'!$C$83)+INDEX('36-Month Forecast'!$C$323:$AL$323,1,AB$4-'Assumptions'!$C$83)*'Unit Economics'!$H$52,0)</f>
        <v/>
      </c>
      <c r="AC74" s="8">
        <f>IF(AC$4-'Assumptions'!$C$83&gt;=1,INDEX('36-Month Forecast'!$C$326:$AL$326,1,AC$4-'Assumptions'!$C$83)+INDEX('36-Month Forecast'!$C$323:$AL$323,1,AC$4-'Assumptions'!$C$83)*'Unit Economics'!$H$52,0)</f>
        <v/>
      </c>
      <c r="AD74" s="8">
        <f>IF(AD$4-'Assumptions'!$C$83&gt;=1,INDEX('36-Month Forecast'!$C$326:$AL$326,1,AD$4-'Assumptions'!$C$83)+INDEX('36-Month Forecast'!$C$323:$AL$323,1,AD$4-'Assumptions'!$C$83)*'Unit Economics'!$H$52,0)</f>
        <v/>
      </c>
      <c r="AE74" s="8">
        <f>IF(AE$4-'Assumptions'!$C$83&gt;=1,INDEX('36-Month Forecast'!$C$326:$AL$326,1,AE$4-'Assumptions'!$C$83)+INDEX('36-Month Forecast'!$C$323:$AL$323,1,AE$4-'Assumptions'!$C$83)*'Unit Economics'!$H$52,0)</f>
        <v/>
      </c>
      <c r="AF74" s="8">
        <f>IF(AF$4-'Assumptions'!$C$83&gt;=1,INDEX('36-Month Forecast'!$C$326:$AL$326,1,AF$4-'Assumptions'!$C$83)+INDEX('36-Month Forecast'!$C$323:$AL$323,1,AF$4-'Assumptions'!$C$83)*'Unit Economics'!$H$52,0)</f>
        <v/>
      </c>
      <c r="AG74" s="8">
        <f>IF(AG$4-'Assumptions'!$C$83&gt;=1,INDEX('36-Month Forecast'!$C$326:$AL$326,1,AG$4-'Assumptions'!$C$83)+INDEX('36-Month Forecast'!$C$323:$AL$323,1,AG$4-'Assumptions'!$C$83)*'Unit Economics'!$H$52,0)</f>
        <v/>
      </c>
      <c r="AH74" s="8">
        <f>IF(AH$4-'Assumptions'!$C$83&gt;=1,INDEX('36-Month Forecast'!$C$326:$AL$326,1,AH$4-'Assumptions'!$C$83)+INDEX('36-Month Forecast'!$C$323:$AL$323,1,AH$4-'Assumptions'!$C$83)*'Unit Economics'!$H$52,0)</f>
        <v/>
      </c>
      <c r="AI74" s="8">
        <f>IF(AI$4-'Assumptions'!$C$83&gt;=1,INDEX('36-Month Forecast'!$C$326:$AL$326,1,AI$4-'Assumptions'!$C$83)+INDEX('36-Month Forecast'!$C$323:$AL$323,1,AI$4-'Assumptions'!$C$83)*'Unit Economics'!$H$52,0)</f>
        <v/>
      </c>
      <c r="AJ74" s="8">
        <f>IF(AJ$4-'Assumptions'!$C$83&gt;=1,INDEX('36-Month Forecast'!$C$326:$AL$326,1,AJ$4-'Assumptions'!$C$83)+INDEX('36-Month Forecast'!$C$323:$AL$323,1,AJ$4-'Assumptions'!$C$83)*'Unit Economics'!$H$52,0)</f>
        <v/>
      </c>
      <c r="AK74" s="8">
        <f>IF(AK$4-'Assumptions'!$C$83&gt;=1,INDEX('36-Month Forecast'!$C$326:$AL$326,1,AK$4-'Assumptions'!$C$83)+INDEX('36-Month Forecast'!$C$323:$AL$323,1,AK$4-'Assumptions'!$C$83)*'Unit Economics'!$H$52,0)</f>
        <v/>
      </c>
      <c r="AL74" s="8">
        <f>IF(AL$4-'Assumptions'!$C$83&gt;=1,INDEX('36-Month Forecast'!$C$326:$AL$326,1,AL$4-'Assumptions'!$C$83)+INDEX('36-Month Forecast'!$C$323:$AL$323,1,AL$4-'Assumptions'!$C$83)*'Unit Economics'!$H$52,0)</f>
        <v/>
      </c>
      <c r="AM74" s="47">
        <f>SUMIF($C$6:$AL$6,1,C74:AL74)</f>
        <v/>
      </c>
      <c r="AN74" s="47">
        <f>SUMIF($C$6:$AL$6,2,C74:AL74)</f>
        <v/>
      </c>
      <c r="AO74" s="47">
        <f>SUMIF($C$6:$AL$6,3,C74:AL74)</f>
        <v/>
      </c>
      <c r="AP74" s="47">
        <f>SUM(C74:AL74)</f>
        <v/>
      </c>
    </row>
    <row r="75">
      <c r="A75" s="7" t="inlineStr">
        <is>
          <t xml:space="preserve">   Payout: International digital via merchant of record (Gumroad)</t>
        </is>
      </c>
      <c r="C75" s="8">
        <f>IF(C$4-'Assumptions'!$C$84&gt;=1,INDEX('36-Month Forecast'!$C$336:$AL$336,1,C$4-'Assumptions'!$C$84)+INDEX('36-Month Forecast'!$C$333:$AL$333,1,C$4-'Assumptions'!$C$84)*'Unit Economics'!$H$53,0)</f>
        <v/>
      </c>
      <c r="D75" s="8">
        <f>IF(D$4-'Assumptions'!$C$84&gt;=1,INDEX('36-Month Forecast'!$C$336:$AL$336,1,D$4-'Assumptions'!$C$84)+INDEX('36-Month Forecast'!$C$333:$AL$333,1,D$4-'Assumptions'!$C$84)*'Unit Economics'!$H$53,0)</f>
        <v/>
      </c>
      <c r="E75" s="8">
        <f>IF(E$4-'Assumptions'!$C$84&gt;=1,INDEX('36-Month Forecast'!$C$336:$AL$336,1,E$4-'Assumptions'!$C$84)+INDEX('36-Month Forecast'!$C$333:$AL$333,1,E$4-'Assumptions'!$C$84)*'Unit Economics'!$H$53,0)</f>
        <v/>
      </c>
      <c r="F75" s="8">
        <f>IF(F$4-'Assumptions'!$C$84&gt;=1,INDEX('36-Month Forecast'!$C$336:$AL$336,1,F$4-'Assumptions'!$C$84)+INDEX('36-Month Forecast'!$C$333:$AL$333,1,F$4-'Assumptions'!$C$84)*'Unit Economics'!$H$53,0)</f>
        <v/>
      </c>
      <c r="G75" s="8">
        <f>IF(G$4-'Assumptions'!$C$84&gt;=1,INDEX('36-Month Forecast'!$C$336:$AL$336,1,G$4-'Assumptions'!$C$84)+INDEX('36-Month Forecast'!$C$333:$AL$333,1,G$4-'Assumptions'!$C$84)*'Unit Economics'!$H$53,0)</f>
        <v/>
      </c>
      <c r="H75" s="8">
        <f>IF(H$4-'Assumptions'!$C$84&gt;=1,INDEX('36-Month Forecast'!$C$336:$AL$336,1,H$4-'Assumptions'!$C$84)+INDEX('36-Month Forecast'!$C$333:$AL$333,1,H$4-'Assumptions'!$C$84)*'Unit Economics'!$H$53,0)</f>
        <v/>
      </c>
      <c r="I75" s="8">
        <f>IF(I$4-'Assumptions'!$C$84&gt;=1,INDEX('36-Month Forecast'!$C$336:$AL$336,1,I$4-'Assumptions'!$C$84)+INDEX('36-Month Forecast'!$C$333:$AL$333,1,I$4-'Assumptions'!$C$84)*'Unit Economics'!$H$53,0)</f>
        <v/>
      </c>
      <c r="J75" s="8">
        <f>IF(J$4-'Assumptions'!$C$84&gt;=1,INDEX('36-Month Forecast'!$C$336:$AL$336,1,J$4-'Assumptions'!$C$84)+INDEX('36-Month Forecast'!$C$333:$AL$333,1,J$4-'Assumptions'!$C$84)*'Unit Economics'!$H$53,0)</f>
        <v/>
      </c>
      <c r="K75" s="8">
        <f>IF(K$4-'Assumptions'!$C$84&gt;=1,INDEX('36-Month Forecast'!$C$336:$AL$336,1,K$4-'Assumptions'!$C$84)+INDEX('36-Month Forecast'!$C$333:$AL$333,1,K$4-'Assumptions'!$C$84)*'Unit Economics'!$H$53,0)</f>
        <v/>
      </c>
      <c r="L75" s="8">
        <f>IF(L$4-'Assumptions'!$C$84&gt;=1,INDEX('36-Month Forecast'!$C$336:$AL$336,1,L$4-'Assumptions'!$C$84)+INDEX('36-Month Forecast'!$C$333:$AL$333,1,L$4-'Assumptions'!$C$84)*'Unit Economics'!$H$53,0)</f>
        <v/>
      </c>
      <c r="M75" s="8">
        <f>IF(M$4-'Assumptions'!$C$84&gt;=1,INDEX('36-Month Forecast'!$C$336:$AL$336,1,M$4-'Assumptions'!$C$84)+INDEX('36-Month Forecast'!$C$333:$AL$333,1,M$4-'Assumptions'!$C$84)*'Unit Economics'!$H$53,0)</f>
        <v/>
      </c>
      <c r="N75" s="8">
        <f>IF(N$4-'Assumptions'!$C$84&gt;=1,INDEX('36-Month Forecast'!$C$336:$AL$336,1,N$4-'Assumptions'!$C$84)+INDEX('36-Month Forecast'!$C$333:$AL$333,1,N$4-'Assumptions'!$C$84)*'Unit Economics'!$H$53,0)</f>
        <v/>
      </c>
      <c r="O75" s="8">
        <f>IF(O$4-'Assumptions'!$C$84&gt;=1,INDEX('36-Month Forecast'!$C$336:$AL$336,1,O$4-'Assumptions'!$C$84)+INDEX('36-Month Forecast'!$C$333:$AL$333,1,O$4-'Assumptions'!$C$84)*'Unit Economics'!$H$53,0)</f>
        <v/>
      </c>
      <c r="P75" s="8">
        <f>IF(P$4-'Assumptions'!$C$84&gt;=1,INDEX('36-Month Forecast'!$C$336:$AL$336,1,P$4-'Assumptions'!$C$84)+INDEX('36-Month Forecast'!$C$333:$AL$333,1,P$4-'Assumptions'!$C$84)*'Unit Economics'!$H$53,0)</f>
        <v/>
      </c>
      <c r="Q75" s="8">
        <f>IF(Q$4-'Assumptions'!$C$84&gt;=1,INDEX('36-Month Forecast'!$C$336:$AL$336,1,Q$4-'Assumptions'!$C$84)+INDEX('36-Month Forecast'!$C$333:$AL$333,1,Q$4-'Assumptions'!$C$84)*'Unit Economics'!$H$53,0)</f>
        <v/>
      </c>
      <c r="R75" s="8">
        <f>IF(R$4-'Assumptions'!$C$84&gt;=1,INDEX('36-Month Forecast'!$C$336:$AL$336,1,R$4-'Assumptions'!$C$84)+INDEX('36-Month Forecast'!$C$333:$AL$333,1,R$4-'Assumptions'!$C$84)*'Unit Economics'!$H$53,0)</f>
        <v/>
      </c>
      <c r="S75" s="8">
        <f>IF(S$4-'Assumptions'!$C$84&gt;=1,INDEX('36-Month Forecast'!$C$336:$AL$336,1,S$4-'Assumptions'!$C$84)+INDEX('36-Month Forecast'!$C$333:$AL$333,1,S$4-'Assumptions'!$C$84)*'Unit Economics'!$H$53,0)</f>
        <v/>
      </c>
      <c r="T75" s="8">
        <f>IF(T$4-'Assumptions'!$C$84&gt;=1,INDEX('36-Month Forecast'!$C$336:$AL$336,1,T$4-'Assumptions'!$C$84)+INDEX('36-Month Forecast'!$C$333:$AL$333,1,T$4-'Assumptions'!$C$84)*'Unit Economics'!$H$53,0)</f>
        <v/>
      </c>
      <c r="U75" s="8">
        <f>IF(U$4-'Assumptions'!$C$84&gt;=1,INDEX('36-Month Forecast'!$C$336:$AL$336,1,U$4-'Assumptions'!$C$84)+INDEX('36-Month Forecast'!$C$333:$AL$333,1,U$4-'Assumptions'!$C$84)*'Unit Economics'!$H$53,0)</f>
        <v/>
      </c>
      <c r="V75" s="8">
        <f>IF(V$4-'Assumptions'!$C$84&gt;=1,INDEX('36-Month Forecast'!$C$336:$AL$336,1,V$4-'Assumptions'!$C$84)+INDEX('36-Month Forecast'!$C$333:$AL$333,1,V$4-'Assumptions'!$C$84)*'Unit Economics'!$H$53,0)</f>
        <v/>
      </c>
      <c r="W75" s="8">
        <f>IF(W$4-'Assumptions'!$C$84&gt;=1,INDEX('36-Month Forecast'!$C$336:$AL$336,1,W$4-'Assumptions'!$C$84)+INDEX('36-Month Forecast'!$C$333:$AL$333,1,W$4-'Assumptions'!$C$84)*'Unit Economics'!$H$53,0)</f>
        <v/>
      </c>
      <c r="X75" s="8">
        <f>IF(X$4-'Assumptions'!$C$84&gt;=1,INDEX('36-Month Forecast'!$C$336:$AL$336,1,X$4-'Assumptions'!$C$84)+INDEX('36-Month Forecast'!$C$333:$AL$333,1,X$4-'Assumptions'!$C$84)*'Unit Economics'!$H$53,0)</f>
        <v/>
      </c>
      <c r="Y75" s="8">
        <f>IF(Y$4-'Assumptions'!$C$84&gt;=1,INDEX('36-Month Forecast'!$C$336:$AL$336,1,Y$4-'Assumptions'!$C$84)+INDEX('36-Month Forecast'!$C$333:$AL$333,1,Y$4-'Assumptions'!$C$84)*'Unit Economics'!$H$53,0)</f>
        <v/>
      </c>
      <c r="Z75" s="8">
        <f>IF(Z$4-'Assumptions'!$C$84&gt;=1,INDEX('36-Month Forecast'!$C$336:$AL$336,1,Z$4-'Assumptions'!$C$84)+INDEX('36-Month Forecast'!$C$333:$AL$333,1,Z$4-'Assumptions'!$C$84)*'Unit Economics'!$H$53,0)</f>
        <v/>
      </c>
      <c r="AA75" s="8">
        <f>IF(AA$4-'Assumptions'!$C$84&gt;=1,INDEX('36-Month Forecast'!$C$336:$AL$336,1,AA$4-'Assumptions'!$C$84)+INDEX('36-Month Forecast'!$C$333:$AL$333,1,AA$4-'Assumptions'!$C$84)*'Unit Economics'!$H$53,0)</f>
        <v/>
      </c>
      <c r="AB75" s="8">
        <f>IF(AB$4-'Assumptions'!$C$84&gt;=1,INDEX('36-Month Forecast'!$C$336:$AL$336,1,AB$4-'Assumptions'!$C$84)+INDEX('36-Month Forecast'!$C$333:$AL$333,1,AB$4-'Assumptions'!$C$84)*'Unit Economics'!$H$53,0)</f>
        <v/>
      </c>
      <c r="AC75" s="8">
        <f>IF(AC$4-'Assumptions'!$C$84&gt;=1,INDEX('36-Month Forecast'!$C$336:$AL$336,1,AC$4-'Assumptions'!$C$84)+INDEX('36-Month Forecast'!$C$333:$AL$333,1,AC$4-'Assumptions'!$C$84)*'Unit Economics'!$H$53,0)</f>
        <v/>
      </c>
      <c r="AD75" s="8">
        <f>IF(AD$4-'Assumptions'!$C$84&gt;=1,INDEX('36-Month Forecast'!$C$336:$AL$336,1,AD$4-'Assumptions'!$C$84)+INDEX('36-Month Forecast'!$C$333:$AL$333,1,AD$4-'Assumptions'!$C$84)*'Unit Economics'!$H$53,0)</f>
        <v/>
      </c>
      <c r="AE75" s="8">
        <f>IF(AE$4-'Assumptions'!$C$84&gt;=1,INDEX('36-Month Forecast'!$C$336:$AL$336,1,AE$4-'Assumptions'!$C$84)+INDEX('36-Month Forecast'!$C$333:$AL$333,1,AE$4-'Assumptions'!$C$84)*'Unit Economics'!$H$53,0)</f>
        <v/>
      </c>
      <c r="AF75" s="8">
        <f>IF(AF$4-'Assumptions'!$C$84&gt;=1,INDEX('36-Month Forecast'!$C$336:$AL$336,1,AF$4-'Assumptions'!$C$84)+INDEX('36-Month Forecast'!$C$333:$AL$333,1,AF$4-'Assumptions'!$C$84)*'Unit Economics'!$H$53,0)</f>
        <v/>
      </c>
      <c r="AG75" s="8">
        <f>IF(AG$4-'Assumptions'!$C$84&gt;=1,INDEX('36-Month Forecast'!$C$336:$AL$336,1,AG$4-'Assumptions'!$C$84)+INDEX('36-Month Forecast'!$C$333:$AL$333,1,AG$4-'Assumptions'!$C$84)*'Unit Economics'!$H$53,0)</f>
        <v/>
      </c>
      <c r="AH75" s="8">
        <f>IF(AH$4-'Assumptions'!$C$84&gt;=1,INDEX('36-Month Forecast'!$C$336:$AL$336,1,AH$4-'Assumptions'!$C$84)+INDEX('36-Month Forecast'!$C$333:$AL$333,1,AH$4-'Assumptions'!$C$84)*'Unit Economics'!$H$53,0)</f>
        <v/>
      </c>
      <c r="AI75" s="8">
        <f>IF(AI$4-'Assumptions'!$C$84&gt;=1,INDEX('36-Month Forecast'!$C$336:$AL$336,1,AI$4-'Assumptions'!$C$84)+INDEX('36-Month Forecast'!$C$333:$AL$333,1,AI$4-'Assumptions'!$C$84)*'Unit Economics'!$H$53,0)</f>
        <v/>
      </c>
      <c r="AJ75" s="8">
        <f>IF(AJ$4-'Assumptions'!$C$84&gt;=1,INDEX('36-Month Forecast'!$C$336:$AL$336,1,AJ$4-'Assumptions'!$C$84)+INDEX('36-Month Forecast'!$C$333:$AL$333,1,AJ$4-'Assumptions'!$C$84)*'Unit Economics'!$H$53,0)</f>
        <v/>
      </c>
      <c r="AK75" s="8">
        <f>IF(AK$4-'Assumptions'!$C$84&gt;=1,INDEX('36-Month Forecast'!$C$336:$AL$336,1,AK$4-'Assumptions'!$C$84)+INDEX('36-Month Forecast'!$C$333:$AL$333,1,AK$4-'Assumptions'!$C$84)*'Unit Economics'!$H$53,0)</f>
        <v/>
      </c>
      <c r="AL75" s="8">
        <f>IF(AL$4-'Assumptions'!$C$84&gt;=1,INDEX('36-Month Forecast'!$C$336:$AL$336,1,AL$4-'Assumptions'!$C$84)+INDEX('36-Month Forecast'!$C$333:$AL$333,1,AL$4-'Assumptions'!$C$84)*'Unit Economics'!$H$53,0)</f>
        <v/>
      </c>
      <c r="AM75" s="47">
        <f>SUMIF($C$6:$AL$6,1,C75:AL75)</f>
        <v/>
      </c>
      <c r="AN75" s="47">
        <f>SUMIF($C$6:$AL$6,2,C75:AL75)</f>
        <v/>
      </c>
      <c r="AO75" s="47">
        <f>SUMIF($C$6:$AL$6,3,C75:AL75)</f>
        <v/>
      </c>
      <c r="AP75" s="47">
        <f>SUM(C75:AL75)</f>
        <v/>
      </c>
    </row>
    <row r="76">
      <c r="A76" s="7" t="inlineStr">
        <is>
          <t xml:space="preserve">   Payout: 30-Day Screen Reset written course (Wave 2)</t>
        </is>
      </c>
      <c r="C76" s="8">
        <f>IF(C$4-'Assumptions'!$C$85&gt;=1,INDEX('36-Month Forecast'!$C$346:$AL$346,1,C$4-'Assumptions'!$C$85)+INDEX('36-Month Forecast'!$C$343:$AL$343,1,C$4-'Assumptions'!$C$85)*'Unit Economics'!$H$54,0)</f>
        <v/>
      </c>
      <c r="D76" s="8">
        <f>IF(D$4-'Assumptions'!$C$85&gt;=1,INDEX('36-Month Forecast'!$C$346:$AL$346,1,D$4-'Assumptions'!$C$85)+INDEX('36-Month Forecast'!$C$343:$AL$343,1,D$4-'Assumptions'!$C$85)*'Unit Economics'!$H$54,0)</f>
        <v/>
      </c>
      <c r="E76" s="8">
        <f>IF(E$4-'Assumptions'!$C$85&gt;=1,INDEX('36-Month Forecast'!$C$346:$AL$346,1,E$4-'Assumptions'!$C$85)+INDEX('36-Month Forecast'!$C$343:$AL$343,1,E$4-'Assumptions'!$C$85)*'Unit Economics'!$H$54,0)</f>
        <v/>
      </c>
      <c r="F76" s="8">
        <f>IF(F$4-'Assumptions'!$C$85&gt;=1,INDEX('36-Month Forecast'!$C$346:$AL$346,1,F$4-'Assumptions'!$C$85)+INDEX('36-Month Forecast'!$C$343:$AL$343,1,F$4-'Assumptions'!$C$85)*'Unit Economics'!$H$54,0)</f>
        <v/>
      </c>
      <c r="G76" s="8">
        <f>IF(G$4-'Assumptions'!$C$85&gt;=1,INDEX('36-Month Forecast'!$C$346:$AL$346,1,G$4-'Assumptions'!$C$85)+INDEX('36-Month Forecast'!$C$343:$AL$343,1,G$4-'Assumptions'!$C$85)*'Unit Economics'!$H$54,0)</f>
        <v/>
      </c>
      <c r="H76" s="8">
        <f>IF(H$4-'Assumptions'!$C$85&gt;=1,INDEX('36-Month Forecast'!$C$346:$AL$346,1,H$4-'Assumptions'!$C$85)+INDEX('36-Month Forecast'!$C$343:$AL$343,1,H$4-'Assumptions'!$C$85)*'Unit Economics'!$H$54,0)</f>
        <v/>
      </c>
      <c r="I76" s="8">
        <f>IF(I$4-'Assumptions'!$C$85&gt;=1,INDEX('36-Month Forecast'!$C$346:$AL$346,1,I$4-'Assumptions'!$C$85)+INDEX('36-Month Forecast'!$C$343:$AL$343,1,I$4-'Assumptions'!$C$85)*'Unit Economics'!$H$54,0)</f>
        <v/>
      </c>
      <c r="J76" s="8">
        <f>IF(J$4-'Assumptions'!$C$85&gt;=1,INDEX('36-Month Forecast'!$C$346:$AL$346,1,J$4-'Assumptions'!$C$85)+INDEX('36-Month Forecast'!$C$343:$AL$343,1,J$4-'Assumptions'!$C$85)*'Unit Economics'!$H$54,0)</f>
        <v/>
      </c>
      <c r="K76" s="8">
        <f>IF(K$4-'Assumptions'!$C$85&gt;=1,INDEX('36-Month Forecast'!$C$346:$AL$346,1,K$4-'Assumptions'!$C$85)+INDEX('36-Month Forecast'!$C$343:$AL$343,1,K$4-'Assumptions'!$C$85)*'Unit Economics'!$H$54,0)</f>
        <v/>
      </c>
      <c r="L76" s="8">
        <f>IF(L$4-'Assumptions'!$C$85&gt;=1,INDEX('36-Month Forecast'!$C$346:$AL$346,1,L$4-'Assumptions'!$C$85)+INDEX('36-Month Forecast'!$C$343:$AL$343,1,L$4-'Assumptions'!$C$85)*'Unit Economics'!$H$54,0)</f>
        <v/>
      </c>
      <c r="M76" s="8">
        <f>IF(M$4-'Assumptions'!$C$85&gt;=1,INDEX('36-Month Forecast'!$C$346:$AL$346,1,M$4-'Assumptions'!$C$85)+INDEX('36-Month Forecast'!$C$343:$AL$343,1,M$4-'Assumptions'!$C$85)*'Unit Economics'!$H$54,0)</f>
        <v/>
      </c>
      <c r="N76" s="8">
        <f>IF(N$4-'Assumptions'!$C$85&gt;=1,INDEX('36-Month Forecast'!$C$346:$AL$346,1,N$4-'Assumptions'!$C$85)+INDEX('36-Month Forecast'!$C$343:$AL$343,1,N$4-'Assumptions'!$C$85)*'Unit Economics'!$H$54,0)</f>
        <v/>
      </c>
      <c r="O76" s="8">
        <f>IF(O$4-'Assumptions'!$C$85&gt;=1,INDEX('36-Month Forecast'!$C$346:$AL$346,1,O$4-'Assumptions'!$C$85)+INDEX('36-Month Forecast'!$C$343:$AL$343,1,O$4-'Assumptions'!$C$85)*'Unit Economics'!$H$54,0)</f>
        <v/>
      </c>
      <c r="P76" s="8">
        <f>IF(P$4-'Assumptions'!$C$85&gt;=1,INDEX('36-Month Forecast'!$C$346:$AL$346,1,P$4-'Assumptions'!$C$85)+INDEX('36-Month Forecast'!$C$343:$AL$343,1,P$4-'Assumptions'!$C$85)*'Unit Economics'!$H$54,0)</f>
        <v/>
      </c>
      <c r="Q76" s="8">
        <f>IF(Q$4-'Assumptions'!$C$85&gt;=1,INDEX('36-Month Forecast'!$C$346:$AL$346,1,Q$4-'Assumptions'!$C$85)+INDEX('36-Month Forecast'!$C$343:$AL$343,1,Q$4-'Assumptions'!$C$85)*'Unit Economics'!$H$54,0)</f>
        <v/>
      </c>
      <c r="R76" s="8">
        <f>IF(R$4-'Assumptions'!$C$85&gt;=1,INDEX('36-Month Forecast'!$C$346:$AL$346,1,R$4-'Assumptions'!$C$85)+INDEX('36-Month Forecast'!$C$343:$AL$343,1,R$4-'Assumptions'!$C$85)*'Unit Economics'!$H$54,0)</f>
        <v/>
      </c>
      <c r="S76" s="8">
        <f>IF(S$4-'Assumptions'!$C$85&gt;=1,INDEX('36-Month Forecast'!$C$346:$AL$346,1,S$4-'Assumptions'!$C$85)+INDEX('36-Month Forecast'!$C$343:$AL$343,1,S$4-'Assumptions'!$C$85)*'Unit Economics'!$H$54,0)</f>
        <v/>
      </c>
      <c r="T76" s="8">
        <f>IF(T$4-'Assumptions'!$C$85&gt;=1,INDEX('36-Month Forecast'!$C$346:$AL$346,1,T$4-'Assumptions'!$C$85)+INDEX('36-Month Forecast'!$C$343:$AL$343,1,T$4-'Assumptions'!$C$85)*'Unit Economics'!$H$54,0)</f>
        <v/>
      </c>
      <c r="U76" s="8">
        <f>IF(U$4-'Assumptions'!$C$85&gt;=1,INDEX('36-Month Forecast'!$C$346:$AL$346,1,U$4-'Assumptions'!$C$85)+INDEX('36-Month Forecast'!$C$343:$AL$343,1,U$4-'Assumptions'!$C$85)*'Unit Economics'!$H$54,0)</f>
        <v/>
      </c>
      <c r="V76" s="8">
        <f>IF(V$4-'Assumptions'!$C$85&gt;=1,INDEX('36-Month Forecast'!$C$346:$AL$346,1,V$4-'Assumptions'!$C$85)+INDEX('36-Month Forecast'!$C$343:$AL$343,1,V$4-'Assumptions'!$C$85)*'Unit Economics'!$H$54,0)</f>
        <v/>
      </c>
      <c r="W76" s="8">
        <f>IF(W$4-'Assumptions'!$C$85&gt;=1,INDEX('36-Month Forecast'!$C$346:$AL$346,1,W$4-'Assumptions'!$C$85)+INDEX('36-Month Forecast'!$C$343:$AL$343,1,W$4-'Assumptions'!$C$85)*'Unit Economics'!$H$54,0)</f>
        <v/>
      </c>
      <c r="X76" s="8">
        <f>IF(X$4-'Assumptions'!$C$85&gt;=1,INDEX('36-Month Forecast'!$C$346:$AL$346,1,X$4-'Assumptions'!$C$85)+INDEX('36-Month Forecast'!$C$343:$AL$343,1,X$4-'Assumptions'!$C$85)*'Unit Economics'!$H$54,0)</f>
        <v/>
      </c>
      <c r="Y76" s="8">
        <f>IF(Y$4-'Assumptions'!$C$85&gt;=1,INDEX('36-Month Forecast'!$C$346:$AL$346,1,Y$4-'Assumptions'!$C$85)+INDEX('36-Month Forecast'!$C$343:$AL$343,1,Y$4-'Assumptions'!$C$85)*'Unit Economics'!$H$54,0)</f>
        <v/>
      </c>
      <c r="Z76" s="8">
        <f>IF(Z$4-'Assumptions'!$C$85&gt;=1,INDEX('36-Month Forecast'!$C$346:$AL$346,1,Z$4-'Assumptions'!$C$85)+INDEX('36-Month Forecast'!$C$343:$AL$343,1,Z$4-'Assumptions'!$C$85)*'Unit Economics'!$H$54,0)</f>
        <v/>
      </c>
      <c r="AA76" s="8">
        <f>IF(AA$4-'Assumptions'!$C$85&gt;=1,INDEX('36-Month Forecast'!$C$346:$AL$346,1,AA$4-'Assumptions'!$C$85)+INDEX('36-Month Forecast'!$C$343:$AL$343,1,AA$4-'Assumptions'!$C$85)*'Unit Economics'!$H$54,0)</f>
        <v/>
      </c>
      <c r="AB76" s="8">
        <f>IF(AB$4-'Assumptions'!$C$85&gt;=1,INDEX('36-Month Forecast'!$C$346:$AL$346,1,AB$4-'Assumptions'!$C$85)+INDEX('36-Month Forecast'!$C$343:$AL$343,1,AB$4-'Assumptions'!$C$85)*'Unit Economics'!$H$54,0)</f>
        <v/>
      </c>
      <c r="AC76" s="8">
        <f>IF(AC$4-'Assumptions'!$C$85&gt;=1,INDEX('36-Month Forecast'!$C$346:$AL$346,1,AC$4-'Assumptions'!$C$85)+INDEX('36-Month Forecast'!$C$343:$AL$343,1,AC$4-'Assumptions'!$C$85)*'Unit Economics'!$H$54,0)</f>
        <v/>
      </c>
      <c r="AD76" s="8">
        <f>IF(AD$4-'Assumptions'!$C$85&gt;=1,INDEX('36-Month Forecast'!$C$346:$AL$346,1,AD$4-'Assumptions'!$C$85)+INDEX('36-Month Forecast'!$C$343:$AL$343,1,AD$4-'Assumptions'!$C$85)*'Unit Economics'!$H$54,0)</f>
        <v/>
      </c>
      <c r="AE76" s="8">
        <f>IF(AE$4-'Assumptions'!$C$85&gt;=1,INDEX('36-Month Forecast'!$C$346:$AL$346,1,AE$4-'Assumptions'!$C$85)+INDEX('36-Month Forecast'!$C$343:$AL$343,1,AE$4-'Assumptions'!$C$85)*'Unit Economics'!$H$54,0)</f>
        <v/>
      </c>
      <c r="AF76" s="8">
        <f>IF(AF$4-'Assumptions'!$C$85&gt;=1,INDEX('36-Month Forecast'!$C$346:$AL$346,1,AF$4-'Assumptions'!$C$85)+INDEX('36-Month Forecast'!$C$343:$AL$343,1,AF$4-'Assumptions'!$C$85)*'Unit Economics'!$H$54,0)</f>
        <v/>
      </c>
      <c r="AG76" s="8">
        <f>IF(AG$4-'Assumptions'!$C$85&gt;=1,INDEX('36-Month Forecast'!$C$346:$AL$346,1,AG$4-'Assumptions'!$C$85)+INDEX('36-Month Forecast'!$C$343:$AL$343,1,AG$4-'Assumptions'!$C$85)*'Unit Economics'!$H$54,0)</f>
        <v/>
      </c>
      <c r="AH76" s="8">
        <f>IF(AH$4-'Assumptions'!$C$85&gt;=1,INDEX('36-Month Forecast'!$C$346:$AL$346,1,AH$4-'Assumptions'!$C$85)+INDEX('36-Month Forecast'!$C$343:$AL$343,1,AH$4-'Assumptions'!$C$85)*'Unit Economics'!$H$54,0)</f>
        <v/>
      </c>
      <c r="AI76" s="8">
        <f>IF(AI$4-'Assumptions'!$C$85&gt;=1,INDEX('36-Month Forecast'!$C$346:$AL$346,1,AI$4-'Assumptions'!$C$85)+INDEX('36-Month Forecast'!$C$343:$AL$343,1,AI$4-'Assumptions'!$C$85)*'Unit Economics'!$H$54,0)</f>
        <v/>
      </c>
      <c r="AJ76" s="8">
        <f>IF(AJ$4-'Assumptions'!$C$85&gt;=1,INDEX('36-Month Forecast'!$C$346:$AL$346,1,AJ$4-'Assumptions'!$C$85)+INDEX('36-Month Forecast'!$C$343:$AL$343,1,AJ$4-'Assumptions'!$C$85)*'Unit Economics'!$H$54,0)</f>
        <v/>
      </c>
      <c r="AK76" s="8">
        <f>IF(AK$4-'Assumptions'!$C$85&gt;=1,INDEX('36-Month Forecast'!$C$346:$AL$346,1,AK$4-'Assumptions'!$C$85)+INDEX('36-Month Forecast'!$C$343:$AL$343,1,AK$4-'Assumptions'!$C$85)*'Unit Economics'!$H$54,0)</f>
        <v/>
      </c>
      <c r="AL76" s="8">
        <f>IF(AL$4-'Assumptions'!$C$85&gt;=1,INDEX('36-Month Forecast'!$C$346:$AL$346,1,AL$4-'Assumptions'!$C$85)+INDEX('36-Month Forecast'!$C$343:$AL$343,1,AL$4-'Assumptions'!$C$85)*'Unit Economics'!$H$54,0)</f>
        <v/>
      </c>
      <c r="AM76" s="47">
        <f>SUMIF($C$6:$AL$6,1,C76:AL76)</f>
        <v/>
      </c>
      <c r="AN76" s="47">
        <f>SUMIF($C$6:$AL$6,2,C76:AL76)</f>
        <v/>
      </c>
      <c r="AO76" s="47">
        <f>SUMIF($C$6:$AL$6,3,C76:AL76)</f>
        <v/>
      </c>
      <c r="AP76" s="47">
        <f>SUM(C76:AL76)</f>
        <v/>
      </c>
    </row>
    <row r="77">
      <c r="A77" s="7" t="inlineStr">
        <is>
          <t xml:space="preserve">   Payout: Board book: pre-sale, then 3PL and Amazon FBA (gated option; off in base)</t>
        </is>
      </c>
      <c r="C77" s="8">
        <f>IF(C$4-'Assumptions'!$C$86&gt;=1,INDEX('36-Month Forecast'!$C$356:$AL$356,1,C$4-'Assumptions'!$C$86)+INDEX('36-Month Forecast'!$C$353:$AL$353,1,C$4-'Assumptions'!$C$86)*'Unit Economics'!$H$55,0)</f>
        <v/>
      </c>
      <c r="D77" s="8">
        <f>IF(D$4-'Assumptions'!$C$86&gt;=1,INDEX('36-Month Forecast'!$C$356:$AL$356,1,D$4-'Assumptions'!$C$86)+INDEX('36-Month Forecast'!$C$353:$AL$353,1,D$4-'Assumptions'!$C$86)*'Unit Economics'!$H$55,0)</f>
        <v/>
      </c>
      <c r="E77" s="8">
        <f>IF(E$4-'Assumptions'!$C$86&gt;=1,INDEX('36-Month Forecast'!$C$356:$AL$356,1,E$4-'Assumptions'!$C$86)+INDEX('36-Month Forecast'!$C$353:$AL$353,1,E$4-'Assumptions'!$C$86)*'Unit Economics'!$H$55,0)</f>
        <v/>
      </c>
      <c r="F77" s="8">
        <f>IF(F$4-'Assumptions'!$C$86&gt;=1,INDEX('36-Month Forecast'!$C$356:$AL$356,1,F$4-'Assumptions'!$C$86)+INDEX('36-Month Forecast'!$C$353:$AL$353,1,F$4-'Assumptions'!$C$86)*'Unit Economics'!$H$55,0)</f>
        <v/>
      </c>
      <c r="G77" s="8">
        <f>IF(G$4-'Assumptions'!$C$86&gt;=1,INDEX('36-Month Forecast'!$C$356:$AL$356,1,G$4-'Assumptions'!$C$86)+INDEX('36-Month Forecast'!$C$353:$AL$353,1,G$4-'Assumptions'!$C$86)*'Unit Economics'!$H$55,0)</f>
        <v/>
      </c>
      <c r="H77" s="8">
        <f>IF(H$4-'Assumptions'!$C$86&gt;=1,INDEX('36-Month Forecast'!$C$356:$AL$356,1,H$4-'Assumptions'!$C$86)+INDEX('36-Month Forecast'!$C$353:$AL$353,1,H$4-'Assumptions'!$C$86)*'Unit Economics'!$H$55,0)</f>
        <v/>
      </c>
      <c r="I77" s="8">
        <f>IF(I$4-'Assumptions'!$C$86&gt;=1,INDEX('36-Month Forecast'!$C$356:$AL$356,1,I$4-'Assumptions'!$C$86)+INDEX('36-Month Forecast'!$C$353:$AL$353,1,I$4-'Assumptions'!$C$86)*'Unit Economics'!$H$55,0)</f>
        <v/>
      </c>
      <c r="J77" s="8">
        <f>IF(J$4-'Assumptions'!$C$86&gt;=1,INDEX('36-Month Forecast'!$C$356:$AL$356,1,J$4-'Assumptions'!$C$86)+INDEX('36-Month Forecast'!$C$353:$AL$353,1,J$4-'Assumptions'!$C$86)*'Unit Economics'!$H$55,0)</f>
        <v/>
      </c>
      <c r="K77" s="8">
        <f>IF(K$4-'Assumptions'!$C$86&gt;=1,INDEX('36-Month Forecast'!$C$356:$AL$356,1,K$4-'Assumptions'!$C$86)+INDEX('36-Month Forecast'!$C$353:$AL$353,1,K$4-'Assumptions'!$C$86)*'Unit Economics'!$H$55,0)</f>
        <v/>
      </c>
      <c r="L77" s="8">
        <f>IF(L$4-'Assumptions'!$C$86&gt;=1,INDEX('36-Month Forecast'!$C$356:$AL$356,1,L$4-'Assumptions'!$C$86)+INDEX('36-Month Forecast'!$C$353:$AL$353,1,L$4-'Assumptions'!$C$86)*'Unit Economics'!$H$55,0)</f>
        <v/>
      </c>
      <c r="M77" s="8">
        <f>IF(M$4-'Assumptions'!$C$86&gt;=1,INDEX('36-Month Forecast'!$C$356:$AL$356,1,M$4-'Assumptions'!$C$86)+INDEX('36-Month Forecast'!$C$353:$AL$353,1,M$4-'Assumptions'!$C$86)*'Unit Economics'!$H$55,0)</f>
        <v/>
      </c>
      <c r="N77" s="8">
        <f>IF(N$4-'Assumptions'!$C$86&gt;=1,INDEX('36-Month Forecast'!$C$356:$AL$356,1,N$4-'Assumptions'!$C$86)+INDEX('36-Month Forecast'!$C$353:$AL$353,1,N$4-'Assumptions'!$C$86)*'Unit Economics'!$H$55,0)</f>
        <v/>
      </c>
      <c r="O77" s="8">
        <f>IF(O$4-'Assumptions'!$C$86&gt;=1,INDEX('36-Month Forecast'!$C$356:$AL$356,1,O$4-'Assumptions'!$C$86)+INDEX('36-Month Forecast'!$C$353:$AL$353,1,O$4-'Assumptions'!$C$86)*'Unit Economics'!$H$55,0)</f>
        <v/>
      </c>
      <c r="P77" s="8">
        <f>IF(P$4-'Assumptions'!$C$86&gt;=1,INDEX('36-Month Forecast'!$C$356:$AL$356,1,P$4-'Assumptions'!$C$86)+INDEX('36-Month Forecast'!$C$353:$AL$353,1,P$4-'Assumptions'!$C$86)*'Unit Economics'!$H$55,0)</f>
        <v/>
      </c>
      <c r="Q77" s="8">
        <f>IF(Q$4-'Assumptions'!$C$86&gt;=1,INDEX('36-Month Forecast'!$C$356:$AL$356,1,Q$4-'Assumptions'!$C$86)+INDEX('36-Month Forecast'!$C$353:$AL$353,1,Q$4-'Assumptions'!$C$86)*'Unit Economics'!$H$55,0)</f>
        <v/>
      </c>
      <c r="R77" s="8">
        <f>IF(R$4-'Assumptions'!$C$86&gt;=1,INDEX('36-Month Forecast'!$C$356:$AL$356,1,R$4-'Assumptions'!$C$86)+INDEX('36-Month Forecast'!$C$353:$AL$353,1,R$4-'Assumptions'!$C$86)*'Unit Economics'!$H$55,0)</f>
        <v/>
      </c>
      <c r="S77" s="8">
        <f>IF(S$4-'Assumptions'!$C$86&gt;=1,INDEX('36-Month Forecast'!$C$356:$AL$356,1,S$4-'Assumptions'!$C$86)+INDEX('36-Month Forecast'!$C$353:$AL$353,1,S$4-'Assumptions'!$C$86)*'Unit Economics'!$H$55,0)</f>
        <v/>
      </c>
      <c r="T77" s="8">
        <f>IF(T$4-'Assumptions'!$C$86&gt;=1,INDEX('36-Month Forecast'!$C$356:$AL$356,1,T$4-'Assumptions'!$C$86)+INDEX('36-Month Forecast'!$C$353:$AL$353,1,T$4-'Assumptions'!$C$86)*'Unit Economics'!$H$55,0)</f>
        <v/>
      </c>
      <c r="U77" s="8">
        <f>IF(U$4-'Assumptions'!$C$86&gt;=1,INDEX('36-Month Forecast'!$C$356:$AL$356,1,U$4-'Assumptions'!$C$86)+INDEX('36-Month Forecast'!$C$353:$AL$353,1,U$4-'Assumptions'!$C$86)*'Unit Economics'!$H$55,0)</f>
        <v/>
      </c>
      <c r="V77" s="8">
        <f>IF(V$4-'Assumptions'!$C$86&gt;=1,INDEX('36-Month Forecast'!$C$356:$AL$356,1,V$4-'Assumptions'!$C$86)+INDEX('36-Month Forecast'!$C$353:$AL$353,1,V$4-'Assumptions'!$C$86)*'Unit Economics'!$H$55,0)</f>
        <v/>
      </c>
      <c r="W77" s="8">
        <f>IF(W$4-'Assumptions'!$C$86&gt;=1,INDEX('36-Month Forecast'!$C$356:$AL$356,1,W$4-'Assumptions'!$C$86)+INDEX('36-Month Forecast'!$C$353:$AL$353,1,W$4-'Assumptions'!$C$86)*'Unit Economics'!$H$55,0)</f>
        <v/>
      </c>
      <c r="X77" s="8">
        <f>IF(X$4-'Assumptions'!$C$86&gt;=1,INDEX('36-Month Forecast'!$C$356:$AL$356,1,X$4-'Assumptions'!$C$86)+INDEX('36-Month Forecast'!$C$353:$AL$353,1,X$4-'Assumptions'!$C$86)*'Unit Economics'!$H$55,0)</f>
        <v/>
      </c>
      <c r="Y77" s="8">
        <f>IF(Y$4-'Assumptions'!$C$86&gt;=1,INDEX('36-Month Forecast'!$C$356:$AL$356,1,Y$4-'Assumptions'!$C$86)+INDEX('36-Month Forecast'!$C$353:$AL$353,1,Y$4-'Assumptions'!$C$86)*'Unit Economics'!$H$55,0)</f>
        <v/>
      </c>
      <c r="Z77" s="8">
        <f>IF(Z$4-'Assumptions'!$C$86&gt;=1,INDEX('36-Month Forecast'!$C$356:$AL$356,1,Z$4-'Assumptions'!$C$86)+INDEX('36-Month Forecast'!$C$353:$AL$353,1,Z$4-'Assumptions'!$C$86)*'Unit Economics'!$H$55,0)</f>
        <v/>
      </c>
      <c r="AA77" s="8">
        <f>IF(AA$4-'Assumptions'!$C$86&gt;=1,INDEX('36-Month Forecast'!$C$356:$AL$356,1,AA$4-'Assumptions'!$C$86)+INDEX('36-Month Forecast'!$C$353:$AL$353,1,AA$4-'Assumptions'!$C$86)*'Unit Economics'!$H$55,0)</f>
        <v/>
      </c>
      <c r="AB77" s="8">
        <f>IF(AB$4-'Assumptions'!$C$86&gt;=1,INDEX('36-Month Forecast'!$C$356:$AL$356,1,AB$4-'Assumptions'!$C$86)+INDEX('36-Month Forecast'!$C$353:$AL$353,1,AB$4-'Assumptions'!$C$86)*'Unit Economics'!$H$55,0)</f>
        <v/>
      </c>
      <c r="AC77" s="8">
        <f>IF(AC$4-'Assumptions'!$C$86&gt;=1,INDEX('36-Month Forecast'!$C$356:$AL$356,1,AC$4-'Assumptions'!$C$86)+INDEX('36-Month Forecast'!$C$353:$AL$353,1,AC$4-'Assumptions'!$C$86)*'Unit Economics'!$H$55,0)</f>
        <v/>
      </c>
      <c r="AD77" s="8">
        <f>IF(AD$4-'Assumptions'!$C$86&gt;=1,INDEX('36-Month Forecast'!$C$356:$AL$356,1,AD$4-'Assumptions'!$C$86)+INDEX('36-Month Forecast'!$C$353:$AL$353,1,AD$4-'Assumptions'!$C$86)*'Unit Economics'!$H$55,0)</f>
        <v/>
      </c>
      <c r="AE77" s="8">
        <f>IF(AE$4-'Assumptions'!$C$86&gt;=1,INDEX('36-Month Forecast'!$C$356:$AL$356,1,AE$4-'Assumptions'!$C$86)+INDEX('36-Month Forecast'!$C$353:$AL$353,1,AE$4-'Assumptions'!$C$86)*'Unit Economics'!$H$55,0)</f>
        <v/>
      </c>
      <c r="AF77" s="8">
        <f>IF(AF$4-'Assumptions'!$C$86&gt;=1,INDEX('36-Month Forecast'!$C$356:$AL$356,1,AF$4-'Assumptions'!$C$86)+INDEX('36-Month Forecast'!$C$353:$AL$353,1,AF$4-'Assumptions'!$C$86)*'Unit Economics'!$H$55,0)</f>
        <v/>
      </c>
      <c r="AG77" s="8">
        <f>IF(AG$4-'Assumptions'!$C$86&gt;=1,INDEX('36-Month Forecast'!$C$356:$AL$356,1,AG$4-'Assumptions'!$C$86)+INDEX('36-Month Forecast'!$C$353:$AL$353,1,AG$4-'Assumptions'!$C$86)*'Unit Economics'!$H$55,0)</f>
        <v/>
      </c>
      <c r="AH77" s="8">
        <f>IF(AH$4-'Assumptions'!$C$86&gt;=1,INDEX('36-Month Forecast'!$C$356:$AL$356,1,AH$4-'Assumptions'!$C$86)+INDEX('36-Month Forecast'!$C$353:$AL$353,1,AH$4-'Assumptions'!$C$86)*'Unit Economics'!$H$55,0)</f>
        <v/>
      </c>
      <c r="AI77" s="8">
        <f>IF(AI$4-'Assumptions'!$C$86&gt;=1,INDEX('36-Month Forecast'!$C$356:$AL$356,1,AI$4-'Assumptions'!$C$86)+INDEX('36-Month Forecast'!$C$353:$AL$353,1,AI$4-'Assumptions'!$C$86)*'Unit Economics'!$H$55,0)</f>
        <v/>
      </c>
      <c r="AJ77" s="8">
        <f>IF(AJ$4-'Assumptions'!$C$86&gt;=1,INDEX('36-Month Forecast'!$C$356:$AL$356,1,AJ$4-'Assumptions'!$C$86)+INDEX('36-Month Forecast'!$C$353:$AL$353,1,AJ$4-'Assumptions'!$C$86)*'Unit Economics'!$H$55,0)</f>
        <v/>
      </c>
      <c r="AK77" s="8">
        <f>IF(AK$4-'Assumptions'!$C$86&gt;=1,INDEX('36-Month Forecast'!$C$356:$AL$356,1,AK$4-'Assumptions'!$C$86)+INDEX('36-Month Forecast'!$C$353:$AL$353,1,AK$4-'Assumptions'!$C$86)*'Unit Economics'!$H$55,0)</f>
        <v/>
      </c>
      <c r="AL77" s="8">
        <f>IF(AL$4-'Assumptions'!$C$86&gt;=1,INDEX('36-Month Forecast'!$C$356:$AL$356,1,AL$4-'Assumptions'!$C$86)+INDEX('36-Month Forecast'!$C$353:$AL$353,1,AL$4-'Assumptions'!$C$86)*'Unit Economics'!$H$55,0)</f>
        <v/>
      </c>
      <c r="AM77" s="47">
        <f>SUMIF($C$6:$AL$6,1,C77:AL77)</f>
        <v/>
      </c>
      <c r="AN77" s="47">
        <f>SUMIF($C$6:$AL$6,2,C77:AL77)</f>
        <v/>
      </c>
      <c r="AO77" s="47">
        <f>SUMIF($C$6:$AL$6,3,C77:AL77)</f>
        <v/>
      </c>
      <c r="AP77" s="47">
        <f>SUM(C77:AL77)</f>
        <v/>
      </c>
    </row>
    <row r="78">
      <c r="A78" s="7" t="inlineStr">
        <is>
          <t xml:space="preserve">   Payout: School and group licenses + TPT (overlay only if counsel clears in writing; off in base)</t>
        </is>
      </c>
      <c r="C78" s="8">
        <f>IF(C$4-'Assumptions'!$C$87&gt;=1,INDEX('36-Month Forecast'!$C$367:$AL$367,1,C$4-'Assumptions'!$C$87)+INDEX('36-Month Forecast'!$C$364:$AL$364,1,C$4-'Assumptions'!$C$87)*'Unit Economics'!$H$56,0)</f>
        <v/>
      </c>
      <c r="D78" s="8">
        <f>IF(D$4-'Assumptions'!$C$87&gt;=1,INDEX('36-Month Forecast'!$C$367:$AL$367,1,D$4-'Assumptions'!$C$87)+INDEX('36-Month Forecast'!$C$364:$AL$364,1,D$4-'Assumptions'!$C$87)*'Unit Economics'!$H$56,0)</f>
        <v/>
      </c>
      <c r="E78" s="8">
        <f>IF(E$4-'Assumptions'!$C$87&gt;=1,INDEX('36-Month Forecast'!$C$367:$AL$367,1,E$4-'Assumptions'!$C$87)+INDEX('36-Month Forecast'!$C$364:$AL$364,1,E$4-'Assumptions'!$C$87)*'Unit Economics'!$H$56,0)</f>
        <v/>
      </c>
      <c r="F78" s="8">
        <f>IF(F$4-'Assumptions'!$C$87&gt;=1,INDEX('36-Month Forecast'!$C$367:$AL$367,1,F$4-'Assumptions'!$C$87)+INDEX('36-Month Forecast'!$C$364:$AL$364,1,F$4-'Assumptions'!$C$87)*'Unit Economics'!$H$56,0)</f>
        <v/>
      </c>
      <c r="G78" s="8">
        <f>IF(G$4-'Assumptions'!$C$87&gt;=1,INDEX('36-Month Forecast'!$C$367:$AL$367,1,G$4-'Assumptions'!$C$87)+INDEX('36-Month Forecast'!$C$364:$AL$364,1,G$4-'Assumptions'!$C$87)*'Unit Economics'!$H$56,0)</f>
        <v/>
      </c>
      <c r="H78" s="8">
        <f>IF(H$4-'Assumptions'!$C$87&gt;=1,INDEX('36-Month Forecast'!$C$367:$AL$367,1,H$4-'Assumptions'!$C$87)+INDEX('36-Month Forecast'!$C$364:$AL$364,1,H$4-'Assumptions'!$C$87)*'Unit Economics'!$H$56,0)</f>
        <v/>
      </c>
      <c r="I78" s="8">
        <f>IF(I$4-'Assumptions'!$C$87&gt;=1,INDEX('36-Month Forecast'!$C$367:$AL$367,1,I$4-'Assumptions'!$C$87)+INDEX('36-Month Forecast'!$C$364:$AL$364,1,I$4-'Assumptions'!$C$87)*'Unit Economics'!$H$56,0)</f>
        <v/>
      </c>
      <c r="J78" s="8">
        <f>IF(J$4-'Assumptions'!$C$87&gt;=1,INDEX('36-Month Forecast'!$C$367:$AL$367,1,J$4-'Assumptions'!$C$87)+INDEX('36-Month Forecast'!$C$364:$AL$364,1,J$4-'Assumptions'!$C$87)*'Unit Economics'!$H$56,0)</f>
        <v/>
      </c>
      <c r="K78" s="8">
        <f>IF(K$4-'Assumptions'!$C$87&gt;=1,INDEX('36-Month Forecast'!$C$367:$AL$367,1,K$4-'Assumptions'!$C$87)+INDEX('36-Month Forecast'!$C$364:$AL$364,1,K$4-'Assumptions'!$C$87)*'Unit Economics'!$H$56,0)</f>
        <v/>
      </c>
      <c r="L78" s="8">
        <f>IF(L$4-'Assumptions'!$C$87&gt;=1,INDEX('36-Month Forecast'!$C$367:$AL$367,1,L$4-'Assumptions'!$C$87)+INDEX('36-Month Forecast'!$C$364:$AL$364,1,L$4-'Assumptions'!$C$87)*'Unit Economics'!$H$56,0)</f>
        <v/>
      </c>
      <c r="M78" s="8">
        <f>IF(M$4-'Assumptions'!$C$87&gt;=1,INDEX('36-Month Forecast'!$C$367:$AL$367,1,M$4-'Assumptions'!$C$87)+INDEX('36-Month Forecast'!$C$364:$AL$364,1,M$4-'Assumptions'!$C$87)*'Unit Economics'!$H$56,0)</f>
        <v/>
      </c>
      <c r="N78" s="8">
        <f>IF(N$4-'Assumptions'!$C$87&gt;=1,INDEX('36-Month Forecast'!$C$367:$AL$367,1,N$4-'Assumptions'!$C$87)+INDEX('36-Month Forecast'!$C$364:$AL$364,1,N$4-'Assumptions'!$C$87)*'Unit Economics'!$H$56,0)</f>
        <v/>
      </c>
      <c r="O78" s="8">
        <f>IF(O$4-'Assumptions'!$C$87&gt;=1,INDEX('36-Month Forecast'!$C$367:$AL$367,1,O$4-'Assumptions'!$C$87)+INDEX('36-Month Forecast'!$C$364:$AL$364,1,O$4-'Assumptions'!$C$87)*'Unit Economics'!$H$56,0)</f>
        <v/>
      </c>
      <c r="P78" s="8">
        <f>IF(P$4-'Assumptions'!$C$87&gt;=1,INDEX('36-Month Forecast'!$C$367:$AL$367,1,P$4-'Assumptions'!$C$87)+INDEX('36-Month Forecast'!$C$364:$AL$364,1,P$4-'Assumptions'!$C$87)*'Unit Economics'!$H$56,0)</f>
        <v/>
      </c>
      <c r="Q78" s="8">
        <f>IF(Q$4-'Assumptions'!$C$87&gt;=1,INDEX('36-Month Forecast'!$C$367:$AL$367,1,Q$4-'Assumptions'!$C$87)+INDEX('36-Month Forecast'!$C$364:$AL$364,1,Q$4-'Assumptions'!$C$87)*'Unit Economics'!$H$56,0)</f>
        <v/>
      </c>
      <c r="R78" s="8">
        <f>IF(R$4-'Assumptions'!$C$87&gt;=1,INDEX('36-Month Forecast'!$C$367:$AL$367,1,R$4-'Assumptions'!$C$87)+INDEX('36-Month Forecast'!$C$364:$AL$364,1,R$4-'Assumptions'!$C$87)*'Unit Economics'!$H$56,0)</f>
        <v/>
      </c>
      <c r="S78" s="8">
        <f>IF(S$4-'Assumptions'!$C$87&gt;=1,INDEX('36-Month Forecast'!$C$367:$AL$367,1,S$4-'Assumptions'!$C$87)+INDEX('36-Month Forecast'!$C$364:$AL$364,1,S$4-'Assumptions'!$C$87)*'Unit Economics'!$H$56,0)</f>
        <v/>
      </c>
      <c r="T78" s="8">
        <f>IF(T$4-'Assumptions'!$C$87&gt;=1,INDEX('36-Month Forecast'!$C$367:$AL$367,1,T$4-'Assumptions'!$C$87)+INDEX('36-Month Forecast'!$C$364:$AL$364,1,T$4-'Assumptions'!$C$87)*'Unit Economics'!$H$56,0)</f>
        <v/>
      </c>
      <c r="U78" s="8">
        <f>IF(U$4-'Assumptions'!$C$87&gt;=1,INDEX('36-Month Forecast'!$C$367:$AL$367,1,U$4-'Assumptions'!$C$87)+INDEX('36-Month Forecast'!$C$364:$AL$364,1,U$4-'Assumptions'!$C$87)*'Unit Economics'!$H$56,0)</f>
        <v/>
      </c>
      <c r="V78" s="8">
        <f>IF(V$4-'Assumptions'!$C$87&gt;=1,INDEX('36-Month Forecast'!$C$367:$AL$367,1,V$4-'Assumptions'!$C$87)+INDEX('36-Month Forecast'!$C$364:$AL$364,1,V$4-'Assumptions'!$C$87)*'Unit Economics'!$H$56,0)</f>
        <v/>
      </c>
      <c r="W78" s="8">
        <f>IF(W$4-'Assumptions'!$C$87&gt;=1,INDEX('36-Month Forecast'!$C$367:$AL$367,1,W$4-'Assumptions'!$C$87)+INDEX('36-Month Forecast'!$C$364:$AL$364,1,W$4-'Assumptions'!$C$87)*'Unit Economics'!$H$56,0)</f>
        <v/>
      </c>
      <c r="X78" s="8">
        <f>IF(X$4-'Assumptions'!$C$87&gt;=1,INDEX('36-Month Forecast'!$C$367:$AL$367,1,X$4-'Assumptions'!$C$87)+INDEX('36-Month Forecast'!$C$364:$AL$364,1,X$4-'Assumptions'!$C$87)*'Unit Economics'!$H$56,0)</f>
        <v/>
      </c>
      <c r="Y78" s="8">
        <f>IF(Y$4-'Assumptions'!$C$87&gt;=1,INDEX('36-Month Forecast'!$C$367:$AL$367,1,Y$4-'Assumptions'!$C$87)+INDEX('36-Month Forecast'!$C$364:$AL$364,1,Y$4-'Assumptions'!$C$87)*'Unit Economics'!$H$56,0)</f>
        <v/>
      </c>
      <c r="Z78" s="8">
        <f>IF(Z$4-'Assumptions'!$C$87&gt;=1,INDEX('36-Month Forecast'!$C$367:$AL$367,1,Z$4-'Assumptions'!$C$87)+INDEX('36-Month Forecast'!$C$364:$AL$364,1,Z$4-'Assumptions'!$C$87)*'Unit Economics'!$H$56,0)</f>
        <v/>
      </c>
      <c r="AA78" s="8">
        <f>IF(AA$4-'Assumptions'!$C$87&gt;=1,INDEX('36-Month Forecast'!$C$367:$AL$367,1,AA$4-'Assumptions'!$C$87)+INDEX('36-Month Forecast'!$C$364:$AL$364,1,AA$4-'Assumptions'!$C$87)*'Unit Economics'!$H$56,0)</f>
        <v/>
      </c>
      <c r="AB78" s="8">
        <f>IF(AB$4-'Assumptions'!$C$87&gt;=1,INDEX('36-Month Forecast'!$C$367:$AL$367,1,AB$4-'Assumptions'!$C$87)+INDEX('36-Month Forecast'!$C$364:$AL$364,1,AB$4-'Assumptions'!$C$87)*'Unit Economics'!$H$56,0)</f>
        <v/>
      </c>
      <c r="AC78" s="8">
        <f>IF(AC$4-'Assumptions'!$C$87&gt;=1,INDEX('36-Month Forecast'!$C$367:$AL$367,1,AC$4-'Assumptions'!$C$87)+INDEX('36-Month Forecast'!$C$364:$AL$364,1,AC$4-'Assumptions'!$C$87)*'Unit Economics'!$H$56,0)</f>
        <v/>
      </c>
      <c r="AD78" s="8">
        <f>IF(AD$4-'Assumptions'!$C$87&gt;=1,INDEX('36-Month Forecast'!$C$367:$AL$367,1,AD$4-'Assumptions'!$C$87)+INDEX('36-Month Forecast'!$C$364:$AL$364,1,AD$4-'Assumptions'!$C$87)*'Unit Economics'!$H$56,0)</f>
        <v/>
      </c>
      <c r="AE78" s="8">
        <f>IF(AE$4-'Assumptions'!$C$87&gt;=1,INDEX('36-Month Forecast'!$C$367:$AL$367,1,AE$4-'Assumptions'!$C$87)+INDEX('36-Month Forecast'!$C$364:$AL$364,1,AE$4-'Assumptions'!$C$87)*'Unit Economics'!$H$56,0)</f>
        <v/>
      </c>
      <c r="AF78" s="8">
        <f>IF(AF$4-'Assumptions'!$C$87&gt;=1,INDEX('36-Month Forecast'!$C$367:$AL$367,1,AF$4-'Assumptions'!$C$87)+INDEX('36-Month Forecast'!$C$364:$AL$364,1,AF$4-'Assumptions'!$C$87)*'Unit Economics'!$H$56,0)</f>
        <v/>
      </c>
      <c r="AG78" s="8">
        <f>IF(AG$4-'Assumptions'!$C$87&gt;=1,INDEX('36-Month Forecast'!$C$367:$AL$367,1,AG$4-'Assumptions'!$C$87)+INDEX('36-Month Forecast'!$C$364:$AL$364,1,AG$4-'Assumptions'!$C$87)*'Unit Economics'!$H$56,0)</f>
        <v/>
      </c>
      <c r="AH78" s="8">
        <f>IF(AH$4-'Assumptions'!$C$87&gt;=1,INDEX('36-Month Forecast'!$C$367:$AL$367,1,AH$4-'Assumptions'!$C$87)+INDEX('36-Month Forecast'!$C$364:$AL$364,1,AH$4-'Assumptions'!$C$87)*'Unit Economics'!$H$56,0)</f>
        <v/>
      </c>
      <c r="AI78" s="8">
        <f>IF(AI$4-'Assumptions'!$C$87&gt;=1,INDEX('36-Month Forecast'!$C$367:$AL$367,1,AI$4-'Assumptions'!$C$87)+INDEX('36-Month Forecast'!$C$364:$AL$364,1,AI$4-'Assumptions'!$C$87)*'Unit Economics'!$H$56,0)</f>
        <v/>
      </c>
      <c r="AJ78" s="8">
        <f>IF(AJ$4-'Assumptions'!$C$87&gt;=1,INDEX('36-Month Forecast'!$C$367:$AL$367,1,AJ$4-'Assumptions'!$C$87)+INDEX('36-Month Forecast'!$C$364:$AL$364,1,AJ$4-'Assumptions'!$C$87)*'Unit Economics'!$H$56,0)</f>
        <v/>
      </c>
      <c r="AK78" s="8">
        <f>IF(AK$4-'Assumptions'!$C$87&gt;=1,INDEX('36-Month Forecast'!$C$367:$AL$367,1,AK$4-'Assumptions'!$C$87)+INDEX('36-Month Forecast'!$C$364:$AL$364,1,AK$4-'Assumptions'!$C$87)*'Unit Economics'!$H$56,0)</f>
        <v/>
      </c>
      <c r="AL78" s="8">
        <f>IF(AL$4-'Assumptions'!$C$87&gt;=1,INDEX('36-Month Forecast'!$C$367:$AL$367,1,AL$4-'Assumptions'!$C$87)+INDEX('36-Month Forecast'!$C$364:$AL$364,1,AL$4-'Assumptions'!$C$87)*'Unit Economics'!$H$56,0)</f>
        <v/>
      </c>
      <c r="AM78" s="47">
        <f>SUMIF($C$6:$AL$6,1,C78:AL78)</f>
        <v/>
      </c>
      <c r="AN78" s="47">
        <f>SUMIF($C$6:$AL$6,2,C78:AL78)</f>
        <v/>
      </c>
      <c r="AO78" s="47">
        <f>SUMIF($C$6:$AL$6,3,C78:AL78)</f>
        <v/>
      </c>
      <c r="AP78" s="47">
        <f>SUM(C78:AL78)</f>
        <v/>
      </c>
    </row>
    <row r="79">
      <c r="A79" s="7" t="inlineStr">
        <is>
          <t xml:space="preserve">   Payout: Retail and wholesale: Faire, Walmart Marketplace (off in base)</t>
        </is>
      </c>
      <c r="C79" s="8">
        <f>IF(C$4-'Assumptions'!$C$88&gt;=1,INDEX('36-Month Forecast'!$C$377:$AL$377,1,C$4-'Assumptions'!$C$88)+INDEX('36-Month Forecast'!$C$374:$AL$374,1,C$4-'Assumptions'!$C$88)*'Unit Economics'!$H$57,0)</f>
        <v/>
      </c>
      <c r="D79" s="8">
        <f>IF(D$4-'Assumptions'!$C$88&gt;=1,INDEX('36-Month Forecast'!$C$377:$AL$377,1,D$4-'Assumptions'!$C$88)+INDEX('36-Month Forecast'!$C$374:$AL$374,1,D$4-'Assumptions'!$C$88)*'Unit Economics'!$H$57,0)</f>
        <v/>
      </c>
      <c r="E79" s="8">
        <f>IF(E$4-'Assumptions'!$C$88&gt;=1,INDEX('36-Month Forecast'!$C$377:$AL$377,1,E$4-'Assumptions'!$C$88)+INDEX('36-Month Forecast'!$C$374:$AL$374,1,E$4-'Assumptions'!$C$88)*'Unit Economics'!$H$57,0)</f>
        <v/>
      </c>
      <c r="F79" s="8">
        <f>IF(F$4-'Assumptions'!$C$88&gt;=1,INDEX('36-Month Forecast'!$C$377:$AL$377,1,F$4-'Assumptions'!$C$88)+INDEX('36-Month Forecast'!$C$374:$AL$374,1,F$4-'Assumptions'!$C$88)*'Unit Economics'!$H$57,0)</f>
        <v/>
      </c>
      <c r="G79" s="8">
        <f>IF(G$4-'Assumptions'!$C$88&gt;=1,INDEX('36-Month Forecast'!$C$377:$AL$377,1,G$4-'Assumptions'!$C$88)+INDEX('36-Month Forecast'!$C$374:$AL$374,1,G$4-'Assumptions'!$C$88)*'Unit Economics'!$H$57,0)</f>
        <v/>
      </c>
      <c r="H79" s="8">
        <f>IF(H$4-'Assumptions'!$C$88&gt;=1,INDEX('36-Month Forecast'!$C$377:$AL$377,1,H$4-'Assumptions'!$C$88)+INDEX('36-Month Forecast'!$C$374:$AL$374,1,H$4-'Assumptions'!$C$88)*'Unit Economics'!$H$57,0)</f>
        <v/>
      </c>
      <c r="I79" s="8">
        <f>IF(I$4-'Assumptions'!$C$88&gt;=1,INDEX('36-Month Forecast'!$C$377:$AL$377,1,I$4-'Assumptions'!$C$88)+INDEX('36-Month Forecast'!$C$374:$AL$374,1,I$4-'Assumptions'!$C$88)*'Unit Economics'!$H$57,0)</f>
        <v/>
      </c>
      <c r="J79" s="8">
        <f>IF(J$4-'Assumptions'!$C$88&gt;=1,INDEX('36-Month Forecast'!$C$377:$AL$377,1,J$4-'Assumptions'!$C$88)+INDEX('36-Month Forecast'!$C$374:$AL$374,1,J$4-'Assumptions'!$C$88)*'Unit Economics'!$H$57,0)</f>
        <v/>
      </c>
      <c r="K79" s="8">
        <f>IF(K$4-'Assumptions'!$C$88&gt;=1,INDEX('36-Month Forecast'!$C$377:$AL$377,1,K$4-'Assumptions'!$C$88)+INDEX('36-Month Forecast'!$C$374:$AL$374,1,K$4-'Assumptions'!$C$88)*'Unit Economics'!$H$57,0)</f>
        <v/>
      </c>
      <c r="L79" s="8">
        <f>IF(L$4-'Assumptions'!$C$88&gt;=1,INDEX('36-Month Forecast'!$C$377:$AL$377,1,L$4-'Assumptions'!$C$88)+INDEX('36-Month Forecast'!$C$374:$AL$374,1,L$4-'Assumptions'!$C$88)*'Unit Economics'!$H$57,0)</f>
        <v/>
      </c>
      <c r="M79" s="8">
        <f>IF(M$4-'Assumptions'!$C$88&gt;=1,INDEX('36-Month Forecast'!$C$377:$AL$377,1,M$4-'Assumptions'!$C$88)+INDEX('36-Month Forecast'!$C$374:$AL$374,1,M$4-'Assumptions'!$C$88)*'Unit Economics'!$H$57,0)</f>
        <v/>
      </c>
      <c r="N79" s="8">
        <f>IF(N$4-'Assumptions'!$C$88&gt;=1,INDEX('36-Month Forecast'!$C$377:$AL$377,1,N$4-'Assumptions'!$C$88)+INDEX('36-Month Forecast'!$C$374:$AL$374,1,N$4-'Assumptions'!$C$88)*'Unit Economics'!$H$57,0)</f>
        <v/>
      </c>
      <c r="O79" s="8">
        <f>IF(O$4-'Assumptions'!$C$88&gt;=1,INDEX('36-Month Forecast'!$C$377:$AL$377,1,O$4-'Assumptions'!$C$88)+INDEX('36-Month Forecast'!$C$374:$AL$374,1,O$4-'Assumptions'!$C$88)*'Unit Economics'!$H$57,0)</f>
        <v/>
      </c>
      <c r="P79" s="8">
        <f>IF(P$4-'Assumptions'!$C$88&gt;=1,INDEX('36-Month Forecast'!$C$377:$AL$377,1,P$4-'Assumptions'!$C$88)+INDEX('36-Month Forecast'!$C$374:$AL$374,1,P$4-'Assumptions'!$C$88)*'Unit Economics'!$H$57,0)</f>
        <v/>
      </c>
      <c r="Q79" s="8">
        <f>IF(Q$4-'Assumptions'!$C$88&gt;=1,INDEX('36-Month Forecast'!$C$377:$AL$377,1,Q$4-'Assumptions'!$C$88)+INDEX('36-Month Forecast'!$C$374:$AL$374,1,Q$4-'Assumptions'!$C$88)*'Unit Economics'!$H$57,0)</f>
        <v/>
      </c>
      <c r="R79" s="8">
        <f>IF(R$4-'Assumptions'!$C$88&gt;=1,INDEX('36-Month Forecast'!$C$377:$AL$377,1,R$4-'Assumptions'!$C$88)+INDEX('36-Month Forecast'!$C$374:$AL$374,1,R$4-'Assumptions'!$C$88)*'Unit Economics'!$H$57,0)</f>
        <v/>
      </c>
      <c r="S79" s="8">
        <f>IF(S$4-'Assumptions'!$C$88&gt;=1,INDEX('36-Month Forecast'!$C$377:$AL$377,1,S$4-'Assumptions'!$C$88)+INDEX('36-Month Forecast'!$C$374:$AL$374,1,S$4-'Assumptions'!$C$88)*'Unit Economics'!$H$57,0)</f>
        <v/>
      </c>
      <c r="T79" s="8">
        <f>IF(T$4-'Assumptions'!$C$88&gt;=1,INDEX('36-Month Forecast'!$C$377:$AL$377,1,T$4-'Assumptions'!$C$88)+INDEX('36-Month Forecast'!$C$374:$AL$374,1,T$4-'Assumptions'!$C$88)*'Unit Economics'!$H$57,0)</f>
        <v/>
      </c>
      <c r="U79" s="8">
        <f>IF(U$4-'Assumptions'!$C$88&gt;=1,INDEX('36-Month Forecast'!$C$377:$AL$377,1,U$4-'Assumptions'!$C$88)+INDEX('36-Month Forecast'!$C$374:$AL$374,1,U$4-'Assumptions'!$C$88)*'Unit Economics'!$H$57,0)</f>
        <v/>
      </c>
      <c r="V79" s="8">
        <f>IF(V$4-'Assumptions'!$C$88&gt;=1,INDEX('36-Month Forecast'!$C$377:$AL$377,1,V$4-'Assumptions'!$C$88)+INDEX('36-Month Forecast'!$C$374:$AL$374,1,V$4-'Assumptions'!$C$88)*'Unit Economics'!$H$57,0)</f>
        <v/>
      </c>
      <c r="W79" s="8">
        <f>IF(W$4-'Assumptions'!$C$88&gt;=1,INDEX('36-Month Forecast'!$C$377:$AL$377,1,W$4-'Assumptions'!$C$88)+INDEX('36-Month Forecast'!$C$374:$AL$374,1,W$4-'Assumptions'!$C$88)*'Unit Economics'!$H$57,0)</f>
        <v/>
      </c>
      <c r="X79" s="8">
        <f>IF(X$4-'Assumptions'!$C$88&gt;=1,INDEX('36-Month Forecast'!$C$377:$AL$377,1,X$4-'Assumptions'!$C$88)+INDEX('36-Month Forecast'!$C$374:$AL$374,1,X$4-'Assumptions'!$C$88)*'Unit Economics'!$H$57,0)</f>
        <v/>
      </c>
      <c r="Y79" s="8">
        <f>IF(Y$4-'Assumptions'!$C$88&gt;=1,INDEX('36-Month Forecast'!$C$377:$AL$377,1,Y$4-'Assumptions'!$C$88)+INDEX('36-Month Forecast'!$C$374:$AL$374,1,Y$4-'Assumptions'!$C$88)*'Unit Economics'!$H$57,0)</f>
        <v/>
      </c>
      <c r="Z79" s="8">
        <f>IF(Z$4-'Assumptions'!$C$88&gt;=1,INDEX('36-Month Forecast'!$C$377:$AL$377,1,Z$4-'Assumptions'!$C$88)+INDEX('36-Month Forecast'!$C$374:$AL$374,1,Z$4-'Assumptions'!$C$88)*'Unit Economics'!$H$57,0)</f>
        <v/>
      </c>
      <c r="AA79" s="8">
        <f>IF(AA$4-'Assumptions'!$C$88&gt;=1,INDEX('36-Month Forecast'!$C$377:$AL$377,1,AA$4-'Assumptions'!$C$88)+INDEX('36-Month Forecast'!$C$374:$AL$374,1,AA$4-'Assumptions'!$C$88)*'Unit Economics'!$H$57,0)</f>
        <v/>
      </c>
      <c r="AB79" s="8">
        <f>IF(AB$4-'Assumptions'!$C$88&gt;=1,INDEX('36-Month Forecast'!$C$377:$AL$377,1,AB$4-'Assumptions'!$C$88)+INDEX('36-Month Forecast'!$C$374:$AL$374,1,AB$4-'Assumptions'!$C$88)*'Unit Economics'!$H$57,0)</f>
        <v/>
      </c>
      <c r="AC79" s="8">
        <f>IF(AC$4-'Assumptions'!$C$88&gt;=1,INDEX('36-Month Forecast'!$C$377:$AL$377,1,AC$4-'Assumptions'!$C$88)+INDEX('36-Month Forecast'!$C$374:$AL$374,1,AC$4-'Assumptions'!$C$88)*'Unit Economics'!$H$57,0)</f>
        <v/>
      </c>
      <c r="AD79" s="8">
        <f>IF(AD$4-'Assumptions'!$C$88&gt;=1,INDEX('36-Month Forecast'!$C$377:$AL$377,1,AD$4-'Assumptions'!$C$88)+INDEX('36-Month Forecast'!$C$374:$AL$374,1,AD$4-'Assumptions'!$C$88)*'Unit Economics'!$H$57,0)</f>
        <v/>
      </c>
      <c r="AE79" s="8">
        <f>IF(AE$4-'Assumptions'!$C$88&gt;=1,INDEX('36-Month Forecast'!$C$377:$AL$377,1,AE$4-'Assumptions'!$C$88)+INDEX('36-Month Forecast'!$C$374:$AL$374,1,AE$4-'Assumptions'!$C$88)*'Unit Economics'!$H$57,0)</f>
        <v/>
      </c>
      <c r="AF79" s="8">
        <f>IF(AF$4-'Assumptions'!$C$88&gt;=1,INDEX('36-Month Forecast'!$C$377:$AL$377,1,AF$4-'Assumptions'!$C$88)+INDEX('36-Month Forecast'!$C$374:$AL$374,1,AF$4-'Assumptions'!$C$88)*'Unit Economics'!$H$57,0)</f>
        <v/>
      </c>
      <c r="AG79" s="8">
        <f>IF(AG$4-'Assumptions'!$C$88&gt;=1,INDEX('36-Month Forecast'!$C$377:$AL$377,1,AG$4-'Assumptions'!$C$88)+INDEX('36-Month Forecast'!$C$374:$AL$374,1,AG$4-'Assumptions'!$C$88)*'Unit Economics'!$H$57,0)</f>
        <v/>
      </c>
      <c r="AH79" s="8">
        <f>IF(AH$4-'Assumptions'!$C$88&gt;=1,INDEX('36-Month Forecast'!$C$377:$AL$377,1,AH$4-'Assumptions'!$C$88)+INDEX('36-Month Forecast'!$C$374:$AL$374,1,AH$4-'Assumptions'!$C$88)*'Unit Economics'!$H$57,0)</f>
        <v/>
      </c>
      <c r="AI79" s="8">
        <f>IF(AI$4-'Assumptions'!$C$88&gt;=1,INDEX('36-Month Forecast'!$C$377:$AL$377,1,AI$4-'Assumptions'!$C$88)+INDEX('36-Month Forecast'!$C$374:$AL$374,1,AI$4-'Assumptions'!$C$88)*'Unit Economics'!$H$57,0)</f>
        <v/>
      </c>
      <c r="AJ79" s="8">
        <f>IF(AJ$4-'Assumptions'!$C$88&gt;=1,INDEX('36-Month Forecast'!$C$377:$AL$377,1,AJ$4-'Assumptions'!$C$88)+INDEX('36-Month Forecast'!$C$374:$AL$374,1,AJ$4-'Assumptions'!$C$88)*'Unit Economics'!$H$57,0)</f>
        <v/>
      </c>
      <c r="AK79" s="8">
        <f>IF(AK$4-'Assumptions'!$C$88&gt;=1,INDEX('36-Month Forecast'!$C$377:$AL$377,1,AK$4-'Assumptions'!$C$88)+INDEX('36-Month Forecast'!$C$374:$AL$374,1,AK$4-'Assumptions'!$C$88)*'Unit Economics'!$H$57,0)</f>
        <v/>
      </c>
      <c r="AL79" s="8">
        <f>IF(AL$4-'Assumptions'!$C$88&gt;=1,INDEX('36-Month Forecast'!$C$377:$AL$377,1,AL$4-'Assumptions'!$C$88)+INDEX('36-Month Forecast'!$C$374:$AL$374,1,AL$4-'Assumptions'!$C$88)*'Unit Economics'!$H$57,0)</f>
        <v/>
      </c>
      <c r="AM79" s="47">
        <f>SUMIF($C$6:$AL$6,1,C79:AL79)</f>
        <v/>
      </c>
      <c r="AN79" s="47">
        <f>SUMIF($C$6:$AL$6,2,C79:AL79)</f>
        <v/>
      </c>
      <c r="AO79" s="47">
        <f>SUMIF($C$6:$AL$6,3,C79:AL79)</f>
        <v/>
      </c>
      <c r="AP79" s="47">
        <f>SUM(C79:AL79)</f>
        <v/>
      </c>
    </row>
    <row r="80">
      <c r="A80" s="10" t="inlineStr">
        <is>
          <t>Total payouts received</t>
        </is>
      </c>
      <c r="C80" s="19">
        <f>SUM(C71:C79)</f>
        <v/>
      </c>
      <c r="D80" s="19">
        <f>SUM(D71:D79)</f>
        <v/>
      </c>
      <c r="E80" s="19">
        <f>SUM(E71:E79)</f>
        <v/>
      </c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19">
        <f>SUM(K71:K79)</f>
        <v/>
      </c>
      <c r="L80" s="19">
        <f>SUM(L71:L79)</f>
        <v/>
      </c>
      <c r="M80" s="19">
        <f>SUM(M71:M79)</f>
        <v/>
      </c>
      <c r="N80" s="19">
        <f>SUM(N71:N79)</f>
        <v/>
      </c>
      <c r="O80" s="19">
        <f>SUM(O71:O79)</f>
        <v/>
      </c>
      <c r="P80" s="19">
        <f>SUM(P71:P79)</f>
        <v/>
      </c>
      <c r="Q80" s="19">
        <f>SUM(Q71:Q79)</f>
        <v/>
      </c>
      <c r="R80" s="19">
        <f>SUM(R71:R79)</f>
        <v/>
      </c>
      <c r="S80" s="19">
        <f>SUM(S71:S79)</f>
        <v/>
      </c>
      <c r="T80" s="19">
        <f>SUM(T71:T79)</f>
        <v/>
      </c>
      <c r="U80" s="19">
        <f>SUM(U71:U79)</f>
        <v/>
      </c>
      <c r="V80" s="19">
        <f>SUM(V71:V79)</f>
        <v/>
      </c>
      <c r="W80" s="19">
        <f>SUM(W71:W79)</f>
        <v/>
      </c>
      <c r="X80" s="19">
        <f>SUM(X71:X79)</f>
        <v/>
      </c>
      <c r="Y80" s="19">
        <f>SUM(Y71:Y79)</f>
        <v/>
      </c>
      <c r="Z80" s="19">
        <f>SUM(Z71:Z79)</f>
        <v/>
      </c>
      <c r="AA80" s="19">
        <f>SUM(AA71:AA79)</f>
        <v/>
      </c>
      <c r="AB80" s="19">
        <f>SUM(AB71:AB79)</f>
        <v/>
      </c>
      <c r="AC80" s="19">
        <f>SUM(AC71:AC79)</f>
        <v/>
      </c>
      <c r="AD80" s="19">
        <f>SUM(AD71:AD79)</f>
        <v/>
      </c>
      <c r="AE80" s="19">
        <f>SUM(AE71:AE79)</f>
        <v/>
      </c>
      <c r="AF80" s="19">
        <f>SUM(AF71:AF79)</f>
        <v/>
      </c>
      <c r="AG80" s="19">
        <f>SUM(AG71:AG79)</f>
        <v/>
      </c>
      <c r="AH80" s="19">
        <f>SUM(AH71:AH79)</f>
        <v/>
      </c>
      <c r="AI80" s="19">
        <f>SUM(AI71:AI79)</f>
        <v/>
      </c>
      <c r="AJ80" s="19">
        <f>SUM(AJ71:AJ79)</f>
        <v/>
      </c>
      <c r="AK80" s="19">
        <f>SUM(AK71:AK79)</f>
        <v/>
      </c>
      <c r="AL80" s="19">
        <f>SUM(AL71:AL79)</f>
        <v/>
      </c>
      <c r="AM80" s="47">
        <f>SUMIF($C$6:$AL$6,1,C80:AL80)</f>
        <v/>
      </c>
      <c r="AN80" s="47">
        <f>SUMIF($C$6:$AL$6,2,C80:AL80)</f>
        <v/>
      </c>
      <c r="AO80" s="47">
        <f>SUMIF($C$6:$AL$6,3,C80:AL80)</f>
        <v/>
      </c>
      <c r="AP80" s="47">
        <f>SUM(C80:AL80)</f>
        <v/>
      </c>
    </row>
    <row r="81">
      <c r="A81" s="7" t="inlineStr">
        <is>
          <t>Existing business-card balance paid off (month 1)</t>
        </is>
      </c>
      <c r="C81" s="8">
        <f>-'Assumptions'!$C$18</f>
        <v/>
      </c>
      <c r="D81" s="19">
        <f>0</f>
        <v/>
      </c>
      <c r="E81" s="19">
        <f>0</f>
        <v/>
      </c>
      <c r="F81" s="19">
        <f>0</f>
        <v/>
      </c>
      <c r="G81" s="19">
        <f>0</f>
        <v/>
      </c>
      <c r="H81" s="19">
        <f>0</f>
        <v/>
      </c>
      <c r="I81" s="19">
        <f>0</f>
        <v/>
      </c>
      <c r="J81" s="19">
        <f>0</f>
        <v/>
      </c>
      <c r="K81" s="19">
        <f>0</f>
        <v/>
      </c>
      <c r="L81" s="19">
        <f>0</f>
        <v/>
      </c>
      <c r="M81" s="19">
        <f>0</f>
        <v/>
      </c>
      <c r="N81" s="19">
        <f>0</f>
        <v/>
      </c>
      <c r="O81" s="19">
        <f>0</f>
        <v/>
      </c>
      <c r="P81" s="19">
        <f>0</f>
        <v/>
      </c>
      <c r="Q81" s="19">
        <f>0</f>
        <v/>
      </c>
      <c r="R81" s="19">
        <f>0</f>
        <v/>
      </c>
      <c r="S81" s="19">
        <f>0</f>
        <v/>
      </c>
      <c r="T81" s="19">
        <f>0</f>
        <v/>
      </c>
      <c r="U81" s="19">
        <f>0</f>
        <v/>
      </c>
      <c r="V81" s="19">
        <f>0</f>
        <v/>
      </c>
      <c r="W81" s="19">
        <f>0</f>
        <v/>
      </c>
      <c r="X81" s="19">
        <f>0</f>
        <v/>
      </c>
      <c r="Y81" s="19">
        <f>0</f>
        <v/>
      </c>
      <c r="Z81" s="19">
        <f>0</f>
        <v/>
      </c>
      <c r="AA81" s="19">
        <f>0</f>
        <v/>
      </c>
      <c r="AB81" s="19">
        <f>0</f>
        <v/>
      </c>
      <c r="AC81" s="19">
        <f>0</f>
        <v/>
      </c>
      <c r="AD81" s="19">
        <f>0</f>
        <v/>
      </c>
      <c r="AE81" s="19">
        <f>0</f>
        <v/>
      </c>
      <c r="AF81" s="19">
        <f>0</f>
        <v/>
      </c>
      <c r="AG81" s="19">
        <f>0</f>
        <v/>
      </c>
      <c r="AH81" s="19">
        <f>0</f>
        <v/>
      </c>
      <c r="AI81" s="19">
        <f>0</f>
        <v/>
      </c>
      <c r="AJ81" s="19">
        <f>0</f>
        <v/>
      </c>
      <c r="AK81" s="19">
        <f>0</f>
        <v/>
      </c>
      <c r="AL81" s="19">
        <f>0</f>
        <v/>
      </c>
      <c r="AM81" s="47">
        <f>SUMIF($C$6:$AL$6,1,C81:AL81)</f>
        <v/>
      </c>
      <c r="AN81" s="47">
        <f>SUMIF($C$6:$AL$6,2,C81:AL81)</f>
        <v/>
      </c>
      <c r="AO81" s="47">
        <f>SUMIF($C$6:$AL$6,3,C81:AL81)</f>
        <v/>
      </c>
      <c r="AP81" s="47">
        <f>SUM(C81:AL81)</f>
        <v/>
      </c>
    </row>
    <row r="82">
      <c r="A82" s="7" t="inlineStr">
        <is>
          <t>Inventory purchases (offset print runs, landed)</t>
        </is>
      </c>
      <c r="C82" s="8">
        <f>-'36-Month Forecast'!C404</f>
        <v/>
      </c>
      <c r="D82" s="8">
        <f>-'36-Month Forecast'!D404</f>
        <v/>
      </c>
      <c r="E82" s="8">
        <f>-'36-Month Forecast'!E404</f>
        <v/>
      </c>
      <c r="F82" s="8">
        <f>-'36-Month Forecast'!F404</f>
        <v/>
      </c>
      <c r="G82" s="8">
        <f>-'36-Month Forecast'!G404</f>
        <v/>
      </c>
      <c r="H82" s="8">
        <f>-'36-Month Forecast'!H404</f>
        <v/>
      </c>
      <c r="I82" s="8">
        <f>-'36-Month Forecast'!I404</f>
        <v/>
      </c>
      <c r="J82" s="8">
        <f>-'36-Month Forecast'!J404</f>
        <v/>
      </c>
      <c r="K82" s="8">
        <f>-'36-Month Forecast'!K404</f>
        <v/>
      </c>
      <c r="L82" s="8">
        <f>-'36-Month Forecast'!L404</f>
        <v/>
      </c>
      <c r="M82" s="8">
        <f>-'36-Month Forecast'!M404</f>
        <v/>
      </c>
      <c r="N82" s="8">
        <f>-'36-Month Forecast'!N404</f>
        <v/>
      </c>
      <c r="O82" s="8">
        <f>-'36-Month Forecast'!O404</f>
        <v/>
      </c>
      <c r="P82" s="8">
        <f>-'36-Month Forecast'!P404</f>
        <v/>
      </c>
      <c r="Q82" s="8">
        <f>-'36-Month Forecast'!Q404</f>
        <v/>
      </c>
      <c r="R82" s="8">
        <f>-'36-Month Forecast'!R404</f>
        <v/>
      </c>
      <c r="S82" s="8">
        <f>-'36-Month Forecast'!S404</f>
        <v/>
      </c>
      <c r="T82" s="8">
        <f>-'36-Month Forecast'!T404</f>
        <v/>
      </c>
      <c r="U82" s="8">
        <f>-'36-Month Forecast'!U404</f>
        <v/>
      </c>
      <c r="V82" s="8">
        <f>-'36-Month Forecast'!V404</f>
        <v/>
      </c>
      <c r="W82" s="8">
        <f>-'36-Month Forecast'!W404</f>
        <v/>
      </c>
      <c r="X82" s="8">
        <f>-'36-Month Forecast'!X404</f>
        <v/>
      </c>
      <c r="Y82" s="8">
        <f>-'36-Month Forecast'!Y404</f>
        <v/>
      </c>
      <c r="Z82" s="8">
        <f>-'36-Month Forecast'!Z404</f>
        <v/>
      </c>
      <c r="AA82" s="8">
        <f>-'36-Month Forecast'!AA404</f>
        <v/>
      </c>
      <c r="AB82" s="8">
        <f>-'36-Month Forecast'!AB404</f>
        <v/>
      </c>
      <c r="AC82" s="8">
        <f>-'36-Month Forecast'!AC404</f>
        <v/>
      </c>
      <c r="AD82" s="8">
        <f>-'36-Month Forecast'!AD404</f>
        <v/>
      </c>
      <c r="AE82" s="8">
        <f>-'36-Month Forecast'!AE404</f>
        <v/>
      </c>
      <c r="AF82" s="8">
        <f>-'36-Month Forecast'!AF404</f>
        <v/>
      </c>
      <c r="AG82" s="8">
        <f>-'36-Month Forecast'!AG404</f>
        <v/>
      </c>
      <c r="AH82" s="8">
        <f>-'36-Month Forecast'!AH404</f>
        <v/>
      </c>
      <c r="AI82" s="8">
        <f>-'36-Month Forecast'!AI404</f>
        <v/>
      </c>
      <c r="AJ82" s="8">
        <f>-'36-Month Forecast'!AJ404</f>
        <v/>
      </c>
      <c r="AK82" s="8">
        <f>-'36-Month Forecast'!AK404</f>
        <v/>
      </c>
      <c r="AL82" s="8">
        <f>-'36-Month Forecast'!AL404</f>
        <v/>
      </c>
      <c r="AM82" s="47">
        <f>SUMIF($C$6:$AL$6,1,C82:AL82)</f>
        <v/>
      </c>
      <c r="AN82" s="47">
        <f>SUMIF($C$6:$AL$6,2,C82:AL82)</f>
        <v/>
      </c>
      <c r="AO82" s="47">
        <f>SUMIF($C$6:$AL$6,3,C82:AL82)</f>
        <v/>
      </c>
      <c r="AP82" s="47">
        <f>SUM(C82:AL82)</f>
        <v/>
      </c>
    </row>
    <row r="83">
      <c r="A83" s="7" t="inlineStr">
        <is>
          <t>Paid advertising</t>
        </is>
      </c>
      <c r="C83" s="8">
        <f>-'36-Month Forecast'!C391</f>
        <v/>
      </c>
      <c r="D83" s="8">
        <f>-'36-Month Forecast'!D391</f>
        <v/>
      </c>
      <c r="E83" s="8">
        <f>-'36-Month Forecast'!E391</f>
        <v/>
      </c>
      <c r="F83" s="8">
        <f>-'36-Month Forecast'!F391</f>
        <v/>
      </c>
      <c r="G83" s="8">
        <f>-'36-Month Forecast'!G391</f>
        <v/>
      </c>
      <c r="H83" s="8">
        <f>-'36-Month Forecast'!H391</f>
        <v/>
      </c>
      <c r="I83" s="8">
        <f>-'36-Month Forecast'!I391</f>
        <v/>
      </c>
      <c r="J83" s="8">
        <f>-'36-Month Forecast'!J391</f>
        <v/>
      </c>
      <c r="K83" s="8">
        <f>-'36-Month Forecast'!K391</f>
        <v/>
      </c>
      <c r="L83" s="8">
        <f>-'36-Month Forecast'!L391</f>
        <v/>
      </c>
      <c r="M83" s="8">
        <f>-'36-Month Forecast'!M391</f>
        <v/>
      </c>
      <c r="N83" s="8">
        <f>-'36-Month Forecast'!N391</f>
        <v/>
      </c>
      <c r="O83" s="8">
        <f>-'36-Month Forecast'!O391</f>
        <v/>
      </c>
      <c r="P83" s="8">
        <f>-'36-Month Forecast'!P391</f>
        <v/>
      </c>
      <c r="Q83" s="8">
        <f>-'36-Month Forecast'!Q391</f>
        <v/>
      </c>
      <c r="R83" s="8">
        <f>-'36-Month Forecast'!R391</f>
        <v/>
      </c>
      <c r="S83" s="8">
        <f>-'36-Month Forecast'!S391</f>
        <v/>
      </c>
      <c r="T83" s="8">
        <f>-'36-Month Forecast'!T391</f>
        <v/>
      </c>
      <c r="U83" s="8">
        <f>-'36-Month Forecast'!U391</f>
        <v/>
      </c>
      <c r="V83" s="8">
        <f>-'36-Month Forecast'!V391</f>
        <v/>
      </c>
      <c r="W83" s="8">
        <f>-'36-Month Forecast'!W391</f>
        <v/>
      </c>
      <c r="X83" s="8">
        <f>-'36-Month Forecast'!X391</f>
        <v/>
      </c>
      <c r="Y83" s="8">
        <f>-'36-Month Forecast'!Y391</f>
        <v/>
      </c>
      <c r="Z83" s="8">
        <f>-'36-Month Forecast'!Z391</f>
        <v/>
      </c>
      <c r="AA83" s="8">
        <f>-'36-Month Forecast'!AA391</f>
        <v/>
      </c>
      <c r="AB83" s="8">
        <f>-'36-Month Forecast'!AB391</f>
        <v/>
      </c>
      <c r="AC83" s="8">
        <f>-'36-Month Forecast'!AC391</f>
        <v/>
      </c>
      <c r="AD83" s="8">
        <f>-'36-Month Forecast'!AD391</f>
        <v/>
      </c>
      <c r="AE83" s="8">
        <f>-'36-Month Forecast'!AE391</f>
        <v/>
      </c>
      <c r="AF83" s="8">
        <f>-'36-Month Forecast'!AF391</f>
        <v/>
      </c>
      <c r="AG83" s="8">
        <f>-'36-Month Forecast'!AG391</f>
        <v/>
      </c>
      <c r="AH83" s="8">
        <f>-'36-Month Forecast'!AH391</f>
        <v/>
      </c>
      <c r="AI83" s="8">
        <f>-'36-Month Forecast'!AI391</f>
        <v/>
      </c>
      <c r="AJ83" s="8">
        <f>-'36-Month Forecast'!AJ391</f>
        <v/>
      </c>
      <c r="AK83" s="8">
        <f>-'36-Month Forecast'!AK391</f>
        <v/>
      </c>
      <c r="AL83" s="8">
        <f>-'36-Month Forecast'!AL391</f>
        <v/>
      </c>
      <c r="AM83" s="47">
        <f>SUMIF($C$6:$AL$6,1,C83:AL83)</f>
        <v/>
      </c>
      <c r="AN83" s="47">
        <f>SUMIF($C$6:$AL$6,2,C83:AL83)</f>
        <v/>
      </c>
      <c r="AO83" s="47">
        <f>SUMIF($C$6:$AL$6,3,C83:AL83)</f>
        <v/>
      </c>
      <c r="AP83" s="47">
        <f>SUM(C83:AL83)</f>
        <v/>
      </c>
    </row>
    <row r="84">
      <c r="A84" s="7" t="inlineStr">
        <is>
          <t>Operating costs</t>
        </is>
      </c>
      <c r="C84" s="8">
        <f>-'36-Month Forecast'!C392</f>
        <v/>
      </c>
      <c r="D84" s="8">
        <f>-'36-Month Forecast'!D392</f>
        <v/>
      </c>
      <c r="E84" s="8">
        <f>-'36-Month Forecast'!E392</f>
        <v/>
      </c>
      <c r="F84" s="8">
        <f>-'36-Month Forecast'!F392</f>
        <v/>
      </c>
      <c r="G84" s="8">
        <f>-'36-Month Forecast'!G392</f>
        <v/>
      </c>
      <c r="H84" s="8">
        <f>-'36-Month Forecast'!H392</f>
        <v/>
      </c>
      <c r="I84" s="8">
        <f>-'36-Month Forecast'!I392</f>
        <v/>
      </c>
      <c r="J84" s="8">
        <f>-'36-Month Forecast'!J392</f>
        <v/>
      </c>
      <c r="K84" s="8">
        <f>-'36-Month Forecast'!K392</f>
        <v/>
      </c>
      <c r="L84" s="8">
        <f>-'36-Month Forecast'!L392</f>
        <v/>
      </c>
      <c r="M84" s="8">
        <f>-'36-Month Forecast'!M392</f>
        <v/>
      </c>
      <c r="N84" s="8">
        <f>-'36-Month Forecast'!N392</f>
        <v/>
      </c>
      <c r="O84" s="8">
        <f>-'36-Month Forecast'!O392</f>
        <v/>
      </c>
      <c r="P84" s="8">
        <f>-'36-Month Forecast'!P392</f>
        <v/>
      </c>
      <c r="Q84" s="8">
        <f>-'36-Month Forecast'!Q392</f>
        <v/>
      </c>
      <c r="R84" s="8">
        <f>-'36-Month Forecast'!R392</f>
        <v/>
      </c>
      <c r="S84" s="8">
        <f>-'36-Month Forecast'!S392</f>
        <v/>
      </c>
      <c r="T84" s="8">
        <f>-'36-Month Forecast'!T392</f>
        <v/>
      </c>
      <c r="U84" s="8">
        <f>-'36-Month Forecast'!U392</f>
        <v/>
      </c>
      <c r="V84" s="8">
        <f>-'36-Month Forecast'!V392</f>
        <v/>
      </c>
      <c r="W84" s="8">
        <f>-'36-Month Forecast'!W392</f>
        <v/>
      </c>
      <c r="X84" s="8">
        <f>-'36-Month Forecast'!X392</f>
        <v/>
      </c>
      <c r="Y84" s="8">
        <f>-'36-Month Forecast'!Y392</f>
        <v/>
      </c>
      <c r="Z84" s="8">
        <f>-'36-Month Forecast'!Z392</f>
        <v/>
      </c>
      <c r="AA84" s="8">
        <f>-'36-Month Forecast'!AA392</f>
        <v/>
      </c>
      <c r="AB84" s="8">
        <f>-'36-Month Forecast'!AB392</f>
        <v/>
      </c>
      <c r="AC84" s="8">
        <f>-'36-Month Forecast'!AC392</f>
        <v/>
      </c>
      <c r="AD84" s="8">
        <f>-'36-Month Forecast'!AD392</f>
        <v/>
      </c>
      <c r="AE84" s="8">
        <f>-'36-Month Forecast'!AE392</f>
        <v/>
      </c>
      <c r="AF84" s="8">
        <f>-'36-Month Forecast'!AF392</f>
        <v/>
      </c>
      <c r="AG84" s="8">
        <f>-'36-Month Forecast'!AG392</f>
        <v/>
      </c>
      <c r="AH84" s="8">
        <f>-'36-Month Forecast'!AH392</f>
        <v/>
      </c>
      <c r="AI84" s="8">
        <f>-'36-Month Forecast'!AI392</f>
        <v/>
      </c>
      <c r="AJ84" s="8">
        <f>-'36-Month Forecast'!AJ392</f>
        <v/>
      </c>
      <c r="AK84" s="8">
        <f>-'36-Month Forecast'!AK392</f>
        <v/>
      </c>
      <c r="AL84" s="8">
        <f>-'36-Month Forecast'!AL392</f>
        <v/>
      </c>
      <c r="AM84" s="47">
        <f>SUMIF($C$6:$AL$6,1,C84:AL84)</f>
        <v/>
      </c>
      <c r="AN84" s="47">
        <f>SUMIF($C$6:$AL$6,2,C84:AL84)</f>
        <v/>
      </c>
      <c r="AO84" s="47">
        <f>SUMIF($C$6:$AL$6,3,C84:AL84)</f>
        <v/>
      </c>
      <c r="AP84" s="47">
        <f>SUM(C84:AL84)</f>
        <v/>
      </c>
    </row>
    <row r="85">
      <c r="A85" s="7" t="inlineStr">
        <is>
          <t>Wave fixed costs</t>
        </is>
      </c>
      <c r="C85" s="8">
        <f>-'36-Month Forecast'!C393</f>
        <v/>
      </c>
      <c r="D85" s="8">
        <f>-'36-Month Forecast'!D393</f>
        <v/>
      </c>
      <c r="E85" s="8">
        <f>-'36-Month Forecast'!E393</f>
        <v/>
      </c>
      <c r="F85" s="8">
        <f>-'36-Month Forecast'!F393</f>
        <v/>
      </c>
      <c r="G85" s="8">
        <f>-'36-Month Forecast'!G393</f>
        <v/>
      </c>
      <c r="H85" s="8">
        <f>-'36-Month Forecast'!H393</f>
        <v/>
      </c>
      <c r="I85" s="8">
        <f>-'36-Month Forecast'!I393</f>
        <v/>
      </c>
      <c r="J85" s="8">
        <f>-'36-Month Forecast'!J393</f>
        <v/>
      </c>
      <c r="K85" s="8">
        <f>-'36-Month Forecast'!K393</f>
        <v/>
      </c>
      <c r="L85" s="8">
        <f>-'36-Month Forecast'!L393</f>
        <v/>
      </c>
      <c r="M85" s="8">
        <f>-'36-Month Forecast'!M393</f>
        <v/>
      </c>
      <c r="N85" s="8">
        <f>-'36-Month Forecast'!N393</f>
        <v/>
      </c>
      <c r="O85" s="8">
        <f>-'36-Month Forecast'!O393</f>
        <v/>
      </c>
      <c r="P85" s="8">
        <f>-'36-Month Forecast'!P393</f>
        <v/>
      </c>
      <c r="Q85" s="8">
        <f>-'36-Month Forecast'!Q393</f>
        <v/>
      </c>
      <c r="R85" s="8">
        <f>-'36-Month Forecast'!R393</f>
        <v/>
      </c>
      <c r="S85" s="8">
        <f>-'36-Month Forecast'!S393</f>
        <v/>
      </c>
      <c r="T85" s="8">
        <f>-'36-Month Forecast'!T393</f>
        <v/>
      </c>
      <c r="U85" s="8">
        <f>-'36-Month Forecast'!U393</f>
        <v/>
      </c>
      <c r="V85" s="8">
        <f>-'36-Month Forecast'!V393</f>
        <v/>
      </c>
      <c r="W85" s="8">
        <f>-'36-Month Forecast'!W393</f>
        <v/>
      </c>
      <c r="X85" s="8">
        <f>-'36-Month Forecast'!X393</f>
        <v/>
      </c>
      <c r="Y85" s="8">
        <f>-'36-Month Forecast'!Y393</f>
        <v/>
      </c>
      <c r="Z85" s="8">
        <f>-'36-Month Forecast'!Z393</f>
        <v/>
      </c>
      <c r="AA85" s="8">
        <f>-'36-Month Forecast'!AA393</f>
        <v/>
      </c>
      <c r="AB85" s="8">
        <f>-'36-Month Forecast'!AB393</f>
        <v/>
      </c>
      <c r="AC85" s="8">
        <f>-'36-Month Forecast'!AC393</f>
        <v/>
      </c>
      <c r="AD85" s="8">
        <f>-'36-Month Forecast'!AD393</f>
        <v/>
      </c>
      <c r="AE85" s="8">
        <f>-'36-Month Forecast'!AE393</f>
        <v/>
      </c>
      <c r="AF85" s="8">
        <f>-'36-Month Forecast'!AF393</f>
        <v/>
      </c>
      <c r="AG85" s="8">
        <f>-'36-Month Forecast'!AG393</f>
        <v/>
      </c>
      <c r="AH85" s="8">
        <f>-'36-Month Forecast'!AH393</f>
        <v/>
      </c>
      <c r="AI85" s="8">
        <f>-'36-Month Forecast'!AI393</f>
        <v/>
      </c>
      <c r="AJ85" s="8">
        <f>-'36-Month Forecast'!AJ393</f>
        <v/>
      </c>
      <c r="AK85" s="8">
        <f>-'36-Month Forecast'!AK393</f>
        <v/>
      </c>
      <c r="AL85" s="8">
        <f>-'36-Month Forecast'!AL393</f>
        <v/>
      </c>
      <c r="AM85" s="47">
        <f>SUMIF($C$6:$AL$6,1,C85:AL85)</f>
        <v/>
      </c>
      <c r="AN85" s="47">
        <f>SUMIF($C$6:$AL$6,2,C85:AL85)</f>
        <v/>
      </c>
      <c r="AO85" s="47">
        <f>SUMIF($C$6:$AL$6,3,C85:AL85)</f>
        <v/>
      </c>
      <c r="AP85" s="47">
        <f>SUM(C85:AL85)</f>
        <v/>
      </c>
    </row>
    <row r="86">
      <c r="A86" s="7" t="inlineStr">
        <is>
          <t>One-time startup costs</t>
        </is>
      </c>
      <c r="C86" s="8">
        <f>-'36-Month Forecast'!C396</f>
        <v/>
      </c>
      <c r="D86" s="8">
        <f>-'36-Month Forecast'!D396</f>
        <v/>
      </c>
      <c r="E86" s="8">
        <f>-'36-Month Forecast'!E396</f>
        <v/>
      </c>
      <c r="F86" s="8">
        <f>-'36-Month Forecast'!F396</f>
        <v/>
      </c>
      <c r="G86" s="8">
        <f>-'36-Month Forecast'!G396</f>
        <v/>
      </c>
      <c r="H86" s="8">
        <f>-'36-Month Forecast'!H396</f>
        <v/>
      </c>
      <c r="I86" s="8">
        <f>-'36-Month Forecast'!I396</f>
        <v/>
      </c>
      <c r="J86" s="8">
        <f>-'36-Month Forecast'!J396</f>
        <v/>
      </c>
      <c r="K86" s="8">
        <f>-'36-Month Forecast'!K396</f>
        <v/>
      </c>
      <c r="L86" s="8">
        <f>-'36-Month Forecast'!L396</f>
        <v/>
      </c>
      <c r="M86" s="8">
        <f>-'36-Month Forecast'!M396</f>
        <v/>
      </c>
      <c r="N86" s="8">
        <f>-'36-Month Forecast'!N396</f>
        <v/>
      </c>
      <c r="O86" s="8">
        <f>-'36-Month Forecast'!O396</f>
        <v/>
      </c>
      <c r="P86" s="8">
        <f>-'36-Month Forecast'!P396</f>
        <v/>
      </c>
      <c r="Q86" s="8">
        <f>-'36-Month Forecast'!Q396</f>
        <v/>
      </c>
      <c r="R86" s="8">
        <f>-'36-Month Forecast'!R396</f>
        <v/>
      </c>
      <c r="S86" s="8">
        <f>-'36-Month Forecast'!S396</f>
        <v/>
      </c>
      <c r="T86" s="8">
        <f>-'36-Month Forecast'!T396</f>
        <v/>
      </c>
      <c r="U86" s="8">
        <f>-'36-Month Forecast'!U396</f>
        <v/>
      </c>
      <c r="V86" s="8">
        <f>-'36-Month Forecast'!V396</f>
        <v/>
      </c>
      <c r="W86" s="8">
        <f>-'36-Month Forecast'!W396</f>
        <v/>
      </c>
      <c r="X86" s="8">
        <f>-'36-Month Forecast'!X396</f>
        <v/>
      </c>
      <c r="Y86" s="8">
        <f>-'36-Month Forecast'!Y396</f>
        <v/>
      </c>
      <c r="Z86" s="8">
        <f>-'36-Month Forecast'!Z396</f>
        <v/>
      </c>
      <c r="AA86" s="8">
        <f>-'36-Month Forecast'!AA396</f>
        <v/>
      </c>
      <c r="AB86" s="8">
        <f>-'36-Month Forecast'!AB396</f>
        <v/>
      </c>
      <c r="AC86" s="8">
        <f>-'36-Month Forecast'!AC396</f>
        <v/>
      </c>
      <c r="AD86" s="8">
        <f>-'36-Month Forecast'!AD396</f>
        <v/>
      </c>
      <c r="AE86" s="8">
        <f>-'36-Month Forecast'!AE396</f>
        <v/>
      </c>
      <c r="AF86" s="8">
        <f>-'36-Month Forecast'!AF396</f>
        <v/>
      </c>
      <c r="AG86" s="8">
        <f>-'36-Month Forecast'!AG396</f>
        <v/>
      </c>
      <c r="AH86" s="8">
        <f>-'36-Month Forecast'!AH396</f>
        <v/>
      </c>
      <c r="AI86" s="8">
        <f>-'36-Month Forecast'!AI396</f>
        <v/>
      </c>
      <c r="AJ86" s="8">
        <f>-'36-Month Forecast'!AJ396</f>
        <v/>
      </c>
      <c r="AK86" s="8">
        <f>-'36-Month Forecast'!AK396</f>
        <v/>
      </c>
      <c r="AL86" s="8">
        <f>-'36-Month Forecast'!AL396</f>
        <v/>
      </c>
      <c r="AM86" s="47">
        <f>SUMIF($C$6:$AL$6,1,C86:AL86)</f>
        <v/>
      </c>
      <c r="AN86" s="47">
        <f>SUMIF($C$6:$AL$6,2,C86:AL86)</f>
        <v/>
      </c>
      <c r="AO86" s="47">
        <f>SUMIF($C$6:$AL$6,3,C86:AL86)</f>
        <v/>
      </c>
      <c r="AP86" s="47">
        <f>SUM(C86:AL86)</f>
        <v/>
      </c>
    </row>
    <row r="87">
      <c r="A87" s="7" t="inlineStr">
        <is>
          <t>One-time wave costs</t>
        </is>
      </c>
      <c r="C87" s="8">
        <f>-'36-Month Forecast'!C397</f>
        <v/>
      </c>
      <c r="D87" s="8">
        <f>-'36-Month Forecast'!D397</f>
        <v/>
      </c>
      <c r="E87" s="8">
        <f>-'36-Month Forecast'!E397</f>
        <v/>
      </c>
      <c r="F87" s="8">
        <f>-'36-Month Forecast'!F397</f>
        <v/>
      </c>
      <c r="G87" s="8">
        <f>-'36-Month Forecast'!G397</f>
        <v/>
      </c>
      <c r="H87" s="8">
        <f>-'36-Month Forecast'!H397</f>
        <v/>
      </c>
      <c r="I87" s="8">
        <f>-'36-Month Forecast'!I397</f>
        <v/>
      </c>
      <c r="J87" s="8">
        <f>-'36-Month Forecast'!J397</f>
        <v/>
      </c>
      <c r="K87" s="8">
        <f>-'36-Month Forecast'!K397</f>
        <v/>
      </c>
      <c r="L87" s="8">
        <f>-'36-Month Forecast'!L397</f>
        <v/>
      </c>
      <c r="M87" s="8">
        <f>-'36-Month Forecast'!M397</f>
        <v/>
      </c>
      <c r="N87" s="8">
        <f>-'36-Month Forecast'!N397</f>
        <v/>
      </c>
      <c r="O87" s="8">
        <f>-'36-Month Forecast'!O397</f>
        <v/>
      </c>
      <c r="P87" s="8">
        <f>-'36-Month Forecast'!P397</f>
        <v/>
      </c>
      <c r="Q87" s="8">
        <f>-'36-Month Forecast'!Q397</f>
        <v/>
      </c>
      <c r="R87" s="8">
        <f>-'36-Month Forecast'!R397</f>
        <v/>
      </c>
      <c r="S87" s="8">
        <f>-'36-Month Forecast'!S397</f>
        <v/>
      </c>
      <c r="T87" s="8">
        <f>-'36-Month Forecast'!T397</f>
        <v/>
      </c>
      <c r="U87" s="8">
        <f>-'36-Month Forecast'!U397</f>
        <v/>
      </c>
      <c r="V87" s="8">
        <f>-'36-Month Forecast'!V397</f>
        <v/>
      </c>
      <c r="W87" s="8">
        <f>-'36-Month Forecast'!W397</f>
        <v/>
      </c>
      <c r="X87" s="8">
        <f>-'36-Month Forecast'!X397</f>
        <v/>
      </c>
      <c r="Y87" s="8">
        <f>-'36-Month Forecast'!Y397</f>
        <v/>
      </c>
      <c r="Z87" s="8">
        <f>-'36-Month Forecast'!Z397</f>
        <v/>
      </c>
      <c r="AA87" s="8">
        <f>-'36-Month Forecast'!AA397</f>
        <v/>
      </c>
      <c r="AB87" s="8">
        <f>-'36-Month Forecast'!AB397</f>
        <v/>
      </c>
      <c r="AC87" s="8">
        <f>-'36-Month Forecast'!AC397</f>
        <v/>
      </c>
      <c r="AD87" s="8">
        <f>-'36-Month Forecast'!AD397</f>
        <v/>
      </c>
      <c r="AE87" s="8">
        <f>-'36-Month Forecast'!AE397</f>
        <v/>
      </c>
      <c r="AF87" s="8">
        <f>-'36-Month Forecast'!AF397</f>
        <v/>
      </c>
      <c r="AG87" s="8">
        <f>-'36-Month Forecast'!AG397</f>
        <v/>
      </c>
      <c r="AH87" s="8">
        <f>-'36-Month Forecast'!AH397</f>
        <v/>
      </c>
      <c r="AI87" s="8">
        <f>-'36-Month Forecast'!AI397</f>
        <v/>
      </c>
      <c r="AJ87" s="8">
        <f>-'36-Month Forecast'!AJ397</f>
        <v/>
      </c>
      <c r="AK87" s="8">
        <f>-'36-Month Forecast'!AK397</f>
        <v/>
      </c>
      <c r="AL87" s="8">
        <f>-'36-Month Forecast'!AL397</f>
        <v/>
      </c>
      <c r="AM87" s="47">
        <f>SUMIF($C$6:$AL$6,1,C87:AL87)</f>
        <v/>
      </c>
      <c r="AN87" s="47">
        <f>SUMIF($C$6:$AL$6,2,C87:AL87)</f>
        <v/>
      </c>
      <c r="AO87" s="47">
        <f>SUMIF($C$6:$AL$6,3,C87:AL87)</f>
        <v/>
      </c>
      <c r="AP87" s="47">
        <f>SUM(C87:AL87)</f>
        <v/>
      </c>
    </row>
    <row r="88">
      <c r="A88" s="60" t="inlineStr">
        <is>
          <t>NET CASH FLOW before tax reserve and founder capital</t>
        </is>
      </c>
      <c r="B88" s="64" t="n"/>
      <c r="C88" s="62">
        <f>SUM(C80:C87)</f>
        <v/>
      </c>
      <c r="D88" s="62">
        <f>SUM(D80:D87)</f>
        <v/>
      </c>
      <c r="E88" s="62">
        <f>SUM(E80:E87)</f>
        <v/>
      </c>
      <c r="F88" s="62">
        <f>SUM(F80:F87)</f>
        <v/>
      </c>
      <c r="G88" s="62">
        <f>SUM(G80:G87)</f>
        <v/>
      </c>
      <c r="H88" s="62">
        <f>SUM(H80:H87)</f>
        <v/>
      </c>
      <c r="I88" s="62">
        <f>SUM(I80:I87)</f>
        <v/>
      </c>
      <c r="J88" s="62">
        <f>SUM(J80:J87)</f>
        <v/>
      </c>
      <c r="K88" s="62">
        <f>SUM(K80:K87)</f>
        <v/>
      </c>
      <c r="L88" s="62">
        <f>SUM(L80:L87)</f>
        <v/>
      </c>
      <c r="M88" s="62">
        <f>SUM(M80:M87)</f>
        <v/>
      </c>
      <c r="N88" s="62">
        <f>SUM(N80:N87)</f>
        <v/>
      </c>
      <c r="O88" s="62">
        <f>SUM(O80:O87)</f>
        <v/>
      </c>
      <c r="P88" s="62">
        <f>SUM(P80:P87)</f>
        <v/>
      </c>
      <c r="Q88" s="62">
        <f>SUM(Q80:Q87)</f>
        <v/>
      </c>
      <c r="R88" s="62">
        <f>SUM(R80:R87)</f>
        <v/>
      </c>
      <c r="S88" s="62">
        <f>SUM(S80:S87)</f>
        <v/>
      </c>
      <c r="T88" s="62">
        <f>SUM(T80:T87)</f>
        <v/>
      </c>
      <c r="U88" s="62">
        <f>SUM(U80:U87)</f>
        <v/>
      </c>
      <c r="V88" s="62">
        <f>SUM(V80:V87)</f>
        <v/>
      </c>
      <c r="W88" s="62">
        <f>SUM(W80:W87)</f>
        <v/>
      </c>
      <c r="X88" s="62">
        <f>SUM(X80:X87)</f>
        <v/>
      </c>
      <c r="Y88" s="62">
        <f>SUM(Y80:Y87)</f>
        <v/>
      </c>
      <c r="Z88" s="62">
        <f>SUM(Z80:Z87)</f>
        <v/>
      </c>
      <c r="AA88" s="62">
        <f>SUM(AA80:AA87)</f>
        <v/>
      </c>
      <c r="AB88" s="62">
        <f>SUM(AB80:AB87)</f>
        <v/>
      </c>
      <c r="AC88" s="62">
        <f>SUM(AC80:AC87)</f>
        <v/>
      </c>
      <c r="AD88" s="62">
        <f>SUM(AD80:AD87)</f>
        <v/>
      </c>
      <c r="AE88" s="62">
        <f>SUM(AE80:AE87)</f>
        <v/>
      </c>
      <c r="AF88" s="62">
        <f>SUM(AF80:AF87)</f>
        <v/>
      </c>
      <c r="AG88" s="62">
        <f>SUM(AG80:AG87)</f>
        <v/>
      </c>
      <c r="AH88" s="62">
        <f>SUM(AH80:AH87)</f>
        <v/>
      </c>
      <c r="AI88" s="62">
        <f>SUM(AI80:AI87)</f>
        <v/>
      </c>
      <c r="AJ88" s="62">
        <f>SUM(AJ80:AJ87)</f>
        <v/>
      </c>
      <c r="AK88" s="62">
        <f>SUM(AK80:AK87)</f>
        <v/>
      </c>
      <c r="AL88" s="62">
        <f>SUM(AL80:AL87)</f>
        <v/>
      </c>
      <c r="AM88" s="63">
        <f>SUMIF($C$6:$AL$6,1,C88:AL88)</f>
        <v/>
      </c>
      <c r="AN88" s="63">
        <f>SUMIF($C$6:$AL$6,2,C88:AL88)</f>
        <v/>
      </c>
      <c r="AO88" s="63">
        <f>SUMIF($C$6:$AL$6,3,C88:AL88)</f>
        <v/>
      </c>
      <c r="AP88" s="63">
        <f>SUM(C88:AL88)</f>
        <v/>
      </c>
    </row>
    <row r="89">
      <c r="A89" s="7" t="inlineStr">
        <is>
          <t>Transfer to (-) or from (+) the tax reserve account</t>
        </is>
      </c>
      <c r="C89" s="19">
        <f>0-C93</f>
        <v/>
      </c>
      <c r="D89" s="19">
        <f>C93-D93</f>
        <v/>
      </c>
      <c r="E89" s="19">
        <f>D93-E93</f>
        <v/>
      </c>
      <c r="F89" s="19">
        <f>E93-F93</f>
        <v/>
      </c>
      <c r="G89" s="19">
        <f>F93-G93</f>
        <v/>
      </c>
      <c r="H89" s="19">
        <f>G93-H93</f>
        <v/>
      </c>
      <c r="I89" s="19">
        <f>H93-I93</f>
        <v/>
      </c>
      <c r="J89" s="19">
        <f>I93-J93</f>
        <v/>
      </c>
      <c r="K89" s="19">
        <f>J93-K93</f>
        <v/>
      </c>
      <c r="L89" s="19">
        <f>K93-L93</f>
        <v/>
      </c>
      <c r="M89" s="19">
        <f>L93-M93</f>
        <v/>
      </c>
      <c r="N89" s="19">
        <f>M93-N93</f>
        <v/>
      </c>
      <c r="O89" s="19">
        <f>N93-O93</f>
        <v/>
      </c>
      <c r="P89" s="19">
        <f>O93-P93</f>
        <v/>
      </c>
      <c r="Q89" s="19">
        <f>P93-Q93</f>
        <v/>
      </c>
      <c r="R89" s="19">
        <f>Q93-R93</f>
        <v/>
      </c>
      <c r="S89" s="19">
        <f>R93-S93</f>
        <v/>
      </c>
      <c r="T89" s="19">
        <f>S93-T93</f>
        <v/>
      </c>
      <c r="U89" s="19">
        <f>T93-U93</f>
        <v/>
      </c>
      <c r="V89" s="19">
        <f>U93-V93</f>
        <v/>
      </c>
      <c r="W89" s="19">
        <f>V93-W93</f>
        <v/>
      </c>
      <c r="X89" s="19">
        <f>W93-X93</f>
        <v/>
      </c>
      <c r="Y89" s="19">
        <f>X93-Y93</f>
        <v/>
      </c>
      <c r="Z89" s="19">
        <f>Y93-Z93</f>
        <v/>
      </c>
      <c r="AA89" s="19">
        <f>Z93-AA93</f>
        <v/>
      </c>
      <c r="AB89" s="19">
        <f>AA93-AB93</f>
        <v/>
      </c>
      <c r="AC89" s="19">
        <f>AB93-AC93</f>
        <v/>
      </c>
      <c r="AD89" s="19">
        <f>AC93-AD93</f>
        <v/>
      </c>
      <c r="AE89" s="19">
        <f>AD93-AE93</f>
        <v/>
      </c>
      <c r="AF89" s="19">
        <f>AE93-AF93</f>
        <v/>
      </c>
      <c r="AG89" s="19">
        <f>AF93-AG93</f>
        <v/>
      </c>
      <c r="AH89" s="19">
        <f>AG93-AH93</f>
        <v/>
      </c>
      <c r="AI89" s="19">
        <f>AH93-AI93</f>
        <v/>
      </c>
      <c r="AJ89" s="19">
        <f>AI93-AJ93</f>
        <v/>
      </c>
      <c r="AK89" s="19">
        <f>AJ93-AK93</f>
        <v/>
      </c>
      <c r="AL89" s="19">
        <f>AK93-AL93</f>
        <v/>
      </c>
      <c r="AM89" s="47">
        <f>SUMIF($C$6:$AL$6,1,C89:AL89)</f>
        <v/>
      </c>
      <c r="AN89" s="47">
        <f>SUMIF($C$6:$AL$6,2,C89:AL89)</f>
        <v/>
      </c>
      <c r="AO89" s="47">
        <f>SUMIF($C$6:$AL$6,3,C89:AL89)</f>
        <v/>
      </c>
      <c r="AP89" s="47">
        <f>SUM(C89:AL89)</f>
        <v/>
      </c>
    </row>
    <row r="90">
      <c r="A90" s="7" t="inlineStr">
        <is>
          <t xml:space="preserve">   Operating balance before founder capital</t>
        </is>
      </c>
      <c r="C90" s="8">
        <f>'Assumptions'!$C$16+C88+C89</f>
        <v/>
      </c>
      <c r="D90" s="19">
        <f>C92+D88+D89</f>
        <v/>
      </c>
      <c r="E90" s="19">
        <f>D92+E88+E89</f>
        <v/>
      </c>
      <c r="F90" s="19">
        <f>E92+F88+F89</f>
        <v/>
      </c>
      <c r="G90" s="19">
        <f>F92+G88+G89</f>
        <v/>
      </c>
      <c r="H90" s="19">
        <f>G92+H88+H89</f>
        <v/>
      </c>
      <c r="I90" s="19">
        <f>H92+I88+I89</f>
        <v/>
      </c>
      <c r="J90" s="19">
        <f>I92+J88+J89</f>
        <v/>
      </c>
      <c r="K90" s="19">
        <f>J92+K88+K89</f>
        <v/>
      </c>
      <c r="L90" s="19">
        <f>K92+L88+L89</f>
        <v/>
      </c>
      <c r="M90" s="19">
        <f>L92+M88+M89</f>
        <v/>
      </c>
      <c r="N90" s="19">
        <f>M92+N88+N89</f>
        <v/>
      </c>
      <c r="O90" s="19">
        <f>N92+O88+O89</f>
        <v/>
      </c>
      <c r="P90" s="19">
        <f>O92+P88+P89</f>
        <v/>
      </c>
      <c r="Q90" s="19">
        <f>P92+Q88+Q89</f>
        <v/>
      </c>
      <c r="R90" s="19">
        <f>Q92+R88+R89</f>
        <v/>
      </c>
      <c r="S90" s="19">
        <f>R92+S88+S89</f>
        <v/>
      </c>
      <c r="T90" s="19">
        <f>S92+T88+T89</f>
        <v/>
      </c>
      <c r="U90" s="19">
        <f>T92+U88+U89</f>
        <v/>
      </c>
      <c r="V90" s="19">
        <f>U92+V88+V89</f>
        <v/>
      </c>
      <c r="W90" s="19">
        <f>V92+W88+W89</f>
        <v/>
      </c>
      <c r="X90" s="19">
        <f>W92+X88+X89</f>
        <v/>
      </c>
      <c r="Y90" s="19">
        <f>X92+Y88+Y89</f>
        <v/>
      </c>
      <c r="Z90" s="19">
        <f>Y92+Z88+Z89</f>
        <v/>
      </c>
      <c r="AA90" s="19">
        <f>Z92+AA88+AA89</f>
        <v/>
      </c>
      <c r="AB90" s="19">
        <f>AA92+AB88+AB89</f>
        <v/>
      </c>
      <c r="AC90" s="19">
        <f>AB92+AC88+AC89</f>
        <v/>
      </c>
      <c r="AD90" s="19">
        <f>AC92+AD88+AD89</f>
        <v/>
      </c>
      <c r="AE90" s="19">
        <f>AD92+AE88+AE89</f>
        <v/>
      </c>
      <c r="AF90" s="19">
        <f>AE92+AF88+AF89</f>
        <v/>
      </c>
      <c r="AG90" s="19">
        <f>AF92+AG88+AG89</f>
        <v/>
      </c>
      <c r="AH90" s="19">
        <f>AG92+AH88+AH89</f>
        <v/>
      </c>
      <c r="AI90" s="19">
        <f>AH92+AI88+AI89</f>
        <v/>
      </c>
      <c r="AJ90" s="19">
        <f>AI92+AJ88+AJ89</f>
        <v/>
      </c>
      <c r="AK90" s="19">
        <f>AJ92+AK88+AK89</f>
        <v/>
      </c>
      <c r="AL90" s="19">
        <f>AK92+AL88+AL89</f>
        <v/>
      </c>
    </row>
    <row r="91">
      <c r="A91" s="60" t="inlineStr">
        <is>
          <t>FOUNDER CAPITAL IN (planned month-1 amount + any top-up that keeps the balance at zero or above)</t>
        </is>
      </c>
      <c r="B91" s="64" t="n"/>
      <c r="C91" s="65">
        <f>'Assumptions'!$C$17+MAX(0,-(C90+'Assumptions'!$C$17))</f>
        <v/>
      </c>
      <c r="D91" s="62">
        <f>0+MAX(0,-(D90+0))</f>
        <v/>
      </c>
      <c r="E91" s="62">
        <f>0+MAX(0,-(E90+0))</f>
        <v/>
      </c>
      <c r="F91" s="62">
        <f>0+MAX(0,-(F90+0))</f>
        <v/>
      </c>
      <c r="G91" s="62">
        <f>0+MAX(0,-(G90+0))</f>
        <v/>
      </c>
      <c r="H91" s="62">
        <f>0+MAX(0,-(H90+0))</f>
        <v/>
      </c>
      <c r="I91" s="62">
        <f>0+MAX(0,-(I90+0))</f>
        <v/>
      </c>
      <c r="J91" s="62">
        <f>0+MAX(0,-(J90+0))</f>
        <v/>
      </c>
      <c r="K91" s="62">
        <f>0+MAX(0,-(K90+0))</f>
        <v/>
      </c>
      <c r="L91" s="62">
        <f>0+MAX(0,-(L90+0))</f>
        <v/>
      </c>
      <c r="M91" s="62">
        <f>0+MAX(0,-(M90+0))</f>
        <v/>
      </c>
      <c r="N91" s="62">
        <f>0+MAX(0,-(N90+0))</f>
        <v/>
      </c>
      <c r="O91" s="62">
        <f>0+MAX(0,-(O90+0))</f>
        <v/>
      </c>
      <c r="P91" s="62">
        <f>0+MAX(0,-(P90+0))</f>
        <v/>
      </c>
      <c r="Q91" s="62">
        <f>0+MAX(0,-(Q90+0))</f>
        <v/>
      </c>
      <c r="R91" s="62">
        <f>0+MAX(0,-(R90+0))</f>
        <v/>
      </c>
      <c r="S91" s="62">
        <f>0+MAX(0,-(S90+0))</f>
        <v/>
      </c>
      <c r="T91" s="62">
        <f>0+MAX(0,-(T90+0))</f>
        <v/>
      </c>
      <c r="U91" s="62">
        <f>0+MAX(0,-(U90+0))</f>
        <v/>
      </c>
      <c r="V91" s="62">
        <f>0+MAX(0,-(V90+0))</f>
        <v/>
      </c>
      <c r="W91" s="62">
        <f>0+MAX(0,-(W90+0))</f>
        <v/>
      </c>
      <c r="X91" s="62">
        <f>0+MAX(0,-(X90+0))</f>
        <v/>
      </c>
      <c r="Y91" s="62">
        <f>0+MAX(0,-(Y90+0))</f>
        <v/>
      </c>
      <c r="Z91" s="62">
        <f>0+MAX(0,-(Z90+0))</f>
        <v/>
      </c>
      <c r="AA91" s="62">
        <f>0+MAX(0,-(AA90+0))</f>
        <v/>
      </c>
      <c r="AB91" s="62">
        <f>0+MAX(0,-(AB90+0))</f>
        <v/>
      </c>
      <c r="AC91" s="62">
        <f>0+MAX(0,-(AC90+0))</f>
        <v/>
      </c>
      <c r="AD91" s="62">
        <f>0+MAX(0,-(AD90+0))</f>
        <v/>
      </c>
      <c r="AE91" s="62">
        <f>0+MAX(0,-(AE90+0))</f>
        <v/>
      </c>
      <c r="AF91" s="62">
        <f>0+MAX(0,-(AF90+0))</f>
        <v/>
      </c>
      <c r="AG91" s="62">
        <f>0+MAX(0,-(AG90+0))</f>
        <v/>
      </c>
      <c r="AH91" s="62">
        <f>0+MAX(0,-(AH90+0))</f>
        <v/>
      </c>
      <c r="AI91" s="62">
        <f>0+MAX(0,-(AI90+0))</f>
        <v/>
      </c>
      <c r="AJ91" s="62">
        <f>0+MAX(0,-(AJ90+0))</f>
        <v/>
      </c>
      <c r="AK91" s="62">
        <f>0+MAX(0,-(AK90+0))</f>
        <v/>
      </c>
      <c r="AL91" s="62">
        <f>0+MAX(0,-(AL90+0))</f>
        <v/>
      </c>
      <c r="AM91" s="63">
        <f>SUMIF($C$6:$AL$6,1,C91:AL91)</f>
        <v/>
      </c>
      <c r="AN91" s="63">
        <f>SUMIF($C$6:$AL$6,2,C91:AL91)</f>
        <v/>
      </c>
      <c r="AO91" s="63">
        <f>SUMIF($C$6:$AL$6,3,C91:AL91)</f>
        <v/>
      </c>
      <c r="AP91" s="63">
        <f>SUM(C91:AL91)</f>
        <v/>
      </c>
    </row>
    <row r="92">
      <c r="A92" s="60" t="inlineStr">
        <is>
          <t>OPERATING ACCOUNT BALANCE (month end)</t>
        </is>
      </c>
      <c r="B92" s="64" t="n"/>
      <c r="C92" s="62">
        <f>C90+C91</f>
        <v/>
      </c>
      <c r="D92" s="62">
        <f>D90+D91</f>
        <v/>
      </c>
      <c r="E92" s="62">
        <f>E90+E91</f>
        <v/>
      </c>
      <c r="F92" s="62">
        <f>F90+F91</f>
        <v/>
      </c>
      <c r="G92" s="62">
        <f>G90+G91</f>
        <v/>
      </c>
      <c r="H92" s="62">
        <f>H90+H91</f>
        <v/>
      </c>
      <c r="I92" s="62">
        <f>I90+I91</f>
        <v/>
      </c>
      <c r="J92" s="62">
        <f>J90+J91</f>
        <v/>
      </c>
      <c r="K92" s="62">
        <f>K90+K91</f>
        <v/>
      </c>
      <c r="L92" s="62">
        <f>L90+L91</f>
        <v/>
      </c>
      <c r="M92" s="62">
        <f>M90+M91</f>
        <v/>
      </c>
      <c r="N92" s="62">
        <f>N90+N91</f>
        <v/>
      </c>
      <c r="O92" s="62">
        <f>O90+O91</f>
        <v/>
      </c>
      <c r="P92" s="62">
        <f>P90+P91</f>
        <v/>
      </c>
      <c r="Q92" s="62">
        <f>Q90+Q91</f>
        <v/>
      </c>
      <c r="R92" s="62">
        <f>R90+R91</f>
        <v/>
      </c>
      <c r="S92" s="62">
        <f>S90+S91</f>
        <v/>
      </c>
      <c r="T92" s="62">
        <f>T90+T91</f>
        <v/>
      </c>
      <c r="U92" s="62">
        <f>U90+U91</f>
        <v/>
      </c>
      <c r="V92" s="62">
        <f>V90+V91</f>
        <v/>
      </c>
      <c r="W92" s="62">
        <f>W90+W91</f>
        <v/>
      </c>
      <c r="X92" s="62">
        <f>X90+X91</f>
        <v/>
      </c>
      <c r="Y92" s="62">
        <f>Y90+Y91</f>
        <v/>
      </c>
      <c r="Z92" s="62">
        <f>Z90+Z91</f>
        <v/>
      </c>
      <c r="AA92" s="62">
        <f>AA90+AA91</f>
        <v/>
      </c>
      <c r="AB92" s="62">
        <f>AB90+AB91</f>
        <v/>
      </c>
      <c r="AC92" s="62">
        <f>AC90+AC91</f>
        <v/>
      </c>
      <c r="AD92" s="62">
        <f>AD90+AD91</f>
        <v/>
      </c>
      <c r="AE92" s="62">
        <f>AE90+AE91</f>
        <v/>
      </c>
      <c r="AF92" s="62">
        <f>AF90+AF91</f>
        <v/>
      </c>
      <c r="AG92" s="62">
        <f>AG90+AG91</f>
        <v/>
      </c>
      <c r="AH92" s="62">
        <f>AH90+AH91</f>
        <v/>
      </c>
      <c r="AI92" s="62">
        <f>AI90+AI91</f>
        <v/>
      </c>
      <c r="AJ92" s="62">
        <f>AJ90+AJ91</f>
        <v/>
      </c>
      <c r="AK92" s="62">
        <f>AK90+AK91</f>
        <v/>
      </c>
      <c r="AL92" s="62">
        <f>AL90+AL91</f>
        <v/>
      </c>
      <c r="AM92" s="63">
        <f>N92</f>
        <v/>
      </c>
      <c r="AN92" s="63">
        <f>Z92</f>
        <v/>
      </c>
      <c r="AO92" s="63">
        <f>AL92</f>
        <v/>
      </c>
      <c r="AP92" s="63">
        <f>AL92</f>
        <v/>
      </c>
    </row>
    <row r="93">
      <c r="A93" s="7" t="inlineStr">
        <is>
          <t>Tax reserve account balance (25% of cumulative profit after one-time costs, if positive)</t>
        </is>
      </c>
      <c r="C93" s="8">
        <f>'Assumptions'!$C$15*MAX(0,'36-Month Forecast'!C399)</f>
        <v/>
      </c>
      <c r="D93" s="8">
        <f>'Assumptions'!$C$15*MAX(0,'36-Month Forecast'!D399)</f>
        <v/>
      </c>
      <c r="E93" s="8">
        <f>'Assumptions'!$C$15*MAX(0,'36-Month Forecast'!E399)</f>
        <v/>
      </c>
      <c r="F93" s="8">
        <f>'Assumptions'!$C$15*MAX(0,'36-Month Forecast'!F399)</f>
        <v/>
      </c>
      <c r="G93" s="8">
        <f>'Assumptions'!$C$15*MAX(0,'36-Month Forecast'!G399)</f>
        <v/>
      </c>
      <c r="H93" s="8">
        <f>'Assumptions'!$C$15*MAX(0,'36-Month Forecast'!H399)</f>
        <v/>
      </c>
      <c r="I93" s="8">
        <f>'Assumptions'!$C$15*MAX(0,'36-Month Forecast'!I399)</f>
        <v/>
      </c>
      <c r="J93" s="8">
        <f>'Assumptions'!$C$15*MAX(0,'36-Month Forecast'!J399)</f>
        <v/>
      </c>
      <c r="K93" s="8">
        <f>'Assumptions'!$C$15*MAX(0,'36-Month Forecast'!K399)</f>
        <v/>
      </c>
      <c r="L93" s="8">
        <f>'Assumptions'!$C$15*MAX(0,'36-Month Forecast'!L399)</f>
        <v/>
      </c>
      <c r="M93" s="8">
        <f>'Assumptions'!$C$15*MAX(0,'36-Month Forecast'!M399)</f>
        <v/>
      </c>
      <c r="N93" s="8">
        <f>'Assumptions'!$C$15*MAX(0,'36-Month Forecast'!N399)</f>
        <v/>
      </c>
      <c r="O93" s="8">
        <f>'Assumptions'!$C$15*MAX(0,'36-Month Forecast'!O399)</f>
        <v/>
      </c>
      <c r="P93" s="8">
        <f>'Assumptions'!$C$15*MAX(0,'36-Month Forecast'!P399)</f>
        <v/>
      </c>
      <c r="Q93" s="8">
        <f>'Assumptions'!$C$15*MAX(0,'36-Month Forecast'!Q399)</f>
        <v/>
      </c>
      <c r="R93" s="8">
        <f>'Assumptions'!$C$15*MAX(0,'36-Month Forecast'!R399)</f>
        <v/>
      </c>
      <c r="S93" s="8">
        <f>'Assumptions'!$C$15*MAX(0,'36-Month Forecast'!S399)</f>
        <v/>
      </c>
      <c r="T93" s="8">
        <f>'Assumptions'!$C$15*MAX(0,'36-Month Forecast'!T399)</f>
        <v/>
      </c>
      <c r="U93" s="8">
        <f>'Assumptions'!$C$15*MAX(0,'36-Month Forecast'!U399)</f>
        <v/>
      </c>
      <c r="V93" s="8">
        <f>'Assumptions'!$C$15*MAX(0,'36-Month Forecast'!V399)</f>
        <v/>
      </c>
      <c r="W93" s="8">
        <f>'Assumptions'!$C$15*MAX(0,'36-Month Forecast'!W399)</f>
        <v/>
      </c>
      <c r="X93" s="8">
        <f>'Assumptions'!$C$15*MAX(0,'36-Month Forecast'!X399)</f>
        <v/>
      </c>
      <c r="Y93" s="8">
        <f>'Assumptions'!$C$15*MAX(0,'36-Month Forecast'!Y399)</f>
        <v/>
      </c>
      <c r="Z93" s="8">
        <f>'Assumptions'!$C$15*MAX(0,'36-Month Forecast'!Z399)</f>
        <v/>
      </c>
      <c r="AA93" s="8">
        <f>'Assumptions'!$C$15*MAX(0,'36-Month Forecast'!AA399)</f>
        <v/>
      </c>
      <c r="AB93" s="8">
        <f>'Assumptions'!$C$15*MAX(0,'36-Month Forecast'!AB399)</f>
        <v/>
      </c>
      <c r="AC93" s="8">
        <f>'Assumptions'!$C$15*MAX(0,'36-Month Forecast'!AC399)</f>
        <v/>
      </c>
      <c r="AD93" s="8">
        <f>'Assumptions'!$C$15*MAX(0,'36-Month Forecast'!AD399)</f>
        <v/>
      </c>
      <c r="AE93" s="8">
        <f>'Assumptions'!$C$15*MAX(0,'36-Month Forecast'!AE399)</f>
        <v/>
      </c>
      <c r="AF93" s="8">
        <f>'Assumptions'!$C$15*MAX(0,'36-Month Forecast'!AF399)</f>
        <v/>
      </c>
      <c r="AG93" s="8">
        <f>'Assumptions'!$C$15*MAX(0,'36-Month Forecast'!AG399)</f>
        <v/>
      </c>
      <c r="AH93" s="8">
        <f>'Assumptions'!$C$15*MAX(0,'36-Month Forecast'!AH399)</f>
        <v/>
      </c>
      <c r="AI93" s="8">
        <f>'Assumptions'!$C$15*MAX(0,'36-Month Forecast'!AI399)</f>
        <v/>
      </c>
      <c r="AJ93" s="8">
        <f>'Assumptions'!$C$15*MAX(0,'36-Month Forecast'!AJ399)</f>
        <v/>
      </c>
      <c r="AK93" s="8">
        <f>'Assumptions'!$C$15*MAX(0,'36-Month Forecast'!AK399)</f>
        <v/>
      </c>
      <c r="AL93" s="8">
        <f>'Assumptions'!$C$15*MAX(0,'36-Month Forecast'!AL399)</f>
        <v/>
      </c>
      <c r="AM93" s="47">
        <f>N93</f>
        <v/>
      </c>
      <c r="AN93" s="47">
        <f>Z93</f>
        <v/>
      </c>
      <c r="AO93" s="47">
        <f>AL93</f>
        <v/>
      </c>
      <c r="AP93" s="47">
        <f>AL93</f>
        <v/>
      </c>
    </row>
    <row r="94">
      <c r="A94" s="7" t="inlineStr">
        <is>
          <t>Total cash (both accounts)</t>
        </is>
      </c>
      <c r="C94" s="19">
        <f>C92+C93</f>
        <v/>
      </c>
      <c r="D94" s="19">
        <f>D92+D93</f>
        <v/>
      </c>
      <c r="E94" s="19">
        <f>E92+E93</f>
        <v/>
      </c>
      <c r="F94" s="19">
        <f>F92+F93</f>
        <v/>
      </c>
      <c r="G94" s="19">
        <f>G92+G93</f>
        <v/>
      </c>
      <c r="H94" s="19">
        <f>H92+H93</f>
        <v/>
      </c>
      <c r="I94" s="19">
        <f>I92+I93</f>
        <v/>
      </c>
      <c r="J94" s="19">
        <f>J92+J93</f>
        <v/>
      </c>
      <c r="K94" s="19">
        <f>K92+K93</f>
        <v/>
      </c>
      <c r="L94" s="19">
        <f>L92+L93</f>
        <v/>
      </c>
      <c r="M94" s="19">
        <f>M92+M93</f>
        <v/>
      </c>
      <c r="N94" s="19">
        <f>N92+N93</f>
        <v/>
      </c>
      <c r="O94" s="19">
        <f>O92+O93</f>
        <v/>
      </c>
      <c r="P94" s="19">
        <f>P92+P93</f>
        <v/>
      </c>
      <c r="Q94" s="19">
        <f>Q92+Q93</f>
        <v/>
      </c>
      <c r="R94" s="19">
        <f>R92+R93</f>
        <v/>
      </c>
      <c r="S94" s="19">
        <f>S92+S93</f>
        <v/>
      </c>
      <c r="T94" s="19">
        <f>T92+T93</f>
        <v/>
      </c>
      <c r="U94" s="19">
        <f>U92+U93</f>
        <v/>
      </c>
      <c r="V94" s="19">
        <f>V92+V93</f>
        <v/>
      </c>
      <c r="W94" s="19">
        <f>W92+W93</f>
        <v/>
      </c>
      <c r="X94" s="19">
        <f>X92+X93</f>
        <v/>
      </c>
      <c r="Y94" s="19">
        <f>Y92+Y93</f>
        <v/>
      </c>
      <c r="Z94" s="19">
        <f>Z92+Z93</f>
        <v/>
      </c>
      <c r="AA94" s="19">
        <f>AA92+AA93</f>
        <v/>
      </c>
      <c r="AB94" s="19">
        <f>AB92+AB93</f>
        <v/>
      </c>
      <c r="AC94" s="19">
        <f>AC92+AC93</f>
        <v/>
      </c>
      <c r="AD94" s="19">
        <f>AD92+AD93</f>
        <v/>
      </c>
      <c r="AE94" s="19">
        <f>AE92+AE93</f>
        <v/>
      </c>
      <c r="AF94" s="19">
        <f>AF92+AF93</f>
        <v/>
      </c>
      <c r="AG94" s="19">
        <f>AG92+AG93</f>
        <v/>
      </c>
      <c r="AH94" s="19">
        <f>AH92+AH93</f>
        <v/>
      </c>
      <c r="AI94" s="19">
        <f>AI92+AI93</f>
        <v/>
      </c>
      <c r="AJ94" s="19">
        <f>AJ92+AJ93</f>
        <v/>
      </c>
      <c r="AK94" s="19">
        <f>AK92+AK93</f>
        <v/>
      </c>
      <c r="AL94" s="19">
        <f>AL92+AL93</f>
        <v/>
      </c>
      <c r="AM94" s="47">
        <f>N94</f>
        <v/>
      </c>
      <c r="AN94" s="47">
        <f>Z94</f>
        <v/>
      </c>
      <c r="AO94" s="47">
        <f>AL94</f>
        <v/>
      </c>
      <c r="AP94" s="47">
        <f>AL94</f>
        <v/>
      </c>
    </row>
    <row r="95">
      <c r="A95" s="60" t="inlineStr">
        <is>
          <t>CUMULATIVE FOUNDER CAPITAL (the funding need)</t>
        </is>
      </c>
      <c r="B95" s="64" t="n"/>
      <c r="C95" s="62">
        <f>C91</f>
        <v/>
      </c>
      <c r="D95" s="62">
        <f>D91+C95</f>
        <v/>
      </c>
      <c r="E95" s="62">
        <f>E91+D95</f>
        <v/>
      </c>
      <c r="F95" s="62">
        <f>F91+E95</f>
        <v/>
      </c>
      <c r="G95" s="62">
        <f>G91+F95</f>
        <v/>
      </c>
      <c r="H95" s="62">
        <f>H91+G95</f>
        <v/>
      </c>
      <c r="I95" s="62">
        <f>I91+H95</f>
        <v/>
      </c>
      <c r="J95" s="62">
        <f>J91+I95</f>
        <v/>
      </c>
      <c r="K95" s="62">
        <f>K91+J95</f>
        <v/>
      </c>
      <c r="L95" s="62">
        <f>L91+K95</f>
        <v/>
      </c>
      <c r="M95" s="62">
        <f>M91+L95</f>
        <v/>
      </c>
      <c r="N95" s="62">
        <f>N91+M95</f>
        <v/>
      </c>
      <c r="O95" s="62">
        <f>O91+N95</f>
        <v/>
      </c>
      <c r="P95" s="62">
        <f>P91+O95</f>
        <v/>
      </c>
      <c r="Q95" s="62">
        <f>Q91+P95</f>
        <v/>
      </c>
      <c r="R95" s="62">
        <f>R91+Q95</f>
        <v/>
      </c>
      <c r="S95" s="62">
        <f>S91+R95</f>
        <v/>
      </c>
      <c r="T95" s="62">
        <f>T91+S95</f>
        <v/>
      </c>
      <c r="U95" s="62">
        <f>U91+T95</f>
        <v/>
      </c>
      <c r="V95" s="62">
        <f>V91+U95</f>
        <v/>
      </c>
      <c r="W95" s="62">
        <f>W91+V95</f>
        <v/>
      </c>
      <c r="X95" s="62">
        <f>X91+W95</f>
        <v/>
      </c>
      <c r="Y95" s="62">
        <f>Y91+X95</f>
        <v/>
      </c>
      <c r="Z95" s="62">
        <f>Z91+Y95</f>
        <v/>
      </c>
      <c r="AA95" s="62">
        <f>AA91+Z95</f>
        <v/>
      </c>
      <c r="AB95" s="62">
        <f>AB91+AA95</f>
        <v/>
      </c>
      <c r="AC95" s="62">
        <f>AC91+AB95</f>
        <v/>
      </c>
      <c r="AD95" s="62">
        <f>AD91+AC95</f>
        <v/>
      </c>
      <c r="AE95" s="62">
        <f>AE91+AD95</f>
        <v/>
      </c>
      <c r="AF95" s="62">
        <f>AF91+AE95</f>
        <v/>
      </c>
      <c r="AG95" s="62">
        <f>AG91+AF95</f>
        <v/>
      </c>
      <c r="AH95" s="62">
        <f>AH91+AG95</f>
        <v/>
      </c>
      <c r="AI95" s="62">
        <f>AI91+AH95</f>
        <v/>
      </c>
      <c r="AJ95" s="62">
        <f>AJ91+AI95</f>
        <v/>
      </c>
      <c r="AK95" s="62">
        <f>AK91+AJ95</f>
        <v/>
      </c>
      <c r="AL95" s="62">
        <f>AL91+AK95</f>
        <v/>
      </c>
      <c r="AM95" s="63">
        <f>N95</f>
        <v/>
      </c>
      <c r="AN95" s="63">
        <f>Z95</f>
        <v/>
      </c>
      <c r="AO95" s="63">
        <f>AL95</f>
        <v/>
      </c>
      <c r="AP95" s="63">
        <f>AL95</f>
        <v/>
      </c>
    </row>
    <row r="96">
      <c r="A96" s="7" t="inlineStr">
        <is>
          <t>Reserve target (months x fixed costs incl. ads)</t>
        </is>
      </c>
      <c r="C96" s="8">
        <f>'Assumptions'!$C$21*('36-Month Forecast'!C392+'36-Month Forecast'!C393+'36-Month Forecast'!C391)</f>
        <v/>
      </c>
      <c r="D96" s="8">
        <f>'Assumptions'!$C$21*('36-Month Forecast'!D392+'36-Month Forecast'!D393+'36-Month Forecast'!D391)</f>
        <v/>
      </c>
      <c r="E96" s="8">
        <f>'Assumptions'!$C$21*('36-Month Forecast'!E392+'36-Month Forecast'!E393+'36-Month Forecast'!E391)</f>
        <v/>
      </c>
      <c r="F96" s="8">
        <f>'Assumptions'!$C$21*('36-Month Forecast'!F392+'36-Month Forecast'!F393+'36-Month Forecast'!F391)</f>
        <v/>
      </c>
      <c r="G96" s="8">
        <f>'Assumptions'!$C$21*('36-Month Forecast'!G392+'36-Month Forecast'!G393+'36-Month Forecast'!G391)</f>
        <v/>
      </c>
      <c r="H96" s="8">
        <f>'Assumptions'!$C$21*('36-Month Forecast'!H392+'36-Month Forecast'!H393+'36-Month Forecast'!H391)</f>
        <v/>
      </c>
      <c r="I96" s="8">
        <f>'Assumptions'!$C$21*('36-Month Forecast'!I392+'36-Month Forecast'!I393+'36-Month Forecast'!I391)</f>
        <v/>
      </c>
      <c r="J96" s="8">
        <f>'Assumptions'!$C$21*('36-Month Forecast'!J392+'36-Month Forecast'!J393+'36-Month Forecast'!J391)</f>
        <v/>
      </c>
      <c r="K96" s="8">
        <f>'Assumptions'!$C$21*('36-Month Forecast'!K392+'36-Month Forecast'!K393+'36-Month Forecast'!K391)</f>
        <v/>
      </c>
      <c r="L96" s="8">
        <f>'Assumptions'!$C$21*('36-Month Forecast'!L392+'36-Month Forecast'!L393+'36-Month Forecast'!L391)</f>
        <v/>
      </c>
      <c r="M96" s="8">
        <f>'Assumptions'!$C$21*('36-Month Forecast'!M392+'36-Month Forecast'!M393+'36-Month Forecast'!M391)</f>
        <v/>
      </c>
      <c r="N96" s="8">
        <f>'Assumptions'!$C$21*('36-Month Forecast'!N392+'36-Month Forecast'!N393+'36-Month Forecast'!N391)</f>
        <v/>
      </c>
      <c r="O96" s="8">
        <f>'Assumptions'!$C$21*('36-Month Forecast'!O392+'36-Month Forecast'!O393+'36-Month Forecast'!O391)</f>
        <v/>
      </c>
      <c r="P96" s="8">
        <f>'Assumptions'!$C$21*('36-Month Forecast'!P392+'36-Month Forecast'!P393+'36-Month Forecast'!P391)</f>
        <v/>
      </c>
      <c r="Q96" s="8">
        <f>'Assumptions'!$C$21*('36-Month Forecast'!Q392+'36-Month Forecast'!Q393+'36-Month Forecast'!Q391)</f>
        <v/>
      </c>
      <c r="R96" s="8">
        <f>'Assumptions'!$C$21*('36-Month Forecast'!R392+'36-Month Forecast'!R393+'36-Month Forecast'!R391)</f>
        <v/>
      </c>
      <c r="S96" s="8">
        <f>'Assumptions'!$C$21*('36-Month Forecast'!S392+'36-Month Forecast'!S393+'36-Month Forecast'!S391)</f>
        <v/>
      </c>
      <c r="T96" s="8">
        <f>'Assumptions'!$C$21*('36-Month Forecast'!T392+'36-Month Forecast'!T393+'36-Month Forecast'!T391)</f>
        <v/>
      </c>
      <c r="U96" s="8">
        <f>'Assumptions'!$C$21*('36-Month Forecast'!U392+'36-Month Forecast'!U393+'36-Month Forecast'!U391)</f>
        <v/>
      </c>
      <c r="V96" s="8">
        <f>'Assumptions'!$C$21*('36-Month Forecast'!V392+'36-Month Forecast'!V393+'36-Month Forecast'!V391)</f>
        <v/>
      </c>
      <c r="W96" s="8">
        <f>'Assumptions'!$C$21*('36-Month Forecast'!W392+'36-Month Forecast'!W393+'36-Month Forecast'!W391)</f>
        <v/>
      </c>
      <c r="X96" s="8">
        <f>'Assumptions'!$C$21*('36-Month Forecast'!X392+'36-Month Forecast'!X393+'36-Month Forecast'!X391)</f>
        <v/>
      </c>
      <c r="Y96" s="8">
        <f>'Assumptions'!$C$21*('36-Month Forecast'!Y392+'36-Month Forecast'!Y393+'36-Month Forecast'!Y391)</f>
        <v/>
      </c>
      <c r="Z96" s="8">
        <f>'Assumptions'!$C$21*('36-Month Forecast'!Z392+'36-Month Forecast'!Z393+'36-Month Forecast'!Z391)</f>
        <v/>
      </c>
      <c r="AA96" s="8">
        <f>'Assumptions'!$C$21*('36-Month Forecast'!AA392+'36-Month Forecast'!AA393+'36-Month Forecast'!AA391)</f>
        <v/>
      </c>
      <c r="AB96" s="8">
        <f>'Assumptions'!$C$21*('36-Month Forecast'!AB392+'36-Month Forecast'!AB393+'36-Month Forecast'!AB391)</f>
        <v/>
      </c>
      <c r="AC96" s="8">
        <f>'Assumptions'!$C$21*('36-Month Forecast'!AC392+'36-Month Forecast'!AC393+'36-Month Forecast'!AC391)</f>
        <v/>
      </c>
      <c r="AD96" s="8">
        <f>'Assumptions'!$C$21*('36-Month Forecast'!AD392+'36-Month Forecast'!AD393+'36-Month Forecast'!AD391)</f>
        <v/>
      </c>
      <c r="AE96" s="8">
        <f>'Assumptions'!$C$21*('36-Month Forecast'!AE392+'36-Month Forecast'!AE393+'36-Month Forecast'!AE391)</f>
        <v/>
      </c>
      <c r="AF96" s="8">
        <f>'Assumptions'!$C$21*('36-Month Forecast'!AF392+'36-Month Forecast'!AF393+'36-Month Forecast'!AF391)</f>
        <v/>
      </c>
      <c r="AG96" s="8">
        <f>'Assumptions'!$C$21*('36-Month Forecast'!AG392+'36-Month Forecast'!AG393+'36-Month Forecast'!AG391)</f>
        <v/>
      </c>
      <c r="AH96" s="8">
        <f>'Assumptions'!$C$21*('36-Month Forecast'!AH392+'36-Month Forecast'!AH393+'36-Month Forecast'!AH391)</f>
        <v/>
      </c>
      <c r="AI96" s="8">
        <f>'Assumptions'!$C$21*('36-Month Forecast'!AI392+'36-Month Forecast'!AI393+'36-Month Forecast'!AI391)</f>
        <v/>
      </c>
      <c r="AJ96" s="8">
        <f>'Assumptions'!$C$21*('36-Month Forecast'!AJ392+'36-Month Forecast'!AJ393+'36-Month Forecast'!AJ391)</f>
        <v/>
      </c>
      <c r="AK96" s="8">
        <f>'Assumptions'!$C$21*('36-Month Forecast'!AK392+'36-Month Forecast'!AK393+'36-Month Forecast'!AK391)</f>
        <v/>
      </c>
      <c r="AL96" s="8">
        <f>'Assumptions'!$C$21*('36-Month Forecast'!AL392+'36-Month Forecast'!AL393+'36-Month Forecast'!AL391)</f>
        <v/>
      </c>
      <c r="AM96" s="47">
        <f>N96</f>
        <v/>
      </c>
      <c r="AN96" s="47">
        <f>Z96</f>
        <v/>
      </c>
      <c r="AO96" s="47">
        <f>AL96</f>
        <v/>
      </c>
      <c r="AP96" s="47">
        <f>AL96</f>
        <v/>
      </c>
    </row>
    <row r="97">
      <c r="A97" s="7" t="inlineStr">
        <is>
          <t>Operating balance above / (below) reserve target</t>
        </is>
      </c>
      <c r="C97" s="19">
        <f>C92-C96</f>
        <v/>
      </c>
      <c r="D97" s="19">
        <f>D92-D96</f>
        <v/>
      </c>
      <c r="E97" s="19">
        <f>E92-E96</f>
        <v/>
      </c>
      <c r="F97" s="19">
        <f>F92-F96</f>
        <v/>
      </c>
      <c r="G97" s="19">
        <f>G92-G96</f>
        <v/>
      </c>
      <c r="H97" s="19">
        <f>H92-H96</f>
        <v/>
      </c>
      <c r="I97" s="19">
        <f>I92-I96</f>
        <v/>
      </c>
      <c r="J97" s="19">
        <f>J92-J96</f>
        <v/>
      </c>
      <c r="K97" s="19">
        <f>K92-K96</f>
        <v/>
      </c>
      <c r="L97" s="19">
        <f>L92-L96</f>
        <v/>
      </c>
      <c r="M97" s="19">
        <f>M92-M96</f>
        <v/>
      </c>
      <c r="N97" s="19">
        <f>N92-N96</f>
        <v/>
      </c>
      <c r="O97" s="19">
        <f>O92-O96</f>
        <v/>
      </c>
      <c r="P97" s="19">
        <f>P92-P96</f>
        <v/>
      </c>
      <c r="Q97" s="19">
        <f>Q92-Q96</f>
        <v/>
      </c>
      <c r="R97" s="19">
        <f>R92-R96</f>
        <v/>
      </c>
      <c r="S97" s="19">
        <f>S92-S96</f>
        <v/>
      </c>
      <c r="T97" s="19">
        <f>T92-T96</f>
        <v/>
      </c>
      <c r="U97" s="19">
        <f>U92-U96</f>
        <v/>
      </c>
      <c r="V97" s="19">
        <f>V92-V96</f>
        <v/>
      </c>
      <c r="W97" s="19">
        <f>W92-W96</f>
        <v/>
      </c>
      <c r="X97" s="19">
        <f>X92-X96</f>
        <v/>
      </c>
      <c r="Y97" s="19">
        <f>Y92-Y96</f>
        <v/>
      </c>
      <c r="Z97" s="19">
        <f>Z92-Z96</f>
        <v/>
      </c>
      <c r="AA97" s="19">
        <f>AA92-AA96</f>
        <v/>
      </c>
      <c r="AB97" s="19">
        <f>AB92-AB96</f>
        <v/>
      </c>
      <c r="AC97" s="19">
        <f>AC92-AC96</f>
        <v/>
      </c>
      <c r="AD97" s="19">
        <f>AD92-AD96</f>
        <v/>
      </c>
      <c r="AE97" s="19">
        <f>AE92-AE96</f>
        <v/>
      </c>
      <c r="AF97" s="19">
        <f>AF92-AF96</f>
        <v/>
      </c>
      <c r="AG97" s="19">
        <f>AG92-AG96</f>
        <v/>
      </c>
      <c r="AH97" s="19">
        <f>AH92-AH96</f>
        <v/>
      </c>
      <c r="AI97" s="19">
        <f>AI92-AI96</f>
        <v/>
      </c>
      <c r="AJ97" s="19">
        <f>AJ92-AJ96</f>
        <v/>
      </c>
      <c r="AK97" s="19">
        <f>AK92-AK96</f>
        <v/>
      </c>
      <c r="AL97" s="19">
        <f>AL92-AL96</f>
        <v/>
      </c>
      <c r="AM97" s="47">
        <f>N97</f>
        <v/>
      </c>
      <c r="AN97" s="47">
        <f>Z97</f>
        <v/>
      </c>
      <c r="AO97" s="47">
        <f>AL97</f>
        <v/>
      </c>
      <c r="AP97" s="47">
        <f>AL97</f>
        <v/>
      </c>
    </row>
    <row r="98">
      <c r="A98" s="7" t="inlineStr">
        <is>
          <t xml:space="preserve">   Helper: month # if founder capital goes in</t>
        </is>
      </c>
      <c r="C98" s="43">
        <f>IF(C91&gt;0.5,C$4,"")</f>
        <v/>
      </c>
      <c r="D98" s="43">
        <f>IF(D91&gt;0.5,D$4,"")</f>
        <v/>
      </c>
      <c r="E98" s="43">
        <f>IF(E91&gt;0.5,E$4,"")</f>
        <v/>
      </c>
      <c r="F98" s="43">
        <f>IF(F91&gt;0.5,F$4,"")</f>
        <v/>
      </c>
      <c r="G98" s="43">
        <f>IF(G91&gt;0.5,G$4,"")</f>
        <v/>
      </c>
      <c r="H98" s="43">
        <f>IF(H91&gt;0.5,H$4,"")</f>
        <v/>
      </c>
      <c r="I98" s="43">
        <f>IF(I91&gt;0.5,I$4,"")</f>
        <v/>
      </c>
      <c r="J98" s="43">
        <f>IF(J91&gt;0.5,J$4,"")</f>
        <v/>
      </c>
      <c r="K98" s="43">
        <f>IF(K91&gt;0.5,K$4,"")</f>
        <v/>
      </c>
      <c r="L98" s="43">
        <f>IF(L91&gt;0.5,L$4,"")</f>
        <v/>
      </c>
      <c r="M98" s="43">
        <f>IF(M91&gt;0.5,M$4,"")</f>
        <v/>
      </c>
      <c r="N98" s="43">
        <f>IF(N91&gt;0.5,N$4,"")</f>
        <v/>
      </c>
      <c r="O98" s="43">
        <f>IF(O91&gt;0.5,O$4,"")</f>
        <v/>
      </c>
      <c r="P98" s="43">
        <f>IF(P91&gt;0.5,P$4,"")</f>
        <v/>
      </c>
      <c r="Q98" s="43">
        <f>IF(Q91&gt;0.5,Q$4,"")</f>
        <v/>
      </c>
      <c r="R98" s="43">
        <f>IF(R91&gt;0.5,R$4,"")</f>
        <v/>
      </c>
      <c r="S98" s="43">
        <f>IF(S91&gt;0.5,S$4,"")</f>
        <v/>
      </c>
      <c r="T98" s="43">
        <f>IF(T91&gt;0.5,T$4,"")</f>
        <v/>
      </c>
      <c r="U98" s="43">
        <f>IF(U91&gt;0.5,U$4,"")</f>
        <v/>
      </c>
      <c r="V98" s="43">
        <f>IF(V91&gt;0.5,V$4,"")</f>
        <v/>
      </c>
      <c r="W98" s="43">
        <f>IF(W91&gt;0.5,W$4,"")</f>
        <v/>
      </c>
      <c r="X98" s="43">
        <f>IF(X91&gt;0.5,X$4,"")</f>
        <v/>
      </c>
      <c r="Y98" s="43">
        <f>IF(Y91&gt;0.5,Y$4,"")</f>
        <v/>
      </c>
      <c r="Z98" s="43">
        <f>IF(Z91&gt;0.5,Z$4,"")</f>
        <v/>
      </c>
      <c r="AA98" s="43">
        <f>IF(AA91&gt;0.5,AA$4,"")</f>
        <v/>
      </c>
      <c r="AB98" s="43">
        <f>IF(AB91&gt;0.5,AB$4,"")</f>
        <v/>
      </c>
      <c r="AC98" s="43">
        <f>IF(AC91&gt;0.5,AC$4,"")</f>
        <v/>
      </c>
      <c r="AD98" s="43">
        <f>IF(AD91&gt;0.5,AD$4,"")</f>
        <v/>
      </c>
      <c r="AE98" s="43">
        <f>IF(AE91&gt;0.5,AE$4,"")</f>
        <v/>
      </c>
      <c r="AF98" s="43">
        <f>IF(AF91&gt;0.5,AF$4,"")</f>
        <v/>
      </c>
      <c r="AG98" s="43">
        <f>IF(AG91&gt;0.5,AG$4,"")</f>
        <v/>
      </c>
      <c r="AH98" s="43">
        <f>IF(AH91&gt;0.5,AH$4,"")</f>
        <v/>
      </c>
      <c r="AI98" s="43">
        <f>IF(AI91&gt;0.5,AI$4,"")</f>
        <v/>
      </c>
      <c r="AJ98" s="43">
        <f>IF(AJ91&gt;0.5,AJ$4,"")</f>
        <v/>
      </c>
      <c r="AK98" s="43">
        <f>IF(AK91&gt;0.5,AK$4,"")</f>
        <v/>
      </c>
      <c r="AL98" s="43">
        <f>IF(AL91&gt;0.5,AL$4,"")</f>
        <v/>
      </c>
    </row>
    <row r="99">
      <c r="A99" s="7" t="inlineStr">
        <is>
          <t xml:space="preserve">   Helper: month # if cumulative founder capital is above the household-money cap</t>
        </is>
      </c>
      <c r="C99" s="18">
        <f>IF(C95&gt;'Assumptions'!$C$19,C$4,"")</f>
        <v/>
      </c>
      <c r="D99" s="18">
        <f>IF(D95&gt;'Assumptions'!$C$19,D$4,"")</f>
        <v/>
      </c>
      <c r="E99" s="18">
        <f>IF(E95&gt;'Assumptions'!$C$19,E$4,"")</f>
        <v/>
      </c>
      <c r="F99" s="18">
        <f>IF(F95&gt;'Assumptions'!$C$19,F$4,"")</f>
        <v/>
      </c>
      <c r="G99" s="18">
        <f>IF(G95&gt;'Assumptions'!$C$19,G$4,"")</f>
        <v/>
      </c>
      <c r="H99" s="18">
        <f>IF(H95&gt;'Assumptions'!$C$19,H$4,"")</f>
        <v/>
      </c>
      <c r="I99" s="18">
        <f>IF(I95&gt;'Assumptions'!$C$19,I$4,"")</f>
        <v/>
      </c>
      <c r="J99" s="18">
        <f>IF(J95&gt;'Assumptions'!$C$19,J$4,"")</f>
        <v/>
      </c>
      <c r="K99" s="18">
        <f>IF(K95&gt;'Assumptions'!$C$19,K$4,"")</f>
        <v/>
      </c>
      <c r="L99" s="18">
        <f>IF(L95&gt;'Assumptions'!$C$19,L$4,"")</f>
        <v/>
      </c>
      <c r="M99" s="18">
        <f>IF(M95&gt;'Assumptions'!$C$19,M$4,"")</f>
        <v/>
      </c>
      <c r="N99" s="18">
        <f>IF(N95&gt;'Assumptions'!$C$19,N$4,"")</f>
        <v/>
      </c>
      <c r="O99" s="18">
        <f>IF(O95&gt;'Assumptions'!$C$19,O$4,"")</f>
        <v/>
      </c>
      <c r="P99" s="18">
        <f>IF(P95&gt;'Assumptions'!$C$19,P$4,"")</f>
        <v/>
      </c>
      <c r="Q99" s="18">
        <f>IF(Q95&gt;'Assumptions'!$C$19,Q$4,"")</f>
        <v/>
      </c>
      <c r="R99" s="18">
        <f>IF(R95&gt;'Assumptions'!$C$19,R$4,"")</f>
        <v/>
      </c>
      <c r="S99" s="18">
        <f>IF(S95&gt;'Assumptions'!$C$19,S$4,"")</f>
        <v/>
      </c>
      <c r="T99" s="18">
        <f>IF(T95&gt;'Assumptions'!$C$19,T$4,"")</f>
        <v/>
      </c>
      <c r="U99" s="18">
        <f>IF(U95&gt;'Assumptions'!$C$19,U$4,"")</f>
        <v/>
      </c>
      <c r="V99" s="18">
        <f>IF(V95&gt;'Assumptions'!$C$19,V$4,"")</f>
        <v/>
      </c>
      <c r="W99" s="18">
        <f>IF(W95&gt;'Assumptions'!$C$19,W$4,"")</f>
        <v/>
      </c>
      <c r="X99" s="18">
        <f>IF(X95&gt;'Assumptions'!$C$19,X$4,"")</f>
        <v/>
      </c>
      <c r="Y99" s="18">
        <f>IF(Y95&gt;'Assumptions'!$C$19,Y$4,"")</f>
        <v/>
      </c>
      <c r="Z99" s="18">
        <f>IF(Z95&gt;'Assumptions'!$C$19,Z$4,"")</f>
        <v/>
      </c>
      <c r="AA99" s="18">
        <f>IF(AA95&gt;'Assumptions'!$C$19,AA$4,"")</f>
        <v/>
      </c>
      <c r="AB99" s="18">
        <f>IF(AB95&gt;'Assumptions'!$C$19,AB$4,"")</f>
        <v/>
      </c>
      <c r="AC99" s="18">
        <f>IF(AC95&gt;'Assumptions'!$C$19,AC$4,"")</f>
        <v/>
      </c>
      <c r="AD99" s="18">
        <f>IF(AD95&gt;'Assumptions'!$C$19,AD$4,"")</f>
        <v/>
      </c>
      <c r="AE99" s="18">
        <f>IF(AE95&gt;'Assumptions'!$C$19,AE$4,"")</f>
        <v/>
      </c>
      <c r="AF99" s="18">
        <f>IF(AF95&gt;'Assumptions'!$C$19,AF$4,"")</f>
        <v/>
      </c>
      <c r="AG99" s="18">
        <f>IF(AG95&gt;'Assumptions'!$C$19,AG$4,"")</f>
        <v/>
      </c>
      <c r="AH99" s="18">
        <f>IF(AH95&gt;'Assumptions'!$C$19,AH$4,"")</f>
        <v/>
      </c>
      <c r="AI99" s="18">
        <f>IF(AI95&gt;'Assumptions'!$C$19,AI$4,"")</f>
        <v/>
      </c>
      <c r="AJ99" s="18">
        <f>IF(AJ95&gt;'Assumptions'!$C$19,AJ$4,"")</f>
        <v/>
      </c>
      <c r="AK99" s="18">
        <f>IF(AK95&gt;'Assumptions'!$C$19,AK$4,"")</f>
        <v/>
      </c>
      <c r="AL99" s="18">
        <f>IF(AL95&gt;'Assumptions'!$C$19,AL$4,"")</f>
        <v/>
      </c>
    </row>
  </sheetData>
  <mergeCells count="1">
    <mergeCell ref="A2:P3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E6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8" customWidth="1" min="2" max="2"/>
    <col width="18" customWidth="1" min="3" max="3"/>
    <col width="18" customWidth="1" min="4" max="4"/>
    <col width="60" customWidth="1" min="5" max="5"/>
  </cols>
  <sheetData>
    <row r="1">
      <c r="A1" s="20" t="inlineStr">
        <is>
          <t>Break-even: when, and how many orders or units</t>
        </is>
      </c>
    </row>
    <row r="2" ht="28" customHeight="1">
      <c r="A2" s="2" t="inlineStr">
        <is>
          <t>Headline measure: the month from which the trailing-12-month operating result stays at or above zero through month 36, so annual bills (October renewals, April filings) do not distort it. Operating results exclude one-time startup, wave and inventory costs. The funding need is the cumulative founder capital on Cash Flow.</t>
        </is>
      </c>
    </row>
    <row r="3"/>
    <row r="5" ht="22" customHeight="1">
      <c r="A5" s="3" t="inlineStr">
        <is>
          <t>Measure</t>
        </is>
      </c>
      <c r="B5" s="4" t="inlineStr">
        <is>
          <t>Conservative</t>
        </is>
      </c>
      <c r="C5" s="4" t="inlineStr">
        <is>
          <t>Expected</t>
        </is>
      </c>
      <c r="D5" s="4" t="inlineStr">
        <is>
          <t>Strong</t>
        </is>
      </c>
      <c r="E5" s="4" t="inlineStr">
        <is>
          <t>Note</t>
        </is>
      </c>
    </row>
    <row r="6">
      <c r="A6" s="5" t="inlineStr">
        <is>
          <t>When</t>
        </is>
      </c>
      <c r="B6" s="6" t="n"/>
      <c r="C6" s="6" t="n"/>
      <c r="D6" s="6" t="n"/>
      <c r="E6" s="6" t="n"/>
    </row>
    <row r="7">
      <c r="A7" s="7" t="inlineStr">
        <is>
          <t>Sustained break-even, trailing 12 months (month #) - HEADLINE</t>
        </is>
      </c>
      <c r="B7" s="18">
        <f>IF(COUNT('36-Month Forecast'!$C$142:$AL$142)=0,"Not reached",MIN('36-Month Forecast'!$C$142:$AL$142))</f>
        <v/>
      </c>
      <c r="C7" s="18">
        <f>IF(COUNT('36-Month Forecast'!$C$276:$AL$276)=0,"Not reached",MIN('36-Month Forecast'!$C$276:$AL$276))</f>
        <v/>
      </c>
      <c r="D7" s="18">
        <f>IF(COUNT('36-Month Forecast'!$C$410:$AL$410)=0,"Not reached",MIN('36-Month Forecast'!$C$410:$AL$410))</f>
        <v/>
      </c>
      <c r="E7" s="9" t="inlineStr">
        <is>
          <t>Trailing-12-month operating result at or above zero from this month through month 36.</t>
        </is>
      </c>
    </row>
    <row r="8">
      <c r="A8" s="7" t="inlineStr">
        <is>
          <t xml:space="preserve">   ...calendar month</t>
        </is>
      </c>
      <c r="B8" s="13">
        <f>IF(ISNUMBER(B7),DATE(YEAR('Assumptions'!$C$8),MONTH('Assumptions'!$C$8)+B7-1,1),"Not within 36 months")</f>
        <v/>
      </c>
      <c r="C8" s="13">
        <f>IF(ISNUMBER(C7),DATE(YEAR('Assumptions'!$C$8),MONTH('Assumptions'!$C$8)+C7-1,1),"Not within 36 months")</f>
        <v/>
      </c>
      <c r="D8" s="13">
        <f>IF(ISNUMBER(D7),DATE(YEAR('Assumptions'!$C$8),MONTH('Assumptions'!$C$8)+D7-1,1),"Not within 36 months")</f>
        <v/>
      </c>
      <c r="E8" s="9" t="inlineStr"/>
    </row>
    <row r="9">
      <c r="A9" s="7" t="inlineStr">
        <is>
          <t>First month with a monthly operating result &gt;= 0 (month #)</t>
        </is>
      </c>
      <c r="B9" s="18">
        <f>IF(COUNT('36-Month Forecast'!$C$140:$AL$140)=0,"Not reached",MIN('36-Month Forecast'!$C$140:$AL$140))</f>
        <v/>
      </c>
      <c r="C9" s="18">
        <f>IF(COUNT('36-Month Forecast'!$C$274:$AL$274)=0,"Not reached",MIN('36-Month Forecast'!$C$274:$AL$274))</f>
        <v/>
      </c>
      <c r="D9" s="18">
        <f>IF(COUNT('36-Month Forecast'!$C$408:$AL$408)=0,"Not reached",MIN('36-Month Forecast'!$C$408:$AL$408))</f>
        <v/>
      </c>
      <c r="E9" s="9" t="inlineStr"/>
    </row>
    <row r="10">
      <c r="A10" s="7" t="inlineStr">
        <is>
          <t xml:space="preserve">   ...calendar month</t>
        </is>
      </c>
      <c r="B10" s="13">
        <f>IF(ISNUMBER(B9),DATE(YEAR('Assumptions'!$C$8),MONTH('Assumptions'!$C$8)+B9-1,1),"Not within 36 months")</f>
        <v/>
      </c>
      <c r="C10" s="13">
        <f>IF(ISNUMBER(C9),DATE(YEAR('Assumptions'!$C$8),MONTH('Assumptions'!$C$8)+C9-1,1),"Not within 36 months")</f>
        <v/>
      </c>
      <c r="D10" s="13">
        <f>IF(ISNUMBER(D9),DATE(YEAR('Assumptions'!$C$8),MONTH('Assumptions'!$C$8)+D9-1,1),"Not within 36 months")</f>
        <v/>
      </c>
      <c r="E10" s="9" t="inlineStr"/>
    </row>
    <row r="11">
      <c r="A11" s="7" t="inlineStr">
        <is>
          <t>Every later month &gt;= 0 (month #; strict test, sensitive to annual bills)</t>
        </is>
      </c>
      <c r="B11" s="18">
        <f>IF(COUNT('36-Month Forecast'!$C$141:$AL$141)=0,"Not reached",MIN('36-Month Forecast'!$C$141:$AL$141))</f>
        <v/>
      </c>
      <c r="C11" s="18">
        <f>IF(COUNT('36-Month Forecast'!$C$275:$AL$275)=0,"Not reached",MIN('36-Month Forecast'!$C$275:$AL$275))</f>
        <v/>
      </c>
      <c r="D11" s="18">
        <f>IF(COUNT('36-Month Forecast'!$C$409:$AL$409)=0,"Not reached",MIN('36-Month Forecast'!$C$409:$AL$409))</f>
        <v/>
      </c>
      <c r="E11" s="9" t="inlineStr"/>
    </row>
    <row r="12">
      <c r="A12" s="7" t="inlineStr">
        <is>
          <t xml:space="preserve">   ...calendar month</t>
        </is>
      </c>
      <c r="B12" s="13">
        <f>IF(ISNUMBER(B11),DATE(YEAR('Assumptions'!$C$8),MONTH('Assumptions'!$C$8)+B11-1,1),"Not within 36 months")</f>
        <v/>
      </c>
      <c r="C12" s="13">
        <f>IF(ISNUMBER(C11),DATE(YEAR('Assumptions'!$C$8),MONTH('Assumptions'!$C$8)+C11-1,1),"Not within 36 months")</f>
        <v/>
      </c>
      <c r="D12" s="13">
        <f>IF(ISNUMBER(D11),DATE(YEAR('Assumptions'!$C$8),MONTH('Assumptions'!$C$8)+D11-1,1),"Not within 36 months")</f>
        <v/>
      </c>
      <c r="E12" s="9" t="inlineStr"/>
    </row>
    <row r="13">
      <c r="A13" s="7" t="inlineStr">
        <is>
          <t>Founder capital needed through month 36 (funding need)</t>
        </is>
      </c>
      <c r="B13" s="8">
        <f>'Cash Flow'!AL33</f>
        <v/>
      </c>
      <c r="C13" s="8">
        <f>'Cash Flow'!AL64</f>
        <v/>
      </c>
      <c r="D13" s="8">
        <f>'Cash Flow'!AL95</f>
        <v/>
      </c>
      <c r="E13" s="9" t="inlineStr">
        <is>
          <t>Cumulative founder capital on Cash Flow.</t>
        </is>
      </c>
    </row>
    <row r="14">
      <c r="A14" s="7" t="inlineStr">
        <is>
          <t xml:space="preserve">   ...of which by month 12 (Sep 2027)</t>
        </is>
      </c>
      <c r="B14" s="8">
        <f>'Cash Flow'!N33</f>
        <v/>
      </c>
      <c r="C14" s="8">
        <f>'Cash Flow'!N64</f>
        <v/>
      </c>
      <c r="D14" s="8">
        <f>'Cash Flow'!N95</f>
        <v/>
      </c>
      <c r="E14" s="9" t="inlineStr"/>
    </row>
    <row r="15">
      <c r="A15" s="7" t="inlineStr">
        <is>
          <t xml:space="preserve">   ...of which by month 24 (Sep 2028)</t>
        </is>
      </c>
      <c r="B15" s="8">
        <f>'Cash Flow'!Z33</f>
        <v/>
      </c>
      <c r="C15" s="8">
        <f>'Cash Flow'!Z64</f>
        <v/>
      </c>
      <c r="D15" s="8">
        <f>'Cash Flow'!Z95</f>
        <v/>
      </c>
      <c r="E15" s="9" t="inlineStr"/>
    </row>
    <row r="16">
      <c r="A16" s="7" t="inlineStr">
        <is>
          <t>Last month founder capital goes in (month #)</t>
        </is>
      </c>
      <c r="B16" s="18">
        <f>IF(COUNT('Cash Flow'!$C$36:$AL$36)=0,"None",MAX('Cash Flow'!$C$36:$AL$36))</f>
        <v/>
      </c>
      <c r="C16" s="18">
        <f>IF(COUNT('Cash Flow'!$C$67:$AL$67)=0,"None",MAX('Cash Flow'!$C$67:$AL$67))</f>
        <v/>
      </c>
      <c r="D16" s="18">
        <f>IF(COUNT('Cash Flow'!$C$98:$AL$98)=0,"None",MAX('Cash Flow'!$C$98:$AL$98))</f>
        <v/>
      </c>
      <c r="E16" s="9" t="inlineStr"/>
    </row>
    <row r="17">
      <c r="A17" s="7" t="inlineStr">
        <is>
          <t>Self-funding from (month #): no founder capital needed after this month</t>
        </is>
      </c>
      <c r="B17" s="43">
        <f>IF(ISNUMBER(B16),IF(B16&lt;36,B16+1,"Not within 36 months"),1)</f>
        <v/>
      </c>
      <c r="C17" s="43">
        <f>IF(ISNUMBER(C16),IF(C16&lt;36,C16+1,"Not within 36 months"),1)</f>
        <v/>
      </c>
      <c r="D17" s="43">
        <f>IF(ISNUMBER(D16),IF(D16&lt;36,D16+1,"Not within 36 months"),1)</f>
        <v/>
      </c>
      <c r="E17" s="9" t="inlineStr"/>
    </row>
    <row r="18">
      <c r="A18" s="7" t="inlineStr">
        <is>
          <t xml:space="preserve">   ...calendar month</t>
        </is>
      </c>
      <c r="B18" s="13">
        <f>IF(ISNUMBER(B17),DATE(YEAR('Assumptions'!$C$8),MONTH('Assumptions'!$C$8)+B17-1,1),"Not within 36 months")</f>
        <v/>
      </c>
      <c r="C18" s="13">
        <f>IF(ISNUMBER(C17),DATE(YEAR('Assumptions'!$C$8),MONTH('Assumptions'!$C$8)+C17-1,1),"Not within 36 months")</f>
        <v/>
      </c>
      <c r="D18" s="13">
        <f>IF(ISNUMBER(D17),DATE(YEAR('Assumptions'!$C$8),MONTH('Assumptions'!$C$8)+D17-1,1),"Not within 36 months")</f>
        <v/>
      </c>
      <c r="E18" s="9" t="inlineStr"/>
    </row>
    <row r="19">
      <c r="A19" s="7" t="inlineStr">
        <is>
          <t>Month the household-money cap would be passed (hard stop and re-forecast)</t>
        </is>
      </c>
      <c r="B19" s="18">
        <f>IF(COUNT('Cash Flow'!$C$37:$AL$37)=0,"Not passed",MIN('Cash Flow'!$C$37:$AL$37))</f>
        <v/>
      </c>
      <c r="C19" s="18">
        <f>IF(COUNT('Cash Flow'!$C$68:$AL$68)=0,"Not passed",MIN('Cash Flow'!$C$68:$AL$68))</f>
        <v/>
      </c>
      <c r="D19" s="18">
        <f>IF(COUNT('Cash Flow'!$C$99:$AL$99)=0,"Not passed",MIN('Cash Flow'!$C$99:$AL$99))</f>
        <v/>
      </c>
      <c r="E19" s="9" t="inlineStr">
        <is>
          <t>Cap is a placeholder until the founder sets it (Assumptions).</t>
        </is>
      </c>
    </row>
    <row r="20">
      <c r="A20" s="7" t="inlineStr">
        <is>
          <t xml:space="preserve">   ...calendar month</t>
        </is>
      </c>
      <c r="B20" s="13">
        <f>IF(ISNUMBER(B19),DATE(YEAR('Assumptions'!$C$8),MONTH('Assumptions'!$C$8)+B19-1,1),"Not within 36 months")</f>
        <v/>
      </c>
      <c r="C20" s="13">
        <f>IF(ISNUMBER(C19),DATE(YEAR('Assumptions'!$C$8),MONTH('Assumptions'!$C$8)+C19-1,1),"Not within 36 months")</f>
        <v/>
      </c>
      <c r="D20" s="13">
        <f>IF(ISNUMBER(D19),DATE(YEAR('Assumptions'!$C$8),MONTH('Assumptions'!$C$8)+D19-1,1),"Not within 36 months")</f>
        <v/>
      </c>
      <c r="E20" s="9" t="inlineStr"/>
    </row>
    <row r="22">
      <c r="A22" s="5" t="inlineStr">
        <is>
          <t>How many (volume at break-even)</t>
        </is>
      </c>
      <c r="B22" s="6" t="n"/>
      <c r="C22" s="6" t="n"/>
      <c r="D22" s="6" t="n"/>
      <c r="E22" s="6" t="n"/>
    </row>
    <row r="23">
      <c r="A23" s="7" t="inlineStr">
        <is>
          <t>Cumulative orders by the headline break-even month</t>
        </is>
      </c>
      <c r="B23" s="15">
        <f>IF(ISNUMBER(B7),INDEX('36-Month Forecast'!$C$118:$AL$118,1,B7),"-")</f>
        <v/>
      </c>
      <c r="C23" s="15">
        <f>IF(ISNUMBER(C7),INDEX('36-Month Forecast'!$C$252:$AL$252,1,C7),"-")</f>
        <v/>
      </c>
      <c r="D23" s="15">
        <f>IF(ISNUMBER(D7),INDEX('36-Month Forecast'!$C$386:$AL$386,1,D7),"-")</f>
        <v/>
      </c>
      <c r="E23" s="9" t="inlineStr"/>
    </row>
    <row r="24">
      <c r="A24" s="7" t="inlineStr">
        <is>
          <t>Cumulative items sold by the headline break-even month</t>
        </is>
      </c>
      <c r="B24" s="15">
        <f>IF(ISNUMBER(B7),INDEX('36-Month Forecast'!$C$119:$AL$119,1,B7),"-")</f>
        <v/>
      </c>
      <c r="C24" s="15">
        <f>IF(ISNUMBER(C7),INDEX('36-Month Forecast'!$C$253:$AL$253,1,C7),"-")</f>
        <v/>
      </c>
      <c r="D24" s="15">
        <f>IF(ISNUMBER(D7),INDEX('36-Month Forecast'!$C$387:$AL$387,1,D7),"-")</f>
        <v/>
      </c>
      <c r="E24" s="9" t="inlineStr"/>
    </row>
    <row r="25">
      <c r="A25" s="7" t="inlineStr">
        <is>
          <t>Orders in the headline break-even month</t>
        </is>
      </c>
      <c r="B25" s="15">
        <f>IF(ISNUMBER(B7),INDEX('36-Month Forecast'!$C$116:$AL$116,1,B7),"-")</f>
        <v/>
      </c>
      <c r="C25" s="15">
        <f>IF(ISNUMBER(C7),INDEX('36-Month Forecast'!$C$250:$AL$250,1,C7),"-")</f>
        <v/>
      </c>
      <c r="D25" s="15">
        <f>IF(ISNUMBER(D7),INDEX('36-Month Forecast'!$C$384:$AL$384,1,D7),"-")</f>
        <v/>
      </c>
      <c r="E25" s="9" t="inlineStr"/>
    </row>
    <row r="27">
      <c r="A27" s="5" t="inlineStr">
        <is>
          <t>Orders needed each month to cover fixed costs (operating costs + wave fixed costs + ads)</t>
        </is>
      </c>
      <c r="B27" s="6" t="n"/>
      <c r="C27" s="6" t="n"/>
      <c r="D27" s="6" t="n"/>
      <c r="E27" s="6" t="n"/>
    </row>
    <row r="28">
      <c r="A28" s="7" t="inlineStr">
        <is>
          <t>Month 6: fixed costs</t>
        </is>
      </c>
      <c r="B28" s="8">
        <f>'36-Month Forecast'!H124+'36-Month Forecast'!H125+'36-Month Forecast'!H123</f>
        <v/>
      </c>
      <c r="C28" s="8">
        <f>'36-Month Forecast'!H258+'36-Month Forecast'!H259+'36-Month Forecast'!H257</f>
        <v/>
      </c>
      <c r="D28" s="8">
        <f>'36-Month Forecast'!H392+'36-Month Forecast'!H393+'36-Month Forecast'!H391</f>
        <v/>
      </c>
      <c r="E28" s="9" t="inlineStr"/>
    </row>
    <row r="29">
      <c r="A29" s="7" t="inlineStr">
        <is>
          <t>Month 6: net contribution per order</t>
        </is>
      </c>
      <c r="B29" s="16">
        <f>IF('36-Month Forecast'!H116=0,0,'36-Month Forecast'!H121/'36-Month Forecast'!H116)</f>
        <v/>
      </c>
      <c r="C29" s="16">
        <f>IF('36-Month Forecast'!H250=0,0,'36-Month Forecast'!H255/'36-Month Forecast'!H250)</f>
        <v/>
      </c>
      <c r="D29" s="16">
        <f>IF('36-Month Forecast'!H384=0,0,'36-Month Forecast'!H389/'36-Month Forecast'!H384)</f>
        <v/>
      </c>
      <c r="E29" s="9" t="inlineStr"/>
    </row>
    <row r="30">
      <c r="A30" s="7" t="inlineStr">
        <is>
          <t>Month 6: orders needed to cover fixed costs</t>
        </is>
      </c>
      <c r="B30" s="58">
        <f>IF(B29&lt;=0,"-",B28/B29)</f>
        <v/>
      </c>
      <c r="C30" s="58">
        <f>IF(C29&lt;=0,"-",C28/C29)</f>
        <v/>
      </c>
      <c r="D30" s="58">
        <f>IF(D29&lt;=0,"-",D28/D29)</f>
        <v/>
      </c>
      <c r="E30" s="9" t="inlineStr"/>
    </row>
    <row r="31">
      <c r="A31" s="7" t="inlineStr">
        <is>
          <t>Month 6: orders the scenario forecasts</t>
        </is>
      </c>
      <c r="B31" s="15">
        <f>'36-Month Forecast'!H116</f>
        <v/>
      </c>
      <c r="C31" s="15">
        <f>'36-Month Forecast'!H250</f>
        <v/>
      </c>
      <c r="D31" s="15">
        <f>'36-Month Forecast'!H384</f>
        <v/>
      </c>
      <c r="E31" s="9" t="inlineStr"/>
    </row>
    <row r="32">
      <c r="A32" s="7" t="inlineStr">
        <is>
          <t>Month 12: fixed costs</t>
        </is>
      </c>
      <c r="B32" s="8">
        <f>'36-Month Forecast'!N124+'36-Month Forecast'!N125+'36-Month Forecast'!N123</f>
        <v/>
      </c>
      <c r="C32" s="8">
        <f>'36-Month Forecast'!N258+'36-Month Forecast'!N259+'36-Month Forecast'!N257</f>
        <v/>
      </c>
      <c r="D32" s="8">
        <f>'36-Month Forecast'!N392+'36-Month Forecast'!N393+'36-Month Forecast'!N391</f>
        <v/>
      </c>
      <c r="E32" s="9" t="inlineStr"/>
    </row>
    <row r="33">
      <c r="A33" s="7" t="inlineStr">
        <is>
          <t>Month 12: net contribution per order</t>
        </is>
      </c>
      <c r="B33" s="16">
        <f>IF('36-Month Forecast'!N116=0,0,'36-Month Forecast'!N121/'36-Month Forecast'!N116)</f>
        <v/>
      </c>
      <c r="C33" s="16">
        <f>IF('36-Month Forecast'!N250=0,0,'36-Month Forecast'!N255/'36-Month Forecast'!N250)</f>
        <v/>
      </c>
      <c r="D33" s="16">
        <f>IF('36-Month Forecast'!N384=0,0,'36-Month Forecast'!N389/'36-Month Forecast'!N384)</f>
        <v/>
      </c>
      <c r="E33" s="9" t="inlineStr"/>
    </row>
    <row r="34">
      <c r="A34" s="7" t="inlineStr">
        <is>
          <t>Month 12: orders needed to cover fixed costs</t>
        </is>
      </c>
      <c r="B34" s="58">
        <f>IF(B33&lt;=0,"-",B32/B33)</f>
        <v/>
      </c>
      <c r="C34" s="58">
        <f>IF(C33&lt;=0,"-",C32/C33)</f>
        <v/>
      </c>
      <c r="D34" s="58">
        <f>IF(D33&lt;=0,"-",D32/D33)</f>
        <v/>
      </c>
      <c r="E34" s="9" t="inlineStr"/>
    </row>
    <row r="35">
      <c r="A35" s="7" t="inlineStr">
        <is>
          <t>Month 12: orders the scenario forecasts</t>
        </is>
      </c>
      <c r="B35" s="15">
        <f>'36-Month Forecast'!N116</f>
        <v/>
      </c>
      <c r="C35" s="15">
        <f>'36-Month Forecast'!N250</f>
        <v/>
      </c>
      <c r="D35" s="15">
        <f>'36-Month Forecast'!N384</f>
        <v/>
      </c>
      <c r="E35" s="9" t="inlineStr"/>
    </row>
    <row r="36">
      <c r="A36" s="7" t="inlineStr">
        <is>
          <t>Month 24: fixed costs</t>
        </is>
      </c>
      <c r="B36" s="8">
        <f>'36-Month Forecast'!Z124+'36-Month Forecast'!Z125+'36-Month Forecast'!Z123</f>
        <v/>
      </c>
      <c r="C36" s="8">
        <f>'36-Month Forecast'!Z258+'36-Month Forecast'!Z259+'36-Month Forecast'!Z257</f>
        <v/>
      </c>
      <c r="D36" s="8">
        <f>'36-Month Forecast'!Z392+'36-Month Forecast'!Z393+'36-Month Forecast'!Z391</f>
        <v/>
      </c>
      <c r="E36" s="9" t="inlineStr"/>
    </row>
    <row r="37">
      <c r="A37" s="7" t="inlineStr">
        <is>
          <t>Month 24: net contribution per order</t>
        </is>
      </c>
      <c r="B37" s="16">
        <f>IF('36-Month Forecast'!Z116=0,0,'36-Month Forecast'!Z121/'36-Month Forecast'!Z116)</f>
        <v/>
      </c>
      <c r="C37" s="16">
        <f>IF('36-Month Forecast'!Z250=0,0,'36-Month Forecast'!Z255/'36-Month Forecast'!Z250)</f>
        <v/>
      </c>
      <c r="D37" s="16">
        <f>IF('36-Month Forecast'!Z384=0,0,'36-Month Forecast'!Z389/'36-Month Forecast'!Z384)</f>
        <v/>
      </c>
      <c r="E37" s="9" t="inlineStr"/>
    </row>
    <row r="38">
      <c r="A38" s="7" t="inlineStr">
        <is>
          <t>Month 24: orders needed to cover fixed costs</t>
        </is>
      </c>
      <c r="B38" s="58">
        <f>IF(B37&lt;=0,"-",B36/B37)</f>
        <v/>
      </c>
      <c r="C38" s="58">
        <f>IF(C37&lt;=0,"-",C36/C37)</f>
        <v/>
      </c>
      <c r="D38" s="58">
        <f>IF(D37&lt;=0,"-",D36/D37)</f>
        <v/>
      </c>
      <c r="E38" s="9" t="inlineStr"/>
    </row>
    <row r="39">
      <c r="A39" s="7" t="inlineStr">
        <is>
          <t>Month 24: orders the scenario forecasts</t>
        </is>
      </c>
      <c r="B39" s="15">
        <f>'36-Month Forecast'!Z116</f>
        <v/>
      </c>
      <c r="C39" s="15">
        <f>'36-Month Forecast'!Z250</f>
        <v/>
      </c>
      <c r="D39" s="15">
        <f>'36-Month Forecast'!Z384</f>
        <v/>
      </c>
      <c r="E39" s="9" t="inlineStr"/>
    </row>
    <row r="40">
      <c r="A40" s="7" t="inlineStr">
        <is>
          <t>Month 36: fixed costs</t>
        </is>
      </c>
      <c r="B40" s="8">
        <f>'36-Month Forecast'!AL124+'36-Month Forecast'!AL125+'36-Month Forecast'!AL123</f>
        <v/>
      </c>
      <c r="C40" s="8">
        <f>'36-Month Forecast'!AL258+'36-Month Forecast'!AL259+'36-Month Forecast'!AL257</f>
        <v/>
      </c>
      <c r="D40" s="8">
        <f>'36-Month Forecast'!AL392+'36-Month Forecast'!AL393+'36-Month Forecast'!AL391</f>
        <v/>
      </c>
      <c r="E40" s="9" t="inlineStr"/>
    </row>
    <row r="41">
      <c r="A41" s="7" t="inlineStr">
        <is>
          <t>Month 36: net contribution per order</t>
        </is>
      </c>
      <c r="B41" s="16">
        <f>IF('36-Month Forecast'!AL116=0,0,'36-Month Forecast'!AL121/'36-Month Forecast'!AL116)</f>
        <v/>
      </c>
      <c r="C41" s="16">
        <f>IF('36-Month Forecast'!AL250=0,0,'36-Month Forecast'!AL255/'36-Month Forecast'!AL250)</f>
        <v/>
      </c>
      <c r="D41" s="16">
        <f>IF('36-Month Forecast'!AL384=0,0,'36-Month Forecast'!AL389/'36-Month Forecast'!AL384)</f>
        <v/>
      </c>
      <c r="E41" s="9" t="inlineStr"/>
    </row>
    <row r="42">
      <c r="A42" s="7" t="inlineStr">
        <is>
          <t>Month 36: orders needed to cover fixed costs</t>
        </is>
      </c>
      <c r="B42" s="58">
        <f>IF(B41&lt;=0,"-",B40/B41)</f>
        <v/>
      </c>
      <c r="C42" s="58">
        <f>IF(C41&lt;=0,"-",C40/C41)</f>
        <v/>
      </c>
      <c r="D42" s="58">
        <f>IF(D41&lt;=0,"-",D40/D41)</f>
        <v/>
      </c>
      <c r="E42" s="9" t="inlineStr"/>
    </row>
    <row r="43">
      <c r="A43" s="7" t="inlineStr">
        <is>
          <t>Month 36: orders the scenario forecasts</t>
        </is>
      </c>
      <c r="B43" s="15">
        <f>'36-Month Forecast'!AL116</f>
        <v/>
      </c>
      <c r="C43" s="15">
        <f>'36-Month Forecast'!AL250</f>
        <v/>
      </c>
      <c r="D43" s="15">
        <f>'36-Month Forecast'!AL384</f>
        <v/>
      </c>
      <c r="E43" s="9" t="inlineStr"/>
    </row>
    <row r="45">
      <c r="A45" s="5" t="inlineStr">
        <is>
          <t>Single-product view: units per month of ONE product that would cover the Expected month-12 fixed costs</t>
        </is>
      </c>
      <c r="B45" s="6" t="n"/>
      <c r="C45" s="6" t="n"/>
      <c r="D45" s="6" t="n"/>
      <c r="E45" s="6" t="n"/>
    </row>
    <row r="46">
      <c r="A46" s="3" t="inlineStr">
        <is>
          <t>Product and channel</t>
        </is>
      </c>
      <c r="B46" s="4" t="inlineStr">
        <is>
          <t>Net per unit ($)</t>
        </is>
      </c>
      <c r="C46" s="4" t="inlineStr">
        <is>
          <t>Units per month needed</t>
        </is>
      </c>
      <c r="D46" s="4" t="inlineStr">
        <is>
          <t>Units per day</t>
        </is>
      </c>
      <c r="E46" s="4" t="inlineStr">
        <is>
          <t>Source row</t>
        </is>
      </c>
    </row>
    <row r="47">
      <c r="A47" s="66">
        <f>'Unit Economics'!B15&amp;" - "&amp;'Unit Economics'!C15</f>
        <v/>
      </c>
      <c r="B47" s="16">
        <f>'Unit Economics'!M15</f>
        <v/>
      </c>
      <c r="C47" s="58">
        <f>IF(B47&lt;=0,"-",$C$32/B47)</f>
        <v/>
      </c>
      <c r="D47" s="56">
        <f>IF(B47&lt;=0,"-",C47/30)</f>
        <v/>
      </c>
      <c r="E47" s="9" t="inlineStr">
        <is>
          <t>Unit Economics row 15</t>
        </is>
      </c>
    </row>
    <row r="48">
      <c r="A48" s="66">
        <f>'Unit Economics'!B16&amp;" - "&amp;'Unit Economics'!C16</f>
        <v/>
      </c>
      <c r="B48" s="16">
        <f>'Unit Economics'!M16</f>
        <v/>
      </c>
      <c r="C48" s="58">
        <f>IF(B48&lt;=0,"-",$C$32/B48)</f>
        <v/>
      </c>
      <c r="D48" s="56">
        <f>IF(B48&lt;=0,"-",C48/30)</f>
        <v/>
      </c>
      <c r="E48" s="9" t="inlineStr">
        <is>
          <t>Unit Economics row 16</t>
        </is>
      </c>
    </row>
    <row r="49">
      <c r="A49" s="66">
        <f>'Unit Economics'!B17&amp;" - "&amp;'Unit Economics'!C17</f>
        <v/>
      </c>
      <c r="B49" s="16">
        <f>'Unit Economics'!M17</f>
        <v/>
      </c>
      <c r="C49" s="58">
        <f>IF(B49&lt;=0,"-",$C$32/B49)</f>
        <v/>
      </c>
      <c r="D49" s="56">
        <f>IF(B49&lt;=0,"-",C49/30)</f>
        <v/>
      </c>
      <c r="E49" s="9" t="inlineStr">
        <is>
          <t>Unit Economics row 17</t>
        </is>
      </c>
    </row>
    <row r="50">
      <c r="A50" s="66">
        <f>'Unit Economics'!B18&amp;" - "&amp;'Unit Economics'!C18</f>
        <v/>
      </c>
      <c r="B50" s="16">
        <f>'Unit Economics'!M18</f>
        <v/>
      </c>
      <c r="C50" s="58">
        <f>IF(B50&lt;=0,"-",$C$32/B50)</f>
        <v/>
      </c>
      <c r="D50" s="56">
        <f>IF(B50&lt;=0,"-",C50/30)</f>
        <v/>
      </c>
      <c r="E50" s="9" t="inlineStr">
        <is>
          <t>Unit Economics row 18</t>
        </is>
      </c>
    </row>
    <row r="51">
      <c r="A51" s="66">
        <f>'Unit Economics'!B8&amp;" - "&amp;'Unit Economics'!C8</f>
        <v/>
      </c>
      <c r="B51" s="16">
        <f>'Unit Economics'!M8</f>
        <v/>
      </c>
      <c r="C51" s="58">
        <f>IF(B51&lt;=0,"-",$C$32/B51)</f>
        <v/>
      </c>
      <c r="D51" s="56">
        <f>IF(B51&lt;=0,"-",C51/30)</f>
        <v/>
      </c>
      <c r="E51" s="9" t="inlineStr">
        <is>
          <t>Unit Economics row 8</t>
        </is>
      </c>
    </row>
    <row r="52">
      <c r="A52" s="66">
        <f>'Unit Economics'!B28&amp;" - "&amp;'Unit Economics'!C28</f>
        <v/>
      </c>
      <c r="B52" s="16">
        <f>'Unit Economics'!M28</f>
        <v/>
      </c>
      <c r="C52" s="58">
        <f>IF(B52&lt;=0,"-",$C$32/B52)</f>
        <v/>
      </c>
      <c r="D52" s="56">
        <f>IF(B52&lt;=0,"-",C52/30)</f>
        <v/>
      </c>
      <c r="E52" s="9" t="inlineStr">
        <is>
          <t>Unit Economics row 28</t>
        </is>
      </c>
    </row>
    <row r="53">
      <c r="A53" s="66">
        <f>'Unit Economics'!B34&amp;" - "&amp;'Unit Economics'!C34</f>
        <v/>
      </c>
      <c r="B53" s="16">
        <f>'Unit Economics'!M34</f>
        <v/>
      </c>
      <c r="C53" s="58">
        <f>IF(B53&lt;=0,"-",$C$32/B53)</f>
        <v/>
      </c>
      <c r="D53" s="56">
        <f>IF(B53&lt;=0,"-",C53/30)</f>
        <v/>
      </c>
      <c r="E53" s="9" t="inlineStr">
        <is>
          <t>Unit Economics row 34</t>
        </is>
      </c>
    </row>
    <row r="54">
      <c r="A54" s="66">
        <f>'Unit Economics'!B36&amp;" - "&amp;'Unit Economics'!C36</f>
        <v/>
      </c>
      <c r="B54" s="16">
        <f>'Unit Economics'!M36</f>
        <v/>
      </c>
      <c r="C54" s="58">
        <f>IF(B54&lt;=0,"-",$C$32/B54)</f>
        <v/>
      </c>
      <c r="D54" s="56">
        <f>IF(B54&lt;=0,"-",C54/30)</f>
        <v/>
      </c>
      <c r="E54" s="9" t="inlineStr">
        <is>
          <t>Unit Economics row 36</t>
        </is>
      </c>
    </row>
    <row r="56">
      <c r="A56" s="5" t="inlineStr">
        <is>
          <t>Retail wave self-funding check (Faire and Walmart Marketplace; Target Plus is weight 0 until invited)</t>
        </is>
      </c>
      <c r="B56" s="6" t="n"/>
      <c r="C56" s="6" t="n"/>
      <c r="D56" s="6" t="n"/>
      <c r="E56" s="6" t="n"/>
    </row>
    <row r="57">
      <c r="A57" s="7" t="inlineStr">
        <is>
          <t>Retail monthly fixed costs once live (Retail Readiness Costs, section C)</t>
        </is>
      </c>
      <c r="B57" s="8">
        <f>'Retail Readiness Costs'!$H$36</f>
        <v/>
      </c>
    </row>
    <row r="58">
      <c r="A58" s="7" t="inlineStr">
        <is>
          <t>Blended net per retail unit (Unit Economics channel blend)</t>
        </is>
      </c>
      <c r="B58" s="16">
        <f>'Unit Economics'!$F$57</f>
        <v/>
      </c>
    </row>
    <row r="59">
      <c r="A59" s="7" t="inlineStr">
        <is>
          <t>Retail units per month needed to cover retail fixed costs</t>
        </is>
      </c>
      <c r="B59" s="58">
        <f>IF(B58&lt;=0,"-",B57/B58)</f>
        <v/>
      </c>
    </row>
    <row r="60">
      <c r="A60" s="7" t="inlineStr">
        <is>
          <t>One-time readiness cost (section B)</t>
        </is>
      </c>
      <c r="B60" s="8">
        <f>'Retail Readiness Costs'!$H$30</f>
        <v/>
      </c>
    </row>
    <row r="61">
      <c r="A61" s="7" t="inlineStr">
        <is>
          <t>Extra retail units to repay the one-time readiness cost</t>
        </is>
      </c>
      <c r="B61" s="58">
        <f>IF(B58&lt;=0,"-",B60/B58)</f>
        <v/>
      </c>
    </row>
    <row r="62">
      <c r="A62" s="66">
        <f>"Net per unit: "&amp;'Unit Economics'!C43</f>
        <v/>
      </c>
      <c r="B62" s="16">
        <f>'Unit Economics'!M43</f>
        <v/>
      </c>
    </row>
    <row r="63">
      <c r="A63" s="66">
        <f>"Net per unit: "&amp;'Unit Economics'!C44</f>
        <v/>
      </c>
      <c r="B63" s="16">
        <f>'Unit Economics'!M44</f>
        <v/>
      </c>
    </row>
    <row r="64">
      <c r="A64" s="66">
        <f>"Net per unit: "&amp;'Unit Economics'!C45</f>
        <v/>
      </c>
      <c r="B64" s="16">
        <f>'Unit Economics'!M45</f>
        <v/>
      </c>
    </row>
    <row r="65">
      <c r="A65" s="9" t="inlineStr">
        <is>
          <t>Wholesale at half of a $12.99 retail price loses money at a 1,000-copy landed cost. Retail needs several physical SKUs, a larger run and a lower landed cost before it can pay its own way.</t>
        </is>
      </c>
    </row>
  </sheetData>
  <mergeCells count="1">
    <mergeCell ref="A2:E3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8A94A8"/>
    <outlinePr summaryBelow="1" summaryRight="1"/>
    <pageSetUpPr fitToPage="1"/>
  </sheetPr>
  <dimension ref="A1:K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8" customWidth="1" min="2" max="2"/>
    <col width="10" customWidth="1" min="3" max="3"/>
    <col width="10" customWidth="1" min="4" max="4"/>
    <col width="12" customWidth="1" min="5" max="5"/>
    <col width="10" customWidth="1" min="6" max="6"/>
    <col width="6" customWidth="1" min="7" max="7"/>
    <col width="12" customWidth="1" min="8" max="8"/>
    <col width="22" customWidth="1" min="9" max="9"/>
    <col width="70" customWidth="1" min="10" max="10"/>
    <col width="14" customWidth="1" min="11" max="11"/>
  </cols>
  <sheetData>
    <row r="1">
      <c r="A1" s="20" t="inlineStr">
        <is>
          <t>Retail readiness costs: Wave 3 board-book launch and big-box readiness (all [VERIFY])</t>
        </is>
      </c>
    </row>
    <row r="2" ht="28" customHeight="1">
      <c r="A2" s="2" t="inlineStr">
        <is>
          <t>Almost nothing here has a live quote yet. Get 2-3 written quotes for each line before any commitment (BLIND-SPOTS #11). Section A hits in the board-book print month; Section B hits 'lead time' months before retail launch; Section C runs monthly while retail is live.</t>
        </is>
      </c>
    </row>
    <row r="3"/>
    <row r="5" ht="32" customHeight="1">
      <c r="A5" s="3" t="inlineStr">
        <is>
          <t>Item</t>
        </is>
      </c>
      <c r="B5" s="4" t="inlineStr">
        <is>
          <t>Section</t>
        </is>
      </c>
      <c r="C5" s="4" t="inlineStr">
        <is>
          <t>Low ($)</t>
        </is>
      </c>
      <c r="D5" s="4" t="inlineStr">
        <is>
          <t>High ($)</t>
        </is>
      </c>
      <c r="E5" s="4" t="inlineStr">
        <is>
          <t>Model ($ per unit of qty)</t>
        </is>
      </c>
      <c r="F5" s="4" t="inlineStr">
        <is>
          <t>Basis</t>
        </is>
      </c>
      <c r="G5" s="4" t="inlineStr">
        <is>
          <t>Qty</t>
        </is>
      </c>
      <c r="H5" s="4" t="inlineStr">
        <is>
          <t>Model total ($)</t>
        </is>
      </c>
      <c r="I5" s="4" t="inlineStr">
        <is>
          <t>Timing</t>
        </is>
      </c>
      <c r="J5" s="4" t="inlineStr">
        <is>
          <t>Source</t>
        </is>
      </c>
      <c r="K5" s="4" t="inlineStr">
        <is>
          <t>Status</t>
        </is>
      </c>
    </row>
    <row r="6">
      <c r="A6" s="5" t="inlineStr">
        <is>
          <t>A0. Before a board-book pre-sale (spent whether or not the pre-sale reaches the go line)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</row>
    <row r="7">
      <c r="A7" s="7" t="inlineStr">
        <is>
          <t>Human illustrator for the board book</t>
        </is>
      </c>
      <c r="B7" s="7" t="inlineStr">
        <is>
          <t>A0</t>
        </is>
      </c>
      <c r="C7" s="27" t="n">
        <v>1500</v>
      </c>
      <c r="D7" s="27" t="n">
        <v>5000</v>
      </c>
      <c r="E7" s="8">
        <f>C7+'Assumptions'!$C$10*(D7-C7)</f>
        <v/>
      </c>
      <c r="F7" s="7" t="inlineStr">
        <is>
          <t>per book</t>
        </is>
      </c>
      <c r="G7" s="25" t="n">
        <v>1</v>
      </c>
      <c r="H7" s="19">
        <f>E7*G7</f>
        <v/>
      </c>
      <c r="I7" s="7" t="inlineStr">
        <is>
          <t>Month before the pre-sale</t>
        </is>
      </c>
      <c r="J7" s="7" t="inlineStr">
        <is>
          <t>BLIND-SPOTS #17.</t>
        </is>
      </c>
      <c r="K7" s="7" t="inlineStr">
        <is>
          <t>Repo</t>
        </is>
      </c>
    </row>
    <row r="8">
      <c r="A8" s="7" t="inlineStr">
        <is>
          <t>Product-safety attorney: CPSIA status, who certifies (PROTECTION-PLAN q.9)</t>
        </is>
      </c>
      <c r="B8" s="7" t="inlineStr">
        <is>
          <t>A0</t>
        </is>
      </c>
      <c r="C8" s="27" t="n">
        <v>300</v>
      </c>
      <c r="D8" s="27" t="n">
        <v>1500</v>
      </c>
      <c r="E8" s="8">
        <f>C8+'Assumptions'!$C$10*(D8-C8)</f>
        <v/>
      </c>
      <c r="F8" s="7" t="inlineStr">
        <is>
          <t>one-time</t>
        </is>
      </c>
      <c r="G8" s="25" t="n">
        <v>1</v>
      </c>
      <c r="H8" s="19">
        <f>E8*G8</f>
        <v/>
      </c>
      <c r="I8" s="7" t="inlineStr">
        <is>
          <t>Month before the pre-sale</t>
        </is>
      </c>
      <c r="J8" s="7" t="inlineStr">
        <is>
          <t>DECISION-MEMO: $300-$1,500 plus testing (unverified).</t>
        </is>
      </c>
      <c r="K8" s="7" t="inlineStr">
        <is>
          <t>Repo [VERIFY]</t>
        </is>
      </c>
    </row>
    <row r="9">
      <c r="A9" s="7" t="inlineStr">
        <is>
          <t>Attorney check of pre-sale terms (FTC mail-order rule)</t>
        </is>
      </c>
      <c r="B9" s="7" t="inlineStr">
        <is>
          <t>A0</t>
        </is>
      </c>
      <c r="C9" s="27" t="n">
        <v>300</v>
      </c>
      <c r="D9" s="27" t="n">
        <v>700</v>
      </c>
      <c r="E9" s="8">
        <f>C9+'Assumptions'!$C$10*(D9-C9)</f>
        <v/>
      </c>
      <c r="F9" s="7" t="inlineStr">
        <is>
          <t>one-time</t>
        </is>
      </c>
      <c r="G9" s="25" t="n">
        <v>1</v>
      </c>
      <c r="H9" s="19">
        <f>E9*G9</f>
        <v/>
      </c>
      <c r="I9" s="7" t="inlineStr">
        <is>
          <t>Month before the pre-sale</t>
        </is>
      </c>
      <c r="J9" s="7" t="inlineStr">
        <is>
          <t>BLIND-SPOTS #16-#17: lawyer check $300-$700.</t>
        </is>
      </c>
      <c r="K9" s="7" t="inlineStr">
        <is>
          <t>Repo [VERIFY]</t>
        </is>
      </c>
    </row>
    <row r="10">
      <c r="A10" s="7" t="inlineStr">
        <is>
          <t>Pre-order app for Shopify (3 months)</t>
        </is>
      </c>
      <c r="B10" s="7" t="inlineStr">
        <is>
          <t>A0</t>
        </is>
      </c>
      <c r="C10" s="27" t="n">
        <v>0</v>
      </c>
      <c r="D10" s="27" t="n">
        <v>60</v>
      </c>
      <c r="E10" s="8">
        <f>C10+'Assumptions'!$C$10*(D10-C10)</f>
        <v/>
      </c>
      <c r="F10" s="7" t="inlineStr">
        <is>
          <t>one-time</t>
        </is>
      </c>
      <c r="G10" s="25" t="n">
        <v>1</v>
      </c>
      <c r="H10" s="19">
        <f>E10*G10</f>
        <v/>
      </c>
      <c r="I10" s="7" t="inlineStr">
        <is>
          <t>Month before the pre-sale</t>
        </is>
      </c>
      <c r="J10" s="7" t="inlineStr">
        <is>
          <t>Not in the repo.</t>
        </is>
      </c>
      <c r="K10" s="7" t="inlineStr">
        <is>
          <t>Assumption [VERIFY]</t>
        </is>
      </c>
    </row>
    <row r="11">
      <c r="A11" s="35" t="inlineStr">
        <is>
          <t>Total, section A0</t>
        </is>
      </c>
      <c r="B11" s="34" t="n"/>
      <c r="C11" s="34" t="n"/>
      <c r="D11" s="34" t="n"/>
      <c r="E11" s="34" t="n"/>
      <c r="F11" s="34" t="n"/>
      <c r="G11" s="34" t="n"/>
      <c r="H11" s="49">
        <f>SUM(H7:H10)</f>
        <v/>
      </c>
      <c r="I11" s="34" t="n"/>
      <c r="J11" s="34" t="n"/>
      <c r="K11" s="34" t="n"/>
    </row>
    <row r="13">
      <c r="A13" s="5" t="inlineStr">
        <is>
          <t>A. Board-book print month (spent only if the pre-sale reaches the go line)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</row>
    <row r="14">
      <c r="A14" s="7" t="inlineStr">
        <is>
          <t>CPSIA third-party lab testing, board book for ages 0-3</t>
        </is>
      </c>
      <c r="B14" s="7" t="inlineStr">
        <is>
          <t>A</t>
        </is>
      </c>
      <c r="C14" s="27" t="n">
        <v>300</v>
      </c>
      <c r="D14" s="27" t="n">
        <v>1000</v>
      </c>
      <c r="E14" s="8">
        <f>C14+'Assumptions'!$C$10*(D14-C14)</f>
        <v/>
      </c>
      <c r="F14" s="7" t="inlineStr">
        <is>
          <t>per SKU</t>
        </is>
      </c>
      <c r="G14" s="25" t="n">
        <v>1</v>
      </c>
      <c r="H14" s="19">
        <f>E14*G14</f>
        <v/>
      </c>
      <c r="I14" s="7" t="inlineStr">
        <is>
          <t>Print month</t>
        </is>
      </c>
      <c r="J14" s="7" t="inlineStr">
        <is>
          <t>PROTECTION-PLAN #9: 'a few hundred dollars per product'; books for 3 and under are not exempt.</t>
        </is>
      </c>
      <c r="K14" s="7" t="inlineStr">
        <is>
          <t>Repo [VERIFY]</t>
        </is>
      </c>
    </row>
    <row r="15">
      <c r="A15" s="7" t="inlineStr">
        <is>
          <t>Children's Product Certificate (prepared in-house)</t>
        </is>
      </c>
      <c r="B15" s="7" t="inlineStr">
        <is>
          <t>A</t>
        </is>
      </c>
      <c r="C15" s="27" t="n">
        <v>0</v>
      </c>
      <c r="D15" s="27" t="n">
        <v>0</v>
      </c>
      <c r="E15" s="8">
        <f>C15+'Assumptions'!$C$10*(D15-C15)</f>
        <v/>
      </c>
      <c r="F15" s="7" t="inlineStr">
        <is>
          <t>per SKU</t>
        </is>
      </c>
      <c r="G15" s="25" t="n">
        <v>1</v>
      </c>
      <c r="H15" s="19">
        <f>E15*G15</f>
        <v/>
      </c>
      <c r="I15" s="7" t="inlineStr">
        <is>
          <t>Print month</t>
        </is>
      </c>
      <c r="J15" s="7" t="inlineStr">
        <is>
          <t>PROTECTION-PLAN: CPC $0 to prepare.</t>
        </is>
      </c>
      <c r="K15" s="7" t="inlineStr">
        <is>
          <t>Repo</t>
        </is>
      </c>
    </row>
    <row r="16">
      <c r="A16" s="7" t="inlineStr">
        <is>
          <t>Tracking labels and printer file changes</t>
        </is>
      </c>
      <c r="B16" s="7" t="inlineStr">
        <is>
          <t>A</t>
        </is>
      </c>
      <c r="C16" s="27" t="n">
        <v>0</v>
      </c>
      <c r="D16" s="27" t="n">
        <v>200</v>
      </c>
      <c r="E16" s="8">
        <f>C16+'Assumptions'!$C$10*(D16-C16)</f>
        <v/>
      </c>
      <c r="F16" s="7" t="inlineStr">
        <is>
          <t>one-time</t>
        </is>
      </c>
      <c r="G16" s="25" t="n">
        <v>1</v>
      </c>
      <c r="H16" s="19">
        <f>E16*G16</f>
        <v/>
      </c>
      <c r="I16" s="7" t="inlineStr">
        <is>
          <t>Print month</t>
        </is>
      </c>
      <c r="J16" s="7" t="inlineStr">
        <is>
          <t>Not in the repo.</t>
        </is>
      </c>
      <c r="K16" s="7" t="inlineStr">
        <is>
          <t>[VERIFY]</t>
        </is>
      </c>
    </row>
    <row r="17">
      <c r="A17" s="7" t="inlineStr">
        <is>
          <t>Board-book printer hard proof and quote samples</t>
        </is>
      </c>
      <c r="B17" s="7" t="inlineStr">
        <is>
          <t>A</t>
        </is>
      </c>
      <c r="C17" s="27" t="n">
        <v>100</v>
      </c>
      <c r="D17" s="27" t="n">
        <v>400</v>
      </c>
      <c r="E17" s="8">
        <f>C17+'Assumptions'!$C$10*(D17-C17)</f>
        <v/>
      </c>
      <c r="F17" s="7" t="inlineStr">
        <is>
          <t>one-time</t>
        </is>
      </c>
      <c r="G17" s="25" t="n">
        <v>1</v>
      </c>
      <c r="H17" s="19">
        <f>E17*G17</f>
        <v/>
      </c>
      <c r="I17" s="7" t="inlineStr">
        <is>
          <t>Print month</t>
        </is>
      </c>
      <c r="J17" s="7" t="inlineStr">
        <is>
          <t>Not in the repo; BLIND-SPOTS #11 asks for 2-3 full quotes.</t>
        </is>
      </c>
      <c r="K17" s="7" t="inlineStr">
        <is>
          <t>[VERIFY]</t>
        </is>
      </c>
    </row>
    <row r="18">
      <c r="A18" s="7" t="inlineStr">
        <is>
          <t>3PL onboarding / setup</t>
        </is>
      </c>
      <c r="B18" s="7" t="inlineStr">
        <is>
          <t>A</t>
        </is>
      </c>
      <c r="C18" s="27" t="n">
        <v>0</v>
      </c>
      <c r="D18" s="27" t="n">
        <v>500</v>
      </c>
      <c r="E18" s="8">
        <f>C18+'Assumptions'!$C$10*(D18-C18)</f>
        <v/>
      </c>
      <c r="F18" s="7" t="inlineStr">
        <is>
          <t>one-time</t>
        </is>
      </c>
      <c r="G18" s="25" t="n">
        <v>1</v>
      </c>
      <c r="H18" s="19">
        <f>E18*G18</f>
        <v/>
      </c>
      <c r="I18" s="7" t="inlineStr">
        <is>
          <t>Print month</t>
        </is>
      </c>
      <c r="J18" s="7" t="inlineStr">
        <is>
          <t>Not in the repo.</t>
        </is>
      </c>
      <c r="K18" s="7" t="inlineStr">
        <is>
          <t>[VERIFY]</t>
        </is>
      </c>
    </row>
    <row r="19">
      <c r="A19" s="7" t="inlineStr">
        <is>
          <t>Amazon FBA inbound prep and labels</t>
        </is>
      </c>
      <c r="B19" s="7" t="inlineStr">
        <is>
          <t>A</t>
        </is>
      </c>
      <c r="C19" s="27" t="n">
        <v>50</v>
      </c>
      <c r="D19" s="27" t="n">
        <v>200</v>
      </c>
      <c r="E19" s="8">
        <f>C19+'Assumptions'!$C$10*(D19-C19)</f>
        <v/>
      </c>
      <c r="F19" s="7" t="inlineStr">
        <is>
          <t>one-time</t>
        </is>
      </c>
      <c r="G19" s="25" t="n">
        <v>1</v>
      </c>
      <c r="H19" s="19">
        <f>E19*G19</f>
        <v/>
      </c>
      <c r="I19" s="7" t="inlineStr">
        <is>
          <t>Print month</t>
        </is>
      </c>
      <c r="J19" s="7" t="inlineStr">
        <is>
          <t>Not in the repo.</t>
        </is>
      </c>
      <c r="K19" s="7" t="inlineStr">
        <is>
          <t>[VERIFY]</t>
        </is>
      </c>
    </row>
    <row r="20">
      <c r="A20" s="35" t="inlineStr">
        <is>
          <t>Total, section A</t>
        </is>
      </c>
      <c r="B20" s="34" t="n"/>
      <c r="C20" s="34" t="n"/>
      <c r="D20" s="34" t="n"/>
      <c r="E20" s="34" t="n"/>
      <c r="F20" s="34" t="n"/>
      <c r="G20" s="34" t="n"/>
      <c r="H20" s="49">
        <f>SUM(H14:H19)</f>
        <v/>
      </c>
      <c r="I20" s="34" t="n"/>
      <c r="J20" s="34" t="n"/>
      <c r="K20" s="34" t="n"/>
    </row>
    <row r="22">
      <c r="A22" s="5" t="inlineStr">
        <is>
          <t>B. Big-box and wholesale readiness (one-time, before retail launch)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inlineStr">
        <is>
          <t>GS1 US company prefix for non-book SKUs (card deck, boxed sets); books use ISBN barcodes</t>
        </is>
      </c>
      <c r="B23" s="7" t="inlineStr">
        <is>
          <t>B</t>
        </is>
      </c>
      <c r="C23" s="27" t="n">
        <v>250</v>
      </c>
      <c r="D23" s="27" t="n">
        <v>750</v>
      </c>
      <c r="E23" s="8">
        <f>C23+'Assumptions'!$C$10*(D23-C23)</f>
        <v/>
      </c>
      <c r="F23" s="7" t="inlineStr">
        <is>
          <t>one-time</t>
        </is>
      </c>
      <c r="G23" s="25" t="n">
        <v>1</v>
      </c>
      <c r="H23" s="19">
        <f>E23*G23</f>
        <v/>
      </c>
      <c r="I23" s="7" t="inlineStr">
        <is>
          <t>Retail launch - lead</t>
        </is>
      </c>
      <c r="J23" s="7" t="inlineStr">
        <is>
          <t>AMAZON-AND-RETAIL-ROADMAP B5 requires GS1 barcodes; fee not in the repo.</t>
        </is>
      </c>
      <c r="K23" s="7" t="inlineStr">
        <is>
          <t>[VERIFY]</t>
        </is>
      </c>
    </row>
    <row r="24">
      <c r="A24" s="7" t="inlineStr">
        <is>
          <t>CPSIA testing for more children's SKUs (card deck, 3-pack box)</t>
        </is>
      </c>
      <c r="B24" s="7" t="inlineStr">
        <is>
          <t>B</t>
        </is>
      </c>
      <c r="C24" s="27" t="n">
        <v>300</v>
      </c>
      <c r="D24" s="27" t="n">
        <v>1000</v>
      </c>
      <c r="E24" s="8">
        <f>C24+'Assumptions'!$C$10*(D24-C24)</f>
        <v/>
      </c>
      <c r="F24" s="7" t="inlineStr">
        <is>
          <t>per SKU</t>
        </is>
      </c>
      <c r="G24" s="25" t="n">
        <v>2</v>
      </c>
      <c r="H24" s="19">
        <f>E24*G24</f>
        <v/>
      </c>
      <c r="I24" s="7" t="inlineStr">
        <is>
          <t>Retail launch - lead</t>
        </is>
      </c>
      <c r="J24" s="7" t="inlineStr">
        <is>
          <t>PROTECTION-PLAN; ROADMAP B5.</t>
        </is>
      </c>
      <c r="K24" s="7" t="inlineStr">
        <is>
          <t>Repo [VERIFY]</t>
        </is>
      </c>
    </row>
    <row r="25">
      <c r="A25" s="7" t="inlineStr">
        <is>
          <t>Retail-ready packaging design and dielines</t>
        </is>
      </c>
      <c r="B25" s="7" t="inlineStr">
        <is>
          <t>B</t>
        </is>
      </c>
      <c r="C25" s="27" t="n">
        <v>500</v>
      </c>
      <c r="D25" s="27" t="n">
        <v>2000</v>
      </c>
      <c r="E25" s="8">
        <f>C25+'Assumptions'!$C$10*(D25-C25)</f>
        <v/>
      </c>
      <c r="F25" s="7" t="inlineStr">
        <is>
          <t>one-time</t>
        </is>
      </c>
      <c r="G25" s="25" t="n">
        <v>1</v>
      </c>
      <c r="H25" s="19">
        <f>E25*G25</f>
        <v/>
      </c>
      <c r="I25" s="7" t="inlineStr">
        <is>
          <t>Retail launch - lead</t>
        </is>
      </c>
      <c r="J25" s="7" t="inlineStr">
        <is>
          <t>ROADMAP B5 'retail-ready packaging'; no figure in the repo.</t>
        </is>
      </c>
      <c r="K25" s="7" t="inlineStr">
        <is>
          <t>[VERIFY]</t>
        </is>
      </c>
    </row>
    <row r="26">
      <c r="A26" s="7" t="inlineStr">
        <is>
          <t>Attorney review of retailer / distributor vendor agreement</t>
        </is>
      </c>
      <c r="B26" s="7" t="inlineStr">
        <is>
          <t>B</t>
        </is>
      </c>
      <c r="C26" s="27" t="n">
        <v>500</v>
      </c>
      <c r="D26" s="27" t="n">
        <v>2500</v>
      </c>
      <c r="E26" s="8">
        <f>C26+'Assumptions'!$C$10*(D26-C26)</f>
        <v/>
      </c>
      <c r="F26" s="7" t="inlineStr">
        <is>
          <t>one-time</t>
        </is>
      </c>
      <c r="G26" s="25" t="n">
        <v>1</v>
      </c>
      <c r="H26" s="19">
        <f>E26*G26</f>
        <v/>
      </c>
      <c r="I26" s="7" t="inlineStr">
        <is>
          <t>Retail launch - lead</t>
        </is>
      </c>
      <c r="J26" s="7" t="inlineStr">
        <is>
          <t>Repo attorney range $300-$2,500 per document (PROTECTION-PLAN).</t>
        </is>
      </c>
      <c r="K26" s="7" t="inlineStr">
        <is>
          <t>Repo [VERIFY]</t>
        </is>
      </c>
    </row>
    <row r="27">
      <c r="A27" s="7" t="inlineStr">
        <is>
          <t>Buyer sell sheet, line list and sample kits</t>
        </is>
      </c>
      <c r="B27" s="7" t="inlineStr">
        <is>
          <t>B</t>
        </is>
      </c>
      <c r="C27" s="27" t="n">
        <v>200</v>
      </c>
      <c r="D27" s="27" t="n">
        <v>600</v>
      </c>
      <c r="E27" s="8">
        <f>C27+'Assumptions'!$C$10*(D27-C27)</f>
        <v/>
      </c>
      <c r="F27" s="7" t="inlineStr">
        <is>
          <t>one-time</t>
        </is>
      </c>
      <c r="G27" s="25" t="n">
        <v>1</v>
      </c>
      <c r="H27" s="19">
        <f>E27*G27</f>
        <v/>
      </c>
      <c r="I27" s="7" t="inlineStr">
        <is>
          <t>Retail launch - lead</t>
        </is>
      </c>
      <c r="J27" s="7" t="inlineStr">
        <is>
          <t>ROADMAP B7 (pitch only with proof); no figure in the repo.</t>
        </is>
      </c>
      <c r="K27" s="7" t="inlineStr">
        <is>
          <t>[VERIFY]</t>
        </is>
      </c>
    </row>
    <row r="28">
      <c r="A28" s="7" t="inlineStr">
        <is>
          <t>Faire brand application and first-order sample stock allowance</t>
        </is>
      </c>
      <c r="B28" s="7" t="inlineStr">
        <is>
          <t>B</t>
        </is>
      </c>
      <c r="C28" s="27" t="n">
        <v>0</v>
      </c>
      <c r="D28" s="27" t="n">
        <v>300</v>
      </c>
      <c r="E28" s="8">
        <f>C28+'Assumptions'!$C$10*(D28-C28)</f>
        <v/>
      </c>
      <c r="F28" s="7" t="inlineStr">
        <is>
          <t>one-time</t>
        </is>
      </c>
      <c r="G28" s="25" t="n">
        <v>1</v>
      </c>
      <c r="H28" s="19">
        <f>E28*G28</f>
        <v/>
      </c>
      <c r="I28" s="7" t="inlineStr">
        <is>
          <t>Retail launch - lead</t>
        </is>
      </c>
      <c r="J28" s="7" t="inlineStr">
        <is>
          <t>storefront-setup-guide §19.</t>
        </is>
      </c>
      <c r="K28" s="7" t="inlineStr">
        <is>
          <t>[VERIFY]</t>
        </is>
      </c>
    </row>
    <row r="29">
      <c r="A29" s="7" t="inlineStr">
        <is>
          <t>Broker quote and binder at chain limits (additional-insured endorsement)</t>
        </is>
      </c>
      <c r="B29" s="7" t="inlineStr">
        <is>
          <t>B</t>
        </is>
      </c>
      <c r="C29" s="27" t="n">
        <v>100</v>
      </c>
      <c r="D29" s="27" t="n">
        <v>500</v>
      </c>
      <c r="E29" s="8">
        <f>C29+'Assumptions'!$C$10*(D29-C29)</f>
        <v/>
      </c>
      <c r="F29" s="7" t="inlineStr">
        <is>
          <t>one-time</t>
        </is>
      </c>
      <c r="G29" s="25" t="n">
        <v>1</v>
      </c>
      <c r="H29" s="19">
        <f>E29*G29</f>
        <v/>
      </c>
      <c r="I29" s="7" t="inlineStr">
        <is>
          <t>Retail launch - lead</t>
        </is>
      </c>
      <c r="J29" s="7" t="inlineStr">
        <is>
          <t>Section 4.5 item 4; premium itself is in section C.</t>
        </is>
      </c>
      <c r="K29" s="7" t="inlineStr">
        <is>
          <t>[VERIFY]</t>
        </is>
      </c>
    </row>
    <row r="30">
      <c r="A30" s="35" t="inlineStr">
        <is>
          <t>Total, section B</t>
        </is>
      </c>
      <c r="B30" s="34" t="n"/>
      <c r="C30" s="34" t="n"/>
      <c r="D30" s="34" t="n"/>
      <c r="E30" s="34" t="n"/>
      <c r="F30" s="34" t="n"/>
      <c r="G30" s="34" t="n"/>
      <c r="H30" s="49">
        <f>SUM(H23:H29)</f>
        <v/>
      </c>
      <c r="I30" s="34" t="n"/>
      <c r="J30" s="34" t="n"/>
      <c r="K30" s="34" t="n"/>
    </row>
    <row r="32">
      <c r="A32" s="5" t="inlineStr">
        <is>
          <t>C. Ongoing while retail is live (per month)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</row>
    <row r="33">
      <c r="A33" s="7" t="inlineStr">
        <is>
          <t>3PL EDI connection and retailer compliance</t>
        </is>
      </c>
      <c r="B33" s="7" t="inlineStr">
        <is>
          <t>C</t>
        </is>
      </c>
      <c r="C33" s="27" t="n">
        <v>100</v>
      </c>
      <c r="D33" s="27" t="n">
        <v>300</v>
      </c>
      <c r="E33" s="8">
        <f>C33+'Assumptions'!$C$10*(D33-C33)</f>
        <v/>
      </c>
      <c r="F33" s="7" t="inlineStr">
        <is>
          <t>per month</t>
        </is>
      </c>
      <c r="G33" s="25" t="n">
        <v>1</v>
      </c>
      <c r="H33" s="19">
        <f>E33*G33</f>
        <v/>
      </c>
      <c r="I33" s="7" t="inlineStr">
        <is>
          <t>Monthly while retail is live</t>
        </is>
      </c>
      <c r="J33" s="7" t="inlineStr">
        <is>
          <t>ROADMAP B5: 'EDI capability through a 3PL'; no figure in the repo.</t>
        </is>
      </c>
      <c r="K33" s="7" t="inlineStr">
        <is>
          <t>[VERIFY]</t>
        </is>
      </c>
    </row>
    <row r="34">
      <c r="A34" s="7" t="inlineStr">
        <is>
          <t>Insurance uplift to retailer limits ($1M+ occurrence, umbrella, additional insureds)</t>
        </is>
      </c>
      <c r="B34" s="7" t="inlineStr">
        <is>
          <t>C</t>
        </is>
      </c>
      <c r="C34" s="27" t="n">
        <v>50</v>
      </c>
      <c r="D34" s="27" t="n">
        <v>250</v>
      </c>
      <c r="E34" s="8">
        <f>C34+'Assumptions'!$C$10*(D34-C34)</f>
        <v/>
      </c>
      <c r="F34" s="7" t="inlineStr">
        <is>
          <t>per month</t>
        </is>
      </c>
      <c r="G34" s="25" t="n">
        <v>1</v>
      </c>
      <c r="H34" s="19">
        <f>E34*G34</f>
        <v/>
      </c>
      <c r="I34" s="7" t="inlineStr">
        <is>
          <t>Monthly while retail is live</t>
        </is>
      </c>
      <c r="J34" s="7" t="inlineStr">
        <is>
          <t>PROTECTION-PLAN retailer requirements (Amazon, Faire+); premium uplift not in the repo.</t>
        </is>
      </c>
      <c r="K34" s="7" t="inlineStr">
        <is>
          <t>[VERIFY]</t>
        </is>
      </c>
    </row>
    <row r="35">
      <c r="A35" s="7" t="inlineStr">
        <is>
          <t>GS1 annual renewal (monthly equivalent)</t>
        </is>
      </c>
      <c r="B35" s="7" t="inlineStr">
        <is>
          <t>C</t>
        </is>
      </c>
      <c r="C35" s="27" t="n">
        <v>4</v>
      </c>
      <c r="D35" s="27" t="n">
        <v>13</v>
      </c>
      <c r="E35" s="8">
        <f>C35+'Assumptions'!$C$10*(D35-C35)</f>
        <v/>
      </c>
      <c r="F35" s="7" t="inlineStr">
        <is>
          <t>per month</t>
        </is>
      </c>
      <c r="G35" s="25" t="n">
        <v>1</v>
      </c>
      <c r="H35" s="19">
        <f>E35*G35</f>
        <v/>
      </c>
      <c r="I35" s="7" t="inlineStr">
        <is>
          <t>Monthly while retail is live</t>
        </is>
      </c>
      <c r="J35" s="7" t="inlineStr">
        <is>
          <t>Not in the repo.</t>
        </is>
      </c>
      <c r="K35" s="7" t="inlineStr">
        <is>
          <t>[VERIFY]</t>
        </is>
      </c>
    </row>
    <row r="36">
      <c r="A36" s="35" t="inlineStr">
        <is>
          <t>Total, section C</t>
        </is>
      </c>
      <c r="B36" s="34" t="n"/>
      <c r="C36" s="34" t="n"/>
      <c r="D36" s="34" t="n"/>
      <c r="E36" s="34" t="n"/>
      <c r="F36" s="34" t="n"/>
      <c r="G36" s="34" t="n"/>
      <c r="H36" s="49">
        <f>SUM(H33:H35)</f>
        <v/>
      </c>
      <c r="I36" s="34" t="n"/>
      <c r="J36" s="34" t="n"/>
      <c r="K36" s="34" t="n"/>
    </row>
    <row r="38">
      <c r="A38" s="5" t="inlineStr">
        <is>
          <t>D. Inventory: first offset run (illustrative at the minimum run; the forecast sizes each scenario's run from pre-sale orders)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7" t="inlineStr">
        <is>
          <t>Offset print cost per copy (from Assumptions)</t>
        </is>
      </c>
      <c r="E39" s="16">
        <f>'Assumptions'!$C$64</f>
        <v/>
      </c>
    </row>
    <row r="40">
      <c r="A40" s="7" t="inlineStr">
        <is>
          <t>Landed cost per copy incl. freight/duties</t>
        </is>
      </c>
      <c r="E40" s="16">
        <f>'Assumptions'!$C$66</f>
        <v/>
      </c>
    </row>
    <row r="41">
      <c r="A41" s="7" t="inlineStr">
        <is>
          <t>Minimum run (copies)</t>
        </is>
      </c>
      <c r="G41" s="15">
        <f>'Assumptions'!$C$58</f>
        <v/>
      </c>
    </row>
    <row r="42">
      <c r="A42" s="10" t="inlineStr">
        <is>
          <t>Cash for a minimum first run</t>
        </is>
      </c>
      <c r="H42" s="67">
        <f>E40*G41</f>
        <v/>
      </c>
    </row>
    <row r="43">
      <c r="A43" s="7" t="inlineStr">
        <is>
          <t>Landed cost as % of retail price (cost rules by channel: own site/FBA 35%, Faire/wholesale 25%, chain 20%)</t>
        </is>
      </c>
      <c r="H43" s="17">
        <f>E40/'Assumptions'!$C$57</f>
        <v/>
      </c>
    </row>
    <row r="44">
      <c r="A44" s="7" t="inlineStr">
        <is>
          <t xml:space="preserve">   Most landed cost allowed: own site / FBA (35%)</t>
        </is>
      </c>
      <c r="H44" s="16">
        <f>'Assumptions'!$C$57*0.35</f>
        <v/>
      </c>
      <c r="I44" s="66">
        <f>IF('Assumptions'!$C$66&lt;=H44,"passes","fails")</f>
        <v/>
      </c>
    </row>
    <row r="45">
      <c r="A45" s="7" t="inlineStr">
        <is>
          <t xml:space="preserve">   Most landed cost allowed: Faire and wholesale (25%)</t>
        </is>
      </c>
      <c r="H45" s="16">
        <f>'Assumptions'!$C$57*0.25</f>
        <v/>
      </c>
      <c r="I45" s="66">
        <f>IF('Assumptions'!$C$66&lt;=H45,"passes","fails")</f>
        <v/>
      </c>
    </row>
    <row r="46">
      <c r="A46" s="7" t="inlineStr">
        <is>
          <t xml:space="preserve">   Most landed cost allowed: chain retail through a distributor or rep (20%)</t>
        </is>
      </c>
      <c r="H46" s="16">
        <f>'Assumptions'!$C$57*0.2</f>
        <v/>
      </c>
      <c r="I46" s="66">
        <f>IF('Assumptions'!$C$66&lt;=H46,"passes","fails")</f>
        <v/>
      </c>
    </row>
    <row r="48">
      <c r="A48" s="5" t="inlineStr">
        <is>
          <t>E. Ongoing Wave 3 fixed costs (from Assumptions; charged monthly once the first run is printed)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7" t="inlineStr">
        <is>
          <t>3PL monthly minimum / storage</t>
        </is>
      </c>
      <c r="H49" s="8">
        <f>'Assumptions'!$C$69</f>
        <v/>
      </c>
    </row>
    <row r="50">
      <c r="A50" s="7" t="inlineStr">
        <is>
          <t>Amazon Seller Central Professional plan</t>
        </is>
      </c>
      <c r="H50" s="16">
        <f>'Assumptions'!$C$70</f>
        <v/>
      </c>
    </row>
    <row r="52" ht="30" customHeight="1">
      <c r="A52" s="2" t="inlineStr">
        <is>
          <t>Not priced here: distributor fees (about 20-30% of net receipts) or rep commissions (15-20% of wholesale), retailer co-op or placement, and a retailer-directed ad budget. AlphaPlay LLC is never the direct vendor of record to a chain: books go through a distributor, non-book items through a rep or vendor of record (section 4.8) [VERIFY].</t>
        </is>
      </c>
    </row>
    <row r="53"/>
  </sheetData>
  <mergeCells count="2">
    <mergeCell ref="A2:K3"/>
    <mergeCell ref="A52:K53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2026-09-28T22:10:32Z</dcterms:created>
  <dcterms:modified xsi:type="dcterms:W3CDTF">2026-09-28T22:10:33Z</dcterms:modified>
</cp:coreProperties>
</file>