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Unit Economics" sheetId="3" state="visible" r:id="rId5"/>
    <sheet name="Startup Costs" sheetId="4" state="visible" r:id="rId6"/>
    <sheet name="Monthly Operating Costs" sheetId="5" state="visible" r:id="rId7"/>
    <sheet name="36-Month Forecast" sheetId="6" state="visible" r:id="rId8"/>
    <sheet name="Cash Flow" sheetId="7" state="visible" r:id="rId9"/>
    <sheet name="Break-even" sheetId="8" state="visible" r:id="rId10"/>
    <sheet name="Retail Readiness Cos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<sst xmlns="http://schemas.openxmlformats.org/spreadsheetml/2006/main" count="2334" uniqueCount="938">
  <si>
    <t xml:space="preserve">Play Before Pixels: financial model dashboard</t>
  </si>
  <si>
    <t xml:space="preserve">AlphaPlay LLC (Maryland) d/b/a Play Before Pixels. Draft for the founder, September 28, 2026. Planning estimates only: these are not forecasts of income or promises of results. Change any blue cell on Assumptions and every tab updates.</t>
  </si>
  <si>
    <t xml:space="preserve">Measure</t>
  </si>
  <si>
    <t xml:space="preserve">Conservative</t>
  </si>
  <si>
    <t xml:space="preserve">Expected</t>
  </si>
  <si>
    <t xml:space="preserve">Strong</t>
  </si>
  <si>
    <t xml:space="preserve">Where it comes from</t>
  </si>
  <si>
    <t xml:space="preserve">Sales and profit by year (model year 1 = Oct 2026 - Sep 2027)</t>
  </si>
  <si>
    <t xml:space="preserve">Gross sales, year 1</t>
  </si>
  <si>
    <t xml:space="preserve">36-Month Forecast</t>
  </si>
  <si>
    <t xml:space="preserve">Gross sales, year 2</t>
  </si>
  <si>
    <t xml:space="preserve">Gross sales, year 3</t>
  </si>
  <si>
    <t xml:space="preserve">Net contribution, year 1</t>
  </si>
  <si>
    <t xml:space="preserve">After platform, payment, print/POD and fulfilment costs</t>
  </si>
  <si>
    <t xml:space="preserve">Net contribution, year 2</t>
  </si>
  <si>
    <t xml:space="preserve">Net contribution, year 3</t>
  </si>
  <si>
    <t xml:space="preserve">Net operating result, year 1</t>
  </si>
  <si>
    <t xml:space="preserve">Contribution - ads - operating costs - wave fixed costs</t>
  </si>
  <si>
    <t xml:space="preserve">Net operating result, year 2</t>
  </si>
  <si>
    <t xml:space="preserve">Net operating result, year 3</t>
  </si>
  <si>
    <t xml:space="preserve">One-time costs over 36 months (startup + wave launch + retail readiness)</t>
  </si>
  <si>
    <t xml:space="preserve">Startup Costs; Retail Readiness Costs</t>
  </si>
  <si>
    <t xml:space="preserve">Inventory purchases over 36 months (board-book print runs)</t>
  </si>
  <si>
    <t xml:space="preserve">Sized from pre-sale orders</t>
  </si>
  <si>
    <t xml:space="preserve">Cumulative net result after one-time costs, month 36</t>
  </si>
  <si>
    <t xml:space="preserve">Cash and break-even</t>
  </si>
  <si>
    <t xml:space="preserve">Peak funding need (lowest operating balance)</t>
  </si>
  <si>
    <t xml:space="preserve">Cash Flow (includes payout delays)</t>
  </si>
  <si>
    <t xml:space="preserve">   ...in month</t>
  </si>
  <si>
    <t xml:space="preserve">Sustained operating break-even</t>
  </si>
  <si>
    <t xml:space="preserve">Break-even tab</t>
  </si>
  <si>
    <t xml:space="preserve">Cash payback (operating balance stays &gt;= 0)</t>
  </si>
  <si>
    <t xml:space="preserve">Total cash at month 36 (operating + tax reserve)</t>
  </si>
  <si>
    <t xml:space="preserve">Operating balance vs 3-month reserve target, month 36</t>
  </si>
  <si>
    <t xml:space="preserve">ops/ROUTINE.md reserve target</t>
  </si>
  <si>
    <t xml:space="preserve">Volume and mix</t>
  </si>
  <si>
    <t xml:space="preserve">Orders in month 36</t>
  </si>
  <si>
    <t xml:space="preserve">Average gross sale per order, year 3</t>
  </si>
  <si>
    <t xml:space="preserve">Email subscribers at month 36</t>
  </si>
  <si>
    <t xml:space="preserve">Share of 36-month contribution from digital (site, Etsy, MoR, course)</t>
  </si>
  <si>
    <t xml:space="preserve">Share from print-on-demand books (KDP, IngramSpark)</t>
  </si>
  <si>
    <t xml:space="preserve">Share from the board book (Wave 3)</t>
  </si>
  <si>
    <t xml:space="preserve">Share from the school/group wave (held for counsel)</t>
  </si>
  <si>
    <t xml:space="preserve">Share from retail and wholesale (Faire, Walmart, Target Plus)</t>
  </si>
  <si>
    <t xml:space="preserve">Board-book copies at the 3PL, month 36</t>
  </si>
  <si>
    <t xml:space="preserve">Cash tied up in stock</t>
  </si>
  <si>
    <t xml:space="preserve">How to use</t>
  </si>
  <si>
    <t xml:space="preserve">1. Edit blue cells only. Yellow cells on Assumptions are the levers that move results most (traffic, conversion, include flags, IngramSpark discount, owner contribution).</t>
  </si>
  <si>
    <t xml:space="preserve">2. The cost position on Assumptions (0 = every cost at the low end of its range, 1 = high end) tests cost risk in one step.</t>
  </si>
  <si>
    <t xml:space="preserve">3. School-facing products stay off in Conservative and start only when employment counsel clears them. Retail (including Target Plus) starts only after a 12-month record.</t>
  </si>
  <si>
    <t xml:space="preserve">4. Every [VERIFY] figure must be checked on the live page or a written quote before money is committed.</t>
  </si>
  <si>
    <t xml:space="preserve">5. Replace the traffic and conversion guesses with the first 90 days of real data from the Friday scorecard.</t>
  </si>
  <si>
    <t xml:space="preserve">Assumptions: every input in the model</t>
  </si>
  <si>
    <t xml:space="preserve">Blue = editable input. Yellow fill = key scenario lever. Black = formula. Green = link to another tab. Status: Repo = figure found in a repository file (most are themselves marked UNVERIFIED there); Assumption = planning input chosen for this model; [VERIFY] = outside fact not in the repo, check before relying on it.</t>
  </si>
  <si>
    <t xml:space="preserve">ID</t>
  </si>
  <si>
    <t xml:space="preserve">Input</t>
  </si>
  <si>
    <t xml:space="preserve">Value / Conservative</t>
  </si>
  <si>
    <t xml:space="preserve">Unit</t>
  </si>
  <si>
    <t xml:space="preserve">Source / basis</t>
  </si>
  <si>
    <t xml:space="preserve">Status</t>
  </si>
  <si>
    <t xml:space="preserve">1. General settings</t>
  </si>
  <si>
    <t xml:space="preserve">start</t>
  </si>
  <si>
    <t xml:space="preserve">Model start month (month 1)</t>
  </si>
  <si>
    <t xml:space="preserve">month</t>
  </si>
  <si>
    <t xml:space="preserve">Plan dated Sept 28, 2026. Wave 1 runs Oct-Dec 2026 (marketing/BLIND-SPOTS.md #2).</t>
  </si>
  <si>
    <t xml:space="preserve">Repo</t>
  </si>
  <si>
    <t xml:space="preserve">pos</t>
  </si>
  <si>
    <t xml:space="preserve">Cost position inside every Low-High range (0 = low, 1 = high)</t>
  </si>
  <si>
    <t xml:space="preserve">0-1</t>
  </si>
  <si>
    <t xml:space="preserve">Drives the 'Model' column on Startup Costs, Monthly Operating Costs and Retail Readiness Costs.</t>
  </si>
  <si>
    <t xml:space="preserve">Assumption</t>
  </si>
  <si>
    <t xml:space="preserve">ramp</t>
  </si>
  <si>
    <t xml:space="preserve">Months for a new listing to reach full conversion (review ramp)</t>
  </si>
  <si>
    <t xml:space="preserve">months</t>
  </si>
  <si>
    <t xml:space="preserve">A new faceless shop starts with zero reviews against incumbents with 2,000-11,000 (marketing/DEMAND-CHECK.md, 'One honest warning').</t>
  </si>
  <si>
    <t xml:space="preserve">mdtax</t>
  </si>
  <si>
    <t xml:space="preserve">Maryland sales tax on direct (own-site) sales</t>
  </si>
  <si>
    <t xml:space="preserve">% of price</t>
  </si>
  <si>
    <t xml:space="preserve">commerce/storefront-setup-guide.md A3 (UNVERIFIED). Collected on top of price and remitted: pass-through, never counted as revenue.</t>
  </si>
  <si>
    <t xml:space="preserve">Repo [VERIFY]</t>
  </si>
  <si>
    <t xml:space="preserve">refund</t>
  </si>
  <si>
    <t xml:space="preserve">Refund and chargeback allowance, direct digital sales</t>
  </si>
  <si>
    <t xml:space="preserve">ops/GAPS-ROUND-2.md G2-12: first refund request under about $15 is refunded automatically.</t>
  </si>
  <si>
    <t xml:space="preserve">refund_course</t>
  </si>
  <si>
    <t xml:space="preserve">Refund allowance, 30-Day Screen Reset (money-back guarantee)</t>
  </si>
  <si>
    <t xml:space="preserve">DEMAND-CHECK course row: 'Add a money-back guarantee'.</t>
  </si>
  <si>
    <t xml:space="preserve">taxres</t>
  </si>
  <si>
    <t xml:space="preserve">Tax reserve transfer (% of each positive month's net cash)</t>
  </si>
  <si>
    <t xml:space="preserve">%</t>
  </si>
  <si>
    <t xml:space="preserve">finance/TAX-AUTOPILOT.md §2: accountant picks the rate; 25-30% is common for self-employment income.</t>
  </si>
  <si>
    <t xml:space="preserve">Repo range</t>
  </si>
  <si>
    <t xml:space="preserve">open</t>
  </si>
  <si>
    <t xml:space="preserve">Opening cash in the business account</t>
  </si>
  <si>
    <t xml:space="preserve">$</t>
  </si>
  <si>
    <t xml:space="preserve">finance/BANKING.md: the Chase checking account is closed; a new no-fee account opens empty.</t>
  </si>
  <si>
    <t xml:space="preserve">owner</t>
  </si>
  <si>
    <t xml:space="preserve">Owner capital contribution in month 1</t>
  </si>
  <si>
    <t xml:space="preserve">Left at $0 so the model shows the funding need. Enter what the founder will put in.</t>
  </si>
  <si>
    <t xml:space="preserve">contin</t>
  </si>
  <si>
    <t xml:space="preserve">Operating contingency (% of monthly operating costs)</t>
  </si>
  <si>
    <t xml:space="preserve">Buffer for price changes; nearly every subscription price in the repo is UNVERIFIED.</t>
  </si>
  <si>
    <t xml:space="preserve">resmo</t>
  </si>
  <si>
    <t xml:space="preserve">Cash reserve target (months of fixed costs)</t>
  </si>
  <si>
    <t xml:space="preserve">ops/ROUTINE.md weekly scorecard ('3-month reserve target'); BLIND-SPOTS #20 says 2-3 months.</t>
  </si>
  <si>
    <t xml:space="preserve">2. Platform fees and royalties (used by Unit Economics)</t>
  </si>
  <si>
    <t xml:space="preserve">shop_pct</t>
  </si>
  <si>
    <t xml:space="preserve">Shopify Payments card rate</t>
  </si>
  <si>
    <t xml:space="preserve">commerce/storefront-setup-guide.md §1; finance/money-and-tax-setup.md fees table (Basic plan, UNVERIFIED).</t>
  </si>
  <si>
    <t xml:space="preserve">shop_fix</t>
  </si>
  <si>
    <t xml:space="preserve">Shopify Payments fixed fee</t>
  </si>
  <si>
    <t xml:space="preserve">$ per order</t>
  </si>
  <si>
    <t xml:space="preserve">Same source.</t>
  </si>
  <si>
    <t xml:space="preserve">etsy_tx</t>
  </si>
  <si>
    <t xml:space="preserve">Etsy transaction fee</t>
  </si>
  <si>
    <t xml:space="preserve">storefront-setup-guide §10 (UNVERIFIED).</t>
  </si>
  <si>
    <t xml:space="preserve">etsy_pay</t>
  </si>
  <si>
    <t xml:space="preserve">Etsy payment processing (US)</t>
  </si>
  <si>
    <t xml:space="preserve">etsy_payfix</t>
  </si>
  <si>
    <t xml:space="preserve">Etsy payment processing fixed fee</t>
  </si>
  <si>
    <t xml:space="preserve">etsy_list</t>
  </si>
  <si>
    <t xml:space="preserve">Etsy listing fee (renews on each sale)</t>
  </si>
  <si>
    <t xml:space="preserve">$ per sale</t>
  </si>
  <si>
    <t xml:space="preserve">etsy_oa</t>
  </si>
  <si>
    <t xml:space="preserve">Etsy Offsite Ads fee when an ad drives the sale</t>
  </si>
  <si>
    <t xml:space="preserve">Same source: 15%, or 12% and mandatory above $10,000 in 12 months.</t>
  </si>
  <si>
    <t xml:space="preserve">etsy_oashare</t>
  </si>
  <si>
    <t xml:space="preserve">Share of Etsy sales that come through Offsite Ads</t>
  </si>
  <si>
    <t xml:space="preserve">% of Etsy sales</t>
  </si>
  <si>
    <t xml:space="preserve">No data yet; check the Etsy statement after 90 days.</t>
  </si>
  <si>
    <t xml:space="preserve">kdp_roy</t>
  </si>
  <si>
    <t xml:space="preserve">KDP paperback royalty rate (list price $9.99 or more)</t>
  </si>
  <si>
    <t xml:space="preserve">% of list</t>
  </si>
  <si>
    <t xml:space="preserve">storefront-setup-guide §6: 60% at $9.99+ since June 10, 2025 (UNVERIFIED).</t>
  </si>
  <si>
    <t xml:space="preserve">kdp_base</t>
  </si>
  <si>
    <t xml:space="preserve">KDP print cost: fixed part</t>
  </si>
  <si>
    <t xml:space="preserve">$ per copy</t>
  </si>
  <si>
    <t xml:space="preserve">products/*/listing.json price_notes: $1.00 + $0.07/page premium color.</t>
  </si>
  <si>
    <t xml:space="preserve">kdp_color</t>
  </si>
  <si>
    <t xml:space="preserve">KDP print cost: premium color, per page</t>
  </si>
  <si>
    <t xml:space="preserve">$ per page</t>
  </si>
  <si>
    <t xml:space="preserve">kdp_bw</t>
  </si>
  <si>
    <t xml:space="preserve">KDP print cost: black-and-white, per page</t>
  </si>
  <si>
    <t xml:space="preserve">Not in the repo. Outside figure from general knowledge.</t>
  </si>
  <si>
    <t xml:space="preserve">[VERIFY]</t>
  </si>
  <si>
    <t xml:space="preserve">plays_pages</t>
  </si>
  <si>
    <t xml:space="preserve">100 Screen-Free Plays paperback page count</t>
  </si>
  <si>
    <t xml:space="preserve">pages</t>
  </si>
  <si>
    <t xml:space="preserve">Count of page blocks in products/guide-100-plays/source-kdp.html; confirm at upload.</t>
  </si>
  <si>
    <t xml:space="preserve">pic_pages</t>
  </si>
  <si>
    <t xml:space="preserve">Picture-book and talk-along paperback page count</t>
  </si>
  <si>
    <t xml:space="preserve">products/*/listing.json ('pages': 32).</t>
  </si>
  <si>
    <t xml:space="preserve">ing_disc</t>
  </si>
  <si>
    <t xml:space="preserve">IngramSpark wholesale discount given to retailers</t>
  </si>
  <si>
    <t xml:space="preserve">MARKETING-PLAYBOOK libraries row ('Ingram at 55%'); storefront guide range 30-55%.</t>
  </si>
  <si>
    <t xml:space="preserve">ing_hc_print</t>
  </si>
  <si>
    <t xml:space="preserve">IngramSpark print cost, 32-page 8.5x8.5 color hardcover</t>
  </si>
  <si>
    <t xml:space="preserve">Not in the repo; listing.json says run IngramSpark's calculator.</t>
  </si>
  <si>
    <t xml:space="preserve">ing_pb_print</t>
  </si>
  <si>
    <t xml:space="preserve">IngramSpark print cost, 32-page color paperback</t>
  </si>
  <si>
    <t xml:space="preserve">Proxy: KDP premium-color formula from listing.json.</t>
  </si>
  <si>
    <t xml:space="preserve">Assumption [VERIFY]</t>
  </si>
  <si>
    <t xml:space="preserve">mor_pct</t>
  </si>
  <si>
    <t xml:space="preserve">Merchant of record (Gumroad) fee</t>
  </si>
  <si>
    <t xml:space="preserve">storefront-setup-guide §13; legal/international-plan.md (UNVERIFIED). Covers card processing, US sales tax and EU/UK VAT.</t>
  </si>
  <si>
    <t xml:space="preserve">mor_fix</t>
  </si>
  <si>
    <t xml:space="preserve">Merchant of record fixed fee</t>
  </si>
  <si>
    <t xml:space="preserve">tpt_payout</t>
  </si>
  <si>
    <t xml:space="preserve">Teachers Pay Teachers payout (Basic seller)</t>
  </si>
  <si>
    <t xml:space="preserve">DEMAND-CHECK rule 10; money-and-tax fees table (UNVERIFIED).</t>
  </si>
  <si>
    <t xml:space="preserve">tpt_fix</t>
  </si>
  <si>
    <t xml:space="preserve">TPT per-resource transaction fee</t>
  </si>
  <si>
    <t xml:space="preserve">amz_ref</t>
  </si>
  <si>
    <t xml:space="preserve">Amazon Seller Central / FBA referral fee</t>
  </si>
  <si>
    <t xml:space="preserve">storefront-setup-guide §19 ('about 15%', UNVERIFIED).</t>
  </si>
  <si>
    <t xml:space="preserve">fba_fee</t>
  </si>
  <si>
    <t xml:space="preserve">Amazon FBA fulfilment fee per board book</t>
  </si>
  <si>
    <t xml:space="preserve">$ per unit</t>
  </si>
  <si>
    <t xml:space="preserve">Not in the repo.</t>
  </si>
  <si>
    <t xml:space="preserve">faire_comm</t>
  </si>
  <si>
    <t xml:space="preserve">Faire commission (orders from retailers Faire finds)</t>
  </si>
  <si>
    <t xml:space="preserve">% of wholesale</t>
  </si>
  <si>
    <t xml:space="preserve">storefront-setup-guide §19; 0% on Faire Direct.</t>
  </si>
  <si>
    <t xml:space="preserve">faire_proc</t>
  </si>
  <si>
    <t xml:space="preserve">Faire payment processing</t>
  </si>
  <si>
    <t xml:space="preserve">Same source; conflicting 1.9-3.5% vs flat ~3%.</t>
  </si>
  <si>
    <t xml:space="preserve">whsl_pct</t>
  </si>
  <si>
    <t xml:space="preserve">Wholesale price as % of retail</t>
  </si>
  <si>
    <t xml:space="preserve">% of retail</t>
  </si>
  <si>
    <t xml:space="preserve">marketing/AMAZON-AND-RETAIL-ROADMAP.md B4; board-up-go-more/listing.json.</t>
  </si>
  <si>
    <t xml:space="preserve">bigbox_ref</t>
  </si>
  <si>
    <t xml:space="preserve">Walmart Marketplace / Target Plus referral fee</t>
  </si>
  <si>
    <t xml:space="preserve">Walmart books about 15% (storefront guide §19, UNVERIFIED). Target Plus is invitation-only; its terms are not in the repo.</t>
  </si>
  <si>
    <t xml:space="preserve">retail_deduct</t>
  </si>
  <si>
    <t xml:space="preserve">Retail deductions and chargebacks allowance</t>
  </si>
  <si>
    <t xml:space="preserve">Not in the repo; big-box programs deduct for compliance misses.</t>
  </si>
  <si>
    <t xml:space="preserve">tee_pod</t>
  </si>
  <si>
    <t xml:space="preserve">Adult tee: POD base cost incl. print</t>
  </si>
  <si>
    <t xml:space="preserve">Not in the repo; shipping assumed charged to the buyer.</t>
  </si>
  <si>
    <t xml:space="preserve">3. Physical products: board book (Wave 3) and retail stock</t>
  </si>
  <si>
    <t xml:space="preserve">bb_price</t>
  </si>
  <si>
    <t xml:space="preserve">Board book retail price (Up! Go! More!)</t>
  </si>
  <si>
    <t xml:space="preserve">DEMAND-CHECK §4 rule 9; board-up-go-more/listing.json.</t>
  </si>
  <si>
    <t xml:space="preserve">bb_low</t>
  </si>
  <si>
    <t xml:space="preserve">Offset print cost per copy: low</t>
  </si>
  <si>
    <t xml:space="preserve">marketing/BLIND-SPOTS.md #11: roughly $1.80-$4 a copy at 1,000-3,000 copies [VERIFY with quotes].</t>
  </si>
  <si>
    <t xml:space="preserve">bb_high</t>
  </si>
  <si>
    <t xml:space="preserve">Offset print cost per copy: high</t>
  </si>
  <si>
    <t xml:space="preserve">bb_print</t>
  </si>
  <si>
    <t xml:space="preserve">Offset print cost per copy used in model</t>
  </si>
  <si>
    <t xml:space="preserve">Low + cost position x (High - Low)</t>
  </si>
  <si>
    <t xml:space="preserve">Formula</t>
  </si>
  <si>
    <t xml:space="preserve">freight</t>
  </si>
  <si>
    <t xml:space="preserve">Freight, duties and warehouse receiving</t>
  </si>
  <si>
    <t xml:space="preserve">% of print cost</t>
  </si>
  <si>
    <t xml:space="preserve">BLIND-SPOTS #11 asks quotes to cover shipping, duties and warehouse fees; no figure given.</t>
  </si>
  <si>
    <t xml:space="preserve">landed</t>
  </si>
  <si>
    <t xml:space="preserve">Landed cost per copy (print + freight/duties)</t>
  </si>
  <si>
    <t xml:space="preserve">DEMAND-CHECK rule 9 target: landed cost at or below 35-40% of retail.</t>
  </si>
  <si>
    <t xml:space="preserve">pick</t>
  </si>
  <si>
    <t xml:space="preserve">3PL pick, pack and ship-handling per single order</t>
  </si>
  <si>
    <t xml:space="preserve">Not in the repo; postage itself assumed charged to the buyer.</t>
  </si>
  <si>
    <t xml:space="preserve">whs_handle</t>
  </si>
  <si>
    <t xml:space="preserve">3PL handling per unit on wholesale cartons</t>
  </si>
  <si>
    <t xml:space="preserve">tpl_min</t>
  </si>
  <si>
    <t xml:space="preserve">3PL monthly minimum / storage</t>
  </si>
  <si>
    <t xml:space="preserve">$ per month</t>
  </si>
  <si>
    <t xml:space="preserve">seller_central</t>
  </si>
  <si>
    <t xml:space="preserve">Amazon Seller Central Professional plan</t>
  </si>
  <si>
    <t xml:space="preserve">storefront-setup-guide §19 (UNVERIFIED).</t>
  </si>
  <si>
    <t xml:space="preserve">min_run</t>
  </si>
  <si>
    <t xml:space="preserve">Minimum first offset run</t>
  </si>
  <si>
    <t xml:space="preserve">copies</t>
  </si>
  <si>
    <t xml:space="preserve">BLIND-SPOTS #11: quotes at 500, 1,000 and 2,500 copies.</t>
  </si>
  <si>
    <t xml:space="preserve">buffer</t>
  </si>
  <si>
    <t xml:space="preserve">Print buffer over pre-sale units</t>
  </si>
  <si>
    <t xml:space="preserve">BLIND-SPOTS #16: 'Order what sold plus 30-50%'.</t>
  </si>
  <si>
    <t xml:space="preserve">presale_len</t>
  </si>
  <si>
    <t xml:space="preserve">Pre-sale length before the print order</t>
  </si>
  <si>
    <t xml:space="preserve">BLIND-SPOTS #16: Feb-Apr 2027 pre-sale.</t>
  </si>
  <si>
    <t xml:space="preserve">school_setup</t>
  </si>
  <si>
    <t xml:space="preserve">School/group wave one-time setup (TPT fee, purchasing kit, host kit build)</t>
  </si>
  <si>
    <t xml:space="preserve">TPT Basic $29 (storefront guide §11); purchasing kit $0-50 and Family Night kit $0-100 (MARKETING-PLAYBOOK).</t>
  </si>
  <si>
    <t xml:space="preserve">retail_lead</t>
  </si>
  <si>
    <t xml:space="preserve">Retail readiness spend lead time before retail launch</t>
  </si>
  <si>
    <t xml:space="preserve">Readiness checklist must be done before pitching (AMAZON-AND-RETAIL-ROADMAP B5).</t>
  </si>
  <si>
    <t xml:space="preserve">4. Payout delay by channel (months after the sale month)</t>
  </si>
  <si>
    <t xml:space="preserve">lag_SITE</t>
  </si>
  <si>
    <t xml:space="preserve">Payout delay: Own site: printables, PDFs and POD tee (Shopify)</t>
  </si>
  <si>
    <t xml:space="preserve">Shopify Payments pays out within days (storefront guide A6).</t>
  </si>
  <si>
    <t xml:space="preserve">lag_ETSY</t>
  </si>
  <si>
    <t xml:space="preserve">Payout delay: Etsy: printables</t>
  </si>
  <si>
    <t xml:space="preserve">Etsy deposits on the schedule you choose (A6).</t>
  </si>
  <si>
    <t xml:space="preserve">lag_KDP</t>
  </si>
  <si>
    <t xml:space="preserve">Payout delay: Amazon KDP: paperbacks</t>
  </si>
  <si>
    <t xml:space="preserve">KDP pays about 60 days after month end (A6).</t>
  </si>
  <si>
    <t xml:space="preserve">lag_INGRAM</t>
  </si>
  <si>
    <t xml:space="preserve">Payout delay: IngramSpark: hardcovers, bookstores, libraries</t>
  </si>
  <si>
    <t xml:space="preserve">IngramSpark pays about 90 days after month end (A6, UNVERIFIED).</t>
  </si>
  <si>
    <t xml:space="preserve">lag_MOR</t>
  </si>
  <si>
    <t xml:space="preserve">Payout delay: International digital via merchant of record (Gumroad)</t>
  </si>
  <si>
    <t xml:space="preserve">Gumroad pays weekly (A6, UNVERIFIED).</t>
  </si>
  <si>
    <t xml:space="preserve">lag_COURSE</t>
  </si>
  <si>
    <t xml:space="preserve">Payout delay: 30-Day Screen Reset written course (Wave 2)</t>
  </si>
  <si>
    <t xml:space="preserve">Sold on Shopify; same payout timing.</t>
  </si>
  <si>
    <t xml:space="preserve">lag_BOARD</t>
  </si>
  <si>
    <t xml:space="preserve">Payout delay: Board book: pre-sale, then 3PL and Amazon FBA (Wave 3)</t>
  </si>
  <si>
    <t xml:space="preserve">Shopify within days; Seller Central about every 14 days (A6).</t>
  </si>
  <si>
    <t xml:space="preserve">lag_SCHOOL</t>
  </si>
  <si>
    <t xml:space="preserve">Payout delay: School and group licenses + TPT (held for counsel)</t>
  </si>
  <si>
    <t xml:space="preserve">TPT pays monthly; school invoices are net-30 (commerce/PAYMENTS.md).</t>
  </si>
  <si>
    <t xml:space="preserve">lag_RETAIL</t>
  </si>
  <si>
    <t xml:space="preserve">Payout delay: Retail and wholesale: Faire, Walmart Marketplace, Target Plus</t>
  </si>
  <si>
    <t xml:space="preserve">Faire/Walmart settlement timing UNVERIFIED; one month assumed.</t>
  </si>
  <si>
    <t xml:space="preserve">5. Seasonality index by calendar month (1.00 = average month)</t>
  </si>
  <si>
    <t xml:space="preserve">Calendar month</t>
  </si>
  <si>
    <t xml:space="preserve">Consumer index</t>
  </si>
  <si>
    <t xml:space="preserve">School / group index</t>
  </si>
  <si>
    <t xml:space="preserve">season_1</t>
  </si>
  <si>
    <t xml:space="preserve">Jan</t>
  </si>
  <si>
    <t xml:space="preserve">index</t>
  </si>
  <si>
    <t xml:space="preserve">Shape follows the repo calendar: January Reset launch (Wave 2), spring Screen-Free Week, summer kits listed in March, holiday gifts Nov-Dec (BLIND-SPOTS #2, #6; DEMAND-CHECK rule 7). School index follows the school year. Levels are assumptions.</t>
  </si>
  <si>
    <t xml:space="preserve">season_2</t>
  </si>
  <si>
    <t xml:space="preserve">Feb</t>
  </si>
  <si>
    <t xml:space="preserve">season_3</t>
  </si>
  <si>
    <t xml:space="preserve">Mar</t>
  </si>
  <si>
    <t xml:space="preserve">season_4</t>
  </si>
  <si>
    <t xml:space="preserve">Apr</t>
  </si>
  <si>
    <t xml:space="preserve">season_5</t>
  </si>
  <si>
    <t xml:space="preserve">May</t>
  </si>
  <si>
    <t xml:space="preserve">season_6</t>
  </si>
  <si>
    <t xml:space="preserve">Jun</t>
  </si>
  <si>
    <t xml:space="preserve">season_7</t>
  </si>
  <si>
    <t xml:space="preserve">Jul</t>
  </si>
  <si>
    <t xml:space="preserve">season_8</t>
  </si>
  <si>
    <t xml:space="preserve">Aug</t>
  </si>
  <si>
    <t xml:space="preserve">season_9</t>
  </si>
  <si>
    <t xml:space="preserve">Sep</t>
  </si>
  <si>
    <t xml:space="preserve">season_10</t>
  </si>
  <si>
    <t xml:space="preserve">Oct</t>
  </si>
  <si>
    <t xml:space="preserve">season_11</t>
  </si>
  <si>
    <t xml:space="preserve">Nov</t>
  </si>
  <si>
    <t xml:space="preserve">season_12</t>
  </si>
  <si>
    <t xml:space="preserve">Dec</t>
  </si>
  <si>
    <t xml:space="preserve">6. Scenario drivers: traffic -&gt; conversion -&gt; orders -&gt; order value (yellow = key levers)</t>
  </si>
  <si>
    <t xml:space="preserve">Driver</t>
  </si>
  <si>
    <t xml:space="preserve">Own site: printables, PDFs and POD tee (Shopify)  |  traffic = Site sessions (all visitors)</t>
  </si>
  <si>
    <t xml:space="preserve">SITE_inc</t>
  </si>
  <si>
    <t xml:space="preserve">Include in scenario (1 = yes, 0 = no)</t>
  </si>
  <si>
    <t xml:space="preserve">flag</t>
  </si>
  <si>
    <t xml:space="preserve">SITE_launch</t>
  </si>
  <si>
    <t xml:space="preserve">Launch month (model month #)</t>
  </si>
  <si>
    <t xml:space="preserve">month #</t>
  </si>
  <si>
    <t xml:space="preserve">Launch-first five live before Black Friday, Nov 27, 2026 (ops/QUEUE.md).</t>
  </si>
  <si>
    <t xml:space="preserve">Repo timing</t>
  </si>
  <si>
    <t xml:space="preserve">SITE_base</t>
  </si>
  <si>
    <t xml:space="preserve">Traffic in launch month</t>
  </si>
  <si>
    <t xml:space="preserve">visits</t>
  </si>
  <si>
    <t xml:space="preserve">No sales history yet. Replace with the first 90 days of real data.</t>
  </si>
  <si>
    <t xml:space="preserve">SITE_g1</t>
  </si>
  <si>
    <t xml:space="preserve">Monthly traffic growth, year 1</t>
  </si>
  <si>
    <t xml:space="preserve">% per month</t>
  </si>
  <si>
    <t xml:space="preserve">SITE_g2</t>
  </si>
  <si>
    <t xml:space="preserve">Monthly traffic growth, year 2</t>
  </si>
  <si>
    <t xml:space="preserve">SITE_g3</t>
  </si>
  <si>
    <t xml:space="preserve">Monthly traffic growth, year 3</t>
  </si>
  <si>
    <t xml:space="preserve">SITE_cvr</t>
  </si>
  <si>
    <t xml:space="preserve">Conversion rate (visit -&gt; order) at full ramp</t>
  </si>
  <si>
    <t xml:space="preserve">% of visits</t>
  </si>
  <si>
    <t xml:space="preserve">MARKETING-PLAYBOOK traffic checklist: working target 1.5-3% site conversion.</t>
  </si>
  <si>
    <t xml:space="preserve">SITE_items</t>
  </si>
  <si>
    <t xml:space="preserve">Items per order</t>
  </si>
  <si>
    <t xml:space="preserve">items</t>
  </si>
  <si>
    <t xml:space="preserve">intl</t>
  </si>
  <si>
    <t xml:space="preserve">Share of site sessions from outside the US (served by the merchant of record once live)</t>
  </si>
  <si>
    <t xml:space="preserve">% of sessions</t>
  </si>
  <si>
    <t xml:space="preserve">International plan: English-speaking Region 2 first (ops/INTERNATIONAL.md).</t>
  </si>
  <si>
    <t xml:space="preserve">Etsy: printables  |  traffic = Etsy listing visits</t>
  </si>
  <si>
    <t xml:space="preserve">ETSY_inc</t>
  </si>
  <si>
    <t xml:space="preserve">ETSY_launch</t>
  </si>
  <si>
    <t xml:space="preserve">Launch-first five on Etsy + site (DEMAND-CHECK §3).</t>
  </si>
  <si>
    <t xml:space="preserve">ETSY_base</t>
  </si>
  <si>
    <t xml:space="preserve">ETSY_g1</t>
  </si>
  <si>
    <t xml:space="preserve">ETSY_g2</t>
  </si>
  <si>
    <t xml:space="preserve">ETSY_g3</t>
  </si>
  <si>
    <t xml:space="preserve">ETSY_cvr</t>
  </si>
  <si>
    <t xml:space="preserve">ETSY_items</t>
  </si>
  <si>
    <t xml:space="preserve">Amazon KDP: paperbacks  |  traffic = Amazon detail-page views</t>
  </si>
  <si>
    <t xml:space="preserve">KDP_inc</t>
  </si>
  <si>
    <t xml:space="preserve">KDP_launch</t>
  </si>
  <si>
    <t xml:space="preserve">100 Screen-Free Plays paperback, Wave 1 (BLIND-SPOTS #2).</t>
  </si>
  <si>
    <t xml:space="preserve">KDP_base</t>
  </si>
  <si>
    <t xml:space="preserve">KDP_g1</t>
  </si>
  <si>
    <t xml:space="preserve">KDP_g2</t>
  </si>
  <si>
    <t xml:space="preserve">KDP_g3</t>
  </si>
  <si>
    <t xml:space="preserve">KDP_cvr</t>
  </si>
  <si>
    <t xml:space="preserve">KDP_items</t>
  </si>
  <si>
    <t xml:space="preserve">IngramSpark: hardcovers, bookstores, libraries  |  traffic = Retailer and library listing views (est.)</t>
  </si>
  <si>
    <t xml:space="preserve">INGRAM_inc</t>
  </si>
  <si>
    <t xml:space="preserve">INGRAM_launch</t>
  </si>
  <si>
    <t xml:space="preserve">IngramSpark hardcovers after KDP (storefront guide Part B, step 5).</t>
  </si>
  <si>
    <t xml:space="preserve">INGRAM_base</t>
  </si>
  <si>
    <t xml:space="preserve">INGRAM_g1</t>
  </si>
  <si>
    <t xml:space="preserve">INGRAM_g2</t>
  </si>
  <si>
    <t xml:space="preserve">INGRAM_g3</t>
  </si>
  <si>
    <t xml:space="preserve">INGRAM_cvr</t>
  </si>
  <si>
    <t xml:space="preserve">INGRAM_items</t>
  </si>
  <si>
    <t xml:space="preserve">International digital via merchant of record (Gumroad)  |  traffic = International site sessions</t>
  </si>
  <si>
    <t xml:space="preserve">MOR_inc</t>
  </si>
  <si>
    <t xml:space="preserve">MOR_launch</t>
  </si>
  <si>
    <t xml:space="preserve">Region 2 English-speaking markets after US launch (ops/INTERNATIONAL.md).</t>
  </si>
  <si>
    <t xml:space="preserve">MOR_cvr</t>
  </si>
  <si>
    <t xml:space="preserve">MOR_items</t>
  </si>
  <si>
    <t xml:space="preserve">30-Day Screen Reset written course (Wave 2)  |  traffic = Subscribers reached by the offer</t>
  </si>
  <si>
    <t xml:space="preserve">COURSE_inc</t>
  </si>
  <si>
    <t xml:space="preserve">COURSE_launch</t>
  </si>
  <si>
    <t xml:space="preserve">Public New Year launch, January 2027 = month 4 (BLIND-SPOTS #2 Wave 2).</t>
  </si>
  <si>
    <t xml:space="preserve">COURSE_cvr</t>
  </si>
  <si>
    <t xml:space="preserve">Conversion rate (subscriber reached -&gt; purchase)</t>
  </si>
  <si>
    <t xml:space="preserve">COURSE_items</t>
  </si>
  <si>
    <t xml:space="preserve">reach</t>
  </si>
  <si>
    <t xml:space="preserve">Share of the email list that sees and considers the offer each month</t>
  </si>
  <si>
    <t xml:space="preserve">Course sold by automated email (DEMAND-CHECK course row).</t>
  </si>
  <si>
    <t xml:space="preserve">Board book: pre-sale, then 3PL and Amazon FBA (Wave 3)  |  traffic = Product-page sessions (site + Amazon)</t>
  </si>
  <si>
    <t xml:space="preserve">BOARD_inc</t>
  </si>
  <si>
    <t xml:space="preserve">BOARD_launch</t>
  </si>
  <si>
    <t xml:space="preserve">Pre-sale Feb-Apr 2027 = month 5 (BLIND-SPOTS #16; Wave 3).</t>
  </si>
  <si>
    <t xml:space="preserve">BOARD_base</t>
  </si>
  <si>
    <t xml:space="preserve">BOARD_g1</t>
  </si>
  <si>
    <t xml:space="preserve">BOARD_g2</t>
  </si>
  <si>
    <t xml:space="preserve">BOARD_g3</t>
  </si>
  <si>
    <t xml:space="preserve">BOARD_cvr</t>
  </si>
  <si>
    <t xml:space="preserve">BOARD_items</t>
  </si>
  <si>
    <t xml:space="preserve">School and group licenses + TPT (held for counsel)  |  traffic = Schools/orgs page + TPT views</t>
  </si>
  <si>
    <t xml:space="preserve">SCHOOL_inc</t>
  </si>
  <si>
    <t xml:space="preserve">Conditional wave. Set to 0 to see the business without it.</t>
  </si>
  <si>
    <t xml:space="preserve">SCHOOL_launch</t>
  </si>
  <si>
    <t xml:space="preserve">Held until employment counsel clears school-facing work. Conservative assumes it never opens inside 36 months.</t>
  </si>
  <si>
    <t xml:space="preserve">Assumption (conditional)</t>
  </si>
  <si>
    <t xml:space="preserve">SCHOOL_base</t>
  </si>
  <si>
    <t xml:space="preserve">SCHOOL_g1</t>
  </si>
  <si>
    <t xml:space="preserve">SCHOOL_g2</t>
  </si>
  <si>
    <t xml:space="preserve">SCHOOL_g3</t>
  </si>
  <si>
    <t xml:space="preserve">SCHOOL_cvr</t>
  </si>
  <si>
    <t xml:space="preserve">SCHOOL_items</t>
  </si>
  <si>
    <t xml:space="preserve">Retail and wholesale: Faire, Walmart Marketplace, Target Plus  |  traffic = Retailer and marketplace views</t>
  </si>
  <si>
    <t xml:space="preserve">RETAIL_inc</t>
  </si>
  <si>
    <t xml:space="preserve">RETAIL_launch</t>
  </si>
  <si>
    <t xml:space="preserve">After a 12-month sales record (AMAZON-AND-RETAIL-ROADMAP B1, B5). Conservative assumes no retail inside 36 months.</t>
  </si>
  <si>
    <t xml:space="preserve">RETAIL_base</t>
  </si>
  <si>
    <t xml:space="preserve">RETAIL_g1</t>
  </si>
  <si>
    <t xml:space="preserve">RETAIL_g2</t>
  </si>
  <si>
    <t xml:space="preserve">RETAIL_g3</t>
  </si>
  <si>
    <t xml:space="preserve">RETAIL_cvr</t>
  </si>
  <si>
    <t xml:space="preserve">RETAIL_items</t>
  </si>
  <si>
    <t xml:space="preserve">Units per order (wholesale cartons mixed with single marketplace orders)</t>
  </si>
  <si>
    <t xml:space="preserve">Email list (owned audience; drives the course)</t>
  </si>
  <si>
    <t xml:space="preserve">signup</t>
  </si>
  <si>
    <t xml:space="preserve">Site visitors who join the list (free '3 plays for your child's age')</t>
  </si>
  <si>
    <t xml:space="preserve">BLIND-SPOTS #5 lead magnet.</t>
  </si>
  <si>
    <t xml:space="preserve">optin</t>
  </si>
  <si>
    <t xml:space="preserve">Buyers who join through the bonus QR / short link</t>
  </si>
  <si>
    <t xml:space="preserve">% of orders</t>
  </si>
  <si>
    <t xml:space="preserve">BLIND-SPOTS #5: QR code and short link in every product file.</t>
  </si>
  <si>
    <t xml:space="preserve">churn</t>
  </si>
  <si>
    <t xml:space="preserve">Monthly unsubscribe rate</t>
  </si>
  <si>
    <t xml:space="preserve">Paid advertising (one test at a time; cut ad sets that miss target CAC)</t>
  </si>
  <si>
    <t xml:space="preserve">ads_start</t>
  </si>
  <si>
    <t xml:space="preserve">Ads start month</t>
  </si>
  <si>
    <t xml:space="preserve">MARKETING-PLAYBOOK week 4 (Oct 19-25): Amazon Ads $5-10/day on live titles.</t>
  </si>
  <si>
    <t xml:space="preserve">ads1</t>
  </si>
  <si>
    <t xml:space="preserve">Ad spend per month, year 1</t>
  </si>
  <si>
    <t xml:space="preserve">Amazon Ads $5-10/day; Pinterest $10-20/day test after about 60 days (MARKETING-PLAYBOOK).</t>
  </si>
  <si>
    <t xml:space="preserve">ads2</t>
  </si>
  <si>
    <t xml:space="preserve">Ad spend per month, year 2</t>
  </si>
  <si>
    <t xml:space="preserve">Adds Google Search at $10/day once site conversion is at least 1.5% (MARKETING-PLAYBOOK #12).</t>
  </si>
  <si>
    <t xml:space="preserve">ads3</t>
  </si>
  <si>
    <t xml:space="preserve">Ad spend per month, year 3</t>
  </si>
  <si>
    <t xml:space="preserve">Raise only while CAC is under target (MARKETING-PLAYBOOK checklist).</t>
  </si>
  <si>
    <t xml:space="preserve">Unit economics: net to AlphaPlay LLC per unit, by product and channel</t>
  </si>
  <si>
    <t xml:space="preserve">Net per unit = Price x (1 - platform % - payment % - refund %) - fixed fees - print/POD/landed cost - fulfilment. Sales tax and VAT are pass-through and never counted as revenue. Blue prices are editable; other channels link to them.</t>
  </si>
  <si>
    <t xml:space="preserve">Channel code</t>
  </si>
  <si>
    <t xml:space="preserve">Product</t>
  </si>
  <si>
    <t xml:space="preserve">Channel / route</t>
  </si>
  <si>
    <t xml:space="preserve">Wave</t>
  </si>
  <si>
    <t xml:space="preserve">Price to customer ($)</t>
  </si>
  <si>
    <t xml:space="preserve">Platform / marketplace fee %</t>
  </si>
  <si>
    <t xml:space="preserve">Platform fixed fee ($/unit)</t>
  </si>
  <si>
    <t xml:space="preserve">Payment processing %</t>
  </si>
  <si>
    <t xml:space="preserve">Payment fixed fee ($)</t>
  </si>
  <si>
    <t xml:space="preserve">Refund / deduction allowance %</t>
  </si>
  <si>
    <t xml:space="preserve">Print, POD or landed cost ($/unit)</t>
  </si>
  <si>
    <t xml:space="preserve">Fulfilment ($/unit)</t>
  </si>
  <si>
    <t xml:space="preserve">Net per unit ($)</t>
  </si>
  <si>
    <t xml:space="preserve">Net margin %</t>
  </si>
  <si>
    <t xml:space="preserve">Inventory cost paid up front ($/unit)</t>
  </si>
  <si>
    <t xml:space="preserve">Mix weight in channel</t>
  </si>
  <si>
    <t xml:space="preserve">Sales tax / VAT handling</t>
  </si>
  <si>
    <t xml:space="preserve">Source / notes</t>
  </si>
  <si>
    <t xml:space="preserve">SITE</t>
  </si>
  <si>
    <t xml:space="preserve">Visual routine cards (200+ editable, 0-5 and 5-12)</t>
  </si>
  <si>
    <t xml:space="preserve">Own site (Shopify)</t>
  </si>
  <si>
    <t xml:space="preserve">1</t>
  </si>
  <si>
    <t xml:space="preserve">Shopify Tax adds MD 6% at checkout; AlphaPlay remits (pass-through, not revenue)</t>
  </si>
  <si>
    <t xml:space="preserve">DEMAND-CHECK §3 #1: $9.50 list / about $6.50 sale. Everyday price set at $6.50 under BRAND.md 'Honest pricing' (no permanent anchor discounts).</t>
  </si>
  <si>
    <t xml:space="preserve">"I'm bored" play cards (150, age-banded)</t>
  </si>
  <si>
    <t xml:space="preserve">DEMAND-CHECK §3 #2.</t>
  </si>
  <si>
    <t xml:space="preserve">Play-First Family Kit</t>
  </si>
  <si>
    <t xml:space="preserve">DEMAND-CHECK §3 #3.</t>
  </si>
  <si>
    <t xml:space="preserve">Toddler busy book printable (120-150 pages)</t>
  </si>
  <si>
    <t xml:space="preserve">DEMAND-CHECK §3 #4: $15.99 list, sold at about $11-12; everyday price $11.99 under Honest pricing.</t>
  </si>
  <si>
    <t xml:space="preserve">100 Screen-Free Plays (PDF)</t>
  </si>
  <si>
    <t xml:space="preserve">DEMAND-CHECK §3 #5.</t>
  </si>
  <si>
    <t xml:space="preserve">Screen-Free Car Ride &amp; Waiting Pack</t>
  </si>
  <si>
    <t xml:space="preserve">DEMAND-CHECK §3 first alternate.</t>
  </si>
  <si>
    <t xml:space="preserve">First-words flash cards (printable)</t>
  </si>
  <si>
    <t xml:space="preserve">DEMAND-CHECK §2 #3.</t>
  </si>
  <si>
    <t xml:space="preserve">ALPHAPLAY Spelling Games printable</t>
  </si>
  <si>
    <t xml:space="preserve">ops/QUEUE.md #1 (trademark use). No price in repo; $6 is an assumption (never list a single under $5, rule 3).</t>
  </si>
  <si>
    <t xml:space="preserve">Adult tee (POD, 2-3 cleared designs max)</t>
  </si>
  <si>
    <t xml:space="preserve">Own site (Shopify) + POD partner</t>
  </si>
  <si>
    <t xml:space="preserve">DEMAND-CHECK tees row: $27; no merch line beyond 2-3 designs.</t>
  </si>
  <si>
    <t xml:space="preserve">ETSY</t>
  </si>
  <si>
    <t xml:space="preserve">Etsy</t>
  </si>
  <si>
    <t xml:space="preserve">Etsy is marketplace facilitator: collects and remits</t>
  </si>
  <si>
    <t xml:space="preserve">Price linked to the own-site row.</t>
  </si>
  <si>
    <t xml:space="preserve">MOR</t>
  </si>
  <si>
    <t xml:space="preserve">Gumroad (merchant of record), buyers outside the US</t>
  </si>
  <si>
    <t xml:space="preserve">1-2</t>
  </si>
  <si>
    <t xml:space="preserve">Merchant of record collects and remits US sales tax and EU/UK VAT</t>
  </si>
  <si>
    <t xml:space="preserve">International plan: one MoR for international digital sales.</t>
  </si>
  <si>
    <t xml:space="preserve">KDP</t>
  </si>
  <si>
    <t xml:space="preserve">100 Screen-Free Plays (paperback, B/W interior)</t>
  </si>
  <si>
    <t xml:space="preserve">Amazon KDP</t>
  </si>
  <si>
    <t xml:space="preserve">Amazon is the retailer; royalty only, no sales tax for AlphaPlay</t>
  </si>
  <si>
    <t xml:space="preserve">DEMAND-CHECK §3 #5: $16.99 paperback. Print cost uses the B/W rate [VERIFY].</t>
  </si>
  <si>
    <t xml:space="preserve">The Day the Tablet Slept (paperback)</t>
  </si>
  <si>
    <t xml:space="preserve">picture-tablet-slept/listing.json: $11.99; about $3.95/copy royalty.</t>
  </si>
  <si>
    <t xml:space="preserve">Up! Go! More! (talk-along paperback)</t>
  </si>
  <si>
    <t xml:space="preserve">board-up-go-more/listing.json: $11.99 paperback edition sells now with no inventory.</t>
  </si>
  <si>
    <t xml:space="preserve">INGRAM</t>
  </si>
  <si>
    <t xml:space="preserve">Laps Not Apps (32-page hardcover)</t>
  </si>
  <si>
    <t xml:space="preserve">IngramSpark</t>
  </si>
  <si>
    <t xml:space="preserve">Retailer collects; AlphaPlay receives publisher compensation</t>
  </si>
  <si>
    <t xml:space="preserve">picture-laps-not-apps/listing.json: $19.99; aim print cost at or below 35-40% of list.</t>
  </si>
  <si>
    <t xml:space="preserve">The Day the Tablet Slept (hardcover)</t>
  </si>
  <si>
    <t xml:space="preserve">picture-tablet-slept/listing.json: hardcover $19.99.</t>
  </si>
  <si>
    <t xml:space="preserve">100 Screen-Free Plays (paperback via Ingram)</t>
  </si>
  <si>
    <t xml:space="preserve">IngramSpark (same ISBN; KDP Expanded Distribution off)</t>
  </si>
  <si>
    <t xml:space="preserve">storefront-setup-guide Part D. Print cost proxy = KDP B/W formula [VERIFY].</t>
  </si>
  <si>
    <t xml:space="preserve">Up! Go! More! (paperback via Ingram)</t>
  </si>
  <si>
    <t xml:space="preserve">board-up-go-more/listing.json channels.</t>
  </si>
  <si>
    <t xml:space="preserve">COURSE</t>
  </si>
  <si>
    <t xml:space="preserve">30-Day Screen Reset (written program)</t>
  </si>
  <si>
    <t xml:space="preserve">Own site (Shopify) + automated email</t>
  </si>
  <si>
    <t xml:space="preserve">2</t>
  </si>
  <si>
    <t xml:space="preserve">DEMAND-CHECK course row: $27.</t>
  </si>
  <si>
    <t xml:space="preserve">30-Day Screen Reset bundle</t>
  </si>
  <si>
    <t xml:space="preserve">DEMAND-CHECK course row: $49 bundle.</t>
  </si>
  <si>
    <t xml:space="preserve">BOARD</t>
  </si>
  <si>
    <t xml:space="preserve">Up! Go! More! board book</t>
  </si>
  <si>
    <t xml:space="preserve">Own site; offset stock at a 3PL</t>
  </si>
  <si>
    <t xml:space="preserve">3</t>
  </si>
  <si>
    <t xml:space="preserve">Offset run held and shipped by a 3PL, never the founder (BRAND.md). Postage charged to the buyer.</t>
  </si>
  <si>
    <t xml:space="preserve">Amazon FBA</t>
  </si>
  <si>
    <t xml:space="preserve">Amazon collects and remits</t>
  </si>
  <si>
    <t xml:space="preserve">AMAZON-AND-RETAIL-ROADMAP A: board books via FBA; CPSIA paperwork first.</t>
  </si>
  <si>
    <t xml:space="preserve">SCHOOL</t>
  </si>
  <si>
    <t xml:space="preserve">TPT single resource (e.g., talk brain breaks)</t>
  </si>
  <si>
    <t xml:space="preserve">Teachers Pay Teachers</t>
  </si>
  <si>
    <t xml:space="preserve">4 (held)</t>
  </si>
  <si>
    <t xml:space="preserve">TPT remits as marketplace (UNVERIFIED)</t>
  </si>
  <si>
    <t xml:space="preserve">DEMAND-CHECK teacher table: $5 singles; held for counsel.</t>
  </si>
  <si>
    <t xml:space="preserve">Classroom Talk and Play growth bundle</t>
  </si>
  <si>
    <t xml:space="preserve">DEMAND-CHECK §2 #11: $22-26.</t>
  </si>
  <si>
    <t xml:space="preserve">Single-classroom license</t>
  </si>
  <si>
    <t xml:space="preserve">Direct invoice / Shopify draft order</t>
  </si>
  <si>
    <t xml:space="preserve">Tax-exempt certificate kept on file; otherwise MD 6%</t>
  </si>
  <si>
    <t xml:space="preserve">MARKETING-PLAYBOOK School Purchasing Kit: Single Classroom $29.</t>
  </si>
  <si>
    <t xml:space="preserve">Host-it-yourself parent-night kit, single site</t>
  </si>
  <si>
    <t xml:space="preserve">Direct invoice / Shopify</t>
  </si>
  <si>
    <t xml:space="preserve">DEMAND-CHECK: $129 single site.</t>
  </si>
  <si>
    <t xml:space="preserve">Host kit, multi-site</t>
  </si>
  <si>
    <t xml:space="preserve">DEMAND-CHECK: $249 multi-site.</t>
  </si>
  <si>
    <t xml:space="preserve">RETAIL</t>
  </si>
  <si>
    <t xml:space="preserve">Up! Go! More! board book (wholesale)</t>
  </si>
  <si>
    <t xml:space="preserve">Faire wholesale to boutiques</t>
  </si>
  <si>
    <t xml:space="preserve">5 (retail)</t>
  </si>
  <si>
    <t xml:space="preserve">Wholesale: exempt with the retailer's resale certificate</t>
  </si>
  <si>
    <t xml:space="preserve">Wholesale pays about half of retail (AMAZON-AND-RETAIL-ROADMAP B4).</t>
  </si>
  <si>
    <t xml:space="preserve">Walmart Marketplace (3PL-fulfilled)</t>
  </si>
  <si>
    <t xml:space="preserve">Marketplace facilitator [VERIFY for Target Plus]</t>
  </si>
  <si>
    <t xml:space="preserve">Walmart Marketplace by application (ROADMAP B3).</t>
  </si>
  <si>
    <t xml:space="preserve">Target Plus (invitation-only) [VERIFY]</t>
  </si>
  <si>
    <t xml:space="preserve">Target Plus is invitation-only (ROADMAP B3) [VERIFY terms].</t>
  </si>
  <si>
    <t xml:space="preserve">Channel blend used by the forecast (weighted by mix weight)</t>
  </si>
  <si>
    <t xml:space="preserve">Channel</t>
  </si>
  <si>
    <t xml:space="preserve">Blended price ($/item)</t>
  </si>
  <si>
    <t xml:space="preserve">Blended net per item ($)</t>
  </si>
  <si>
    <t xml:space="preserve">Inventory cost paid up front ($/item)</t>
  </si>
  <si>
    <t xml:space="preserve">Payout delay (months)</t>
  </si>
  <si>
    <t xml:space="preserve">Own site: printables, PDFs and POD tee (Shopify)</t>
  </si>
  <si>
    <t xml:space="preserve">Etsy: printables</t>
  </si>
  <si>
    <t xml:space="preserve">Amazon KDP: paperbacks</t>
  </si>
  <si>
    <t xml:space="preserve">IngramSpark: hardcovers, bookstores, libraries</t>
  </si>
  <si>
    <t xml:space="preserve">International digital via merchant of record (Gumroad)</t>
  </si>
  <si>
    <t xml:space="preserve">30-Day Screen Reset written course (Wave 2)</t>
  </si>
  <si>
    <t xml:space="preserve">Board book: pre-sale, then 3PL and Amazon FBA (Wave 3)</t>
  </si>
  <si>
    <t xml:space="preserve">School and group licenses + TPT (held for counsel)</t>
  </si>
  <si>
    <t xml:space="preserve">Retail and wholesale: Faire, Walmart Marketplace, Target Plus</t>
  </si>
  <si>
    <t xml:space="preserve">Notes</t>
  </si>
  <si>
    <t xml:space="preserve">KDP and IngramSpark: 'price' is the list price the reader pays; AlphaPlay receives the royalty or publisher compensation shown in Net per unit.</t>
  </si>
  <si>
    <t xml:space="preserve">Board book and retail rows: the landed print cost is deducted in Net per unit (true margin). Cash Flow adds it back and instead pays for whole print runs up front.</t>
  </si>
  <si>
    <t xml:space="preserve">Fixed per-order fees are applied per item, which slightly understates net on multi-item orders (a conservative simplification).</t>
  </si>
  <si>
    <t xml:space="preserve">IngramSpark hardcover margins are thin at a 55% discount; test a 40% discount or a higher list price (listing.json asks each sale to clear $2-$3).</t>
  </si>
  <si>
    <t xml:space="preserve">Postage on physical orders is assumed charged to the buyer at cost (pass-through).</t>
  </si>
  <si>
    <t xml:space="preserve">Startup costs: one-time items</t>
  </si>
  <si>
    <t xml:space="preserve">Model ($) = Low + cost position x (High - Low), using the cost position on Assumptions. Set Include to 0 to drop an item. Recurring items (insurance, domains, subscriptions) live on Monthly Operating Costs.</t>
  </si>
  <si>
    <t xml:space="preserve">Item</t>
  </si>
  <si>
    <t xml:space="preserve">Category</t>
  </si>
  <si>
    <t xml:space="preserve">Low ($)</t>
  </si>
  <si>
    <t xml:space="preserve">High ($)</t>
  </si>
  <si>
    <t xml:space="preserve">Model ($)</t>
  </si>
  <si>
    <t xml:space="preserve">Month incurred (model month #)</t>
  </si>
  <si>
    <t xml:space="preserve">Include (1/0)</t>
  </si>
  <si>
    <t xml:space="preserve">Source</t>
  </si>
  <si>
    <t xml:space="preserve">Trade-name filing, 'Play Before Pixels' (SDAT)</t>
  </si>
  <si>
    <t xml:space="preserve">Legal/entity</t>
  </si>
  <si>
    <t xml:space="preserve">legal/protection/PROTECTION-PLAN.md: $25 ($50 expedited).</t>
  </si>
  <si>
    <t xml:space="preserve">Principal office / resident agent change (SDAT)</t>
  </si>
  <si>
    <t xml:space="preserve">PROTECTION-PLAN: $25 ($50 expedited).</t>
  </si>
  <si>
    <t xml:space="preserve">DMCA designated agent registration</t>
  </si>
  <si>
    <t xml:space="preserve">Legal/IP</t>
  </si>
  <si>
    <t xml:space="preserve">PROTECTION-PLAN: $6, renews every 3 years.</t>
  </si>
  <si>
    <t xml:space="preserve">Etsy shop opening fee (may apply)</t>
  </si>
  <si>
    <t xml:space="preserve">Channels</t>
  </si>
  <si>
    <t xml:space="preserve">storefront-setup-guide §10.</t>
  </si>
  <si>
    <t xml:space="preserve">Bowker ISBNs, 10-pack</t>
  </si>
  <si>
    <t xml:space="preserve">Publishing</t>
  </si>
  <si>
    <t xml:space="preserve">PROTECTION-PLAN; DECISION-MEMO (UNVERIFIED).</t>
  </si>
  <si>
    <t xml:space="preserve">Trademark clearance search + attorney opinion, PLAY BEFORE PIXELS</t>
  </si>
  <si>
    <t xml:space="preserve">legal/DECISION-MEMO.json step 2.</t>
  </si>
  <si>
    <t xml:space="preserve">USPTO application, PLAY BEFORE PIXELS, classes 16 + 41</t>
  </si>
  <si>
    <t xml:space="preserve">PROTECTION-PLAN #7: $350/class, within 90 days.</t>
  </si>
  <si>
    <t xml:space="preserve">ALPHAPLAY Statement of Use ($150/class) or extension (up to $625)</t>
  </si>
  <si>
    <t xml:space="preserve">PROTECTION-PLAN #6: due Mar 8, 2027; target Feb 1, 2027.</t>
  </si>
  <si>
    <t xml:space="preserve">Trademark attorney, ALPHAPLAY filing</t>
  </si>
  <si>
    <t xml:space="preserve">marketing/BLIND-SPOTS.md #9.</t>
  </si>
  <si>
    <t xml:space="preserve">Copyright registrations for pending works (before Nov 11, 2026)</t>
  </si>
  <si>
    <t xml:space="preserve">PROTECTION-PLAN: about 8 filings at $45-$85.</t>
  </si>
  <si>
    <t xml:space="preserve">Attorney: IP assignment to the LLC + operating-agreement refresh</t>
  </si>
  <si>
    <t xml:space="preserve">PROTECTION-PLAN #5 (after employment counsel answers).</t>
  </si>
  <si>
    <t xml:space="preserve">Attorney: Terms of Sale and website legal pages</t>
  </si>
  <si>
    <t xml:space="preserve">Legal</t>
  </si>
  <si>
    <t xml:space="preserve">PROTECTION-PLAN contracts table; DECISION-MEMO $500-$2,000.</t>
  </si>
  <si>
    <t xml:space="preserve">Attorney: freelancer work-for-hire template</t>
  </si>
  <si>
    <t xml:space="preserve">PROTECTION-PLAN contracts table.</t>
  </si>
  <si>
    <t xml:space="preserve">Attorney: digital product license review</t>
  </si>
  <si>
    <t xml:space="preserve">Attorney: successor in operating agreement + durable POA</t>
  </si>
  <si>
    <t xml:space="preserve">BLIND-SPOTS #20.</t>
  </si>
  <si>
    <t xml:space="preserve">Accountant setup review (W-9 answer, sales tax, chart of accounts)</t>
  </si>
  <si>
    <t xml:space="preserve">Finance</t>
  </si>
  <si>
    <t xml:space="preserve">No fee in the repo (finance/money-and-tax-setup.md lists the questions).</t>
  </si>
  <si>
    <t xml:space="preserve">Print proofs, about 6 print products at $5-$15</t>
  </si>
  <si>
    <t xml:space="preserve">BLIND-SPOTS #11.</t>
  </si>
  <si>
    <t xml:space="preserve">Expert accuracy review (CCC-SLP, flat fee)</t>
  </si>
  <si>
    <t xml:space="preserve">BLIND-SPOTS #10.</t>
  </si>
  <si>
    <t xml:space="preserve">Sensitivity read</t>
  </si>
  <si>
    <t xml:space="preserve">Early review copies for review teams</t>
  </si>
  <si>
    <t xml:space="preserve">Marketing</t>
  </si>
  <si>
    <t xml:space="preserve">BLIND-SPOTS #14.</t>
  </si>
  <si>
    <t xml:space="preserve">Holiday gift setup (gift cards, reveal card)</t>
  </si>
  <si>
    <t xml:space="preserve">BLIND-SPOTS #6.</t>
  </si>
  <si>
    <t xml:space="preserve">Human illustrator for the board book (Wave 3)</t>
  </si>
  <si>
    <t xml:space="preserve">Product (Wave 3)</t>
  </si>
  <si>
    <t xml:space="preserve">BLIND-SPOTS #17.</t>
  </si>
  <si>
    <t xml:space="preserve">Library cataloging block</t>
  </si>
  <si>
    <t xml:space="preserve">Library credibility</t>
  </si>
  <si>
    <t xml:space="preserve">BLIND-SPOTS #18 [VERIFY].</t>
  </si>
  <si>
    <t xml:space="preserve">One paid review (Kirkus Indie or Foreword Clarion)</t>
  </si>
  <si>
    <t xml:space="preserve">Juried award entries (2-3 at $75-$100)</t>
  </si>
  <si>
    <t xml:space="preserve">Spanish 'starter' localization (AI + professional post-edit)</t>
  </si>
  <si>
    <t xml:space="preserve">International</t>
  </si>
  <si>
    <t xml:space="preserve">legal/international-plan.md: Spanish mixed, months 4-9.</t>
  </si>
  <si>
    <t xml:space="preserve">Repo (estimate)</t>
  </si>
  <si>
    <t xml:space="preserve">Madrid international trademark (EU, UK, CA, AU; 2 classes) - optional</t>
  </si>
  <si>
    <t xml:space="preserve">DECISION-MEMO: only once the US application looks safe.</t>
  </si>
  <si>
    <t xml:space="preserve">Total (included items)</t>
  </si>
  <si>
    <t xml:space="preserve">Timing summary</t>
  </si>
  <si>
    <t xml:space="preserve">Months 1-3 (Oct-Dec 2026)</t>
  </si>
  <si>
    <t xml:space="preserve">Months 4-12</t>
  </si>
  <si>
    <t xml:space="preserve">Year 2</t>
  </si>
  <si>
    <t xml:space="preserve">Year 3</t>
  </si>
  <si>
    <t xml:space="preserve">Not included: employment-counsel fees (a personal matter for the founder); board-book CPSIA testing, 3PL setup and print runs (see Retail Readiness Costs and Cash Flow).</t>
  </si>
  <si>
    <t xml:space="preserve">Monthly operating costs: subscriptions, Claude plan, email platform, connectors, insurance and reserve</t>
  </si>
  <si>
    <t xml:space="preserve">Low/High are the amount per billing period (per month for Monthly items, per year for Annual items). Model = Low + cost position x (High - Low). Annual items hit in their start month and every 12 months after. Insurance is shown billed monthly (annual premium / 12).</t>
  </si>
  <si>
    <t xml:space="preserve">Year</t>
  </si>
  <si>
    <t xml:space="preserve">Month #</t>
  </si>
  <si>
    <t xml:space="preserve">Model ($ per period)</t>
  </si>
  <si>
    <t xml:space="preserve">Frequency</t>
  </si>
  <si>
    <t xml:space="preserve">Start month</t>
  </si>
  <si>
    <t xml:space="preserve">End month</t>
  </si>
  <si>
    <t xml:space="preserve">Year 1 total</t>
  </si>
  <si>
    <t xml:space="preserve">Year 2 total</t>
  </si>
  <si>
    <t xml:space="preserve">Year 3 total</t>
  </si>
  <si>
    <t xml:space="preserve">Shopify Basic plan</t>
  </si>
  <si>
    <t xml:space="preserve">Store</t>
  </si>
  <si>
    <t xml:space="preserve">Monthly</t>
  </si>
  <si>
    <t xml:space="preserve">storefront-setup-guide §1: $39/mo ($29 billed yearly).</t>
  </si>
  <si>
    <t xml:space="preserve">Business email on the brand domain</t>
  </si>
  <si>
    <t xml:space="preserve">Tools</t>
  </si>
  <si>
    <t xml:space="preserve">BLIND-SPOTS #4: about $7-$14 a month.</t>
  </si>
  <si>
    <t xml:space="preserve">Password manager</t>
  </si>
  <si>
    <t xml:space="preserve">Annual</t>
  </si>
  <si>
    <t xml:space="preserve">BLIND-SPOTS #4: $0-$40 a year.</t>
  </si>
  <si>
    <t xml:space="preserve">Email platform, year 1 (free tiers, then budget)</t>
  </si>
  <si>
    <t xml:space="preserve">Email</t>
  </si>
  <si>
    <t xml:space="preserve">MARKETING-PLAYBOOK: Klaviyo free 250 profiles; budget $20/mo.</t>
  </si>
  <si>
    <t xml:space="preserve">Email platform, years 2-3</t>
  </si>
  <si>
    <t xml:space="preserve">MARKETING-PLAYBOOK: about $20-39/mo later.</t>
  </si>
  <si>
    <t xml:space="preserve">Claude plan that runs the scheduled routines</t>
  </si>
  <si>
    <t xml:space="preserve">Automation</t>
  </si>
  <si>
    <t xml:space="preserve">No price in the repo; a higher-usage tier is assumed because routines run weekly (ops/ROUTINE.md).</t>
  </si>
  <si>
    <t xml:space="preserve">Claude usage-credit cap (hard limit)</t>
  </si>
  <si>
    <t xml:space="preserve">ops/GAPS-ROUND-2.md G2-06: fixed monthly limit such as $25.</t>
  </si>
  <si>
    <t xml:space="preserve">QuickBooks Online (Simple Start to Essentials)</t>
  </si>
  <si>
    <t xml:space="preserve">Bookkeeping</t>
  </si>
  <si>
    <t xml:space="preserve">finance/money-and-tax-setup.md: $38 Simple Start; Essentials $75-$85 (UNVERIFIED).</t>
  </si>
  <si>
    <t xml:space="preserve">Link My Books settlement connector (1-3 channels)</t>
  </si>
  <si>
    <t xml:space="preserve">Connectors</t>
  </si>
  <si>
    <t xml:space="preserve">money-and-tax-setup: from $21/mo, about $13 per extra channel.</t>
  </si>
  <si>
    <t xml:space="preserve">Buyer-specific PDF stamping</t>
  </si>
  <si>
    <t xml:space="preserve">PROTECTION-PLAN: about $0-$20/mo.</t>
  </si>
  <si>
    <t xml:space="preserve">Etsy listing renewals (about 30 listings every 4 months)</t>
  </si>
  <si>
    <t xml:space="preserve">$0.20 per listing (storefront guide §10); listing count is an assumption.</t>
  </si>
  <si>
    <t xml:space="preserve">Sales-tax filing service (optional; the accountant may file)</t>
  </si>
  <si>
    <t xml:space="preserve">Tax</t>
  </si>
  <si>
    <t xml:space="preserve">TAX-AUTOPILOT §1 names services; no price in the repo.</t>
  </si>
  <si>
    <t xml:space="preserve">Domains, MUST tier</t>
  </si>
  <si>
    <t xml:space="preserve">Domains</t>
  </si>
  <si>
    <t xml:space="preserve">legal/domain-portfolio.md: about $61 a year.</t>
  </si>
  <si>
    <t xml:space="preserve">Domains, SHOULD tier (before paid ads / first print run)</t>
  </si>
  <si>
    <t xml:space="preserve">legal/domain-portfolio.md: about $118 a year.</t>
  </si>
  <si>
    <t xml:space="preserve">USPS PO Box (public business address)</t>
  </si>
  <si>
    <t xml:space="preserve">Admin</t>
  </si>
  <si>
    <t xml:space="preserve">legal/ENTITY.md decision; fee not in the repo (TRUST-CHECKLIST says verify at usps.com).</t>
  </si>
  <si>
    <t xml:space="preserve">Commercial resident agent</t>
  </si>
  <si>
    <t xml:space="preserve">PROTECTION-PLAN: about $50-$300 a year.</t>
  </si>
  <si>
    <t xml:space="preserve">Maryland SDAT annual report</t>
  </si>
  <si>
    <t xml:space="preserve">PROTECTION-PLAN: $300, due Apr 15 (month 7 = Apr 2027).</t>
  </si>
  <si>
    <t xml:space="preserve">General liability with products-completed operations</t>
  </si>
  <si>
    <t xml:space="preserve">Insurance</t>
  </si>
  <si>
    <t xml:space="preserve">PROTECTION-PLAN: about $542/yr average; range $260-$3,000+ (low = average / 12).</t>
  </si>
  <si>
    <t xml:space="preserve">Professional liability / E&amp;O</t>
  </si>
  <si>
    <t xml:space="preserve">PROTECTION-PLAN: about $62/mo average; $400-$3,750/yr range.</t>
  </si>
  <si>
    <t xml:space="preserve">Media liability / publisher's E&amp;O</t>
  </si>
  <si>
    <t xml:space="preserve">PROTECTION-PLAN: $50-$150/mo (secondary, unverified).</t>
  </si>
  <si>
    <t xml:space="preserve">Cyber</t>
  </si>
  <si>
    <t xml:space="preserve">PROTECTION-PLAN: $35-$129/mo.</t>
  </si>
  <si>
    <t xml:space="preserve">Umbrella / excess over GL</t>
  </si>
  <si>
    <t xml:space="preserve">PROTECTION-PLAN: 'a few hundred dollars a year' (unverified).</t>
  </si>
  <si>
    <t xml:space="preserve">Trademark watch (optional; the monthly DIY search is $0)</t>
  </si>
  <si>
    <t xml:space="preserve">PROTECTION-PLAN: $395-$750 a year.</t>
  </si>
  <si>
    <t xml:space="preserve">Accountant: year-end return and review</t>
  </si>
  <si>
    <t xml:space="preserve">No fee in the repo.</t>
  </si>
  <si>
    <t xml:space="preserve">Copyright registrations for new releases (about 4 a year)</t>
  </si>
  <si>
    <t xml:space="preserve">PROTECTION-PLAN: $65-$85 per filing.</t>
  </si>
  <si>
    <t xml:space="preserve">Subtotal</t>
  </si>
  <si>
    <t xml:space="preserve">Operating contingency</t>
  </si>
  <si>
    <t xml:space="preserve">Total monthly operating costs</t>
  </si>
  <si>
    <t xml:space="preserve">Wave-specific fixed costs (3PL minimum, Seller Central, retail EDI and insurance uplift) are added in the forecast only when that wave is live.</t>
  </si>
  <si>
    <t xml:space="preserve">36-month forecast: three scenarios, driven by traffic -&gt; conversion -&gt; orders -&gt; order value, by channel and wave</t>
  </si>
  <si>
    <t xml:space="preserve">Traffic = trend (launch traffic compounded by monthly growth) x seasonality. Conversion ramps up over the review-ramp months. Net contribution = items x blended net per item from Unit Economics. Figures are planning estimates, not promises of income.</t>
  </si>
  <si>
    <t xml:space="preserve">Model month #</t>
  </si>
  <si>
    <t xml:space="preserve">Unit / note</t>
  </si>
  <si>
    <t xml:space="preserve">Oct-Sep</t>
  </si>
  <si>
    <t xml:space="preserve">Total</t>
  </si>
  <si>
    <t xml:space="preserve">Month</t>
  </si>
  <si>
    <t xml:space="preserve">Year 1</t>
  </si>
  <si>
    <t xml:space="preserve">36 months</t>
  </si>
  <si>
    <t xml:space="preserve">Model year</t>
  </si>
  <si>
    <t xml:space="preserve">Seasonality: consumer</t>
  </si>
  <si>
    <t xml:space="preserve">Seasonality: school / group</t>
  </si>
  <si>
    <t xml:space="preserve">CONSERVATIVE SCENARIO</t>
  </si>
  <si>
    <t xml:space="preserve">Board-book print month (pre-sale ends), model month #</t>
  </si>
  <si>
    <t xml:space="preserve">Pre-sale units ordered before the print month (copies)</t>
  </si>
  <si>
    <t xml:space="preserve">First offset run size = max(minimum run, pre-sale units x (1 + buffer)), rounded up to 100</t>
  </si>
  <si>
    <t xml:space="preserve">   Active (1 = live)</t>
  </si>
  <si>
    <t xml:space="preserve">   Traffic trend (before seasonality)</t>
  </si>
  <si>
    <t xml:space="preserve">   Site sessions (all visitors)</t>
  </si>
  <si>
    <t xml:space="preserve">   Conversion rate (with review ramp)</t>
  </si>
  <si>
    <t xml:space="preserve">   Orders (US sessions; international go to the MoR once it is live)</t>
  </si>
  <si>
    <t xml:space="preserve">orders</t>
  </si>
  <si>
    <t xml:space="preserve">   Items sold</t>
  </si>
  <si>
    <t xml:space="preserve">   Average order value</t>
  </si>
  <si>
    <t xml:space="preserve">   Gross sales (price paid by customers)</t>
  </si>
  <si>
    <t xml:space="preserve">   Net contribution to AlphaPlay</t>
  </si>
  <si>
    <t xml:space="preserve">   Etsy listing visits</t>
  </si>
  <si>
    <t xml:space="preserve">   Orders</t>
  </si>
  <si>
    <t xml:space="preserve">   Amazon detail-page views</t>
  </si>
  <si>
    <t xml:space="preserve">   Retailer and library listing views (est.)</t>
  </si>
  <si>
    <t xml:space="preserve">   International site sessions</t>
  </si>
  <si>
    <t xml:space="preserve">   Subscribers reached (list last month x reach)</t>
  </si>
  <si>
    <t xml:space="preserve">people</t>
  </si>
  <si>
    <t xml:space="preserve">   Subscribers reached by the offer</t>
  </si>
  <si>
    <t xml:space="preserve">   Product-page sessions (site + Amazon)</t>
  </si>
  <si>
    <t xml:space="preserve">   Schools/orgs page + TPT views</t>
  </si>
  <si>
    <t xml:space="preserve">   Retailer and marketplace views</t>
  </si>
  <si>
    <t xml:space="preserve">Email list (owned audience)</t>
  </si>
  <si>
    <t xml:space="preserve">   New subscribers (site visitors + buyers via bonus QR)</t>
  </si>
  <si>
    <t xml:space="preserve">   Unsubscribes</t>
  </si>
  <si>
    <t xml:space="preserve">   Subscribers at month end</t>
  </si>
  <si>
    <t xml:space="preserve">Totals and operating result</t>
  </si>
  <si>
    <t xml:space="preserve">Total orders</t>
  </si>
  <si>
    <t xml:space="preserve">Total items sold</t>
  </si>
  <si>
    <t xml:space="preserve">Cumulative orders</t>
  </si>
  <si>
    <t xml:space="preserve">Cumulative items sold</t>
  </si>
  <si>
    <t xml:space="preserve">Total gross sales (customer prices, excl. sales tax/VAT)</t>
  </si>
  <si>
    <t xml:space="preserve">Total net contribution (after platform, payment, print/POD and fulfilment costs)</t>
  </si>
  <si>
    <t xml:space="preserve">Net contribution as % of gross sales</t>
  </si>
  <si>
    <t xml:space="preserve">Paid advertising</t>
  </si>
  <si>
    <t xml:space="preserve">Operating costs (Monthly Operating Costs tab)</t>
  </si>
  <si>
    <t xml:space="preserve">Wave fixed costs (3PL minimum, Seller Central, retail EDI/insurance uplift)</t>
  </si>
  <si>
    <t xml:space="preserve">NET OPERATING RESULT (before one-time costs)</t>
  </si>
  <si>
    <t xml:space="preserve">One-time startup costs (Startup Costs tab)</t>
  </si>
  <si>
    <t xml:space="preserve">One-time wave launch and retail readiness costs</t>
  </si>
  <si>
    <t xml:space="preserve">Net result after one-time costs</t>
  </si>
  <si>
    <t xml:space="preserve">Cumulative net result</t>
  </si>
  <si>
    <t xml:space="preserve">Held inventory (Wave 3 board book and retail; stock sits at a 3PL or Amazon, never with the founder)</t>
  </si>
  <si>
    <t xml:space="preserve">   Physical items sold from held stock (board book + retail)</t>
  </si>
  <si>
    <t xml:space="preserve">   Cumulative physical items</t>
  </si>
  <si>
    <t xml:space="preserve">   Copies ordered from the printer (first run + reorders)</t>
  </si>
  <si>
    <t xml:space="preserve">   Inventory purchases (cash; not in operating result)</t>
  </si>
  <si>
    <t xml:space="preserve">   Cumulative copies ordered</t>
  </si>
  <si>
    <t xml:space="preserve">   Copies at the 3PL (negative = pre-sale copies still owed)</t>
  </si>
  <si>
    <t xml:space="preserve">Break-even helper rows</t>
  </si>
  <si>
    <t xml:space="preserve">   Month # if operating result &gt;= 0</t>
  </si>
  <si>
    <t xml:space="preserve">   Month # if operating result stays &gt;= 0 through month 36</t>
  </si>
  <si>
    <t xml:space="preserve">EXPECTED SCENARIO</t>
  </si>
  <si>
    <t xml:space="preserve">STRONG SCENARIO</t>
  </si>
  <si>
    <t xml:space="preserve">Cash flow: payout delays, inventory purchases, one-time costs and the tax reserve</t>
  </si>
  <si>
    <t xml:space="preserve">Marketplace payouts arrive after the sale month (KDP about 60 days, IngramSpark about 90 days; see Assumptions section 4). Costs are negative. Sales tax and VAT are pass-through and excluded. The tax reserve is money set aside, not tax actually due; the accountant sets the real figure.</t>
  </si>
  <si>
    <t xml:space="preserve">   Payout: Own site: printables, PDFs and POD tee (Shopify)</t>
  </si>
  <si>
    <t xml:space="preserve">   Payout: Etsy: printables</t>
  </si>
  <si>
    <t xml:space="preserve">   Payout: Amazon KDP: paperbacks</t>
  </si>
  <si>
    <t xml:space="preserve">   Payout: IngramSpark: hardcovers, bookstores, libraries</t>
  </si>
  <si>
    <t xml:space="preserve">   Payout: International digital via merchant of record (Gumroad)</t>
  </si>
  <si>
    <t xml:space="preserve">   Payout: 30-Day Screen Reset written course (Wave 2)</t>
  </si>
  <si>
    <t xml:space="preserve">   Payout: Board book: pre-sale, then 3PL and Amazon FBA (Wave 3)</t>
  </si>
  <si>
    <t xml:space="preserve">   Payout: School and group licenses + TPT (held for counsel)</t>
  </si>
  <si>
    <t xml:space="preserve">   Payout: Retail and wholesale: Faire, Walmart Marketplace, Target Plus</t>
  </si>
  <si>
    <t xml:space="preserve">Total payouts received</t>
  </si>
  <si>
    <t xml:space="preserve">Owner capital contribution</t>
  </si>
  <si>
    <t xml:space="preserve">Inventory purchases (offset print runs, landed)</t>
  </si>
  <si>
    <t xml:space="preserve">Operating costs</t>
  </si>
  <si>
    <t xml:space="preserve">Wave fixed costs</t>
  </si>
  <si>
    <t xml:space="preserve">One-time startup costs</t>
  </si>
  <si>
    <t xml:space="preserve">One-time wave launch / retail readiness</t>
  </si>
  <si>
    <t xml:space="preserve">NET CASH FLOW before tax reserve</t>
  </si>
  <si>
    <t xml:space="preserve">Transfer to tax reserve account</t>
  </si>
  <si>
    <t xml:space="preserve">OPERATING ACCOUNT BALANCE (month end)</t>
  </si>
  <si>
    <t xml:space="preserve">Tax reserve account balance</t>
  </si>
  <si>
    <t xml:space="preserve">Total cash (both accounts)</t>
  </si>
  <si>
    <t xml:space="preserve">Reserve target (months x fixed costs incl. ads)</t>
  </si>
  <si>
    <t xml:space="preserve">Operating balance above / (below) reserve target</t>
  </si>
  <si>
    <t xml:space="preserve">   Helper: month # if operating balance stays &gt;= 0 through month 36</t>
  </si>
  <si>
    <t xml:space="preserve">Break-even: when, and how many orders or units</t>
  </si>
  <si>
    <t xml:space="preserve">Operating break-even excludes one-time startup, wave-launch and inventory costs. Cash payback includes everything, including payout delays. 'Sustained' means the result stays at or above zero in every later month through month 36.</t>
  </si>
  <si>
    <t xml:space="preserve">Note</t>
  </si>
  <si>
    <t xml:space="preserve">When</t>
  </si>
  <si>
    <t xml:space="preserve">First month with operating result &gt;= 0 (month #)</t>
  </si>
  <si>
    <t xml:space="preserve">   ...calendar month</t>
  </si>
  <si>
    <t xml:space="preserve">Sustained operating break-even (month #)</t>
  </si>
  <si>
    <t xml:space="preserve">Headline break-even measure used on the Dashboard.</t>
  </si>
  <si>
    <t xml:space="preserve">Cash payback: operating balance &gt;= 0 from this month on (month #)</t>
  </si>
  <si>
    <t xml:space="preserve">Includes payout delays, startup costs, inventory and the tax-reserve transfers.</t>
  </si>
  <si>
    <t xml:space="preserve">Peak funding need (lowest operating balance, shown positive)</t>
  </si>
  <si>
    <t xml:space="preserve">Cash the founder must put in (or not spend) to avoid a negative balance.</t>
  </si>
  <si>
    <t xml:space="preserve">   ...month # of the lowest balance</t>
  </si>
  <si>
    <t xml:space="preserve">How many (volume at break-even)</t>
  </si>
  <si>
    <t xml:space="preserve">Cumulative orders by the sustained break-even month</t>
  </si>
  <si>
    <t xml:space="preserve">Cumulative items sold by the sustained break-even month</t>
  </si>
  <si>
    <t xml:space="preserve">Orders in the sustained break-even month</t>
  </si>
  <si>
    <t xml:space="preserve">Orders needed each month to cover fixed costs (operating costs + wave fixed costs + ads)</t>
  </si>
  <si>
    <t xml:space="preserve">Month 6: fixed costs</t>
  </si>
  <si>
    <t xml:space="preserve">Month 6: net contribution per order</t>
  </si>
  <si>
    <t xml:space="preserve">Month 6: orders needed to cover fixed costs</t>
  </si>
  <si>
    <t xml:space="preserve">Month 6: orders the scenario forecasts</t>
  </si>
  <si>
    <t xml:space="preserve">Month 12: fixed costs</t>
  </si>
  <si>
    <t xml:space="preserve">Month 12: net contribution per order</t>
  </si>
  <si>
    <t xml:space="preserve">Month 12: orders needed to cover fixed costs</t>
  </si>
  <si>
    <t xml:space="preserve">Month 12: orders the scenario forecasts</t>
  </si>
  <si>
    <t xml:space="preserve">Month 24: fixed costs</t>
  </si>
  <si>
    <t xml:space="preserve">Month 24: net contribution per order</t>
  </si>
  <si>
    <t xml:space="preserve">Month 24: orders needed to cover fixed costs</t>
  </si>
  <si>
    <t xml:space="preserve">Month 24: orders the scenario forecasts</t>
  </si>
  <si>
    <t xml:space="preserve">Month 36: fixed costs</t>
  </si>
  <si>
    <t xml:space="preserve">Month 36: net contribution per order</t>
  </si>
  <si>
    <t xml:space="preserve">Month 36: orders needed to cover fixed costs</t>
  </si>
  <si>
    <t xml:space="preserve">Month 36: orders the scenario forecasts</t>
  </si>
  <si>
    <t xml:space="preserve">Single-product view: units per month of ONE product that would cover the Expected month-12 fixed costs</t>
  </si>
  <si>
    <t xml:space="preserve">Product and channel</t>
  </si>
  <si>
    <t xml:space="preserve">Units per month needed</t>
  </si>
  <si>
    <t xml:space="preserve">Units per day</t>
  </si>
  <si>
    <t xml:space="preserve">Source row</t>
  </si>
  <si>
    <t xml:space="preserve">Unit Economics row 15</t>
  </si>
  <si>
    <t xml:space="preserve">Unit Economics row 16</t>
  </si>
  <si>
    <t xml:space="preserve">Unit Economics row 17</t>
  </si>
  <si>
    <t xml:space="preserve">Unit Economics row 18</t>
  </si>
  <si>
    <t xml:space="preserve">Unit Economics row 8</t>
  </si>
  <si>
    <t xml:space="preserve">Unit Economics row 28</t>
  </si>
  <si>
    <t xml:space="preserve">Unit Economics row 35</t>
  </si>
  <si>
    <t xml:space="preserve">Unit Economics row 37</t>
  </si>
  <si>
    <t xml:space="preserve">Retail wave self-funding check (Faire, Walmart Marketplace, Target Plus)</t>
  </si>
  <si>
    <t xml:space="preserve">Retail monthly fixed costs once live (Retail Readiness Costs, section C)</t>
  </si>
  <si>
    <t xml:space="preserve">Blended net per retail unit (Unit Economics channel blend)</t>
  </si>
  <si>
    <t xml:space="preserve">Retail units per month needed to cover retail fixed costs</t>
  </si>
  <si>
    <t xml:space="preserve">One-time readiness cost (section B)</t>
  </si>
  <si>
    <t xml:space="preserve">Extra retail units to repay the one-time readiness cost</t>
  </si>
  <si>
    <t xml:space="preserve">Wholesale at half of a $12.99 retail price leaves little after commission, landed cost and handling. A series, a 3-pack and a lower landed cost from a larger run change this.</t>
  </si>
  <si>
    <t xml:space="preserve">Retail readiness costs: Wave 3 board-book launch and big-box readiness (all [VERIFY])</t>
  </si>
  <si>
    <t xml:space="preserve">Almost nothing here has a live quote yet. Get 2-3 written quotes for each line before any commitment (BLIND-SPOTS #11). Section A hits in the board-book print month; Section B hits 'lead time' months before retail launch; Section C runs monthly while retail is live.</t>
  </si>
  <si>
    <t xml:space="preserve">Section</t>
  </si>
  <si>
    <t xml:space="preserve">Model ($ per unit of qty)</t>
  </si>
  <si>
    <t xml:space="preserve">Basis</t>
  </si>
  <si>
    <t xml:space="preserve">Qty</t>
  </si>
  <si>
    <t xml:space="preserve">Model total ($)</t>
  </si>
  <si>
    <t xml:space="preserve">Timing</t>
  </si>
  <si>
    <t xml:space="preserve">A. Wave 3 board-book launch (one-time, in the print month)</t>
  </si>
  <si>
    <t xml:space="preserve">CPSIA third-party lab testing, board book for ages 0-3</t>
  </si>
  <si>
    <t xml:space="preserve">A</t>
  </si>
  <si>
    <t xml:space="preserve">per SKU</t>
  </si>
  <si>
    <t xml:space="preserve">Print month</t>
  </si>
  <si>
    <t xml:space="preserve">PROTECTION-PLAN #9: 'a few hundred dollars per product'; books for 3 and under are not exempt.</t>
  </si>
  <si>
    <t xml:space="preserve">Children's Product Certificate (prepared in-house)</t>
  </si>
  <si>
    <t xml:space="preserve">PROTECTION-PLAN: CPC $0 to prepare.</t>
  </si>
  <si>
    <t xml:space="preserve">Tracking labels and printer file changes</t>
  </si>
  <si>
    <t xml:space="preserve">one-time</t>
  </si>
  <si>
    <t xml:space="preserve">Board-book printer hard proof and quote samples</t>
  </si>
  <si>
    <t xml:space="preserve">Not in the repo; BLIND-SPOTS #11 asks for 2-3 full quotes.</t>
  </si>
  <si>
    <t xml:space="preserve">3PL onboarding / setup</t>
  </si>
  <si>
    <t xml:space="preserve">Amazon FBA inbound prep and labels</t>
  </si>
  <si>
    <t xml:space="preserve">Attorney check of pre-sale terms (FTC mail-order rule)</t>
  </si>
  <si>
    <t xml:space="preserve">BLIND-SPOTS #16-#17: lawyer check $300-$700.</t>
  </si>
  <si>
    <t xml:space="preserve">Total, section A</t>
  </si>
  <si>
    <t xml:space="preserve">B. Big-box and wholesale readiness (one-time, before retail launch)</t>
  </si>
  <si>
    <t xml:space="preserve">GS1 US company prefix for non-book SKUs (card deck, boxed sets); books use ISBN barcodes</t>
  </si>
  <si>
    <t xml:space="preserve">B</t>
  </si>
  <si>
    <t xml:space="preserve">Retail launch - lead</t>
  </si>
  <si>
    <t xml:space="preserve">AMAZON-AND-RETAIL-ROADMAP B5 requires GS1 barcodes; fee not in the repo.</t>
  </si>
  <si>
    <t xml:space="preserve">CPSIA testing for more children's SKUs (card deck, 3-pack box)</t>
  </si>
  <si>
    <t xml:space="preserve">PROTECTION-PLAN; ROADMAP B5.</t>
  </si>
  <si>
    <t xml:space="preserve">Retail-ready packaging design and dielines</t>
  </si>
  <si>
    <t xml:space="preserve">ROADMAP B5 'retail-ready packaging'; no figure in the repo.</t>
  </si>
  <si>
    <t xml:space="preserve">Attorney review of retailer / distributor vendor agreement</t>
  </si>
  <si>
    <t xml:space="preserve">Repo attorney range $300-$2,500 per document (PROTECTION-PLAN).</t>
  </si>
  <si>
    <t xml:space="preserve">Buyer sell sheet, line list and sample kits</t>
  </si>
  <si>
    <t xml:space="preserve">ROADMAP B7 (pitch only with proof); no figure in the repo.</t>
  </si>
  <si>
    <t xml:space="preserve">Faire brand application and first-order sample stock allowance</t>
  </si>
  <si>
    <t xml:space="preserve">storefront-setup-guide §19.</t>
  </si>
  <si>
    <t xml:space="preserve">Total, section B</t>
  </si>
  <si>
    <t xml:space="preserve">C. Ongoing while retail is live (per month)</t>
  </si>
  <si>
    <t xml:space="preserve">3PL EDI connection and retailer compliance</t>
  </si>
  <si>
    <t xml:space="preserve">C</t>
  </si>
  <si>
    <t xml:space="preserve">per month</t>
  </si>
  <si>
    <t xml:space="preserve">Monthly while retail is live</t>
  </si>
  <si>
    <t xml:space="preserve">ROADMAP B5: 'EDI capability through a 3PL'; no figure in the repo.</t>
  </si>
  <si>
    <t xml:space="preserve">Insurance uplift to retailer limits ($1M+ occurrence, umbrella, additional insureds)</t>
  </si>
  <si>
    <t xml:space="preserve">PROTECTION-PLAN retailer requirements (Amazon, Faire+); premium uplift not in the repo.</t>
  </si>
  <si>
    <t xml:space="preserve">GS1 annual renewal (monthly equivalent)</t>
  </si>
  <si>
    <t xml:space="preserve">Total, section C</t>
  </si>
  <si>
    <t xml:space="preserve">D. Inventory: first offset run (illustrative at the minimum run; the forecast sizes each scenario's run from pre-sale orders)</t>
  </si>
  <si>
    <t xml:space="preserve">Offset print cost per copy (from Assumptions)</t>
  </si>
  <si>
    <t xml:space="preserve">Landed cost per copy incl. freight/duties</t>
  </si>
  <si>
    <t xml:space="preserve">Minimum run (copies)</t>
  </si>
  <si>
    <t xml:space="preserve">Cash for a minimum first run</t>
  </si>
  <si>
    <t xml:space="preserve">Landed cost as % of retail price (target at or below 35-40%, DEMAND-CHECK rule 9)</t>
  </si>
  <si>
    <t xml:space="preserve">E. Ongoing Wave 3 fixed costs (from Assumptions; charged monthly once the first run is printed)</t>
  </si>
  <si>
    <t xml:space="preserve">Readiness items the model does not price: a distributor or sales rep (commission), retailer co-op or placement fees, and in-store (brick-and-mortar) Target or Walmart vendor setup. Books usually reach big-box shelves through book distributors or a publishing deal (AMAZON-AND-RETAIL-ROADMAP B6) [VERIFY].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</si>
</sst>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;&quot;($&quot;#,##0\);\-"/>
    <numFmt numFmtId="166" formatCode="mmm\-yy"/>
    <numFmt numFmtId="167" formatCode="#,##0;\(#,##0\);\-"/>
    <numFmt numFmtId="168" formatCode="\$#,##0.00;&quot;($&quot;#,##0.00\);\-"/>
    <numFmt numFmtId="169" formatCode="0.0%;\(0.0%\);\-"/>
    <numFmt numFmtId="170" formatCode="\$#,##0"/>
    <numFmt numFmtId="171" formatCode="0.00"/>
    <numFmt numFmtId="172" formatCode="0"/>
    <numFmt numFmtId="173" formatCode="\$0.000"/>
    <numFmt numFmtId="174" formatCode="0.00%;\(0.00%\);\-"/>
    <numFmt numFmtId="175" formatCode="#,##0.0;\(#,##0.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94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D294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555555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2940"/>
        <bgColor rgb="FF003366"/>
      </patternFill>
    </fill>
    <fill>
      <patternFill patternType="solid">
        <fgColor rgb="FFE3E7EF"/>
        <bgColor rgb="FFF3F4F7"/>
      </patternFill>
    </fill>
    <fill>
      <patternFill patternType="solid">
        <fgColor rgb="FFFFFF00"/>
        <bgColor rgb="FFFFFF00"/>
      </patternFill>
    </fill>
    <fill>
      <patternFill patternType="solid">
        <fgColor rgb="FFF3F4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7BDC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DC9"/>
      <rgbColor rgb="FF878787"/>
      <rgbColor rgb="FF9999FF"/>
      <rgbColor rgb="FF993366"/>
      <rgbColor rgb="FFF3F4F7"/>
      <rgbColor rgb="FFE3E7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55555"/>
      <rgbColor rgb="FF8A94A8"/>
      <rgbColor rgb="FF003366"/>
      <rgbColor rgb="FF1BAF7A"/>
      <rgbColor rgb="FF003300"/>
      <rgbColor rgb="FF333300"/>
      <rgbColor rgb="FF993300"/>
      <rgbColor rgb="FF993366"/>
      <rgbColor rgb="FF333399"/>
      <rgbColor rgb="FF1D29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sales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Forecast'!$C$114:$AL$114</c:f>
              <c:numCache>
                <c:formatCode>\$#,##0;"($"#,##0\);\-</c:formatCode>
                <c:ptCount val="36"/>
                <c:pt idx="0">
                  <c:v>11.0898619821429</c:v>
                </c:pt>
                <c:pt idx="1">
                  <c:v>61.0347973114286</c:v>
                </c:pt>
                <c:pt idx="2">
                  <c:v>125.355934015457</c:v>
                </c:pt>
                <c:pt idx="3">
                  <c:v>176.680193127356</c:v>
                </c:pt>
                <c:pt idx="4">
                  <c:v>183.796820784219</c:v>
                </c:pt>
                <c:pt idx="5">
                  <c:v>274.35843636921</c:v>
                </c:pt>
                <c:pt idx="6">
                  <c:v>351.988415040889</c:v>
                </c:pt>
                <c:pt idx="7">
                  <c:v>352.703367665365</c:v>
                </c:pt>
                <c:pt idx="8">
                  <c:v>402.539975340037</c:v>
                </c:pt>
                <c:pt idx="9">
                  <c:v>412.782076999452</c:v>
                </c:pt>
                <c:pt idx="10">
                  <c:v>392.584877639884</c:v>
                </c:pt>
                <c:pt idx="11">
                  <c:v>417.318019921611</c:v>
                </c:pt>
                <c:pt idx="12">
                  <c:v>480.497074257222</c:v>
                </c:pt>
                <c:pt idx="13">
                  <c:v>677.461952371275</c:v>
                </c:pt>
                <c:pt idx="14">
                  <c:v>725.160533797733</c:v>
                </c:pt>
                <c:pt idx="15">
                  <c:v>692.134548788874</c:v>
                </c:pt>
                <c:pt idx="16">
                  <c:v>513.623924043153</c:v>
                </c:pt>
                <c:pt idx="17">
                  <c:v>587.945201019994</c:v>
                </c:pt>
                <c:pt idx="18">
                  <c:v>636.092793074491</c:v>
                </c:pt>
                <c:pt idx="19">
                  <c:v>593.035722966476</c:v>
                </c:pt>
                <c:pt idx="20">
                  <c:v>643.180699861174</c:v>
                </c:pt>
                <c:pt idx="21">
                  <c:v>629.602706370495</c:v>
                </c:pt>
                <c:pt idx="22">
                  <c:v>580.430609757376</c:v>
                </c:pt>
                <c:pt idx="23">
                  <c:v>597.985474728723</c:v>
                </c:pt>
                <c:pt idx="24">
                  <c:v>676.532445927234</c:v>
                </c:pt>
                <c:pt idx="25">
                  <c:v>937.258734971868</c:v>
                </c:pt>
                <c:pt idx="26">
                  <c:v>985.8304705088</c:v>
                </c:pt>
                <c:pt idx="27">
                  <c:v>924.599993306475</c:v>
                </c:pt>
                <c:pt idx="28">
                  <c:v>674.213050464466</c:v>
                </c:pt>
                <c:pt idx="29">
                  <c:v>758.325568163973</c:v>
                </c:pt>
                <c:pt idx="30">
                  <c:v>806.132930844828</c:v>
                </c:pt>
                <c:pt idx="31">
                  <c:v>738.46947461809</c:v>
                </c:pt>
                <c:pt idx="32">
                  <c:v>786.937806932098</c:v>
                </c:pt>
                <c:pt idx="33">
                  <c:v>756.880029180082</c:v>
                </c:pt>
                <c:pt idx="34">
                  <c:v>685.576705534349</c:v>
                </c:pt>
                <c:pt idx="35">
                  <c:v>693.954138823253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Forecast'!$C$240:$AL$240</c:f>
              <c:numCache>
                <c:formatCode>\$#,##0;"($"#,##0\);\-</c:formatCode>
                <c:ptCount val="36"/>
                <c:pt idx="0">
                  <c:v>42.8942049107143</c:v>
                </c:pt>
                <c:pt idx="1">
                  <c:v>230.376276</c:v>
                </c:pt>
                <c:pt idx="2">
                  <c:v>479.33739036</c:v>
                </c:pt>
                <c:pt idx="3">
                  <c:v>691.317169982847</c:v>
                </c:pt>
                <c:pt idx="4">
                  <c:v>741.593841740496</c:v>
                </c:pt>
                <c:pt idx="5">
                  <c:v>1143.72008412465</c:v>
                </c:pt>
                <c:pt idx="6">
                  <c:v>1509.51836752706</c:v>
                </c:pt>
                <c:pt idx="7">
                  <c:v>1559.93981813027</c:v>
                </c:pt>
                <c:pt idx="8">
                  <c:v>1844.94413173897</c:v>
                </c:pt>
                <c:pt idx="9">
                  <c:v>1957.03441013886</c:v>
                </c:pt>
                <c:pt idx="10">
                  <c:v>1929.69075420988</c:v>
                </c:pt>
                <c:pt idx="11">
                  <c:v>2126.59383244079</c:v>
                </c:pt>
                <c:pt idx="12">
                  <c:v>2529.32509604267</c:v>
                </c:pt>
                <c:pt idx="13">
                  <c:v>3635.45222085633</c:v>
                </c:pt>
                <c:pt idx="14">
                  <c:v>3955.06335792937</c:v>
                </c:pt>
                <c:pt idx="15">
                  <c:v>3942.0865269003</c:v>
                </c:pt>
                <c:pt idx="16">
                  <c:v>3057.05165694598</c:v>
                </c:pt>
                <c:pt idx="17">
                  <c:v>3577.59316213244</c:v>
                </c:pt>
                <c:pt idx="18">
                  <c:v>3887.7107199034</c:v>
                </c:pt>
                <c:pt idx="19">
                  <c:v>3646.34664997457</c:v>
                </c:pt>
                <c:pt idx="20">
                  <c:v>3901.35110457347</c:v>
                </c:pt>
                <c:pt idx="21">
                  <c:v>3960.29139197852</c:v>
                </c:pt>
                <c:pt idx="22">
                  <c:v>4007.10476873268</c:v>
                </c:pt>
                <c:pt idx="23">
                  <c:v>4239.20962008813</c:v>
                </c:pt>
                <c:pt idx="24">
                  <c:v>4733.4208453555</c:v>
                </c:pt>
                <c:pt idx="25">
                  <c:v>6406.09256905544</c:v>
                </c:pt>
                <c:pt idx="26">
                  <c:v>6725.21461762991</c:v>
                </c:pt>
                <c:pt idx="27">
                  <c:v>6651.85908086003</c:v>
                </c:pt>
                <c:pt idx="28">
                  <c:v>5053.46187545412</c:v>
                </c:pt>
                <c:pt idx="29">
                  <c:v>5748.89296161177</c:v>
                </c:pt>
                <c:pt idx="30">
                  <c:v>6112.29874915369</c:v>
                </c:pt>
                <c:pt idx="31">
                  <c:v>5610.29602552907</c:v>
                </c:pt>
                <c:pt idx="32">
                  <c:v>5871.48314930741</c:v>
                </c:pt>
                <c:pt idx="33">
                  <c:v>5839.65513111715</c:v>
                </c:pt>
                <c:pt idx="34">
                  <c:v>5792.31653424493</c:v>
                </c:pt>
                <c:pt idx="35">
                  <c:v>5996.87502059108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'36-Month Forecast'!$C$5:$AL$5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'36-Month Forecast'!$C$366:$AL$366</c:f>
              <c:numCache>
                <c:formatCode>\$#,##0;"($"#,##0\);\-</c:formatCode>
                <c:ptCount val="36"/>
                <c:pt idx="0">
                  <c:v>93.1237296428571</c:v>
                </c:pt>
                <c:pt idx="1">
                  <c:v>471.9350376</c:v>
                </c:pt>
                <c:pt idx="2">
                  <c:v>968.178047886</c:v>
                </c:pt>
                <c:pt idx="3">
                  <c:v>1372.95707327036</c:v>
                </c:pt>
                <c:pt idx="4">
                  <c:v>1479.15755710926</c:v>
                </c:pt>
                <c:pt idx="5">
                  <c:v>2288.1948798794</c:v>
                </c:pt>
                <c:pt idx="6">
                  <c:v>3019.9874991456</c:v>
                </c:pt>
                <c:pt idx="7">
                  <c:v>3137.61294993368</c:v>
                </c:pt>
                <c:pt idx="8">
                  <c:v>3734.92803416578</c:v>
                </c:pt>
                <c:pt idx="9">
                  <c:v>4014.70876856941</c:v>
                </c:pt>
                <c:pt idx="10">
                  <c:v>4117.0502900752</c:v>
                </c:pt>
                <c:pt idx="11">
                  <c:v>4660.8365127404</c:v>
                </c:pt>
                <c:pt idx="12">
                  <c:v>5519.70311017475</c:v>
                </c:pt>
                <c:pt idx="13">
                  <c:v>7854.74868312673</c:v>
                </c:pt>
                <c:pt idx="14">
                  <c:v>8553.64692552098</c:v>
                </c:pt>
                <c:pt idx="15">
                  <c:v>8667.50985672023</c:v>
                </c:pt>
                <c:pt idx="16">
                  <c:v>6743.94587237712</c:v>
                </c:pt>
                <c:pt idx="17">
                  <c:v>7849.82470417473</c:v>
                </c:pt>
                <c:pt idx="18">
                  <c:v>8613.80497429753</c:v>
                </c:pt>
                <c:pt idx="19">
                  <c:v>8161.09609835756</c:v>
                </c:pt>
                <c:pt idx="20">
                  <c:v>8815.88616329749</c:v>
                </c:pt>
                <c:pt idx="21">
                  <c:v>9185.56399997922</c:v>
                </c:pt>
                <c:pt idx="22">
                  <c:v>9516.70521022673</c:v>
                </c:pt>
                <c:pt idx="23">
                  <c:v>10308.3048929471</c:v>
                </c:pt>
                <c:pt idx="24">
                  <c:v>11744.8527660836</c:v>
                </c:pt>
                <c:pt idx="25">
                  <c:v>16270.5802515219</c:v>
                </c:pt>
                <c:pt idx="26">
                  <c:v>17501.8626611932</c:v>
                </c:pt>
                <c:pt idx="27">
                  <c:v>17350.7507833663</c:v>
                </c:pt>
                <c:pt idx="28">
                  <c:v>13221.5606344841</c:v>
                </c:pt>
                <c:pt idx="29">
                  <c:v>15123.4059170195</c:v>
                </c:pt>
                <c:pt idx="30">
                  <c:v>16319.749282892</c:v>
                </c:pt>
                <c:pt idx="31">
                  <c:v>15207.6804939871</c:v>
                </c:pt>
                <c:pt idx="32">
                  <c:v>16213.2941706917</c:v>
                </c:pt>
                <c:pt idx="33">
                  <c:v>16296.8073154371</c:v>
                </c:pt>
                <c:pt idx="34">
                  <c:v>16165.8862313831</c:v>
                </c:pt>
                <c:pt idx="35">
                  <c:v>16926.1393482689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2645197"/>
        <c:axId val="7918194"/>
      </c:lineChart>
      <c:catAx>
        <c:axId val="72645197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18194"/>
        <c:crosses val="autoZero"/>
        <c:auto val="1"/>
        <c:lblAlgn val="ctr"/>
        <c:lblOffset val="100"/>
        <c:noMultiLvlLbl val="0"/>
      </c:catAx>
      <c:valAx>
        <c:axId val="79181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451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account balance by scenario (month end)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Flow'!$C$28:$AL$28</c:f>
              <c:numCache>
                <c:formatCode>\$#,##0;"($"#,##0\);\-</c:formatCode>
                <c:ptCount val="36"/>
                <c:pt idx="0">
                  <c:v>-5481.38042647641</c:v>
                </c:pt>
                <c:pt idx="1">
                  <c:v>-7609.20196810353</c:v>
                </c:pt>
                <c:pt idx="2">
                  <c:v>-10351.6392004408</c:v>
                </c:pt>
                <c:pt idx="3">
                  <c:v>-12157.5557604647</c:v>
                </c:pt>
                <c:pt idx="4">
                  <c:v>-14052.0301117565</c:v>
                </c:pt>
                <c:pt idx="5">
                  <c:v>-18985.8937650196</c:v>
                </c:pt>
                <c:pt idx="6">
                  <c:v>-26331.3438360967</c:v>
                </c:pt>
                <c:pt idx="7">
                  <c:v>-32616.1486590148</c:v>
                </c:pt>
                <c:pt idx="8">
                  <c:v>-34048.2932578337</c:v>
                </c:pt>
                <c:pt idx="9">
                  <c:v>-35050.8591534786</c:v>
                </c:pt>
                <c:pt idx="10">
                  <c:v>-35787.1833641737</c:v>
                </c:pt>
                <c:pt idx="11">
                  <c:v>-36512.7765385284</c:v>
                </c:pt>
                <c:pt idx="12">
                  <c:v>-38223.7927718052</c:v>
                </c:pt>
                <c:pt idx="13">
                  <c:v>-39031.0775711885</c:v>
                </c:pt>
                <c:pt idx="14">
                  <c:v>-39808.2430177895</c:v>
                </c:pt>
                <c:pt idx="15">
                  <c:v>-40968.2514566541</c:v>
                </c:pt>
                <c:pt idx="16">
                  <c:v>-41894.7555181755</c:v>
                </c:pt>
                <c:pt idx="17">
                  <c:v>-42671.377889395</c:v>
                </c:pt>
                <c:pt idx="18">
                  <c:v>-44896.587288996</c:v>
                </c:pt>
                <c:pt idx="19">
                  <c:v>-45693.1416372636</c:v>
                </c:pt>
                <c:pt idx="20">
                  <c:v>-46461.1868241968</c:v>
                </c:pt>
                <c:pt idx="21">
                  <c:v>-47241.408937751</c:v>
                </c:pt>
                <c:pt idx="22">
                  <c:v>-48028.7768680904</c:v>
                </c:pt>
                <c:pt idx="23">
                  <c:v>-48811.6030856516</c:v>
                </c:pt>
                <c:pt idx="24">
                  <c:v>-50507.4461703805</c:v>
                </c:pt>
                <c:pt idx="25">
                  <c:v>-51275.0435692832</c:v>
                </c:pt>
                <c:pt idx="26">
                  <c:v>-52008.4207868004</c:v>
                </c:pt>
                <c:pt idx="27">
                  <c:v>-53122.7880013265</c:v>
                </c:pt>
                <c:pt idx="28">
                  <c:v>-54031.9001401432</c:v>
                </c:pt>
                <c:pt idx="29">
                  <c:v>-54792.1317839457</c:v>
                </c:pt>
                <c:pt idx="30">
                  <c:v>-57014.2401986072</c:v>
                </c:pt>
                <c:pt idx="31">
                  <c:v>-57816.1853520852</c:v>
                </c:pt>
                <c:pt idx="32">
                  <c:v>-58589.7504637548</c:v>
                </c:pt>
                <c:pt idx="33">
                  <c:v>-59386.4837521896</c:v>
                </c:pt>
                <c:pt idx="34">
                  <c:v>-60200.1169305152</c:v>
                </c:pt>
                <c:pt idx="35">
                  <c:v>-61015.6273157922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Flow'!$C$55:$AL$55</c:f>
              <c:numCache>
                <c:formatCode>\$#,##0;"($"#,##0\);\-</c:formatCode>
                <c:ptCount val="36"/>
                <c:pt idx="0">
                  <c:v>-5454.53138868705</c:v>
                </c:pt>
                <c:pt idx="1">
                  <c:v>-7649.02034327305</c:v>
                </c:pt>
                <c:pt idx="2">
                  <c:v>-10394.33606712</c:v>
                </c:pt>
                <c:pt idx="3">
                  <c:v>-12127.8435207191</c:v>
                </c:pt>
                <c:pt idx="4">
                  <c:v>-13896.2299126687</c:v>
                </c:pt>
                <c:pt idx="5">
                  <c:v>-18549.0246623025</c:v>
                </c:pt>
                <c:pt idx="6">
                  <c:v>-25527.932082648</c:v>
                </c:pt>
                <c:pt idx="7">
                  <c:v>-31358.7096678435</c:v>
                </c:pt>
                <c:pt idx="8">
                  <c:v>-32166.0226553831</c:v>
                </c:pt>
                <c:pt idx="9">
                  <c:v>-32491.9328502187</c:v>
                </c:pt>
                <c:pt idx="10">
                  <c:v>-32504.8746337114</c:v>
                </c:pt>
                <c:pt idx="11">
                  <c:v>-32440.8507199002</c:v>
                </c:pt>
                <c:pt idx="12">
                  <c:v>-33402.8150729181</c:v>
                </c:pt>
                <c:pt idx="13">
                  <c:v>-33000.1082002477</c:v>
                </c:pt>
                <c:pt idx="14">
                  <c:v>-32423.6627401337</c:v>
                </c:pt>
                <c:pt idx="15">
                  <c:v>-32015.3789391761</c:v>
                </c:pt>
                <c:pt idx="16">
                  <c:v>-31534.3280189399</c:v>
                </c:pt>
                <c:pt idx="17">
                  <c:v>-30808.2532654733</c:v>
                </c:pt>
                <c:pt idx="18">
                  <c:v>-31259.4005161651</c:v>
                </c:pt>
                <c:pt idx="19">
                  <c:v>-30524.1785271974</c:v>
                </c:pt>
                <c:pt idx="20">
                  <c:v>-29664.5898483817</c:v>
                </c:pt>
                <c:pt idx="21">
                  <c:v>-33735.7619214709</c:v>
                </c:pt>
                <c:pt idx="22">
                  <c:v>-32928.116947503</c:v>
                </c:pt>
                <c:pt idx="23">
                  <c:v>-31874.3295171522</c:v>
                </c:pt>
                <c:pt idx="24">
                  <c:v>-31647.9376397164</c:v>
                </c:pt>
                <c:pt idx="25">
                  <c:v>-30286.4497761321</c:v>
                </c:pt>
                <c:pt idx="26">
                  <c:v>-28747.88919995</c:v>
                </c:pt>
                <c:pt idx="27">
                  <c:v>-27432.2945498619</c:v>
                </c:pt>
                <c:pt idx="28">
                  <c:v>-26174.4976806496</c:v>
                </c:pt>
                <c:pt idx="29">
                  <c:v>-24700.2063615275</c:v>
                </c:pt>
                <c:pt idx="30">
                  <c:v>-24346.6650063085</c:v>
                </c:pt>
                <c:pt idx="31">
                  <c:v>-22979.3932225202</c:v>
                </c:pt>
                <c:pt idx="32">
                  <c:v>-21504.3278715266</c:v>
                </c:pt>
                <c:pt idx="33">
                  <c:v>-20213.1836487953</c:v>
                </c:pt>
                <c:pt idx="34">
                  <c:v>-18930.5511378609</c:v>
                </c:pt>
                <c:pt idx="35">
                  <c:v>-17360.3045626798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255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'Cash Flow'!$C$5:$AL$5</c:f>
              <c:multiLvlStrCache>
                <c:ptCount val="1"/>
                <c:lvl>
                  <c:pt idx="0">
                    <c:v>Sep-29</c:v>
                  </c:pt>
                </c:lvl>
                <c:lvl>
                  <c:pt idx="0">
                    <c:v>Aug-29</c:v>
                  </c:pt>
                </c:lvl>
                <c:lvl>
                  <c:pt idx="0">
                    <c:v>Jul-29</c:v>
                  </c:pt>
                </c:lvl>
                <c:lvl>
                  <c:pt idx="0">
                    <c:v>Jun-29</c:v>
                  </c:pt>
                </c:lvl>
                <c:lvl>
                  <c:pt idx="0">
                    <c:v>May-29</c:v>
                  </c:pt>
                </c:lvl>
                <c:lvl>
                  <c:pt idx="0">
                    <c:v>Apr-29</c:v>
                  </c:pt>
                </c:lvl>
                <c:lvl>
                  <c:pt idx="0">
                    <c:v>Mar-29</c:v>
                  </c:pt>
                </c:lvl>
                <c:lvl>
                  <c:pt idx="0">
                    <c:v>Feb-29</c:v>
                  </c:pt>
                </c:lvl>
                <c:lvl>
                  <c:pt idx="0">
                    <c:v>Jan-29</c:v>
                  </c:pt>
                </c:lvl>
                <c:lvl>
                  <c:pt idx="0">
                    <c:v>Dec-28</c:v>
                  </c:pt>
                </c:lvl>
                <c:lvl>
                  <c:pt idx="0">
                    <c:v>Nov-28</c:v>
                  </c:pt>
                </c:lvl>
                <c:lvl>
                  <c:pt idx="0">
                    <c:v>Oct-28</c:v>
                  </c:pt>
                </c:lvl>
                <c:lvl>
                  <c:pt idx="0">
                    <c:v>Sep-28</c:v>
                  </c:pt>
                </c:lvl>
                <c:lvl>
                  <c:pt idx="0">
                    <c:v>Aug-28</c:v>
                  </c:pt>
                </c:lvl>
                <c:lvl>
                  <c:pt idx="0">
                    <c:v>Jul-28</c:v>
                  </c:pt>
                </c:lvl>
                <c:lvl>
                  <c:pt idx="0">
                    <c:v>Jun-28</c:v>
                  </c:pt>
                </c:lvl>
                <c:lvl>
                  <c:pt idx="0">
                    <c:v>May-28</c:v>
                  </c:pt>
                </c:lvl>
                <c:lvl>
                  <c:pt idx="0">
                    <c:v>Apr-28</c:v>
                  </c:pt>
                </c:lvl>
                <c:lvl>
                  <c:pt idx="0">
                    <c:v>Mar-28</c:v>
                  </c:pt>
                </c:lvl>
                <c:lvl>
                  <c:pt idx="0">
                    <c:v>Feb-28</c:v>
                  </c:pt>
                </c:lvl>
                <c:lvl>
                  <c:pt idx="0">
                    <c:v>Jan-28</c:v>
                  </c:pt>
                </c:lvl>
                <c:lvl>
                  <c:pt idx="0">
                    <c:v>Dec-27</c:v>
                  </c:pt>
                </c:lvl>
                <c:lvl>
                  <c:pt idx="0">
                    <c:v>Nov-27</c:v>
                  </c:pt>
                </c:lvl>
                <c:lvl>
                  <c:pt idx="0">
                    <c:v>Oct-27</c:v>
                  </c:pt>
                </c:lvl>
                <c:lvl>
                  <c:pt idx="0">
                    <c:v>Sep-27</c:v>
                  </c:pt>
                </c:lvl>
                <c:lvl>
                  <c:pt idx="0">
                    <c:v>Aug-27</c:v>
                  </c:pt>
                </c:lvl>
                <c:lvl>
                  <c:pt idx="0">
                    <c:v>Jul-27</c:v>
                  </c:pt>
                </c:lvl>
                <c:lvl>
                  <c:pt idx="0">
                    <c:v>Jun-27</c:v>
                  </c:pt>
                </c:lvl>
                <c:lvl>
                  <c:pt idx="0">
                    <c:v>May-27</c:v>
                  </c:pt>
                </c:lvl>
                <c:lvl>
                  <c:pt idx="0">
                    <c:v>Apr-27</c:v>
                  </c:pt>
                </c:lvl>
                <c:lvl>
                  <c:pt idx="0">
                    <c:v>Mar-27</c:v>
                  </c:pt>
                </c:lvl>
                <c:lvl>
                  <c:pt idx="0">
                    <c:v>Feb-27</c:v>
                  </c:pt>
                </c:lvl>
                <c:lvl>
                  <c:pt idx="0">
                    <c:v>Jan-27</c:v>
                  </c:pt>
                </c:lvl>
                <c:lvl>
                  <c:pt idx="0">
                    <c:v>Dec-26</c:v>
                  </c:pt>
                </c:lvl>
                <c:lvl>
                  <c:pt idx="0">
                    <c:v>Nov-26</c:v>
                  </c:pt>
                </c:lvl>
                <c:lvl>
                  <c:pt idx="0">
                    <c:v>Oct-26</c:v>
                  </c:pt>
                </c:lvl>
              </c:multiLvlStrCache>
            </c:multiLvlStrRef>
          </c:cat>
          <c:val>
            <c:numRef>
              <c:f>'Cash Flow'!$C$82:$AL$82</c:f>
              <c:numCache>
                <c:formatCode>\$#,##0;"($"#,##0\);\-</c:formatCode>
                <c:ptCount val="36"/>
                <c:pt idx="0">
                  <c:v>-5411.77043791322</c:v>
                </c:pt>
                <c:pt idx="1">
                  <c:v>-7625.18582549562</c:v>
                </c:pt>
                <c:pt idx="2">
                  <c:v>-10291.8285878317</c:v>
                </c:pt>
                <c:pt idx="3">
                  <c:v>-11854.068987641</c:v>
                </c:pt>
                <c:pt idx="4">
                  <c:v>-13380.2723081091</c:v>
                </c:pt>
                <c:pt idx="5">
                  <c:v>-17571.9740442323</c:v>
                </c:pt>
                <c:pt idx="6">
                  <c:v>-23962.0117721534</c:v>
                </c:pt>
                <c:pt idx="7">
                  <c:v>-29089.029799028</c:v>
                </c:pt>
                <c:pt idx="8">
                  <c:v>-28988.9407034274</c:v>
                </c:pt>
                <c:pt idx="9">
                  <c:v>-28608.8384527072</c:v>
                </c:pt>
                <c:pt idx="10">
                  <c:v>-27796.0631563528</c:v>
                </c:pt>
                <c:pt idx="11">
                  <c:v>-26719.3565139834</c:v>
                </c:pt>
                <c:pt idx="12">
                  <c:v>-26168.0455785714</c:v>
                </c:pt>
                <c:pt idx="13">
                  <c:v>-24167.0292440197</c:v>
                </c:pt>
                <c:pt idx="14">
                  <c:v>-21770.9083361964</c:v>
                </c:pt>
                <c:pt idx="15">
                  <c:v>-19424.2472734363</c:v>
                </c:pt>
                <c:pt idx="16">
                  <c:v>-17166.0956902951</c:v>
                </c:pt>
                <c:pt idx="17">
                  <c:v>-14493.3763191362</c:v>
                </c:pt>
                <c:pt idx="18">
                  <c:v>-17402.3877480923</c:v>
                </c:pt>
                <c:pt idx="19">
                  <c:v>-14671.3416169404</c:v>
                </c:pt>
                <c:pt idx="20">
                  <c:v>-11609.4594869081</c:v>
                </c:pt>
                <c:pt idx="21">
                  <c:v>-8969.77883717232</c:v>
                </c:pt>
                <c:pt idx="22">
                  <c:v>-6174.63648399815</c:v>
                </c:pt>
                <c:pt idx="23">
                  <c:v>-2702.08850235899</c:v>
                </c:pt>
                <c:pt idx="24">
                  <c:v>503.689599443281</c:v>
                </c:pt>
                <c:pt idx="25">
                  <c:v>3089.22694281781</c:v>
                </c:pt>
                <c:pt idx="26">
                  <c:v>9094.42620857264</c:v>
                </c:pt>
                <c:pt idx="27">
                  <c:v>15124.6580346139</c:v>
                </c:pt>
                <c:pt idx="28">
                  <c:v>20560.3699308663</c:v>
                </c:pt>
                <c:pt idx="29">
                  <c:v>26373.9236882399</c:v>
                </c:pt>
                <c:pt idx="30">
                  <c:v>28464.60602606</c:v>
                </c:pt>
                <c:pt idx="31">
                  <c:v>34274.849945911</c:v>
                </c:pt>
                <c:pt idx="32">
                  <c:v>40465.994143312</c:v>
                </c:pt>
                <c:pt idx="33">
                  <c:v>43632.9005782802</c:v>
                </c:pt>
                <c:pt idx="34">
                  <c:v>49506.1346667565</c:v>
                </c:pt>
                <c:pt idx="35">
                  <c:v>56122.7618813144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514520"/>
        <c:axId val="26971815"/>
      </c:lineChart>
      <c:catAx>
        <c:axId val="9651452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71815"/>
        <c:crosses val="autoZero"/>
        <c:auto val="1"/>
        <c:lblAlgn val="ctr"/>
        <c:lblOffset val="100"/>
        <c:noMultiLvlLbl val="0"/>
      </c:catAx>
      <c:valAx>
        <c:axId val="26971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145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operating result by model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"Conservative"</c:f>
              <c:strCache>
                <c:ptCount val="1"/>
                <c:pt idx="0">
                  <c:v>Conservative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Dashboard!$B$13:$B$15</c:f>
              <c:numCache>
                <c:formatCode>\$#,##0;"($"#,##0\);\-</c:formatCode>
                <c:ptCount val="3"/>
                <c:pt idx="0">
                  <c:v>-11106.1063984008</c:v>
                </c:pt>
                <c:pt idx="1">
                  <c:v>-12388.3539803869</c:v>
                </c:pt>
                <c:pt idx="2">
                  <c:v>-12366.8179933873</c:v>
                </c:pt>
              </c:numCache>
            </c:numRef>
          </c:val>
        </c:ser>
        <c:ser>
          <c:idx val="1"/>
          <c:order val="1"/>
          <c:tx>
            <c:strRef>
              <c:f>"Expected"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Dashboard!$C$13:$C$15</c:f>
              <c:numCache>
                <c:formatCode>\$#,##0;"($"#,##0\);\-</c:formatCode>
                <c:ptCount val="3"/>
                <c:pt idx="0">
                  <c:v>-6497.15471545005</c:v>
                </c:pt>
                <c:pt idx="1">
                  <c:v>8146.47137900164</c:v>
                </c:pt>
                <c:pt idx="2">
                  <c:v>17918.9639104463</c:v>
                </c:pt>
              </c:numCache>
            </c:numRef>
          </c:val>
        </c:ser>
        <c:ser>
          <c:idx val="2"/>
          <c:order val="2"/>
          <c:tx>
            <c:strRef>
              <c:f>"Strong"</c:f>
              <c:strCache>
                <c:ptCount val="1"/>
                <c:pt idx="0">
                  <c:v>Strong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Dashboard!$A$13:$A$15</c:f>
              <c:strCache>
                <c:ptCount val="3"/>
                <c:pt idx="0">
                  <c:v>Net operating result, year 1</c:v>
                </c:pt>
                <c:pt idx="1">
                  <c:v>Net operating result, year 2</c:v>
                </c:pt>
                <c:pt idx="2">
                  <c:v>Net operating result, year 3</c:v>
                </c:pt>
              </c:strCache>
            </c:strRef>
          </c:cat>
          <c:val>
            <c:numRef>
              <c:f>Dashboard!$D$13:$D$15</c:f>
              <c:numCache>
                <c:formatCode>\$#,##0;"($"#,##0\);\-</c:formatCode>
                <c:ptCount val="3"/>
                <c:pt idx="0">
                  <c:v>972.230790809848</c:v>
                </c:pt>
                <c:pt idx="1">
                  <c:v>38453.6823183631</c:v>
                </c:pt>
                <c:pt idx="2">
                  <c:v>81612.7369017731</c:v>
                </c:pt>
              </c:numCache>
            </c:numRef>
          </c:val>
        </c:ser>
        <c:gapWidth val="150"/>
        <c:overlap val="0"/>
        <c:axId val="85792475"/>
        <c:axId val="45372218"/>
      </c:barChart>
      <c:catAx>
        <c:axId val="857924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72218"/>
        <c:crosses val="autoZero"/>
        <c:auto val="1"/>
        <c:lblAlgn val="ctr"/>
        <c:lblOffset val="100"/>
        <c:noMultiLvlLbl val="0"/>
      </c:catAx>
      <c:valAx>
        <c:axId val="453722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924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14</xdr:col>
      <xdr:colOff>408960</xdr:colOff>
      <xdr:row>18</xdr:row>
      <xdr:rowOff>67320</xdr:rowOff>
    </xdr:to>
    <xdr:graphicFrame>
      <xdr:nvGraphicFramePr>
        <xdr:cNvPr id="0" name="Chart 1"/>
        <xdr:cNvGraphicFramePr/>
      </xdr:nvGraphicFramePr>
      <xdr:xfrm>
        <a:off x="14449320" y="952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131040</xdr:rowOff>
    </xdr:from>
    <xdr:to>
      <xdr:col>14</xdr:col>
      <xdr:colOff>408960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449320" y="42768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37</xdr:row>
      <xdr:rowOff>131040</xdr:rowOff>
    </xdr:from>
    <xdr:to>
      <xdr:col>14</xdr:col>
      <xdr:colOff>408960</xdr:colOff>
      <xdr:row>52</xdr:row>
      <xdr:rowOff>153000</xdr:rowOff>
    </xdr:to>
    <xdr:graphicFrame>
      <xdr:nvGraphicFramePr>
        <xdr:cNvPr id="2" name="Chart 3"/>
        <xdr:cNvGraphicFramePr/>
      </xdr:nvGraphicFramePr>
      <xdr:xfrm>
        <a:off x="14449320" y="75153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false"/>
  </sheetPr>
  <dimension ref="A1:E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6</v>
      </c>
    </row>
    <row r="6" customFormat="false" ht="15" hidden="false" customHeight="false" outlineLevel="0" collapsed="false">
      <c r="A6" s="5" t="s">
        <v>7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</v>
      </c>
      <c r="B7" s="8" t="n">
        <f aca="false">'36-Month Forecast'!AM114</f>
        <v>3162.23277619705</v>
      </c>
      <c r="C7" s="8" t="n">
        <f aca="false">'36-Month Forecast'!AM240</f>
        <v>14256.9602813045</v>
      </c>
      <c r="D7" s="8" t="n">
        <f aca="false">'36-Month Forecast'!AM366</f>
        <v>29358.670380018</v>
      </c>
      <c r="E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'36-Month Forecast'!AN114</f>
        <v>7357.15124103698</v>
      </c>
      <c r="C8" s="8" t="n">
        <f aca="false">'36-Month Forecast'!AN240</f>
        <v>44338.5862760579</v>
      </c>
      <c r="D8" s="8" t="n">
        <f aca="false">'36-Month Forecast'!AN366</f>
        <v>99790.7404912002</v>
      </c>
      <c r="E8" s="9"/>
    </row>
    <row r="9" customFormat="false" ht="15" hidden="false" customHeight="false" outlineLevel="0" collapsed="false">
      <c r="A9" s="7" t="s">
        <v>11</v>
      </c>
      <c r="B9" s="8" t="n">
        <f aca="false">'36-Month Forecast'!AO114</f>
        <v>9424.71134927551</v>
      </c>
      <c r="C9" s="8" t="n">
        <f aca="false">'36-Month Forecast'!AO240</f>
        <v>70541.8665599101</v>
      </c>
      <c r="D9" s="8" t="n">
        <f aca="false">'36-Month Forecast'!AO366</f>
        <v>188342.569856329</v>
      </c>
      <c r="E9" s="9"/>
    </row>
    <row r="10" customFormat="false" ht="15" hidden="false" customHeight="false" outlineLevel="0" collapsed="false">
      <c r="A10" s="7" t="s">
        <v>12</v>
      </c>
      <c r="B10" s="8" t="n">
        <f aca="false">'36-Month Forecast'!AM115</f>
        <v>1682.86560159921</v>
      </c>
      <c r="C10" s="8" t="n">
        <f aca="false">'36-Month Forecast'!AM241</f>
        <v>7941.81728454995</v>
      </c>
      <c r="D10" s="8" t="n">
        <f aca="false">'36-Month Forecast'!AM367</f>
        <v>17061.2027908099</v>
      </c>
      <c r="E10" s="9" t="s">
        <v>13</v>
      </c>
    </row>
    <row r="11" customFormat="false" ht="15" hidden="false" customHeight="false" outlineLevel="0" collapsed="false">
      <c r="A11" s="7" t="s">
        <v>14</v>
      </c>
      <c r="B11" s="8" t="n">
        <f aca="false">'36-Month Forecast'!AN115</f>
        <v>3925.24801961305</v>
      </c>
      <c r="C11" s="8" t="n">
        <f aca="false">'36-Month Forecast'!AN241</f>
        <v>26260.0733790016</v>
      </c>
      <c r="D11" s="8" t="n">
        <f aca="false">'36-Month Forecast'!AN367</f>
        <v>61242.7843183631</v>
      </c>
      <c r="E11" s="9"/>
    </row>
    <row r="12" customFormat="false" ht="15" hidden="false" customHeight="false" outlineLevel="0" collapsed="false">
      <c r="A12" s="7" t="s">
        <v>15</v>
      </c>
      <c r="B12" s="8" t="n">
        <f aca="false">'36-Month Forecast'!AO115</f>
        <v>5146.78400661275</v>
      </c>
      <c r="C12" s="8" t="n">
        <f aca="false">'36-Month Forecast'!AO241</f>
        <v>42134.5659104463</v>
      </c>
      <c r="D12" s="8" t="n">
        <f aca="false">'36-Month Forecast'!AO367</f>
        <v>111228.338901773</v>
      </c>
      <c r="E12" s="9"/>
    </row>
    <row r="13" customFormat="false" ht="15" hidden="false" customHeight="false" outlineLevel="0" collapsed="false">
      <c r="A13" s="10" t="s">
        <v>16</v>
      </c>
      <c r="B13" s="11" t="n">
        <f aca="false">'36-Month Forecast'!AM120</f>
        <v>-11106.1063984008</v>
      </c>
      <c r="C13" s="11" t="n">
        <f aca="false">'36-Month Forecast'!AM246</f>
        <v>-6497.15471545005</v>
      </c>
      <c r="D13" s="11" t="n">
        <f aca="false">'36-Month Forecast'!AM372</f>
        <v>972.230790809848</v>
      </c>
      <c r="E13" s="9" t="s">
        <v>17</v>
      </c>
    </row>
    <row r="14" customFormat="false" ht="15" hidden="false" customHeight="false" outlineLevel="0" collapsed="false">
      <c r="A14" s="10" t="s">
        <v>18</v>
      </c>
      <c r="B14" s="11" t="n">
        <f aca="false">'36-Month Forecast'!AN120</f>
        <v>-12388.3539803869</v>
      </c>
      <c r="C14" s="11" t="n">
        <f aca="false">'36-Month Forecast'!AN246</f>
        <v>8146.47137900164</v>
      </c>
      <c r="D14" s="11" t="n">
        <f aca="false">'36-Month Forecast'!AN372</f>
        <v>38453.6823183631</v>
      </c>
      <c r="E14" s="9"/>
    </row>
    <row r="15" customFormat="false" ht="15" hidden="false" customHeight="false" outlineLevel="0" collapsed="false">
      <c r="A15" s="10" t="s">
        <v>19</v>
      </c>
      <c r="B15" s="11" t="n">
        <f aca="false">'36-Month Forecast'!AO120</f>
        <v>-12366.8179933873</v>
      </c>
      <c r="C15" s="11" t="n">
        <f aca="false">'36-Month Forecast'!AO246</f>
        <v>17918.9639104463</v>
      </c>
      <c r="D15" s="11" t="n">
        <f aca="false">'36-Month Forecast'!AO372</f>
        <v>81612.7369017731</v>
      </c>
      <c r="E15" s="9"/>
    </row>
    <row r="16" customFormat="false" ht="15" hidden="false" customHeight="false" outlineLevel="0" collapsed="false">
      <c r="A16" s="7" t="s">
        <v>20</v>
      </c>
      <c r="B16" s="8" t="n">
        <f aca="false">'36-Month Forecast'!AP121+'36-Month Forecast'!AP122</f>
        <v>21661</v>
      </c>
      <c r="C16" s="8" t="n">
        <f aca="false">'36-Month Forecast'!AP247+'36-Month Forecast'!AP248</f>
        <v>26940</v>
      </c>
      <c r="D16" s="8" t="n">
        <f aca="false">'36-Month Forecast'!AP373+'36-Month Forecast'!AP374</f>
        <v>26940</v>
      </c>
      <c r="E16" s="9" t="s">
        <v>21</v>
      </c>
    </row>
    <row r="17" customFormat="false" ht="15" hidden="false" customHeight="false" outlineLevel="0" collapsed="false">
      <c r="A17" s="7" t="s">
        <v>22</v>
      </c>
      <c r="B17" s="8" t="n">
        <f aca="false">'36-Month Forecast'!AP129</f>
        <v>3625</v>
      </c>
      <c r="C17" s="8" t="n">
        <f aca="false">'36-Month Forecast'!AP255</f>
        <v>3625</v>
      </c>
      <c r="D17" s="8" t="n">
        <f aca="false">'36-Month Forecast'!AP381</f>
        <v>14500</v>
      </c>
      <c r="E17" s="9" t="s">
        <v>23</v>
      </c>
    </row>
    <row r="18" customFormat="false" ht="15" hidden="false" customHeight="false" outlineLevel="0" collapsed="false">
      <c r="A18" s="10" t="s">
        <v>24</v>
      </c>
      <c r="B18" s="11" t="n">
        <f aca="false">'36-Month Forecast'!AL124</f>
        <v>-57522.278372175</v>
      </c>
      <c r="C18" s="11" t="n">
        <f aca="false">'36-Month Forecast'!AL250</f>
        <v>-7371.7194260021</v>
      </c>
      <c r="D18" s="11" t="n">
        <f aca="false">'36-Month Forecast'!AL376</f>
        <v>94098.6500109461</v>
      </c>
      <c r="E18" s="9"/>
    </row>
    <row r="20" customFormat="false" ht="15" hidden="false" customHeight="false" outlineLevel="0" collapsed="false">
      <c r="A20" s="5" t="s">
        <v>25</v>
      </c>
      <c r="B20" s="6"/>
      <c r="C20" s="6"/>
      <c r="D20" s="6"/>
      <c r="E20" s="6"/>
    </row>
    <row r="21" customFormat="false" ht="15" hidden="false" customHeight="false" outlineLevel="0" collapsed="false">
      <c r="A21" s="10" t="s">
        <v>26</v>
      </c>
      <c r="B21" s="11" t="n">
        <f aca="false">'Break-even'!B13</f>
        <v>61015.6273157922</v>
      </c>
      <c r="C21" s="11" t="n">
        <f aca="false">'Break-even'!C13</f>
        <v>33735.7619214709</v>
      </c>
      <c r="D21" s="11" t="n">
        <f aca="false">'Break-even'!D13</f>
        <v>29089.029799028</v>
      </c>
      <c r="E21" s="9" t="s">
        <v>27</v>
      </c>
    </row>
    <row r="22" customFormat="false" ht="15" hidden="false" customHeight="false" outlineLevel="0" collapsed="false">
      <c r="A22" s="7" t="s">
        <v>28</v>
      </c>
      <c r="B22" s="12" t="n">
        <f aca="false">IF(ISNUMBER('Break-even'!B14),DATE(YEAR(Assumptions!$C$8),MONTH(Assumptions!$C$8)+'Break-even'!B14-1,1),"Not within 36 months")</f>
        <v>47362</v>
      </c>
      <c r="C22" s="12" t="n">
        <f aca="false">IF(ISNUMBER('Break-even'!C14),DATE(YEAR(Assumptions!$C$8),MONTH(Assumptions!$C$8)+'Break-even'!C14-1,1),"Not within 36 months")</f>
        <v>46935</v>
      </c>
      <c r="D22" s="12" t="n">
        <f aca="false">IF(ISNUMBER('Break-even'!D14),DATE(YEAR(Assumptions!$C$8),MONTH(Assumptions!$C$8)+'Break-even'!D14-1,1),"Not within 36 months")</f>
        <v>46508</v>
      </c>
      <c r="E22" s="9"/>
    </row>
    <row r="23" customFormat="false" ht="15" hidden="false" customHeight="false" outlineLevel="0" collapsed="false">
      <c r="A23" s="10" t="s">
        <v>29</v>
      </c>
      <c r="B23" s="13" t="str">
        <f aca="false">'Break-even'!B10</f>
        <v>Not within 36 months</v>
      </c>
      <c r="C23" s="13" t="n">
        <f aca="false">'Break-even'!C10</f>
        <v>46874</v>
      </c>
      <c r="D23" s="13" t="n">
        <f aca="false">'Break-even'!D10</f>
        <v>46508</v>
      </c>
      <c r="E23" s="9" t="s">
        <v>30</v>
      </c>
    </row>
    <row r="24" customFormat="false" ht="15" hidden="false" customHeight="false" outlineLevel="0" collapsed="false">
      <c r="A24" s="7" t="s">
        <v>31</v>
      </c>
      <c r="B24" s="12" t="str">
        <f aca="false">'Break-even'!B12</f>
        <v>Not within 36 months</v>
      </c>
      <c r="C24" s="12" t="str">
        <f aca="false">'Break-even'!C12</f>
        <v>Not within 36 months</v>
      </c>
      <c r="D24" s="12" t="n">
        <f aca="false">'Break-even'!D12</f>
        <v>47027</v>
      </c>
      <c r="E24" s="9"/>
    </row>
    <row r="25" customFormat="false" ht="15" hidden="false" customHeight="false" outlineLevel="0" collapsed="false">
      <c r="A25" s="7" t="s">
        <v>32</v>
      </c>
      <c r="B25" s="8" t="n">
        <f aca="false">'Cash Flow'!AL30</f>
        <v>-61015.6273157922</v>
      </c>
      <c r="C25" s="8" t="n">
        <f aca="false">'Cash Flow'!AL57</f>
        <v>-10484.0199800697</v>
      </c>
      <c r="D25" s="8" t="n">
        <f aca="false">'Cash Flow'!AL84</f>
        <v>85496.3629177473</v>
      </c>
      <c r="E25" s="9"/>
    </row>
    <row r="26" customFormat="false" ht="15" hidden="false" customHeight="false" outlineLevel="0" collapsed="false">
      <c r="A26" s="7" t="s">
        <v>33</v>
      </c>
      <c r="B26" s="8" t="n">
        <f aca="false">'Cash Flow'!AL32</f>
        <v>-64693.0528157922</v>
      </c>
      <c r="C26" s="8" t="n">
        <f aca="false">'Cash Flow'!AL59</f>
        <v>-22713.2300626798</v>
      </c>
      <c r="D26" s="8" t="n">
        <f aca="false">'Cash Flow'!AL86</f>
        <v>49419.8363813144</v>
      </c>
      <c r="E26" s="9" t="s">
        <v>34</v>
      </c>
    </row>
    <row r="28" customFormat="false" ht="15" hidden="false" customHeight="false" outlineLevel="0" collapsed="false">
      <c r="A28" s="5" t="s">
        <v>35</v>
      </c>
      <c r="B28" s="6"/>
      <c r="C28" s="6"/>
      <c r="D28" s="6"/>
      <c r="E28" s="6"/>
    </row>
    <row r="29" customFormat="false" ht="15" hidden="false" customHeight="false" outlineLevel="0" collapsed="false">
      <c r="A29" s="7" t="s">
        <v>36</v>
      </c>
      <c r="B29" s="14" t="n">
        <f aca="false">'36-Month Forecast'!AL110</f>
        <v>54.0247061848501</v>
      </c>
      <c r="C29" s="14" t="n">
        <f aca="false">'36-Month Forecast'!AL236</f>
        <v>383.463193240009</v>
      </c>
      <c r="D29" s="14" t="n">
        <f aca="false">'36-Month Forecast'!AL362</f>
        <v>958.364545057188</v>
      </c>
      <c r="E29" s="9"/>
    </row>
    <row r="30" customFormat="false" ht="15" hidden="false" customHeight="false" outlineLevel="0" collapsed="false">
      <c r="A30" s="7" t="s">
        <v>37</v>
      </c>
      <c r="B30" s="15" t="n">
        <f aca="false">IF('36-Month Forecast'!AO110=0,0,'36-Month Forecast'!AO114/'36-Month Forecast'!AO110)</f>
        <v>12.8412874596284</v>
      </c>
      <c r="C30" s="15" t="n">
        <f aca="false">IF('36-Month Forecast'!AO236=0,0,'36-Month Forecast'!AO240/'36-Month Forecast'!AO236)</f>
        <v>14.7386152577723</v>
      </c>
      <c r="D30" s="15" t="n">
        <f aca="false">IF('36-Month Forecast'!AO362=0,0,'36-Month Forecast'!AO366/'36-Month Forecast'!AO362)</f>
        <v>16.6518963517467</v>
      </c>
      <c r="E30" s="9"/>
    </row>
    <row r="31" customFormat="false" ht="15" hidden="false" customHeight="false" outlineLevel="0" collapsed="false">
      <c r="A31" s="7" t="s">
        <v>38</v>
      </c>
      <c r="B31" s="14" t="n">
        <f aca="false">'36-Month Forecast'!AL108</f>
        <v>621.266564248887</v>
      </c>
      <c r="C31" s="14" t="n">
        <f aca="false">'36-Month Forecast'!AL234</f>
        <v>3969.51425570931</v>
      </c>
      <c r="D31" s="14" t="n">
        <f aca="false">'36-Month Forecast'!AL360</f>
        <v>11000.3076561452</v>
      </c>
      <c r="E31" s="9"/>
    </row>
    <row r="32" customFormat="false" ht="15" hidden="false" customHeight="false" outlineLevel="0" collapsed="false">
      <c r="A32" s="7" t="s">
        <v>39</v>
      </c>
      <c r="B32" s="16" t="n">
        <f aca="false">IF('36-Month Forecast'!AP115=0,0,('36-Month Forecast'!AP24+'36-Month Forecast'!AP34+'36-Month Forecast'!AP64+'36-Month Forecast'!AP74)/'36-Month Forecast'!AP115)</f>
        <v>0.565157658493496</v>
      </c>
      <c r="C32" s="16" t="n">
        <f aca="false">IF('36-Month Forecast'!AP241=0,0,('36-Month Forecast'!AP150+'36-Month Forecast'!AP160+'36-Month Forecast'!AP190+'36-Month Forecast'!AP200)/'36-Month Forecast'!AP241)</f>
        <v>0.559156329403229</v>
      </c>
      <c r="D32" s="16" t="n">
        <f aca="false">IF('36-Month Forecast'!AP367=0,0,('36-Month Forecast'!AP276+'36-Month Forecast'!AP286+'36-Month Forecast'!AP316+'36-Month Forecast'!AP326)/'36-Month Forecast'!AP367)</f>
        <v>0.589795550361947</v>
      </c>
      <c r="E32" s="9"/>
    </row>
    <row r="33" customFormat="false" ht="15" hidden="false" customHeight="false" outlineLevel="0" collapsed="false">
      <c r="A33" s="7" t="s">
        <v>40</v>
      </c>
      <c r="B33" s="16" t="n">
        <f aca="false">IF('36-Month Forecast'!AP115=0,0,('36-Month Forecast'!AP44+'36-Month Forecast'!AP54)/'36-Month Forecast'!AP115)</f>
        <v>0.386351168701549</v>
      </c>
      <c r="C33" s="16" t="n">
        <f aca="false">IF('36-Month Forecast'!AP241=0,0,('36-Month Forecast'!AP170+'36-Month Forecast'!AP180)/'36-Month Forecast'!AP241)</f>
        <v>0.297750526437036</v>
      </c>
      <c r="D33" s="16" t="n">
        <f aca="false">IF('36-Month Forecast'!AP367=0,0,('36-Month Forecast'!AP296+'36-Month Forecast'!AP306)/'36-Month Forecast'!AP367)</f>
        <v>0.253318415322104</v>
      </c>
      <c r="E33" s="9"/>
    </row>
    <row r="34" customFormat="false" ht="15" hidden="false" customHeight="false" outlineLevel="0" collapsed="false">
      <c r="A34" s="7" t="s">
        <v>41</v>
      </c>
      <c r="B34" s="16" t="n">
        <f aca="false">IF('36-Month Forecast'!AP115=0,0,'36-Month Forecast'!AP84/'36-Month Forecast'!AP115)</f>
        <v>0.0484911728049551</v>
      </c>
      <c r="C34" s="16" t="n">
        <f aca="false">IF('36-Month Forecast'!AP241=0,0,'36-Month Forecast'!AP210/'36-Month Forecast'!AP241)</f>
        <v>0.0343321989298915</v>
      </c>
      <c r="D34" s="16" t="n">
        <f aca="false">IF('36-Month Forecast'!AP367=0,0,'36-Month Forecast'!AP336/'36-Month Forecast'!AP367)</f>
        <v>0.0337460244920513</v>
      </c>
      <c r="E34" s="9"/>
    </row>
    <row r="35" customFormat="false" ht="15" hidden="false" customHeight="false" outlineLevel="0" collapsed="false">
      <c r="A35" s="7" t="s">
        <v>42</v>
      </c>
      <c r="B35" s="16" t="n">
        <f aca="false">IF('36-Month Forecast'!AP115=0,0,'36-Month Forecast'!AP94/'36-Month Forecast'!AP115)</f>
        <v>0</v>
      </c>
      <c r="C35" s="16" t="n">
        <f aca="false">IF('36-Month Forecast'!AP241=0,0,'36-Month Forecast'!AP220/'36-Month Forecast'!AP241)</f>
        <v>0.101290929867448</v>
      </c>
      <c r="D35" s="16" t="n">
        <f aca="false">IF('36-Month Forecast'!AP367=0,0,'36-Month Forecast'!AP346/'36-Month Forecast'!AP367)</f>
        <v>0.102143111252204</v>
      </c>
      <c r="E35" s="9"/>
    </row>
    <row r="36" customFormat="false" ht="15" hidden="false" customHeight="false" outlineLevel="0" collapsed="false">
      <c r="A36" s="7" t="s">
        <v>43</v>
      </c>
      <c r="B36" s="16" t="n">
        <f aca="false">IF('36-Month Forecast'!AP115=0,0,'36-Month Forecast'!AP104/'36-Month Forecast'!AP115)</f>
        <v>0</v>
      </c>
      <c r="C36" s="16" t="n">
        <f aca="false">IF('36-Month Forecast'!AP241=0,0,'36-Month Forecast'!AP230/'36-Month Forecast'!AP241)</f>
        <v>0.00747001536239554</v>
      </c>
      <c r="D36" s="16" t="n">
        <f aca="false">IF('36-Month Forecast'!AP367=0,0,'36-Month Forecast'!AP356/'36-Month Forecast'!AP367)</f>
        <v>0.0209968985716946</v>
      </c>
      <c r="E36" s="9"/>
    </row>
    <row r="37" customFormat="false" ht="15" hidden="false" customHeight="false" outlineLevel="0" collapsed="false">
      <c r="A37" s="7" t="s">
        <v>44</v>
      </c>
      <c r="B37" s="14" t="n">
        <f aca="false">'36-Month Forecast'!AL131</f>
        <v>884.714218209617</v>
      </c>
      <c r="C37" s="14" t="n">
        <f aca="false">'36-Month Forecast'!AL257</f>
        <v>107.606062238456</v>
      </c>
      <c r="D37" s="14" t="n">
        <f aca="false">'36-Month Forecast'!AL383</f>
        <v>401.421676886947</v>
      </c>
      <c r="E37" s="9" t="s">
        <v>45</v>
      </c>
    </row>
    <row r="39" customFormat="false" ht="15" hidden="false" customHeight="false" outlineLevel="0" collapsed="false">
      <c r="A39" s="10" t="s">
        <v>46</v>
      </c>
    </row>
    <row r="40" customFormat="false" ht="15" hidden="false" customHeight="false" outlineLevel="0" collapsed="false">
      <c r="A40" s="9" t="s">
        <v>47</v>
      </c>
    </row>
    <row r="41" customFormat="false" ht="15" hidden="false" customHeight="false" outlineLevel="0" collapsed="false">
      <c r="A41" s="9" t="s">
        <v>48</v>
      </c>
    </row>
    <row r="42" customFormat="false" ht="15" hidden="false" customHeight="false" outlineLevel="0" collapsed="false">
      <c r="A42" s="9" t="s">
        <v>49</v>
      </c>
    </row>
    <row r="43" customFormat="false" ht="15" hidden="false" customHeight="false" outlineLevel="0" collapsed="false">
      <c r="A43" s="9" t="s">
        <v>50</v>
      </c>
    </row>
    <row r="44" customFormat="false" ht="15" hidden="false" customHeight="false" outlineLevel="0" collapsed="false">
      <c r="A44" s="9" t="s">
        <v>51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2940"/>
    <pageSetUpPr fitToPage="false"/>
  </sheetPr>
  <dimension ref="A1:H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6" min="3" style="0" width="14"/>
    <col collapsed="false" customWidth="true" hidden="false" outlineLevel="0" max="7" min="7" style="0" width="7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7" t="s">
        <v>52</v>
      </c>
    </row>
    <row r="2" customFormat="false" ht="30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A5" s="3" t="s">
        <v>54</v>
      </c>
      <c r="B5" s="4" t="s">
        <v>55</v>
      </c>
      <c r="C5" s="4" t="s">
        <v>56</v>
      </c>
      <c r="D5" s="4" t="s">
        <v>4</v>
      </c>
      <c r="E5" s="4" t="s">
        <v>5</v>
      </c>
      <c r="F5" s="4" t="s">
        <v>57</v>
      </c>
      <c r="G5" s="4" t="s">
        <v>58</v>
      </c>
      <c r="H5" s="4" t="s">
        <v>59</v>
      </c>
    </row>
    <row r="7" customFormat="false" ht="15" hidden="false" customHeight="false" outlineLevel="0" collapsed="false">
      <c r="A7" s="5" t="s">
        <v>60</v>
      </c>
      <c r="B7" s="6"/>
      <c r="C7" s="6"/>
      <c r="D7" s="6"/>
      <c r="E7" s="6"/>
      <c r="F7" s="6"/>
      <c r="G7" s="6"/>
      <c r="H7" s="6"/>
    </row>
    <row r="8" customFormat="false" ht="15" hidden="false" customHeight="false" outlineLevel="0" collapsed="false">
      <c r="A8" s="9" t="s">
        <v>61</v>
      </c>
      <c r="B8" s="18" t="s">
        <v>62</v>
      </c>
      <c r="C8" s="19" t="n">
        <v>46296</v>
      </c>
      <c r="F8" s="7" t="s">
        <v>63</v>
      </c>
      <c r="G8" s="18" t="s">
        <v>64</v>
      </c>
      <c r="H8" s="7" t="s">
        <v>65</v>
      </c>
    </row>
    <row r="9" customFormat="false" ht="15" hidden="false" customHeight="false" outlineLevel="0" collapsed="false">
      <c r="A9" s="9" t="s">
        <v>66</v>
      </c>
      <c r="B9" s="18" t="s">
        <v>67</v>
      </c>
      <c r="C9" s="20" t="n">
        <v>0.5</v>
      </c>
      <c r="F9" s="7" t="s">
        <v>68</v>
      </c>
      <c r="G9" s="18" t="s">
        <v>69</v>
      </c>
      <c r="H9" s="7" t="s">
        <v>70</v>
      </c>
    </row>
    <row r="10" customFormat="false" ht="23.85" hidden="false" customHeight="false" outlineLevel="0" collapsed="false">
      <c r="A10" s="9" t="s">
        <v>71</v>
      </c>
      <c r="B10" s="18" t="s">
        <v>72</v>
      </c>
      <c r="C10" s="21" t="n">
        <v>6</v>
      </c>
      <c r="F10" s="7" t="s">
        <v>73</v>
      </c>
      <c r="G10" s="18" t="s">
        <v>74</v>
      </c>
      <c r="H10" s="7" t="s">
        <v>70</v>
      </c>
    </row>
    <row r="11" customFormat="false" ht="23.85" hidden="false" customHeight="false" outlineLevel="0" collapsed="false">
      <c r="A11" s="9" t="s">
        <v>75</v>
      </c>
      <c r="B11" s="18" t="s">
        <v>76</v>
      </c>
      <c r="C11" s="22" t="n">
        <v>0.06</v>
      </c>
      <c r="F11" s="7" t="s">
        <v>77</v>
      </c>
      <c r="G11" s="18" t="s">
        <v>78</v>
      </c>
      <c r="H11" s="7" t="s">
        <v>79</v>
      </c>
    </row>
    <row r="12" customFormat="false" ht="15" hidden="false" customHeight="false" outlineLevel="0" collapsed="false">
      <c r="A12" s="9" t="s">
        <v>80</v>
      </c>
      <c r="B12" s="18" t="s">
        <v>81</v>
      </c>
      <c r="C12" s="22" t="n">
        <v>0.02</v>
      </c>
      <c r="F12" s="7" t="s">
        <v>77</v>
      </c>
      <c r="G12" s="18" t="s">
        <v>82</v>
      </c>
      <c r="H12" s="7" t="s">
        <v>70</v>
      </c>
    </row>
    <row r="13" customFormat="false" ht="15" hidden="false" customHeight="false" outlineLevel="0" collapsed="false">
      <c r="A13" s="9" t="s">
        <v>83</v>
      </c>
      <c r="B13" s="18" t="s">
        <v>84</v>
      </c>
      <c r="C13" s="22" t="n">
        <v>0.05</v>
      </c>
      <c r="F13" s="7" t="s">
        <v>77</v>
      </c>
      <c r="G13" s="18" t="s">
        <v>85</v>
      </c>
      <c r="H13" s="7" t="s">
        <v>70</v>
      </c>
    </row>
    <row r="14" customFormat="false" ht="15" hidden="false" customHeight="false" outlineLevel="0" collapsed="false">
      <c r="A14" s="9" t="s">
        <v>86</v>
      </c>
      <c r="B14" s="18" t="s">
        <v>87</v>
      </c>
      <c r="C14" s="22" t="n">
        <v>0.25</v>
      </c>
      <c r="F14" s="7" t="s">
        <v>88</v>
      </c>
      <c r="G14" s="18" t="s">
        <v>89</v>
      </c>
      <c r="H14" s="7" t="s">
        <v>90</v>
      </c>
    </row>
    <row r="15" customFormat="false" ht="15" hidden="false" customHeight="false" outlineLevel="0" collapsed="false">
      <c r="A15" s="9" t="s">
        <v>91</v>
      </c>
      <c r="B15" s="18" t="s">
        <v>92</v>
      </c>
      <c r="C15" s="23" t="n">
        <v>0</v>
      </c>
      <c r="F15" s="7" t="s">
        <v>93</v>
      </c>
      <c r="G15" s="18" t="s">
        <v>94</v>
      </c>
      <c r="H15" s="7" t="s">
        <v>65</v>
      </c>
    </row>
    <row r="16" customFormat="false" ht="15" hidden="false" customHeight="false" outlineLevel="0" collapsed="false">
      <c r="A16" s="9" t="s">
        <v>95</v>
      </c>
      <c r="B16" s="18" t="s">
        <v>96</v>
      </c>
      <c r="C16" s="24" t="n">
        <v>0</v>
      </c>
      <c r="F16" s="7" t="s">
        <v>93</v>
      </c>
      <c r="G16" s="18" t="s">
        <v>97</v>
      </c>
      <c r="H16" s="7" t="s">
        <v>70</v>
      </c>
    </row>
    <row r="17" customFormat="false" ht="15" hidden="false" customHeight="false" outlineLevel="0" collapsed="false">
      <c r="A17" s="9" t="s">
        <v>98</v>
      </c>
      <c r="B17" s="18" t="s">
        <v>99</v>
      </c>
      <c r="C17" s="22" t="n">
        <v>0.1</v>
      </c>
      <c r="F17" s="7" t="s">
        <v>88</v>
      </c>
      <c r="G17" s="18" t="s">
        <v>100</v>
      </c>
      <c r="H17" s="7" t="s">
        <v>70</v>
      </c>
    </row>
    <row r="18" customFormat="false" ht="15" hidden="false" customHeight="false" outlineLevel="0" collapsed="false">
      <c r="A18" s="9" t="s">
        <v>101</v>
      </c>
      <c r="B18" s="18" t="s">
        <v>102</v>
      </c>
      <c r="C18" s="21" t="n">
        <v>3</v>
      </c>
      <c r="F18" s="7" t="s">
        <v>73</v>
      </c>
      <c r="G18" s="18" t="s">
        <v>103</v>
      </c>
      <c r="H18" s="7" t="s">
        <v>65</v>
      </c>
    </row>
    <row r="20" customFormat="false" ht="15" hidden="false" customHeight="false" outlineLevel="0" collapsed="false">
      <c r="A20" s="5" t="s">
        <v>104</v>
      </c>
      <c r="B20" s="6"/>
      <c r="C20" s="6"/>
      <c r="D20" s="6"/>
      <c r="E20" s="6"/>
      <c r="F20" s="6"/>
      <c r="G20" s="6"/>
      <c r="H20" s="6"/>
    </row>
    <row r="21" customFormat="false" ht="23.85" hidden="false" customHeight="false" outlineLevel="0" collapsed="false">
      <c r="A21" s="9" t="s">
        <v>105</v>
      </c>
      <c r="B21" s="18" t="s">
        <v>106</v>
      </c>
      <c r="C21" s="22" t="n">
        <v>0.029</v>
      </c>
      <c r="F21" s="7" t="s">
        <v>77</v>
      </c>
      <c r="G21" s="18" t="s">
        <v>107</v>
      </c>
      <c r="H21" s="7" t="s">
        <v>79</v>
      </c>
    </row>
    <row r="22" customFormat="false" ht="15" hidden="false" customHeight="false" outlineLevel="0" collapsed="false">
      <c r="A22" s="9" t="s">
        <v>108</v>
      </c>
      <c r="B22" s="18" t="s">
        <v>109</v>
      </c>
      <c r="C22" s="25" t="n">
        <v>0.3</v>
      </c>
      <c r="F22" s="7" t="s">
        <v>110</v>
      </c>
      <c r="G22" s="18" t="s">
        <v>111</v>
      </c>
      <c r="H22" s="7" t="s">
        <v>79</v>
      </c>
    </row>
    <row r="23" customFormat="false" ht="15" hidden="false" customHeight="false" outlineLevel="0" collapsed="false">
      <c r="A23" s="9" t="s">
        <v>112</v>
      </c>
      <c r="B23" s="18" t="s">
        <v>113</v>
      </c>
      <c r="C23" s="22" t="n">
        <v>0.065</v>
      </c>
      <c r="F23" s="7" t="s">
        <v>77</v>
      </c>
      <c r="G23" s="18" t="s">
        <v>114</v>
      </c>
      <c r="H23" s="7" t="s">
        <v>79</v>
      </c>
    </row>
    <row r="24" customFormat="false" ht="15" hidden="false" customHeight="false" outlineLevel="0" collapsed="false">
      <c r="A24" s="9" t="s">
        <v>115</v>
      </c>
      <c r="B24" s="18" t="s">
        <v>116</v>
      </c>
      <c r="C24" s="22" t="n">
        <v>0.03</v>
      </c>
      <c r="F24" s="7" t="s">
        <v>77</v>
      </c>
      <c r="G24" s="18" t="s">
        <v>111</v>
      </c>
      <c r="H24" s="7" t="s">
        <v>79</v>
      </c>
    </row>
    <row r="25" customFormat="false" ht="15" hidden="false" customHeight="false" outlineLevel="0" collapsed="false">
      <c r="A25" s="9" t="s">
        <v>117</v>
      </c>
      <c r="B25" s="18" t="s">
        <v>118</v>
      </c>
      <c r="C25" s="25" t="n">
        <v>0.25</v>
      </c>
      <c r="F25" s="7" t="s">
        <v>110</v>
      </c>
      <c r="G25" s="18" t="s">
        <v>111</v>
      </c>
      <c r="H25" s="7" t="s">
        <v>79</v>
      </c>
    </row>
    <row r="26" customFormat="false" ht="15" hidden="false" customHeight="false" outlineLevel="0" collapsed="false">
      <c r="A26" s="9" t="s">
        <v>119</v>
      </c>
      <c r="B26" s="18" t="s">
        <v>120</v>
      </c>
      <c r="C26" s="25" t="n">
        <v>0.2</v>
      </c>
      <c r="F26" s="7" t="s">
        <v>121</v>
      </c>
      <c r="G26" s="18" t="s">
        <v>111</v>
      </c>
      <c r="H26" s="7" t="s">
        <v>79</v>
      </c>
    </row>
    <row r="27" customFormat="false" ht="15" hidden="false" customHeight="false" outlineLevel="0" collapsed="false">
      <c r="A27" s="9" t="s">
        <v>122</v>
      </c>
      <c r="B27" s="18" t="s">
        <v>123</v>
      </c>
      <c r="C27" s="22" t="n">
        <v>0.15</v>
      </c>
      <c r="F27" s="7" t="s">
        <v>77</v>
      </c>
      <c r="G27" s="18" t="s">
        <v>124</v>
      </c>
      <c r="H27" s="7" t="s">
        <v>79</v>
      </c>
    </row>
    <row r="28" customFormat="false" ht="15" hidden="false" customHeight="false" outlineLevel="0" collapsed="false">
      <c r="A28" s="9" t="s">
        <v>125</v>
      </c>
      <c r="B28" s="18" t="s">
        <v>126</v>
      </c>
      <c r="C28" s="22" t="n">
        <v>0.1</v>
      </c>
      <c r="F28" s="7" t="s">
        <v>127</v>
      </c>
      <c r="G28" s="18" t="s">
        <v>128</v>
      </c>
      <c r="H28" s="7" t="s">
        <v>70</v>
      </c>
    </row>
    <row r="29" customFormat="false" ht="15" hidden="false" customHeight="false" outlineLevel="0" collapsed="false">
      <c r="A29" s="9" t="s">
        <v>129</v>
      </c>
      <c r="B29" s="18" t="s">
        <v>130</v>
      </c>
      <c r="C29" s="22" t="n">
        <v>0.6</v>
      </c>
      <c r="F29" s="7" t="s">
        <v>131</v>
      </c>
      <c r="G29" s="18" t="s">
        <v>132</v>
      </c>
      <c r="H29" s="7" t="s">
        <v>79</v>
      </c>
    </row>
    <row r="30" customFormat="false" ht="15" hidden="false" customHeight="false" outlineLevel="0" collapsed="false">
      <c r="A30" s="9" t="s">
        <v>133</v>
      </c>
      <c r="B30" s="18" t="s">
        <v>134</v>
      </c>
      <c r="C30" s="25" t="n">
        <v>1</v>
      </c>
      <c r="F30" s="7" t="s">
        <v>135</v>
      </c>
      <c r="G30" s="18" t="s">
        <v>136</v>
      </c>
      <c r="H30" s="7" t="s">
        <v>79</v>
      </c>
    </row>
    <row r="31" customFormat="false" ht="15" hidden="false" customHeight="false" outlineLevel="0" collapsed="false">
      <c r="A31" s="9" t="s">
        <v>137</v>
      </c>
      <c r="B31" s="18" t="s">
        <v>138</v>
      </c>
      <c r="C31" s="25" t="n">
        <v>0.07</v>
      </c>
      <c r="F31" s="7" t="s">
        <v>139</v>
      </c>
      <c r="G31" s="18" t="s">
        <v>111</v>
      </c>
      <c r="H31" s="7" t="s">
        <v>79</v>
      </c>
    </row>
    <row r="32" customFormat="false" ht="15" hidden="false" customHeight="false" outlineLevel="0" collapsed="false">
      <c r="A32" s="9" t="s">
        <v>140</v>
      </c>
      <c r="B32" s="18" t="s">
        <v>141</v>
      </c>
      <c r="C32" s="26" t="n">
        <v>0.012</v>
      </c>
      <c r="F32" s="7" t="s">
        <v>139</v>
      </c>
      <c r="G32" s="18" t="s">
        <v>142</v>
      </c>
      <c r="H32" s="7" t="s">
        <v>143</v>
      </c>
    </row>
    <row r="33" customFormat="false" ht="15" hidden="false" customHeight="false" outlineLevel="0" collapsed="false">
      <c r="A33" s="9" t="s">
        <v>144</v>
      </c>
      <c r="B33" s="18" t="s">
        <v>145</v>
      </c>
      <c r="C33" s="21" t="n">
        <v>82</v>
      </c>
      <c r="F33" s="7" t="s">
        <v>146</v>
      </c>
      <c r="G33" s="18" t="s">
        <v>147</v>
      </c>
      <c r="H33" s="7" t="s">
        <v>79</v>
      </c>
    </row>
    <row r="34" customFormat="false" ht="15" hidden="false" customHeight="false" outlineLevel="0" collapsed="false">
      <c r="A34" s="9" t="s">
        <v>148</v>
      </c>
      <c r="B34" s="18" t="s">
        <v>149</v>
      </c>
      <c r="C34" s="21" t="n">
        <v>32</v>
      </c>
      <c r="F34" s="7" t="s">
        <v>146</v>
      </c>
      <c r="G34" s="18" t="s">
        <v>150</v>
      </c>
      <c r="H34" s="7" t="s">
        <v>65</v>
      </c>
    </row>
    <row r="35" customFormat="false" ht="15" hidden="false" customHeight="false" outlineLevel="0" collapsed="false">
      <c r="A35" s="9" t="s">
        <v>151</v>
      </c>
      <c r="B35" s="18" t="s">
        <v>152</v>
      </c>
      <c r="C35" s="27" t="n">
        <v>0.55</v>
      </c>
      <c r="F35" s="7" t="s">
        <v>131</v>
      </c>
      <c r="G35" s="18" t="s">
        <v>153</v>
      </c>
      <c r="H35" s="7" t="s">
        <v>65</v>
      </c>
    </row>
    <row r="36" customFormat="false" ht="15" hidden="false" customHeight="false" outlineLevel="0" collapsed="false">
      <c r="A36" s="9" t="s">
        <v>154</v>
      </c>
      <c r="B36" s="18" t="s">
        <v>155</v>
      </c>
      <c r="C36" s="25" t="n">
        <v>8.5</v>
      </c>
      <c r="F36" s="7" t="s">
        <v>135</v>
      </c>
      <c r="G36" s="18" t="s">
        <v>156</v>
      </c>
      <c r="H36" s="7" t="s">
        <v>143</v>
      </c>
    </row>
    <row r="37" customFormat="false" ht="15" hidden="false" customHeight="false" outlineLevel="0" collapsed="false">
      <c r="A37" s="9" t="s">
        <v>157</v>
      </c>
      <c r="B37" s="18" t="s">
        <v>158</v>
      </c>
      <c r="C37" s="25" t="n">
        <v>3.24</v>
      </c>
      <c r="F37" s="7" t="s">
        <v>135</v>
      </c>
      <c r="G37" s="18" t="s">
        <v>159</v>
      </c>
      <c r="H37" s="7" t="s">
        <v>160</v>
      </c>
    </row>
    <row r="38" customFormat="false" ht="23.85" hidden="false" customHeight="false" outlineLevel="0" collapsed="false">
      <c r="A38" s="9" t="s">
        <v>161</v>
      </c>
      <c r="B38" s="18" t="s">
        <v>162</v>
      </c>
      <c r="C38" s="22" t="n">
        <v>0.1</v>
      </c>
      <c r="F38" s="7" t="s">
        <v>77</v>
      </c>
      <c r="G38" s="18" t="s">
        <v>163</v>
      </c>
      <c r="H38" s="7" t="s">
        <v>79</v>
      </c>
    </row>
    <row r="39" customFormat="false" ht="15" hidden="false" customHeight="false" outlineLevel="0" collapsed="false">
      <c r="A39" s="9" t="s">
        <v>164</v>
      </c>
      <c r="B39" s="18" t="s">
        <v>165</v>
      </c>
      <c r="C39" s="25" t="n">
        <v>0.5</v>
      </c>
      <c r="F39" s="7" t="s">
        <v>110</v>
      </c>
      <c r="G39" s="18" t="s">
        <v>111</v>
      </c>
      <c r="H39" s="7" t="s">
        <v>79</v>
      </c>
    </row>
    <row r="40" customFormat="false" ht="15" hidden="false" customHeight="false" outlineLevel="0" collapsed="false">
      <c r="A40" s="9" t="s">
        <v>166</v>
      </c>
      <c r="B40" s="18" t="s">
        <v>167</v>
      </c>
      <c r="C40" s="22" t="n">
        <v>0.55</v>
      </c>
      <c r="F40" s="7" t="s">
        <v>77</v>
      </c>
      <c r="G40" s="18" t="s">
        <v>168</v>
      </c>
      <c r="H40" s="7" t="s">
        <v>79</v>
      </c>
    </row>
    <row r="41" customFormat="false" ht="15" hidden="false" customHeight="false" outlineLevel="0" collapsed="false">
      <c r="A41" s="9" t="s">
        <v>169</v>
      </c>
      <c r="B41" s="18" t="s">
        <v>170</v>
      </c>
      <c r="C41" s="25" t="n">
        <v>0.3</v>
      </c>
      <c r="F41" s="7" t="s">
        <v>121</v>
      </c>
      <c r="G41" s="18" t="s">
        <v>111</v>
      </c>
      <c r="H41" s="7" t="s">
        <v>79</v>
      </c>
    </row>
    <row r="42" customFormat="false" ht="15" hidden="false" customHeight="false" outlineLevel="0" collapsed="false">
      <c r="A42" s="9" t="s">
        <v>171</v>
      </c>
      <c r="B42" s="18" t="s">
        <v>172</v>
      </c>
      <c r="C42" s="22" t="n">
        <v>0.15</v>
      </c>
      <c r="F42" s="7" t="s">
        <v>77</v>
      </c>
      <c r="G42" s="18" t="s">
        <v>173</v>
      </c>
      <c r="H42" s="7" t="s">
        <v>79</v>
      </c>
    </row>
    <row r="43" customFormat="false" ht="15" hidden="false" customHeight="false" outlineLevel="0" collapsed="false">
      <c r="A43" s="9" t="s">
        <v>174</v>
      </c>
      <c r="B43" s="18" t="s">
        <v>175</v>
      </c>
      <c r="C43" s="25" t="n">
        <v>3.5</v>
      </c>
      <c r="F43" s="7" t="s">
        <v>176</v>
      </c>
      <c r="G43" s="18" t="s">
        <v>177</v>
      </c>
      <c r="H43" s="7" t="s">
        <v>143</v>
      </c>
    </row>
    <row r="44" customFormat="false" ht="15" hidden="false" customHeight="false" outlineLevel="0" collapsed="false">
      <c r="A44" s="9" t="s">
        <v>178</v>
      </c>
      <c r="B44" s="18" t="s">
        <v>179</v>
      </c>
      <c r="C44" s="22" t="n">
        <v>0.15</v>
      </c>
      <c r="F44" s="7" t="s">
        <v>180</v>
      </c>
      <c r="G44" s="18" t="s">
        <v>181</v>
      </c>
      <c r="H44" s="7" t="s">
        <v>79</v>
      </c>
    </row>
    <row r="45" customFormat="false" ht="15" hidden="false" customHeight="false" outlineLevel="0" collapsed="false">
      <c r="A45" s="9" t="s">
        <v>182</v>
      </c>
      <c r="B45" s="18" t="s">
        <v>183</v>
      </c>
      <c r="C45" s="22" t="n">
        <v>0.03</v>
      </c>
      <c r="F45" s="7" t="s">
        <v>180</v>
      </c>
      <c r="G45" s="18" t="s">
        <v>184</v>
      </c>
      <c r="H45" s="7" t="s">
        <v>79</v>
      </c>
    </row>
    <row r="46" customFormat="false" ht="15" hidden="false" customHeight="false" outlineLevel="0" collapsed="false">
      <c r="A46" s="9" t="s">
        <v>185</v>
      </c>
      <c r="B46" s="18" t="s">
        <v>186</v>
      </c>
      <c r="C46" s="22" t="n">
        <v>0.5</v>
      </c>
      <c r="F46" s="7" t="s">
        <v>187</v>
      </c>
      <c r="G46" s="18" t="s">
        <v>188</v>
      </c>
      <c r="H46" s="7" t="s">
        <v>65</v>
      </c>
    </row>
    <row r="47" customFormat="false" ht="23.85" hidden="false" customHeight="false" outlineLevel="0" collapsed="false">
      <c r="A47" s="9" t="s">
        <v>189</v>
      </c>
      <c r="B47" s="18" t="s">
        <v>190</v>
      </c>
      <c r="C47" s="22" t="n">
        <v>0.15</v>
      </c>
      <c r="F47" s="7" t="s">
        <v>77</v>
      </c>
      <c r="G47" s="18" t="s">
        <v>191</v>
      </c>
      <c r="H47" s="7" t="s">
        <v>143</v>
      </c>
    </row>
    <row r="48" customFormat="false" ht="15" hidden="false" customHeight="false" outlineLevel="0" collapsed="false">
      <c r="A48" s="9" t="s">
        <v>192</v>
      </c>
      <c r="B48" s="18" t="s">
        <v>193</v>
      </c>
      <c r="C48" s="22" t="n">
        <v>0.05</v>
      </c>
      <c r="F48" s="7" t="s">
        <v>77</v>
      </c>
      <c r="G48" s="18" t="s">
        <v>194</v>
      </c>
      <c r="H48" s="7" t="s">
        <v>143</v>
      </c>
    </row>
    <row r="49" customFormat="false" ht="15" hidden="false" customHeight="false" outlineLevel="0" collapsed="false">
      <c r="A49" s="9" t="s">
        <v>195</v>
      </c>
      <c r="B49" s="18" t="s">
        <v>196</v>
      </c>
      <c r="C49" s="25" t="n">
        <v>12.5</v>
      </c>
      <c r="F49" s="7" t="s">
        <v>176</v>
      </c>
      <c r="G49" s="18" t="s">
        <v>197</v>
      </c>
      <c r="H49" s="7" t="s">
        <v>143</v>
      </c>
    </row>
    <row r="51" customFormat="false" ht="15" hidden="false" customHeight="false" outlineLevel="0" collapsed="false">
      <c r="A51" s="5" t="s">
        <v>198</v>
      </c>
      <c r="B51" s="6"/>
      <c r="C51" s="6"/>
      <c r="D51" s="6"/>
      <c r="E51" s="6"/>
      <c r="F51" s="6"/>
      <c r="G51" s="6"/>
      <c r="H51" s="6"/>
    </row>
    <row r="52" customFormat="false" ht="15" hidden="false" customHeight="false" outlineLevel="0" collapsed="false">
      <c r="A52" s="9" t="s">
        <v>199</v>
      </c>
      <c r="B52" s="18" t="s">
        <v>200</v>
      </c>
      <c r="C52" s="25" t="n">
        <v>12.99</v>
      </c>
      <c r="F52" s="7" t="s">
        <v>93</v>
      </c>
      <c r="G52" s="18" t="s">
        <v>201</v>
      </c>
      <c r="H52" s="7" t="s">
        <v>65</v>
      </c>
    </row>
    <row r="53" customFormat="false" ht="15" hidden="false" customHeight="false" outlineLevel="0" collapsed="false">
      <c r="A53" s="9" t="s">
        <v>202</v>
      </c>
      <c r="B53" s="18" t="s">
        <v>203</v>
      </c>
      <c r="C53" s="25" t="n">
        <v>1.8</v>
      </c>
      <c r="F53" s="7" t="s">
        <v>135</v>
      </c>
      <c r="G53" s="18" t="s">
        <v>204</v>
      </c>
      <c r="H53" s="7" t="s">
        <v>79</v>
      </c>
    </row>
    <row r="54" customFormat="false" ht="15" hidden="false" customHeight="false" outlineLevel="0" collapsed="false">
      <c r="A54" s="9" t="s">
        <v>205</v>
      </c>
      <c r="B54" s="18" t="s">
        <v>206</v>
      </c>
      <c r="C54" s="25" t="n">
        <v>4</v>
      </c>
      <c r="F54" s="7" t="s">
        <v>135</v>
      </c>
      <c r="G54" s="18" t="s">
        <v>111</v>
      </c>
      <c r="H54" s="7" t="s">
        <v>79</v>
      </c>
    </row>
    <row r="55" customFormat="false" ht="15" hidden="false" customHeight="false" outlineLevel="0" collapsed="false">
      <c r="A55" s="9" t="s">
        <v>207</v>
      </c>
      <c r="B55" s="7" t="s">
        <v>208</v>
      </c>
      <c r="C55" s="28" t="n">
        <f aca="false">C53+Assumptions!$C$9*(C54-C53)</f>
        <v>2.9</v>
      </c>
      <c r="F55" s="7" t="s">
        <v>135</v>
      </c>
      <c r="G55" s="18" t="s">
        <v>209</v>
      </c>
      <c r="H55" s="7" t="s">
        <v>210</v>
      </c>
    </row>
    <row r="56" customFormat="false" ht="15" hidden="false" customHeight="false" outlineLevel="0" collapsed="false">
      <c r="A56" s="9" t="s">
        <v>211</v>
      </c>
      <c r="B56" s="18" t="s">
        <v>212</v>
      </c>
      <c r="C56" s="22" t="n">
        <v>0.25</v>
      </c>
      <c r="F56" s="7" t="s">
        <v>213</v>
      </c>
      <c r="G56" s="18" t="s">
        <v>214</v>
      </c>
      <c r="H56" s="7" t="s">
        <v>160</v>
      </c>
    </row>
    <row r="57" customFormat="false" ht="15" hidden="false" customHeight="false" outlineLevel="0" collapsed="false">
      <c r="A57" s="9" t="s">
        <v>215</v>
      </c>
      <c r="B57" s="7" t="s">
        <v>216</v>
      </c>
      <c r="C57" s="28" t="n">
        <f aca="false">Assumptions!$C$55*(1+Assumptions!$C$56)</f>
        <v>3.625</v>
      </c>
      <c r="F57" s="7" t="s">
        <v>135</v>
      </c>
      <c r="G57" s="18" t="s">
        <v>217</v>
      </c>
      <c r="H57" s="7" t="s">
        <v>210</v>
      </c>
    </row>
    <row r="58" customFormat="false" ht="15" hidden="false" customHeight="false" outlineLevel="0" collapsed="false">
      <c r="A58" s="9" t="s">
        <v>218</v>
      </c>
      <c r="B58" s="18" t="s">
        <v>219</v>
      </c>
      <c r="C58" s="25" t="n">
        <v>3.5</v>
      </c>
      <c r="F58" s="7" t="s">
        <v>110</v>
      </c>
      <c r="G58" s="18" t="s">
        <v>220</v>
      </c>
      <c r="H58" s="7" t="s">
        <v>143</v>
      </c>
    </row>
    <row r="59" customFormat="false" ht="15" hidden="false" customHeight="false" outlineLevel="0" collapsed="false">
      <c r="A59" s="9" t="s">
        <v>221</v>
      </c>
      <c r="B59" s="18" t="s">
        <v>222</v>
      </c>
      <c r="C59" s="25" t="n">
        <v>1</v>
      </c>
      <c r="F59" s="7" t="s">
        <v>176</v>
      </c>
      <c r="G59" s="18" t="s">
        <v>177</v>
      </c>
      <c r="H59" s="7" t="s">
        <v>143</v>
      </c>
    </row>
    <row r="60" customFormat="false" ht="15" hidden="false" customHeight="false" outlineLevel="0" collapsed="false">
      <c r="A60" s="9" t="s">
        <v>223</v>
      </c>
      <c r="B60" s="18" t="s">
        <v>224</v>
      </c>
      <c r="C60" s="23" t="n">
        <v>100</v>
      </c>
      <c r="F60" s="7" t="s">
        <v>225</v>
      </c>
      <c r="G60" s="18" t="s">
        <v>177</v>
      </c>
      <c r="H60" s="7" t="s">
        <v>143</v>
      </c>
    </row>
    <row r="61" customFormat="false" ht="15" hidden="false" customHeight="false" outlineLevel="0" collapsed="false">
      <c r="A61" s="9" t="s">
        <v>226</v>
      </c>
      <c r="B61" s="18" t="s">
        <v>227</v>
      </c>
      <c r="C61" s="25" t="n">
        <v>39.99</v>
      </c>
      <c r="F61" s="7" t="s">
        <v>225</v>
      </c>
      <c r="G61" s="18" t="s">
        <v>228</v>
      </c>
      <c r="H61" s="7" t="s">
        <v>79</v>
      </c>
    </row>
    <row r="62" customFormat="false" ht="15" hidden="false" customHeight="false" outlineLevel="0" collapsed="false">
      <c r="A62" s="9" t="s">
        <v>229</v>
      </c>
      <c r="B62" s="18" t="s">
        <v>230</v>
      </c>
      <c r="C62" s="29" t="n">
        <v>1000</v>
      </c>
      <c r="F62" s="7" t="s">
        <v>231</v>
      </c>
      <c r="G62" s="18" t="s">
        <v>232</v>
      </c>
      <c r="H62" s="7" t="s">
        <v>70</v>
      </c>
    </row>
    <row r="63" customFormat="false" ht="15" hidden="false" customHeight="false" outlineLevel="0" collapsed="false">
      <c r="A63" s="9" t="s">
        <v>233</v>
      </c>
      <c r="B63" s="18" t="s">
        <v>234</v>
      </c>
      <c r="C63" s="22" t="n">
        <v>0.4</v>
      </c>
      <c r="F63" s="7" t="s">
        <v>88</v>
      </c>
      <c r="G63" s="18" t="s">
        <v>235</v>
      </c>
      <c r="H63" s="7" t="s">
        <v>90</v>
      </c>
    </row>
    <row r="64" customFormat="false" ht="15" hidden="false" customHeight="false" outlineLevel="0" collapsed="false">
      <c r="A64" s="9" t="s">
        <v>236</v>
      </c>
      <c r="B64" s="18" t="s">
        <v>237</v>
      </c>
      <c r="C64" s="21" t="n">
        <v>3</v>
      </c>
      <c r="F64" s="7" t="s">
        <v>73</v>
      </c>
      <c r="G64" s="18" t="s">
        <v>238</v>
      </c>
      <c r="H64" s="7" t="s">
        <v>65</v>
      </c>
    </row>
    <row r="65" customFormat="false" ht="23.85" hidden="false" customHeight="false" outlineLevel="0" collapsed="false">
      <c r="A65" s="9" t="s">
        <v>239</v>
      </c>
      <c r="B65" s="18" t="s">
        <v>240</v>
      </c>
      <c r="C65" s="23" t="n">
        <v>179</v>
      </c>
      <c r="F65" s="7" t="s">
        <v>93</v>
      </c>
      <c r="G65" s="18" t="s">
        <v>241</v>
      </c>
      <c r="H65" s="7" t="s">
        <v>65</v>
      </c>
    </row>
    <row r="66" customFormat="false" ht="15" hidden="false" customHeight="false" outlineLevel="0" collapsed="false">
      <c r="A66" s="9" t="s">
        <v>242</v>
      </c>
      <c r="B66" s="18" t="s">
        <v>243</v>
      </c>
      <c r="C66" s="21" t="n">
        <v>3</v>
      </c>
      <c r="F66" s="7" t="s">
        <v>73</v>
      </c>
      <c r="G66" s="18" t="s">
        <v>244</v>
      </c>
      <c r="H66" s="7" t="s">
        <v>70</v>
      </c>
    </row>
    <row r="68" customFormat="false" ht="15" hidden="false" customHeight="false" outlineLevel="0" collapsed="false">
      <c r="A68" s="5" t="s">
        <v>245</v>
      </c>
      <c r="B68" s="6"/>
      <c r="C68" s="6"/>
      <c r="D68" s="6"/>
      <c r="E68" s="6"/>
      <c r="F68" s="6"/>
      <c r="G68" s="6"/>
      <c r="H68" s="6"/>
    </row>
    <row r="69" customFormat="false" ht="15" hidden="false" customHeight="false" outlineLevel="0" collapsed="false">
      <c r="A69" s="9" t="s">
        <v>246</v>
      </c>
      <c r="B69" s="18" t="s">
        <v>247</v>
      </c>
      <c r="C69" s="21" t="n">
        <v>0</v>
      </c>
      <c r="F69" s="7" t="s">
        <v>73</v>
      </c>
      <c r="G69" s="18" t="s">
        <v>248</v>
      </c>
      <c r="H69" s="7" t="s">
        <v>65</v>
      </c>
    </row>
    <row r="70" customFormat="false" ht="15" hidden="false" customHeight="false" outlineLevel="0" collapsed="false">
      <c r="A70" s="9" t="s">
        <v>249</v>
      </c>
      <c r="B70" s="18" t="s">
        <v>250</v>
      </c>
      <c r="C70" s="21" t="n">
        <v>0</v>
      </c>
      <c r="F70" s="7" t="s">
        <v>73</v>
      </c>
      <c r="G70" s="18" t="s">
        <v>251</v>
      </c>
      <c r="H70" s="7" t="s">
        <v>65</v>
      </c>
    </row>
    <row r="71" customFormat="false" ht="15" hidden="false" customHeight="false" outlineLevel="0" collapsed="false">
      <c r="A71" s="9" t="s">
        <v>252</v>
      </c>
      <c r="B71" s="18" t="s">
        <v>253</v>
      </c>
      <c r="C71" s="21" t="n">
        <v>2</v>
      </c>
      <c r="F71" s="7" t="s">
        <v>73</v>
      </c>
      <c r="G71" s="18" t="s">
        <v>254</v>
      </c>
      <c r="H71" s="7" t="s">
        <v>65</v>
      </c>
    </row>
    <row r="72" customFormat="false" ht="15" hidden="false" customHeight="false" outlineLevel="0" collapsed="false">
      <c r="A72" s="9" t="s">
        <v>255</v>
      </c>
      <c r="B72" s="18" t="s">
        <v>256</v>
      </c>
      <c r="C72" s="21" t="n">
        <v>3</v>
      </c>
      <c r="F72" s="7" t="s">
        <v>73</v>
      </c>
      <c r="G72" s="18" t="s">
        <v>257</v>
      </c>
      <c r="H72" s="7" t="s">
        <v>65</v>
      </c>
    </row>
    <row r="73" customFormat="false" ht="15" hidden="false" customHeight="false" outlineLevel="0" collapsed="false">
      <c r="A73" s="9" t="s">
        <v>258</v>
      </c>
      <c r="B73" s="18" t="s">
        <v>259</v>
      </c>
      <c r="C73" s="21" t="n">
        <v>0</v>
      </c>
      <c r="F73" s="7" t="s">
        <v>73</v>
      </c>
      <c r="G73" s="18" t="s">
        <v>260</v>
      </c>
      <c r="H73" s="7" t="s">
        <v>65</v>
      </c>
    </row>
    <row r="74" customFormat="false" ht="15" hidden="false" customHeight="false" outlineLevel="0" collapsed="false">
      <c r="A74" s="9" t="s">
        <v>261</v>
      </c>
      <c r="B74" s="18" t="s">
        <v>262</v>
      </c>
      <c r="C74" s="21" t="n">
        <v>0</v>
      </c>
      <c r="F74" s="7" t="s">
        <v>73</v>
      </c>
      <c r="G74" s="18" t="s">
        <v>263</v>
      </c>
      <c r="H74" s="7" t="s">
        <v>65</v>
      </c>
    </row>
    <row r="75" customFormat="false" ht="15" hidden="false" customHeight="false" outlineLevel="0" collapsed="false">
      <c r="A75" s="9" t="s">
        <v>264</v>
      </c>
      <c r="B75" s="18" t="s">
        <v>265</v>
      </c>
      <c r="C75" s="21" t="n">
        <v>0</v>
      </c>
      <c r="F75" s="7" t="s">
        <v>73</v>
      </c>
      <c r="G75" s="18" t="s">
        <v>266</v>
      </c>
      <c r="H75" s="7" t="s">
        <v>65</v>
      </c>
    </row>
    <row r="76" customFormat="false" ht="15" hidden="false" customHeight="false" outlineLevel="0" collapsed="false">
      <c r="A76" s="9" t="s">
        <v>267</v>
      </c>
      <c r="B76" s="18" t="s">
        <v>268</v>
      </c>
      <c r="C76" s="21" t="n">
        <v>1</v>
      </c>
      <c r="F76" s="7" t="s">
        <v>73</v>
      </c>
      <c r="G76" s="18" t="s">
        <v>269</v>
      </c>
      <c r="H76" s="7" t="s">
        <v>65</v>
      </c>
    </row>
    <row r="77" customFormat="false" ht="15" hidden="false" customHeight="false" outlineLevel="0" collapsed="false">
      <c r="A77" s="9" t="s">
        <v>270</v>
      </c>
      <c r="B77" s="18" t="s">
        <v>271</v>
      </c>
      <c r="C77" s="21" t="n">
        <v>1</v>
      </c>
      <c r="F77" s="7" t="s">
        <v>73</v>
      </c>
      <c r="G77" s="18" t="s">
        <v>272</v>
      </c>
      <c r="H77" s="7" t="s">
        <v>70</v>
      </c>
    </row>
    <row r="79" customFormat="false" ht="15" hidden="false" customHeight="false" outlineLevel="0" collapsed="false">
      <c r="A79" s="5" t="s">
        <v>273</v>
      </c>
      <c r="B79" s="6"/>
      <c r="C79" s="6"/>
      <c r="D79" s="6"/>
      <c r="E79" s="6"/>
      <c r="F79" s="6"/>
      <c r="G79" s="6"/>
      <c r="H79" s="6"/>
    </row>
    <row r="80" customFormat="false" ht="23.85" hidden="false" customHeight="false" outlineLevel="0" collapsed="false">
      <c r="A80" s="3" t="s">
        <v>54</v>
      </c>
      <c r="B80" s="4" t="s">
        <v>274</v>
      </c>
      <c r="C80" s="4" t="s">
        <v>275</v>
      </c>
      <c r="D80" s="4" t="s">
        <v>276</v>
      </c>
      <c r="E80" s="4"/>
      <c r="F80" s="4" t="s">
        <v>57</v>
      </c>
      <c r="G80" s="4" t="s">
        <v>58</v>
      </c>
      <c r="H80" s="4" t="s">
        <v>59</v>
      </c>
    </row>
    <row r="81" customFormat="false" ht="35.05" hidden="false" customHeight="false" outlineLevel="0" collapsed="false">
      <c r="A81" s="9" t="s">
        <v>277</v>
      </c>
      <c r="B81" s="7" t="s">
        <v>278</v>
      </c>
      <c r="C81" s="30" t="n">
        <v>1.25</v>
      </c>
      <c r="D81" s="30" t="n">
        <v>1.1</v>
      </c>
      <c r="F81" s="7" t="s">
        <v>279</v>
      </c>
      <c r="G81" s="18" t="s">
        <v>280</v>
      </c>
      <c r="H81" s="7" t="s">
        <v>70</v>
      </c>
    </row>
    <row r="82" customFormat="false" ht="15" hidden="false" customHeight="false" outlineLevel="0" collapsed="false">
      <c r="A82" s="9" t="s">
        <v>281</v>
      </c>
      <c r="B82" s="7" t="s">
        <v>282</v>
      </c>
      <c r="C82" s="30" t="n">
        <v>0.9</v>
      </c>
      <c r="D82" s="30" t="n">
        <v>1</v>
      </c>
      <c r="F82" s="7" t="s">
        <v>279</v>
      </c>
      <c r="H82" s="7" t="s">
        <v>70</v>
      </c>
    </row>
    <row r="83" customFormat="false" ht="15" hidden="false" customHeight="false" outlineLevel="0" collapsed="false">
      <c r="A83" s="9" t="s">
        <v>283</v>
      </c>
      <c r="B83" s="7" t="s">
        <v>284</v>
      </c>
      <c r="C83" s="30" t="n">
        <v>1</v>
      </c>
      <c r="D83" s="30" t="n">
        <v>1</v>
      </c>
      <c r="F83" s="7" t="s">
        <v>279</v>
      </c>
      <c r="H83" s="7" t="s">
        <v>70</v>
      </c>
    </row>
    <row r="84" customFormat="false" ht="15" hidden="false" customHeight="false" outlineLevel="0" collapsed="false">
      <c r="A84" s="9" t="s">
        <v>285</v>
      </c>
      <c r="B84" s="7" t="s">
        <v>286</v>
      </c>
      <c r="C84" s="30" t="n">
        <v>1.05</v>
      </c>
      <c r="D84" s="30" t="n">
        <v>0.9</v>
      </c>
      <c r="F84" s="7" t="s">
        <v>279</v>
      </c>
      <c r="H84" s="7" t="s">
        <v>70</v>
      </c>
    </row>
    <row r="85" customFormat="false" ht="15" hidden="false" customHeight="false" outlineLevel="0" collapsed="false">
      <c r="A85" s="9" t="s">
        <v>287</v>
      </c>
      <c r="B85" s="7" t="s">
        <v>288</v>
      </c>
      <c r="C85" s="30" t="n">
        <v>0.95</v>
      </c>
      <c r="D85" s="30" t="n">
        <v>0.7</v>
      </c>
      <c r="F85" s="7" t="s">
        <v>279</v>
      </c>
      <c r="H85" s="7" t="s">
        <v>70</v>
      </c>
    </row>
    <row r="86" customFormat="false" ht="15" hidden="false" customHeight="false" outlineLevel="0" collapsed="false">
      <c r="A86" s="9" t="s">
        <v>289</v>
      </c>
      <c r="B86" s="7" t="s">
        <v>290</v>
      </c>
      <c r="C86" s="30" t="n">
        <v>1</v>
      </c>
      <c r="D86" s="30" t="n">
        <v>0.4</v>
      </c>
      <c r="F86" s="7" t="s">
        <v>279</v>
      </c>
      <c r="H86" s="7" t="s">
        <v>70</v>
      </c>
    </row>
    <row r="87" customFormat="false" ht="15" hidden="false" customHeight="false" outlineLevel="0" collapsed="false">
      <c r="A87" s="9" t="s">
        <v>291</v>
      </c>
      <c r="B87" s="7" t="s">
        <v>292</v>
      </c>
      <c r="C87" s="30" t="n">
        <v>0.95</v>
      </c>
      <c r="D87" s="30" t="n">
        <v>0.6</v>
      </c>
      <c r="F87" s="7" t="s">
        <v>279</v>
      </c>
      <c r="H87" s="7" t="s">
        <v>70</v>
      </c>
    </row>
    <row r="88" customFormat="false" ht="15" hidden="false" customHeight="false" outlineLevel="0" collapsed="false">
      <c r="A88" s="9" t="s">
        <v>293</v>
      </c>
      <c r="B88" s="7" t="s">
        <v>294</v>
      </c>
      <c r="C88" s="30" t="n">
        <v>0.85</v>
      </c>
      <c r="D88" s="30" t="n">
        <v>1.3</v>
      </c>
      <c r="F88" s="7" t="s">
        <v>279</v>
      </c>
      <c r="H88" s="7" t="s">
        <v>70</v>
      </c>
    </row>
    <row r="89" customFormat="false" ht="15" hidden="false" customHeight="false" outlineLevel="0" collapsed="false">
      <c r="A89" s="9" t="s">
        <v>295</v>
      </c>
      <c r="B89" s="7" t="s">
        <v>296</v>
      </c>
      <c r="C89" s="30" t="n">
        <v>0.85</v>
      </c>
      <c r="D89" s="30" t="n">
        <v>1.4</v>
      </c>
      <c r="F89" s="7" t="s">
        <v>279</v>
      </c>
      <c r="H89" s="7" t="s">
        <v>70</v>
      </c>
    </row>
    <row r="90" customFormat="false" ht="15" hidden="false" customHeight="false" outlineLevel="0" collapsed="false">
      <c r="A90" s="9" t="s">
        <v>297</v>
      </c>
      <c r="B90" s="7" t="s">
        <v>298</v>
      </c>
      <c r="C90" s="30" t="n">
        <v>0.95</v>
      </c>
      <c r="D90" s="30" t="n">
        <v>1.2</v>
      </c>
      <c r="F90" s="7" t="s">
        <v>279</v>
      </c>
      <c r="H90" s="7" t="s">
        <v>70</v>
      </c>
    </row>
    <row r="91" customFormat="false" ht="15" hidden="false" customHeight="false" outlineLevel="0" collapsed="false">
      <c r="A91" s="9" t="s">
        <v>299</v>
      </c>
      <c r="B91" s="7" t="s">
        <v>300</v>
      </c>
      <c r="C91" s="30" t="n">
        <v>1.3</v>
      </c>
      <c r="D91" s="30" t="n">
        <v>1</v>
      </c>
      <c r="F91" s="7" t="s">
        <v>279</v>
      </c>
      <c r="H91" s="7" t="s">
        <v>70</v>
      </c>
    </row>
    <row r="92" customFormat="false" ht="15" hidden="false" customHeight="false" outlineLevel="0" collapsed="false">
      <c r="A92" s="9" t="s">
        <v>301</v>
      </c>
      <c r="B92" s="7" t="s">
        <v>302</v>
      </c>
      <c r="C92" s="30" t="n">
        <v>1.35</v>
      </c>
      <c r="D92" s="30" t="n">
        <v>0.7</v>
      </c>
      <c r="F92" s="7" t="s">
        <v>279</v>
      </c>
      <c r="H92" s="7" t="s">
        <v>70</v>
      </c>
    </row>
    <row r="94" customFormat="false" ht="15" hidden="false" customHeight="false" outlineLevel="0" collapsed="false">
      <c r="A94" s="5" t="s">
        <v>303</v>
      </c>
      <c r="B94" s="6"/>
      <c r="C94" s="6"/>
      <c r="D94" s="6"/>
      <c r="E94" s="6"/>
      <c r="F94" s="6"/>
      <c r="G94" s="6"/>
      <c r="H94" s="6"/>
    </row>
    <row r="95" customFormat="false" ht="15" hidden="false" customHeight="false" outlineLevel="0" collapsed="false">
      <c r="A95" s="3" t="s">
        <v>54</v>
      </c>
      <c r="B95" s="4" t="s">
        <v>304</v>
      </c>
      <c r="C95" s="4" t="s">
        <v>3</v>
      </c>
      <c r="D95" s="4" t="s">
        <v>4</v>
      </c>
      <c r="E95" s="4" t="s">
        <v>5</v>
      </c>
      <c r="F95" s="4" t="s">
        <v>57</v>
      </c>
      <c r="G95" s="4" t="s">
        <v>58</v>
      </c>
      <c r="H95" s="4" t="s">
        <v>59</v>
      </c>
    </row>
    <row r="96" customFormat="false" ht="15" hidden="false" customHeight="false" outlineLevel="0" collapsed="false">
      <c r="A96" s="31"/>
      <c r="B96" s="32" t="s">
        <v>305</v>
      </c>
      <c r="C96" s="31"/>
      <c r="D96" s="31"/>
      <c r="E96" s="31"/>
      <c r="F96" s="31"/>
      <c r="G96" s="31"/>
      <c r="H96" s="31"/>
    </row>
    <row r="97" customFormat="false" ht="15" hidden="false" customHeight="false" outlineLevel="0" collapsed="false">
      <c r="A97" s="9" t="s">
        <v>306</v>
      </c>
      <c r="B97" s="18" t="s">
        <v>307</v>
      </c>
      <c r="C97" s="33" t="n">
        <v>1</v>
      </c>
      <c r="D97" s="33" t="n">
        <v>1</v>
      </c>
      <c r="E97" s="33" t="n">
        <v>1</v>
      </c>
      <c r="F97" s="7" t="s">
        <v>308</v>
      </c>
      <c r="G97" s="18"/>
      <c r="H97" s="7" t="s">
        <v>70</v>
      </c>
    </row>
    <row r="98" customFormat="false" ht="15" hidden="false" customHeight="false" outlineLevel="0" collapsed="false">
      <c r="A98" s="9" t="s">
        <v>309</v>
      </c>
      <c r="B98" s="18" t="s">
        <v>310</v>
      </c>
      <c r="C98" s="21" t="n">
        <v>1</v>
      </c>
      <c r="D98" s="21" t="n">
        <v>1</v>
      </c>
      <c r="E98" s="21" t="n">
        <v>1</v>
      </c>
      <c r="F98" s="7" t="s">
        <v>311</v>
      </c>
      <c r="G98" s="18" t="s">
        <v>312</v>
      </c>
      <c r="H98" s="7" t="s">
        <v>313</v>
      </c>
    </row>
    <row r="99" customFormat="false" ht="15" hidden="false" customHeight="false" outlineLevel="0" collapsed="false">
      <c r="A99" s="9" t="s">
        <v>314</v>
      </c>
      <c r="B99" s="18" t="s">
        <v>315</v>
      </c>
      <c r="C99" s="34" t="n">
        <v>300</v>
      </c>
      <c r="D99" s="34" t="n">
        <v>600</v>
      </c>
      <c r="E99" s="34" t="n">
        <v>1000</v>
      </c>
      <c r="F99" s="7" t="s">
        <v>316</v>
      </c>
      <c r="G99" s="18" t="s">
        <v>317</v>
      </c>
      <c r="H99" s="7" t="s">
        <v>70</v>
      </c>
    </row>
    <row r="100" customFormat="false" ht="15" hidden="false" customHeight="false" outlineLevel="0" collapsed="false">
      <c r="A100" s="9" t="s">
        <v>318</v>
      </c>
      <c r="B100" s="18" t="s">
        <v>319</v>
      </c>
      <c r="C100" s="22" t="n">
        <v>0.08</v>
      </c>
      <c r="D100" s="22" t="n">
        <v>0.12</v>
      </c>
      <c r="E100" s="22" t="n">
        <v>0.12</v>
      </c>
      <c r="F100" s="7" t="s">
        <v>320</v>
      </c>
      <c r="G100" s="18"/>
      <c r="H100" s="7" t="s">
        <v>70</v>
      </c>
    </row>
    <row r="101" customFormat="false" ht="15" hidden="false" customHeight="false" outlineLevel="0" collapsed="false">
      <c r="A101" s="9" t="s">
        <v>321</v>
      </c>
      <c r="B101" s="18" t="s">
        <v>322</v>
      </c>
      <c r="C101" s="22" t="n">
        <v>0.04</v>
      </c>
      <c r="D101" s="22" t="n">
        <v>0.06</v>
      </c>
      <c r="E101" s="22" t="n">
        <v>0.07</v>
      </c>
      <c r="F101" s="7" t="s">
        <v>320</v>
      </c>
      <c r="G101" s="18"/>
      <c r="H101" s="7" t="s">
        <v>70</v>
      </c>
    </row>
    <row r="102" customFormat="false" ht="15" hidden="false" customHeight="false" outlineLevel="0" collapsed="false">
      <c r="A102" s="9" t="s">
        <v>323</v>
      </c>
      <c r="B102" s="18" t="s">
        <v>324</v>
      </c>
      <c r="C102" s="22" t="n">
        <v>0.02</v>
      </c>
      <c r="D102" s="22" t="n">
        <v>0.03</v>
      </c>
      <c r="E102" s="22" t="n">
        <v>0.04</v>
      </c>
      <c r="F102" s="7" t="s">
        <v>320</v>
      </c>
      <c r="G102" s="18"/>
      <c r="H102" s="7" t="s">
        <v>70</v>
      </c>
    </row>
    <row r="103" customFormat="false" ht="15" hidden="false" customHeight="false" outlineLevel="0" collapsed="false">
      <c r="A103" s="9" t="s">
        <v>325</v>
      </c>
      <c r="B103" s="18" t="s">
        <v>326</v>
      </c>
      <c r="C103" s="35" t="n">
        <v>0.01</v>
      </c>
      <c r="D103" s="35" t="n">
        <v>0.015</v>
      </c>
      <c r="E103" s="35" t="n">
        <v>0.02</v>
      </c>
      <c r="F103" s="7" t="s">
        <v>327</v>
      </c>
      <c r="G103" s="18" t="s">
        <v>328</v>
      </c>
      <c r="H103" s="7" t="s">
        <v>90</v>
      </c>
    </row>
    <row r="104" customFormat="false" ht="15" hidden="false" customHeight="false" outlineLevel="0" collapsed="false">
      <c r="A104" s="9" t="s">
        <v>329</v>
      </c>
      <c r="B104" s="18" t="s">
        <v>330</v>
      </c>
      <c r="C104" s="30" t="n">
        <v>1.15</v>
      </c>
      <c r="D104" s="30" t="n">
        <v>1.25</v>
      </c>
      <c r="E104" s="30" t="n">
        <v>1.35</v>
      </c>
      <c r="F104" s="7" t="s">
        <v>331</v>
      </c>
      <c r="G104" s="18"/>
      <c r="H104" s="7" t="s">
        <v>70</v>
      </c>
    </row>
    <row r="105" customFormat="false" ht="15" hidden="false" customHeight="false" outlineLevel="0" collapsed="false">
      <c r="A105" s="9" t="s">
        <v>332</v>
      </c>
      <c r="B105" s="18" t="s">
        <v>333</v>
      </c>
      <c r="C105" s="22" t="n">
        <v>0.15</v>
      </c>
      <c r="D105" s="22" t="n">
        <v>0.2</v>
      </c>
      <c r="E105" s="22" t="n">
        <v>0.25</v>
      </c>
      <c r="F105" s="7" t="s">
        <v>334</v>
      </c>
      <c r="G105" s="18" t="s">
        <v>335</v>
      </c>
      <c r="H105" s="7" t="s">
        <v>70</v>
      </c>
    </row>
    <row r="106" customFormat="false" ht="15" hidden="false" customHeight="false" outlineLevel="0" collapsed="false">
      <c r="A106" s="31"/>
      <c r="B106" s="32" t="s">
        <v>336</v>
      </c>
      <c r="C106" s="31"/>
      <c r="D106" s="31"/>
      <c r="E106" s="31"/>
      <c r="F106" s="31"/>
      <c r="G106" s="31"/>
      <c r="H106" s="31"/>
    </row>
    <row r="107" customFormat="false" ht="15" hidden="false" customHeight="false" outlineLevel="0" collapsed="false">
      <c r="A107" s="9" t="s">
        <v>337</v>
      </c>
      <c r="B107" s="18" t="s">
        <v>307</v>
      </c>
      <c r="C107" s="33" t="n">
        <v>1</v>
      </c>
      <c r="D107" s="33" t="n">
        <v>1</v>
      </c>
      <c r="E107" s="33" t="n">
        <v>1</v>
      </c>
      <c r="F107" s="7" t="s">
        <v>308</v>
      </c>
      <c r="G107" s="18"/>
      <c r="H107" s="7" t="s">
        <v>70</v>
      </c>
    </row>
    <row r="108" customFormat="false" ht="15" hidden="false" customHeight="false" outlineLevel="0" collapsed="false">
      <c r="A108" s="9" t="s">
        <v>338</v>
      </c>
      <c r="B108" s="18" t="s">
        <v>310</v>
      </c>
      <c r="C108" s="21" t="n">
        <v>1</v>
      </c>
      <c r="D108" s="21" t="n">
        <v>1</v>
      </c>
      <c r="E108" s="21" t="n">
        <v>1</v>
      </c>
      <c r="F108" s="7" t="s">
        <v>311</v>
      </c>
      <c r="G108" s="18" t="s">
        <v>339</v>
      </c>
      <c r="H108" s="7" t="s">
        <v>313</v>
      </c>
    </row>
    <row r="109" customFormat="false" ht="15" hidden="false" customHeight="false" outlineLevel="0" collapsed="false">
      <c r="A109" s="9" t="s">
        <v>340</v>
      </c>
      <c r="B109" s="18" t="s">
        <v>315</v>
      </c>
      <c r="C109" s="34" t="n">
        <v>400</v>
      </c>
      <c r="D109" s="34" t="n">
        <v>800</v>
      </c>
      <c r="E109" s="34" t="n">
        <v>1200</v>
      </c>
      <c r="F109" s="7" t="s">
        <v>316</v>
      </c>
      <c r="G109" s="18" t="s">
        <v>317</v>
      </c>
      <c r="H109" s="7" t="s">
        <v>70</v>
      </c>
    </row>
    <row r="110" customFormat="false" ht="15" hidden="false" customHeight="false" outlineLevel="0" collapsed="false">
      <c r="A110" s="9" t="s">
        <v>341</v>
      </c>
      <c r="B110" s="18" t="s">
        <v>319</v>
      </c>
      <c r="C110" s="22" t="n">
        <v>0.08</v>
      </c>
      <c r="D110" s="22" t="n">
        <v>0.12</v>
      </c>
      <c r="E110" s="22" t="n">
        <v>0.12</v>
      </c>
      <c r="F110" s="7" t="s">
        <v>320</v>
      </c>
      <c r="G110" s="18"/>
      <c r="H110" s="7" t="s">
        <v>70</v>
      </c>
    </row>
    <row r="111" customFormat="false" ht="15" hidden="false" customHeight="false" outlineLevel="0" collapsed="false">
      <c r="A111" s="9" t="s">
        <v>342</v>
      </c>
      <c r="B111" s="18" t="s">
        <v>322</v>
      </c>
      <c r="C111" s="22" t="n">
        <v>0.03</v>
      </c>
      <c r="D111" s="22" t="n">
        <v>0.05</v>
      </c>
      <c r="E111" s="22" t="n">
        <v>0.06</v>
      </c>
      <c r="F111" s="7" t="s">
        <v>320</v>
      </c>
      <c r="G111" s="18"/>
      <c r="H111" s="7" t="s">
        <v>70</v>
      </c>
    </row>
    <row r="112" customFormat="false" ht="15" hidden="false" customHeight="false" outlineLevel="0" collapsed="false">
      <c r="A112" s="9" t="s">
        <v>343</v>
      </c>
      <c r="B112" s="18" t="s">
        <v>324</v>
      </c>
      <c r="C112" s="22" t="n">
        <v>0.01</v>
      </c>
      <c r="D112" s="22" t="n">
        <v>0.02</v>
      </c>
      <c r="E112" s="22" t="n">
        <v>0.03</v>
      </c>
      <c r="F112" s="7" t="s">
        <v>320</v>
      </c>
      <c r="G112" s="18"/>
      <c r="H112" s="7" t="s">
        <v>70</v>
      </c>
    </row>
    <row r="113" customFormat="false" ht="15" hidden="false" customHeight="false" outlineLevel="0" collapsed="false">
      <c r="A113" s="9" t="s">
        <v>344</v>
      </c>
      <c r="B113" s="18" t="s">
        <v>326</v>
      </c>
      <c r="C113" s="35" t="n">
        <v>0.01</v>
      </c>
      <c r="D113" s="35" t="n">
        <v>0.02</v>
      </c>
      <c r="E113" s="35" t="n">
        <v>0.025</v>
      </c>
      <c r="F113" s="7" t="s">
        <v>327</v>
      </c>
      <c r="G113" s="18"/>
      <c r="H113" s="7" t="s">
        <v>70</v>
      </c>
    </row>
    <row r="114" customFormat="false" ht="15" hidden="false" customHeight="false" outlineLevel="0" collapsed="false">
      <c r="A114" s="9" t="s">
        <v>345</v>
      </c>
      <c r="B114" s="18" t="s">
        <v>330</v>
      </c>
      <c r="C114" s="30" t="n">
        <v>1.1</v>
      </c>
      <c r="D114" s="30" t="n">
        <v>1.2</v>
      </c>
      <c r="E114" s="30" t="n">
        <v>1.3</v>
      </c>
      <c r="F114" s="7" t="s">
        <v>331</v>
      </c>
      <c r="G114" s="18"/>
      <c r="H114" s="7" t="s">
        <v>70</v>
      </c>
    </row>
    <row r="115" customFormat="false" ht="15" hidden="false" customHeight="false" outlineLevel="0" collapsed="false">
      <c r="A115" s="31"/>
      <c r="B115" s="32" t="s">
        <v>346</v>
      </c>
      <c r="C115" s="31"/>
      <c r="D115" s="31"/>
      <c r="E115" s="31"/>
      <c r="F115" s="31"/>
      <c r="G115" s="31"/>
      <c r="H115" s="31"/>
    </row>
    <row r="116" customFormat="false" ht="15" hidden="false" customHeight="false" outlineLevel="0" collapsed="false">
      <c r="A116" s="9" t="s">
        <v>347</v>
      </c>
      <c r="B116" s="18" t="s">
        <v>307</v>
      </c>
      <c r="C116" s="33" t="n">
        <v>1</v>
      </c>
      <c r="D116" s="33" t="n">
        <v>1</v>
      </c>
      <c r="E116" s="33" t="n">
        <v>1</v>
      </c>
      <c r="F116" s="7" t="s">
        <v>308</v>
      </c>
      <c r="G116" s="18"/>
      <c r="H116" s="7" t="s">
        <v>70</v>
      </c>
    </row>
    <row r="117" customFormat="false" ht="15" hidden="false" customHeight="false" outlineLevel="0" collapsed="false">
      <c r="A117" s="9" t="s">
        <v>348</v>
      </c>
      <c r="B117" s="18" t="s">
        <v>310</v>
      </c>
      <c r="C117" s="21" t="n">
        <v>2</v>
      </c>
      <c r="D117" s="21" t="n">
        <v>2</v>
      </c>
      <c r="E117" s="21" t="n">
        <v>2</v>
      </c>
      <c r="F117" s="7" t="s">
        <v>311</v>
      </c>
      <c r="G117" s="18" t="s">
        <v>349</v>
      </c>
      <c r="H117" s="7" t="s">
        <v>313</v>
      </c>
    </row>
    <row r="118" customFormat="false" ht="15" hidden="false" customHeight="false" outlineLevel="0" collapsed="false">
      <c r="A118" s="9" t="s">
        <v>350</v>
      </c>
      <c r="B118" s="18" t="s">
        <v>315</v>
      </c>
      <c r="C118" s="34" t="n">
        <v>300</v>
      </c>
      <c r="D118" s="34" t="n">
        <v>600</v>
      </c>
      <c r="E118" s="34" t="n">
        <v>900</v>
      </c>
      <c r="F118" s="7" t="s">
        <v>316</v>
      </c>
      <c r="G118" s="18" t="s">
        <v>317</v>
      </c>
      <c r="H118" s="7" t="s">
        <v>70</v>
      </c>
    </row>
    <row r="119" customFormat="false" ht="15" hidden="false" customHeight="false" outlineLevel="0" collapsed="false">
      <c r="A119" s="9" t="s">
        <v>351</v>
      </c>
      <c r="B119" s="18" t="s">
        <v>319</v>
      </c>
      <c r="C119" s="22" t="n">
        <v>0.06</v>
      </c>
      <c r="D119" s="22" t="n">
        <v>0.1</v>
      </c>
      <c r="E119" s="22" t="n">
        <v>0.1</v>
      </c>
      <c r="F119" s="7" t="s">
        <v>320</v>
      </c>
      <c r="G119" s="18"/>
      <c r="H119" s="7" t="s">
        <v>70</v>
      </c>
    </row>
    <row r="120" customFormat="false" ht="15" hidden="false" customHeight="false" outlineLevel="0" collapsed="false">
      <c r="A120" s="9" t="s">
        <v>352</v>
      </c>
      <c r="B120" s="18" t="s">
        <v>322</v>
      </c>
      <c r="C120" s="22" t="n">
        <v>0.03</v>
      </c>
      <c r="D120" s="22" t="n">
        <v>0.04</v>
      </c>
      <c r="E120" s="22" t="n">
        <v>0.05</v>
      </c>
      <c r="F120" s="7" t="s">
        <v>320</v>
      </c>
      <c r="G120" s="18"/>
      <c r="H120" s="7" t="s">
        <v>70</v>
      </c>
    </row>
    <row r="121" customFormat="false" ht="15" hidden="false" customHeight="false" outlineLevel="0" collapsed="false">
      <c r="A121" s="9" t="s">
        <v>353</v>
      </c>
      <c r="B121" s="18" t="s">
        <v>324</v>
      </c>
      <c r="C121" s="22" t="n">
        <v>0.01</v>
      </c>
      <c r="D121" s="22" t="n">
        <v>0.02</v>
      </c>
      <c r="E121" s="22" t="n">
        <v>0.03</v>
      </c>
      <c r="F121" s="7" t="s">
        <v>320</v>
      </c>
      <c r="G121" s="18"/>
      <c r="H121" s="7" t="s">
        <v>70</v>
      </c>
    </row>
    <row r="122" customFormat="false" ht="15" hidden="false" customHeight="false" outlineLevel="0" collapsed="false">
      <c r="A122" s="9" t="s">
        <v>354</v>
      </c>
      <c r="B122" s="18" t="s">
        <v>326</v>
      </c>
      <c r="C122" s="35" t="n">
        <v>0.03</v>
      </c>
      <c r="D122" s="35" t="n">
        <v>0.05</v>
      </c>
      <c r="E122" s="35" t="n">
        <v>0.06</v>
      </c>
      <c r="F122" s="7" t="s">
        <v>327</v>
      </c>
      <c r="G122" s="18"/>
      <c r="H122" s="7" t="s">
        <v>70</v>
      </c>
    </row>
    <row r="123" customFormat="false" ht="15" hidden="false" customHeight="false" outlineLevel="0" collapsed="false">
      <c r="A123" s="9" t="s">
        <v>355</v>
      </c>
      <c r="B123" s="18" t="s">
        <v>330</v>
      </c>
      <c r="C123" s="30" t="n">
        <v>1</v>
      </c>
      <c r="D123" s="30" t="n">
        <v>1.05</v>
      </c>
      <c r="E123" s="30" t="n">
        <v>1.1</v>
      </c>
      <c r="F123" s="7" t="s">
        <v>331</v>
      </c>
      <c r="G123" s="18"/>
      <c r="H123" s="7" t="s">
        <v>70</v>
      </c>
    </row>
    <row r="124" customFormat="false" ht="15" hidden="false" customHeight="false" outlineLevel="0" collapsed="false">
      <c r="A124" s="31"/>
      <c r="B124" s="32" t="s">
        <v>356</v>
      </c>
      <c r="C124" s="31"/>
      <c r="D124" s="31"/>
      <c r="E124" s="31"/>
      <c r="F124" s="31"/>
      <c r="G124" s="31"/>
      <c r="H124" s="31"/>
    </row>
    <row r="125" customFormat="false" ht="15" hidden="false" customHeight="false" outlineLevel="0" collapsed="false">
      <c r="A125" s="9" t="s">
        <v>357</v>
      </c>
      <c r="B125" s="18" t="s">
        <v>307</v>
      </c>
      <c r="C125" s="33" t="n">
        <v>1</v>
      </c>
      <c r="D125" s="33" t="n">
        <v>1</v>
      </c>
      <c r="E125" s="33" t="n">
        <v>1</v>
      </c>
      <c r="F125" s="7" t="s">
        <v>308</v>
      </c>
      <c r="G125" s="18"/>
      <c r="H125" s="7" t="s">
        <v>70</v>
      </c>
    </row>
    <row r="126" customFormat="false" ht="15" hidden="false" customHeight="false" outlineLevel="0" collapsed="false">
      <c r="A126" s="9" t="s">
        <v>358</v>
      </c>
      <c r="B126" s="18" t="s">
        <v>310</v>
      </c>
      <c r="C126" s="21" t="n">
        <v>3</v>
      </c>
      <c r="D126" s="21" t="n">
        <v>3</v>
      </c>
      <c r="E126" s="21" t="n">
        <v>3</v>
      </c>
      <c r="F126" s="7" t="s">
        <v>311</v>
      </c>
      <c r="G126" s="18" t="s">
        <v>359</v>
      </c>
      <c r="H126" s="7" t="s">
        <v>313</v>
      </c>
    </row>
    <row r="127" customFormat="false" ht="15" hidden="false" customHeight="false" outlineLevel="0" collapsed="false">
      <c r="A127" s="9" t="s">
        <v>360</v>
      </c>
      <c r="B127" s="18" t="s">
        <v>315</v>
      </c>
      <c r="C127" s="34" t="n">
        <v>100</v>
      </c>
      <c r="D127" s="34" t="n">
        <v>200</v>
      </c>
      <c r="E127" s="34" t="n">
        <v>300</v>
      </c>
      <c r="F127" s="7" t="s">
        <v>316</v>
      </c>
      <c r="G127" s="18" t="s">
        <v>317</v>
      </c>
      <c r="H127" s="7" t="s">
        <v>70</v>
      </c>
    </row>
    <row r="128" customFormat="false" ht="15" hidden="false" customHeight="false" outlineLevel="0" collapsed="false">
      <c r="A128" s="9" t="s">
        <v>361</v>
      </c>
      <c r="B128" s="18" t="s">
        <v>319</v>
      </c>
      <c r="C128" s="22" t="n">
        <v>0.04</v>
      </c>
      <c r="D128" s="22" t="n">
        <v>0.06</v>
      </c>
      <c r="E128" s="22" t="n">
        <v>0.06</v>
      </c>
      <c r="F128" s="7" t="s">
        <v>320</v>
      </c>
      <c r="G128" s="18"/>
      <c r="H128" s="7" t="s">
        <v>70</v>
      </c>
    </row>
    <row r="129" customFormat="false" ht="15" hidden="false" customHeight="false" outlineLevel="0" collapsed="false">
      <c r="A129" s="9" t="s">
        <v>362</v>
      </c>
      <c r="B129" s="18" t="s">
        <v>322</v>
      </c>
      <c r="C129" s="22" t="n">
        <v>0.02</v>
      </c>
      <c r="D129" s="22" t="n">
        <v>0.03</v>
      </c>
      <c r="E129" s="22" t="n">
        <v>0.04</v>
      </c>
      <c r="F129" s="7" t="s">
        <v>320</v>
      </c>
      <c r="G129" s="18"/>
      <c r="H129" s="7" t="s">
        <v>70</v>
      </c>
    </row>
    <row r="130" customFormat="false" ht="15" hidden="false" customHeight="false" outlineLevel="0" collapsed="false">
      <c r="A130" s="9" t="s">
        <v>363</v>
      </c>
      <c r="B130" s="18" t="s">
        <v>324</v>
      </c>
      <c r="C130" s="22" t="n">
        <v>0.01</v>
      </c>
      <c r="D130" s="22" t="n">
        <v>0.02</v>
      </c>
      <c r="E130" s="22" t="n">
        <v>0.02</v>
      </c>
      <c r="F130" s="7" t="s">
        <v>320</v>
      </c>
      <c r="G130" s="18"/>
      <c r="H130" s="7" t="s">
        <v>70</v>
      </c>
    </row>
    <row r="131" customFormat="false" ht="15" hidden="false" customHeight="false" outlineLevel="0" collapsed="false">
      <c r="A131" s="9" t="s">
        <v>364</v>
      </c>
      <c r="B131" s="18" t="s">
        <v>326</v>
      </c>
      <c r="C131" s="35" t="n">
        <v>0.02</v>
      </c>
      <c r="D131" s="35" t="n">
        <v>0.03</v>
      </c>
      <c r="E131" s="35" t="n">
        <v>0.035</v>
      </c>
      <c r="F131" s="7" t="s">
        <v>327</v>
      </c>
      <c r="G131" s="18"/>
      <c r="H131" s="7" t="s">
        <v>70</v>
      </c>
    </row>
    <row r="132" customFormat="false" ht="15" hidden="false" customHeight="false" outlineLevel="0" collapsed="false">
      <c r="A132" s="9" t="s">
        <v>365</v>
      </c>
      <c r="B132" s="18" t="s">
        <v>330</v>
      </c>
      <c r="C132" s="30" t="n">
        <v>1</v>
      </c>
      <c r="D132" s="30" t="n">
        <v>1</v>
      </c>
      <c r="E132" s="30" t="n">
        <v>1.05</v>
      </c>
      <c r="F132" s="7" t="s">
        <v>331</v>
      </c>
      <c r="G132" s="18"/>
      <c r="H132" s="7" t="s">
        <v>70</v>
      </c>
    </row>
    <row r="133" customFormat="false" ht="15" hidden="false" customHeight="false" outlineLevel="0" collapsed="false">
      <c r="A133" s="31"/>
      <c r="B133" s="32" t="s">
        <v>366</v>
      </c>
      <c r="C133" s="31"/>
      <c r="D133" s="31"/>
      <c r="E133" s="31"/>
      <c r="F133" s="31"/>
      <c r="G133" s="31"/>
      <c r="H133" s="31"/>
    </row>
    <row r="134" customFormat="false" ht="15" hidden="false" customHeight="false" outlineLevel="0" collapsed="false">
      <c r="A134" s="9" t="s">
        <v>367</v>
      </c>
      <c r="B134" s="18" t="s">
        <v>307</v>
      </c>
      <c r="C134" s="33" t="n">
        <v>1</v>
      </c>
      <c r="D134" s="33" t="n">
        <v>1</v>
      </c>
      <c r="E134" s="33" t="n">
        <v>1</v>
      </c>
      <c r="F134" s="7" t="s">
        <v>308</v>
      </c>
      <c r="G134" s="18"/>
      <c r="H134" s="7" t="s">
        <v>70</v>
      </c>
    </row>
    <row r="135" customFormat="false" ht="15" hidden="false" customHeight="false" outlineLevel="0" collapsed="false">
      <c r="A135" s="9" t="s">
        <v>368</v>
      </c>
      <c r="B135" s="18" t="s">
        <v>310</v>
      </c>
      <c r="C135" s="21" t="n">
        <v>4</v>
      </c>
      <c r="D135" s="21" t="n">
        <v>4</v>
      </c>
      <c r="E135" s="21" t="n">
        <v>4</v>
      </c>
      <c r="F135" s="7" t="s">
        <v>311</v>
      </c>
      <c r="G135" s="18" t="s">
        <v>369</v>
      </c>
      <c r="H135" s="7" t="s">
        <v>313</v>
      </c>
    </row>
    <row r="136" customFormat="false" ht="15" hidden="false" customHeight="false" outlineLevel="0" collapsed="false">
      <c r="A136" s="9" t="s">
        <v>370</v>
      </c>
      <c r="B136" s="18" t="s">
        <v>326</v>
      </c>
      <c r="C136" s="35" t="n">
        <v>0.008</v>
      </c>
      <c r="D136" s="35" t="n">
        <v>0.012</v>
      </c>
      <c r="E136" s="35" t="n">
        <v>0.016</v>
      </c>
      <c r="F136" s="7" t="s">
        <v>327</v>
      </c>
      <c r="G136" s="18"/>
      <c r="H136" s="7" t="s">
        <v>70</v>
      </c>
    </row>
    <row r="137" customFormat="false" ht="15" hidden="false" customHeight="false" outlineLevel="0" collapsed="false">
      <c r="A137" s="9" t="s">
        <v>371</v>
      </c>
      <c r="B137" s="18" t="s">
        <v>330</v>
      </c>
      <c r="C137" s="30" t="n">
        <v>1.1</v>
      </c>
      <c r="D137" s="30" t="n">
        <v>1.2</v>
      </c>
      <c r="E137" s="30" t="n">
        <v>1.3</v>
      </c>
      <c r="F137" s="7" t="s">
        <v>331</v>
      </c>
      <c r="G137" s="18"/>
      <c r="H137" s="7" t="s">
        <v>70</v>
      </c>
    </row>
    <row r="138" customFormat="false" ht="15" hidden="false" customHeight="false" outlineLevel="0" collapsed="false">
      <c r="A138" s="31"/>
      <c r="B138" s="32" t="s">
        <v>372</v>
      </c>
      <c r="C138" s="31"/>
      <c r="D138" s="31"/>
      <c r="E138" s="31"/>
      <c r="F138" s="31"/>
      <c r="G138" s="31"/>
      <c r="H138" s="31"/>
    </row>
    <row r="139" customFormat="false" ht="15" hidden="false" customHeight="false" outlineLevel="0" collapsed="false">
      <c r="A139" s="9" t="s">
        <v>373</v>
      </c>
      <c r="B139" s="18" t="s">
        <v>307</v>
      </c>
      <c r="C139" s="33" t="n">
        <v>1</v>
      </c>
      <c r="D139" s="33" t="n">
        <v>1</v>
      </c>
      <c r="E139" s="33" t="n">
        <v>1</v>
      </c>
      <c r="F139" s="7" t="s">
        <v>308</v>
      </c>
      <c r="G139" s="18"/>
      <c r="H139" s="7" t="s">
        <v>70</v>
      </c>
    </row>
    <row r="140" customFormat="false" ht="15" hidden="false" customHeight="false" outlineLevel="0" collapsed="false">
      <c r="A140" s="9" t="s">
        <v>374</v>
      </c>
      <c r="B140" s="18" t="s">
        <v>310</v>
      </c>
      <c r="C140" s="21" t="n">
        <v>4</v>
      </c>
      <c r="D140" s="21" t="n">
        <v>4</v>
      </c>
      <c r="E140" s="21" t="n">
        <v>4</v>
      </c>
      <c r="F140" s="7" t="s">
        <v>311</v>
      </c>
      <c r="G140" s="18" t="s">
        <v>375</v>
      </c>
      <c r="H140" s="7" t="s">
        <v>313</v>
      </c>
    </row>
    <row r="141" customFormat="false" ht="15" hidden="false" customHeight="false" outlineLevel="0" collapsed="false">
      <c r="A141" s="9" t="s">
        <v>376</v>
      </c>
      <c r="B141" s="18" t="s">
        <v>377</v>
      </c>
      <c r="C141" s="35" t="n">
        <v>0.01</v>
      </c>
      <c r="D141" s="35" t="n">
        <v>0.015</v>
      </c>
      <c r="E141" s="35" t="n">
        <v>0.02</v>
      </c>
      <c r="F141" s="7" t="s">
        <v>327</v>
      </c>
      <c r="G141" s="18"/>
      <c r="H141" s="7" t="s">
        <v>70</v>
      </c>
    </row>
    <row r="142" customFormat="false" ht="15" hidden="false" customHeight="false" outlineLevel="0" collapsed="false">
      <c r="A142" s="9" t="s">
        <v>378</v>
      </c>
      <c r="B142" s="18" t="s">
        <v>330</v>
      </c>
      <c r="C142" s="30" t="n">
        <v>1</v>
      </c>
      <c r="D142" s="30" t="n">
        <v>1</v>
      </c>
      <c r="E142" s="30" t="n">
        <v>1</v>
      </c>
      <c r="F142" s="7" t="s">
        <v>331</v>
      </c>
      <c r="G142" s="18"/>
      <c r="H142" s="7" t="s">
        <v>70</v>
      </c>
    </row>
    <row r="143" customFormat="false" ht="15" hidden="false" customHeight="false" outlineLevel="0" collapsed="false">
      <c r="A143" s="9" t="s">
        <v>379</v>
      </c>
      <c r="B143" s="18" t="s">
        <v>380</v>
      </c>
      <c r="C143" s="22" t="n">
        <v>0.1</v>
      </c>
      <c r="D143" s="22" t="n">
        <v>0.15</v>
      </c>
      <c r="E143" s="22" t="n">
        <v>0.2</v>
      </c>
      <c r="F143" s="7" t="s">
        <v>131</v>
      </c>
      <c r="G143" s="18" t="s">
        <v>381</v>
      </c>
      <c r="H143" s="7" t="s">
        <v>70</v>
      </c>
    </row>
    <row r="144" customFormat="false" ht="15" hidden="false" customHeight="false" outlineLevel="0" collapsed="false">
      <c r="A144" s="31"/>
      <c r="B144" s="32" t="s">
        <v>382</v>
      </c>
      <c r="C144" s="31"/>
      <c r="D144" s="31"/>
      <c r="E144" s="31"/>
      <c r="F144" s="31"/>
      <c r="G144" s="31"/>
      <c r="H144" s="31"/>
    </row>
    <row r="145" customFormat="false" ht="15" hidden="false" customHeight="false" outlineLevel="0" collapsed="false">
      <c r="A145" s="9" t="s">
        <v>383</v>
      </c>
      <c r="B145" s="18" t="s">
        <v>307</v>
      </c>
      <c r="C145" s="33" t="n">
        <v>1</v>
      </c>
      <c r="D145" s="33" t="n">
        <v>1</v>
      </c>
      <c r="E145" s="33" t="n">
        <v>1</v>
      </c>
      <c r="F145" s="7" t="s">
        <v>308</v>
      </c>
      <c r="G145" s="18"/>
      <c r="H145" s="7" t="s">
        <v>70</v>
      </c>
    </row>
    <row r="146" customFormat="false" ht="15" hidden="false" customHeight="false" outlineLevel="0" collapsed="false">
      <c r="A146" s="9" t="s">
        <v>384</v>
      </c>
      <c r="B146" s="18" t="s">
        <v>310</v>
      </c>
      <c r="C146" s="21" t="n">
        <v>5</v>
      </c>
      <c r="D146" s="21" t="n">
        <v>5</v>
      </c>
      <c r="E146" s="21" t="n">
        <v>5</v>
      </c>
      <c r="F146" s="7" t="s">
        <v>311</v>
      </c>
      <c r="G146" s="18" t="s">
        <v>385</v>
      </c>
      <c r="H146" s="7" t="s">
        <v>313</v>
      </c>
    </row>
    <row r="147" customFormat="false" ht="15" hidden="false" customHeight="false" outlineLevel="0" collapsed="false">
      <c r="A147" s="9" t="s">
        <v>386</v>
      </c>
      <c r="B147" s="18" t="s">
        <v>315</v>
      </c>
      <c r="C147" s="34" t="n">
        <v>150</v>
      </c>
      <c r="D147" s="34" t="n">
        <v>300</v>
      </c>
      <c r="E147" s="34" t="n">
        <v>500</v>
      </c>
      <c r="F147" s="7" t="s">
        <v>316</v>
      </c>
      <c r="G147" s="18" t="s">
        <v>317</v>
      </c>
      <c r="H147" s="7" t="s">
        <v>70</v>
      </c>
    </row>
    <row r="148" customFormat="false" ht="15" hidden="false" customHeight="false" outlineLevel="0" collapsed="false">
      <c r="A148" s="9" t="s">
        <v>387</v>
      </c>
      <c r="B148" s="18" t="s">
        <v>319</v>
      </c>
      <c r="C148" s="22" t="n">
        <v>0.04</v>
      </c>
      <c r="D148" s="22" t="n">
        <v>0.06</v>
      </c>
      <c r="E148" s="22" t="n">
        <v>0.06</v>
      </c>
      <c r="F148" s="7" t="s">
        <v>320</v>
      </c>
      <c r="G148" s="18"/>
      <c r="H148" s="7" t="s">
        <v>70</v>
      </c>
    </row>
    <row r="149" customFormat="false" ht="15" hidden="false" customHeight="false" outlineLevel="0" collapsed="false">
      <c r="A149" s="9" t="s">
        <v>388</v>
      </c>
      <c r="B149" s="18" t="s">
        <v>322</v>
      </c>
      <c r="C149" s="22" t="n">
        <v>0.02</v>
      </c>
      <c r="D149" s="22" t="n">
        <v>0.04</v>
      </c>
      <c r="E149" s="22" t="n">
        <v>0.05</v>
      </c>
      <c r="F149" s="7" t="s">
        <v>320</v>
      </c>
      <c r="G149" s="18"/>
      <c r="H149" s="7" t="s">
        <v>70</v>
      </c>
    </row>
    <row r="150" customFormat="false" ht="15" hidden="false" customHeight="false" outlineLevel="0" collapsed="false">
      <c r="A150" s="9" t="s">
        <v>389</v>
      </c>
      <c r="B150" s="18" t="s">
        <v>324</v>
      </c>
      <c r="C150" s="22" t="n">
        <v>0.01</v>
      </c>
      <c r="D150" s="22" t="n">
        <v>0.02</v>
      </c>
      <c r="E150" s="22" t="n">
        <v>0.03</v>
      </c>
      <c r="F150" s="7" t="s">
        <v>320</v>
      </c>
      <c r="G150" s="18"/>
      <c r="H150" s="7" t="s">
        <v>70</v>
      </c>
    </row>
    <row r="151" customFormat="false" ht="15" hidden="false" customHeight="false" outlineLevel="0" collapsed="false">
      <c r="A151" s="9" t="s">
        <v>390</v>
      </c>
      <c r="B151" s="18" t="s">
        <v>326</v>
      </c>
      <c r="C151" s="35" t="n">
        <v>0.015</v>
      </c>
      <c r="D151" s="35" t="n">
        <v>0.025</v>
      </c>
      <c r="E151" s="35" t="n">
        <v>0.03</v>
      </c>
      <c r="F151" s="7" t="s">
        <v>327</v>
      </c>
      <c r="G151" s="18"/>
      <c r="H151" s="7" t="s">
        <v>70</v>
      </c>
    </row>
    <row r="152" customFormat="false" ht="15" hidden="false" customHeight="false" outlineLevel="0" collapsed="false">
      <c r="A152" s="9" t="s">
        <v>391</v>
      </c>
      <c r="B152" s="18" t="s">
        <v>330</v>
      </c>
      <c r="C152" s="30" t="n">
        <v>1.1</v>
      </c>
      <c r="D152" s="30" t="n">
        <v>1.2</v>
      </c>
      <c r="E152" s="30" t="n">
        <v>1.3</v>
      </c>
      <c r="F152" s="7" t="s">
        <v>331</v>
      </c>
      <c r="G152" s="18"/>
      <c r="H152" s="7" t="s">
        <v>70</v>
      </c>
    </row>
    <row r="153" customFormat="false" ht="15" hidden="false" customHeight="false" outlineLevel="0" collapsed="false">
      <c r="A153" s="31"/>
      <c r="B153" s="32" t="s">
        <v>392</v>
      </c>
      <c r="C153" s="31"/>
      <c r="D153" s="31"/>
      <c r="E153" s="31"/>
      <c r="F153" s="31"/>
      <c r="G153" s="31"/>
      <c r="H153" s="31"/>
    </row>
    <row r="154" customFormat="false" ht="15" hidden="false" customHeight="false" outlineLevel="0" collapsed="false">
      <c r="A154" s="9" t="s">
        <v>393</v>
      </c>
      <c r="B154" s="18" t="s">
        <v>307</v>
      </c>
      <c r="C154" s="33" t="n">
        <v>0</v>
      </c>
      <c r="D154" s="33" t="n">
        <v>1</v>
      </c>
      <c r="E154" s="33" t="n">
        <v>1</v>
      </c>
      <c r="F154" s="7" t="s">
        <v>308</v>
      </c>
      <c r="G154" s="18" t="s">
        <v>394</v>
      </c>
      <c r="H154" s="7" t="s">
        <v>70</v>
      </c>
    </row>
    <row r="155" customFormat="false" ht="23.85" hidden="false" customHeight="false" outlineLevel="0" collapsed="false">
      <c r="A155" s="9" t="s">
        <v>395</v>
      </c>
      <c r="B155" s="18" t="s">
        <v>310</v>
      </c>
      <c r="C155" s="21" t="n">
        <v>13</v>
      </c>
      <c r="D155" s="21" t="n">
        <v>13</v>
      </c>
      <c r="E155" s="21" t="n">
        <v>10</v>
      </c>
      <c r="F155" s="7" t="s">
        <v>311</v>
      </c>
      <c r="G155" s="18" t="s">
        <v>396</v>
      </c>
      <c r="H155" s="7" t="s">
        <v>397</v>
      </c>
    </row>
    <row r="156" customFormat="false" ht="15" hidden="false" customHeight="false" outlineLevel="0" collapsed="false">
      <c r="A156" s="9" t="s">
        <v>398</v>
      </c>
      <c r="B156" s="18" t="s">
        <v>315</v>
      </c>
      <c r="C156" s="34" t="n">
        <v>150</v>
      </c>
      <c r="D156" s="34" t="n">
        <v>300</v>
      </c>
      <c r="E156" s="34" t="n">
        <v>400</v>
      </c>
      <c r="F156" s="7" t="s">
        <v>316</v>
      </c>
      <c r="G156" s="18" t="s">
        <v>317</v>
      </c>
      <c r="H156" s="7" t="s">
        <v>70</v>
      </c>
    </row>
    <row r="157" customFormat="false" ht="15" hidden="false" customHeight="false" outlineLevel="0" collapsed="false">
      <c r="A157" s="9" t="s">
        <v>399</v>
      </c>
      <c r="B157" s="18" t="s">
        <v>319</v>
      </c>
      <c r="C157" s="22" t="n">
        <v>0.04</v>
      </c>
      <c r="D157" s="22" t="n">
        <v>0.06</v>
      </c>
      <c r="E157" s="22" t="n">
        <v>0.06</v>
      </c>
      <c r="F157" s="7" t="s">
        <v>320</v>
      </c>
      <c r="G157" s="18"/>
      <c r="H157" s="7" t="s">
        <v>70</v>
      </c>
    </row>
    <row r="158" customFormat="false" ht="15" hidden="false" customHeight="false" outlineLevel="0" collapsed="false">
      <c r="A158" s="9" t="s">
        <v>400</v>
      </c>
      <c r="B158" s="18" t="s">
        <v>322</v>
      </c>
      <c r="C158" s="22" t="n">
        <v>0.04</v>
      </c>
      <c r="D158" s="22" t="n">
        <v>0.06</v>
      </c>
      <c r="E158" s="22" t="n">
        <v>0.06</v>
      </c>
      <c r="F158" s="7" t="s">
        <v>320</v>
      </c>
      <c r="G158" s="18"/>
      <c r="H158" s="7" t="s">
        <v>70</v>
      </c>
    </row>
    <row r="159" customFormat="false" ht="15" hidden="false" customHeight="false" outlineLevel="0" collapsed="false">
      <c r="A159" s="9" t="s">
        <v>401</v>
      </c>
      <c r="B159" s="18" t="s">
        <v>324</v>
      </c>
      <c r="C159" s="22" t="n">
        <v>0.02</v>
      </c>
      <c r="D159" s="22" t="n">
        <v>0.03</v>
      </c>
      <c r="E159" s="22" t="n">
        <v>0.03</v>
      </c>
      <c r="F159" s="7" t="s">
        <v>320</v>
      </c>
      <c r="G159" s="18"/>
      <c r="H159" s="7" t="s">
        <v>70</v>
      </c>
    </row>
    <row r="160" customFormat="false" ht="15" hidden="false" customHeight="false" outlineLevel="0" collapsed="false">
      <c r="A160" s="9" t="s">
        <v>402</v>
      </c>
      <c r="B160" s="18" t="s">
        <v>326</v>
      </c>
      <c r="C160" s="35" t="n">
        <v>0.01</v>
      </c>
      <c r="D160" s="35" t="n">
        <v>0.015</v>
      </c>
      <c r="E160" s="35" t="n">
        <v>0.02</v>
      </c>
      <c r="F160" s="7" t="s">
        <v>327</v>
      </c>
      <c r="G160" s="18"/>
      <c r="H160" s="7" t="s">
        <v>70</v>
      </c>
    </row>
    <row r="161" customFormat="false" ht="15" hidden="false" customHeight="false" outlineLevel="0" collapsed="false">
      <c r="A161" s="9" t="s">
        <v>403</v>
      </c>
      <c r="B161" s="18" t="s">
        <v>330</v>
      </c>
      <c r="C161" s="30" t="n">
        <v>1</v>
      </c>
      <c r="D161" s="30" t="n">
        <v>1.1</v>
      </c>
      <c r="E161" s="30" t="n">
        <v>1.2</v>
      </c>
      <c r="F161" s="7" t="s">
        <v>331</v>
      </c>
      <c r="G161" s="18"/>
      <c r="H161" s="7" t="s">
        <v>70</v>
      </c>
    </row>
    <row r="162" customFormat="false" ht="15" hidden="false" customHeight="false" outlineLevel="0" collapsed="false">
      <c r="A162" s="31"/>
      <c r="B162" s="32" t="s">
        <v>404</v>
      </c>
      <c r="C162" s="31"/>
      <c r="D162" s="31"/>
      <c r="E162" s="31"/>
      <c r="F162" s="31"/>
      <c r="G162" s="31"/>
      <c r="H162" s="31"/>
    </row>
    <row r="163" customFormat="false" ht="15" hidden="false" customHeight="false" outlineLevel="0" collapsed="false">
      <c r="A163" s="9" t="s">
        <v>405</v>
      </c>
      <c r="B163" s="18" t="s">
        <v>307</v>
      </c>
      <c r="C163" s="33" t="n">
        <v>0</v>
      </c>
      <c r="D163" s="33" t="n">
        <v>1</v>
      </c>
      <c r="E163" s="33" t="n">
        <v>1</v>
      </c>
      <c r="F163" s="7" t="s">
        <v>308</v>
      </c>
      <c r="G163" s="18" t="s">
        <v>394</v>
      </c>
      <c r="H163" s="7" t="s">
        <v>70</v>
      </c>
    </row>
    <row r="164" customFormat="false" ht="23.85" hidden="false" customHeight="false" outlineLevel="0" collapsed="false">
      <c r="A164" s="9" t="s">
        <v>406</v>
      </c>
      <c r="B164" s="18" t="s">
        <v>310</v>
      </c>
      <c r="C164" s="21" t="n">
        <v>25</v>
      </c>
      <c r="D164" s="21" t="n">
        <v>25</v>
      </c>
      <c r="E164" s="21" t="n">
        <v>22</v>
      </c>
      <c r="F164" s="7" t="s">
        <v>311</v>
      </c>
      <c r="G164" s="18" t="s">
        <v>407</v>
      </c>
      <c r="H164" s="7" t="s">
        <v>397</v>
      </c>
    </row>
    <row r="165" customFormat="false" ht="15" hidden="false" customHeight="false" outlineLevel="0" collapsed="false">
      <c r="A165" s="9" t="s">
        <v>408</v>
      </c>
      <c r="B165" s="18" t="s">
        <v>315</v>
      </c>
      <c r="C165" s="34" t="n">
        <v>300</v>
      </c>
      <c r="D165" s="34" t="n">
        <v>600</v>
      </c>
      <c r="E165" s="34" t="n">
        <v>1200</v>
      </c>
      <c r="F165" s="7" t="s">
        <v>316</v>
      </c>
      <c r="G165" s="18" t="s">
        <v>317</v>
      </c>
      <c r="H165" s="7" t="s">
        <v>70</v>
      </c>
    </row>
    <row r="166" customFormat="false" ht="15" hidden="false" customHeight="false" outlineLevel="0" collapsed="false">
      <c r="A166" s="9" t="s">
        <v>409</v>
      </c>
      <c r="B166" s="18" t="s">
        <v>319</v>
      </c>
      <c r="C166" s="22" t="n">
        <v>0.03</v>
      </c>
      <c r="D166" s="22" t="n">
        <v>0.05</v>
      </c>
      <c r="E166" s="22" t="n">
        <v>0.08</v>
      </c>
      <c r="F166" s="7" t="s">
        <v>320</v>
      </c>
      <c r="G166" s="18"/>
      <c r="H166" s="7" t="s">
        <v>70</v>
      </c>
    </row>
    <row r="167" customFormat="false" ht="15" hidden="false" customHeight="false" outlineLevel="0" collapsed="false">
      <c r="A167" s="9" t="s">
        <v>410</v>
      </c>
      <c r="B167" s="18" t="s">
        <v>322</v>
      </c>
      <c r="C167" s="22" t="n">
        <v>0.03</v>
      </c>
      <c r="D167" s="22" t="n">
        <v>0.05</v>
      </c>
      <c r="E167" s="22" t="n">
        <v>0.08</v>
      </c>
      <c r="F167" s="7" t="s">
        <v>320</v>
      </c>
      <c r="G167" s="18"/>
      <c r="H167" s="7" t="s">
        <v>70</v>
      </c>
    </row>
    <row r="168" customFormat="false" ht="15" hidden="false" customHeight="false" outlineLevel="0" collapsed="false">
      <c r="A168" s="9" t="s">
        <v>411</v>
      </c>
      <c r="B168" s="18" t="s">
        <v>324</v>
      </c>
      <c r="C168" s="22" t="n">
        <v>0.03</v>
      </c>
      <c r="D168" s="22" t="n">
        <v>0.05</v>
      </c>
      <c r="E168" s="22" t="n">
        <v>0.08</v>
      </c>
      <c r="F168" s="7" t="s">
        <v>320</v>
      </c>
      <c r="G168" s="18"/>
      <c r="H168" s="7" t="s">
        <v>70</v>
      </c>
    </row>
    <row r="169" customFormat="false" ht="15" hidden="false" customHeight="false" outlineLevel="0" collapsed="false">
      <c r="A169" s="9" t="s">
        <v>412</v>
      </c>
      <c r="B169" s="18" t="s">
        <v>326</v>
      </c>
      <c r="C169" s="35" t="n">
        <v>0.005</v>
      </c>
      <c r="D169" s="35" t="n">
        <v>0.01</v>
      </c>
      <c r="E169" s="35" t="n">
        <v>0.015</v>
      </c>
      <c r="F169" s="7" t="s">
        <v>327</v>
      </c>
      <c r="G169" s="18"/>
      <c r="H169" s="7" t="s">
        <v>70</v>
      </c>
    </row>
    <row r="170" customFormat="false" ht="15" hidden="false" customHeight="false" outlineLevel="0" collapsed="false">
      <c r="A170" s="9" t="s">
        <v>413</v>
      </c>
      <c r="B170" s="18" t="s">
        <v>414</v>
      </c>
      <c r="C170" s="30" t="n">
        <v>3</v>
      </c>
      <c r="D170" s="30" t="n">
        <v>4</v>
      </c>
      <c r="E170" s="30" t="n">
        <v>5</v>
      </c>
      <c r="F170" s="7" t="s">
        <v>331</v>
      </c>
      <c r="G170" s="18"/>
      <c r="H170" s="7" t="s">
        <v>70</v>
      </c>
    </row>
    <row r="172" customFormat="false" ht="15" hidden="false" customHeight="false" outlineLevel="0" collapsed="false">
      <c r="A172" s="5" t="s">
        <v>415</v>
      </c>
      <c r="B172" s="6"/>
      <c r="C172" s="6"/>
      <c r="D172" s="6"/>
      <c r="E172" s="6"/>
      <c r="F172" s="6"/>
      <c r="G172" s="6"/>
      <c r="H172" s="6"/>
    </row>
    <row r="173" customFormat="false" ht="15" hidden="false" customHeight="false" outlineLevel="0" collapsed="false">
      <c r="A173" s="9" t="s">
        <v>416</v>
      </c>
      <c r="B173" s="18" t="s">
        <v>417</v>
      </c>
      <c r="C173" s="27" t="n">
        <v>0.02</v>
      </c>
      <c r="D173" s="27" t="n">
        <v>0.03</v>
      </c>
      <c r="E173" s="27" t="n">
        <v>0.04</v>
      </c>
      <c r="F173" s="7" t="s">
        <v>334</v>
      </c>
      <c r="G173" s="18" t="s">
        <v>418</v>
      </c>
      <c r="H173" s="7" t="s">
        <v>70</v>
      </c>
    </row>
    <row r="174" customFormat="false" ht="15" hidden="false" customHeight="false" outlineLevel="0" collapsed="false">
      <c r="A174" s="9" t="s">
        <v>419</v>
      </c>
      <c r="B174" s="18" t="s">
        <v>420</v>
      </c>
      <c r="C174" s="22" t="n">
        <v>0.1</v>
      </c>
      <c r="D174" s="22" t="n">
        <v>0.15</v>
      </c>
      <c r="E174" s="22" t="n">
        <v>0.2</v>
      </c>
      <c r="F174" s="7" t="s">
        <v>421</v>
      </c>
      <c r="G174" s="18" t="s">
        <v>422</v>
      </c>
      <c r="H174" s="7" t="s">
        <v>70</v>
      </c>
    </row>
    <row r="175" customFormat="false" ht="15" hidden="false" customHeight="false" outlineLevel="0" collapsed="false">
      <c r="A175" s="9" t="s">
        <v>423</v>
      </c>
      <c r="B175" s="18" t="s">
        <v>424</v>
      </c>
      <c r="C175" s="22" t="n">
        <v>0.02</v>
      </c>
      <c r="D175" s="22" t="n">
        <v>0.015</v>
      </c>
      <c r="E175" s="22" t="n">
        <v>0.01</v>
      </c>
      <c r="F175" s="7" t="s">
        <v>131</v>
      </c>
      <c r="G175" s="18"/>
      <c r="H175" s="7" t="s">
        <v>70</v>
      </c>
    </row>
    <row r="177" customFormat="false" ht="15" hidden="false" customHeight="false" outlineLevel="0" collapsed="false">
      <c r="A177" s="5" t="s">
        <v>425</v>
      </c>
      <c r="B177" s="6"/>
      <c r="C177" s="6"/>
      <c r="D177" s="6"/>
      <c r="E177" s="6"/>
      <c r="F177" s="6"/>
      <c r="G177" s="6"/>
      <c r="H177" s="6"/>
    </row>
    <row r="178" customFormat="false" ht="15" hidden="false" customHeight="false" outlineLevel="0" collapsed="false">
      <c r="A178" s="9" t="s">
        <v>426</v>
      </c>
      <c r="B178" s="18" t="s">
        <v>427</v>
      </c>
      <c r="C178" s="21" t="n">
        <v>2</v>
      </c>
      <c r="D178" s="21" t="n">
        <v>2</v>
      </c>
      <c r="E178" s="21" t="n">
        <v>2</v>
      </c>
      <c r="F178" s="7" t="s">
        <v>311</v>
      </c>
      <c r="G178" s="18" t="s">
        <v>428</v>
      </c>
      <c r="H178" s="7" t="s">
        <v>65</v>
      </c>
    </row>
    <row r="179" customFormat="false" ht="15" hidden="false" customHeight="false" outlineLevel="0" collapsed="false">
      <c r="A179" s="9" t="s">
        <v>429</v>
      </c>
      <c r="B179" s="18" t="s">
        <v>430</v>
      </c>
      <c r="C179" s="23" t="n">
        <v>0</v>
      </c>
      <c r="D179" s="23" t="n">
        <v>150</v>
      </c>
      <c r="E179" s="23" t="n">
        <v>300</v>
      </c>
      <c r="F179" s="7" t="s">
        <v>225</v>
      </c>
      <c r="G179" s="18" t="s">
        <v>431</v>
      </c>
      <c r="H179" s="7" t="s">
        <v>90</v>
      </c>
    </row>
    <row r="180" customFormat="false" ht="15" hidden="false" customHeight="false" outlineLevel="0" collapsed="false">
      <c r="A180" s="9" t="s">
        <v>432</v>
      </c>
      <c r="B180" s="18" t="s">
        <v>433</v>
      </c>
      <c r="C180" s="23" t="n">
        <v>150</v>
      </c>
      <c r="D180" s="23" t="n">
        <v>300</v>
      </c>
      <c r="E180" s="23" t="n">
        <v>600</v>
      </c>
      <c r="F180" s="7" t="s">
        <v>225</v>
      </c>
      <c r="G180" s="18" t="s">
        <v>434</v>
      </c>
      <c r="H180" s="7" t="s">
        <v>90</v>
      </c>
    </row>
    <row r="181" customFormat="false" ht="15" hidden="false" customHeight="false" outlineLevel="0" collapsed="false">
      <c r="A181" s="9" t="s">
        <v>435</v>
      </c>
      <c r="B181" s="18" t="s">
        <v>436</v>
      </c>
      <c r="C181" s="23" t="n">
        <v>250</v>
      </c>
      <c r="D181" s="23" t="n">
        <v>450</v>
      </c>
      <c r="E181" s="23" t="n">
        <v>900</v>
      </c>
      <c r="F181" s="7" t="s">
        <v>225</v>
      </c>
      <c r="G181" s="18" t="s">
        <v>437</v>
      </c>
      <c r="H181" s="7" t="s">
        <v>70</v>
      </c>
    </row>
  </sheetData>
  <mergeCells count="1">
    <mergeCell ref="A2:H3"/>
  </mergeCells>
  <dataValidations count="2">
    <dataValidation allowBlank="false" errorStyle="stop" operator="between" showDropDown="false" showErrorMessage="false" showInputMessage="false" sqref="C97:E97 C107:E107 C116:E116 C125:E125 C134:E134 C139:E139 C145:E145 C154:E154 C163:E163" type="whole">
      <formula1>0</formula1>
      <formula2>1</formula2>
    </dataValidation>
    <dataValidation allowBlank="false" errorStyle="stop" operator="between" showDropDown="false" showErrorMessage="false" showInputMessage="false" sqref="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10" min="5" style="0" width="11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52"/>
    <col collapsed="false" customWidth="true" hidden="false" outlineLevel="0" max="18" min="18" style="0" width="80"/>
  </cols>
  <sheetData>
    <row r="1" customFormat="false" ht="17.35" hidden="false" customHeight="false" outlineLevel="0" collapsed="false">
      <c r="A1" s="17" t="s">
        <v>438</v>
      </c>
    </row>
    <row r="2" customFormat="false" ht="27.75" hidden="false" customHeight="true" outlineLevel="0" collapsed="false">
      <c r="A2" s="2" t="s">
        <v>439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45" hidden="false" customHeight="true" outlineLevel="0" collapsed="false">
      <c r="A5" s="3" t="s">
        <v>440</v>
      </c>
      <c r="B5" s="4" t="s">
        <v>441</v>
      </c>
      <c r="C5" s="4" t="s">
        <v>442</v>
      </c>
      <c r="D5" s="4" t="s">
        <v>443</v>
      </c>
      <c r="E5" s="4" t="s">
        <v>444</v>
      </c>
      <c r="F5" s="4" t="s">
        <v>445</v>
      </c>
      <c r="G5" s="4" t="s">
        <v>446</v>
      </c>
      <c r="H5" s="4" t="s">
        <v>447</v>
      </c>
      <c r="I5" s="4" t="s">
        <v>448</v>
      </c>
      <c r="J5" s="4" t="s">
        <v>449</v>
      </c>
      <c r="K5" s="4" t="s">
        <v>450</v>
      </c>
      <c r="L5" s="4" t="s">
        <v>451</v>
      </c>
      <c r="M5" s="4" t="s">
        <v>452</v>
      </c>
      <c r="N5" s="4" t="s">
        <v>453</v>
      </c>
      <c r="O5" s="4" t="s">
        <v>454</v>
      </c>
      <c r="P5" s="4" t="s">
        <v>455</v>
      </c>
      <c r="Q5" s="4" t="s">
        <v>456</v>
      </c>
      <c r="R5" s="4" t="s">
        <v>457</v>
      </c>
    </row>
    <row r="6" customFormat="false" ht="15" hidden="false" customHeight="false" outlineLevel="0" collapsed="false">
      <c r="A6" s="7" t="s">
        <v>458</v>
      </c>
      <c r="B6" s="7" t="s">
        <v>459</v>
      </c>
      <c r="C6" s="7" t="s">
        <v>460</v>
      </c>
      <c r="D6" s="7" t="s">
        <v>461</v>
      </c>
      <c r="E6" s="25" t="n">
        <v>6.5</v>
      </c>
      <c r="F6" s="36" t="n">
        <v>0</v>
      </c>
      <c r="G6" s="28" t="n">
        <v>0</v>
      </c>
      <c r="H6" s="16" t="n">
        <f aca="false">Assumptions!$C$21</f>
        <v>0.029</v>
      </c>
      <c r="I6" s="15" t="n">
        <f aca="false">Assumptions!$C$22</f>
        <v>0.3</v>
      </c>
      <c r="J6" s="16" t="n">
        <f aca="false">Assumptions!$C$12</f>
        <v>0.02</v>
      </c>
      <c r="K6" s="28" t="n">
        <v>0</v>
      </c>
      <c r="L6" s="28" t="n">
        <v>0</v>
      </c>
      <c r="M6" s="28" t="n">
        <f aca="false">E6*(1-F6-H6-J6)-G6-I6-K6-L6</f>
        <v>5.8815</v>
      </c>
      <c r="N6" s="36" t="n">
        <f aca="false">IF(E6=0,0,M6/E6)</f>
        <v>0.904846153846154</v>
      </c>
      <c r="O6" s="28" t="n">
        <v>0</v>
      </c>
      <c r="P6" s="21" t="n">
        <v>25</v>
      </c>
      <c r="Q6" s="7" t="s">
        <v>462</v>
      </c>
      <c r="R6" s="7" t="s">
        <v>463</v>
      </c>
    </row>
    <row r="7" customFormat="false" ht="15" hidden="false" customHeight="false" outlineLevel="0" collapsed="false">
      <c r="A7" s="7" t="s">
        <v>458</v>
      </c>
      <c r="B7" s="7" t="s">
        <v>464</v>
      </c>
      <c r="C7" s="7" t="s">
        <v>460</v>
      </c>
      <c r="D7" s="7" t="s">
        <v>461</v>
      </c>
      <c r="E7" s="25" t="n">
        <v>6.5</v>
      </c>
      <c r="F7" s="36" t="n">
        <v>0</v>
      </c>
      <c r="G7" s="28" t="n">
        <v>0</v>
      </c>
      <c r="H7" s="16" t="n">
        <f aca="false">Assumptions!$C$21</f>
        <v>0.029</v>
      </c>
      <c r="I7" s="15" t="n">
        <f aca="false">Assumptions!$C$22</f>
        <v>0.3</v>
      </c>
      <c r="J7" s="16" t="n">
        <f aca="false">Assumptions!$C$12</f>
        <v>0.02</v>
      </c>
      <c r="K7" s="28" t="n">
        <v>0</v>
      </c>
      <c r="L7" s="28" t="n">
        <v>0</v>
      </c>
      <c r="M7" s="28" t="n">
        <f aca="false">E7*(1-F7-H7-J7)-G7-I7-K7-L7</f>
        <v>5.8815</v>
      </c>
      <c r="N7" s="36" t="n">
        <f aca="false">IF(E7=0,0,M7/E7)</f>
        <v>0.904846153846154</v>
      </c>
      <c r="O7" s="28" t="n">
        <v>0</v>
      </c>
      <c r="P7" s="21" t="n">
        <v>15</v>
      </c>
      <c r="Q7" s="7" t="s">
        <v>462</v>
      </c>
      <c r="R7" s="7" t="s">
        <v>465</v>
      </c>
    </row>
    <row r="8" customFormat="false" ht="15" hidden="false" customHeight="false" outlineLevel="0" collapsed="false">
      <c r="A8" s="7" t="s">
        <v>458</v>
      </c>
      <c r="B8" s="7" t="s">
        <v>466</v>
      </c>
      <c r="C8" s="7" t="s">
        <v>460</v>
      </c>
      <c r="D8" s="7" t="s">
        <v>461</v>
      </c>
      <c r="E8" s="25" t="n">
        <v>11</v>
      </c>
      <c r="F8" s="36" t="n">
        <v>0</v>
      </c>
      <c r="G8" s="28" t="n">
        <v>0</v>
      </c>
      <c r="H8" s="16" t="n">
        <f aca="false">Assumptions!$C$21</f>
        <v>0.029</v>
      </c>
      <c r="I8" s="15" t="n">
        <f aca="false">Assumptions!$C$22</f>
        <v>0.3</v>
      </c>
      <c r="J8" s="16" t="n">
        <f aca="false">Assumptions!$C$12</f>
        <v>0.02</v>
      </c>
      <c r="K8" s="28" t="n">
        <v>0</v>
      </c>
      <c r="L8" s="28" t="n">
        <v>0</v>
      </c>
      <c r="M8" s="28" t="n">
        <f aca="false">E8*(1-F8-H8-J8)-G8-I8-K8-L8</f>
        <v>10.161</v>
      </c>
      <c r="N8" s="36" t="n">
        <f aca="false">IF(E8=0,0,M8/E8)</f>
        <v>0.923727272727273</v>
      </c>
      <c r="O8" s="28" t="n">
        <v>0</v>
      </c>
      <c r="P8" s="21" t="n">
        <v>20</v>
      </c>
      <c r="Q8" s="7" t="s">
        <v>462</v>
      </c>
      <c r="R8" s="7" t="s">
        <v>467</v>
      </c>
    </row>
    <row r="9" customFormat="false" ht="15" hidden="false" customHeight="false" outlineLevel="0" collapsed="false">
      <c r="A9" s="7" t="s">
        <v>458</v>
      </c>
      <c r="B9" s="7" t="s">
        <v>468</v>
      </c>
      <c r="C9" s="7" t="s">
        <v>460</v>
      </c>
      <c r="D9" s="7" t="s">
        <v>461</v>
      </c>
      <c r="E9" s="25" t="n">
        <v>11.99</v>
      </c>
      <c r="F9" s="36" t="n">
        <v>0</v>
      </c>
      <c r="G9" s="28" t="n">
        <v>0</v>
      </c>
      <c r="H9" s="16" t="n">
        <f aca="false">Assumptions!$C$21</f>
        <v>0.029</v>
      </c>
      <c r="I9" s="15" t="n">
        <f aca="false">Assumptions!$C$22</f>
        <v>0.3</v>
      </c>
      <c r="J9" s="16" t="n">
        <f aca="false">Assumptions!$C$12</f>
        <v>0.02</v>
      </c>
      <c r="K9" s="28" t="n">
        <v>0</v>
      </c>
      <c r="L9" s="28" t="n">
        <v>0</v>
      </c>
      <c r="M9" s="28" t="n">
        <f aca="false">E9*(1-F9-H9-J9)-G9-I9-K9-L9</f>
        <v>11.10249</v>
      </c>
      <c r="N9" s="36" t="n">
        <f aca="false">IF(E9=0,0,M9/E9)</f>
        <v>0.925979149291076</v>
      </c>
      <c r="O9" s="28" t="n">
        <v>0</v>
      </c>
      <c r="P9" s="21" t="n">
        <v>18</v>
      </c>
      <c r="Q9" s="7" t="s">
        <v>462</v>
      </c>
      <c r="R9" s="7" t="s">
        <v>469</v>
      </c>
    </row>
    <row r="10" customFormat="false" ht="15" hidden="false" customHeight="false" outlineLevel="0" collapsed="false">
      <c r="A10" s="7" t="s">
        <v>458</v>
      </c>
      <c r="B10" s="7" t="s">
        <v>470</v>
      </c>
      <c r="C10" s="7" t="s">
        <v>460</v>
      </c>
      <c r="D10" s="7" t="s">
        <v>461</v>
      </c>
      <c r="E10" s="25" t="n">
        <v>9.99</v>
      </c>
      <c r="F10" s="36" t="n">
        <v>0</v>
      </c>
      <c r="G10" s="28" t="n">
        <v>0</v>
      </c>
      <c r="H10" s="16" t="n">
        <f aca="false">Assumptions!$C$21</f>
        <v>0.029</v>
      </c>
      <c r="I10" s="15" t="n">
        <f aca="false">Assumptions!$C$22</f>
        <v>0.3</v>
      </c>
      <c r="J10" s="16" t="n">
        <f aca="false">Assumptions!$C$12</f>
        <v>0.02</v>
      </c>
      <c r="K10" s="28" t="n">
        <v>0</v>
      </c>
      <c r="L10" s="28" t="n">
        <v>0</v>
      </c>
      <c r="M10" s="28" t="n">
        <f aca="false">E10*(1-F10-H10-J10)-G10-I10-K10-L10</f>
        <v>9.20049</v>
      </c>
      <c r="N10" s="36" t="n">
        <f aca="false">IF(E10=0,0,M10/E10)</f>
        <v>0.92096996996997</v>
      </c>
      <c r="O10" s="28" t="n">
        <v>0</v>
      </c>
      <c r="P10" s="21" t="n">
        <v>10</v>
      </c>
      <c r="Q10" s="7" t="s">
        <v>462</v>
      </c>
      <c r="R10" s="7" t="s">
        <v>471</v>
      </c>
    </row>
    <row r="11" customFormat="false" ht="15" hidden="false" customHeight="false" outlineLevel="0" collapsed="false">
      <c r="A11" s="7" t="s">
        <v>458</v>
      </c>
      <c r="B11" s="7" t="s">
        <v>472</v>
      </c>
      <c r="C11" s="7" t="s">
        <v>460</v>
      </c>
      <c r="D11" s="7" t="s">
        <v>461</v>
      </c>
      <c r="E11" s="25" t="n">
        <v>6</v>
      </c>
      <c r="F11" s="36" t="n">
        <v>0</v>
      </c>
      <c r="G11" s="28" t="n">
        <v>0</v>
      </c>
      <c r="H11" s="16" t="n">
        <f aca="false">Assumptions!$C$21</f>
        <v>0.029</v>
      </c>
      <c r="I11" s="15" t="n">
        <f aca="false">Assumptions!$C$22</f>
        <v>0.3</v>
      </c>
      <c r="J11" s="16" t="n">
        <f aca="false">Assumptions!$C$12</f>
        <v>0.02</v>
      </c>
      <c r="K11" s="28" t="n">
        <v>0</v>
      </c>
      <c r="L11" s="28" t="n">
        <v>0</v>
      </c>
      <c r="M11" s="28" t="n">
        <f aca="false">E11*(1-F11-H11-J11)-G11-I11-K11-L11</f>
        <v>5.406</v>
      </c>
      <c r="N11" s="36" t="n">
        <f aca="false">IF(E11=0,0,M11/E11)</f>
        <v>0.901</v>
      </c>
      <c r="O11" s="28" t="n">
        <v>0</v>
      </c>
      <c r="P11" s="21" t="n">
        <v>5</v>
      </c>
      <c r="Q11" s="7" t="s">
        <v>462</v>
      </c>
      <c r="R11" s="7" t="s">
        <v>473</v>
      </c>
    </row>
    <row r="12" customFormat="false" ht="15" hidden="false" customHeight="false" outlineLevel="0" collapsed="false">
      <c r="A12" s="7" t="s">
        <v>458</v>
      </c>
      <c r="B12" s="7" t="s">
        <v>474</v>
      </c>
      <c r="C12" s="7" t="s">
        <v>460</v>
      </c>
      <c r="D12" s="7" t="s">
        <v>461</v>
      </c>
      <c r="E12" s="25" t="n">
        <v>6.99</v>
      </c>
      <c r="F12" s="36" t="n">
        <v>0</v>
      </c>
      <c r="G12" s="28" t="n">
        <v>0</v>
      </c>
      <c r="H12" s="16" t="n">
        <f aca="false">Assumptions!$C$21</f>
        <v>0.029</v>
      </c>
      <c r="I12" s="15" t="n">
        <f aca="false">Assumptions!$C$22</f>
        <v>0.3</v>
      </c>
      <c r="J12" s="16" t="n">
        <f aca="false">Assumptions!$C$12</f>
        <v>0.02</v>
      </c>
      <c r="K12" s="28" t="n">
        <v>0</v>
      </c>
      <c r="L12" s="28" t="n">
        <v>0</v>
      </c>
      <c r="M12" s="28" t="n">
        <f aca="false">E12*(1-F12-H12-J12)-G12-I12-K12-L12</f>
        <v>6.34749</v>
      </c>
      <c r="N12" s="36" t="n">
        <f aca="false">IF(E12=0,0,M12/E12)</f>
        <v>0.908081545064378</v>
      </c>
      <c r="O12" s="28" t="n">
        <v>0</v>
      </c>
      <c r="P12" s="21" t="n">
        <v>3</v>
      </c>
      <c r="Q12" s="7" t="s">
        <v>462</v>
      </c>
      <c r="R12" s="7" t="s">
        <v>475</v>
      </c>
    </row>
    <row r="13" customFormat="false" ht="15" hidden="false" customHeight="false" outlineLevel="0" collapsed="false">
      <c r="A13" s="7" t="s">
        <v>458</v>
      </c>
      <c r="B13" s="7" t="s">
        <v>476</v>
      </c>
      <c r="C13" s="7" t="s">
        <v>460</v>
      </c>
      <c r="D13" s="7" t="s">
        <v>461</v>
      </c>
      <c r="E13" s="25" t="n">
        <v>6</v>
      </c>
      <c r="F13" s="36" t="n">
        <v>0</v>
      </c>
      <c r="G13" s="28" t="n">
        <v>0</v>
      </c>
      <c r="H13" s="16" t="n">
        <f aca="false">Assumptions!$C$21</f>
        <v>0.029</v>
      </c>
      <c r="I13" s="15" t="n">
        <f aca="false">Assumptions!$C$22</f>
        <v>0.3</v>
      </c>
      <c r="J13" s="16" t="n">
        <f aca="false">Assumptions!$C$12</f>
        <v>0.02</v>
      </c>
      <c r="K13" s="28" t="n">
        <v>0</v>
      </c>
      <c r="L13" s="28" t="n">
        <v>0</v>
      </c>
      <c r="M13" s="28" t="n">
        <f aca="false">E13*(1-F13-H13-J13)-G13-I13-K13-L13</f>
        <v>5.406</v>
      </c>
      <c r="N13" s="36" t="n">
        <f aca="false">IF(E13=0,0,M13/E13)</f>
        <v>0.901</v>
      </c>
      <c r="O13" s="28" t="n">
        <v>0</v>
      </c>
      <c r="P13" s="21" t="n">
        <v>2</v>
      </c>
      <c r="Q13" s="7" t="s">
        <v>462</v>
      </c>
      <c r="R13" s="7" t="s">
        <v>477</v>
      </c>
    </row>
    <row r="14" customFormat="false" ht="15" hidden="false" customHeight="false" outlineLevel="0" collapsed="false">
      <c r="A14" s="7" t="s">
        <v>458</v>
      </c>
      <c r="B14" s="7" t="s">
        <v>478</v>
      </c>
      <c r="C14" s="7" t="s">
        <v>479</v>
      </c>
      <c r="D14" s="7" t="s">
        <v>461</v>
      </c>
      <c r="E14" s="25" t="n">
        <v>27</v>
      </c>
      <c r="F14" s="36" t="n">
        <v>0</v>
      </c>
      <c r="G14" s="28" t="n">
        <v>0</v>
      </c>
      <c r="H14" s="16" t="n">
        <f aca="false">Assumptions!$C$21</f>
        <v>0.029</v>
      </c>
      <c r="I14" s="15" t="n">
        <f aca="false">Assumptions!$C$22</f>
        <v>0.3</v>
      </c>
      <c r="J14" s="16" t="n">
        <f aca="false">Assumptions!$C$12</f>
        <v>0.02</v>
      </c>
      <c r="K14" s="15" t="n">
        <f aca="false">Assumptions!$C$49</f>
        <v>12.5</v>
      </c>
      <c r="L14" s="28" t="n">
        <v>0</v>
      </c>
      <c r="M14" s="28" t="n">
        <f aca="false">E14*(1-F14-H14-J14)-G14-I14-K14-L14</f>
        <v>12.877</v>
      </c>
      <c r="N14" s="36" t="n">
        <f aca="false">IF(E14=0,0,M14/E14)</f>
        <v>0.476925925925926</v>
      </c>
      <c r="O14" s="28" t="n">
        <v>0</v>
      </c>
      <c r="P14" s="21" t="n">
        <v>2</v>
      </c>
      <c r="Q14" s="7" t="s">
        <v>462</v>
      </c>
      <c r="R14" s="7" t="s">
        <v>480</v>
      </c>
    </row>
    <row r="15" customFormat="false" ht="15" hidden="false" customHeight="false" outlineLevel="0" collapsed="false">
      <c r="A15" s="7" t="s">
        <v>481</v>
      </c>
      <c r="B15" s="7" t="s">
        <v>459</v>
      </c>
      <c r="C15" s="7" t="s">
        <v>482</v>
      </c>
      <c r="D15" s="7" t="s">
        <v>461</v>
      </c>
      <c r="E15" s="28" t="n">
        <f aca="false">E6</f>
        <v>6.5</v>
      </c>
      <c r="F15" s="16" t="n">
        <f aca="false">Assumptions!$C$23+Assumptions!$C$27*Assumptions!$C$28</f>
        <v>0.08</v>
      </c>
      <c r="G15" s="15" t="n">
        <f aca="false">Assumptions!$C$26</f>
        <v>0.2</v>
      </c>
      <c r="H15" s="16" t="n">
        <f aca="false">Assumptions!$C$24</f>
        <v>0.03</v>
      </c>
      <c r="I15" s="15" t="n">
        <f aca="false">Assumptions!$C$25</f>
        <v>0.25</v>
      </c>
      <c r="J15" s="16" t="n">
        <f aca="false">Assumptions!$C$12</f>
        <v>0.02</v>
      </c>
      <c r="K15" s="28" t="n">
        <v>0</v>
      </c>
      <c r="L15" s="28" t="n">
        <v>0</v>
      </c>
      <c r="M15" s="28" t="n">
        <f aca="false">E15*(1-F15-H15-J15)-G15-I15-K15-L15</f>
        <v>5.205</v>
      </c>
      <c r="N15" s="36" t="n">
        <f aca="false">IF(E15=0,0,M15/E15)</f>
        <v>0.800769230769231</v>
      </c>
      <c r="O15" s="28" t="n">
        <v>0</v>
      </c>
      <c r="P15" s="21" t="n">
        <v>25</v>
      </c>
      <c r="Q15" s="7" t="s">
        <v>483</v>
      </c>
      <c r="R15" s="7" t="s">
        <v>484</v>
      </c>
    </row>
    <row r="16" customFormat="false" ht="15" hidden="false" customHeight="false" outlineLevel="0" collapsed="false">
      <c r="A16" s="7" t="s">
        <v>481</v>
      </c>
      <c r="B16" s="7" t="s">
        <v>464</v>
      </c>
      <c r="C16" s="7" t="s">
        <v>482</v>
      </c>
      <c r="D16" s="7" t="s">
        <v>461</v>
      </c>
      <c r="E16" s="28" t="n">
        <f aca="false">E7</f>
        <v>6.5</v>
      </c>
      <c r="F16" s="16" t="n">
        <f aca="false">Assumptions!$C$23+Assumptions!$C$27*Assumptions!$C$28</f>
        <v>0.08</v>
      </c>
      <c r="G16" s="15" t="n">
        <f aca="false">Assumptions!$C$26</f>
        <v>0.2</v>
      </c>
      <c r="H16" s="16" t="n">
        <f aca="false">Assumptions!$C$24</f>
        <v>0.03</v>
      </c>
      <c r="I16" s="15" t="n">
        <f aca="false">Assumptions!$C$25</f>
        <v>0.25</v>
      </c>
      <c r="J16" s="16" t="n">
        <f aca="false">Assumptions!$C$12</f>
        <v>0.02</v>
      </c>
      <c r="K16" s="28" t="n">
        <v>0</v>
      </c>
      <c r="L16" s="28" t="n">
        <v>0</v>
      </c>
      <c r="M16" s="28" t="n">
        <f aca="false">E16*(1-F16-H16-J16)-G16-I16-K16-L16</f>
        <v>5.205</v>
      </c>
      <c r="N16" s="36" t="n">
        <f aca="false">IF(E16=0,0,M16/E16)</f>
        <v>0.800769230769231</v>
      </c>
      <c r="O16" s="28" t="n">
        <v>0</v>
      </c>
      <c r="P16" s="21" t="n">
        <v>15</v>
      </c>
      <c r="Q16" s="7" t="s">
        <v>483</v>
      </c>
      <c r="R16" s="7" t="s">
        <v>484</v>
      </c>
    </row>
    <row r="17" customFormat="false" ht="15" hidden="false" customHeight="false" outlineLevel="0" collapsed="false">
      <c r="A17" s="7" t="s">
        <v>481</v>
      </c>
      <c r="B17" s="7" t="s">
        <v>466</v>
      </c>
      <c r="C17" s="7" t="s">
        <v>482</v>
      </c>
      <c r="D17" s="7" t="s">
        <v>461</v>
      </c>
      <c r="E17" s="28" t="n">
        <f aca="false">E8</f>
        <v>11</v>
      </c>
      <c r="F17" s="16" t="n">
        <f aca="false">Assumptions!$C$23+Assumptions!$C$27*Assumptions!$C$28</f>
        <v>0.08</v>
      </c>
      <c r="G17" s="15" t="n">
        <f aca="false">Assumptions!$C$26</f>
        <v>0.2</v>
      </c>
      <c r="H17" s="16" t="n">
        <f aca="false">Assumptions!$C$24</f>
        <v>0.03</v>
      </c>
      <c r="I17" s="15" t="n">
        <f aca="false">Assumptions!$C$25</f>
        <v>0.25</v>
      </c>
      <c r="J17" s="16" t="n">
        <f aca="false">Assumptions!$C$12</f>
        <v>0.02</v>
      </c>
      <c r="K17" s="28" t="n">
        <v>0</v>
      </c>
      <c r="L17" s="28" t="n">
        <v>0</v>
      </c>
      <c r="M17" s="28" t="n">
        <f aca="false">E17*(1-F17-H17-J17)-G17-I17-K17-L17</f>
        <v>9.12</v>
      </c>
      <c r="N17" s="36" t="n">
        <f aca="false">IF(E17=0,0,M17/E17)</f>
        <v>0.829090909090909</v>
      </c>
      <c r="O17" s="28" t="n">
        <v>0</v>
      </c>
      <c r="P17" s="21" t="n">
        <v>20</v>
      </c>
      <c r="Q17" s="7" t="s">
        <v>483</v>
      </c>
      <c r="R17" s="7" t="s">
        <v>484</v>
      </c>
    </row>
    <row r="18" customFormat="false" ht="15" hidden="false" customHeight="false" outlineLevel="0" collapsed="false">
      <c r="A18" s="7" t="s">
        <v>481</v>
      </c>
      <c r="B18" s="7" t="s">
        <v>468</v>
      </c>
      <c r="C18" s="7" t="s">
        <v>482</v>
      </c>
      <c r="D18" s="7" t="s">
        <v>461</v>
      </c>
      <c r="E18" s="28" t="n">
        <f aca="false">E9</f>
        <v>11.99</v>
      </c>
      <c r="F18" s="16" t="n">
        <f aca="false">Assumptions!$C$23+Assumptions!$C$27*Assumptions!$C$28</f>
        <v>0.08</v>
      </c>
      <c r="G18" s="15" t="n">
        <f aca="false">Assumptions!$C$26</f>
        <v>0.2</v>
      </c>
      <c r="H18" s="16" t="n">
        <f aca="false">Assumptions!$C$24</f>
        <v>0.03</v>
      </c>
      <c r="I18" s="15" t="n">
        <f aca="false">Assumptions!$C$25</f>
        <v>0.25</v>
      </c>
      <c r="J18" s="16" t="n">
        <f aca="false">Assumptions!$C$12</f>
        <v>0.02</v>
      </c>
      <c r="K18" s="28" t="n">
        <v>0</v>
      </c>
      <c r="L18" s="28" t="n">
        <v>0</v>
      </c>
      <c r="M18" s="28" t="n">
        <f aca="false">E18*(1-F18-H18-J18)-G18-I18-K18-L18</f>
        <v>9.9813</v>
      </c>
      <c r="N18" s="36" t="n">
        <f aca="false">IF(E18=0,0,M18/E18)</f>
        <v>0.832468723936614</v>
      </c>
      <c r="O18" s="28" t="n">
        <v>0</v>
      </c>
      <c r="P18" s="21" t="n">
        <v>18</v>
      </c>
      <c r="Q18" s="7" t="s">
        <v>483</v>
      </c>
      <c r="R18" s="7" t="s">
        <v>484</v>
      </c>
    </row>
    <row r="19" customFormat="false" ht="15" hidden="false" customHeight="false" outlineLevel="0" collapsed="false">
      <c r="A19" s="7" t="s">
        <v>481</v>
      </c>
      <c r="B19" s="7" t="s">
        <v>470</v>
      </c>
      <c r="C19" s="7" t="s">
        <v>482</v>
      </c>
      <c r="D19" s="7" t="s">
        <v>461</v>
      </c>
      <c r="E19" s="28" t="n">
        <f aca="false">E10</f>
        <v>9.99</v>
      </c>
      <c r="F19" s="16" t="n">
        <f aca="false">Assumptions!$C$23+Assumptions!$C$27*Assumptions!$C$28</f>
        <v>0.08</v>
      </c>
      <c r="G19" s="15" t="n">
        <f aca="false">Assumptions!$C$26</f>
        <v>0.2</v>
      </c>
      <c r="H19" s="16" t="n">
        <f aca="false">Assumptions!$C$24</f>
        <v>0.03</v>
      </c>
      <c r="I19" s="15" t="n">
        <f aca="false">Assumptions!$C$25</f>
        <v>0.25</v>
      </c>
      <c r="J19" s="16" t="n">
        <f aca="false">Assumptions!$C$12</f>
        <v>0.02</v>
      </c>
      <c r="K19" s="28" t="n">
        <v>0</v>
      </c>
      <c r="L19" s="28" t="n">
        <v>0</v>
      </c>
      <c r="M19" s="28" t="n">
        <f aca="false">E19*(1-F19-H19-J19)-G19-I19-K19-L19</f>
        <v>8.2413</v>
      </c>
      <c r="N19" s="36" t="n">
        <f aca="false">IF(E19=0,0,M19/E19)</f>
        <v>0.824954954954955</v>
      </c>
      <c r="O19" s="28" t="n">
        <v>0</v>
      </c>
      <c r="P19" s="21" t="n">
        <v>10</v>
      </c>
      <c r="Q19" s="7" t="s">
        <v>483</v>
      </c>
      <c r="R19" s="7" t="s">
        <v>484</v>
      </c>
    </row>
    <row r="20" customFormat="false" ht="15" hidden="false" customHeight="false" outlineLevel="0" collapsed="false">
      <c r="A20" s="7" t="s">
        <v>481</v>
      </c>
      <c r="B20" s="7" t="s">
        <v>472</v>
      </c>
      <c r="C20" s="7" t="s">
        <v>482</v>
      </c>
      <c r="D20" s="7" t="s">
        <v>461</v>
      </c>
      <c r="E20" s="28" t="n">
        <f aca="false">E11</f>
        <v>6</v>
      </c>
      <c r="F20" s="16" t="n">
        <f aca="false">Assumptions!$C$23+Assumptions!$C$27*Assumptions!$C$28</f>
        <v>0.08</v>
      </c>
      <c r="G20" s="15" t="n">
        <f aca="false">Assumptions!$C$26</f>
        <v>0.2</v>
      </c>
      <c r="H20" s="16" t="n">
        <f aca="false">Assumptions!$C$24</f>
        <v>0.03</v>
      </c>
      <c r="I20" s="15" t="n">
        <f aca="false">Assumptions!$C$25</f>
        <v>0.25</v>
      </c>
      <c r="J20" s="16" t="n">
        <f aca="false">Assumptions!$C$12</f>
        <v>0.02</v>
      </c>
      <c r="K20" s="28" t="n">
        <v>0</v>
      </c>
      <c r="L20" s="28" t="n">
        <v>0</v>
      </c>
      <c r="M20" s="28" t="n">
        <f aca="false">E20*(1-F20-H20-J20)-G20-I20-K20-L20</f>
        <v>4.77</v>
      </c>
      <c r="N20" s="36" t="n">
        <f aca="false">IF(E20=0,0,M20/E20)</f>
        <v>0.795</v>
      </c>
      <c r="O20" s="28" t="n">
        <v>0</v>
      </c>
      <c r="P20" s="21" t="n">
        <v>5</v>
      </c>
      <c r="Q20" s="7" t="s">
        <v>483</v>
      </c>
      <c r="R20" s="7" t="s">
        <v>484</v>
      </c>
    </row>
    <row r="21" customFormat="false" ht="15" hidden="false" customHeight="false" outlineLevel="0" collapsed="false">
      <c r="A21" s="7" t="s">
        <v>481</v>
      </c>
      <c r="B21" s="7" t="s">
        <v>474</v>
      </c>
      <c r="C21" s="7" t="s">
        <v>482</v>
      </c>
      <c r="D21" s="7" t="s">
        <v>461</v>
      </c>
      <c r="E21" s="28" t="n">
        <f aca="false">E12</f>
        <v>6.99</v>
      </c>
      <c r="F21" s="16" t="n">
        <f aca="false">Assumptions!$C$23+Assumptions!$C$27*Assumptions!$C$28</f>
        <v>0.08</v>
      </c>
      <c r="G21" s="15" t="n">
        <f aca="false">Assumptions!$C$26</f>
        <v>0.2</v>
      </c>
      <c r="H21" s="16" t="n">
        <f aca="false">Assumptions!$C$24</f>
        <v>0.03</v>
      </c>
      <c r="I21" s="15" t="n">
        <f aca="false">Assumptions!$C$25</f>
        <v>0.25</v>
      </c>
      <c r="J21" s="16" t="n">
        <f aca="false">Assumptions!$C$12</f>
        <v>0.02</v>
      </c>
      <c r="K21" s="28" t="n">
        <v>0</v>
      </c>
      <c r="L21" s="28" t="n">
        <v>0</v>
      </c>
      <c r="M21" s="28" t="n">
        <f aca="false">E21*(1-F21-H21-J21)-G21-I21-K21-L21</f>
        <v>5.6313</v>
      </c>
      <c r="N21" s="36" t="n">
        <f aca="false">IF(E21=0,0,M21/E21)</f>
        <v>0.805622317596567</v>
      </c>
      <c r="O21" s="28" t="n">
        <v>0</v>
      </c>
      <c r="P21" s="21" t="n">
        <v>3</v>
      </c>
      <c r="Q21" s="7" t="s">
        <v>483</v>
      </c>
      <c r="R21" s="7" t="s">
        <v>484</v>
      </c>
    </row>
    <row r="22" customFormat="false" ht="15" hidden="false" customHeight="false" outlineLevel="0" collapsed="false">
      <c r="A22" s="7" t="s">
        <v>481</v>
      </c>
      <c r="B22" s="7" t="s">
        <v>476</v>
      </c>
      <c r="C22" s="7" t="s">
        <v>482</v>
      </c>
      <c r="D22" s="7" t="s">
        <v>461</v>
      </c>
      <c r="E22" s="28" t="n">
        <f aca="false">E13</f>
        <v>6</v>
      </c>
      <c r="F22" s="16" t="n">
        <f aca="false">Assumptions!$C$23+Assumptions!$C$27*Assumptions!$C$28</f>
        <v>0.08</v>
      </c>
      <c r="G22" s="15" t="n">
        <f aca="false">Assumptions!$C$26</f>
        <v>0.2</v>
      </c>
      <c r="H22" s="16" t="n">
        <f aca="false">Assumptions!$C$24</f>
        <v>0.03</v>
      </c>
      <c r="I22" s="15" t="n">
        <f aca="false">Assumptions!$C$25</f>
        <v>0.25</v>
      </c>
      <c r="J22" s="16" t="n">
        <f aca="false">Assumptions!$C$12</f>
        <v>0.02</v>
      </c>
      <c r="K22" s="28" t="n">
        <v>0</v>
      </c>
      <c r="L22" s="28" t="n">
        <v>0</v>
      </c>
      <c r="M22" s="28" t="n">
        <f aca="false">E22*(1-F22-H22-J22)-G22-I22-K22-L22</f>
        <v>4.77</v>
      </c>
      <c r="N22" s="36" t="n">
        <f aca="false">IF(E22=0,0,M22/E22)</f>
        <v>0.795</v>
      </c>
      <c r="O22" s="28" t="n">
        <v>0</v>
      </c>
      <c r="P22" s="21" t="n">
        <v>2</v>
      </c>
      <c r="Q22" s="7" t="s">
        <v>483</v>
      </c>
      <c r="R22" s="7" t="s">
        <v>484</v>
      </c>
    </row>
    <row r="23" customFormat="false" ht="15" hidden="false" customHeight="false" outlineLevel="0" collapsed="false">
      <c r="A23" s="7" t="s">
        <v>485</v>
      </c>
      <c r="B23" s="7" t="s">
        <v>459</v>
      </c>
      <c r="C23" s="7" t="s">
        <v>486</v>
      </c>
      <c r="D23" s="7" t="s">
        <v>487</v>
      </c>
      <c r="E23" s="28" t="n">
        <f aca="false">E6</f>
        <v>6.5</v>
      </c>
      <c r="F23" s="16" t="n">
        <f aca="false">Assumptions!$C$38</f>
        <v>0.1</v>
      </c>
      <c r="G23" s="15" t="n">
        <f aca="false">Assumptions!$C$39</f>
        <v>0.5</v>
      </c>
      <c r="H23" s="36" t="n">
        <v>0</v>
      </c>
      <c r="I23" s="28" t="n">
        <v>0</v>
      </c>
      <c r="J23" s="16" t="n">
        <f aca="false">Assumptions!$C$12</f>
        <v>0.02</v>
      </c>
      <c r="K23" s="28" t="n">
        <v>0</v>
      </c>
      <c r="L23" s="28" t="n">
        <v>0</v>
      </c>
      <c r="M23" s="28" t="n">
        <f aca="false">E23*(1-F23-H23-J23)-G23-I23-K23-L23</f>
        <v>5.22</v>
      </c>
      <c r="N23" s="36" t="n">
        <f aca="false">IF(E23=0,0,M23/E23)</f>
        <v>0.803076923076923</v>
      </c>
      <c r="O23" s="28" t="n">
        <v>0</v>
      </c>
      <c r="P23" s="21" t="n">
        <v>25</v>
      </c>
      <c r="Q23" s="7" t="s">
        <v>488</v>
      </c>
      <c r="R23" s="7" t="s">
        <v>489</v>
      </c>
    </row>
    <row r="24" customFormat="false" ht="15" hidden="false" customHeight="false" outlineLevel="0" collapsed="false">
      <c r="A24" s="7" t="s">
        <v>485</v>
      </c>
      <c r="B24" s="7" t="s">
        <v>464</v>
      </c>
      <c r="C24" s="7" t="s">
        <v>486</v>
      </c>
      <c r="D24" s="7" t="s">
        <v>487</v>
      </c>
      <c r="E24" s="28" t="n">
        <f aca="false">E7</f>
        <v>6.5</v>
      </c>
      <c r="F24" s="16" t="n">
        <f aca="false">Assumptions!$C$38</f>
        <v>0.1</v>
      </c>
      <c r="G24" s="15" t="n">
        <f aca="false">Assumptions!$C$39</f>
        <v>0.5</v>
      </c>
      <c r="H24" s="36" t="n">
        <v>0</v>
      </c>
      <c r="I24" s="28" t="n">
        <v>0</v>
      </c>
      <c r="J24" s="16" t="n">
        <f aca="false">Assumptions!$C$12</f>
        <v>0.02</v>
      </c>
      <c r="K24" s="28" t="n">
        <v>0</v>
      </c>
      <c r="L24" s="28" t="n">
        <v>0</v>
      </c>
      <c r="M24" s="28" t="n">
        <f aca="false">E24*(1-F24-H24-J24)-G24-I24-K24-L24</f>
        <v>5.22</v>
      </c>
      <c r="N24" s="36" t="n">
        <f aca="false">IF(E24=0,0,M24/E24)</f>
        <v>0.803076923076923</v>
      </c>
      <c r="O24" s="28" t="n">
        <v>0</v>
      </c>
      <c r="P24" s="21" t="n">
        <v>15</v>
      </c>
      <c r="Q24" s="7" t="s">
        <v>488</v>
      </c>
      <c r="R24" s="7" t="s">
        <v>489</v>
      </c>
    </row>
    <row r="25" customFormat="false" ht="15" hidden="false" customHeight="false" outlineLevel="0" collapsed="false">
      <c r="A25" s="7" t="s">
        <v>485</v>
      </c>
      <c r="B25" s="7" t="s">
        <v>466</v>
      </c>
      <c r="C25" s="7" t="s">
        <v>486</v>
      </c>
      <c r="D25" s="7" t="s">
        <v>487</v>
      </c>
      <c r="E25" s="28" t="n">
        <f aca="false">E8</f>
        <v>11</v>
      </c>
      <c r="F25" s="16" t="n">
        <f aca="false">Assumptions!$C$38</f>
        <v>0.1</v>
      </c>
      <c r="G25" s="15" t="n">
        <f aca="false">Assumptions!$C$39</f>
        <v>0.5</v>
      </c>
      <c r="H25" s="36" t="n">
        <v>0</v>
      </c>
      <c r="I25" s="28" t="n">
        <v>0</v>
      </c>
      <c r="J25" s="16" t="n">
        <f aca="false">Assumptions!$C$12</f>
        <v>0.02</v>
      </c>
      <c r="K25" s="28" t="n">
        <v>0</v>
      </c>
      <c r="L25" s="28" t="n">
        <v>0</v>
      </c>
      <c r="M25" s="28" t="n">
        <f aca="false">E25*(1-F25-H25-J25)-G25-I25-K25-L25</f>
        <v>9.18</v>
      </c>
      <c r="N25" s="36" t="n">
        <f aca="false">IF(E25=0,0,M25/E25)</f>
        <v>0.834545454545455</v>
      </c>
      <c r="O25" s="28" t="n">
        <v>0</v>
      </c>
      <c r="P25" s="21" t="n">
        <v>20</v>
      </c>
      <c r="Q25" s="7" t="s">
        <v>488</v>
      </c>
      <c r="R25" s="7" t="s">
        <v>489</v>
      </c>
    </row>
    <row r="26" customFormat="false" ht="15" hidden="false" customHeight="false" outlineLevel="0" collapsed="false">
      <c r="A26" s="7" t="s">
        <v>485</v>
      </c>
      <c r="B26" s="7" t="s">
        <v>468</v>
      </c>
      <c r="C26" s="7" t="s">
        <v>486</v>
      </c>
      <c r="D26" s="7" t="s">
        <v>487</v>
      </c>
      <c r="E26" s="28" t="n">
        <f aca="false">E9</f>
        <v>11.99</v>
      </c>
      <c r="F26" s="16" t="n">
        <f aca="false">Assumptions!$C$38</f>
        <v>0.1</v>
      </c>
      <c r="G26" s="15" t="n">
        <f aca="false">Assumptions!$C$39</f>
        <v>0.5</v>
      </c>
      <c r="H26" s="36" t="n">
        <v>0</v>
      </c>
      <c r="I26" s="28" t="n">
        <v>0</v>
      </c>
      <c r="J26" s="16" t="n">
        <f aca="false">Assumptions!$C$12</f>
        <v>0.02</v>
      </c>
      <c r="K26" s="28" t="n">
        <v>0</v>
      </c>
      <c r="L26" s="28" t="n">
        <v>0</v>
      </c>
      <c r="M26" s="28" t="n">
        <f aca="false">E26*(1-F26-H26-J26)-G26-I26-K26-L26</f>
        <v>10.0512</v>
      </c>
      <c r="N26" s="36" t="n">
        <f aca="false">IF(E26=0,0,M26/E26)</f>
        <v>0.838298582151793</v>
      </c>
      <c r="O26" s="28" t="n">
        <v>0</v>
      </c>
      <c r="P26" s="21" t="n">
        <v>18</v>
      </c>
      <c r="Q26" s="7" t="s">
        <v>488</v>
      </c>
      <c r="R26" s="7" t="s">
        <v>489</v>
      </c>
    </row>
    <row r="27" customFormat="false" ht="15" hidden="false" customHeight="false" outlineLevel="0" collapsed="false">
      <c r="A27" s="7" t="s">
        <v>485</v>
      </c>
      <c r="B27" s="7" t="s">
        <v>470</v>
      </c>
      <c r="C27" s="7" t="s">
        <v>486</v>
      </c>
      <c r="D27" s="7" t="s">
        <v>487</v>
      </c>
      <c r="E27" s="28" t="n">
        <f aca="false">E10</f>
        <v>9.99</v>
      </c>
      <c r="F27" s="16" t="n">
        <f aca="false">Assumptions!$C$38</f>
        <v>0.1</v>
      </c>
      <c r="G27" s="15" t="n">
        <f aca="false">Assumptions!$C$39</f>
        <v>0.5</v>
      </c>
      <c r="H27" s="36" t="n">
        <v>0</v>
      </c>
      <c r="I27" s="28" t="n">
        <v>0</v>
      </c>
      <c r="J27" s="16" t="n">
        <f aca="false">Assumptions!$C$12</f>
        <v>0.02</v>
      </c>
      <c r="K27" s="28" t="n">
        <v>0</v>
      </c>
      <c r="L27" s="28" t="n">
        <v>0</v>
      </c>
      <c r="M27" s="28" t="n">
        <f aca="false">E27*(1-F27-H27-J27)-G27-I27-K27-L27</f>
        <v>8.2912</v>
      </c>
      <c r="N27" s="36" t="n">
        <f aca="false">IF(E27=0,0,M27/E27)</f>
        <v>0.82994994994995</v>
      </c>
      <c r="O27" s="28" t="n">
        <v>0</v>
      </c>
      <c r="P27" s="21" t="n">
        <v>10</v>
      </c>
      <c r="Q27" s="7" t="s">
        <v>488</v>
      </c>
      <c r="R27" s="7" t="s">
        <v>489</v>
      </c>
    </row>
    <row r="28" customFormat="false" ht="15" hidden="false" customHeight="false" outlineLevel="0" collapsed="false">
      <c r="A28" s="7" t="s">
        <v>490</v>
      </c>
      <c r="B28" s="7" t="s">
        <v>491</v>
      </c>
      <c r="C28" s="7" t="s">
        <v>492</v>
      </c>
      <c r="D28" s="7" t="s">
        <v>461</v>
      </c>
      <c r="E28" s="25" t="n">
        <v>16.99</v>
      </c>
      <c r="F28" s="16" t="n">
        <f aca="false">1-Assumptions!$C$29</f>
        <v>0.4</v>
      </c>
      <c r="G28" s="28" t="n">
        <v>0</v>
      </c>
      <c r="H28" s="36" t="n">
        <v>0</v>
      </c>
      <c r="I28" s="28" t="n">
        <v>0</v>
      </c>
      <c r="J28" s="36" t="n">
        <v>0</v>
      </c>
      <c r="K28" s="15" t="n">
        <f aca="false">Assumptions!$C$30+Assumptions!$C$32*Assumptions!$C$33</f>
        <v>1.984</v>
      </c>
      <c r="L28" s="28" t="n">
        <v>0</v>
      </c>
      <c r="M28" s="28" t="n">
        <f aca="false">E28*(1-F28-H28-J28)-G28-I28-K28-L28</f>
        <v>8.21</v>
      </c>
      <c r="N28" s="36" t="n">
        <f aca="false">IF(E28=0,0,M28/E28)</f>
        <v>0.483225426721601</v>
      </c>
      <c r="O28" s="28" t="n">
        <v>0</v>
      </c>
      <c r="P28" s="21" t="n">
        <v>50</v>
      </c>
      <c r="Q28" s="7" t="s">
        <v>493</v>
      </c>
      <c r="R28" s="7" t="s">
        <v>494</v>
      </c>
    </row>
    <row r="29" customFormat="false" ht="15" hidden="false" customHeight="false" outlineLevel="0" collapsed="false">
      <c r="A29" s="7" t="s">
        <v>490</v>
      </c>
      <c r="B29" s="7" t="s">
        <v>495</v>
      </c>
      <c r="C29" s="7" t="s">
        <v>492</v>
      </c>
      <c r="D29" s="7" t="s">
        <v>461</v>
      </c>
      <c r="E29" s="25" t="n">
        <v>11.99</v>
      </c>
      <c r="F29" s="16" t="n">
        <f aca="false">1-Assumptions!$C$29</f>
        <v>0.4</v>
      </c>
      <c r="G29" s="28" t="n">
        <v>0</v>
      </c>
      <c r="H29" s="36" t="n">
        <v>0</v>
      </c>
      <c r="I29" s="28" t="n">
        <v>0</v>
      </c>
      <c r="J29" s="36" t="n">
        <v>0</v>
      </c>
      <c r="K29" s="15" t="n">
        <f aca="false">Assumptions!$C$30+Assumptions!$C$31*Assumptions!$C$34</f>
        <v>3.24</v>
      </c>
      <c r="L29" s="28" t="n">
        <v>0</v>
      </c>
      <c r="M29" s="28" t="n">
        <f aca="false">E29*(1-F29-H29-J29)-G29-I29-K29-L29</f>
        <v>3.954</v>
      </c>
      <c r="N29" s="36" t="n">
        <f aca="false">IF(E29=0,0,M29/E29)</f>
        <v>0.32977481234362</v>
      </c>
      <c r="O29" s="28" t="n">
        <v>0</v>
      </c>
      <c r="P29" s="21" t="n">
        <v>20</v>
      </c>
      <c r="Q29" s="7" t="s">
        <v>493</v>
      </c>
      <c r="R29" s="7" t="s">
        <v>496</v>
      </c>
    </row>
    <row r="30" customFormat="false" ht="15" hidden="false" customHeight="false" outlineLevel="0" collapsed="false">
      <c r="A30" s="7" t="s">
        <v>490</v>
      </c>
      <c r="B30" s="7" t="s">
        <v>497</v>
      </c>
      <c r="C30" s="7" t="s">
        <v>492</v>
      </c>
      <c r="D30" s="7" t="s">
        <v>461</v>
      </c>
      <c r="E30" s="25" t="n">
        <v>11.99</v>
      </c>
      <c r="F30" s="16" t="n">
        <f aca="false">1-Assumptions!$C$29</f>
        <v>0.4</v>
      </c>
      <c r="G30" s="28" t="n">
        <v>0</v>
      </c>
      <c r="H30" s="36" t="n">
        <v>0</v>
      </c>
      <c r="I30" s="28" t="n">
        <v>0</v>
      </c>
      <c r="J30" s="36" t="n">
        <v>0</v>
      </c>
      <c r="K30" s="15" t="n">
        <f aca="false">Assumptions!$C$30+Assumptions!$C$31*Assumptions!$C$34</f>
        <v>3.24</v>
      </c>
      <c r="L30" s="28" t="n">
        <v>0</v>
      </c>
      <c r="M30" s="28" t="n">
        <f aca="false">E30*(1-F30-H30-J30)-G30-I30-K30-L30</f>
        <v>3.954</v>
      </c>
      <c r="N30" s="36" t="n">
        <f aca="false">IF(E30=0,0,M30/E30)</f>
        <v>0.32977481234362</v>
      </c>
      <c r="O30" s="28" t="n">
        <v>0</v>
      </c>
      <c r="P30" s="21" t="n">
        <v>30</v>
      </c>
      <c r="Q30" s="7" t="s">
        <v>493</v>
      </c>
      <c r="R30" s="7" t="s">
        <v>498</v>
      </c>
    </row>
    <row r="31" customFormat="false" ht="15" hidden="false" customHeight="false" outlineLevel="0" collapsed="false">
      <c r="A31" s="7" t="s">
        <v>499</v>
      </c>
      <c r="B31" s="7" t="s">
        <v>500</v>
      </c>
      <c r="C31" s="7" t="s">
        <v>501</v>
      </c>
      <c r="D31" s="7" t="s">
        <v>461</v>
      </c>
      <c r="E31" s="25" t="n">
        <v>19.99</v>
      </c>
      <c r="F31" s="16" t="n">
        <f aca="false">Assumptions!$C$35</f>
        <v>0.55</v>
      </c>
      <c r="G31" s="28" t="n">
        <v>0</v>
      </c>
      <c r="H31" s="36" t="n">
        <v>0</v>
      </c>
      <c r="I31" s="28" t="n">
        <v>0</v>
      </c>
      <c r="J31" s="36" t="n">
        <v>0</v>
      </c>
      <c r="K31" s="15" t="n">
        <f aca="false">Assumptions!$C$36</f>
        <v>8.5</v>
      </c>
      <c r="L31" s="28" t="n">
        <v>0</v>
      </c>
      <c r="M31" s="28" t="n">
        <f aca="false">E31*(1-F31-H31-J31)-G31-I31-K31-L31</f>
        <v>0.495499999999998</v>
      </c>
      <c r="N31" s="36" t="n">
        <f aca="false">IF(E31=0,0,M31/E31)</f>
        <v>0.0247873936968483</v>
      </c>
      <c r="O31" s="28" t="n">
        <v>0</v>
      </c>
      <c r="P31" s="21" t="n">
        <v>35</v>
      </c>
      <c r="Q31" s="7" t="s">
        <v>502</v>
      </c>
      <c r="R31" s="7" t="s">
        <v>503</v>
      </c>
    </row>
    <row r="32" customFormat="false" ht="15" hidden="false" customHeight="false" outlineLevel="0" collapsed="false">
      <c r="A32" s="7" t="s">
        <v>499</v>
      </c>
      <c r="B32" s="7" t="s">
        <v>504</v>
      </c>
      <c r="C32" s="7" t="s">
        <v>501</v>
      </c>
      <c r="D32" s="7" t="s">
        <v>461</v>
      </c>
      <c r="E32" s="25" t="n">
        <v>19.99</v>
      </c>
      <c r="F32" s="16" t="n">
        <f aca="false">Assumptions!$C$35</f>
        <v>0.55</v>
      </c>
      <c r="G32" s="28" t="n">
        <v>0</v>
      </c>
      <c r="H32" s="36" t="n">
        <v>0</v>
      </c>
      <c r="I32" s="28" t="n">
        <v>0</v>
      </c>
      <c r="J32" s="36" t="n">
        <v>0</v>
      </c>
      <c r="K32" s="15" t="n">
        <f aca="false">Assumptions!$C$36</f>
        <v>8.5</v>
      </c>
      <c r="L32" s="28" t="n">
        <v>0</v>
      </c>
      <c r="M32" s="28" t="n">
        <f aca="false">E32*(1-F32-H32-J32)-G32-I32-K32-L32</f>
        <v>0.495499999999998</v>
      </c>
      <c r="N32" s="36" t="n">
        <f aca="false">IF(E32=0,0,M32/E32)</f>
        <v>0.0247873936968483</v>
      </c>
      <c r="O32" s="28" t="n">
        <v>0</v>
      </c>
      <c r="P32" s="21" t="n">
        <v>25</v>
      </c>
      <c r="Q32" s="7" t="s">
        <v>502</v>
      </c>
      <c r="R32" s="7" t="s">
        <v>505</v>
      </c>
    </row>
    <row r="33" customFormat="false" ht="15" hidden="false" customHeight="false" outlineLevel="0" collapsed="false">
      <c r="A33" s="7" t="s">
        <v>499</v>
      </c>
      <c r="B33" s="7" t="s">
        <v>506</v>
      </c>
      <c r="C33" s="7" t="s">
        <v>507</v>
      </c>
      <c r="D33" s="7" t="s">
        <v>461</v>
      </c>
      <c r="E33" s="28" t="n">
        <f aca="false">E28</f>
        <v>16.99</v>
      </c>
      <c r="F33" s="16" t="n">
        <f aca="false">Assumptions!$C$35</f>
        <v>0.55</v>
      </c>
      <c r="G33" s="28" t="n">
        <v>0</v>
      </c>
      <c r="H33" s="36" t="n">
        <v>0</v>
      </c>
      <c r="I33" s="28" t="n">
        <v>0</v>
      </c>
      <c r="J33" s="36" t="n">
        <v>0</v>
      </c>
      <c r="K33" s="15" t="n">
        <f aca="false">Assumptions!$C$30+Assumptions!$C$32*Assumptions!$C$33</f>
        <v>1.984</v>
      </c>
      <c r="L33" s="28" t="n">
        <v>0</v>
      </c>
      <c r="M33" s="28" t="n">
        <f aca="false">E33*(1-F33-H33-J33)-G33-I33-K33-L33</f>
        <v>5.6615</v>
      </c>
      <c r="N33" s="36" t="n">
        <f aca="false">IF(E33=0,0,M33/E33)</f>
        <v>0.333225426721601</v>
      </c>
      <c r="O33" s="28" t="n">
        <v>0</v>
      </c>
      <c r="P33" s="21" t="n">
        <v>20</v>
      </c>
      <c r="Q33" s="7" t="s">
        <v>502</v>
      </c>
      <c r="R33" s="7" t="s">
        <v>508</v>
      </c>
    </row>
    <row r="34" customFormat="false" ht="15" hidden="false" customHeight="false" outlineLevel="0" collapsed="false">
      <c r="A34" s="7" t="s">
        <v>499</v>
      </c>
      <c r="B34" s="7" t="s">
        <v>509</v>
      </c>
      <c r="C34" s="7" t="s">
        <v>501</v>
      </c>
      <c r="D34" s="7" t="s">
        <v>461</v>
      </c>
      <c r="E34" s="28" t="n">
        <f aca="false">E30</f>
        <v>11.99</v>
      </c>
      <c r="F34" s="16" t="n">
        <f aca="false">Assumptions!$C$35</f>
        <v>0.55</v>
      </c>
      <c r="G34" s="28" t="n">
        <v>0</v>
      </c>
      <c r="H34" s="36" t="n">
        <v>0</v>
      </c>
      <c r="I34" s="28" t="n">
        <v>0</v>
      </c>
      <c r="J34" s="36" t="n">
        <v>0</v>
      </c>
      <c r="K34" s="15" t="n">
        <f aca="false">Assumptions!$C$37</f>
        <v>3.24</v>
      </c>
      <c r="L34" s="28" t="n">
        <v>0</v>
      </c>
      <c r="M34" s="28" t="n">
        <f aca="false">E34*(1-F34-H34-J34)-G34-I34-K34-L34</f>
        <v>2.1555</v>
      </c>
      <c r="N34" s="36" t="n">
        <f aca="false">IF(E34=0,0,M34/E34)</f>
        <v>0.17977481234362</v>
      </c>
      <c r="O34" s="28" t="n">
        <v>0</v>
      </c>
      <c r="P34" s="21" t="n">
        <v>20</v>
      </c>
      <c r="Q34" s="7" t="s">
        <v>502</v>
      </c>
      <c r="R34" s="7" t="s">
        <v>510</v>
      </c>
    </row>
    <row r="35" customFormat="false" ht="15" hidden="false" customHeight="false" outlineLevel="0" collapsed="false">
      <c r="A35" s="7" t="s">
        <v>511</v>
      </c>
      <c r="B35" s="7" t="s">
        <v>512</v>
      </c>
      <c r="C35" s="7" t="s">
        <v>513</v>
      </c>
      <c r="D35" s="7" t="s">
        <v>514</v>
      </c>
      <c r="E35" s="25" t="n">
        <v>27</v>
      </c>
      <c r="F35" s="36" t="n">
        <v>0</v>
      </c>
      <c r="G35" s="28" t="n">
        <v>0</v>
      </c>
      <c r="H35" s="16" t="n">
        <f aca="false">Assumptions!$C$21</f>
        <v>0.029</v>
      </c>
      <c r="I35" s="15" t="n">
        <f aca="false">Assumptions!$C$22</f>
        <v>0.3</v>
      </c>
      <c r="J35" s="16" t="n">
        <f aca="false">Assumptions!$C$13</f>
        <v>0.05</v>
      </c>
      <c r="K35" s="28" t="n">
        <v>0</v>
      </c>
      <c r="L35" s="28" t="n">
        <v>0</v>
      </c>
      <c r="M35" s="28" t="n">
        <f aca="false">E35*(1-F35-H35-J35)-G35-I35-K35-L35</f>
        <v>24.567</v>
      </c>
      <c r="N35" s="36" t="n">
        <f aca="false">IF(E35=0,0,M35/E35)</f>
        <v>0.909888888888889</v>
      </c>
      <c r="O35" s="28" t="n">
        <v>0</v>
      </c>
      <c r="P35" s="21" t="n">
        <v>70</v>
      </c>
      <c r="Q35" s="7" t="s">
        <v>462</v>
      </c>
      <c r="R35" s="7" t="s">
        <v>515</v>
      </c>
    </row>
    <row r="36" customFormat="false" ht="15" hidden="false" customHeight="false" outlineLevel="0" collapsed="false">
      <c r="A36" s="7" t="s">
        <v>511</v>
      </c>
      <c r="B36" s="7" t="s">
        <v>516</v>
      </c>
      <c r="C36" s="7" t="s">
        <v>513</v>
      </c>
      <c r="D36" s="7" t="s">
        <v>514</v>
      </c>
      <c r="E36" s="25" t="n">
        <v>49</v>
      </c>
      <c r="F36" s="36" t="n">
        <v>0</v>
      </c>
      <c r="G36" s="28" t="n">
        <v>0</v>
      </c>
      <c r="H36" s="16" t="n">
        <f aca="false">Assumptions!$C$21</f>
        <v>0.029</v>
      </c>
      <c r="I36" s="15" t="n">
        <f aca="false">Assumptions!$C$22</f>
        <v>0.3</v>
      </c>
      <c r="J36" s="16" t="n">
        <f aca="false">Assumptions!$C$13</f>
        <v>0.05</v>
      </c>
      <c r="K36" s="28" t="n">
        <v>0</v>
      </c>
      <c r="L36" s="28" t="n">
        <v>0</v>
      </c>
      <c r="M36" s="28" t="n">
        <f aca="false">E36*(1-F36-H36-J36)-G36-I36-K36-L36</f>
        <v>44.829</v>
      </c>
      <c r="N36" s="36" t="n">
        <f aca="false">IF(E36=0,0,M36/E36)</f>
        <v>0.914877551020408</v>
      </c>
      <c r="O36" s="28" t="n">
        <v>0</v>
      </c>
      <c r="P36" s="21" t="n">
        <v>30</v>
      </c>
      <c r="Q36" s="7" t="s">
        <v>462</v>
      </c>
      <c r="R36" s="7" t="s">
        <v>517</v>
      </c>
    </row>
    <row r="37" customFormat="false" ht="15" hidden="false" customHeight="false" outlineLevel="0" collapsed="false">
      <c r="A37" s="7" t="s">
        <v>518</v>
      </c>
      <c r="B37" s="7" t="s">
        <v>519</v>
      </c>
      <c r="C37" s="7" t="s">
        <v>520</v>
      </c>
      <c r="D37" s="7" t="s">
        <v>521</v>
      </c>
      <c r="E37" s="15" t="n">
        <f aca="false">Assumptions!$C$52</f>
        <v>12.99</v>
      </c>
      <c r="F37" s="36" t="n">
        <v>0</v>
      </c>
      <c r="G37" s="28" t="n">
        <v>0</v>
      </c>
      <c r="H37" s="16" t="n">
        <f aca="false">Assumptions!$C$21</f>
        <v>0.029</v>
      </c>
      <c r="I37" s="15" t="n">
        <f aca="false">Assumptions!$C$22</f>
        <v>0.3</v>
      </c>
      <c r="J37" s="16" t="n">
        <f aca="false">Assumptions!$C$12</f>
        <v>0.02</v>
      </c>
      <c r="K37" s="15" t="n">
        <f aca="false">Assumptions!$C$57</f>
        <v>3.625</v>
      </c>
      <c r="L37" s="15" t="n">
        <f aca="false">Assumptions!$C$58</f>
        <v>3.5</v>
      </c>
      <c r="M37" s="28" t="n">
        <f aca="false">E37*(1-F37-H37-J37)-G37-I37-K37-L37</f>
        <v>4.92849</v>
      </c>
      <c r="N37" s="36" t="n">
        <f aca="false">IF(E37=0,0,M37/E37)</f>
        <v>0.379406466512702</v>
      </c>
      <c r="O37" s="15" t="n">
        <f aca="false">Assumptions!$C$57</f>
        <v>3.625</v>
      </c>
      <c r="P37" s="21" t="n">
        <v>60</v>
      </c>
      <c r="Q37" s="7" t="s">
        <v>462</v>
      </c>
      <c r="R37" s="7" t="s">
        <v>522</v>
      </c>
    </row>
    <row r="38" customFormat="false" ht="15" hidden="false" customHeight="false" outlineLevel="0" collapsed="false">
      <c r="A38" s="7" t="s">
        <v>518</v>
      </c>
      <c r="B38" s="7" t="s">
        <v>519</v>
      </c>
      <c r="C38" s="7" t="s">
        <v>523</v>
      </c>
      <c r="D38" s="7" t="s">
        <v>521</v>
      </c>
      <c r="E38" s="15" t="n">
        <f aca="false">Assumptions!$C$52</f>
        <v>12.99</v>
      </c>
      <c r="F38" s="16" t="n">
        <f aca="false">Assumptions!$C$42</f>
        <v>0.15</v>
      </c>
      <c r="G38" s="28" t="n">
        <v>0</v>
      </c>
      <c r="H38" s="36" t="n">
        <v>0</v>
      </c>
      <c r="I38" s="28" t="n">
        <v>0</v>
      </c>
      <c r="J38" s="36" t="n">
        <v>0</v>
      </c>
      <c r="K38" s="15" t="n">
        <f aca="false">Assumptions!$C$57</f>
        <v>3.625</v>
      </c>
      <c r="L38" s="15" t="n">
        <f aca="false">Assumptions!$C$43</f>
        <v>3.5</v>
      </c>
      <c r="M38" s="28" t="n">
        <f aca="false">E38*(1-F38-H38-J38)-G38-I38-K38-L38</f>
        <v>3.9165</v>
      </c>
      <c r="N38" s="36" t="n">
        <f aca="false">IF(E38=0,0,M38/E38)</f>
        <v>0.301501154734411</v>
      </c>
      <c r="O38" s="15" t="n">
        <f aca="false">Assumptions!$C$57</f>
        <v>3.625</v>
      </c>
      <c r="P38" s="21" t="n">
        <v>40</v>
      </c>
      <c r="Q38" s="7" t="s">
        <v>524</v>
      </c>
      <c r="R38" s="7" t="s">
        <v>525</v>
      </c>
    </row>
    <row r="39" customFormat="false" ht="15" hidden="false" customHeight="false" outlineLevel="0" collapsed="false">
      <c r="A39" s="7" t="s">
        <v>526</v>
      </c>
      <c r="B39" s="7" t="s">
        <v>527</v>
      </c>
      <c r="C39" s="7" t="s">
        <v>528</v>
      </c>
      <c r="D39" s="7" t="s">
        <v>529</v>
      </c>
      <c r="E39" s="25" t="n">
        <v>5</v>
      </c>
      <c r="F39" s="16" t="n">
        <f aca="false">1-Assumptions!$C$40</f>
        <v>0.45</v>
      </c>
      <c r="G39" s="15" t="n">
        <f aca="false">Assumptions!$C$41</f>
        <v>0.3</v>
      </c>
      <c r="H39" s="36" t="n">
        <v>0</v>
      </c>
      <c r="I39" s="28" t="n">
        <v>0</v>
      </c>
      <c r="J39" s="36" t="n">
        <v>0</v>
      </c>
      <c r="K39" s="28" t="n">
        <v>0</v>
      </c>
      <c r="L39" s="28" t="n">
        <v>0</v>
      </c>
      <c r="M39" s="28" t="n">
        <f aca="false">E39*(1-F39-H39-J39)-G39-I39-K39-L39</f>
        <v>2.45</v>
      </c>
      <c r="N39" s="36" t="n">
        <f aca="false">IF(E39=0,0,M39/E39)</f>
        <v>0.49</v>
      </c>
      <c r="O39" s="28" t="n">
        <v>0</v>
      </c>
      <c r="P39" s="21" t="n">
        <v>40</v>
      </c>
      <c r="Q39" s="7" t="s">
        <v>530</v>
      </c>
      <c r="R39" s="7" t="s">
        <v>531</v>
      </c>
    </row>
    <row r="40" customFormat="false" ht="15" hidden="false" customHeight="false" outlineLevel="0" collapsed="false">
      <c r="A40" s="7" t="s">
        <v>526</v>
      </c>
      <c r="B40" s="7" t="s">
        <v>532</v>
      </c>
      <c r="C40" s="7" t="s">
        <v>528</v>
      </c>
      <c r="D40" s="7" t="s">
        <v>529</v>
      </c>
      <c r="E40" s="25" t="n">
        <v>22</v>
      </c>
      <c r="F40" s="16" t="n">
        <f aca="false">1-Assumptions!$C$40</f>
        <v>0.45</v>
      </c>
      <c r="G40" s="15" t="n">
        <f aca="false">Assumptions!$C$41</f>
        <v>0.3</v>
      </c>
      <c r="H40" s="36" t="n">
        <v>0</v>
      </c>
      <c r="I40" s="28" t="n">
        <v>0</v>
      </c>
      <c r="J40" s="36" t="n">
        <v>0</v>
      </c>
      <c r="K40" s="28" t="n">
        <v>0</v>
      </c>
      <c r="L40" s="28" t="n">
        <v>0</v>
      </c>
      <c r="M40" s="28" t="n">
        <f aca="false">E40*(1-F40-H40-J40)-G40-I40-K40-L40</f>
        <v>11.8</v>
      </c>
      <c r="N40" s="36" t="n">
        <f aca="false">IF(E40=0,0,M40/E40)</f>
        <v>0.536363636363636</v>
      </c>
      <c r="O40" s="28" t="n">
        <v>0</v>
      </c>
      <c r="P40" s="21" t="n">
        <v>20</v>
      </c>
      <c r="Q40" s="7" t="s">
        <v>530</v>
      </c>
      <c r="R40" s="7" t="s">
        <v>533</v>
      </c>
    </row>
    <row r="41" customFormat="false" ht="15" hidden="false" customHeight="false" outlineLevel="0" collapsed="false">
      <c r="A41" s="7" t="s">
        <v>526</v>
      </c>
      <c r="B41" s="7" t="s">
        <v>534</v>
      </c>
      <c r="C41" s="7" t="s">
        <v>535</v>
      </c>
      <c r="D41" s="7" t="s">
        <v>529</v>
      </c>
      <c r="E41" s="25" t="n">
        <v>29</v>
      </c>
      <c r="F41" s="36" t="n">
        <v>0</v>
      </c>
      <c r="G41" s="28" t="n">
        <v>0</v>
      </c>
      <c r="H41" s="16" t="n">
        <f aca="false">Assumptions!$C$21</f>
        <v>0.029</v>
      </c>
      <c r="I41" s="15" t="n">
        <f aca="false">Assumptions!$C$22</f>
        <v>0.3</v>
      </c>
      <c r="J41" s="36" t="n">
        <v>0</v>
      </c>
      <c r="K41" s="28" t="n">
        <v>0</v>
      </c>
      <c r="L41" s="28" t="n">
        <v>0</v>
      </c>
      <c r="M41" s="28" t="n">
        <f aca="false">E41*(1-F41-H41-J41)-G41-I41-K41-L41</f>
        <v>27.859</v>
      </c>
      <c r="N41" s="36" t="n">
        <f aca="false">IF(E41=0,0,M41/E41)</f>
        <v>0.960655172413793</v>
      </c>
      <c r="O41" s="28" t="n">
        <v>0</v>
      </c>
      <c r="P41" s="21" t="n">
        <v>20</v>
      </c>
      <c r="Q41" s="7" t="s">
        <v>536</v>
      </c>
      <c r="R41" s="7" t="s">
        <v>537</v>
      </c>
    </row>
    <row r="42" customFormat="false" ht="15" hidden="false" customHeight="false" outlineLevel="0" collapsed="false">
      <c r="A42" s="7" t="s">
        <v>526</v>
      </c>
      <c r="B42" s="7" t="s">
        <v>538</v>
      </c>
      <c r="C42" s="7" t="s">
        <v>539</v>
      </c>
      <c r="D42" s="7" t="s">
        <v>529</v>
      </c>
      <c r="E42" s="25" t="n">
        <v>129</v>
      </c>
      <c r="F42" s="36" t="n">
        <v>0</v>
      </c>
      <c r="G42" s="28" t="n">
        <v>0</v>
      </c>
      <c r="H42" s="16" t="n">
        <f aca="false">Assumptions!$C$21</f>
        <v>0.029</v>
      </c>
      <c r="I42" s="15" t="n">
        <f aca="false">Assumptions!$C$22</f>
        <v>0.3</v>
      </c>
      <c r="J42" s="36" t="n">
        <v>0</v>
      </c>
      <c r="K42" s="28" t="n">
        <v>0</v>
      </c>
      <c r="L42" s="28" t="n">
        <v>0</v>
      </c>
      <c r="M42" s="28" t="n">
        <f aca="false">E42*(1-F42-H42-J42)-G42-I42-K42-L42</f>
        <v>124.959</v>
      </c>
      <c r="N42" s="36" t="n">
        <f aca="false">IF(E42=0,0,M42/E42)</f>
        <v>0.968674418604651</v>
      </c>
      <c r="O42" s="28" t="n">
        <v>0</v>
      </c>
      <c r="P42" s="21" t="n">
        <v>15</v>
      </c>
      <c r="Q42" s="7" t="s">
        <v>536</v>
      </c>
      <c r="R42" s="7" t="s">
        <v>540</v>
      </c>
    </row>
    <row r="43" customFormat="false" ht="15" hidden="false" customHeight="false" outlineLevel="0" collapsed="false">
      <c r="A43" s="7" t="s">
        <v>526</v>
      </c>
      <c r="B43" s="7" t="s">
        <v>541</v>
      </c>
      <c r="C43" s="7" t="s">
        <v>539</v>
      </c>
      <c r="D43" s="7" t="s">
        <v>529</v>
      </c>
      <c r="E43" s="25" t="n">
        <v>249</v>
      </c>
      <c r="F43" s="36" t="n">
        <v>0</v>
      </c>
      <c r="G43" s="28" t="n">
        <v>0</v>
      </c>
      <c r="H43" s="16" t="n">
        <f aca="false">Assumptions!$C$21</f>
        <v>0.029</v>
      </c>
      <c r="I43" s="15" t="n">
        <f aca="false">Assumptions!$C$22</f>
        <v>0.3</v>
      </c>
      <c r="J43" s="36" t="n">
        <v>0</v>
      </c>
      <c r="K43" s="28" t="n">
        <v>0</v>
      </c>
      <c r="L43" s="28" t="n">
        <v>0</v>
      </c>
      <c r="M43" s="28" t="n">
        <f aca="false">E43*(1-F43-H43-J43)-G43-I43-K43-L43</f>
        <v>241.479</v>
      </c>
      <c r="N43" s="36" t="n">
        <f aca="false">IF(E43=0,0,M43/E43)</f>
        <v>0.969795180722892</v>
      </c>
      <c r="O43" s="28" t="n">
        <v>0</v>
      </c>
      <c r="P43" s="21" t="n">
        <v>5</v>
      </c>
      <c r="Q43" s="7" t="s">
        <v>536</v>
      </c>
      <c r="R43" s="7" t="s">
        <v>542</v>
      </c>
    </row>
    <row r="44" customFormat="false" ht="15" hidden="false" customHeight="false" outlineLevel="0" collapsed="false">
      <c r="A44" s="7" t="s">
        <v>543</v>
      </c>
      <c r="B44" s="7" t="s">
        <v>544</v>
      </c>
      <c r="C44" s="7" t="s">
        <v>545</v>
      </c>
      <c r="D44" s="7" t="s">
        <v>546</v>
      </c>
      <c r="E44" s="15" t="n">
        <f aca="false">Assumptions!$C$52*Assumptions!$C$46</f>
        <v>6.495</v>
      </c>
      <c r="F44" s="16" t="n">
        <f aca="false">Assumptions!$C$44</f>
        <v>0.15</v>
      </c>
      <c r="G44" s="28" t="n">
        <v>0</v>
      </c>
      <c r="H44" s="16" t="n">
        <f aca="false">Assumptions!$C$45</f>
        <v>0.03</v>
      </c>
      <c r="I44" s="28" t="n">
        <v>0</v>
      </c>
      <c r="J44" s="16" t="n">
        <f aca="false">Assumptions!$C$48</f>
        <v>0.05</v>
      </c>
      <c r="K44" s="15" t="n">
        <f aca="false">Assumptions!$C$57</f>
        <v>3.625</v>
      </c>
      <c r="L44" s="15" t="n">
        <f aca="false">Assumptions!$C$59</f>
        <v>1</v>
      </c>
      <c r="M44" s="28" t="n">
        <f aca="false">E44*(1-F44-H44-J44)-G44-I44-K44-L44</f>
        <v>0.376149999999999</v>
      </c>
      <c r="N44" s="36" t="n">
        <f aca="false">IF(E44=0,0,M44/E44)</f>
        <v>0.0579137798306387</v>
      </c>
      <c r="O44" s="15" t="n">
        <f aca="false">Assumptions!$C$57</f>
        <v>3.625</v>
      </c>
      <c r="P44" s="21" t="n">
        <v>50</v>
      </c>
      <c r="Q44" s="7" t="s">
        <v>547</v>
      </c>
      <c r="R44" s="7" t="s">
        <v>548</v>
      </c>
    </row>
    <row r="45" customFormat="false" ht="15" hidden="false" customHeight="false" outlineLevel="0" collapsed="false">
      <c r="A45" s="7" t="s">
        <v>543</v>
      </c>
      <c r="B45" s="7" t="s">
        <v>519</v>
      </c>
      <c r="C45" s="7" t="s">
        <v>549</v>
      </c>
      <c r="D45" s="7" t="s">
        <v>546</v>
      </c>
      <c r="E45" s="15" t="n">
        <f aca="false">Assumptions!$C$52</f>
        <v>12.99</v>
      </c>
      <c r="F45" s="16" t="n">
        <f aca="false">Assumptions!$C$47</f>
        <v>0.15</v>
      </c>
      <c r="G45" s="28" t="n">
        <v>0</v>
      </c>
      <c r="H45" s="36" t="n">
        <v>0</v>
      </c>
      <c r="I45" s="28" t="n">
        <v>0</v>
      </c>
      <c r="J45" s="16" t="n">
        <f aca="false">Assumptions!$C$48</f>
        <v>0.05</v>
      </c>
      <c r="K45" s="15" t="n">
        <f aca="false">Assumptions!$C$57</f>
        <v>3.625</v>
      </c>
      <c r="L45" s="15" t="n">
        <f aca="false">Assumptions!$C$58</f>
        <v>3.5</v>
      </c>
      <c r="M45" s="28" t="n">
        <f aca="false">E45*(1-F45-H45-J45)-G45-I45-K45-L45</f>
        <v>3.267</v>
      </c>
      <c r="N45" s="36" t="n">
        <f aca="false">IF(E45=0,0,M45/E45)</f>
        <v>0.251501154734411</v>
      </c>
      <c r="O45" s="15" t="n">
        <f aca="false">Assumptions!$C$57</f>
        <v>3.625</v>
      </c>
      <c r="P45" s="21" t="n">
        <v>25</v>
      </c>
      <c r="Q45" s="7" t="s">
        <v>550</v>
      </c>
      <c r="R45" s="7" t="s">
        <v>551</v>
      </c>
    </row>
    <row r="46" customFormat="false" ht="15" hidden="false" customHeight="false" outlineLevel="0" collapsed="false">
      <c r="A46" s="7" t="s">
        <v>543</v>
      </c>
      <c r="B46" s="7" t="s">
        <v>519</v>
      </c>
      <c r="C46" s="7" t="s">
        <v>552</v>
      </c>
      <c r="D46" s="7" t="s">
        <v>546</v>
      </c>
      <c r="E46" s="15" t="n">
        <f aca="false">Assumptions!$C$52</f>
        <v>12.99</v>
      </c>
      <c r="F46" s="16" t="n">
        <f aca="false">Assumptions!$C$47</f>
        <v>0.15</v>
      </c>
      <c r="G46" s="28" t="n">
        <v>0</v>
      </c>
      <c r="H46" s="36" t="n">
        <v>0</v>
      </c>
      <c r="I46" s="28" t="n">
        <v>0</v>
      </c>
      <c r="J46" s="16" t="n">
        <f aca="false">Assumptions!$C$48</f>
        <v>0.05</v>
      </c>
      <c r="K46" s="15" t="n">
        <f aca="false">Assumptions!$C$57</f>
        <v>3.625</v>
      </c>
      <c r="L46" s="15" t="n">
        <f aca="false">Assumptions!$C$58</f>
        <v>3.5</v>
      </c>
      <c r="M46" s="28" t="n">
        <f aca="false">E46*(1-F46-H46-J46)-G46-I46-K46-L46</f>
        <v>3.267</v>
      </c>
      <c r="N46" s="36" t="n">
        <f aca="false">IF(E46=0,0,M46/E46)</f>
        <v>0.251501154734411</v>
      </c>
      <c r="O46" s="15" t="n">
        <f aca="false">Assumptions!$C$57</f>
        <v>3.625</v>
      </c>
      <c r="P46" s="21" t="n">
        <v>25</v>
      </c>
      <c r="Q46" s="7" t="s">
        <v>550</v>
      </c>
      <c r="R46" s="7" t="s">
        <v>553</v>
      </c>
    </row>
    <row r="48" customFormat="false" ht="15" hidden="false" customHeight="false" outlineLevel="0" collapsed="false">
      <c r="A48" s="5" t="s">
        <v>554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customFormat="false" ht="31.5" hidden="false" customHeight="true" outlineLevel="0" collapsed="false">
      <c r="A49" s="3" t="s">
        <v>440</v>
      </c>
      <c r="B49" s="4" t="s">
        <v>555</v>
      </c>
      <c r="C49" s="4"/>
      <c r="D49" s="4"/>
      <c r="E49" s="4" t="s">
        <v>556</v>
      </c>
      <c r="F49" s="4" t="s">
        <v>557</v>
      </c>
      <c r="G49" s="4" t="s">
        <v>453</v>
      </c>
      <c r="H49" s="4" t="s">
        <v>558</v>
      </c>
      <c r="I49" s="4" t="s">
        <v>559</v>
      </c>
    </row>
    <row r="50" customFormat="false" ht="15" hidden="false" customHeight="false" outlineLevel="0" collapsed="false">
      <c r="A50" s="10" t="s">
        <v>458</v>
      </c>
      <c r="B50" s="7" t="s">
        <v>560</v>
      </c>
      <c r="E50" s="28" t="n">
        <f aca="false">SUMPRODUCT(--($A$6:$A$46=$A50),$E$6:$E$46,$P$6:$P$46)/SUMIF($A$6:$A$46,$A50,$P$6:$P$46)</f>
        <v>9.1269</v>
      </c>
      <c r="F50" s="28" t="n">
        <f aca="false">SUMPRODUCT(--($A$6:$A$46=$A50),$M$6:$M$46,$P$6:$P$46)/SUMIF($A$6:$A$46,$A50,$P$6:$P$46)</f>
        <v>8.1296819</v>
      </c>
      <c r="G50" s="36" t="n">
        <f aca="false">IF(E50=0,0,F50/E50)</f>
        <v>0.890738574981648</v>
      </c>
      <c r="H50" s="28" t="n">
        <f aca="false">SUMPRODUCT(--($A$6:$A$46=$A50),$O$6:$O$46,$P$6:$P$46)/SUMIF($A$6:$A$46,$A50,$P$6:$P$46)</f>
        <v>0</v>
      </c>
      <c r="I50" s="37" t="n">
        <f aca="false">Assumptions!$C$69</f>
        <v>0</v>
      </c>
    </row>
    <row r="51" customFormat="false" ht="15" hidden="false" customHeight="false" outlineLevel="0" collapsed="false">
      <c r="A51" s="10" t="s">
        <v>481</v>
      </c>
      <c r="B51" s="7" t="s">
        <v>561</v>
      </c>
      <c r="E51" s="28" t="n">
        <f aca="false">SUMPRODUCT(--($A$6:$A$46=$A51),$E$6:$E$46,$P$6:$P$46)/SUMIF($A$6:$A$46,$A51,$P$6:$P$46)</f>
        <v>8.76214285714286</v>
      </c>
      <c r="F51" s="28" t="n">
        <f aca="false">SUMPRODUCT(--($A$6:$A$46=$A51),$M$6:$M$46,$P$6:$P$46)/SUMIF($A$6:$A$46,$A51,$P$6:$P$46)</f>
        <v>7.17306428571429</v>
      </c>
      <c r="G51" s="36" t="n">
        <f aca="false">IF(E51=0,0,F51/E51)</f>
        <v>0.818642699926633</v>
      </c>
      <c r="H51" s="28" t="n">
        <f aca="false">SUMPRODUCT(--($A$6:$A$46=$A51),$O$6:$O$46,$P$6:$P$46)/SUMIF($A$6:$A$46,$A51,$P$6:$P$46)</f>
        <v>0</v>
      </c>
      <c r="I51" s="37" t="n">
        <f aca="false">Assumptions!$C$70</f>
        <v>0</v>
      </c>
    </row>
    <row r="52" customFormat="false" ht="15" hidden="false" customHeight="false" outlineLevel="0" collapsed="false">
      <c r="A52" s="10" t="s">
        <v>490</v>
      </c>
      <c r="B52" s="7" t="s">
        <v>562</v>
      </c>
      <c r="E52" s="28" t="n">
        <f aca="false">SUMPRODUCT(--($A$6:$A$46=$A52),$E$6:$E$46,$P$6:$P$46)/SUMIF($A$6:$A$46,$A52,$P$6:$P$46)</f>
        <v>14.49</v>
      </c>
      <c r="F52" s="28" t="n">
        <f aca="false">SUMPRODUCT(--($A$6:$A$46=$A52),$M$6:$M$46,$P$6:$P$46)/SUMIF($A$6:$A$46,$A52,$P$6:$P$46)</f>
        <v>6.082</v>
      </c>
      <c r="G52" s="36" t="n">
        <f aca="false">IF(E52=0,0,F52/E52)</f>
        <v>0.419737750172533</v>
      </c>
      <c r="H52" s="28" t="n">
        <f aca="false">SUMPRODUCT(--($A$6:$A$46=$A52),$O$6:$O$46,$P$6:$P$46)/SUMIF($A$6:$A$46,$A52,$P$6:$P$46)</f>
        <v>0</v>
      </c>
      <c r="I52" s="37" t="n">
        <f aca="false">Assumptions!$C$71</f>
        <v>2</v>
      </c>
    </row>
    <row r="53" customFormat="false" ht="15" hidden="false" customHeight="false" outlineLevel="0" collapsed="false">
      <c r="A53" s="10" t="s">
        <v>499</v>
      </c>
      <c r="B53" s="7" t="s">
        <v>563</v>
      </c>
      <c r="E53" s="28" t="n">
        <f aca="false">SUMPRODUCT(--($A$6:$A$46=$A53),$E$6:$E$46,$P$6:$P$46)/SUMIF($A$6:$A$46,$A53,$P$6:$P$46)</f>
        <v>17.79</v>
      </c>
      <c r="F53" s="28" t="n">
        <f aca="false">SUMPRODUCT(--($A$6:$A$46=$A53),$M$6:$M$46,$P$6:$P$46)/SUMIF($A$6:$A$46,$A53,$P$6:$P$46)</f>
        <v>1.8607</v>
      </c>
      <c r="G53" s="36" t="n">
        <f aca="false">IF(E53=0,0,F53/E53)</f>
        <v>0.104592467678471</v>
      </c>
      <c r="H53" s="28" t="n">
        <f aca="false">SUMPRODUCT(--($A$6:$A$46=$A53),$O$6:$O$46,$P$6:$P$46)/SUMIF($A$6:$A$46,$A53,$P$6:$P$46)</f>
        <v>0</v>
      </c>
      <c r="I53" s="37" t="n">
        <f aca="false">Assumptions!$C$72</f>
        <v>3</v>
      </c>
    </row>
    <row r="54" customFormat="false" ht="15" hidden="false" customHeight="false" outlineLevel="0" collapsed="false">
      <c r="A54" s="10" t="s">
        <v>485</v>
      </c>
      <c r="B54" s="7" t="s">
        <v>564</v>
      </c>
      <c r="E54" s="28" t="n">
        <f aca="false">SUMPRODUCT(--($A$6:$A$46=$A54),$E$6:$E$46,$P$6:$P$46)/SUMIF($A$6:$A$46,$A54,$P$6:$P$46)</f>
        <v>9.04227272727273</v>
      </c>
      <c r="F54" s="28" t="n">
        <f aca="false">SUMPRODUCT(--($A$6:$A$46=$A54),$M$6:$M$46,$P$6:$P$46)/SUMIF($A$6:$A$46,$A54,$P$6:$P$46)</f>
        <v>7.4572</v>
      </c>
      <c r="G54" s="36" t="n">
        <f aca="false">IF(E54=0,0,F54/E54)</f>
        <v>0.824704167295028</v>
      </c>
      <c r="H54" s="28" t="n">
        <f aca="false">SUMPRODUCT(--($A$6:$A$46=$A54),$O$6:$O$46,$P$6:$P$46)/SUMIF($A$6:$A$46,$A54,$P$6:$P$46)</f>
        <v>0</v>
      </c>
      <c r="I54" s="37" t="n">
        <f aca="false">Assumptions!$C$73</f>
        <v>0</v>
      </c>
    </row>
    <row r="55" customFormat="false" ht="15" hidden="false" customHeight="false" outlineLevel="0" collapsed="false">
      <c r="A55" s="10" t="s">
        <v>511</v>
      </c>
      <c r="B55" s="7" t="s">
        <v>565</v>
      </c>
      <c r="E55" s="28" t="n">
        <f aca="false">SUMPRODUCT(--($A$6:$A$46=$A55),$E$6:$E$46,$P$6:$P$46)/SUMIF($A$6:$A$46,$A55,$P$6:$P$46)</f>
        <v>33.6</v>
      </c>
      <c r="F55" s="28" t="n">
        <f aca="false">SUMPRODUCT(--($A$6:$A$46=$A55),$M$6:$M$46,$P$6:$P$46)/SUMIF($A$6:$A$46,$A55,$P$6:$P$46)</f>
        <v>30.6456</v>
      </c>
      <c r="G55" s="36" t="n">
        <f aca="false">IF(E55=0,0,F55/E55)</f>
        <v>0.912071428571429</v>
      </c>
      <c r="H55" s="28" t="n">
        <f aca="false">SUMPRODUCT(--($A$6:$A$46=$A55),$O$6:$O$46,$P$6:$P$46)/SUMIF($A$6:$A$46,$A55,$P$6:$P$46)</f>
        <v>0</v>
      </c>
      <c r="I55" s="37" t="n">
        <f aca="false">Assumptions!$C$74</f>
        <v>0</v>
      </c>
    </row>
    <row r="56" customFormat="false" ht="15" hidden="false" customHeight="false" outlineLevel="0" collapsed="false">
      <c r="A56" s="10" t="s">
        <v>518</v>
      </c>
      <c r="B56" s="7" t="s">
        <v>566</v>
      </c>
      <c r="E56" s="28" t="n">
        <f aca="false">SUMPRODUCT(--($A$6:$A$46=$A56),$E$6:$E$46,$P$6:$P$46)/SUMIF($A$6:$A$46,$A56,$P$6:$P$46)</f>
        <v>12.99</v>
      </c>
      <c r="F56" s="28" t="n">
        <f aca="false">SUMPRODUCT(--($A$6:$A$46=$A56),$M$6:$M$46,$P$6:$P$46)/SUMIF($A$6:$A$46,$A56,$P$6:$P$46)</f>
        <v>4.523694</v>
      </c>
      <c r="G56" s="36" t="n">
        <f aca="false">IF(E56=0,0,F56/E56)</f>
        <v>0.348244341801386</v>
      </c>
      <c r="H56" s="28" t="n">
        <f aca="false">SUMPRODUCT(--($A$6:$A$46=$A56),$O$6:$O$46,$P$6:$P$46)/SUMIF($A$6:$A$46,$A56,$P$6:$P$46)</f>
        <v>3.625</v>
      </c>
      <c r="I56" s="37" t="n">
        <f aca="false">Assumptions!$C$75</f>
        <v>0</v>
      </c>
    </row>
    <row r="57" customFormat="false" ht="15" hidden="false" customHeight="false" outlineLevel="0" collapsed="false">
      <c r="A57" s="10" t="s">
        <v>526</v>
      </c>
      <c r="B57" s="7" t="s">
        <v>567</v>
      </c>
      <c r="E57" s="28" t="n">
        <f aca="false">SUMPRODUCT(--($A$6:$A$46=$A57),$E$6:$E$46,$P$6:$P$46)/SUMIF($A$6:$A$46,$A57,$P$6:$P$46)</f>
        <v>44</v>
      </c>
      <c r="F57" s="28" t="n">
        <f aca="false">SUMPRODUCT(--($A$6:$A$46=$A57),$M$6:$M$46,$P$6:$P$46)/SUMIF($A$6:$A$46,$A57,$P$6:$P$46)</f>
        <v>39.7296</v>
      </c>
      <c r="G57" s="36" t="n">
        <f aca="false">IF(E57=0,0,F57/E57)</f>
        <v>0.902945454545455</v>
      </c>
      <c r="H57" s="28" t="n">
        <f aca="false">SUMPRODUCT(--($A$6:$A$46=$A57),$O$6:$O$46,$P$6:$P$46)/SUMIF($A$6:$A$46,$A57,$P$6:$P$46)</f>
        <v>0</v>
      </c>
      <c r="I57" s="37" t="n">
        <f aca="false">Assumptions!$C$76</f>
        <v>1</v>
      </c>
    </row>
    <row r="58" customFormat="false" ht="15" hidden="false" customHeight="false" outlineLevel="0" collapsed="false">
      <c r="A58" s="10" t="s">
        <v>543</v>
      </c>
      <c r="B58" s="7" t="s">
        <v>568</v>
      </c>
      <c r="E58" s="28" t="n">
        <f aca="false">SUMPRODUCT(--($A$6:$A$46=$A58),$E$6:$E$46,$P$6:$P$46)/SUMIF($A$6:$A$46,$A58,$P$6:$P$46)</f>
        <v>9.7425</v>
      </c>
      <c r="F58" s="28" t="n">
        <f aca="false">SUMPRODUCT(--($A$6:$A$46=$A58),$M$6:$M$46,$P$6:$P$46)/SUMIF($A$6:$A$46,$A58,$P$6:$P$46)</f>
        <v>1.821575</v>
      </c>
      <c r="G58" s="36" t="n">
        <f aca="false">IF(E58=0,0,F58/E58)</f>
        <v>0.186972029766487</v>
      </c>
      <c r="H58" s="28" t="n">
        <f aca="false">SUMPRODUCT(--($A$6:$A$46=$A58),$O$6:$O$46,$P$6:$P$46)/SUMIF($A$6:$A$46,$A58,$P$6:$P$46)</f>
        <v>3.625</v>
      </c>
      <c r="I58" s="37" t="n">
        <f aca="false">Assumptions!$C$77</f>
        <v>1</v>
      </c>
    </row>
    <row r="60" customFormat="false" ht="15" hidden="false" customHeight="false" outlineLevel="0" collapsed="false">
      <c r="A60" s="10" t="s">
        <v>569</v>
      </c>
    </row>
    <row r="61" customFormat="false" ht="15" hidden="false" customHeight="false" outlineLevel="0" collapsed="false">
      <c r="A61" s="9" t="s">
        <v>570</v>
      </c>
    </row>
    <row r="62" customFormat="false" ht="15" hidden="false" customHeight="false" outlineLevel="0" collapsed="false">
      <c r="A62" s="9" t="s">
        <v>571</v>
      </c>
    </row>
    <row r="63" customFormat="false" ht="15" hidden="false" customHeight="false" outlineLevel="0" collapsed="false">
      <c r="A63" s="9" t="s">
        <v>572</v>
      </c>
    </row>
    <row r="64" customFormat="false" ht="15" hidden="false" customHeight="false" outlineLevel="0" collapsed="false">
      <c r="A64" s="9" t="s">
        <v>573</v>
      </c>
    </row>
    <row r="65" customFormat="false" ht="15" hidden="false" customHeight="false" outlineLevel="0" collapsed="false">
      <c r="A65" s="9" t="s">
        <v>574</v>
      </c>
    </row>
  </sheetData>
  <mergeCells count="1">
    <mergeCell ref="A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5" min="3" style="0" width="11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62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7" t="s">
        <v>575</v>
      </c>
    </row>
    <row r="2" customFormat="false" ht="27.75" hidden="false" customHeight="true" outlineLevel="0" collapsed="false">
      <c r="A2" s="2" t="s">
        <v>576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5" customFormat="false" ht="31.5" hidden="false" customHeight="true" outlineLevel="0" collapsed="false">
      <c r="A5" s="3" t="s">
        <v>577</v>
      </c>
      <c r="B5" s="4" t="s">
        <v>578</v>
      </c>
      <c r="C5" s="4" t="s">
        <v>579</v>
      </c>
      <c r="D5" s="4" t="s">
        <v>580</v>
      </c>
      <c r="E5" s="4" t="s">
        <v>581</v>
      </c>
      <c r="F5" s="4" t="s">
        <v>582</v>
      </c>
      <c r="G5" s="4" t="s">
        <v>583</v>
      </c>
      <c r="H5" s="4" t="s">
        <v>584</v>
      </c>
      <c r="I5" s="4" t="s">
        <v>59</v>
      </c>
    </row>
    <row r="6" customFormat="false" ht="15" hidden="false" customHeight="false" outlineLevel="0" collapsed="false">
      <c r="A6" s="7" t="s">
        <v>585</v>
      </c>
      <c r="B6" s="7" t="s">
        <v>586</v>
      </c>
      <c r="C6" s="23" t="n">
        <v>25</v>
      </c>
      <c r="D6" s="23" t="n">
        <v>50</v>
      </c>
      <c r="E6" s="8" t="n">
        <f aca="false">C6+Assumptions!$C$9*(D6-C6)</f>
        <v>37.5</v>
      </c>
      <c r="F6" s="21" t="n">
        <v>1</v>
      </c>
      <c r="G6" s="21" t="n">
        <v>1</v>
      </c>
      <c r="H6" s="7" t="s">
        <v>587</v>
      </c>
      <c r="I6" s="7" t="s">
        <v>65</v>
      </c>
    </row>
    <row r="7" customFormat="false" ht="15" hidden="false" customHeight="false" outlineLevel="0" collapsed="false">
      <c r="A7" s="7" t="s">
        <v>588</v>
      </c>
      <c r="B7" s="7" t="s">
        <v>586</v>
      </c>
      <c r="C7" s="23" t="n">
        <v>25</v>
      </c>
      <c r="D7" s="23" t="n">
        <v>50</v>
      </c>
      <c r="E7" s="8" t="n">
        <f aca="false">C7+Assumptions!$C$9*(D7-C7)</f>
        <v>37.5</v>
      </c>
      <c r="F7" s="21" t="n">
        <v>1</v>
      </c>
      <c r="G7" s="21" t="n">
        <v>1</v>
      </c>
      <c r="H7" s="7" t="s">
        <v>589</v>
      </c>
      <c r="I7" s="7" t="s">
        <v>65</v>
      </c>
    </row>
    <row r="8" customFormat="false" ht="15" hidden="false" customHeight="false" outlineLevel="0" collapsed="false">
      <c r="A8" s="7" t="s">
        <v>590</v>
      </c>
      <c r="B8" s="7" t="s">
        <v>591</v>
      </c>
      <c r="C8" s="23" t="n">
        <v>6</v>
      </c>
      <c r="D8" s="23" t="n">
        <v>6</v>
      </c>
      <c r="E8" s="8" t="n">
        <f aca="false">C8+Assumptions!$C$9*(D8-C8)</f>
        <v>6</v>
      </c>
      <c r="F8" s="21" t="n">
        <v>1</v>
      </c>
      <c r="G8" s="21" t="n">
        <v>1</v>
      </c>
      <c r="H8" s="7" t="s">
        <v>592</v>
      </c>
      <c r="I8" s="7" t="s">
        <v>65</v>
      </c>
    </row>
    <row r="9" customFormat="false" ht="15" hidden="false" customHeight="false" outlineLevel="0" collapsed="false">
      <c r="A9" s="7" t="s">
        <v>593</v>
      </c>
      <c r="B9" s="7" t="s">
        <v>594</v>
      </c>
      <c r="C9" s="23" t="n">
        <v>0</v>
      </c>
      <c r="D9" s="23" t="n">
        <v>15</v>
      </c>
      <c r="E9" s="8" t="n">
        <f aca="false">C9+Assumptions!$C$9*(D9-C9)</f>
        <v>7.5</v>
      </c>
      <c r="F9" s="21" t="n">
        <v>1</v>
      </c>
      <c r="G9" s="21" t="n">
        <v>1</v>
      </c>
      <c r="H9" s="7" t="s">
        <v>595</v>
      </c>
      <c r="I9" s="7" t="s">
        <v>79</v>
      </c>
    </row>
    <row r="10" customFormat="false" ht="15" hidden="false" customHeight="false" outlineLevel="0" collapsed="false">
      <c r="A10" s="7" t="s">
        <v>596</v>
      </c>
      <c r="B10" s="7" t="s">
        <v>597</v>
      </c>
      <c r="C10" s="23" t="n">
        <v>295</v>
      </c>
      <c r="D10" s="23" t="n">
        <v>295</v>
      </c>
      <c r="E10" s="8" t="n">
        <f aca="false">C10+Assumptions!$C$9*(D10-C10)</f>
        <v>295</v>
      </c>
      <c r="F10" s="21" t="n">
        <v>1</v>
      </c>
      <c r="G10" s="21" t="n">
        <v>1</v>
      </c>
      <c r="H10" s="7" t="s">
        <v>598</v>
      </c>
      <c r="I10" s="7" t="s">
        <v>79</v>
      </c>
    </row>
    <row r="11" customFormat="false" ht="15" hidden="false" customHeight="false" outlineLevel="0" collapsed="false">
      <c r="A11" s="7" t="s">
        <v>599</v>
      </c>
      <c r="B11" s="7" t="s">
        <v>591</v>
      </c>
      <c r="C11" s="23" t="n">
        <v>500</v>
      </c>
      <c r="D11" s="23" t="n">
        <v>2500</v>
      </c>
      <c r="E11" s="8" t="n">
        <f aca="false">C11+Assumptions!$C$9*(D11-C11)</f>
        <v>1500</v>
      </c>
      <c r="F11" s="21" t="n">
        <v>1</v>
      </c>
      <c r="G11" s="21" t="n">
        <v>1</v>
      </c>
      <c r="H11" s="7" t="s">
        <v>600</v>
      </c>
      <c r="I11" s="7" t="s">
        <v>79</v>
      </c>
    </row>
    <row r="12" customFormat="false" ht="15" hidden="false" customHeight="false" outlineLevel="0" collapsed="false">
      <c r="A12" s="7" t="s">
        <v>601</v>
      </c>
      <c r="B12" s="7" t="s">
        <v>591</v>
      </c>
      <c r="C12" s="23" t="n">
        <v>700</v>
      </c>
      <c r="D12" s="23" t="n">
        <v>700</v>
      </c>
      <c r="E12" s="8" t="n">
        <f aca="false">C12+Assumptions!$C$9*(D12-C12)</f>
        <v>700</v>
      </c>
      <c r="F12" s="21" t="n">
        <v>2</v>
      </c>
      <c r="G12" s="21" t="n">
        <v>1</v>
      </c>
      <c r="H12" s="7" t="s">
        <v>602</v>
      </c>
      <c r="I12" s="7" t="s">
        <v>65</v>
      </c>
    </row>
    <row r="13" customFormat="false" ht="15" hidden="false" customHeight="false" outlineLevel="0" collapsed="false">
      <c r="A13" s="7" t="s">
        <v>603</v>
      </c>
      <c r="B13" s="7" t="s">
        <v>591</v>
      </c>
      <c r="C13" s="23" t="n">
        <v>150</v>
      </c>
      <c r="D13" s="23" t="n">
        <v>625</v>
      </c>
      <c r="E13" s="8" t="n">
        <f aca="false">C13+Assumptions!$C$9*(D13-C13)</f>
        <v>387.5</v>
      </c>
      <c r="F13" s="21" t="n">
        <v>5</v>
      </c>
      <c r="G13" s="21" t="n">
        <v>1</v>
      </c>
      <c r="H13" s="7" t="s">
        <v>604</v>
      </c>
      <c r="I13" s="7" t="s">
        <v>65</v>
      </c>
    </row>
    <row r="14" customFormat="false" ht="15" hidden="false" customHeight="false" outlineLevel="0" collapsed="false">
      <c r="A14" s="7" t="s">
        <v>605</v>
      </c>
      <c r="B14" s="7" t="s">
        <v>591</v>
      </c>
      <c r="C14" s="23" t="n">
        <v>300</v>
      </c>
      <c r="D14" s="23" t="n">
        <v>1000</v>
      </c>
      <c r="E14" s="8" t="n">
        <f aca="false">C14+Assumptions!$C$9*(D14-C14)</f>
        <v>650</v>
      </c>
      <c r="F14" s="21" t="n">
        <v>4</v>
      </c>
      <c r="G14" s="21" t="n">
        <v>1</v>
      </c>
      <c r="H14" s="7" t="s">
        <v>606</v>
      </c>
      <c r="I14" s="7" t="s">
        <v>65</v>
      </c>
    </row>
    <row r="15" customFormat="false" ht="15" hidden="false" customHeight="false" outlineLevel="0" collapsed="false">
      <c r="A15" s="7" t="s">
        <v>607</v>
      </c>
      <c r="B15" s="7" t="s">
        <v>591</v>
      </c>
      <c r="C15" s="23" t="n">
        <v>360</v>
      </c>
      <c r="D15" s="23" t="n">
        <v>680</v>
      </c>
      <c r="E15" s="8" t="n">
        <f aca="false">C15+Assumptions!$C$9*(D15-C15)</f>
        <v>520</v>
      </c>
      <c r="F15" s="21" t="n">
        <v>2</v>
      </c>
      <c r="G15" s="21" t="n">
        <v>1</v>
      </c>
      <c r="H15" s="7" t="s">
        <v>608</v>
      </c>
      <c r="I15" s="7" t="s">
        <v>65</v>
      </c>
    </row>
    <row r="16" customFormat="false" ht="15" hidden="false" customHeight="false" outlineLevel="0" collapsed="false">
      <c r="A16" s="7" t="s">
        <v>609</v>
      </c>
      <c r="B16" s="7" t="s">
        <v>586</v>
      </c>
      <c r="C16" s="23" t="n">
        <v>500</v>
      </c>
      <c r="D16" s="23" t="n">
        <v>2000</v>
      </c>
      <c r="E16" s="8" t="n">
        <f aca="false">C16+Assumptions!$C$9*(D16-C16)</f>
        <v>1250</v>
      </c>
      <c r="F16" s="21" t="n">
        <v>3</v>
      </c>
      <c r="G16" s="21" t="n">
        <v>1</v>
      </c>
      <c r="H16" s="7" t="s">
        <v>610</v>
      </c>
      <c r="I16" s="7" t="s">
        <v>79</v>
      </c>
    </row>
    <row r="17" customFormat="false" ht="15" hidden="false" customHeight="false" outlineLevel="0" collapsed="false">
      <c r="A17" s="7" t="s">
        <v>611</v>
      </c>
      <c r="B17" s="7" t="s">
        <v>612</v>
      </c>
      <c r="C17" s="23" t="n">
        <v>500</v>
      </c>
      <c r="D17" s="23" t="n">
        <v>2500</v>
      </c>
      <c r="E17" s="8" t="n">
        <f aca="false">C17+Assumptions!$C$9*(D17-C17)</f>
        <v>1500</v>
      </c>
      <c r="F17" s="21" t="n">
        <v>1</v>
      </c>
      <c r="G17" s="21" t="n">
        <v>1</v>
      </c>
      <c r="H17" s="7" t="s">
        <v>613</v>
      </c>
      <c r="I17" s="7" t="s">
        <v>79</v>
      </c>
    </row>
    <row r="18" customFormat="false" ht="15" hidden="false" customHeight="false" outlineLevel="0" collapsed="false">
      <c r="A18" s="7" t="s">
        <v>614</v>
      </c>
      <c r="B18" s="7" t="s">
        <v>612</v>
      </c>
      <c r="C18" s="23" t="n">
        <v>300</v>
      </c>
      <c r="D18" s="23" t="n">
        <v>1000</v>
      </c>
      <c r="E18" s="8" t="n">
        <f aca="false">C18+Assumptions!$C$9*(D18-C18)</f>
        <v>650</v>
      </c>
      <c r="F18" s="21" t="n">
        <v>5</v>
      </c>
      <c r="G18" s="21" t="n">
        <v>1</v>
      </c>
      <c r="H18" s="7" t="s">
        <v>615</v>
      </c>
      <c r="I18" s="7" t="s">
        <v>79</v>
      </c>
    </row>
    <row r="19" customFormat="false" ht="15" hidden="false" customHeight="false" outlineLevel="0" collapsed="false">
      <c r="A19" s="7" t="s">
        <v>616</v>
      </c>
      <c r="B19" s="7" t="s">
        <v>612</v>
      </c>
      <c r="C19" s="23" t="n">
        <v>0</v>
      </c>
      <c r="D19" s="23" t="n">
        <v>300</v>
      </c>
      <c r="E19" s="8" t="n">
        <f aca="false">C19+Assumptions!$C$9*(D19-C19)</f>
        <v>150</v>
      </c>
      <c r="F19" s="21" t="n">
        <v>1</v>
      </c>
      <c r="G19" s="21" t="n">
        <v>1</v>
      </c>
      <c r="H19" s="7" t="s">
        <v>615</v>
      </c>
      <c r="I19" s="7" t="s">
        <v>79</v>
      </c>
    </row>
    <row r="20" customFormat="false" ht="15" hidden="false" customHeight="false" outlineLevel="0" collapsed="false">
      <c r="A20" s="7" t="s">
        <v>617</v>
      </c>
      <c r="B20" s="7" t="s">
        <v>586</v>
      </c>
      <c r="C20" s="23" t="n">
        <v>500</v>
      </c>
      <c r="D20" s="23" t="n">
        <v>1500</v>
      </c>
      <c r="E20" s="8" t="n">
        <f aca="false">C20+Assumptions!$C$9*(D20-C20)</f>
        <v>1000</v>
      </c>
      <c r="F20" s="21" t="n">
        <v>6</v>
      </c>
      <c r="G20" s="21" t="n">
        <v>1</v>
      </c>
      <c r="H20" s="7" t="s">
        <v>618</v>
      </c>
      <c r="I20" s="7" t="s">
        <v>79</v>
      </c>
    </row>
    <row r="21" customFormat="false" ht="15" hidden="false" customHeight="false" outlineLevel="0" collapsed="false">
      <c r="A21" s="7" t="s">
        <v>619</v>
      </c>
      <c r="B21" s="7" t="s">
        <v>620</v>
      </c>
      <c r="C21" s="23" t="n">
        <v>300</v>
      </c>
      <c r="D21" s="23" t="n">
        <v>1000</v>
      </c>
      <c r="E21" s="8" t="n">
        <f aca="false">C21+Assumptions!$C$9*(D21-C21)</f>
        <v>650</v>
      </c>
      <c r="F21" s="21" t="n">
        <v>1</v>
      </c>
      <c r="G21" s="21" t="n">
        <v>1</v>
      </c>
      <c r="H21" s="7" t="s">
        <v>621</v>
      </c>
      <c r="I21" s="7" t="s">
        <v>160</v>
      </c>
    </row>
    <row r="22" customFormat="false" ht="15" hidden="false" customHeight="false" outlineLevel="0" collapsed="false">
      <c r="A22" s="7" t="s">
        <v>622</v>
      </c>
      <c r="B22" s="7" t="s">
        <v>441</v>
      </c>
      <c r="C22" s="23" t="n">
        <v>30</v>
      </c>
      <c r="D22" s="23" t="n">
        <v>90</v>
      </c>
      <c r="E22" s="8" t="n">
        <f aca="false">C22+Assumptions!$C$9*(D22-C22)</f>
        <v>60</v>
      </c>
      <c r="F22" s="21" t="n">
        <v>1</v>
      </c>
      <c r="G22" s="21" t="n">
        <v>1</v>
      </c>
      <c r="H22" s="7" t="s">
        <v>623</v>
      </c>
      <c r="I22" s="7" t="s">
        <v>65</v>
      </c>
    </row>
    <row r="23" customFormat="false" ht="15" hidden="false" customHeight="false" outlineLevel="0" collapsed="false">
      <c r="A23" s="7" t="s">
        <v>624</v>
      </c>
      <c r="B23" s="7" t="s">
        <v>441</v>
      </c>
      <c r="C23" s="23" t="n">
        <v>200</v>
      </c>
      <c r="D23" s="23" t="n">
        <v>500</v>
      </c>
      <c r="E23" s="8" t="n">
        <f aca="false">C23+Assumptions!$C$9*(D23-C23)</f>
        <v>350</v>
      </c>
      <c r="F23" s="21" t="n">
        <v>3</v>
      </c>
      <c r="G23" s="21" t="n">
        <v>1</v>
      </c>
      <c r="H23" s="7" t="s">
        <v>625</v>
      </c>
      <c r="I23" s="7" t="s">
        <v>65</v>
      </c>
    </row>
    <row r="24" customFormat="false" ht="15" hidden="false" customHeight="false" outlineLevel="0" collapsed="false">
      <c r="A24" s="7" t="s">
        <v>626</v>
      </c>
      <c r="B24" s="7" t="s">
        <v>441</v>
      </c>
      <c r="C24" s="23" t="n">
        <v>150</v>
      </c>
      <c r="D24" s="23" t="n">
        <v>600</v>
      </c>
      <c r="E24" s="8" t="n">
        <f aca="false">C24+Assumptions!$C$9*(D24-C24)</f>
        <v>375</v>
      </c>
      <c r="F24" s="21" t="n">
        <v>3</v>
      </c>
      <c r="G24" s="21" t="n">
        <v>1</v>
      </c>
      <c r="H24" s="7" t="s">
        <v>625</v>
      </c>
      <c r="I24" s="7" t="s">
        <v>65</v>
      </c>
    </row>
    <row r="25" customFormat="false" ht="15" hidden="false" customHeight="false" outlineLevel="0" collapsed="false">
      <c r="A25" s="7" t="s">
        <v>627</v>
      </c>
      <c r="B25" s="7" t="s">
        <v>628</v>
      </c>
      <c r="C25" s="23" t="n">
        <v>100</v>
      </c>
      <c r="D25" s="23" t="n">
        <v>300</v>
      </c>
      <c r="E25" s="8" t="n">
        <f aca="false">C25+Assumptions!$C$9*(D25-C25)</f>
        <v>200</v>
      </c>
      <c r="F25" s="21" t="n">
        <v>2</v>
      </c>
      <c r="G25" s="21" t="n">
        <v>1</v>
      </c>
      <c r="H25" s="7" t="s">
        <v>629</v>
      </c>
      <c r="I25" s="7" t="s">
        <v>65</v>
      </c>
    </row>
    <row r="26" customFormat="false" ht="15" hidden="false" customHeight="false" outlineLevel="0" collapsed="false">
      <c r="A26" s="7" t="s">
        <v>630</v>
      </c>
      <c r="B26" s="7" t="s">
        <v>628</v>
      </c>
      <c r="C26" s="23" t="n">
        <v>0</v>
      </c>
      <c r="D26" s="23" t="n">
        <v>20</v>
      </c>
      <c r="E26" s="8" t="n">
        <f aca="false">C26+Assumptions!$C$9*(D26-C26)</f>
        <v>10</v>
      </c>
      <c r="F26" s="21" t="n">
        <v>1</v>
      </c>
      <c r="G26" s="21" t="n">
        <v>1</v>
      </c>
      <c r="H26" s="7" t="s">
        <v>631</v>
      </c>
      <c r="I26" s="7" t="s">
        <v>65</v>
      </c>
    </row>
    <row r="27" customFormat="false" ht="15" hidden="false" customHeight="false" outlineLevel="0" collapsed="false">
      <c r="A27" s="7" t="s">
        <v>632</v>
      </c>
      <c r="B27" s="7" t="s">
        <v>633</v>
      </c>
      <c r="C27" s="23" t="n">
        <v>1500</v>
      </c>
      <c r="D27" s="23" t="n">
        <v>5000</v>
      </c>
      <c r="E27" s="8" t="n">
        <f aca="false">C27+Assumptions!$C$9*(D27-C27)</f>
        <v>3250</v>
      </c>
      <c r="F27" s="21" t="n">
        <v>6</v>
      </c>
      <c r="G27" s="21" t="n">
        <v>1</v>
      </c>
      <c r="H27" s="7" t="s">
        <v>634</v>
      </c>
      <c r="I27" s="7" t="s">
        <v>65</v>
      </c>
    </row>
    <row r="28" customFormat="false" ht="15" hidden="false" customHeight="false" outlineLevel="0" collapsed="false">
      <c r="A28" s="7" t="s">
        <v>635</v>
      </c>
      <c r="B28" s="7" t="s">
        <v>636</v>
      </c>
      <c r="C28" s="23" t="n">
        <v>75</v>
      </c>
      <c r="D28" s="23" t="n">
        <v>150</v>
      </c>
      <c r="E28" s="8" t="n">
        <f aca="false">C28+Assumptions!$C$9*(D28-C28)</f>
        <v>112.5</v>
      </c>
      <c r="F28" s="21" t="n">
        <v>9</v>
      </c>
      <c r="G28" s="21" t="n">
        <v>1</v>
      </c>
      <c r="H28" s="7" t="s">
        <v>637</v>
      </c>
      <c r="I28" s="7" t="s">
        <v>79</v>
      </c>
    </row>
    <row r="29" customFormat="false" ht="15" hidden="false" customHeight="false" outlineLevel="0" collapsed="false">
      <c r="A29" s="7" t="s">
        <v>638</v>
      </c>
      <c r="B29" s="7" t="s">
        <v>636</v>
      </c>
      <c r="C29" s="23" t="n">
        <v>500</v>
      </c>
      <c r="D29" s="23" t="n">
        <v>650</v>
      </c>
      <c r="E29" s="8" t="n">
        <f aca="false">C29+Assumptions!$C$9*(D29-C29)</f>
        <v>575</v>
      </c>
      <c r="F29" s="21" t="n">
        <v>9</v>
      </c>
      <c r="G29" s="21" t="n">
        <v>1</v>
      </c>
      <c r="H29" s="7" t="s">
        <v>637</v>
      </c>
      <c r="I29" s="7" t="s">
        <v>79</v>
      </c>
    </row>
    <row r="30" customFormat="false" ht="15" hidden="false" customHeight="false" outlineLevel="0" collapsed="false">
      <c r="A30" s="7" t="s">
        <v>639</v>
      </c>
      <c r="B30" s="7" t="s">
        <v>636</v>
      </c>
      <c r="C30" s="23" t="n">
        <v>225</v>
      </c>
      <c r="D30" s="23" t="n">
        <v>300</v>
      </c>
      <c r="E30" s="8" t="n">
        <f aca="false">C30+Assumptions!$C$9*(D30-C30)</f>
        <v>262.5</v>
      </c>
      <c r="F30" s="21" t="n">
        <v>10</v>
      </c>
      <c r="G30" s="21" t="n">
        <v>1</v>
      </c>
      <c r="H30" s="7" t="s">
        <v>637</v>
      </c>
      <c r="I30" s="7" t="s">
        <v>79</v>
      </c>
    </row>
    <row r="31" customFormat="false" ht="15" hidden="false" customHeight="false" outlineLevel="0" collapsed="false">
      <c r="A31" s="7" t="s">
        <v>640</v>
      </c>
      <c r="B31" s="7" t="s">
        <v>641</v>
      </c>
      <c r="C31" s="23" t="n">
        <v>4700</v>
      </c>
      <c r="D31" s="23" t="n">
        <v>5800</v>
      </c>
      <c r="E31" s="8" t="n">
        <f aca="false">C31+Assumptions!$C$9*(D31-C31)</f>
        <v>5250</v>
      </c>
      <c r="F31" s="21" t="n">
        <v>7</v>
      </c>
      <c r="G31" s="21" t="n">
        <v>1</v>
      </c>
      <c r="H31" s="7" t="s">
        <v>642</v>
      </c>
      <c r="I31" s="7" t="s">
        <v>643</v>
      </c>
    </row>
    <row r="32" customFormat="false" ht="15" hidden="false" customHeight="false" outlineLevel="0" collapsed="false">
      <c r="A32" s="7" t="s">
        <v>644</v>
      </c>
      <c r="B32" s="7" t="s">
        <v>641</v>
      </c>
      <c r="C32" s="23" t="n">
        <v>2500</v>
      </c>
      <c r="D32" s="23" t="n">
        <v>4500</v>
      </c>
      <c r="E32" s="8" t="n">
        <f aca="false">C32+Assumptions!$C$9*(D32-C32)</f>
        <v>3500</v>
      </c>
      <c r="F32" s="21" t="n">
        <v>8</v>
      </c>
      <c r="G32" s="21" t="n">
        <v>0</v>
      </c>
      <c r="H32" s="7" t="s">
        <v>645</v>
      </c>
      <c r="I32" s="7" t="s">
        <v>79</v>
      </c>
    </row>
    <row r="33" customFormat="false" ht="15" hidden="false" customHeight="false" outlineLevel="0" collapsed="false">
      <c r="A33" s="38" t="s">
        <v>646</v>
      </c>
      <c r="B33" s="39"/>
      <c r="C33" s="40" t="n">
        <f aca="false">SUMPRODUCT(C6:C32,$G$6:$G$32)</f>
        <v>11941</v>
      </c>
      <c r="D33" s="40" t="n">
        <f aca="false">SUMPRODUCT(D6:D32,$G$6:$G$32)</f>
        <v>27631</v>
      </c>
      <c r="E33" s="40" t="n">
        <f aca="false">SUMPRODUCT(E6:E32,$G$6:$G$32)</f>
        <v>19786</v>
      </c>
      <c r="F33" s="39"/>
      <c r="G33" s="39"/>
      <c r="H33" s="39"/>
      <c r="I33" s="39"/>
    </row>
    <row r="35" customFormat="false" ht="15" hidden="false" customHeight="false" outlineLevel="0" collapsed="false">
      <c r="A35" s="10" t="s">
        <v>647</v>
      </c>
    </row>
    <row r="36" customFormat="false" ht="15" hidden="false" customHeight="false" outlineLevel="0" collapsed="false">
      <c r="A36" s="7" t="s">
        <v>648</v>
      </c>
      <c r="E36" s="41" t="n">
        <f aca="false">SUMPRODUCT(($F$6:$F$32&gt;=1)*($F$6:$F$32&lt;=3)*$G$6:$G$32*$E$6:$E$32)</f>
        <v>7648.5</v>
      </c>
    </row>
    <row r="37" customFormat="false" ht="15" hidden="false" customHeight="false" outlineLevel="0" collapsed="false">
      <c r="A37" s="7" t="s">
        <v>649</v>
      </c>
      <c r="E37" s="41" t="n">
        <f aca="false">SUMPRODUCT(($F$6:$F$32&gt;=4)*($F$6:$F$32&lt;=12)*$G$6:$G$32*$E$6:$E$32)</f>
        <v>12137.5</v>
      </c>
    </row>
    <row r="38" customFormat="false" ht="15" hidden="false" customHeight="false" outlineLevel="0" collapsed="false">
      <c r="A38" s="7" t="s">
        <v>650</v>
      </c>
      <c r="E38" s="41" t="n">
        <f aca="false">SUMPRODUCT(($F$6:$F$32&gt;=13)*($F$6:$F$32&lt;=24)*$G$6:$G$32*$E$6:$E$32)</f>
        <v>0</v>
      </c>
    </row>
    <row r="39" customFormat="false" ht="15" hidden="false" customHeight="false" outlineLevel="0" collapsed="false">
      <c r="A39" s="7" t="s">
        <v>651</v>
      </c>
      <c r="E39" s="41" t="n">
        <f aca="false">SUMPRODUCT(($F$6:$F$32&gt;=25)*($F$6:$F$32&lt;=36)*$G$6:$G$32*$E$6:$E$32)</f>
        <v>0</v>
      </c>
    </row>
    <row r="41" customFormat="false" ht="15" hidden="false" customHeight="false" outlineLevel="0" collapsed="false">
      <c r="A41" s="9" t="s">
        <v>652</v>
      </c>
    </row>
  </sheetData>
  <mergeCells count="1">
    <mergeCell ref="A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X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4" ySplit="5" topLeftCell="O6" activePane="bottomRight" state="frozen"/>
      <selection pane="topLeft" activeCell="A1" activeCellId="0" sqref="A1"/>
      <selection pane="topRight" activeCell="O1" activeCellId="0" sqref="O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8"/>
    <col collapsed="false" customWidth="true" hidden="false" outlineLevel="0" max="11" min="9" style="0" width="11"/>
    <col collapsed="false" customWidth="true" hidden="false" outlineLevel="0" max="12" min="12" style="0" width="60"/>
    <col collapsed="false" customWidth="true" hidden="false" outlineLevel="0" max="13" min="13" style="0" width="18"/>
    <col collapsed="false" customWidth="true" hidden="false" outlineLevel="0" max="14" min="14" style="0" width="8"/>
    <col collapsed="false" customWidth="true" hidden="false" outlineLevel="0" max="50" min="15" style="0" width="9"/>
  </cols>
  <sheetData>
    <row r="1" customFormat="false" ht="17.35" hidden="false" customHeight="false" outlineLevel="0" collapsed="false">
      <c r="A1" s="17" t="s">
        <v>653</v>
      </c>
    </row>
    <row r="2" customFormat="false" ht="27.75" hidden="false" customHeight="true" outlineLevel="0" collapsed="false">
      <c r="A2" s="2" t="s">
        <v>654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9" t="s">
        <v>655</v>
      </c>
      <c r="O3" s="42" t="n">
        <f aca="false">INT((O4-1)/12)+1</f>
        <v>1</v>
      </c>
      <c r="P3" s="42" t="n">
        <f aca="false">INT((P4-1)/12)+1</f>
        <v>1</v>
      </c>
      <c r="Q3" s="42" t="n">
        <f aca="false">INT((Q4-1)/12)+1</f>
        <v>1</v>
      </c>
      <c r="R3" s="42" t="n">
        <f aca="false">INT((R4-1)/12)+1</f>
        <v>1</v>
      </c>
      <c r="S3" s="42" t="n">
        <f aca="false">INT((S4-1)/12)+1</f>
        <v>1</v>
      </c>
      <c r="T3" s="42" t="n">
        <f aca="false">INT((T4-1)/12)+1</f>
        <v>1</v>
      </c>
      <c r="U3" s="42" t="n">
        <f aca="false">INT((U4-1)/12)+1</f>
        <v>1</v>
      </c>
      <c r="V3" s="42" t="n">
        <f aca="false">INT((V4-1)/12)+1</f>
        <v>1</v>
      </c>
      <c r="W3" s="42" t="n">
        <f aca="false">INT((W4-1)/12)+1</f>
        <v>1</v>
      </c>
      <c r="X3" s="42" t="n">
        <f aca="false">INT((X4-1)/12)+1</f>
        <v>1</v>
      </c>
      <c r="Y3" s="42" t="n">
        <f aca="false">INT((Y4-1)/12)+1</f>
        <v>1</v>
      </c>
      <c r="Z3" s="42" t="n">
        <f aca="false">INT((Z4-1)/12)+1</f>
        <v>1</v>
      </c>
      <c r="AA3" s="42" t="n">
        <f aca="false">INT((AA4-1)/12)+1</f>
        <v>2</v>
      </c>
      <c r="AB3" s="42" t="n">
        <f aca="false">INT((AB4-1)/12)+1</f>
        <v>2</v>
      </c>
      <c r="AC3" s="42" t="n">
        <f aca="false">INT((AC4-1)/12)+1</f>
        <v>2</v>
      </c>
      <c r="AD3" s="42" t="n">
        <f aca="false">INT((AD4-1)/12)+1</f>
        <v>2</v>
      </c>
      <c r="AE3" s="42" t="n">
        <f aca="false">INT((AE4-1)/12)+1</f>
        <v>2</v>
      </c>
      <c r="AF3" s="42" t="n">
        <f aca="false">INT((AF4-1)/12)+1</f>
        <v>2</v>
      </c>
      <c r="AG3" s="42" t="n">
        <f aca="false">INT((AG4-1)/12)+1</f>
        <v>2</v>
      </c>
      <c r="AH3" s="42" t="n">
        <f aca="false">INT((AH4-1)/12)+1</f>
        <v>2</v>
      </c>
      <c r="AI3" s="42" t="n">
        <f aca="false">INT((AI4-1)/12)+1</f>
        <v>2</v>
      </c>
      <c r="AJ3" s="42" t="n">
        <f aca="false">INT((AJ4-1)/12)+1</f>
        <v>2</v>
      </c>
      <c r="AK3" s="42" t="n">
        <f aca="false">INT((AK4-1)/12)+1</f>
        <v>2</v>
      </c>
      <c r="AL3" s="42" t="n">
        <f aca="false">INT((AL4-1)/12)+1</f>
        <v>2</v>
      </c>
      <c r="AM3" s="42" t="n">
        <f aca="false">INT((AM4-1)/12)+1</f>
        <v>3</v>
      </c>
      <c r="AN3" s="42" t="n">
        <f aca="false">INT((AN4-1)/12)+1</f>
        <v>3</v>
      </c>
      <c r="AO3" s="42" t="n">
        <f aca="false">INT((AO4-1)/12)+1</f>
        <v>3</v>
      </c>
      <c r="AP3" s="42" t="n">
        <f aca="false">INT((AP4-1)/12)+1</f>
        <v>3</v>
      </c>
      <c r="AQ3" s="42" t="n">
        <f aca="false">INT((AQ4-1)/12)+1</f>
        <v>3</v>
      </c>
      <c r="AR3" s="42" t="n">
        <f aca="false">INT((AR4-1)/12)+1</f>
        <v>3</v>
      </c>
      <c r="AS3" s="42" t="n">
        <f aca="false">INT((AS4-1)/12)+1</f>
        <v>3</v>
      </c>
      <c r="AT3" s="42" t="n">
        <f aca="false">INT((AT4-1)/12)+1</f>
        <v>3</v>
      </c>
      <c r="AU3" s="42" t="n">
        <f aca="false">INT((AU4-1)/12)+1</f>
        <v>3</v>
      </c>
      <c r="AV3" s="42" t="n">
        <f aca="false">INT((AV4-1)/12)+1</f>
        <v>3</v>
      </c>
      <c r="AW3" s="42" t="n">
        <f aca="false">INT((AW4-1)/12)+1</f>
        <v>3</v>
      </c>
      <c r="AX3" s="42" t="n">
        <f aca="false">INT((AX4-1)/12)+1</f>
        <v>3</v>
      </c>
    </row>
    <row r="4" customFormat="false" ht="15" hidden="false" customHeight="false" outlineLevel="0" collapsed="false">
      <c r="N4" s="9" t="s">
        <v>656</v>
      </c>
      <c r="O4" s="42" t="n">
        <v>1</v>
      </c>
      <c r="P4" s="42" t="n">
        <v>2</v>
      </c>
      <c r="Q4" s="42" t="n">
        <v>3</v>
      </c>
      <c r="R4" s="42" t="n">
        <v>4</v>
      </c>
      <c r="S4" s="42" t="n">
        <v>5</v>
      </c>
      <c r="T4" s="42" t="n">
        <v>6</v>
      </c>
      <c r="U4" s="42" t="n">
        <v>7</v>
      </c>
      <c r="V4" s="42" t="n">
        <v>8</v>
      </c>
      <c r="W4" s="42" t="n">
        <v>9</v>
      </c>
      <c r="X4" s="42" t="n">
        <v>10</v>
      </c>
      <c r="Y4" s="42" t="n">
        <v>11</v>
      </c>
      <c r="Z4" s="42" t="n">
        <v>12</v>
      </c>
      <c r="AA4" s="42" t="n">
        <v>13</v>
      </c>
      <c r="AB4" s="42" t="n">
        <v>14</v>
      </c>
      <c r="AC4" s="42" t="n">
        <v>15</v>
      </c>
      <c r="AD4" s="42" t="n">
        <v>16</v>
      </c>
      <c r="AE4" s="42" t="n">
        <v>17</v>
      </c>
      <c r="AF4" s="42" t="n">
        <v>18</v>
      </c>
      <c r="AG4" s="42" t="n">
        <v>19</v>
      </c>
      <c r="AH4" s="42" t="n">
        <v>20</v>
      </c>
      <c r="AI4" s="42" t="n">
        <v>21</v>
      </c>
      <c r="AJ4" s="42" t="n">
        <v>22</v>
      </c>
      <c r="AK4" s="42" t="n">
        <v>23</v>
      </c>
      <c r="AL4" s="42" t="n">
        <v>24</v>
      </c>
      <c r="AM4" s="42" t="n">
        <v>25</v>
      </c>
      <c r="AN4" s="42" t="n">
        <v>26</v>
      </c>
      <c r="AO4" s="42" t="n">
        <v>27</v>
      </c>
      <c r="AP4" s="42" t="n">
        <v>28</v>
      </c>
      <c r="AQ4" s="42" t="n">
        <v>29</v>
      </c>
      <c r="AR4" s="42" t="n">
        <v>30</v>
      </c>
      <c r="AS4" s="42" t="n">
        <v>31</v>
      </c>
      <c r="AT4" s="42" t="n">
        <v>32</v>
      </c>
      <c r="AU4" s="42" t="n">
        <v>33</v>
      </c>
      <c r="AV4" s="42" t="n">
        <v>34</v>
      </c>
      <c r="AW4" s="42" t="n">
        <v>35</v>
      </c>
      <c r="AX4" s="42" t="n">
        <v>36</v>
      </c>
    </row>
    <row r="5" customFormat="false" ht="31.5" hidden="false" customHeight="true" outlineLevel="0" collapsed="false">
      <c r="A5" s="3" t="s">
        <v>577</v>
      </c>
      <c r="B5" s="4" t="s">
        <v>578</v>
      </c>
      <c r="C5" s="4" t="s">
        <v>579</v>
      </c>
      <c r="D5" s="4" t="s">
        <v>580</v>
      </c>
      <c r="E5" s="4" t="s">
        <v>657</v>
      </c>
      <c r="F5" s="4" t="s">
        <v>658</v>
      </c>
      <c r="G5" s="4" t="s">
        <v>659</v>
      </c>
      <c r="H5" s="4" t="s">
        <v>660</v>
      </c>
      <c r="I5" s="4" t="s">
        <v>661</v>
      </c>
      <c r="J5" s="4" t="s">
        <v>662</v>
      </c>
      <c r="K5" s="4" t="s">
        <v>663</v>
      </c>
      <c r="L5" s="4" t="s">
        <v>584</v>
      </c>
      <c r="M5" s="4" t="s">
        <v>59</v>
      </c>
      <c r="O5" s="43" t="n">
        <f aca="false">DATE(YEAR(Assumptions!$C$8),MONTH(Assumptions!$C$8)+O4-1,1)</f>
        <v>46296</v>
      </c>
      <c r="P5" s="43" t="n">
        <f aca="false">DATE(YEAR(Assumptions!$C$8),MONTH(Assumptions!$C$8)+P4-1,1)</f>
        <v>46327</v>
      </c>
      <c r="Q5" s="43" t="n">
        <f aca="false">DATE(YEAR(Assumptions!$C$8),MONTH(Assumptions!$C$8)+Q4-1,1)</f>
        <v>46357</v>
      </c>
      <c r="R5" s="43" t="n">
        <f aca="false">DATE(YEAR(Assumptions!$C$8),MONTH(Assumptions!$C$8)+R4-1,1)</f>
        <v>46388</v>
      </c>
      <c r="S5" s="43" t="n">
        <f aca="false">DATE(YEAR(Assumptions!$C$8),MONTH(Assumptions!$C$8)+S4-1,1)</f>
        <v>46419</v>
      </c>
      <c r="T5" s="43" t="n">
        <f aca="false">DATE(YEAR(Assumptions!$C$8),MONTH(Assumptions!$C$8)+T4-1,1)</f>
        <v>46447</v>
      </c>
      <c r="U5" s="43" t="n">
        <f aca="false">DATE(YEAR(Assumptions!$C$8),MONTH(Assumptions!$C$8)+U4-1,1)</f>
        <v>46478</v>
      </c>
      <c r="V5" s="43" t="n">
        <f aca="false">DATE(YEAR(Assumptions!$C$8),MONTH(Assumptions!$C$8)+V4-1,1)</f>
        <v>46508</v>
      </c>
      <c r="W5" s="43" t="n">
        <f aca="false">DATE(YEAR(Assumptions!$C$8),MONTH(Assumptions!$C$8)+W4-1,1)</f>
        <v>46539</v>
      </c>
      <c r="X5" s="43" t="n">
        <f aca="false">DATE(YEAR(Assumptions!$C$8),MONTH(Assumptions!$C$8)+X4-1,1)</f>
        <v>46569</v>
      </c>
      <c r="Y5" s="43" t="n">
        <f aca="false">DATE(YEAR(Assumptions!$C$8),MONTH(Assumptions!$C$8)+Y4-1,1)</f>
        <v>46600</v>
      </c>
      <c r="Z5" s="43" t="n">
        <f aca="false">DATE(YEAR(Assumptions!$C$8),MONTH(Assumptions!$C$8)+Z4-1,1)</f>
        <v>46631</v>
      </c>
      <c r="AA5" s="43" t="n">
        <f aca="false">DATE(YEAR(Assumptions!$C$8),MONTH(Assumptions!$C$8)+AA4-1,1)</f>
        <v>46661</v>
      </c>
      <c r="AB5" s="43" t="n">
        <f aca="false">DATE(YEAR(Assumptions!$C$8),MONTH(Assumptions!$C$8)+AB4-1,1)</f>
        <v>46692</v>
      </c>
      <c r="AC5" s="43" t="n">
        <f aca="false">DATE(YEAR(Assumptions!$C$8),MONTH(Assumptions!$C$8)+AC4-1,1)</f>
        <v>46722</v>
      </c>
      <c r="AD5" s="43" t="n">
        <f aca="false">DATE(YEAR(Assumptions!$C$8),MONTH(Assumptions!$C$8)+AD4-1,1)</f>
        <v>46753</v>
      </c>
      <c r="AE5" s="43" t="n">
        <f aca="false">DATE(YEAR(Assumptions!$C$8),MONTH(Assumptions!$C$8)+AE4-1,1)</f>
        <v>46784</v>
      </c>
      <c r="AF5" s="43" t="n">
        <f aca="false">DATE(YEAR(Assumptions!$C$8),MONTH(Assumptions!$C$8)+AF4-1,1)</f>
        <v>46813</v>
      </c>
      <c r="AG5" s="43" t="n">
        <f aca="false">DATE(YEAR(Assumptions!$C$8),MONTH(Assumptions!$C$8)+AG4-1,1)</f>
        <v>46844</v>
      </c>
      <c r="AH5" s="43" t="n">
        <f aca="false">DATE(YEAR(Assumptions!$C$8),MONTH(Assumptions!$C$8)+AH4-1,1)</f>
        <v>46874</v>
      </c>
      <c r="AI5" s="43" t="n">
        <f aca="false">DATE(YEAR(Assumptions!$C$8),MONTH(Assumptions!$C$8)+AI4-1,1)</f>
        <v>46905</v>
      </c>
      <c r="AJ5" s="43" t="n">
        <f aca="false">DATE(YEAR(Assumptions!$C$8),MONTH(Assumptions!$C$8)+AJ4-1,1)</f>
        <v>46935</v>
      </c>
      <c r="AK5" s="43" t="n">
        <f aca="false">DATE(YEAR(Assumptions!$C$8),MONTH(Assumptions!$C$8)+AK4-1,1)</f>
        <v>46966</v>
      </c>
      <c r="AL5" s="43" t="n">
        <f aca="false">DATE(YEAR(Assumptions!$C$8),MONTH(Assumptions!$C$8)+AL4-1,1)</f>
        <v>46997</v>
      </c>
      <c r="AM5" s="43" t="n">
        <f aca="false">DATE(YEAR(Assumptions!$C$8),MONTH(Assumptions!$C$8)+AM4-1,1)</f>
        <v>47027</v>
      </c>
      <c r="AN5" s="43" t="n">
        <f aca="false">DATE(YEAR(Assumptions!$C$8),MONTH(Assumptions!$C$8)+AN4-1,1)</f>
        <v>47058</v>
      </c>
      <c r="AO5" s="43" t="n">
        <f aca="false">DATE(YEAR(Assumptions!$C$8),MONTH(Assumptions!$C$8)+AO4-1,1)</f>
        <v>47088</v>
      </c>
      <c r="AP5" s="43" t="n">
        <f aca="false">DATE(YEAR(Assumptions!$C$8),MONTH(Assumptions!$C$8)+AP4-1,1)</f>
        <v>47119</v>
      </c>
      <c r="AQ5" s="43" t="n">
        <f aca="false">DATE(YEAR(Assumptions!$C$8),MONTH(Assumptions!$C$8)+AQ4-1,1)</f>
        <v>47150</v>
      </c>
      <c r="AR5" s="43" t="n">
        <f aca="false">DATE(YEAR(Assumptions!$C$8),MONTH(Assumptions!$C$8)+AR4-1,1)</f>
        <v>47178</v>
      </c>
      <c r="AS5" s="43" t="n">
        <f aca="false">DATE(YEAR(Assumptions!$C$8),MONTH(Assumptions!$C$8)+AS4-1,1)</f>
        <v>47209</v>
      </c>
      <c r="AT5" s="43" t="n">
        <f aca="false">DATE(YEAR(Assumptions!$C$8),MONTH(Assumptions!$C$8)+AT4-1,1)</f>
        <v>47239</v>
      </c>
      <c r="AU5" s="43" t="n">
        <f aca="false">DATE(YEAR(Assumptions!$C$8),MONTH(Assumptions!$C$8)+AU4-1,1)</f>
        <v>47270</v>
      </c>
      <c r="AV5" s="43" t="n">
        <f aca="false">DATE(YEAR(Assumptions!$C$8),MONTH(Assumptions!$C$8)+AV4-1,1)</f>
        <v>47300</v>
      </c>
      <c r="AW5" s="43" t="n">
        <f aca="false">DATE(YEAR(Assumptions!$C$8),MONTH(Assumptions!$C$8)+AW4-1,1)</f>
        <v>47331</v>
      </c>
      <c r="AX5" s="43" t="n">
        <f aca="false">DATE(YEAR(Assumptions!$C$8),MONTH(Assumptions!$C$8)+AX4-1,1)</f>
        <v>47362</v>
      </c>
    </row>
    <row r="6" customFormat="false" ht="15" hidden="false" customHeight="false" outlineLevel="0" collapsed="false">
      <c r="A6" s="7" t="s">
        <v>664</v>
      </c>
      <c r="B6" s="7" t="s">
        <v>665</v>
      </c>
      <c r="C6" s="25" t="n">
        <v>39</v>
      </c>
      <c r="D6" s="25" t="n">
        <v>39</v>
      </c>
      <c r="E6" s="15" t="n">
        <f aca="false">C6+Assumptions!$C$9*(D6-C6)</f>
        <v>39</v>
      </c>
      <c r="F6" s="44" t="s">
        <v>666</v>
      </c>
      <c r="G6" s="21" t="n">
        <v>1</v>
      </c>
      <c r="H6" s="21" t="n">
        <v>36</v>
      </c>
      <c r="I6" s="41" t="n">
        <f aca="false">SUMIF($O$3:$AX$3,1,O6:AX6)</f>
        <v>468</v>
      </c>
      <c r="J6" s="41" t="n">
        <f aca="false">SUMIF($O$3:$AX$3,2,O6:AX6)</f>
        <v>468</v>
      </c>
      <c r="K6" s="41" t="n">
        <f aca="false">SUMIF($O$3:$AX$3,3,O6:AX6)</f>
        <v>468</v>
      </c>
      <c r="L6" s="7" t="s">
        <v>667</v>
      </c>
      <c r="M6" s="7" t="s">
        <v>79</v>
      </c>
      <c r="O6" s="41" t="n">
        <f aca="false">IF(AND(O$4&gt;=$G6,O$4&lt;=$H6),IF($F6="Monthly",$E6,IF(MOD(O$4-$G6,12)=0,$E6,0)),0)</f>
        <v>39</v>
      </c>
      <c r="P6" s="41" t="n">
        <f aca="false">IF(AND(P$4&gt;=$G6,P$4&lt;=$H6),IF($F6="Monthly",$E6,IF(MOD(P$4-$G6,12)=0,$E6,0)),0)</f>
        <v>39</v>
      </c>
      <c r="Q6" s="41" t="n">
        <f aca="false">IF(AND(Q$4&gt;=$G6,Q$4&lt;=$H6),IF($F6="Monthly",$E6,IF(MOD(Q$4-$G6,12)=0,$E6,0)),0)</f>
        <v>39</v>
      </c>
      <c r="R6" s="41" t="n">
        <f aca="false">IF(AND(R$4&gt;=$G6,R$4&lt;=$H6),IF($F6="Monthly",$E6,IF(MOD(R$4-$G6,12)=0,$E6,0)),0)</f>
        <v>39</v>
      </c>
      <c r="S6" s="41" t="n">
        <f aca="false">IF(AND(S$4&gt;=$G6,S$4&lt;=$H6),IF($F6="Monthly",$E6,IF(MOD(S$4-$G6,12)=0,$E6,0)),0)</f>
        <v>39</v>
      </c>
      <c r="T6" s="41" t="n">
        <f aca="false">IF(AND(T$4&gt;=$G6,T$4&lt;=$H6),IF($F6="Monthly",$E6,IF(MOD(T$4-$G6,12)=0,$E6,0)),0)</f>
        <v>39</v>
      </c>
      <c r="U6" s="41" t="n">
        <f aca="false">IF(AND(U$4&gt;=$G6,U$4&lt;=$H6),IF($F6="Monthly",$E6,IF(MOD(U$4-$G6,12)=0,$E6,0)),0)</f>
        <v>39</v>
      </c>
      <c r="V6" s="41" t="n">
        <f aca="false">IF(AND(V$4&gt;=$G6,V$4&lt;=$H6),IF($F6="Monthly",$E6,IF(MOD(V$4-$G6,12)=0,$E6,0)),0)</f>
        <v>39</v>
      </c>
      <c r="W6" s="41" t="n">
        <f aca="false">IF(AND(W$4&gt;=$G6,W$4&lt;=$H6),IF($F6="Monthly",$E6,IF(MOD(W$4-$G6,12)=0,$E6,0)),0)</f>
        <v>39</v>
      </c>
      <c r="X6" s="41" t="n">
        <f aca="false">IF(AND(X$4&gt;=$G6,X$4&lt;=$H6),IF($F6="Monthly",$E6,IF(MOD(X$4-$G6,12)=0,$E6,0)),0)</f>
        <v>39</v>
      </c>
      <c r="Y6" s="41" t="n">
        <f aca="false">IF(AND(Y$4&gt;=$G6,Y$4&lt;=$H6),IF($F6="Monthly",$E6,IF(MOD(Y$4-$G6,12)=0,$E6,0)),0)</f>
        <v>39</v>
      </c>
      <c r="Z6" s="41" t="n">
        <f aca="false">IF(AND(Z$4&gt;=$G6,Z$4&lt;=$H6),IF($F6="Monthly",$E6,IF(MOD(Z$4-$G6,12)=0,$E6,0)),0)</f>
        <v>39</v>
      </c>
      <c r="AA6" s="41" t="n">
        <f aca="false">IF(AND(AA$4&gt;=$G6,AA$4&lt;=$H6),IF($F6="Monthly",$E6,IF(MOD(AA$4-$G6,12)=0,$E6,0)),0)</f>
        <v>39</v>
      </c>
      <c r="AB6" s="41" t="n">
        <f aca="false">IF(AND(AB$4&gt;=$G6,AB$4&lt;=$H6),IF($F6="Monthly",$E6,IF(MOD(AB$4-$G6,12)=0,$E6,0)),0)</f>
        <v>39</v>
      </c>
      <c r="AC6" s="41" t="n">
        <f aca="false">IF(AND(AC$4&gt;=$G6,AC$4&lt;=$H6),IF($F6="Monthly",$E6,IF(MOD(AC$4-$G6,12)=0,$E6,0)),0)</f>
        <v>39</v>
      </c>
      <c r="AD6" s="41" t="n">
        <f aca="false">IF(AND(AD$4&gt;=$G6,AD$4&lt;=$H6),IF($F6="Monthly",$E6,IF(MOD(AD$4-$G6,12)=0,$E6,0)),0)</f>
        <v>39</v>
      </c>
      <c r="AE6" s="41" t="n">
        <f aca="false">IF(AND(AE$4&gt;=$G6,AE$4&lt;=$H6),IF($F6="Monthly",$E6,IF(MOD(AE$4-$G6,12)=0,$E6,0)),0)</f>
        <v>39</v>
      </c>
      <c r="AF6" s="41" t="n">
        <f aca="false">IF(AND(AF$4&gt;=$G6,AF$4&lt;=$H6),IF($F6="Monthly",$E6,IF(MOD(AF$4-$G6,12)=0,$E6,0)),0)</f>
        <v>39</v>
      </c>
      <c r="AG6" s="41" t="n">
        <f aca="false">IF(AND(AG$4&gt;=$G6,AG$4&lt;=$H6),IF($F6="Monthly",$E6,IF(MOD(AG$4-$G6,12)=0,$E6,0)),0)</f>
        <v>39</v>
      </c>
      <c r="AH6" s="41" t="n">
        <f aca="false">IF(AND(AH$4&gt;=$G6,AH$4&lt;=$H6),IF($F6="Monthly",$E6,IF(MOD(AH$4-$G6,12)=0,$E6,0)),0)</f>
        <v>39</v>
      </c>
      <c r="AI6" s="41" t="n">
        <f aca="false">IF(AND(AI$4&gt;=$G6,AI$4&lt;=$H6),IF($F6="Monthly",$E6,IF(MOD(AI$4-$G6,12)=0,$E6,0)),0)</f>
        <v>39</v>
      </c>
      <c r="AJ6" s="41" t="n">
        <f aca="false">IF(AND(AJ$4&gt;=$G6,AJ$4&lt;=$H6),IF($F6="Monthly",$E6,IF(MOD(AJ$4-$G6,12)=0,$E6,0)),0)</f>
        <v>39</v>
      </c>
      <c r="AK6" s="41" t="n">
        <f aca="false">IF(AND(AK$4&gt;=$G6,AK$4&lt;=$H6),IF($F6="Monthly",$E6,IF(MOD(AK$4-$G6,12)=0,$E6,0)),0)</f>
        <v>39</v>
      </c>
      <c r="AL6" s="41" t="n">
        <f aca="false">IF(AND(AL$4&gt;=$G6,AL$4&lt;=$H6),IF($F6="Monthly",$E6,IF(MOD(AL$4-$G6,12)=0,$E6,0)),0)</f>
        <v>39</v>
      </c>
      <c r="AM6" s="41" t="n">
        <f aca="false">IF(AND(AM$4&gt;=$G6,AM$4&lt;=$H6),IF($F6="Monthly",$E6,IF(MOD(AM$4-$G6,12)=0,$E6,0)),0)</f>
        <v>39</v>
      </c>
      <c r="AN6" s="41" t="n">
        <f aca="false">IF(AND(AN$4&gt;=$G6,AN$4&lt;=$H6),IF($F6="Monthly",$E6,IF(MOD(AN$4-$G6,12)=0,$E6,0)),0)</f>
        <v>39</v>
      </c>
      <c r="AO6" s="41" t="n">
        <f aca="false">IF(AND(AO$4&gt;=$G6,AO$4&lt;=$H6),IF($F6="Monthly",$E6,IF(MOD(AO$4-$G6,12)=0,$E6,0)),0)</f>
        <v>39</v>
      </c>
      <c r="AP6" s="41" t="n">
        <f aca="false">IF(AND(AP$4&gt;=$G6,AP$4&lt;=$H6),IF($F6="Monthly",$E6,IF(MOD(AP$4-$G6,12)=0,$E6,0)),0)</f>
        <v>39</v>
      </c>
      <c r="AQ6" s="41" t="n">
        <f aca="false">IF(AND(AQ$4&gt;=$G6,AQ$4&lt;=$H6),IF($F6="Monthly",$E6,IF(MOD(AQ$4-$G6,12)=0,$E6,0)),0)</f>
        <v>39</v>
      </c>
      <c r="AR6" s="41" t="n">
        <f aca="false">IF(AND(AR$4&gt;=$G6,AR$4&lt;=$H6),IF($F6="Monthly",$E6,IF(MOD(AR$4-$G6,12)=0,$E6,0)),0)</f>
        <v>39</v>
      </c>
      <c r="AS6" s="41" t="n">
        <f aca="false">IF(AND(AS$4&gt;=$G6,AS$4&lt;=$H6),IF($F6="Monthly",$E6,IF(MOD(AS$4-$G6,12)=0,$E6,0)),0)</f>
        <v>39</v>
      </c>
      <c r="AT6" s="41" t="n">
        <f aca="false">IF(AND(AT$4&gt;=$G6,AT$4&lt;=$H6),IF($F6="Monthly",$E6,IF(MOD(AT$4-$G6,12)=0,$E6,0)),0)</f>
        <v>39</v>
      </c>
      <c r="AU6" s="41" t="n">
        <f aca="false">IF(AND(AU$4&gt;=$G6,AU$4&lt;=$H6),IF($F6="Monthly",$E6,IF(MOD(AU$4-$G6,12)=0,$E6,0)),0)</f>
        <v>39</v>
      </c>
      <c r="AV6" s="41" t="n">
        <f aca="false">IF(AND(AV$4&gt;=$G6,AV$4&lt;=$H6),IF($F6="Monthly",$E6,IF(MOD(AV$4-$G6,12)=0,$E6,0)),0)</f>
        <v>39</v>
      </c>
      <c r="AW6" s="41" t="n">
        <f aca="false">IF(AND(AW$4&gt;=$G6,AW$4&lt;=$H6),IF($F6="Monthly",$E6,IF(MOD(AW$4-$G6,12)=0,$E6,0)),0)</f>
        <v>39</v>
      </c>
      <c r="AX6" s="41" t="n">
        <f aca="false">IF(AND(AX$4&gt;=$G6,AX$4&lt;=$H6),IF($F6="Monthly",$E6,IF(MOD(AX$4-$G6,12)=0,$E6,0)),0)</f>
        <v>39</v>
      </c>
    </row>
    <row r="7" customFormat="false" ht="15" hidden="false" customHeight="false" outlineLevel="0" collapsed="false">
      <c r="A7" s="7" t="s">
        <v>668</v>
      </c>
      <c r="B7" s="7" t="s">
        <v>669</v>
      </c>
      <c r="C7" s="25" t="n">
        <v>7</v>
      </c>
      <c r="D7" s="25" t="n">
        <v>14</v>
      </c>
      <c r="E7" s="15" t="n">
        <f aca="false">C7+Assumptions!$C$9*(D7-C7)</f>
        <v>10.5</v>
      </c>
      <c r="F7" s="44" t="s">
        <v>666</v>
      </c>
      <c r="G7" s="21" t="n">
        <v>1</v>
      </c>
      <c r="H7" s="21" t="n">
        <v>36</v>
      </c>
      <c r="I7" s="41" t="n">
        <f aca="false">SUMIF($O$3:$AX$3,1,O7:AX7)</f>
        <v>126</v>
      </c>
      <c r="J7" s="41" t="n">
        <f aca="false">SUMIF($O$3:$AX$3,2,O7:AX7)</f>
        <v>126</v>
      </c>
      <c r="K7" s="41" t="n">
        <f aca="false">SUMIF($O$3:$AX$3,3,O7:AX7)</f>
        <v>126</v>
      </c>
      <c r="L7" s="7" t="s">
        <v>670</v>
      </c>
      <c r="M7" s="7" t="s">
        <v>65</v>
      </c>
      <c r="O7" s="41" t="n">
        <f aca="false">IF(AND(O$4&gt;=$G7,O$4&lt;=$H7),IF($F7="Monthly",$E7,IF(MOD(O$4-$G7,12)=0,$E7,0)),0)</f>
        <v>10.5</v>
      </c>
      <c r="P7" s="41" t="n">
        <f aca="false">IF(AND(P$4&gt;=$G7,P$4&lt;=$H7),IF($F7="Monthly",$E7,IF(MOD(P$4-$G7,12)=0,$E7,0)),0)</f>
        <v>10.5</v>
      </c>
      <c r="Q7" s="41" t="n">
        <f aca="false">IF(AND(Q$4&gt;=$G7,Q$4&lt;=$H7),IF($F7="Monthly",$E7,IF(MOD(Q$4-$G7,12)=0,$E7,0)),0)</f>
        <v>10.5</v>
      </c>
      <c r="R7" s="41" t="n">
        <f aca="false">IF(AND(R$4&gt;=$G7,R$4&lt;=$H7),IF($F7="Monthly",$E7,IF(MOD(R$4-$G7,12)=0,$E7,0)),0)</f>
        <v>10.5</v>
      </c>
      <c r="S7" s="41" t="n">
        <f aca="false">IF(AND(S$4&gt;=$G7,S$4&lt;=$H7),IF($F7="Monthly",$E7,IF(MOD(S$4-$G7,12)=0,$E7,0)),0)</f>
        <v>10.5</v>
      </c>
      <c r="T7" s="41" t="n">
        <f aca="false">IF(AND(T$4&gt;=$G7,T$4&lt;=$H7),IF($F7="Monthly",$E7,IF(MOD(T$4-$G7,12)=0,$E7,0)),0)</f>
        <v>10.5</v>
      </c>
      <c r="U7" s="41" t="n">
        <f aca="false">IF(AND(U$4&gt;=$G7,U$4&lt;=$H7),IF($F7="Monthly",$E7,IF(MOD(U$4-$G7,12)=0,$E7,0)),0)</f>
        <v>10.5</v>
      </c>
      <c r="V7" s="41" t="n">
        <f aca="false">IF(AND(V$4&gt;=$G7,V$4&lt;=$H7),IF($F7="Monthly",$E7,IF(MOD(V$4-$G7,12)=0,$E7,0)),0)</f>
        <v>10.5</v>
      </c>
      <c r="W7" s="41" t="n">
        <f aca="false">IF(AND(W$4&gt;=$G7,W$4&lt;=$H7),IF($F7="Monthly",$E7,IF(MOD(W$4-$G7,12)=0,$E7,0)),0)</f>
        <v>10.5</v>
      </c>
      <c r="X7" s="41" t="n">
        <f aca="false">IF(AND(X$4&gt;=$G7,X$4&lt;=$H7),IF($F7="Monthly",$E7,IF(MOD(X$4-$G7,12)=0,$E7,0)),0)</f>
        <v>10.5</v>
      </c>
      <c r="Y7" s="41" t="n">
        <f aca="false">IF(AND(Y$4&gt;=$G7,Y$4&lt;=$H7),IF($F7="Monthly",$E7,IF(MOD(Y$4-$G7,12)=0,$E7,0)),0)</f>
        <v>10.5</v>
      </c>
      <c r="Z7" s="41" t="n">
        <f aca="false">IF(AND(Z$4&gt;=$G7,Z$4&lt;=$H7),IF($F7="Monthly",$E7,IF(MOD(Z$4-$G7,12)=0,$E7,0)),0)</f>
        <v>10.5</v>
      </c>
      <c r="AA7" s="41" t="n">
        <f aca="false">IF(AND(AA$4&gt;=$G7,AA$4&lt;=$H7),IF($F7="Monthly",$E7,IF(MOD(AA$4-$G7,12)=0,$E7,0)),0)</f>
        <v>10.5</v>
      </c>
      <c r="AB7" s="41" t="n">
        <f aca="false">IF(AND(AB$4&gt;=$G7,AB$4&lt;=$H7),IF($F7="Monthly",$E7,IF(MOD(AB$4-$G7,12)=0,$E7,0)),0)</f>
        <v>10.5</v>
      </c>
      <c r="AC7" s="41" t="n">
        <f aca="false">IF(AND(AC$4&gt;=$G7,AC$4&lt;=$H7),IF($F7="Monthly",$E7,IF(MOD(AC$4-$G7,12)=0,$E7,0)),0)</f>
        <v>10.5</v>
      </c>
      <c r="AD7" s="41" t="n">
        <f aca="false">IF(AND(AD$4&gt;=$G7,AD$4&lt;=$H7),IF($F7="Monthly",$E7,IF(MOD(AD$4-$G7,12)=0,$E7,0)),0)</f>
        <v>10.5</v>
      </c>
      <c r="AE7" s="41" t="n">
        <f aca="false">IF(AND(AE$4&gt;=$G7,AE$4&lt;=$H7),IF($F7="Monthly",$E7,IF(MOD(AE$4-$G7,12)=0,$E7,0)),0)</f>
        <v>10.5</v>
      </c>
      <c r="AF7" s="41" t="n">
        <f aca="false">IF(AND(AF$4&gt;=$G7,AF$4&lt;=$H7),IF($F7="Monthly",$E7,IF(MOD(AF$4-$G7,12)=0,$E7,0)),0)</f>
        <v>10.5</v>
      </c>
      <c r="AG7" s="41" t="n">
        <f aca="false">IF(AND(AG$4&gt;=$G7,AG$4&lt;=$H7),IF($F7="Monthly",$E7,IF(MOD(AG$4-$G7,12)=0,$E7,0)),0)</f>
        <v>10.5</v>
      </c>
      <c r="AH7" s="41" t="n">
        <f aca="false">IF(AND(AH$4&gt;=$G7,AH$4&lt;=$H7),IF($F7="Monthly",$E7,IF(MOD(AH$4-$G7,12)=0,$E7,0)),0)</f>
        <v>10.5</v>
      </c>
      <c r="AI7" s="41" t="n">
        <f aca="false">IF(AND(AI$4&gt;=$G7,AI$4&lt;=$H7),IF($F7="Monthly",$E7,IF(MOD(AI$4-$G7,12)=0,$E7,0)),0)</f>
        <v>10.5</v>
      </c>
      <c r="AJ7" s="41" t="n">
        <f aca="false">IF(AND(AJ$4&gt;=$G7,AJ$4&lt;=$H7),IF($F7="Monthly",$E7,IF(MOD(AJ$4-$G7,12)=0,$E7,0)),0)</f>
        <v>10.5</v>
      </c>
      <c r="AK7" s="41" t="n">
        <f aca="false">IF(AND(AK$4&gt;=$G7,AK$4&lt;=$H7),IF($F7="Monthly",$E7,IF(MOD(AK$4-$G7,12)=0,$E7,0)),0)</f>
        <v>10.5</v>
      </c>
      <c r="AL7" s="41" t="n">
        <f aca="false">IF(AND(AL$4&gt;=$G7,AL$4&lt;=$H7),IF($F7="Monthly",$E7,IF(MOD(AL$4-$G7,12)=0,$E7,0)),0)</f>
        <v>10.5</v>
      </c>
      <c r="AM7" s="41" t="n">
        <f aca="false">IF(AND(AM$4&gt;=$G7,AM$4&lt;=$H7),IF($F7="Monthly",$E7,IF(MOD(AM$4-$G7,12)=0,$E7,0)),0)</f>
        <v>10.5</v>
      </c>
      <c r="AN7" s="41" t="n">
        <f aca="false">IF(AND(AN$4&gt;=$G7,AN$4&lt;=$H7),IF($F7="Monthly",$E7,IF(MOD(AN$4-$G7,12)=0,$E7,0)),0)</f>
        <v>10.5</v>
      </c>
      <c r="AO7" s="41" t="n">
        <f aca="false">IF(AND(AO$4&gt;=$G7,AO$4&lt;=$H7),IF($F7="Monthly",$E7,IF(MOD(AO$4-$G7,12)=0,$E7,0)),0)</f>
        <v>10.5</v>
      </c>
      <c r="AP7" s="41" t="n">
        <f aca="false">IF(AND(AP$4&gt;=$G7,AP$4&lt;=$H7),IF($F7="Monthly",$E7,IF(MOD(AP$4-$G7,12)=0,$E7,0)),0)</f>
        <v>10.5</v>
      </c>
      <c r="AQ7" s="41" t="n">
        <f aca="false">IF(AND(AQ$4&gt;=$G7,AQ$4&lt;=$H7),IF($F7="Monthly",$E7,IF(MOD(AQ$4-$G7,12)=0,$E7,0)),0)</f>
        <v>10.5</v>
      </c>
      <c r="AR7" s="41" t="n">
        <f aca="false">IF(AND(AR$4&gt;=$G7,AR$4&lt;=$H7),IF($F7="Monthly",$E7,IF(MOD(AR$4-$G7,12)=0,$E7,0)),0)</f>
        <v>10.5</v>
      </c>
      <c r="AS7" s="41" t="n">
        <f aca="false">IF(AND(AS$4&gt;=$G7,AS$4&lt;=$H7),IF($F7="Monthly",$E7,IF(MOD(AS$4-$G7,12)=0,$E7,0)),0)</f>
        <v>10.5</v>
      </c>
      <c r="AT7" s="41" t="n">
        <f aca="false">IF(AND(AT$4&gt;=$G7,AT$4&lt;=$H7),IF($F7="Monthly",$E7,IF(MOD(AT$4-$G7,12)=0,$E7,0)),0)</f>
        <v>10.5</v>
      </c>
      <c r="AU7" s="41" t="n">
        <f aca="false">IF(AND(AU$4&gt;=$G7,AU$4&lt;=$H7),IF($F7="Monthly",$E7,IF(MOD(AU$4-$G7,12)=0,$E7,0)),0)</f>
        <v>10.5</v>
      </c>
      <c r="AV7" s="41" t="n">
        <f aca="false">IF(AND(AV$4&gt;=$G7,AV$4&lt;=$H7),IF($F7="Monthly",$E7,IF(MOD(AV$4-$G7,12)=0,$E7,0)),0)</f>
        <v>10.5</v>
      </c>
      <c r="AW7" s="41" t="n">
        <f aca="false">IF(AND(AW$4&gt;=$G7,AW$4&lt;=$H7),IF($F7="Monthly",$E7,IF(MOD(AW$4-$G7,12)=0,$E7,0)),0)</f>
        <v>10.5</v>
      </c>
      <c r="AX7" s="41" t="n">
        <f aca="false">IF(AND(AX$4&gt;=$G7,AX$4&lt;=$H7),IF($F7="Monthly",$E7,IF(MOD(AX$4-$G7,12)=0,$E7,0)),0)</f>
        <v>10.5</v>
      </c>
    </row>
    <row r="8" customFormat="false" ht="15" hidden="false" customHeight="false" outlineLevel="0" collapsed="false">
      <c r="A8" s="7" t="s">
        <v>671</v>
      </c>
      <c r="B8" s="7" t="s">
        <v>669</v>
      </c>
      <c r="C8" s="25" t="n">
        <v>0</v>
      </c>
      <c r="D8" s="25" t="n">
        <v>40</v>
      </c>
      <c r="E8" s="15" t="n">
        <f aca="false">C8+Assumptions!$C$9*(D8-C8)</f>
        <v>20</v>
      </c>
      <c r="F8" s="44" t="s">
        <v>672</v>
      </c>
      <c r="G8" s="21" t="n">
        <v>1</v>
      </c>
      <c r="H8" s="21" t="n">
        <v>36</v>
      </c>
      <c r="I8" s="41" t="n">
        <f aca="false">SUMIF($O$3:$AX$3,1,O8:AX8)</f>
        <v>20</v>
      </c>
      <c r="J8" s="41" t="n">
        <f aca="false">SUMIF($O$3:$AX$3,2,O8:AX8)</f>
        <v>20</v>
      </c>
      <c r="K8" s="41" t="n">
        <f aca="false">SUMIF($O$3:$AX$3,3,O8:AX8)</f>
        <v>20</v>
      </c>
      <c r="L8" s="7" t="s">
        <v>673</v>
      </c>
      <c r="M8" s="7" t="s">
        <v>65</v>
      </c>
      <c r="O8" s="41" t="n">
        <f aca="false">IF(AND(O$4&gt;=$G8,O$4&lt;=$H8),IF($F8="Monthly",$E8,IF(MOD(O$4-$G8,12)=0,$E8,0)),0)</f>
        <v>20</v>
      </c>
      <c r="P8" s="41" t="n">
        <f aca="false">IF(AND(P$4&gt;=$G8,P$4&lt;=$H8),IF($F8="Monthly",$E8,IF(MOD(P$4-$G8,12)=0,$E8,0)),0)</f>
        <v>0</v>
      </c>
      <c r="Q8" s="41" t="n">
        <f aca="false">IF(AND(Q$4&gt;=$G8,Q$4&lt;=$H8),IF($F8="Monthly",$E8,IF(MOD(Q$4-$G8,12)=0,$E8,0)),0)</f>
        <v>0</v>
      </c>
      <c r="R8" s="41" t="n">
        <f aca="false">IF(AND(R$4&gt;=$G8,R$4&lt;=$H8),IF($F8="Monthly",$E8,IF(MOD(R$4-$G8,12)=0,$E8,0)),0)</f>
        <v>0</v>
      </c>
      <c r="S8" s="41" t="n">
        <f aca="false">IF(AND(S$4&gt;=$G8,S$4&lt;=$H8),IF($F8="Monthly",$E8,IF(MOD(S$4-$G8,12)=0,$E8,0)),0)</f>
        <v>0</v>
      </c>
      <c r="T8" s="41" t="n">
        <f aca="false">IF(AND(T$4&gt;=$G8,T$4&lt;=$H8),IF($F8="Monthly",$E8,IF(MOD(T$4-$G8,12)=0,$E8,0)),0)</f>
        <v>0</v>
      </c>
      <c r="U8" s="41" t="n">
        <f aca="false">IF(AND(U$4&gt;=$G8,U$4&lt;=$H8),IF($F8="Monthly",$E8,IF(MOD(U$4-$G8,12)=0,$E8,0)),0)</f>
        <v>0</v>
      </c>
      <c r="V8" s="41" t="n">
        <f aca="false">IF(AND(V$4&gt;=$G8,V$4&lt;=$H8),IF($F8="Monthly",$E8,IF(MOD(V$4-$G8,12)=0,$E8,0)),0)</f>
        <v>0</v>
      </c>
      <c r="W8" s="41" t="n">
        <f aca="false">IF(AND(W$4&gt;=$G8,W$4&lt;=$H8),IF($F8="Monthly",$E8,IF(MOD(W$4-$G8,12)=0,$E8,0)),0)</f>
        <v>0</v>
      </c>
      <c r="X8" s="41" t="n">
        <f aca="false">IF(AND(X$4&gt;=$G8,X$4&lt;=$H8),IF($F8="Monthly",$E8,IF(MOD(X$4-$G8,12)=0,$E8,0)),0)</f>
        <v>0</v>
      </c>
      <c r="Y8" s="41" t="n">
        <f aca="false">IF(AND(Y$4&gt;=$G8,Y$4&lt;=$H8),IF($F8="Monthly",$E8,IF(MOD(Y$4-$G8,12)=0,$E8,0)),0)</f>
        <v>0</v>
      </c>
      <c r="Z8" s="41" t="n">
        <f aca="false">IF(AND(Z$4&gt;=$G8,Z$4&lt;=$H8),IF($F8="Monthly",$E8,IF(MOD(Z$4-$G8,12)=0,$E8,0)),0)</f>
        <v>0</v>
      </c>
      <c r="AA8" s="41" t="n">
        <f aca="false">IF(AND(AA$4&gt;=$G8,AA$4&lt;=$H8),IF($F8="Monthly",$E8,IF(MOD(AA$4-$G8,12)=0,$E8,0)),0)</f>
        <v>20</v>
      </c>
      <c r="AB8" s="41" t="n">
        <f aca="false">IF(AND(AB$4&gt;=$G8,AB$4&lt;=$H8),IF($F8="Monthly",$E8,IF(MOD(AB$4-$G8,12)=0,$E8,0)),0)</f>
        <v>0</v>
      </c>
      <c r="AC8" s="41" t="n">
        <f aca="false">IF(AND(AC$4&gt;=$G8,AC$4&lt;=$H8),IF($F8="Monthly",$E8,IF(MOD(AC$4-$G8,12)=0,$E8,0)),0)</f>
        <v>0</v>
      </c>
      <c r="AD8" s="41" t="n">
        <f aca="false">IF(AND(AD$4&gt;=$G8,AD$4&lt;=$H8),IF($F8="Monthly",$E8,IF(MOD(AD$4-$G8,12)=0,$E8,0)),0)</f>
        <v>0</v>
      </c>
      <c r="AE8" s="41" t="n">
        <f aca="false">IF(AND(AE$4&gt;=$G8,AE$4&lt;=$H8),IF($F8="Monthly",$E8,IF(MOD(AE$4-$G8,12)=0,$E8,0)),0)</f>
        <v>0</v>
      </c>
      <c r="AF8" s="41" t="n">
        <f aca="false">IF(AND(AF$4&gt;=$G8,AF$4&lt;=$H8),IF($F8="Monthly",$E8,IF(MOD(AF$4-$G8,12)=0,$E8,0)),0)</f>
        <v>0</v>
      </c>
      <c r="AG8" s="41" t="n">
        <f aca="false">IF(AND(AG$4&gt;=$G8,AG$4&lt;=$H8),IF($F8="Monthly",$E8,IF(MOD(AG$4-$G8,12)=0,$E8,0)),0)</f>
        <v>0</v>
      </c>
      <c r="AH8" s="41" t="n">
        <f aca="false">IF(AND(AH$4&gt;=$G8,AH$4&lt;=$H8),IF($F8="Monthly",$E8,IF(MOD(AH$4-$G8,12)=0,$E8,0)),0)</f>
        <v>0</v>
      </c>
      <c r="AI8" s="41" t="n">
        <f aca="false">IF(AND(AI$4&gt;=$G8,AI$4&lt;=$H8),IF($F8="Monthly",$E8,IF(MOD(AI$4-$G8,12)=0,$E8,0)),0)</f>
        <v>0</v>
      </c>
      <c r="AJ8" s="41" t="n">
        <f aca="false">IF(AND(AJ$4&gt;=$G8,AJ$4&lt;=$H8),IF($F8="Monthly",$E8,IF(MOD(AJ$4-$G8,12)=0,$E8,0)),0)</f>
        <v>0</v>
      </c>
      <c r="AK8" s="41" t="n">
        <f aca="false">IF(AND(AK$4&gt;=$G8,AK$4&lt;=$H8),IF($F8="Monthly",$E8,IF(MOD(AK$4-$G8,12)=0,$E8,0)),0)</f>
        <v>0</v>
      </c>
      <c r="AL8" s="41" t="n">
        <f aca="false">IF(AND(AL$4&gt;=$G8,AL$4&lt;=$H8),IF($F8="Monthly",$E8,IF(MOD(AL$4-$G8,12)=0,$E8,0)),0)</f>
        <v>0</v>
      </c>
      <c r="AM8" s="41" t="n">
        <f aca="false">IF(AND(AM$4&gt;=$G8,AM$4&lt;=$H8),IF($F8="Monthly",$E8,IF(MOD(AM$4-$G8,12)=0,$E8,0)),0)</f>
        <v>20</v>
      </c>
      <c r="AN8" s="41" t="n">
        <f aca="false">IF(AND(AN$4&gt;=$G8,AN$4&lt;=$H8),IF($F8="Monthly",$E8,IF(MOD(AN$4-$G8,12)=0,$E8,0)),0)</f>
        <v>0</v>
      </c>
      <c r="AO8" s="41" t="n">
        <f aca="false">IF(AND(AO$4&gt;=$G8,AO$4&lt;=$H8),IF($F8="Monthly",$E8,IF(MOD(AO$4-$G8,12)=0,$E8,0)),0)</f>
        <v>0</v>
      </c>
      <c r="AP8" s="41" t="n">
        <f aca="false">IF(AND(AP$4&gt;=$G8,AP$4&lt;=$H8),IF($F8="Monthly",$E8,IF(MOD(AP$4-$G8,12)=0,$E8,0)),0)</f>
        <v>0</v>
      </c>
      <c r="AQ8" s="41" t="n">
        <f aca="false">IF(AND(AQ$4&gt;=$G8,AQ$4&lt;=$H8),IF($F8="Monthly",$E8,IF(MOD(AQ$4-$G8,12)=0,$E8,0)),0)</f>
        <v>0</v>
      </c>
      <c r="AR8" s="41" t="n">
        <f aca="false">IF(AND(AR$4&gt;=$G8,AR$4&lt;=$H8),IF($F8="Monthly",$E8,IF(MOD(AR$4-$G8,12)=0,$E8,0)),0)</f>
        <v>0</v>
      </c>
      <c r="AS8" s="41" t="n">
        <f aca="false">IF(AND(AS$4&gt;=$G8,AS$4&lt;=$H8),IF($F8="Monthly",$E8,IF(MOD(AS$4-$G8,12)=0,$E8,0)),0)</f>
        <v>0</v>
      </c>
      <c r="AT8" s="41" t="n">
        <f aca="false">IF(AND(AT$4&gt;=$G8,AT$4&lt;=$H8),IF($F8="Monthly",$E8,IF(MOD(AT$4-$G8,12)=0,$E8,0)),0)</f>
        <v>0</v>
      </c>
      <c r="AU8" s="41" t="n">
        <f aca="false">IF(AND(AU$4&gt;=$G8,AU$4&lt;=$H8),IF($F8="Monthly",$E8,IF(MOD(AU$4-$G8,12)=0,$E8,0)),0)</f>
        <v>0</v>
      </c>
      <c r="AV8" s="41" t="n">
        <f aca="false">IF(AND(AV$4&gt;=$G8,AV$4&lt;=$H8),IF($F8="Monthly",$E8,IF(MOD(AV$4-$G8,12)=0,$E8,0)),0)</f>
        <v>0</v>
      </c>
      <c r="AW8" s="41" t="n">
        <f aca="false">IF(AND(AW$4&gt;=$G8,AW$4&lt;=$H8),IF($F8="Monthly",$E8,IF(MOD(AW$4-$G8,12)=0,$E8,0)),0)</f>
        <v>0</v>
      </c>
      <c r="AX8" s="41" t="n">
        <f aca="false">IF(AND(AX$4&gt;=$G8,AX$4&lt;=$H8),IF($F8="Monthly",$E8,IF(MOD(AX$4-$G8,12)=0,$E8,0)),0)</f>
        <v>0</v>
      </c>
    </row>
    <row r="9" customFormat="false" ht="15" hidden="false" customHeight="false" outlineLevel="0" collapsed="false">
      <c r="A9" s="7" t="s">
        <v>674</v>
      </c>
      <c r="B9" s="7" t="s">
        <v>675</v>
      </c>
      <c r="C9" s="25" t="n">
        <v>0</v>
      </c>
      <c r="D9" s="25" t="n">
        <v>20</v>
      </c>
      <c r="E9" s="15" t="n">
        <f aca="false">C9+Assumptions!$C$9*(D9-C9)</f>
        <v>10</v>
      </c>
      <c r="F9" s="44" t="s">
        <v>666</v>
      </c>
      <c r="G9" s="21" t="n">
        <v>1</v>
      </c>
      <c r="H9" s="21" t="n">
        <v>12</v>
      </c>
      <c r="I9" s="41" t="n">
        <f aca="false">SUMIF($O$3:$AX$3,1,O9:AX9)</f>
        <v>120</v>
      </c>
      <c r="J9" s="41" t="n">
        <f aca="false">SUMIF($O$3:$AX$3,2,O9:AX9)</f>
        <v>0</v>
      </c>
      <c r="K9" s="41" t="n">
        <f aca="false">SUMIF($O$3:$AX$3,3,O9:AX9)</f>
        <v>0</v>
      </c>
      <c r="L9" s="7" t="s">
        <v>676</v>
      </c>
      <c r="M9" s="7" t="s">
        <v>79</v>
      </c>
      <c r="O9" s="41" t="n">
        <f aca="false">IF(AND(O$4&gt;=$G9,O$4&lt;=$H9),IF($F9="Monthly",$E9,IF(MOD(O$4-$G9,12)=0,$E9,0)),0)</f>
        <v>10</v>
      </c>
      <c r="P9" s="41" t="n">
        <f aca="false">IF(AND(P$4&gt;=$G9,P$4&lt;=$H9),IF($F9="Monthly",$E9,IF(MOD(P$4-$G9,12)=0,$E9,0)),0)</f>
        <v>10</v>
      </c>
      <c r="Q9" s="41" t="n">
        <f aca="false">IF(AND(Q$4&gt;=$G9,Q$4&lt;=$H9),IF($F9="Monthly",$E9,IF(MOD(Q$4-$G9,12)=0,$E9,0)),0)</f>
        <v>10</v>
      </c>
      <c r="R9" s="41" t="n">
        <f aca="false">IF(AND(R$4&gt;=$G9,R$4&lt;=$H9),IF($F9="Monthly",$E9,IF(MOD(R$4-$G9,12)=0,$E9,0)),0)</f>
        <v>10</v>
      </c>
      <c r="S9" s="41" t="n">
        <f aca="false">IF(AND(S$4&gt;=$G9,S$4&lt;=$H9),IF($F9="Monthly",$E9,IF(MOD(S$4-$G9,12)=0,$E9,0)),0)</f>
        <v>10</v>
      </c>
      <c r="T9" s="41" t="n">
        <f aca="false">IF(AND(T$4&gt;=$G9,T$4&lt;=$H9),IF($F9="Monthly",$E9,IF(MOD(T$4-$G9,12)=0,$E9,0)),0)</f>
        <v>10</v>
      </c>
      <c r="U9" s="41" t="n">
        <f aca="false">IF(AND(U$4&gt;=$G9,U$4&lt;=$H9),IF($F9="Monthly",$E9,IF(MOD(U$4-$G9,12)=0,$E9,0)),0)</f>
        <v>10</v>
      </c>
      <c r="V9" s="41" t="n">
        <f aca="false">IF(AND(V$4&gt;=$G9,V$4&lt;=$H9),IF($F9="Monthly",$E9,IF(MOD(V$4-$G9,12)=0,$E9,0)),0)</f>
        <v>10</v>
      </c>
      <c r="W9" s="41" t="n">
        <f aca="false">IF(AND(W$4&gt;=$G9,W$4&lt;=$H9),IF($F9="Monthly",$E9,IF(MOD(W$4-$G9,12)=0,$E9,0)),0)</f>
        <v>10</v>
      </c>
      <c r="X9" s="41" t="n">
        <f aca="false">IF(AND(X$4&gt;=$G9,X$4&lt;=$H9),IF($F9="Monthly",$E9,IF(MOD(X$4-$G9,12)=0,$E9,0)),0)</f>
        <v>10</v>
      </c>
      <c r="Y9" s="41" t="n">
        <f aca="false">IF(AND(Y$4&gt;=$G9,Y$4&lt;=$H9),IF($F9="Monthly",$E9,IF(MOD(Y$4-$G9,12)=0,$E9,0)),0)</f>
        <v>10</v>
      </c>
      <c r="Z9" s="41" t="n">
        <f aca="false">IF(AND(Z$4&gt;=$G9,Z$4&lt;=$H9),IF($F9="Monthly",$E9,IF(MOD(Z$4-$G9,12)=0,$E9,0)),0)</f>
        <v>10</v>
      </c>
      <c r="AA9" s="41" t="n">
        <f aca="false">IF(AND(AA$4&gt;=$G9,AA$4&lt;=$H9),IF($F9="Monthly",$E9,IF(MOD(AA$4-$G9,12)=0,$E9,0)),0)</f>
        <v>0</v>
      </c>
      <c r="AB9" s="41" t="n">
        <f aca="false">IF(AND(AB$4&gt;=$G9,AB$4&lt;=$H9),IF($F9="Monthly",$E9,IF(MOD(AB$4-$G9,12)=0,$E9,0)),0)</f>
        <v>0</v>
      </c>
      <c r="AC9" s="41" t="n">
        <f aca="false">IF(AND(AC$4&gt;=$G9,AC$4&lt;=$H9),IF($F9="Monthly",$E9,IF(MOD(AC$4-$G9,12)=0,$E9,0)),0)</f>
        <v>0</v>
      </c>
      <c r="AD9" s="41" t="n">
        <f aca="false">IF(AND(AD$4&gt;=$G9,AD$4&lt;=$H9),IF($F9="Monthly",$E9,IF(MOD(AD$4-$G9,12)=0,$E9,0)),0)</f>
        <v>0</v>
      </c>
      <c r="AE9" s="41" t="n">
        <f aca="false">IF(AND(AE$4&gt;=$G9,AE$4&lt;=$H9),IF($F9="Monthly",$E9,IF(MOD(AE$4-$G9,12)=0,$E9,0)),0)</f>
        <v>0</v>
      </c>
      <c r="AF9" s="41" t="n">
        <f aca="false">IF(AND(AF$4&gt;=$G9,AF$4&lt;=$H9),IF($F9="Monthly",$E9,IF(MOD(AF$4-$G9,12)=0,$E9,0)),0)</f>
        <v>0</v>
      </c>
      <c r="AG9" s="41" t="n">
        <f aca="false">IF(AND(AG$4&gt;=$G9,AG$4&lt;=$H9),IF($F9="Monthly",$E9,IF(MOD(AG$4-$G9,12)=0,$E9,0)),0)</f>
        <v>0</v>
      </c>
      <c r="AH9" s="41" t="n">
        <f aca="false">IF(AND(AH$4&gt;=$G9,AH$4&lt;=$H9),IF($F9="Monthly",$E9,IF(MOD(AH$4-$G9,12)=0,$E9,0)),0)</f>
        <v>0</v>
      </c>
      <c r="AI9" s="41" t="n">
        <f aca="false">IF(AND(AI$4&gt;=$G9,AI$4&lt;=$H9),IF($F9="Monthly",$E9,IF(MOD(AI$4-$G9,12)=0,$E9,0)),0)</f>
        <v>0</v>
      </c>
      <c r="AJ9" s="41" t="n">
        <f aca="false">IF(AND(AJ$4&gt;=$G9,AJ$4&lt;=$H9),IF($F9="Monthly",$E9,IF(MOD(AJ$4-$G9,12)=0,$E9,0)),0)</f>
        <v>0</v>
      </c>
      <c r="AK9" s="41" t="n">
        <f aca="false">IF(AND(AK$4&gt;=$G9,AK$4&lt;=$H9),IF($F9="Monthly",$E9,IF(MOD(AK$4-$G9,12)=0,$E9,0)),0)</f>
        <v>0</v>
      </c>
      <c r="AL9" s="41" t="n">
        <f aca="false">IF(AND(AL$4&gt;=$G9,AL$4&lt;=$H9),IF($F9="Monthly",$E9,IF(MOD(AL$4-$G9,12)=0,$E9,0)),0)</f>
        <v>0</v>
      </c>
      <c r="AM9" s="41" t="n">
        <f aca="false">IF(AND(AM$4&gt;=$G9,AM$4&lt;=$H9),IF($F9="Monthly",$E9,IF(MOD(AM$4-$G9,12)=0,$E9,0)),0)</f>
        <v>0</v>
      </c>
      <c r="AN9" s="41" t="n">
        <f aca="false">IF(AND(AN$4&gt;=$G9,AN$4&lt;=$H9),IF($F9="Monthly",$E9,IF(MOD(AN$4-$G9,12)=0,$E9,0)),0)</f>
        <v>0</v>
      </c>
      <c r="AO9" s="41" t="n">
        <f aca="false">IF(AND(AO$4&gt;=$G9,AO$4&lt;=$H9),IF($F9="Monthly",$E9,IF(MOD(AO$4-$G9,12)=0,$E9,0)),0)</f>
        <v>0</v>
      </c>
      <c r="AP9" s="41" t="n">
        <f aca="false">IF(AND(AP$4&gt;=$G9,AP$4&lt;=$H9),IF($F9="Monthly",$E9,IF(MOD(AP$4-$G9,12)=0,$E9,0)),0)</f>
        <v>0</v>
      </c>
      <c r="AQ9" s="41" t="n">
        <f aca="false">IF(AND(AQ$4&gt;=$G9,AQ$4&lt;=$H9),IF($F9="Monthly",$E9,IF(MOD(AQ$4-$G9,12)=0,$E9,0)),0)</f>
        <v>0</v>
      </c>
      <c r="AR9" s="41" t="n">
        <f aca="false">IF(AND(AR$4&gt;=$G9,AR$4&lt;=$H9),IF($F9="Monthly",$E9,IF(MOD(AR$4-$G9,12)=0,$E9,0)),0)</f>
        <v>0</v>
      </c>
      <c r="AS9" s="41" t="n">
        <f aca="false">IF(AND(AS$4&gt;=$G9,AS$4&lt;=$H9),IF($F9="Monthly",$E9,IF(MOD(AS$4-$G9,12)=0,$E9,0)),0)</f>
        <v>0</v>
      </c>
      <c r="AT9" s="41" t="n">
        <f aca="false">IF(AND(AT$4&gt;=$G9,AT$4&lt;=$H9),IF($F9="Monthly",$E9,IF(MOD(AT$4-$G9,12)=0,$E9,0)),0)</f>
        <v>0</v>
      </c>
      <c r="AU9" s="41" t="n">
        <f aca="false">IF(AND(AU$4&gt;=$G9,AU$4&lt;=$H9),IF($F9="Monthly",$E9,IF(MOD(AU$4-$G9,12)=0,$E9,0)),0)</f>
        <v>0</v>
      </c>
      <c r="AV9" s="41" t="n">
        <f aca="false">IF(AND(AV$4&gt;=$G9,AV$4&lt;=$H9),IF($F9="Monthly",$E9,IF(MOD(AV$4-$G9,12)=0,$E9,0)),0)</f>
        <v>0</v>
      </c>
      <c r="AW9" s="41" t="n">
        <f aca="false">IF(AND(AW$4&gt;=$G9,AW$4&lt;=$H9),IF($F9="Monthly",$E9,IF(MOD(AW$4-$G9,12)=0,$E9,0)),0)</f>
        <v>0</v>
      </c>
      <c r="AX9" s="41" t="n">
        <f aca="false">IF(AND(AX$4&gt;=$G9,AX$4&lt;=$H9),IF($F9="Monthly",$E9,IF(MOD(AX$4-$G9,12)=0,$E9,0)),0)</f>
        <v>0</v>
      </c>
    </row>
    <row r="10" customFormat="false" ht="15" hidden="false" customHeight="false" outlineLevel="0" collapsed="false">
      <c r="A10" s="7" t="s">
        <v>677</v>
      </c>
      <c r="B10" s="7" t="s">
        <v>675</v>
      </c>
      <c r="C10" s="25" t="n">
        <v>20</v>
      </c>
      <c r="D10" s="25" t="n">
        <v>39</v>
      </c>
      <c r="E10" s="15" t="n">
        <f aca="false">C10+Assumptions!$C$9*(D10-C10)</f>
        <v>29.5</v>
      </c>
      <c r="F10" s="44" t="s">
        <v>666</v>
      </c>
      <c r="G10" s="21" t="n">
        <v>13</v>
      </c>
      <c r="H10" s="21" t="n">
        <v>36</v>
      </c>
      <c r="I10" s="41" t="n">
        <f aca="false">SUMIF($O$3:$AX$3,1,O10:AX10)</f>
        <v>0</v>
      </c>
      <c r="J10" s="41" t="n">
        <f aca="false">SUMIF($O$3:$AX$3,2,O10:AX10)</f>
        <v>354</v>
      </c>
      <c r="K10" s="41" t="n">
        <f aca="false">SUMIF($O$3:$AX$3,3,O10:AX10)</f>
        <v>354</v>
      </c>
      <c r="L10" s="7" t="s">
        <v>678</v>
      </c>
      <c r="M10" s="7" t="s">
        <v>79</v>
      </c>
      <c r="O10" s="41" t="n">
        <f aca="false">IF(AND(O$4&gt;=$G10,O$4&lt;=$H10),IF($F10="Monthly",$E10,IF(MOD(O$4-$G10,12)=0,$E10,0)),0)</f>
        <v>0</v>
      </c>
      <c r="P10" s="41" t="n">
        <f aca="false">IF(AND(P$4&gt;=$G10,P$4&lt;=$H10),IF($F10="Monthly",$E10,IF(MOD(P$4-$G10,12)=0,$E10,0)),0)</f>
        <v>0</v>
      </c>
      <c r="Q10" s="41" t="n">
        <f aca="false">IF(AND(Q$4&gt;=$G10,Q$4&lt;=$H10),IF($F10="Monthly",$E10,IF(MOD(Q$4-$G10,12)=0,$E10,0)),0)</f>
        <v>0</v>
      </c>
      <c r="R10" s="41" t="n">
        <f aca="false">IF(AND(R$4&gt;=$G10,R$4&lt;=$H10),IF($F10="Monthly",$E10,IF(MOD(R$4-$G10,12)=0,$E10,0)),0)</f>
        <v>0</v>
      </c>
      <c r="S10" s="41" t="n">
        <f aca="false">IF(AND(S$4&gt;=$G10,S$4&lt;=$H10),IF($F10="Monthly",$E10,IF(MOD(S$4-$G10,12)=0,$E10,0)),0)</f>
        <v>0</v>
      </c>
      <c r="T10" s="41" t="n">
        <f aca="false">IF(AND(T$4&gt;=$G10,T$4&lt;=$H10),IF($F10="Monthly",$E10,IF(MOD(T$4-$G10,12)=0,$E10,0)),0)</f>
        <v>0</v>
      </c>
      <c r="U10" s="41" t="n">
        <f aca="false">IF(AND(U$4&gt;=$G10,U$4&lt;=$H10),IF($F10="Monthly",$E10,IF(MOD(U$4-$G10,12)=0,$E10,0)),0)</f>
        <v>0</v>
      </c>
      <c r="V10" s="41" t="n">
        <f aca="false">IF(AND(V$4&gt;=$G10,V$4&lt;=$H10),IF($F10="Monthly",$E10,IF(MOD(V$4-$G10,12)=0,$E10,0)),0)</f>
        <v>0</v>
      </c>
      <c r="W10" s="41" t="n">
        <f aca="false">IF(AND(W$4&gt;=$G10,W$4&lt;=$H10),IF($F10="Monthly",$E10,IF(MOD(W$4-$G10,12)=0,$E10,0)),0)</f>
        <v>0</v>
      </c>
      <c r="X10" s="41" t="n">
        <f aca="false">IF(AND(X$4&gt;=$G10,X$4&lt;=$H10),IF($F10="Monthly",$E10,IF(MOD(X$4-$G10,12)=0,$E10,0)),0)</f>
        <v>0</v>
      </c>
      <c r="Y10" s="41" t="n">
        <f aca="false">IF(AND(Y$4&gt;=$G10,Y$4&lt;=$H10),IF($F10="Monthly",$E10,IF(MOD(Y$4-$G10,12)=0,$E10,0)),0)</f>
        <v>0</v>
      </c>
      <c r="Z10" s="41" t="n">
        <f aca="false">IF(AND(Z$4&gt;=$G10,Z$4&lt;=$H10),IF($F10="Monthly",$E10,IF(MOD(Z$4-$G10,12)=0,$E10,0)),0)</f>
        <v>0</v>
      </c>
      <c r="AA10" s="41" t="n">
        <f aca="false">IF(AND(AA$4&gt;=$G10,AA$4&lt;=$H10),IF($F10="Monthly",$E10,IF(MOD(AA$4-$G10,12)=0,$E10,0)),0)</f>
        <v>29.5</v>
      </c>
      <c r="AB10" s="41" t="n">
        <f aca="false">IF(AND(AB$4&gt;=$G10,AB$4&lt;=$H10),IF($F10="Monthly",$E10,IF(MOD(AB$4-$G10,12)=0,$E10,0)),0)</f>
        <v>29.5</v>
      </c>
      <c r="AC10" s="41" t="n">
        <f aca="false">IF(AND(AC$4&gt;=$G10,AC$4&lt;=$H10),IF($F10="Monthly",$E10,IF(MOD(AC$4-$G10,12)=0,$E10,0)),0)</f>
        <v>29.5</v>
      </c>
      <c r="AD10" s="41" t="n">
        <f aca="false">IF(AND(AD$4&gt;=$G10,AD$4&lt;=$H10),IF($F10="Monthly",$E10,IF(MOD(AD$4-$G10,12)=0,$E10,0)),0)</f>
        <v>29.5</v>
      </c>
      <c r="AE10" s="41" t="n">
        <f aca="false">IF(AND(AE$4&gt;=$G10,AE$4&lt;=$H10),IF($F10="Monthly",$E10,IF(MOD(AE$4-$G10,12)=0,$E10,0)),0)</f>
        <v>29.5</v>
      </c>
      <c r="AF10" s="41" t="n">
        <f aca="false">IF(AND(AF$4&gt;=$G10,AF$4&lt;=$H10),IF($F10="Monthly",$E10,IF(MOD(AF$4-$G10,12)=0,$E10,0)),0)</f>
        <v>29.5</v>
      </c>
      <c r="AG10" s="41" t="n">
        <f aca="false">IF(AND(AG$4&gt;=$G10,AG$4&lt;=$H10),IF($F10="Monthly",$E10,IF(MOD(AG$4-$G10,12)=0,$E10,0)),0)</f>
        <v>29.5</v>
      </c>
      <c r="AH10" s="41" t="n">
        <f aca="false">IF(AND(AH$4&gt;=$G10,AH$4&lt;=$H10),IF($F10="Monthly",$E10,IF(MOD(AH$4-$G10,12)=0,$E10,0)),0)</f>
        <v>29.5</v>
      </c>
      <c r="AI10" s="41" t="n">
        <f aca="false">IF(AND(AI$4&gt;=$G10,AI$4&lt;=$H10),IF($F10="Monthly",$E10,IF(MOD(AI$4-$G10,12)=0,$E10,0)),0)</f>
        <v>29.5</v>
      </c>
      <c r="AJ10" s="41" t="n">
        <f aca="false">IF(AND(AJ$4&gt;=$G10,AJ$4&lt;=$H10),IF($F10="Monthly",$E10,IF(MOD(AJ$4-$G10,12)=0,$E10,0)),0)</f>
        <v>29.5</v>
      </c>
      <c r="AK10" s="41" t="n">
        <f aca="false">IF(AND(AK$4&gt;=$G10,AK$4&lt;=$H10),IF($F10="Monthly",$E10,IF(MOD(AK$4-$G10,12)=0,$E10,0)),0)</f>
        <v>29.5</v>
      </c>
      <c r="AL10" s="41" t="n">
        <f aca="false">IF(AND(AL$4&gt;=$G10,AL$4&lt;=$H10),IF($F10="Monthly",$E10,IF(MOD(AL$4-$G10,12)=0,$E10,0)),0)</f>
        <v>29.5</v>
      </c>
      <c r="AM10" s="41" t="n">
        <f aca="false">IF(AND(AM$4&gt;=$G10,AM$4&lt;=$H10),IF($F10="Monthly",$E10,IF(MOD(AM$4-$G10,12)=0,$E10,0)),0)</f>
        <v>29.5</v>
      </c>
      <c r="AN10" s="41" t="n">
        <f aca="false">IF(AND(AN$4&gt;=$G10,AN$4&lt;=$H10),IF($F10="Monthly",$E10,IF(MOD(AN$4-$G10,12)=0,$E10,0)),0)</f>
        <v>29.5</v>
      </c>
      <c r="AO10" s="41" t="n">
        <f aca="false">IF(AND(AO$4&gt;=$G10,AO$4&lt;=$H10),IF($F10="Monthly",$E10,IF(MOD(AO$4-$G10,12)=0,$E10,0)),0)</f>
        <v>29.5</v>
      </c>
      <c r="AP10" s="41" t="n">
        <f aca="false">IF(AND(AP$4&gt;=$G10,AP$4&lt;=$H10),IF($F10="Monthly",$E10,IF(MOD(AP$4-$G10,12)=0,$E10,0)),0)</f>
        <v>29.5</v>
      </c>
      <c r="AQ10" s="41" t="n">
        <f aca="false">IF(AND(AQ$4&gt;=$G10,AQ$4&lt;=$H10),IF($F10="Monthly",$E10,IF(MOD(AQ$4-$G10,12)=0,$E10,0)),0)</f>
        <v>29.5</v>
      </c>
      <c r="AR10" s="41" t="n">
        <f aca="false">IF(AND(AR$4&gt;=$G10,AR$4&lt;=$H10),IF($F10="Monthly",$E10,IF(MOD(AR$4-$G10,12)=0,$E10,0)),0)</f>
        <v>29.5</v>
      </c>
      <c r="AS10" s="41" t="n">
        <f aca="false">IF(AND(AS$4&gt;=$G10,AS$4&lt;=$H10),IF($F10="Monthly",$E10,IF(MOD(AS$4-$G10,12)=0,$E10,0)),0)</f>
        <v>29.5</v>
      </c>
      <c r="AT10" s="41" t="n">
        <f aca="false">IF(AND(AT$4&gt;=$G10,AT$4&lt;=$H10),IF($F10="Monthly",$E10,IF(MOD(AT$4-$G10,12)=0,$E10,0)),0)</f>
        <v>29.5</v>
      </c>
      <c r="AU10" s="41" t="n">
        <f aca="false">IF(AND(AU$4&gt;=$G10,AU$4&lt;=$H10),IF($F10="Monthly",$E10,IF(MOD(AU$4-$G10,12)=0,$E10,0)),0)</f>
        <v>29.5</v>
      </c>
      <c r="AV10" s="41" t="n">
        <f aca="false">IF(AND(AV$4&gt;=$G10,AV$4&lt;=$H10),IF($F10="Monthly",$E10,IF(MOD(AV$4-$G10,12)=0,$E10,0)),0)</f>
        <v>29.5</v>
      </c>
      <c r="AW10" s="41" t="n">
        <f aca="false">IF(AND(AW$4&gt;=$G10,AW$4&lt;=$H10),IF($F10="Monthly",$E10,IF(MOD(AW$4-$G10,12)=0,$E10,0)),0)</f>
        <v>29.5</v>
      </c>
      <c r="AX10" s="41" t="n">
        <f aca="false">IF(AND(AX$4&gt;=$G10,AX$4&lt;=$H10),IF($F10="Monthly",$E10,IF(MOD(AX$4-$G10,12)=0,$E10,0)),0)</f>
        <v>29.5</v>
      </c>
    </row>
    <row r="11" customFormat="false" ht="15" hidden="false" customHeight="false" outlineLevel="0" collapsed="false">
      <c r="A11" s="7" t="s">
        <v>679</v>
      </c>
      <c r="B11" s="7" t="s">
        <v>680</v>
      </c>
      <c r="C11" s="25" t="n">
        <v>100</v>
      </c>
      <c r="D11" s="25" t="n">
        <v>200</v>
      </c>
      <c r="E11" s="15" t="n">
        <f aca="false">C11+Assumptions!$C$9*(D11-C11)</f>
        <v>150</v>
      </c>
      <c r="F11" s="44" t="s">
        <v>666</v>
      </c>
      <c r="G11" s="21" t="n">
        <v>1</v>
      </c>
      <c r="H11" s="21" t="n">
        <v>36</v>
      </c>
      <c r="I11" s="41" t="n">
        <f aca="false">SUMIF($O$3:$AX$3,1,O11:AX11)</f>
        <v>1800</v>
      </c>
      <c r="J11" s="41" t="n">
        <f aca="false">SUMIF($O$3:$AX$3,2,O11:AX11)</f>
        <v>1800</v>
      </c>
      <c r="K11" s="41" t="n">
        <f aca="false">SUMIF($O$3:$AX$3,3,O11:AX11)</f>
        <v>1800</v>
      </c>
      <c r="L11" s="7" t="s">
        <v>681</v>
      </c>
      <c r="M11" s="7" t="s">
        <v>160</v>
      </c>
      <c r="O11" s="41" t="n">
        <f aca="false">IF(AND(O$4&gt;=$G11,O$4&lt;=$H11),IF($F11="Monthly",$E11,IF(MOD(O$4-$G11,12)=0,$E11,0)),0)</f>
        <v>150</v>
      </c>
      <c r="P11" s="41" t="n">
        <f aca="false">IF(AND(P$4&gt;=$G11,P$4&lt;=$H11),IF($F11="Monthly",$E11,IF(MOD(P$4-$G11,12)=0,$E11,0)),0)</f>
        <v>150</v>
      </c>
      <c r="Q11" s="41" t="n">
        <f aca="false">IF(AND(Q$4&gt;=$G11,Q$4&lt;=$H11),IF($F11="Monthly",$E11,IF(MOD(Q$4-$G11,12)=0,$E11,0)),0)</f>
        <v>150</v>
      </c>
      <c r="R11" s="41" t="n">
        <f aca="false">IF(AND(R$4&gt;=$G11,R$4&lt;=$H11),IF($F11="Monthly",$E11,IF(MOD(R$4-$G11,12)=0,$E11,0)),0)</f>
        <v>150</v>
      </c>
      <c r="S11" s="41" t="n">
        <f aca="false">IF(AND(S$4&gt;=$G11,S$4&lt;=$H11),IF($F11="Monthly",$E11,IF(MOD(S$4-$G11,12)=0,$E11,0)),0)</f>
        <v>150</v>
      </c>
      <c r="T11" s="41" t="n">
        <f aca="false">IF(AND(T$4&gt;=$G11,T$4&lt;=$H11),IF($F11="Monthly",$E11,IF(MOD(T$4-$G11,12)=0,$E11,0)),0)</f>
        <v>150</v>
      </c>
      <c r="U11" s="41" t="n">
        <f aca="false">IF(AND(U$4&gt;=$G11,U$4&lt;=$H11),IF($F11="Monthly",$E11,IF(MOD(U$4-$G11,12)=0,$E11,0)),0)</f>
        <v>150</v>
      </c>
      <c r="V11" s="41" t="n">
        <f aca="false">IF(AND(V$4&gt;=$G11,V$4&lt;=$H11),IF($F11="Monthly",$E11,IF(MOD(V$4-$G11,12)=0,$E11,0)),0)</f>
        <v>150</v>
      </c>
      <c r="W11" s="41" t="n">
        <f aca="false">IF(AND(W$4&gt;=$G11,W$4&lt;=$H11),IF($F11="Monthly",$E11,IF(MOD(W$4-$G11,12)=0,$E11,0)),0)</f>
        <v>150</v>
      </c>
      <c r="X11" s="41" t="n">
        <f aca="false">IF(AND(X$4&gt;=$G11,X$4&lt;=$H11),IF($F11="Monthly",$E11,IF(MOD(X$4-$G11,12)=0,$E11,0)),0)</f>
        <v>150</v>
      </c>
      <c r="Y11" s="41" t="n">
        <f aca="false">IF(AND(Y$4&gt;=$G11,Y$4&lt;=$H11),IF($F11="Monthly",$E11,IF(MOD(Y$4-$G11,12)=0,$E11,0)),0)</f>
        <v>150</v>
      </c>
      <c r="Z11" s="41" t="n">
        <f aca="false">IF(AND(Z$4&gt;=$G11,Z$4&lt;=$H11),IF($F11="Monthly",$E11,IF(MOD(Z$4-$G11,12)=0,$E11,0)),0)</f>
        <v>150</v>
      </c>
      <c r="AA11" s="41" t="n">
        <f aca="false">IF(AND(AA$4&gt;=$G11,AA$4&lt;=$H11),IF($F11="Monthly",$E11,IF(MOD(AA$4-$G11,12)=0,$E11,0)),0)</f>
        <v>150</v>
      </c>
      <c r="AB11" s="41" t="n">
        <f aca="false">IF(AND(AB$4&gt;=$G11,AB$4&lt;=$H11),IF($F11="Monthly",$E11,IF(MOD(AB$4-$G11,12)=0,$E11,0)),0)</f>
        <v>150</v>
      </c>
      <c r="AC11" s="41" t="n">
        <f aca="false">IF(AND(AC$4&gt;=$G11,AC$4&lt;=$H11),IF($F11="Monthly",$E11,IF(MOD(AC$4-$G11,12)=0,$E11,0)),0)</f>
        <v>150</v>
      </c>
      <c r="AD11" s="41" t="n">
        <f aca="false">IF(AND(AD$4&gt;=$G11,AD$4&lt;=$H11),IF($F11="Monthly",$E11,IF(MOD(AD$4-$G11,12)=0,$E11,0)),0)</f>
        <v>150</v>
      </c>
      <c r="AE11" s="41" t="n">
        <f aca="false">IF(AND(AE$4&gt;=$G11,AE$4&lt;=$H11),IF($F11="Monthly",$E11,IF(MOD(AE$4-$G11,12)=0,$E11,0)),0)</f>
        <v>150</v>
      </c>
      <c r="AF11" s="41" t="n">
        <f aca="false">IF(AND(AF$4&gt;=$G11,AF$4&lt;=$H11),IF($F11="Monthly",$E11,IF(MOD(AF$4-$G11,12)=0,$E11,0)),0)</f>
        <v>150</v>
      </c>
      <c r="AG11" s="41" t="n">
        <f aca="false">IF(AND(AG$4&gt;=$G11,AG$4&lt;=$H11),IF($F11="Monthly",$E11,IF(MOD(AG$4-$G11,12)=0,$E11,0)),0)</f>
        <v>150</v>
      </c>
      <c r="AH11" s="41" t="n">
        <f aca="false">IF(AND(AH$4&gt;=$G11,AH$4&lt;=$H11),IF($F11="Monthly",$E11,IF(MOD(AH$4-$G11,12)=0,$E11,0)),0)</f>
        <v>150</v>
      </c>
      <c r="AI11" s="41" t="n">
        <f aca="false">IF(AND(AI$4&gt;=$G11,AI$4&lt;=$H11),IF($F11="Monthly",$E11,IF(MOD(AI$4-$G11,12)=0,$E11,0)),0)</f>
        <v>150</v>
      </c>
      <c r="AJ11" s="41" t="n">
        <f aca="false">IF(AND(AJ$4&gt;=$G11,AJ$4&lt;=$H11),IF($F11="Monthly",$E11,IF(MOD(AJ$4-$G11,12)=0,$E11,0)),0)</f>
        <v>150</v>
      </c>
      <c r="AK11" s="41" t="n">
        <f aca="false">IF(AND(AK$4&gt;=$G11,AK$4&lt;=$H11),IF($F11="Monthly",$E11,IF(MOD(AK$4-$G11,12)=0,$E11,0)),0)</f>
        <v>150</v>
      </c>
      <c r="AL11" s="41" t="n">
        <f aca="false">IF(AND(AL$4&gt;=$G11,AL$4&lt;=$H11),IF($F11="Monthly",$E11,IF(MOD(AL$4-$G11,12)=0,$E11,0)),0)</f>
        <v>150</v>
      </c>
      <c r="AM11" s="41" t="n">
        <f aca="false">IF(AND(AM$4&gt;=$G11,AM$4&lt;=$H11),IF($F11="Monthly",$E11,IF(MOD(AM$4-$G11,12)=0,$E11,0)),0)</f>
        <v>150</v>
      </c>
      <c r="AN11" s="41" t="n">
        <f aca="false">IF(AND(AN$4&gt;=$G11,AN$4&lt;=$H11),IF($F11="Monthly",$E11,IF(MOD(AN$4-$G11,12)=0,$E11,0)),0)</f>
        <v>150</v>
      </c>
      <c r="AO11" s="41" t="n">
        <f aca="false">IF(AND(AO$4&gt;=$G11,AO$4&lt;=$H11),IF($F11="Monthly",$E11,IF(MOD(AO$4-$G11,12)=0,$E11,0)),0)</f>
        <v>150</v>
      </c>
      <c r="AP11" s="41" t="n">
        <f aca="false">IF(AND(AP$4&gt;=$G11,AP$4&lt;=$H11),IF($F11="Monthly",$E11,IF(MOD(AP$4-$G11,12)=0,$E11,0)),0)</f>
        <v>150</v>
      </c>
      <c r="AQ11" s="41" t="n">
        <f aca="false">IF(AND(AQ$4&gt;=$G11,AQ$4&lt;=$H11),IF($F11="Monthly",$E11,IF(MOD(AQ$4-$G11,12)=0,$E11,0)),0)</f>
        <v>150</v>
      </c>
      <c r="AR11" s="41" t="n">
        <f aca="false">IF(AND(AR$4&gt;=$G11,AR$4&lt;=$H11),IF($F11="Monthly",$E11,IF(MOD(AR$4-$G11,12)=0,$E11,0)),0)</f>
        <v>150</v>
      </c>
      <c r="AS11" s="41" t="n">
        <f aca="false">IF(AND(AS$4&gt;=$G11,AS$4&lt;=$H11),IF($F11="Monthly",$E11,IF(MOD(AS$4-$G11,12)=0,$E11,0)),0)</f>
        <v>150</v>
      </c>
      <c r="AT11" s="41" t="n">
        <f aca="false">IF(AND(AT$4&gt;=$G11,AT$4&lt;=$H11),IF($F11="Monthly",$E11,IF(MOD(AT$4-$G11,12)=0,$E11,0)),0)</f>
        <v>150</v>
      </c>
      <c r="AU11" s="41" t="n">
        <f aca="false">IF(AND(AU$4&gt;=$G11,AU$4&lt;=$H11),IF($F11="Monthly",$E11,IF(MOD(AU$4-$G11,12)=0,$E11,0)),0)</f>
        <v>150</v>
      </c>
      <c r="AV11" s="41" t="n">
        <f aca="false">IF(AND(AV$4&gt;=$G11,AV$4&lt;=$H11),IF($F11="Monthly",$E11,IF(MOD(AV$4-$G11,12)=0,$E11,0)),0)</f>
        <v>150</v>
      </c>
      <c r="AW11" s="41" t="n">
        <f aca="false">IF(AND(AW$4&gt;=$G11,AW$4&lt;=$H11),IF($F11="Monthly",$E11,IF(MOD(AW$4-$G11,12)=0,$E11,0)),0)</f>
        <v>150</v>
      </c>
      <c r="AX11" s="41" t="n">
        <f aca="false">IF(AND(AX$4&gt;=$G11,AX$4&lt;=$H11),IF($F11="Monthly",$E11,IF(MOD(AX$4-$G11,12)=0,$E11,0)),0)</f>
        <v>150</v>
      </c>
    </row>
    <row r="12" customFormat="false" ht="15" hidden="false" customHeight="false" outlineLevel="0" collapsed="false">
      <c r="A12" s="7" t="s">
        <v>682</v>
      </c>
      <c r="B12" s="7" t="s">
        <v>680</v>
      </c>
      <c r="C12" s="25" t="n">
        <v>0</v>
      </c>
      <c r="D12" s="25" t="n">
        <v>25</v>
      </c>
      <c r="E12" s="15" t="n">
        <f aca="false">C12+Assumptions!$C$9*(D12-C12)</f>
        <v>12.5</v>
      </c>
      <c r="F12" s="44" t="s">
        <v>666</v>
      </c>
      <c r="G12" s="21" t="n">
        <v>1</v>
      </c>
      <c r="H12" s="21" t="n">
        <v>36</v>
      </c>
      <c r="I12" s="41" t="n">
        <f aca="false">SUMIF($O$3:$AX$3,1,O12:AX12)</f>
        <v>150</v>
      </c>
      <c r="J12" s="41" t="n">
        <f aca="false">SUMIF($O$3:$AX$3,2,O12:AX12)</f>
        <v>150</v>
      </c>
      <c r="K12" s="41" t="n">
        <f aca="false">SUMIF($O$3:$AX$3,3,O12:AX12)</f>
        <v>150</v>
      </c>
      <c r="L12" s="7" t="s">
        <v>683</v>
      </c>
      <c r="M12" s="7" t="s">
        <v>65</v>
      </c>
      <c r="O12" s="41" t="n">
        <f aca="false">IF(AND(O$4&gt;=$G12,O$4&lt;=$H12),IF($F12="Monthly",$E12,IF(MOD(O$4-$G12,12)=0,$E12,0)),0)</f>
        <v>12.5</v>
      </c>
      <c r="P12" s="41" t="n">
        <f aca="false">IF(AND(P$4&gt;=$G12,P$4&lt;=$H12),IF($F12="Monthly",$E12,IF(MOD(P$4-$G12,12)=0,$E12,0)),0)</f>
        <v>12.5</v>
      </c>
      <c r="Q12" s="41" t="n">
        <f aca="false">IF(AND(Q$4&gt;=$G12,Q$4&lt;=$H12),IF($F12="Monthly",$E12,IF(MOD(Q$4-$G12,12)=0,$E12,0)),0)</f>
        <v>12.5</v>
      </c>
      <c r="R12" s="41" t="n">
        <f aca="false">IF(AND(R$4&gt;=$G12,R$4&lt;=$H12),IF($F12="Monthly",$E12,IF(MOD(R$4-$G12,12)=0,$E12,0)),0)</f>
        <v>12.5</v>
      </c>
      <c r="S12" s="41" t="n">
        <f aca="false">IF(AND(S$4&gt;=$G12,S$4&lt;=$H12),IF($F12="Monthly",$E12,IF(MOD(S$4-$G12,12)=0,$E12,0)),0)</f>
        <v>12.5</v>
      </c>
      <c r="T12" s="41" t="n">
        <f aca="false">IF(AND(T$4&gt;=$G12,T$4&lt;=$H12),IF($F12="Monthly",$E12,IF(MOD(T$4-$G12,12)=0,$E12,0)),0)</f>
        <v>12.5</v>
      </c>
      <c r="U12" s="41" t="n">
        <f aca="false">IF(AND(U$4&gt;=$G12,U$4&lt;=$H12),IF($F12="Monthly",$E12,IF(MOD(U$4-$G12,12)=0,$E12,0)),0)</f>
        <v>12.5</v>
      </c>
      <c r="V12" s="41" t="n">
        <f aca="false">IF(AND(V$4&gt;=$G12,V$4&lt;=$H12),IF($F12="Monthly",$E12,IF(MOD(V$4-$G12,12)=0,$E12,0)),0)</f>
        <v>12.5</v>
      </c>
      <c r="W12" s="41" t="n">
        <f aca="false">IF(AND(W$4&gt;=$G12,W$4&lt;=$H12),IF($F12="Monthly",$E12,IF(MOD(W$4-$G12,12)=0,$E12,0)),0)</f>
        <v>12.5</v>
      </c>
      <c r="X12" s="41" t="n">
        <f aca="false">IF(AND(X$4&gt;=$G12,X$4&lt;=$H12),IF($F12="Monthly",$E12,IF(MOD(X$4-$G12,12)=0,$E12,0)),0)</f>
        <v>12.5</v>
      </c>
      <c r="Y12" s="41" t="n">
        <f aca="false">IF(AND(Y$4&gt;=$G12,Y$4&lt;=$H12),IF($F12="Monthly",$E12,IF(MOD(Y$4-$G12,12)=0,$E12,0)),0)</f>
        <v>12.5</v>
      </c>
      <c r="Z12" s="41" t="n">
        <f aca="false">IF(AND(Z$4&gt;=$G12,Z$4&lt;=$H12),IF($F12="Monthly",$E12,IF(MOD(Z$4-$G12,12)=0,$E12,0)),0)</f>
        <v>12.5</v>
      </c>
      <c r="AA12" s="41" t="n">
        <f aca="false">IF(AND(AA$4&gt;=$G12,AA$4&lt;=$H12),IF($F12="Monthly",$E12,IF(MOD(AA$4-$G12,12)=0,$E12,0)),0)</f>
        <v>12.5</v>
      </c>
      <c r="AB12" s="41" t="n">
        <f aca="false">IF(AND(AB$4&gt;=$G12,AB$4&lt;=$H12),IF($F12="Monthly",$E12,IF(MOD(AB$4-$G12,12)=0,$E12,0)),0)</f>
        <v>12.5</v>
      </c>
      <c r="AC12" s="41" t="n">
        <f aca="false">IF(AND(AC$4&gt;=$G12,AC$4&lt;=$H12),IF($F12="Monthly",$E12,IF(MOD(AC$4-$G12,12)=0,$E12,0)),0)</f>
        <v>12.5</v>
      </c>
      <c r="AD12" s="41" t="n">
        <f aca="false">IF(AND(AD$4&gt;=$G12,AD$4&lt;=$H12),IF($F12="Monthly",$E12,IF(MOD(AD$4-$G12,12)=0,$E12,0)),0)</f>
        <v>12.5</v>
      </c>
      <c r="AE12" s="41" t="n">
        <f aca="false">IF(AND(AE$4&gt;=$G12,AE$4&lt;=$H12),IF($F12="Monthly",$E12,IF(MOD(AE$4-$G12,12)=0,$E12,0)),0)</f>
        <v>12.5</v>
      </c>
      <c r="AF12" s="41" t="n">
        <f aca="false">IF(AND(AF$4&gt;=$G12,AF$4&lt;=$H12),IF($F12="Monthly",$E12,IF(MOD(AF$4-$G12,12)=0,$E12,0)),0)</f>
        <v>12.5</v>
      </c>
      <c r="AG12" s="41" t="n">
        <f aca="false">IF(AND(AG$4&gt;=$G12,AG$4&lt;=$H12),IF($F12="Monthly",$E12,IF(MOD(AG$4-$G12,12)=0,$E12,0)),0)</f>
        <v>12.5</v>
      </c>
      <c r="AH12" s="41" t="n">
        <f aca="false">IF(AND(AH$4&gt;=$G12,AH$4&lt;=$H12),IF($F12="Monthly",$E12,IF(MOD(AH$4-$G12,12)=0,$E12,0)),0)</f>
        <v>12.5</v>
      </c>
      <c r="AI12" s="41" t="n">
        <f aca="false">IF(AND(AI$4&gt;=$G12,AI$4&lt;=$H12),IF($F12="Monthly",$E12,IF(MOD(AI$4-$G12,12)=0,$E12,0)),0)</f>
        <v>12.5</v>
      </c>
      <c r="AJ12" s="41" t="n">
        <f aca="false">IF(AND(AJ$4&gt;=$G12,AJ$4&lt;=$H12),IF($F12="Monthly",$E12,IF(MOD(AJ$4-$G12,12)=0,$E12,0)),0)</f>
        <v>12.5</v>
      </c>
      <c r="AK12" s="41" t="n">
        <f aca="false">IF(AND(AK$4&gt;=$G12,AK$4&lt;=$H12),IF($F12="Monthly",$E12,IF(MOD(AK$4-$G12,12)=0,$E12,0)),0)</f>
        <v>12.5</v>
      </c>
      <c r="AL12" s="41" t="n">
        <f aca="false">IF(AND(AL$4&gt;=$G12,AL$4&lt;=$H12),IF($F12="Monthly",$E12,IF(MOD(AL$4-$G12,12)=0,$E12,0)),0)</f>
        <v>12.5</v>
      </c>
      <c r="AM12" s="41" t="n">
        <f aca="false">IF(AND(AM$4&gt;=$G12,AM$4&lt;=$H12),IF($F12="Monthly",$E12,IF(MOD(AM$4-$G12,12)=0,$E12,0)),0)</f>
        <v>12.5</v>
      </c>
      <c r="AN12" s="41" t="n">
        <f aca="false">IF(AND(AN$4&gt;=$G12,AN$4&lt;=$H12),IF($F12="Monthly",$E12,IF(MOD(AN$4-$G12,12)=0,$E12,0)),0)</f>
        <v>12.5</v>
      </c>
      <c r="AO12" s="41" t="n">
        <f aca="false">IF(AND(AO$4&gt;=$G12,AO$4&lt;=$H12),IF($F12="Monthly",$E12,IF(MOD(AO$4-$G12,12)=0,$E12,0)),0)</f>
        <v>12.5</v>
      </c>
      <c r="AP12" s="41" t="n">
        <f aca="false">IF(AND(AP$4&gt;=$G12,AP$4&lt;=$H12),IF($F12="Monthly",$E12,IF(MOD(AP$4-$G12,12)=0,$E12,0)),0)</f>
        <v>12.5</v>
      </c>
      <c r="AQ12" s="41" t="n">
        <f aca="false">IF(AND(AQ$4&gt;=$G12,AQ$4&lt;=$H12),IF($F12="Monthly",$E12,IF(MOD(AQ$4-$G12,12)=0,$E12,0)),0)</f>
        <v>12.5</v>
      </c>
      <c r="AR12" s="41" t="n">
        <f aca="false">IF(AND(AR$4&gt;=$G12,AR$4&lt;=$H12),IF($F12="Monthly",$E12,IF(MOD(AR$4-$G12,12)=0,$E12,0)),0)</f>
        <v>12.5</v>
      </c>
      <c r="AS12" s="41" t="n">
        <f aca="false">IF(AND(AS$4&gt;=$G12,AS$4&lt;=$H12),IF($F12="Monthly",$E12,IF(MOD(AS$4-$G12,12)=0,$E12,0)),0)</f>
        <v>12.5</v>
      </c>
      <c r="AT12" s="41" t="n">
        <f aca="false">IF(AND(AT$4&gt;=$G12,AT$4&lt;=$H12),IF($F12="Monthly",$E12,IF(MOD(AT$4-$G12,12)=0,$E12,0)),0)</f>
        <v>12.5</v>
      </c>
      <c r="AU12" s="41" t="n">
        <f aca="false">IF(AND(AU$4&gt;=$G12,AU$4&lt;=$H12),IF($F12="Monthly",$E12,IF(MOD(AU$4-$G12,12)=0,$E12,0)),0)</f>
        <v>12.5</v>
      </c>
      <c r="AV12" s="41" t="n">
        <f aca="false">IF(AND(AV$4&gt;=$G12,AV$4&lt;=$H12),IF($F12="Monthly",$E12,IF(MOD(AV$4-$G12,12)=0,$E12,0)),0)</f>
        <v>12.5</v>
      </c>
      <c r="AW12" s="41" t="n">
        <f aca="false">IF(AND(AW$4&gt;=$G12,AW$4&lt;=$H12),IF($F12="Monthly",$E12,IF(MOD(AW$4-$G12,12)=0,$E12,0)),0)</f>
        <v>12.5</v>
      </c>
      <c r="AX12" s="41" t="n">
        <f aca="false">IF(AND(AX$4&gt;=$G12,AX$4&lt;=$H12),IF($F12="Monthly",$E12,IF(MOD(AX$4-$G12,12)=0,$E12,0)),0)</f>
        <v>12.5</v>
      </c>
    </row>
    <row r="13" customFormat="false" ht="15" hidden="false" customHeight="false" outlineLevel="0" collapsed="false">
      <c r="A13" s="7" t="s">
        <v>684</v>
      </c>
      <c r="B13" s="7" t="s">
        <v>685</v>
      </c>
      <c r="C13" s="25" t="n">
        <v>38</v>
      </c>
      <c r="D13" s="25" t="n">
        <v>85</v>
      </c>
      <c r="E13" s="15" t="n">
        <f aca="false">C13+Assumptions!$C$9*(D13-C13)</f>
        <v>61.5</v>
      </c>
      <c r="F13" s="44" t="s">
        <v>666</v>
      </c>
      <c r="G13" s="21" t="n">
        <v>1</v>
      </c>
      <c r="H13" s="21" t="n">
        <v>36</v>
      </c>
      <c r="I13" s="41" t="n">
        <f aca="false">SUMIF($O$3:$AX$3,1,O13:AX13)</f>
        <v>738</v>
      </c>
      <c r="J13" s="41" t="n">
        <f aca="false">SUMIF($O$3:$AX$3,2,O13:AX13)</f>
        <v>738</v>
      </c>
      <c r="K13" s="41" t="n">
        <f aca="false">SUMIF($O$3:$AX$3,3,O13:AX13)</f>
        <v>738</v>
      </c>
      <c r="L13" s="7" t="s">
        <v>686</v>
      </c>
      <c r="M13" s="7" t="s">
        <v>79</v>
      </c>
      <c r="O13" s="41" t="n">
        <f aca="false">IF(AND(O$4&gt;=$G13,O$4&lt;=$H13),IF($F13="Monthly",$E13,IF(MOD(O$4-$G13,12)=0,$E13,0)),0)</f>
        <v>61.5</v>
      </c>
      <c r="P13" s="41" t="n">
        <f aca="false">IF(AND(P$4&gt;=$G13,P$4&lt;=$H13),IF($F13="Monthly",$E13,IF(MOD(P$4-$G13,12)=0,$E13,0)),0)</f>
        <v>61.5</v>
      </c>
      <c r="Q13" s="41" t="n">
        <f aca="false">IF(AND(Q$4&gt;=$G13,Q$4&lt;=$H13),IF($F13="Monthly",$E13,IF(MOD(Q$4-$G13,12)=0,$E13,0)),0)</f>
        <v>61.5</v>
      </c>
      <c r="R13" s="41" t="n">
        <f aca="false">IF(AND(R$4&gt;=$G13,R$4&lt;=$H13),IF($F13="Monthly",$E13,IF(MOD(R$4-$G13,12)=0,$E13,0)),0)</f>
        <v>61.5</v>
      </c>
      <c r="S13" s="41" t="n">
        <f aca="false">IF(AND(S$4&gt;=$G13,S$4&lt;=$H13),IF($F13="Monthly",$E13,IF(MOD(S$4-$G13,12)=0,$E13,0)),0)</f>
        <v>61.5</v>
      </c>
      <c r="T13" s="41" t="n">
        <f aca="false">IF(AND(T$4&gt;=$G13,T$4&lt;=$H13),IF($F13="Monthly",$E13,IF(MOD(T$4-$G13,12)=0,$E13,0)),0)</f>
        <v>61.5</v>
      </c>
      <c r="U13" s="41" t="n">
        <f aca="false">IF(AND(U$4&gt;=$G13,U$4&lt;=$H13),IF($F13="Monthly",$E13,IF(MOD(U$4-$G13,12)=0,$E13,0)),0)</f>
        <v>61.5</v>
      </c>
      <c r="V13" s="41" t="n">
        <f aca="false">IF(AND(V$4&gt;=$G13,V$4&lt;=$H13),IF($F13="Monthly",$E13,IF(MOD(V$4-$G13,12)=0,$E13,0)),0)</f>
        <v>61.5</v>
      </c>
      <c r="W13" s="41" t="n">
        <f aca="false">IF(AND(W$4&gt;=$G13,W$4&lt;=$H13),IF($F13="Monthly",$E13,IF(MOD(W$4-$G13,12)=0,$E13,0)),0)</f>
        <v>61.5</v>
      </c>
      <c r="X13" s="41" t="n">
        <f aca="false">IF(AND(X$4&gt;=$G13,X$4&lt;=$H13),IF($F13="Monthly",$E13,IF(MOD(X$4-$G13,12)=0,$E13,0)),0)</f>
        <v>61.5</v>
      </c>
      <c r="Y13" s="41" t="n">
        <f aca="false">IF(AND(Y$4&gt;=$G13,Y$4&lt;=$H13),IF($F13="Monthly",$E13,IF(MOD(Y$4-$G13,12)=0,$E13,0)),0)</f>
        <v>61.5</v>
      </c>
      <c r="Z13" s="41" t="n">
        <f aca="false">IF(AND(Z$4&gt;=$G13,Z$4&lt;=$H13),IF($F13="Monthly",$E13,IF(MOD(Z$4-$G13,12)=0,$E13,0)),0)</f>
        <v>61.5</v>
      </c>
      <c r="AA13" s="41" t="n">
        <f aca="false">IF(AND(AA$4&gt;=$G13,AA$4&lt;=$H13),IF($F13="Monthly",$E13,IF(MOD(AA$4-$G13,12)=0,$E13,0)),0)</f>
        <v>61.5</v>
      </c>
      <c r="AB13" s="41" t="n">
        <f aca="false">IF(AND(AB$4&gt;=$G13,AB$4&lt;=$H13),IF($F13="Monthly",$E13,IF(MOD(AB$4-$G13,12)=0,$E13,0)),0)</f>
        <v>61.5</v>
      </c>
      <c r="AC13" s="41" t="n">
        <f aca="false">IF(AND(AC$4&gt;=$G13,AC$4&lt;=$H13),IF($F13="Monthly",$E13,IF(MOD(AC$4-$G13,12)=0,$E13,0)),0)</f>
        <v>61.5</v>
      </c>
      <c r="AD13" s="41" t="n">
        <f aca="false">IF(AND(AD$4&gt;=$G13,AD$4&lt;=$H13),IF($F13="Monthly",$E13,IF(MOD(AD$4-$G13,12)=0,$E13,0)),0)</f>
        <v>61.5</v>
      </c>
      <c r="AE13" s="41" t="n">
        <f aca="false">IF(AND(AE$4&gt;=$G13,AE$4&lt;=$H13),IF($F13="Monthly",$E13,IF(MOD(AE$4-$G13,12)=0,$E13,0)),0)</f>
        <v>61.5</v>
      </c>
      <c r="AF13" s="41" t="n">
        <f aca="false">IF(AND(AF$4&gt;=$G13,AF$4&lt;=$H13),IF($F13="Monthly",$E13,IF(MOD(AF$4-$G13,12)=0,$E13,0)),0)</f>
        <v>61.5</v>
      </c>
      <c r="AG13" s="41" t="n">
        <f aca="false">IF(AND(AG$4&gt;=$G13,AG$4&lt;=$H13),IF($F13="Monthly",$E13,IF(MOD(AG$4-$G13,12)=0,$E13,0)),0)</f>
        <v>61.5</v>
      </c>
      <c r="AH13" s="41" t="n">
        <f aca="false">IF(AND(AH$4&gt;=$G13,AH$4&lt;=$H13),IF($F13="Monthly",$E13,IF(MOD(AH$4-$G13,12)=0,$E13,0)),0)</f>
        <v>61.5</v>
      </c>
      <c r="AI13" s="41" t="n">
        <f aca="false">IF(AND(AI$4&gt;=$G13,AI$4&lt;=$H13),IF($F13="Monthly",$E13,IF(MOD(AI$4-$G13,12)=0,$E13,0)),0)</f>
        <v>61.5</v>
      </c>
      <c r="AJ13" s="41" t="n">
        <f aca="false">IF(AND(AJ$4&gt;=$G13,AJ$4&lt;=$H13),IF($F13="Monthly",$E13,IF(MOD(AJ$4-$G13,12)=0,$E13,0)),0)</f>
        <v>61.5</v>
      </c>
      <c r="AK13" s="41" t="n">
        <f aca="false">IF(AND(AK$4&gt;=$G13,AK$4&lt;=$H13),IF($F13="Monthly",$E13,IF(MOD(AK$4-$G13,12)=0,$E13,0)),0)</f>
        <v>61.5</v>
      </c>
      <c r="AL13" s="41" t="n">
        <f aca="false">IF(AND(AL$4&gt;=$G13,AL$4&lt;=$H13),IF($F13="Monthly",$E13,IF(MOD(AL$4-$G13,12)=0,$E13,0)),0)</f>
        <v>61.5</v>
      </c>
      <c r="AM13" s="41" t="n">
        <f aca="false">IF(AND(AM$4&gt;=$G13,AM$4&lt;=$H13),IF($F13="Monthly",$E13,IF(MOD(AM$4-$G13,12)=0,$E13,0)),0)</f>
        <v>61.5</v>
      </c>
      <c r="AN13" s="41" t="n">
        <f aca="false">IF(AND(AN$4&gt;=$G13,AN$4&lt;=$H13),IF($F13="Monthly",$E13,IF(MOD(AN$4-$G13,12)=0,$E13,0)),0)</f>
        <v>61.5</v>
      </c>
      <c r="AO13" s="41" t="n">
        <f aca="false">IF(AND(AO$4&gt;=$G13,AO$4&lt;=$H13),IF($F13="Monthly",$E13,IF(MOD(AO$4-$G13,12)=0,$E13,0)),0)</f>
        <v>61.5</v>
      </c>
      <c r="AP13" s="41" t="n">
        <f aca="false">IF(AND(AP$4&gt;=$G13,AP$4&lt;=$H13),IF($F13="Monthly",$E13,IF(MOD(AP$4-$G13,12)=0,$E13,0)),0)</f>
        <v>61.5</v>
      </c>
      <c r="AQ13" s="41" t="n">
        <f aca="false">IF(AND(AQ$4&gt;=$G13,AQ$4&lt;=$H13),IF($F13="Monthly",$E13,IF(MOD(AQ$4-$G13,12)=0,$E13,0)),0)</f>
        <v>61.5</v>
      </c>
      <c r="AR13" s="41" t="n">
        <f aca="false">IF(AND(AR$4&gt;=$G13,AR$4&lt;=$H13),IF($F13="Monthly",$E13,IF(MOD(AR$4-$G13,12)=0,$E13,0)),0)</f>
        <v>61.5</v>
      </c>
      <c r="AS13" s="41" t="n">
        <f aca="false">IF(AND(AS$4&gt;=$G13,AS$4&lt;=$H13),IF($F13="Monthly",$E13,IF(MOD(AS$4-$G13,12)=0,$E13,0)),0)</f>
        <v>61.5</v>
      </c>
      <c r="AT13" s="41" t="n">
        <f aca="false">IF(AND(AT$4&gt;=$G13,AT$4&lt;=$H13),IF($F13="Monthly",$E13,IF(MOD(AT$4-$G13,12)=0,$E13,0)),0)</f>
        <v>61.5</v>
      </c>
      <c r="AU13" s="41" t="n">
        <f aca="false">IF(AND(AU$4&gt;=$G13,AU$4&lt;=$H13),IF($F13="Monthly",$E13,IF(MOD(AU$4-$G13,12)=0,$E13,0)),0)</f>
        <v>61.5</v>
      </c>
      <c r="AV13" s="41" t="n">
        <f aca="false">IF(AND(AV$4&gt;=$G13,AV$4&lt;=$H13),IF($F13="Monthly",$E13,IF(MOD(AV$4-$G13,12)=0,$E13,0)),0)</f>
        <v>61.5</v>
      </c>
      <c r="AW13" s="41" t="n">
        <f aca="false">IF(AND(AW$4&gt;=$G13,AW$4&lt;=$H13),IF($F13="Monthly",$E13,IF(MOD(AW$4-$G13,12)=0,$E13,0)),0)</f>
        <v>61.5</v>
      </c>
      <c r="AX13" s="41" t="n">
        <f aca="false">IF(AND(AX$4&gt;=$G13,AX$4&lt;=$H13),IF($F13="Monthly",$E13,IF(MOD(AX$4-$G13,12)=0,$E13,0)),0)</f>
        <v>61.5</v>
      </c>
    </row>
    <row r="14" customFormat="false" ht="15" hidden="false" customHeight="false" outlineLevel="0" collapsed="false">
      <c r="A14" s="7" t="s">
        <v>687</v>
      </c>
      <c r="B14" s="7" t="s">
        <v>688</v>
      </c>
      <c r="C14" s="25" t="n">
        <v>21</v>
      </c>
      <c r="D14" s="25" t="n">
        <v>47</v>
      </c>
      <c r="E14" s="15" t="n">
        <f aca="false">C14+Assumptions!$C$9*(D14-C14)</f>
        <v>34</v>
      </c>
      <c r="F14" s="44" t="s">
        <v>666</v>
      </c>
      <c r="G14" s="21" t="n">
        <v>3</v>
      </c>
      <c r="H14" s="21" t="n">
        <v>36</v>
      </c>
      <c r="I14" s="41" t="n">
        <f aca="false">SUMIF($O$3:$AX$3,1,O14:AX14)</f>
        <v>340</v>
      </c>
      <c r="J14" s="41" t="n">
        <f aca="false">SUMIF($O$3:$AX$3,2,O14:AX14)</f>
        <v>408</v>
      </c>
      <c r="K14" s="41" t="n">
        <f aca="false">SUMIF($O$3:$AX$3,3,O14:AX14)</f>
        <v>408</v>
      </c>
      <c r="L14" s="7" t="s">
        <v>689</v>
      </c>
      <c r="M14" s="7" t="s">
        <v>79</v>
      </c>
      <c r="O14" s="41" t="n">
        <f aca="false">IF(AND(O$4&gt;=$G14,O$4&lt;=$H14),IF($F14="Monthly",$E14,IF(MOD(O$4-$G14,12)=0,$E14,0)),0)</f>
        <v>0</v>
      </c>
      <c r="P14" s="41" t="n">
        <f aca="false">IF(AND(P$4&gt;=$G14,P$4&lt;=$H14),IF($F14="Monthly",$E14,IF(MOD(P$4-$G14,12)=0,$E14,0)),0)</f>
        <v>0</v>
      </c>
      <c r="Q14" s="41" t="n">
        <f aca="false">IF(AND(Q$4&gt;=$G14,Q$4&lt;=$H14),IF($F14="Monthly",$E14,IF(MOD(Q$4-$G14,12)=0,$E14,0)),0)</f>
        <v>34</v>
      </c>
      <c r="R14" s="41" t="n">
        <f aca="false">IF(AND(R$4&gt;=$G14,R$4&lt;=$H14),IF($F14="Monthly",$E14,IF(MOD(R$4-$G14,12)=0,$E14,0)),0)</f>
        <v>34</v>
      </c>
      <c r="S14" s="41" t="n">
        <f aca="false">IF(AND(S$4&gt;=$G14,S$4&lt;=$H14),IF($F14="Monthly",$E14,IF(MOD(S$4-$G14,12)=0,$E14,0)),0)</f>
        <v>34</v>
      </c>
      <c r="T14" s="41" t="n">
        <f aca="false">IF(AND(T$4&gt;=$G14,T$4&lt;=$H14),IF($F14="Monthly",$E14,IF(MOD(T$4-$G14,12)=0,$E14,0)),0)</f>
        <v>34</v>
      </c>
      <c r="U14" s="41" t="n">
        <f aca="false">IF(AND(U$4&gt;=$G14,U$4&lt;=$H14),IF($F14="Monthly",$E14,IF(MOD(U$4-$G14,12)=0,$E14,0)),0)</f>
        <v>34</v>
      </c>
      <c r="V14" s="41" t="n">
        <f aca="false">IF(AND(V$4&gt;=$G14,V$4&lt;=$H14),IF($F14="Monthly",$E14,IF(MOD(V$4-$G14,12)=0,$E14,0)),0)</f>
        <v>34</v>
      </c>
      <c r="W14" s="41" t="n">
        <f aca="false">IF(AND(W$4&gt;=$G14,W$4&lt;=$H14),IF($F14="Monthly",$E14,IF(MOD(W$4-$G14,12)=0,$E14,0)),0)</f>
        <v>34</v>
      </c>
      <c r="X14" s="41" t="n">
        <f aca="false">IF(AND(X$4&gt;=$G14,X$4&lt;=$H14),IF($F14="Monthly",$E14,IF(MOD(X$4-$G14,12)=0,$E14,0)),0)</f>
        <v>34</v>
      </c>
      <c r="Y14" s="41" t="n">
        <f aca="false">IF(AND(Y$4&gt;=$G14,Y$4&lt;=$H14),IF($F14="Monthly",$E14,IF(MOD(Y$4-$G14,12)=0,$E14,0)),0)</f>
        <v>34</v>
      </c>
      <c r="Z14" s="41" t="n">
        <f aca="false">IF(AND(Z$4&gt;=$G14,Z$4&lt;=$H14),IF($F14="Monthly",$E14,IF(MOD(Z$4-$G14,12)=0,$E14,0)),0)</f>
        <v>34</v>
      </c>
      <c r="AA14" s="41" t="n">
        <f aca="false">IF(AND(AA$4&gt;=$G14,AA$4&lt;=$H14),IF($F14="Monthly",$E14,IF(MOD(AA$4-$G14,12)=0,$E14,0)),0)</f>
        <v>34</v>
      </c>
      <c r="AB14" s="41" t="n">
        <f aca="false">IF(AND(AB$4&gt;=$G14,AB$4&lt;=$H14),IF($F14="Monthly",$E14,IF(MOD(AB$4-$G14,12)=0,$E14,0)),0)</f>
        <v>34</v>
      </c>
      <c r="AC14" s="41" t="n">
        <f aca="false">IF(AND(AC$4&gt;=$G14,AC$4&lt;=$H14),IF($F14="Monthly",$E14,IF(MOD(AC$4-$G14,12)=0,$E14,0)),0)</f>
        <v>34</v>
      </c>
      <c r="AD14" s="41" t="n">
        <f aca="false">IF(AND(AD$4&gt;=$G14,AD$4&lt;=$H14),IF($F14="Monthly",$E14,IF(MOD(AD$4-$G14,12)=0,$E14,0)),0)</f>
        <v>34</v>
      </c>
      <c r="AE14" s="41" t="n">
        <f aca="false">IF(AND(AE$4&gt;=$G14,AE$4&lt;=$H14),IF($F14="Monthly",$E14,IF(MOD(AE$4-$G14,12)=0,$E14,0)),0)</f>
        <v>34</v>
      </c>
      <c r="AF14" s="41" t="n">
        <f aca="false">IF(AND(AF$4&gt;=$G14,AF$4&lt;=$H14),IF($F14="Monthly",$E14,IF(MOD(AF$4-$G14,12)=0,$E14,0)),0)</f>
        <v>34</v>
      </c>
      <c r="AG14" s="41" t="n">
        <f aca="false">IF(AND(AG$4&gt;=$G14,AG$4&lt;=$H14),IF($F14="Monthly",$E14,IF(MOD(AG$4-$G14,12)=0,$E14,0)),0)</f>
        <v>34</v>
      </c>
      <c r="AH14" s="41" t="n">
        <f aca="false">IF(AND(AH$4&gt;=$G14,AH$4&lt;=$H14),IF($F14="Monthly",$E14,IF(MOD(AH$4-$G14,12)=0,$E14,0)),0)</f>
        <v>34</v>
      </c>
      <c r="AI14" s="41" t="n">
        <f aca="false">IF(AND(AI$4&gt;=$G14,AI$4&lt;=$H14),IF($F14="Monthly",$E14,IF(MOD(AI$4-$G14,12)=0,$E14,0)),0)</f>
        <v>34</v>
      </c>
      <c r="AJ14" s="41" t="n">
        <f aca="false">IF(AND(AJ$4&gt;=$G14,AJ$4&lt;=$H14),IF($F14="Monthly",$E14,IF(MOD(AJ$4-$G14,12)=0,$E14,0)),0)</f>
        <v>34</v>
      </c>
      <c r="AK14" s="41" t="n">
        <f aca="false">IF(AND(AK$4&gt;=$G14,AK$4&lt;=$H14),IF($F14="Monthly",$E14,IF(MOD(AK$4-$G14,12)=0,$E14,0)),0)</f>
        <v>34</v>
      </c>
      <c r="AL14" s="41" t="n">
        <f aca="false">IF(AND(AL$4&gt;=$G14,AL$4&lt;=$H14),IF($F14="Monthly",$E14,IF(MOD(AL$4-$G14,12)=0,$E14,0)),0)</f>
        <v>34</v>
      </c>
      <c r="AM14" s="41" t="n">
        <f aca="false">IF(AND(AM$4&gt;=$G14,AM$4&lt;=$H14),IF($F14="Monthly",$E14,IF(MOD(AM$4-$G14,12)=0,$E14,0)),0)</f>
        <v>34</v>
      </c>
      <c r="AN14" s="41" t="n">
        <f aca="false">IF(AND(AN$4&gt;=$G14,AN$4&lt;=$H14),IF($F14="Monthly",$E14,IF(MOD(AN$4-$G14,12)=0,$E14,0)),0)</f>
        <v>34</v>
      </c>
      <c r="AO14" s="41" t="n">
        <f aca="false">IF(AND(AO$4&gt;=$G14,AO$4&lt;=$H14),IF($F14="Monthly",$E14,IF(MOD(AO$4-$G14,12)=0,$E14,0)),0)</f>
        <v>34</v>
      </c>
      <c r="AP14" s="41" t="n">
        <f aca="false">IF(AND(AP$4&gt;=$G14,AP$4&lt;=$H14),IF($F14="Monthly",$E14,IF(MOD(AP$4-$G14,12)=0,$E14,0)),0)</f>
        <v>34</v>
      </c>
      <c r="AQ14" s="41" t="n">
        <f aca="false">IF(AND(AQ$4&gt;=$G14,AQ$4&lt;=$H14),IF($F14="Monthly",$E14,IF(MOD(AQ$4-$G14,12)=0,$E14,0)),0)</f>
        <v>34</v>
      </c>
      <c r="AR14" s="41" t="n">
        <f aca="false">IF(AND(AR$4&gt;=$G14,AR$4&lt;=$H14),IF($F14="Monthly",$E14,IF(MOD(AR$4-$G14,12)=0,$E14,0)),0)</f>
        <v>34</v>
      </c>
      <c r="AS14" s="41" t="n">
        <f aca="false">IF(AND(AS$4&gt;=$G14,AS$4&lt;=$H14),IF($F14="Monthly",$E14,IF(MOD(AS$4-$G14,12)=0,$E14,0)),0)</f>
        <v>34</v>
      </c>
      <c r="AT14" s="41" t="n">
        <f aca="false">IF(AND(AT$4&gt;=$G14,AT$4&lt;=$H14),IF($F14="Monthly",$E14,IF(MOD(AT$4-$G14,12)=0,$E14,0)),0)</f>
        <v>34</v>
      </c>
      <c r="AU14" s="41" t="n">
        <f aca="false">IF(AND(AU$4&gt;=$G14,AU$4&lt;=$H14),IF($F14="Monthly",$E14,IF(MOD(AU$4-$G14,12)=0,$E14,0)),0)</f>
        <v>34</v>
      </c>
      <c r="AV14" s="41" t="n">
        <f aca="false">IF(AND(AV$4&gt;=$G14,AV$4&lt;=$H14),IF($F14="Monthly",$E14,IF(MOD(AV$4-$G14,12)=0,$E14,0)),0)</f>
        <v>34</v>
      </c>
      <c r="AW14" s="41" t="n">
        <f aca="false">IF(AND(AW$4&gt;=$G14,AW$4&lt;=$H14),IF($F14="Monthly",$E14,IF(MOD(AW$4-$G14,12)=0,$E14,0)),0)</f>
        <v>34</v>
      </c>
      <c r="AX14" s="41" t="n">
        <f aca="false">IF(AND(AX$4&gt;=$G14,AX$4&lt;=$H14),IF($F14="Monthly",$E14,IF(MOD(AX$4-$G14,12)=0,$E14,0)),0)</f>
        <v>34</v>
      </c>
    </row>
    <row r="15" customFormat="false" ht="15" hidden="false" customHeight="false" outlineLevel="0" collapsed="false">
      <c r="A15" s="7" t="s">
        <v>690</v>
      </c>
      <c r="B15" s="7" t="s">
        <v>669</v>
      </c>
      <c r="C15" s="25" t="n">
        <v>0</v>
      </c>
      <c r="D15" s="25" t="n">
        <v>20</v>
      </c>
      <c r="E15" s="15" t="n">
        <f aca="false">C15+Assumptions!$C$9*(D15-C15)</f>
        <v>10</v>
      </c>
      <c r="F15" s="44" t="s">
        <v>666</v>
      </c>
      <c r="G15" s="21" t="n">
        <v>1</v>
      </c>
      <c r="H15" s="21" t="n">
        <v>36</v>
      </c>
      <c r="I15" s="41" t="n">
        <f aca="false">SUMIF($O$3:$AX$3,1,O15:AX15)</f>
        <v>120</v>
      </c>
      <c r="J15" s="41" t="n">
        <f aca="false">SUMIF($O$3:$AX$3,2,O15:AX15)</f>
        <v>120</v>
      </c>
      <c r="K15" s="41" t="n">
        <f aca="false">SUMIF($O$3:$AX$3,3,O15:AX15)</f>
        <v>120</v>
      </c>
      <c r="L15" s="7" t="s">
        <v>691</v>
      </c>
      <c r="M15" s="7" t="s">
        <v>79</v>
      </c>
      <c r="O15" s="41" t="n">
        <f aca="false">IF(AND(O$4&gt;=$G15,O$4&lt;=$H15),IF($F15="Monthly",$E15,IF(MOD(O$4-$G15,12)=0,$E15,0)),0)</f>
        <v>10</v>
      </c>
      <c r="P15" s="41" t="n">
        <f aca="false">IF(AND(P$4&gt;=$G15,P$4&lt;=$H15),IF($F15="Monthly",$E15,IF(MOD(P$4-$G15,12)=0,$E15,0)),0)</f>
        <v>10</v>
      </c>
      <c r="Q15" s="41" t="n">
        <f aca="false">IF(AND(Q$4&gt;=$G15,Q$4&lt;=$H15),IF($F15="Monthly",$E15,IF(MOD(Q$4-$G15,12)=0,$E15,0)),0)</f>
        <v>10</v>
      </c>
      <c r="R15" s="41" t="n">
        <f aca="false">IF(AND(R$4&gt;=$G15,R$4&lt;=$H15),IF($F15="Monthly",$E15,IF(MOD(R$4-$G15,12)=0,$E15,0)),0)</f>
        <v>10</v>
      </c>
      <c r="S15" s="41" t="n">
        <f aca="false">IF(AND(S$4&gt;=$G15,S$4&lt;=$H15),IF($F15="Monthly",$E15,IF(MOD(S$4-$G15,12)=0,$E15,0)),0)</f>
        <v>10</v>
      </c>
      <c r="T15" s="41" t="n">
        <f aca="false">IF(AND(T$4&gt;=$G15,T$4&lt;=$H15),IF($F15="Monthly",$E15,IF(MOD(T$4-$G15,12)=0,$E15,0)),0)</f>
        <v>10</v>
      </c>
      <c r="U15" s="41" t="n">
        <f aca="false">IF(AND(U$4&gt;=$G15,U$4&lt;=$H15),IF($F15="Monthly",$E15,IF(MOD(U$4-$G15,12)=0,$E15,0)),0)</f>
        <v>10</v>
      </c>
      <c r="V15" s="41" t="n">
        <f aca="false">IF(AND(V$4&gt;=$G15,V$4&lt;=$H15),IF($F15="Monthly",$E15,IF(MOD(V$4-$G15,12)=0,$E15,0)),0)</f>
        <v>10</v>
      </c>
      <c r="W15" s="41" t="n">
        <f aca="false">IF(AND(W$4&gt;=$G15,W$4&lt;=$H15),IF($F15="Monthly",$E15,IF(MOD(W$4-$G15,12)=0,$E15,0)),0)</f>
        <v>10</v>
      </c>
      <c r="X15" s="41" t="n">
        <f aca="false">IF(AND(X$4&gt;=$G15,X$4&lt;=$H15),IF($F15="Monthly",$E15,IF(MOD(X$4-$G15,12)=0,$E15,0)),0)</f>
        <v>10</v>
      </c>
      <c r="Y15" s="41" t="n">
        <f aca="false">IF(AND(Y$4&gt;=$G15,Y$4&lt;=$H15),IF($F15="Monthly",$E15,IF(MOD(Y$4-$G15,12)=0,$E15,0)),0)</f>
        <v>10</v>
      </c>
      <c r="Z15" s="41" t="n">
        <f aca="false">IF(AND(Z$4&gt;=$G15,Z$4&lt;=$H15),IF($F15="Monthly",$E15,IF(MOD(Z$4-$G15,12)=0,$E15,0)),0)</f>
        <v>10</v>
      </c>
      <c r="AA15" s="41" t="n">
        <f aca="false">IF(AND(AA$4&gt;=$G15,AA$4&lt;=$H15),IF($F15="Monthly",$E15,IF(MOD(AA$4-$G15,12)=0,$E15,0)),0)</f>
        <v>10</v>
      </c>
      <c r="AB15" s="41" t="n">
        <f aca="false">IF(AND(AB$4&gt;=$G15,AB$4&lt;=$H15),IF($F15="Monthly",$E15,IF(MOD(AB$4-$G15,12)=0,$E15,0)),0)</f>
        <v>10</v>
      </c>
      <c r="AC15" s="41" t="n">
        <f aca="false">IF(AND(AC$4&gt;=$G15,AC$4&lt;=$H15),IF($F15="Monthly",$E15,IF(MOD(AC$4-$G15,12)=0,$E15,0)),0)</f>
        <v>10</v>
      </c>
      <c r="AD15" s="41" t="n">
        <f aca="false">IF(AND(AD$4&gt;=$G15,AD$4&lt;=$H15),IF($F15="Monthly",$E15,IF(MOD(AD$4-$G15,12)=0,$E15,0)),0)</f>
        <v>10</v>
      </c>
      <c r="AE15" s="41" t="n">
        <f aca="false">IF(AND(AE$4&gt;=$G15,AE$4&lt;=$H15),IF($F15="Monthly",$E15,IF(MOD(AE$4-$G15,12)=0,$E15,0)),0)</f>
        <v>10</v>
      </c>
      <c r="AF15" s="41" t="n">
        <f aca="false">IF(AND(AF$4&gt;=$G15,AF$4&lt;=$H15),IF($F15="Monthly",$E15,IF(MOD(AF$4-$G15,12)=0,$E15,0)),0)</f>
        <v>10</v>
      </c>
      <c r="AG15" s="41" t="n">
        <f aca="false">IF(AND(AG$4&gt;=$G15,AG$4&lt;=$H15),IF($F15="Monthly",$E15,IF(MOD(AG$4-$G15,12)=0,$E15,0)),0)</f>
        <v>10</v>
      </c>
      <c r="AH15" s="41" t="n">
        <f aca="false">IF(AND(AH$4&gt;=$G15,AH$4&lt;=$H15),IF($F15="Monthly",$E15,IF(MOD(AH$4-$G15,12)=0,$E15,0)),0)</f>
        <v>10</v>
      </c>
      <c r="AI15" s="41" t="n">
        <f aca="false">IF(AND(AI$4&gt;=$G15,AI$4&lt;=$H15),IF($F15="Monthly",$E15,IF(MOD(AI$4-$G15,12)=0,$E15,0)),0)</f>
        <v>10</v>
      </c>
      <c r="AJ15" s="41" t="n">
        <f aca="false">IF(AND(AJ$4&gt;=$G15,AJ$4&lt;=$H15),IF($F15="Monthly",$E15,IF(MOD(AJ$4-$G15,12)=0,$E15,0)),0)</f>
        <v>10</v>
      </c>
      <c r="AK15" s="41" t="n">
        <f aca="false">IF(AND(AK$4&gt;=$G15,AK$4&lt;=$H15),IF($F15="Monthly",$E15,IF(MOD(AK$4-$G15,12)=0,$E15,0)),0)</f>
        <v>10</v>
      </c>
      <c r="AL15" s="41" t="n">
        <f aca="false">IF(AND(AL$4&gt;=$G15,AL$4&lt;=$H15),IF($F15="Monthly",$E15,IF(MOD(AL$4-$G15,12)=0,$E15,0)),0)</f>
        <v>10</v>
      </c>
      <c r="AM15" s="41" t="n">
        <f aca="false">IF(AND(AM$4&gt;=$G15,AM$4&lt;=$H15),IF($F15="Monthly",$E15,IF(MOD(AM$4-$G15,12)=0,$E15,0)),0)</f>
        <v>10</v>
      </c>
      <c r="AN15" s="41" t="n">
        <f aca="false">IF(AND(AN$4&gt;=$G15,AN$4&lt;=$H15),IF($F15="Monthly",$E15,IF(MOD(AN$4-$G15,12)=0,$E15,0)),0)</f>
        <v>10</v>
      </c>
      <c r="AO15" s="41" t="n">
        <f aca="false">IF(AND(AO$4&gt;=$G15,AO$4&lt;=$H15),IF($F15="Monthly",$E15,IF(MOD(AO$4-$G15,12)=0,$E15,0)),0)</f>
        <v>10</v>
      </c>
      <c r="AP15" s="41" t="n">
        <f aca="false">IF(AND(AP$4&gt;=$G15,AP$4&lt;=$H15),IF($F15="Monthly",$E15,IF(MOD(AP$4-$G15,12)=0,$E15,0)),0)</f>
        <v>10</v>
      </c>
      <c r="AQ15" s="41" t="n">
        <f aca="false">IF(AND(AQ$4&gt;=$G15,AQ$4&lt;=$H15),IF($F15="Monthly",$E15,IF(MOD(AQ$4-$G15,12)=0,$E15,0)),0)</f>
        <v>10</v>
      </c>
      <c r="AR15" s="41" t="n">
        <f aca="false">IF(AND(AR$4&gt;=$G15,AR$4&lt;=$H15),IF($F15="Monthly",$E15,IF(MOD(AR$4-$G15,12)=0,$E15,0)),0)</f>
        <v>10</v>
      </c>
      <c r="AS15" s="41" t="n">
        <f aca="false">IF(AND(AS$4&gt;=$G15,AS$4&lt;=$H15),IF($F15="Monthly",$E15,IF(MOD(AS$4-$G15,12)=0,$E15,0)),0)</f>
        <v>10</v>
      </c>
      <c r="AT15" s="41" t="n">
        <f aca="false">IF(AND(AT$4&gt;=$G15,AT$4&lt;=$H15),IF($F15="Monthly",$E15,IF(MOD(AT$4-$G15,12)=0,$E15,0)),0)</f>
        <v>10</v>
      </c>
      <c r="AU15" s="41" t="n">
        <f aca="false">IF(AND(AU$4&gt;=$G15,AU$4&lt;=$H15),IF($F15="Monthly",$E15,IF(MOD(AU$4-$G15,12)=0,$E15,0)),0)</f>
        <v>10</v>
      </c>
      <c r="AV15" s="41" t="n">
        <f aca="false">IF(AND(AV$4&gt;=$G15,AV$4&lt;=$H15),IF($F15="Monthly",$E15,IF(MOD(AV$4-$G15,12)=0,$E15,0)),0)</f>
        <v>10</v>
      </c>
      <c r="AW15" s="41" t="n">
        <f aca="false">IF(AND(AW$4&gt;=$G15,AW$4&lt;=$H15),IF($F15="Monthly",$E15,IF(MOD(AW$4-$G15,12)=0,$E15,0)),0)</f>
        <v>10</v>
      </c>
      <c r="AX15" s="41" t="n">
        <f aca="false">IF(AND(AX$4&gt;=$G15,AX$4&lt;=$H15),IF($F15="Monthly",$E15,IF(MOD(AX$4-$G15,12)=0,$E15,0)),0)</f>
        <v>10</v>
      </c>
    </row>
    <row r="16" customFormat="false" ht="15" hidden="false" customHeight="false" outlineLevel="0" collapsed="false">
      <c r="A16" s="7" t="s">
        <v>692</v>
      </c>
      <c r="B16" s="7" t="s">
        <v>594</v>
      </c>
      <c r="C16" s="25" t="n">
        <v>1.5</v>
      </c>
      <c r="D16" s="25" t="n">
        <v>3</v>
      </c>
      <c r="E16" s="15" t="n">
        <f aca="false">C16+Assumptions!$C$9*(D16-C16)</f>
        <v>2.25</v>
      </c>
      <c r="F16" s="44" t="s">
        <v>666</v>
      </c>
      <c r="G16" s="21" t="n">
        <v>1</v>
      </c>
      <c r="H16" s="21" t="n">
        <v>36</v>
      </c>
      <c r="I16" s="41" t="n">
        <f aca="false">SUMIF($O$3:$AX$3,1,O16:AX16)</f>
        <v>27</v>
      </c>
      <c r="J16" s="41" t="n">
        <f aca="false">SUMIF($O$3:$AX$3,2,O16:AX16)</f>
        <v>27</v>
      </c>
      <c r="K16" s="41" t="n">
        <f aca="false">SUMIF($O$3:$AX$3,3,O16:AX16)</f>
        <v>27</v>
      </c>
      <c r="L16" s="7" t="s">
        <v>693</v>
      </c>
      <c r="M16" s="7" t="s">
        <v>70</v>
      </c>
      <c r="O16" s="41" t="n">
        <f aca="false">IF(AND(O$4&gt;=$G16,O$4&lt;=$H16),IF($F16="Monthly",$E16,IF(MOD(O$4-$G16,12)=0,$E16,0)),0)</f>
        <v>2.25</v>
      </c>
      <c r="P16" s="41" t="n">
        <f aca="false">IF(AND(P$4&gt;=$G16,P$4&lt;=$H16),IF($F16="Monthly",$E16,IF(MOD(P$4-$G16,12)=0,$E16,0)),0)</f>
        <v>2.25</v>
      </c>
      <c r="Q16" s="41" t="n">
        <f aca="false">IF(AND(Q$4&gt;=$G16,Q$4&lt;=$H16),IF($F16="Monthly",$E16,IF(MOD(Q$4-$G16,12)=0,$E16,0)),0)</f>
        <v>2.25</v>
      </c>
      <c r="R16" s="41" t="n">
        <f aca="false">IF(AND(R$4&gt;=$G16,R$4&lt;=$H16),IF($F16="Monthly",$E16,IF(MOD(R$4-$G16,12)=0,$E16,0)),0)</f>
        <v>2.25</v>
      </c>
      <c r="S16" s="41" t="n">
        <f aca="false">IF(AND(S$4&gt;=$G16,S$4&lt;=$H16),IF($F16="Monthly",$E16,IF(MOD(S$4-$G16,12)=0,$E16,0)),0)</f>
        <v>2.25</v>
      </c>
      <c r="T16" s="41" t="n">
        <f aca="false">IF(AND(T$4&gt;=$G16,T$4&lt;=$H16),IF($F16="Monthly",$E16,IF(MOD(T$4-$G16,12)=0,$E16,0)),0)</f>
        <v>2.25</v>
      </c>
      <c r="U16" s="41" t="n">
        <f aca="false">IF(AND(U$4&gt;=$G16,U$4&lt;=$H16),IF($F16="Monthly",$E16,IF(MOD(U$4-$G16,12)=0,$E16,0)),0)</f>
        <v>2.25</v>
      </c>
      <c r="V16" s="41" t="n">
        <f aca="false">IF(AND(V$4&gt;=$G16,V$4&lt;=$H16),IF($F16="Monthly",$E16,IF(MOD(V$4-$G16,12)=0,$E16,0)),0)</f>
        <v>2.25</v>
      </c>
      <c r="W16" s="41" t="n">
        <f aca="false">IF(AND(W$4&gt;=$G16,W$4&lt;=$H16),IF($F16="Monthly",$E16,IF(MOD(W$4-$G16,12)=0,$E16,0)),0)</f>
        <v>2.25</v>
      </c>
      <c r="X16" s="41" t="n">
        <f aca="false">IF(AND(X$4&gt;=$G16,X$4&lt;=$H16),IF($F16="Monthly",$E16,IF(MOD(X$4-$G16,12)=0,$E16,0)),0)</f>
        <v>2.25</v>
      </c>
      <c r="Y16" s="41" t="n">
        <f aca="false">IF(AND(Y$4&gt;=$G16,Y$4&lt;=$H16),IF($F16="Monthly",$E16,IF(MOD(Y$4-$G16,12)=0,$E16,0)),0)</f>
        <v>2.25</v>
      </c>
      <c r="Z16" s="41" t="n">
        <f aca="false">IF(AND(Z$4&gt;=$G16,Z$4&lt;=$H16),IF($F16="Monthly",$E16,IF(MOD(Z$4-$G16,12)=0,$E16,0)),0)</f>
        <v>2.25</v>
      </c>
      <c r="AA16" s="41" t="n">
        <f aca="false">IF(AND(AA$4&gt;=$G16,AA$4&lt;=$H16),IF($F16="Monthly",$E16,IF(MOD(AA$4-$G16,12)=0,$E16,0)),0)</f>
        <v>2.25</v>
      </c>
      <c r="AB16" s="41" t="n">
        <f aca="false">IF(AND(AB$4&gt;=$G16,AB$4&lt;=$H16),IF($F16="Monthly",$E16,IF(MOD(AB$4-$G16,12)=0,$E16,0)),0)</f>
        <v>2.25</v>
      </c>
      <c r="AC16" s="41" t="n">
        <f aca="false">IF(AND(AC$4&gt;=$G16,AC$4&lt;=$H16),IF($F16="Monthly",$E16,IF(MOD(AC$4-$G16,12)=0,$E16,0)),0)</f>
        <v>2.25</v>
      </c>
      <c r="AD16" s="41" t="n">
        <f aca="false">IF(AND(AD$4&gt;=$G16,AD$4&lt;=$H16),IF($F16="Monthly",$E16,IF(MOD(AD$4-$G16,12)=0,$E16,0)),0)</f>
        <v>2.25</v>
      </c>
      <c r="AE16" s="41" t="n">
        <f aca="false">IF(AND(AE$4&gt;=$G16,AE$4&lt;=$H16),IF($F16="Monthly",$E16,IF(MOD(AE$4-$G16,12)=0,$E16,0)),0)</f>
        <v>2.25</v>
      </c>
      <c r="AF16" s="41" t="n">
        <f aca="false">IF(AND(AF$4&gt;=$G16,AF$4&lt;=$H16),IF($F16="Monthly",$E16,IF(MOD(AF$4-$G16,12)=0,$E16,0)),0)</f>
        <v>2.25</v>
      </c>
      <c r="AG16" s="41" t="n">
        <f aca="false">IF(AND(AG$4&gt;=$G16,AG$4&lt;=$H16),IF($F16="Monthly",$E16,IF(MOD(AG$4-$G16,12)=0,$E16,0)),0)</f>
        <v>2.25</v>
      </c>
      <c r="AH16" s="41" t="n">
        <f aca="false">IF(AND(AH$4&gt;=$G16,AH$4&lt;=$H16),IF($F16="Monthly",$E16,IF(MOD(AH$4-$G16,12)=0,$E16,0)),0)</f>
        <v>2.25</v>
      </c>
      <c r="AI16" s="41" t="n">
        <f aca="false">IF(AND(AI$4&gt;=$G16,AI$4&lt;=$H16),IF($F16="Monthly",$E16,IF(MOD(AI$4-$G16,12)=0,$E16,0)),0)</f>
        <v>2.25</v>
      </c>
      <c r="AJ16" s="41" t="n">
        <f aca="false">IF(AND(AJ$4&gt;=$G16,AJ$4&lt;=$H16),IF($F16="Monthly",$E16,IF(MOD(AJ$4-$G16,12)=0,$E16,0)),0)</f>
        <v>2.25</v>
      </c>
      <c r="AK16" s="41" t="n">
        <f aca="false">IF(AND(AK$4&gt;=$G16,AK$4&lt;=$H16),IF($F16="Monthly",$E16,IF(MOD(AK$4-$G16,12)=0,$E16,0)),0)</f>
        <v>2.25</v>
      </c>
      <c r="AL16" s="41" t="n">
        <f aca="false">IF(AND(AL$4&gt;=$G16,AL$4&lt;=$H16),IF($F16="Monthly",$E16,IF(MOD(AL$4-$G16,12)=0,$E16,0)),0)</f>
        <v>2.25</v>
      </c>
      <c r="AM16" s="41" t="n">
        <f aca="false">IF(AND(AM$4&gt;=$G16,AM$4&lt;=$H16),IF($F16="Monthly",$E16,IF(MOD(AM$4-$G16,12)=0,$E16,0)),0)</f>
        <v>2.25</v>
      </c>
      <c r="AN16" s="41" t="n">
        <f aca="false">IF(AND(AN$4&gt;=$G16,AN$4&lt;=$H16),IF($F16="Monthly",$E16,IF(MOD(AN$4-$G16,12)=0,$E16,0)),0)</f>
        <v>2.25</v>
      </c>
      <c r="AO16" s="41" t="n">
        <f aca="false">IF(AND(AO$4&gt;=$G16,AO$4&lt;=$H16),IF($F16="Monthly",$E16,IF(MOD(AO$4-$G16,12)=0,$E16,0)),0)</f>
        <v>2.25</v>
      </c>
      <c r="AP16" s="41" t="n">
        <f aca="false">IF(AND(AP$4&gt;=$G16,AP$4&lt;=$H16),IF($F16="Monthly",$E16,IF(MOD(AP$4-$G16,12)=0,$E16,0)),0)</f>
        <v>2.25</v>
      </c>
      <c r="AQ16" s="41" t="n">
        <f aca="false">IF(AND(AQ$4&gt;=$G16,AQ$4&lt;=$H16),IF($F16="Monthly",$E16,IF(MOD(AQ$4-$G16,12)=0,$E16,0)),0)</f>
        <v>2.25</v>
      </c>
      <c r="AR16" s="41" t="n">
        <f aca="false">IF(AND(AR$4&gt;=$G16,AR$4&lt;=$H16),IF($F16="Monthly",$E16,IF(MOD(AR$4-$G16,12)=0,$E16,0)),0)</f>
        <v>2.25</v>
      </c>
      <c r="AS16" s="41" t="n">
        <f aca="false">IF(AND(AS$4&gt;=$G16,AS$4&lt;=$H16),IF($F16="Monthly",$E16,IF(MOD(AS$4-$G16,12)=0,$E16,0)),0)</f>
        <v>2.25</v>
      </c>
      <c r="AT16" s="41" t="n">
        <f aca="false">IF(AND(AT$4&gt;=$G16,AT$4&lt;=$H16),IF($F16="Monthly",$E16,IF(MOD(AT$4-$G16,12)=0,$E16,0)),0)</f>
        <v>2.25</v>
      </c>
      <c r="AU16" s="41" t="n">
        <f aca="false">IF(AND(AU$4&gt;=$G16,AU$4&lt;=$H16),IF($F16="Monthly",$E16,IF(MOD(AU$4-$G16,12)=0,$E16,0)),0)</f>
        <v>2.25</v>
      </c>
      <c r="AV16" s="41" t="n">
        <f aca="false">IF(AND(AV$4&gt;=$G16,AV$4&lt;=$H16),IF($F16="Monthly",$E16,IF(MOD(AV$4-$G16,12)=0,$E16,0)),0)</f>
        <v>2.25</v>
      </c>
      <c r="AW16" s="41" t="n">
        <f aca="false">IF(AND(AW$4&gt;=$G16,AW$4&lt;=$H16),IF($F16="Monthly",$E16,IF(MOD(AW$4-$G16,12)=0,$E16,0)),0)</f>
        <v>2.25</v>
      </c>
      <c r="AX16" s="41" t="n">
        <f aca="false">IF(AND(AX$4&gt;=$G16,AX$4&lt;=$H16),IF($F16="Monthly",$E16,IF(MOD(AX$4-$G16,12)=0,$E16,0)),0)</f>
        <v>2.25</v>
      </c>
    </row>
    <row r="17" customFormat="false" ht="15" hidden="false" customHeight="false" outlineLevel="0" collapsed="false">
      <c r="A17" s="7" t="s">
        <v>694</v>
      </c>
      <c r="B17" s="7" t="s">
        <v>695</v>
      </c>
      <c r="C17" s="25" t="n">
        <v>0</v>
      </c>
      <c r="D17" s="25" t="n">
        <v>25</v>
      </c>
      <c r="E17" s="15" t="n">
        <f aca="false">C17+Assumptions!$C$9*(D17-C17)</f>
        <v>12.5</v>
      </c>
      <c r="F17" s="44" t="s">
        <v>666</v>
      </c>
      <c r="G17" s="21" t="n">
        <v>1</v>
      </c>
      <c r="H17" s="21" t="n">
        <v>36</v>
      </c>
      <c r="I17" s="41" t="n">
        <f aca="false">SUMIF($O$3:$AX$3,1,O17:AX17)</f>
        <v>150</v>
      </c>
      <c r="J17" s="41" t="n">
        <f aca="false">SUMIF($O$3:$AX$3,2,O17:AX17)</f>
        <v>150</v>
      </c>
      <c r="K17" s="41" t="n">
        <f aca="false">SUMIF($O$3:$AX$3,3,O17:AX17)</f>
        <v>150</v>
      </c>
      <c r="L17" s="7" t="s">
        <v>696</v>
      </c>
      <c r="M17" s="7" t="s">
        <v>160</v>
      </c>
      <c r="O17" s="41" t="n">
        <f aca="false">IF(AND(O$4&gt;=$G17,O$4&lt;=$H17),IF($F17="Monthly",$E17,IF(MOD(O$4-$G17,12)=0,$E17,0)),0)</f>
        <v>12.5</v>
      </c>
      <c r="P17" s="41" t="n">
        <f aca="false">IF(AND(P$4&gt;=$G17,P$4&lt;=$H17),IF($F17="Monthly",$E17,IF(MOD(P$4-$G17,12)=0,$E17,0)),0)</f>
        <v>12.5</v>
      </c>
      <c r="Q17" s="41" t="n">
        <f aca="false">IF(AND(Q$4&gt;=$G17,Q$4&lt;=$H17),IF($F17="Monthly",$E17,IF(MOD(Q$4-$G17,12)=0,$E17,0)),0)</f>
        <v>12.5</v>
      </c>
      <c r="R17" s="41" t="n">
        <f aca="false">IF(AND(R$4&gt;=$G17,R$4&lt;=$H17),IF($F17="Monthly",$E17,IF(MOD(R$4-$G17,12)=0,$E17,0)),0)</f>
        <v>12.5</v>
      </c>
      <c r="S17" s="41" t="n">
        <f aca="false">IF(AND(S$4&gt;=$G17,S$4&lt;=$H17),IF($F17="Monthly",$E17,IF(MOD(S$4-$G17,12)=0,$E17,0)),0)</f>
        <v>12.5</v>
      </c>
      <c r="T17" s="41" t="n">
        <f aca="false">IF(AND(T$4&gt;=$G17,T$4&lt;=$H17),IF($F17="Monthly",$E17,IF(MOD(T$4-$G17,12)=0,$E17,0)),0)</f>
        <v>12.5</v>
      </c>
      <c r="U17" s="41" t="n">
        <f aca="false">IF(AND(U$4&gt;=$G17,U$4&lt;=$H17),IF($F17="Monthly",$E17,IF(MOD(U$4-$G17,12)=0,$E17,0)),0)</f>
        <v>12.5</v>
      </c>
      <c r="V17" s="41" t="n">
        <f aca="false">IF(AND(V$4&gt;=$G17,V$4&lt;=$H17),IF($F17="Monthly",$E17,IF(MOD(V$4-$G17,12)=0,$E17,0)),0)</f>
        <v>12.5</v>
      </c>
      <c r="W17" s="41" t="n">
        <f aca="false">IF(AND(W$4&gt;=$G17,W$4&lt;=$H17),IF($F17="Monthly",$E17,IF(MOD(W$4-$G17,12)=0,$E17,0)),0)</f>
        <v>12.5</v>
      </c>
      <c r="X17" s="41" t="n">
        <f aca="false">IF(AND(X$4&gt;=$G17,X$4&lt;=$H17),IF($F17="Monthly",$E17,IF(MOD(X$4-$G17,12)=0,$E17,0)),0)</f>
        <v>12.5</v>
      </c>
      <c r="Y17" s="41" t="n">
        <f aca="false">IF(AND(Y$4&gt;=$G17,Y$4&lt;=$H17),IF($F17="Monthly",$E17,IF(MOD(Y$4-$G17,12)=0,$E17,0)),0)</f>
        <v>12.5</v>
      </c>
      <c r="Z17" s="41" t="n">
        <f aca="false">IF(AND(Z$4&gt;=$G17,Z$4&lt;=$H17),IF($F17="Monthly",$E17,IF(MOD(Z$4-$G17,12)=0,$E17,0)),0)</f>
        <v>12.5</v>
      </c>
      <c r="AA17" s="41" t="n">
        <f aca="false">IF(AND(AA$4&gt;=$G17,AA$4&lt;=$H17),IF($F17="Monthly",$E17,IF(MOD(AA$4-$G17,12)=0,$E17,0)),0)</f>
        <v>12.5</v>
      </c>
      <c r="AB17" s="41" t="n">
        <f aca="false">IF(AND(AB$4&gt;=$G17,AB$4&lt;=$H17),IF($F17="Monthly",$E17,IF(MOD(AB$4-$G17,12)=0,$E17,0)),0)</f>
        <v>12.5</v>
      </c>
      <c r="AC17" s="41" t="n">
        <f aca="false">IF(AND(AC$4&gt;=$G17,AC$4&lt;=$H17),IF($F17="Monthly",$E17,IF(MOD(AC$4-$G17,12)=0,$E17,0)),0)</f>
        <v>12.5</v>
      </c>
      <c r="AD17" s="41" t="n">
        <f aca="false">IF(AND(AD$4&gt;=$G17,AD$4&lt;=$H17),IF($F17="Monthly",$E17,IF(MOD(AD$4-$G17,12)=0,$E17,0)),0)</f>
        <v>12.5</v>
      </c>
      <c r="AE17" s="41" t="n">
        <f aca="false">IF(AND(AE$4&gt;=$G17,AE$4&lt;=$H17),IF($F17="Monthly",$E17,IF(MOD(AE$4-$G17,12)=0,$E17,0)),0)</f>
        <v>12.5</v>
      </c>
      <c r="AF17" s="41" t="n">
        <f aca="false">IF(AND(AF$4&gt;=$G17,AF$4&lt;=$H17),IF($F17="Monthly",$E17,IF(MOD(AF$4-$G17,12)=0,$E17,0)),0)</f>
        <v>12.5</v>
      </c>
      <c r="AG17" s="41" t="n">
        <f aca="false">IF(AND(AG$4&gt;=$G17,AG$4&lt;=$H17),IF($F17="Monthly",$E17,IF(MOD(AG$4-$G17,12)=0,$E17,0)),0)</f>
        <v>12.5</v>
      </c>
      <c r="AH17" s="41" t="n">
        <f aca="false">IF(AND(AH$4&gt;=$G17,AH$4&lt;=$H17),IF($F17="Monthly",$E17,IF(MOD(AH$4-$G17,12)=0,$E17,0)),0)</f>
        <v>12.5</v>
      </c>
      <c r="AI17" s="41" t="n">
        <f aca="false">IF(AND(AI$4&gt;=$G17,AI$4&lt;=$H17),IF($F17="Monthly",$E17,IF(MOD(AI$4-$G17,12)=0,$E17,0)),0)</f>
        <v>12.5</v>
      </c>
      <c r="AJ17" s="41" t="n">
        <f aca="false">IF(AND(AJ$4&gt;=$G17,AJ$4&lt;=$H17),IF($F17="Monthly",$E17,IF(MOD(AJ$4-$G17,12)=0,$E17,0)),0)</f>
        <v>12.5</v>
      </c>
      <c r="AK17" s="41" t="n">
        <f aca="false">IF(AND(AK$4&gt;=$G17,AK$4&lt;=$H17),IF($F17="Monthly",$E17,IF(MOD(AK$4-$G17,12)=0,$E17,0)),0)</f>
        <v>12.5</v>
      </c>
      <c r="AL17" s="41" t="n">
        <f aca="false">IF(AND(AL$4&gt;=$G17,AL$4&lt;=$H17),IF($F17="Monthly",$E17,IF(MOD(AL$4-$G17,12)=0,$E17,0)),0)</f>
        <v>12.5</v>
      </c>
      <c r="AM17" s="41" t="n">
        <f aca="false">IF(AND(AM$4&gt;=$G17,AM$4&lt;=$H17),IF($F17="Monthly",$E17,IF(MOD(AM$4-$G17,12)=0,$E17,0)),0)</f>
        <v>12.5</v>
      </c>
      <c r="AN17" s="41" t="n">
        <f aca="false">IF(AND(AN$4&gt;=$G17,AN$4&lt;=$H17),IF($F17="Monthly",$E17,IF(MOD(AN$4-$G17,12)=0,$E17,0)),0)</f>
        <v>12.5</v>
      </c>
      <c r="AO17" s="41" t="n">
        <f aca="false">IF(AND(AO$4&gt;=$G17,AO$4&lt;=$H17),IF($F17="Monthly",$E17,IF(MOD(AO$4-$G17,12)=0,$E17,0)),0)</f>
        <v>12.5</v>
      </c>
      <c r="AP17" s="41" t="n">
        <f aca="false">IF(AND(AP$4&gt;=$G17,AP$4&lt;=$H17),IF($F17="Monthly",$E17,IF(MOD(AP$4-$G17,12)=0,$E17,0)),0)</f>
        <v>12.5</v>
      </c>
      <c r="AQ17" s="41" t="n">
        <f aca="false">IF(AND(AQ$4&gt;=$G17,AQ$4&lt;=$H17),IF($F17="Monthly",$E17,IF(MOD(AQ$4-$G17,12)=0,$E17,0)),0)</f>
        <v>12.5</v>
      </c>
      <c r="AR17" s="41" t="n">
        <f aca="false">IF(AND(AR$4&gt;=$G17,AR$4&lt;=$H17),IF($F17="Monthly",$E17,IF(MOD(AR$4-$G17,12)=0,$E17,0)),0)</f>
        <v>12.5</v>
      </c>
      <c r="AS17" s="41" t="n">
        <f aca="false">IF(AND(AS$4&gt;=$G17,AS$4&lt;=$H17),IF($F17="Monthly",$E17,IF(MOD(AS$4-$G17,12)=0,$E17,0)),0)</f>
        <v>12.5</v>
      </c>
      <c r="AT17" s="41" t="n">
        <f aca="false">IF(AND(AT$4&gt;=$G17,AT$4&lt;=$H17),IF($F17="Monthly",$E17,IF(MOD(AT$4-$G17,12)=0,$E17,0)),0)</f>
        <v>12.5</v>
      </c>
      <c r="AU17" s="41" t="n">
        <f aca="false">IF(AND(AU$4&gt;=$G17,AU$4&lt;=$H17),IF($F17="Monthly",$E17,IF(MOD(AU$4-$G17,12)=0,$E17,0)),0)</f>
        <v>12.5</v>
      </c>
      <c r="AV17" s="41" t="n">
        <f aca="false">IF(AND(AV$4&gt;=$G17,AV$4&lt;=$H17),IF($F17="Monthly",$E17,IF(MOD(AV$4-$G17,12)=0,$E17,0)),0)</f>
        <v>12.5</v>
      </c>
      <c r="AW17" s="41" t="n">
        <f aca="false">IF(AND(AW$4&gt;=$G17,AW$4&lt;=$H17),IF($F17="Monthly",$E17,IF(MOD(AW$4-$G17,12)=0,$E17,0)),0)</f>
        <v>12.5</v>
      </c>
      <c r="AX17" s="41" t="n">
        <f aca="false">IF(AND(AX$4&gt;=$G17,AX$4&lt;=$H17),IF($F17="Monthly",$E17,IF(MOD(AX$4-$G17,12)=0,$E17,0)),0)</f>
        <v>12.5</v>
      </c>
    </row>
    <row r="18" customFormat="false" ht="15" hidden="false" customHeight="false" outlineLevel="0" collapsed="false">
      <c r="A18" s="7" t="s">
        <v>697</v>
      </c>
      <c r="B18" s="7" t="s">
        <v>698</v>
      </c>
      <c r="C18" s="25" t="n">
        <v>61</v>
      </c>
      <c r="D18" s="25" t="n">
        <v>61</v>
      </c>
      <c r="E18" s="15" t="n">
        <f aca="false">C18+Assumptions!$C$9*(D18-C18)</f>
        <v>61</v>
      </c>
      <c r="F18" s="44" t="s">
        <v>672</v>
      </c>
      <c r="G18" s="21" t="n">
        <v>1</v>
      </c>
      <c r="H18" s="21" t="n">
        <v>36</v>
      </c>
      <c r="I18" s="41" t="n">
        <f aca="false">SUMIF($O$3:$AX$3,1,O18:AX18)</f>
        <v>61</v>
      </c>
      <c r="J18" s="41" t="n">
        <f aca="false">SUMIF($O$3:$AX$3,2,O18:AX18)</f>
        <v>61</v>
      </c>
      <c r="K18" s="41" t="n">
        <f aca="false">SUMIF($O$3:$AX$3,3,O18:AX18)</f>
        <v>61</v>
      </c>
      <c r="L18" s="7" t="s">
        <v>699</v>
      </c>
      <c r="M18" s="7" t="s">
        <v>79</v>
      </c>
      <c r="O18" s="41" t="n">
        <f aca="false">IF(AND(O$4&gt;=$G18,O$4&lt;=$H18),IF($F18="Monthly",$E18,IF(MOD(O$4-$G18,12)=0,$E18,0)),0)</f>
        <v>61</v>
      </c>
      <c r="P18" s="41" t="n">
        <f aca="false">IF(AND(P$4&gt;=$G18,P$4&lt;=$H18),IF($F18="Monthly",$E18,IF(MOD(P$4-$G18,12)=0,$E18,0)),0)</f>
        <v>0</v>
      </c>
      <c r="Q18" s="41" t="n">
        <f aca="false">IF(AND(Q$4&gt;=$G18,Q$4&lt;=$H18),IF($F18="Monthly",$E18,IF(MOD(Q$4-$G18,12)=0,$E18,0)),0)</f>
        <v>0</v>
      </c>
      <c r="R18" s="41" t="n">
        <f aca="false">IF(AND(R$4&gt;=$G18,R$4&lt;=$H18),IF($F18="Monthly",$E18,IF(MOD(R$4-$G18,12)=0,$E18,0)),0)</f>
        <v>0</v>
      </c>
      <c r="S18" s="41" t="n">
        <f aca="false">IF(AND(S$4&gt;=$G18,S$4&lt;=$H18),IF($F18="Monthly",$E18,IF(MOD(S$4-$G18,12)=0,$E18,0)),0)</f>
        <v>0</v>
      </c>
      <c r="T18" s="41" t="n">
        <f aca="false">IF(AND(T$4&gt;=$G18,T$4&lt;=$H18),IF($F18="Monthly",$E18,IF(MOD(T$4-$G18,12)=0,$E18,0)),0)</f>
        <v>0</v>
      </c>
      <c r="U18" s="41" t="n">
        <f aca="false">IF(AND(U$4&gt;=$G18,U$4&lt;=$H18),IF($F18="Monthly",$E18,IF(MOD(U$4-$G18,12)=0,$E18,0)),0)</f>
        <v>0</v>
      </c>
      <c r="V18" s="41" t="n">
        <f aca="false">IF(AND(V$4&gt;=$G18,V$4&lt;=$H18),IF($F18="Monthly",$E18,IF(MOD(V$4-$G18,12)=0,$E18,0)),0)</f>
        <v>0</v>
      </c>
      <c r="W18" s="41" t="n">
        <f aca="false">IF(AND(W$4&gt;=$G18,W$4&lt;=$H18),IF($F18="Monthly",$E18,IF(MOD(W$4-$G18,12)=0,$E18,0)),0)</f>
        <v>0</v>
      </c>
      <c r="X18" s="41" t="n">
        <f aca="false">IF(AND(X$4&gt;=$G18,X$4&lt;=$H18),IF($F18="Monthly",$E18,IF(MOD(X$4-$G18,12)=0,$E18,0)),0)</f>
        <v>0</v>
      </c>
      <c r="Y18" s="41" t="n">
        <f aca="false">IF(AND(Y$4&gt;=$G18,Y$4&lt;=$H18),IF($F18="Monthly",$E18,IF(MOD(Y$4-$G18,12)=0,$E18,0)),0)</f>
        <v>0</v>
      </c>
      <c r="Z18" s="41" t="n">
        <f aca="false">IF(AND(Z$4&gt;=$G18,Z$4&lt;=$H18),IF($F18="Monthly",$E18,IF(MOD(Z$4-$G18,12)=0,$E18,0)),0)</f>
        <v>0</v>
      </c>
      <c r="AA18" s="41" t="n">
        <f aca="false">IF(AND(AA$4&gt;=$G18,AA$4&lt;=$H18),IF($F18="Monthly",$E18,IF(MOD(AA$4-$G18,12)=0,$E18,0)),0)</f>
        <v>61</v>
      </c>
      <c r="AB18" s="41" t="n">
        <f aca="false">IF(AND(AB$4&gt;=$G18,AB$4&lt;=$H18),IF($F18="Monthly",$E18,IF(MOD(AB$4-$G18,12)=0,$E18,0)),0)</f>
        <v>0</v>
      </c>
      <c r="AC18" s="41" t="n">
        <f aca="false">IF(AND(AC$4&gt;=$G18,AC$4&lt;=$H18),IF($F18="Monthly",$E18,IF(MOD(AC$4-$G18,12)=0,$E18,0)),0)</f>
        <v>0</v>
      </c>
      <c r="AD18" s="41" t="n">
        <f aca="false">IF(AND(AD$4&gt;=$G18,AD$4&lt;=$H18),IF($F18="Monthly",$E18,IF(MOD(AD$4-$G18,12)=0,$E18,0)),0)</f>
        <v>0</v>
      </c>
      <c r="AE18" s="41" t="n">
        <f aca="false">IF(AND(AE$4&gt;=$G18,AE$4&lt;=$H18),IF($F18="Monthly",$E18,IF(MOD(AE$4-$G18,12)=0,$E18,0)),0)</f>
        <v>0</v>
      </c>
      <c r="AF18" s="41" t="n">
        <f aca="false">IF(AND(AF$4&gt;=$G18,AF$4&lt;=$H18),IF($F18="Monthly",$E18,IF(MOD(AF$4-$G18,12)=0,$E18,0)),0)</f>
        <v>0</v>
      </c>
      <c r="AG18" s="41" t="n">
        <f aca="false">IF(AND(AG$4&gt;=$G18,AG$4&lt;=$H18),IF($F18="Monthly",$E18,IF(MOD(AG$4-$G18,12)=0,$E18,0)),0)</f>
        <v>0</v>
      </c>
      <c r="AH18" s="41" t="n">
        <f aca="false">IF(AND(AH$4&gt;=$G18,AH$4&lt;=$H18),IF($F18="Monthly",$E18,IF(MOD(AH$4-$G18,12)=0,$E18,0)),0)</f>
        <v>0</v>
      </c>
      <c r="AI18" s="41" t="n">
        <f aca="false">IF(AND(AI$4&gt;=$G18,AI$4&lt;=$H18),IF($F18="Monthly",$E18,IF(MOD(AI$4-$G18,12)=0,$E18,0)),0)</f>
        <v>0</v>
      </c>
      <c r="AJ18" s="41" t="n">
        <f aca="false">IF(AND(AJ$4&gt;=$G18,AJ$4&lt;=$H18),IF($F18="Monthly",$E18,IF(MOD(AJ$4-$G18,12)=0,$E18,0)),0)</f>
        <v>0</v>
      </c>
      <c r="AK18" s="41" t="n">
        <f aca="false">IF(AND(AK$4&gt;=$G18,AK$4&lt;=$H18),IF($F18="Monthly",$E18,IF(MOD(AK$4-$G18,12)=0,$E18,0)),0)</f>
        <v>0</v>
      </c>
      <c r="AL18" s="41" t="n">
        <f aca="false">IF(AND(AL$4&gt;=$G18,AL$4&lt;=$H18),IF($F18="Monthly",$E18,IF(MOD(AL$4-$G18,12)=0,$E18,0)),0)</f>
        <v>0</v>
      </c>
      <c r="AM18" s="41" t="n">
        <f aca="false">IF(AND(AM$4&gt;=$G18,AM$4&lt;=$H18),IF($F18="Monthly",$E18,IF(MOD(AM$4-$G18,12)=0,$E18,0)),0)</f>
        <v>61</v>
      </c>
      <c r="AN18" s="41" t="n">
        <f aca="false">IF(AND(AN$4&gt;=$G18,AN$4&lt;=$H18),IF($F18="Monthly",$E18,IF(MOD(AN$4-$G18,12)=0,$E18,0)),0)</f>
        <v>0</v>
      </c>
      <c r="AO18" s="41" t="n">
        <f aca="false">IF(AND(AO$4&gt;=$G18,AO$4&lt;=$H18),IF($F18="Monthly",$E18,IF(MOD(AO$4-$G18,12)=0,$E18,0)),0)</f>
        <v>0</v>
      </c>
      <c r="AP18" s="41" t="n">
        <f aca="false">IF(AND(AP$4&gt;=$G18,AP$4&lt;=$H18),IF($F18="Monthly",$E18,IF(MOD(AP$4-$G18,12)=0,$E18,0)),0)</f>
        <v>0</v>
      </c>
      <c r="AQ18" s="41" t="n">
        <f aca="false">IF(AND(AQ$4&gt;=$G18,AQ$4&lt;=$H18),IF($F18="Monthly",$E18,IF(MOD(AQ$4-$G18,12)=0,$E18,0)),0)</f>
        <v>0</v>
      </c>
      <c r="AR18" s="41" t="n">
        <f aca="false">IF(AND(AR$4&gt;=$G18,AR$4&lt;=$H18),IF($F18="Monthly",$E18,IF(MOD(AR$4-$G18,12)=0,$E18,0)),0)</f>
        <v>0</v>
      </c>
      <c r="AS18" s="41" t="n">
        <f aca="false">IF(AND(AS$4&gt;=$G18,AS$4&lt;=$H18),IF($F18="Monthly",$E18,IF(MOD(AS$4-$G18,12)=0,$E18,0)),0)</f>
        <v>0</v>
      </c>
      <c r="AT18" s="41" t="n">
        <f aca="false">IF(AND(AT$4&gt;=$G18,AT$4&lt;=$H18),IF($F18="Monthly",$E18,IF(MOD(AT$4-$G18,12)=0,$E18,0)),0)</f>
        <v>0</v>
      </c>
      <c r="AU18" s="41" t="n">
        <f aca="false">IF(AND(AU$4&gt;=$G18,AU$4&lt;=$H18),IF($F18="Monthly",$E18,IF(MOD(AU$4-$G18,12)=0,$E18,0)),0)</f>
        <v>0</v>
      </c>
      <c r="AV18" s="41" t="n">
        <f aca="false">IF(AND(AV$4&gt;=$G18,AV$4&lt;=$H18),IF($F18="Monthly",$E18,IF(MOD(AV$4-$G18,12)=0,$E18,0)),0)</f>
        <v>0</v>
      </c>
      <c r="AW18" s="41" t="n">
        <f aca="false">IF(AND(AW$4&gt;=$G18,AW$4&lt;=$H18),IF($F18="Monthly",$E18,IF(MOD(AW$4-$G18,12)=0,$E18,0)),0)</f>
        <v>0</v>
      </c>
      <c r="AX18" s="41" t="n">
        <f aca="false">IF(AND(AX$4&gt;=$G18,AX$4&lt;=$H18),IF($F18="Monthly",$E18,IF(MOD(AX$4-$G18,12)=0,$E18,0)),0)</f>
        <v>0</v>
      </c>
    </row>
    <row r="19" customFormat="false" ht="15" hidden="false" customHeight="false" outlineLevel="0" collapsed="false">
      <c r="A19" s="7" t="s">
        <v>700</v>
      </c>
      <c r="B19" s="7" t="s">
        <v>698</v>
      </c>
      <c r="C19" s="25" t="n">
        <v>118</v>
      </c>
      <c r="D19" s="25" t="n">
        <v>118</v>
      </c>
      <c r="E19" s="15" t="n">
        <f aca="false">C19+Assumptions!$C$9*(D19-C19)</f>
        <v>118</v>
      </c>
      <c r="F19" s="44" t="s">
        <v>672</v>
      </c>
      <c r="G19" s="21" t="n">
        <v>5</v>
      </c>
      <c r="H19" s="21" t="n">
        <v>36</v>
      </c>
      <c r="I19" s="41" t="n">
        <f aca="false">SUMIF($O$3:$AX$3,1,O19:AX19)</f>
        <v>118</v>
      </c>
      <c r="J19" s="41" t="n">
        <f aca="false">SUMIF($O$3:$AX$3,2,O19:AX19)</f>
        <v>118</v>
      </c>
      <c r="K19" s="41" t="n">
        <f aca="false">SUMIF($O$3:$AX$3,3,O19:AX19)</f>
        <v>118</v>
      </c>
      <c r="L19" s="7" t="s">
        <v>701</v>
      </c>
      <c r="M19" s="7" t="s">
        <v>79</v>
      </c>
      <c r="O19" s="41" t="n">
        <f aca="false">IF(AND(O$4&gt;=$G19,O$4&lt;=$H19),IF($F19="Monthly",$E19,IF(MOD(O$4-$G19,12)=0,$E19,0)),0)</f>
        <v>0</v>
      </c>
      <c r="P19" s="41" t="n">
        <f aca="false">IF(AND(P$4&gt;=$G19,P$4&lt;=$H19),IF($F19="Monthly",$E19,IF(MOD(P$4-$G19,12)=0,$E19,0)),0)</f>
        <v>0</v>
      </c>
      <c r="Q19" s="41" t="n">
        <f aca="false">IF(AND(Q$4&gt;=$G19,Q$4&lt;=$H19),IF($F19="Monthly",$E19,IF(MOD(Q$4-$G19,12)=0,$E19,0)),0)</f>
        <v>0</v>
      </c>
      <c r="R19" s="41" t="n">
        <f aca="false">IF(AND(R$4&gt;=$G19,R$4&lt;=$H19),IF($F19="Monthly",$E19,IF(MOD(R$4-$G19,12)=0,$E19,0)),0)</f>
        <v>0</v>
      </c>
      <c r="S19" s="41" t="n">
        <f aca="false">IF(AND(S$4&gt;=$G19,S$4&lt;=$H19),IF($F19="Monthly",$E19,IF(MOD(S$4-$G19,12)=0,$E19,0)),0)</f>
        <v>118</v>
      </c>
      <c r="T19" s="41" t="n">
        <f aca="false">IF(AND(T$4&gt;=$G19,T$4&lt;=$H19),IF($F19="Monthly",$E19,IF(MOD(T$4-$G19,12)=0,$E19,0)),0)</f>
        <v>0</v>
      </c>
      <c r="U19" s="41" t="n">
        <f aca="false">IF(AND(U$4&gt;=$G19,U$4&lt;=$H19),IF($F19="Monthly",$E19,IF(MOD(U$4-$G19,12)=0,$E19,0)),0)</f>
        <v>0</v>
      </c>
      <c r="V19" s="41" t="n">
        <f aca="false">IF(AND(V$4&gt;=$G19,V$4&lt;=$H19),IF($F19="Monthly",$E19,IF(MOD(V$4-$G19,12)=0,$E19,0)),0)</f>
        <v>0</v>
      </c>
      <c r="W19" s="41" t="n">
        <f aca="false">IF(AND(W$4&gt;=$G19,W$4&lt;=$H19),IF($F19="Monthly",$E19,IF(MOD(W$4-$G19,12)=0,$E19,0)),0)</f>
        <v>0</v>
      </c>
      <c r="X19" s="41" t="n">
        <f aca="false">IF(AND(X$4&gt;=$G19,X$4&lt;=$H19),IF($F19="Monthly",$E19,IF(MOD(X$4-$G19,12)=0,$E19,0)),0)</f>
        <v>0</v>
      </c>
      <c r="Y19" s="41" t="n">
        <f aca="false">IF(AND(Y$4&gt;=$G19,Y$4&lt;=$H19),IF($F19="Monthly",$E19,IF(MOD(Y$4-$G19,12)=0,$E19,0)),0)</f>
        <v>0</v>
      </c>
      <c r="Z19" s="41" t="n">
        <f aca="false">IF(AND(Z$4&gt;=$G19,Z$4&lt;=$H19),IF($F19="Monthly",$E19,IF(MOD(Z$4-$G19,12)=0,$E19,0)),0)</f>
        <v>0</v>
      </c>
      <c r="AA19" s="41" t="n">
        <f aca="false">IF(AND(AA$4&gt;=$G19,AA$4&lt;=$H19),IF($F19="Monthly",$E19,IF(MOD(AA$4-$G19,12)=0,$E19,0)),0)</f>
        <v>0</v>
      </c>
      <c r="AB19" s="41" t="n">
        <f aca="false">IF(AND(AB$4&gt;=$G19,AB$4&lt;=$H19),IF($F19="Monthly",$E19,IF(MOD(AB$4-$G19,12)=0,$E19,0)),0)</f>
        <v>0</v>
      </c>
      <c r="AC19" s="41" t="n">
        <f aca="false">IF(AND(AC$4&gt;=$G19,AC$4&lt;=$H19),IF($F19="Monthly",$E19,IF(MOD(AC$4-$G19,12)=0,$E19,0)),0)</f>
        <v>0</v>
      </c>
      <c r="AD19" s="41" t="n">
        <f aca="false">IF(AND(AD$4&gt;=$G19,AD$4&lt;=$H19),IF($F19="Monthly",$E19,IF(MOD(AD$4-$G19,12)=0,$E19,0)),0)</f>
        <v>0</v>
      </c>
      <c r="AE19" s="41" t="n">
        <f aca="false">IF(AND(AE$4&gt;=$G19,AE$4&lt;=$H19),IF($F19="Monthly",$E19,IF(MOD(AE$4-$G19,12)=0,$E19,0)),0)</f>
        <v>118</v>
      </c>
      <c r="AF19" s="41" t="n">
        <f aca="false">IF(AND(AF$4&gt;=$G19,AF$4&lt;=$H19),IF($F19="Monthly",$E19,IF(MOD(AF$4-$G19,12)=0,$E19,0)),0)</f>
        <v>0</v>
      </c>
      <c r="AG19" s="41" t="n">
        <f aca="false">IF(AND(AG$4&gt;=$G19,AG$4&lt;=$H19),IF($F19="Monthly",$E19,IF(MOD(AG$4-$G19,12)=0,$E19,0)),0)</f>
        <v>0</v>
      </c>
      <c r="AH19" s="41" t="n">
        <f aca="false">IF(AND(AH$4&gt;=$G19,AH$4&lt;=$H19),IF($F19="Monthly",$E19,IF(MOD(AH$4-$G19,12)=0,$E19,0)),0)</f>
        <v>0</v>
      </c>
      <c r="AI19" s="41" t="n">
        <f aca="false">IF(AND(AI$4&gt;=$G19,AI$4&lt;=$H19),IF($F19="Monthly",$E19,IF(MOD(AI$4-$G19,12)=0,$E19,0)),0)</f>
        <v>0</v>
      </c>
      <c r="AJ19" s="41" t="n">
        <f aca="false">IF(AND(AJ$4&gt;=$G19,AJ$4&lt;=$H19),IF($F19="Monthly",$E19,IF(MOD(AJ$4-$G19,12)=0,$E19,0)),0)</f>
        <v>0</v>
      </c>
      <c r="AK19" s="41" t="n">
        <f aca="false">IF(AND(AK$4&gt;=$G19,AK$4&lt;=$H19),IF($F19="Monthly",$E19,IF(MOD(AK$4-$G19,12)=0,$E19,0)),0)</f>
        <v>0</v>
      </c>
      <c r="AL19" s="41" t="n">
        <f aca="false">IF(AND(AL$4&gt;=$G19,AL$4&lt;=$H19),IF($F19="Monthly",$E19,IF(MOD(AL$4-$G19,12)=0,$E19,0)),0)</f>
        <v>0</v>
      </c>
      <c r="AM19" s="41" t="n">
        <f aca="false">IF(AND(AM$4&gt;=$G19,AM$4&lt;=$H19),IF($F19="Monthly",$E19,IF(MOD(AM$4-$G19,12)=0,$E19,0)),0)</f>
        <v>0</v>
      </c>
      <c r="AN19" s="41" t="n">
        <f aca="false">IF(AND(AN$4&gt;=$G19,AN$4&lt;=$H19),IF($F19="Monthly",$E19,IF(MOD(AN$4-$G19,12)=0,$E19,0)),0)</f>
        <v>0</v>
      </c>
      <c r="AO19" s="41" t="n">
        <f aca="false">IF(AND(AO$4&gt;=$G19,AO$4&lt;=$H19),IF($F19="Monthly",$E19,IF(MOD(AO$4-$G19,12)=0,$E19,0)),0)</f>
        <v>0</v>
      </c>
      <c r="AP19" s="41" t="n">
        <f aca="false">IF(AND(AP$4&gt;=$G19,AP$4&lt;=$H19),IF($F19="Monthly",$E19,IF(MOD(AP$4-$G19,12)=0,$E19,0)),0)</f>
        <v>0</v>
      </c>
      <c r="AQ19" s="41" t="n">
        <f aca="false">IF(AND(AQ$4&gt;=$G19,AQ$4&lt;=$H19),IF($F19="Monthly",$E19,IF(MOD(AQ$4-$G19,12)=0,$E19,0)),0)</f>
        <v>118</v>
      </c>
      <c r="AR19" s="41" t="n">
        <f aca="false">IF(AND(AR$4&gt;=$G19,AR$4&lt;=$H19),IF($F19="Monthly",$E19,IF(MOD(AR$4-$G19,12)=0,$E19,0)),0)</f>
        <v>0</v>
      </c>
      <c r="AS19" s="41" t="n">
        <f aca="false">IF(AND(AS$4&gt;=$G19,AS$4&lt;=$H19),IF($F19="Monthly",$E19,IF(MOD(AS$4-$G19,12)=0,$E19,0)),0)</f>
        <v>0</v>
      </c>
      <c r="AT19" s="41" t="n">
        <f aca="false">IF(AND(AT$4&gt;=$G19,AT$4&lt;=$H19),IF($F19="Monthly",$E19,IF(MOD(AT$4-$G19,12)=0,$E19,0)),0)</f>
        <v>0</v>
      </c>
      <c r="AU19" s="41" t="n">
        <f aca="false">IF(AND(AU$4&gt;=$G19,AU$4&lt;=$H19),IF($F19="Monthly",$E19,IF(MOD(AU$4-$G19,12)=0,$E19,0)),0)</f>
        <v>0</v>
      </c>
      <c r="AV19" s="41" t="n">
        <f aca="false">IF(AND(AV$4&gt;=$G19,AV$4&lt;=$H19),IF($F19="Monthly",$E19,IF(MOD(AV$4-$G19,12)=0,$E19,0)),0)</f>
        <v>0</v>
      </c>
      <c r="AW19" s="41" t="n">
        <f aca="false">IF(AND(AW$4&gt;=$G19,AW$4&lt;=$H19),IF($F19="Monthly",$E19,IF(MOD(AW$4-$G19,12)=0,$E19,0)),0)</f>
        <v>0</v>
      </c>
      <c r="AX19" s="41" t="n">
        <f aca="false">IF(AND(AX$4&gt;=$G19,AX$4&lt;=$H19),IF($F19="Monthly",$E19,IF(MOD(AX$4-$G19,12)=0,$E19,0)),0)</f>
        <v>0</v>
      </c>
    </row>
    <row r="20" customFormat="false" ht="15" hidden="false" customHeight="false" outlineLevel="0" collapsed="false">
      <c r="A20" s="7" t="s">
        <v>702</v>
      </c>
      <c r="B20" s="7" t="s">
        <v>703</v>
      </c>
      <c r="C20" s="25" t="n">
        <v>100</v>
      </c>
      <c r="D20" s="25" t="n">
        <v>300</v>
      </c>
      <c r="E20" s="15" t="n">
        <f aca="false">C20+Assumptions!$C$9*(D20-C20)</f>
        <v>200</v>
      </c>
      <c r="F20" s="44" t="s">
        <v>672</v>
      </c>
      <c r="G20" s="21" t="n">
        <v>1</v>
      </c>
      <c r="H20" s="21" t="n">
        <v>36</v>
      </c>
      <c r="I20" s="41" t="n">
        <f aca="false">SUMIF($O$3:$AX$3,1,O20:AX20)</f>
        <v>200</v>
      </c>
      <c r="J20" s="41" t="n">
        <f aca="false">SUMIF($O$3:$AX$3,2,O20:AX20)</f>
        <v>200</v>
      </c>
      <c r="K20" s="41" t="n">
        <f aca="false">SUMIF($O$3:$AX$3,3,O20:AX20)</f>
        <v>200</v>
      </c>
      <c r="L20" s="7" t="s">
        <v>704</v>
      </c>
      <c r="M20" s="7" t="s">
        <v>160</v>
      </c>
      <c r="O20" s="41" t="n">
        <f aca="false">IF(AND(O$4&gt;=$G20,O$4&lt;=$H20),IF($F20="Monthly",$E20,IF(MOD(O$4-$G20,12)=0,$E20,0)),0)</f>
        <v>200</v>
      </c>
      <c r="P20" s="41" t="n">
        <f aca="false">IF(AND(P$4&gt;=$G20,P$4&lt;=$H20),IF($F20="Monthly",$E20,IF(MOD(P$4-$G20,12)=0,$E20,0)),0)</f>
        <v>0</v>
      </c>
      <c r="Q20" s="41" t="n">
        <f aca="false">IF(AND(Q$4&gt;=$G20,Q$4&lt;=$H20),IF($F20="Monthly",$E20,IF(MOD(Q$4-$G20,12)=0,$E20,0)),0)</f>
        <v>0</v>
      </c>
      <c r="R20" s="41" t="n">
        <f aca="false">IF(AND(R$4&gt;=$G20,R$4&lt;=$H20),IF($F20="Monthly",$E20,IF(MOD(R$4-$G20,12)=0,$E20,0)),0)</f>
        <v>0</v>
      </c>
      <c r="S20" s="41" t="n">
        <f aca="false">IF(AND(S$4&gt;=$G20,S$4&lt;=$H20),IF($F20="Monthly",$E20,IF(MOD(S$4-$G20,12)=0,$E20,0)),0)</f>
        <v>0</v>
      </c>
      <c r="T20" s="41" t="n">
        <f aca="false">IF(AND(T$4&gt;=$G20,T$4&lt;=$H20),IF($F20="Monthly",$E20,IF(MOD(T$4-$G20,12)=0,$E20,0)),0)</f>
        <v>0</v>
      </c>
      <c r="U20" s="41" t="n">
        <f aca="false">IF(AND(U$4&gt;=$G20,U$4&lt;=$H20),IF($F20="Monthly",$E20,IF(MOD(U$4-$G20,12)=0,$E20,0)),0)</f>
        <v>0</v>
      </c>
      <c r="V20" s="41" t="n">
        <f aca="false">IF(AND(V$4&gt;=$G20,V$4&lt;=$H20),IF($F20="Monthly",$E20,IF(MOD(V$4-$G20,12)=0,$E20,0)),0)</f>
        <v>0</v>
      </c>
      <c r="W20" s="41" t="n">
        <f aca="false">IF(AND(W$4&gt;=$G20,W$4&lt;=$H20),IF($F20="Monthly",$E20,IF(MOD(W$4-$G20,12)=0,$E20,0)),0)</f>
        <v>0</v>
      </c>
      <c r="X20" s="41" t="n">
        <f aca="false">IF(AND(X$4&gt;=$G20,X$4&lt;=$H20),IF($F20="Monthly",$E20,IF(MOD(X$4-$G20,12)=0,$E20,0)),0)</f>
        <v>0</v>
      </c>
      <c r="Y20" s="41" t="n">
        <f aca="false">IF(AND(Y$4&gt;=$G20,Y$4&lt;=$H20),IF($F20="Monthly",$E20,IF(MOD(Y$4-$G20,12)=0,$E20,0)),0)</f>
        <v>0</v>
      </c>
      <c r="Z20" s="41" t="n">
        <f aca="false">IF(AND(Z$4&gt;=$G20,Z$4&lt;=$H20),IF($F20="Monthly",$E20,IF(MOD(Z$4-$G20,12)=0,$E20,0)),0)</f>
        <v>0</v>
      </c>
      <c r="AA20" s="41" t="n">
        <f aca="false">IF(AND(AA$4&gt;=$G20,AA$4&lt;=$H20),IF($F20="Monthly",$E20,IF(MOD(AA$4-$G20,12)=0,$E20,0)),0)</f>
        <v>200</v>
      </c>
      <c r="AB20" s="41" t="n">
        <f aca="false">IF(AND(AB$4&gt;=$G20,AB$4&lt;=$H20),IF($F20="Monthly",$E20,IF(MOD(AB$4-$G20,12)=0,$E20,0)),0)</f>
        <v>0</v>
      </c>
      <c r="AC20" s="41" t="n">
        <f aca="false">IF(AND(AC$4&gt;=$G20,AC$4&lt;=$H20),IF($F20="Monthly",$E20,IF(MOD(AC$4-$G20,12)=0,$E20,0)),0)</f>
        <v>0</v>
      </c>
      <c r="AD20" s="41" t="n">
        <f aca="false">IF(AND(AD$4&gt;=$G20,AD$4&lt;=$H20),IF($F20="Monthly",$E20,IF(MOD(AD$4-$G20,12)=0,$E20,0)),0)</f>
        <v>0</v>
      </c>
      <c r="AE20" s="41" t="n">
        <f aca="false">IF(AND(AE$4&gt;=$G20,AE$4&lt;=$H20),IF($F20="Monthly",$E20,IF(MOD(AE$4-$G20,12)=0,$E20,0)),0)</f>
        <v>0</v>
      </c>
      <c r="AF20" s="41" t="n">
        <f aca="false">IF(AND(AF$4&gt;=$G20,AF$4&lt;=$H20),IF($F20="Monthly",$E20,IF(MOD(AF$4-$G20,12)=0,$E20,0)),0)</f>
        <v>0</v>
      </c>
      <c r="AG20" s="41" t="n">
        <f aca="false">IF(AND(AG$4&gt;=$G20,AG$4&lt;=$H20),IF($F20="Monthly",$E20,IF(MOD(AG$4-$G20,12)=0,$E20,0)),0)</f>
        <v>0</v>
      </c>
      <c r="AH20" s="41" t="n">
        <f aca="false">IF(AND(AH$4&gt;=$G20,AH$4&lt;=$H20),IF($F20="Monthly",$E20,IF(MOD(AH$4-$G20,12)=0,$E20,0)),0)</f>
        <v>0</v>
      </c>
      <c r="AI20" s="41" t="n">
        <f aca="false">IF(AND(AI$4&gt;=$G20,AI$4&lt;=$H20),IF($F20="Monthly",$E20,IF(MOD(AI$4-$G20,12)=0,$E20,0)),0)</f>
        <v>0</v>
      </c>
      <c r="AJ20" s="41" t="n">
        <f aca="false">IF(AND(AJ$4&gt;=$G20,AJ$4&lt;=$H20),IF($F20="Monthly",$E20,IF(MOD(AJ$4-$G20,12)=0,$E20,0)),0)</f>
        <v>0</v>
      </c>
      <c r="AK20" s="41" t="n">
        <f aca="false">IF(AND(AK$4&gt;=$G20,AK$4&lt;=$H20),IF($F20="Monthly",$E20,IF(MOD(AK$4-$G20,12)=0,$E20,0)),0)</f>
        <v>0</v>
      </c>
      <c r="AL20" s="41" t="n">
        <f aca="false">IF(AND(AL$4&gt;=$G20,AL$4&lt;=$H20),IF($F20="Monthly",$E20,IF(MOD(AL$4-$G20,12)=0,$E20,0)),0)</f>
        <v>0</v>
      </c>
      <c r="AM20" s="41" t="n">
        <f aca="false">IF(AND(AM$4&gt;=$G20,AM$4&lt;=$H20),IF($F20="Monthly",$E20,IF(MOD(AM$4-$G20,12)=0,$E20,0)),0)</f>
        <v>200</v>
      </c>
      <c r="AN20" s="41" t="n">
        <f aca="false">IF(AND(AN$4&gt;=$G20,AN$4&lt;=$H20),IF($F20="Monthly",$E20,IF(MOD(AN$4-$G20,12)=0,$E20,0)),0)</f>
        <v>0</v>
      </c>
      <c r="AO20" s="41" t="n">
        <f aca="false">IF(AND(AO$4&gt;=$G20,AO$4&lt;=$H20),IF($F20="Monthly",$E20,IF(MOD(AO$4-$G20,12)=0,$E20,0)),0)</f>
        <v>0</v>
      </c>
      <c r="AP20" s="41" t="n">
        <f aca="false">IF(AND(AP$4&gt;=$G20,AP$4&lt;=$H20),IF($F20="Monthly",$E20,IF(MOD(AP$4-$G20,12)=0,$E20,0)),0)</f>
        <v>0</v>
      </c>
      <c r="AQ20" s="41" t="n">
        <f aca="false">IF(AND(AQ$4&gt;=$G20,AQ$4&lt;=$H20),IF($F20="Monthly",$E20,IF(MOD(AQ$4-$G20,12)=0,$E20,0)),0)</f>
        <v>0</v>
      </c>
      <c r="AR20" s="41" t="n">
        <f aca="false">IF(AND(AR$4&gt;=$G20,AR$4&lt;=$H20),IF($F20="Monthly",$E20,IF(MOD(AR$4-$G20,12)=0,$E20,0)),0)</f>
        <v>0</v>
      </c>
      <c r="AS20" s="41" t="n">
        <f aca="false">IF(AND(AS$4&gt;=$G20,AS$4&lt;=$H20),IF($F20="Monthly",$E20,IF(MOD(AS$4-$G20,12)=0,$E20,0)),0)</f>
        <v>0</v>
      </c>
      <c r="AT20" s="41" t="n">
        <f aca="false">IF(AND(AT$4&gt;=$G20,AT$4&lt;=$H20),IF($F20="Monthly",$E20,IF(MOD(AT$4-$G20,12)=0,$E20,0)),0)</f>
        <v>0</v>
      </c>
      <c r="AU20" s="41" t="n">
        <f aca="false">IF(AND(AU$4&gt;=$G20,AU$4&lt;=$H20),IF($F20="Monthly",$E20,IF(MOD(AU$4-$G20,12)=0,$E20,0)),0)</f>
        <v>0</v>
      </c>
      <c r="AV20" s="41" t="n">
        <f aca="false">IF(AND(AV$4&gt;=$G20,AV$4&lt;=$H20),IF($F20="Monthly",$E20,IF(MOD(AV$4-$G20,12)=0,$E20,0)),0)</f>
        <v>0</v>
      </c>
      <c r="AW20" s="41" t="n">
        <f aca="false">IF(AND(AW$4&gt;=$G20,AW$4&lt;=$H20),IF($F20="Monthly",$E20,IF(MOD(AW$4-$G20,12)=0,$E20,0)),0)</f>
        <v>0</v>
      </c>
      <c r="AX20" s="41" t="n">
        <f aca="false">IF(AND(AX$4&gt;=$G20,AX$4&lt;=$H20),IF($F20="Monthly",$E20,IF(MOD(AX$4-$G20,12)=0,$E20,0)),0)</f>
        <v>0</v>
      </c>
    </row>
    <row r="21" customFormat="false" ht="15" hidden="false" customHeight="false" outlineLevel="0" collapsed="false">
      <c r="A21" s="7" t="s">
        <v>705</v>
      </c>
      <c r="B21" s="7" t="s">
        <v>703</v>
      </c>
      <c r="C21" s="25" t="n">
        <v>50</v>
      </c>
      <c r="D21" s="25" t="n">
        <v>300</v>
      </c>
      <c r="E21" s="15" t="n">
        <f aca="false">C21+Assumptions!$C$9*(D21-C21)</f>
        <v>175</v>
      </c>
      <c r="F21" s="44" t="s">
        <v>672</v>
      </c>
      <c r="G21" s="21" t="n">
        <v>1</v>
      </c>
      <c r="H21" s="21" t="n">
        <v>36</v>
      </c>
      <c r="I21" s="41" t="n">
        <f aca="false">SUMIF($O$3:$AX$3,1,O21:AX21)</f>
        <v>175</v>
      </c>
      <c r="J21" s="41" t="n">
        <f aca="false">SUMIF($O$3:$AX$3,2,O21:AX21)</f>
        <v>175</v>
      </c>
      <c r="K21" s="41" t="n">
        <f aca="false">SUMIF($O$3:$AX$3,3,O21:AX21)</f>
        <v>175</v>
      </c>
      <c r="L21" s="7" t="s">
        <v>706</v>
      </c>
      <c r="M21" s="7" t="s">
        <v>79</v>
      </c>
      <c r="O21" s="41" t="n">
        <f aca="false">IF(AND(O$4&gt;=$G21,O$4&lt;=$H21),IF($F21="Monthly",$E21,IF(MOD(O$4-$G21,12)=0,$E21,0)),0)</f>
        <v>175</v>
      </c>
      <c r="P21" s="41" t="n">
        <f aca="false">IF(AND(P$4&gt;=$G21,P$4&lt;=$H21),IF($F21="Monthly",$E21,IF(MOD(P$4-$G21,12)=0,$E21,0)),0)</f>
        <v>0</v>
      </c>
      <c r="Q21" s="41" t="n">
        <f aca="false">IF(AND(Q$4&gt;=$G21,Q$4&lt;=$H21),IF($F21="Monthly",$E21,IF(MOD(Q$4-$G21,12)=0,$E21,0)),0)</f>
        <v>0</v>
      </c>
      <c r="R21" s="41" t="n">
        <f aca="false">IF(AND(R$4&gt;=$G21,R$4&lt;=$H21),IF($F21="Monthly",$E21,IF(MOD(R$4-$G21,12)=0,$E21,0)),0)</f>
        <v>0</v>
      </c>
      <c r="S21" s="41" t="n">
        <f aca="false">IF(AND(S$4&gt;=$G21,S$4&lt;=$H21),IF($F21="Monthly",$E21,IF(MOD(S$4-$G21,12)=0,$E21,0)),0)</f>
        <v>0</v>
      </c>
      <c r="T21" s="41" t="n">
        <f aca="false">IF(AND(T$4&gt;=$G21,T$4&lt;=$H21),IF($F21="Monthly",$E21,IF(MOD(T$4-$G21,12)=0,$E21,0)),0)</f>
        <v>0</v>
      </c>
      <c r="U21" s="41" t="n">
        <f aca="false">IF(AND(U$4&gt;=$G21,U$4&lt;=$H21),IF($F21="Monthly",$E21,IF(MOD(U$4-$G21,12)=0,$E21,0)),0)</f>
        <v>0</v>
      </c>
      <c r="V21" s="41" t="n">
        <f aca="false">IF(AND(V$4&gt;=$G21,V$4&lt;=$H21),IF($F21="Monthly",$E21,IF(MOD(V$4-$G21,12)=0,$E21,0)),0)</f>
        <v>0</v>
      </c>
      <c r="W21" s="41" t="n">
        <f aca="false">IF(AND(W$4&gt;=$G21,W$4&lt;=$H21),IF($F21="Monthly",$E21,IF(MOD(W$4-$G21,12)=0,$E21,0)),0)</f>
        <v>0</v>
      </c>
      <c r="X21" s="41" t="n">
        <f aca="false">IF(AND(X$4&gt;=$G21,X$4&lt;=$H21),IF($F21="Monthly",$E21,IF(MOD(X$4-$G21,12)=0,$E21,0)),0)</f>
        <v>0</v>
      </c>
      <c r="Y21" s="41" t="n">
        <f aca="false">IF(AND(Y$4&gt;=$G21,Y$4&lt;=$H21),IF($F21="Monthly",$E21,IF(MOD(Y$4-$G21,12)=0,$E21,0)),0)</f>
        <v>0</v>
      </c>
      <c r="Z21" s="41" t="n">
        <f aca="false">IF(AND(Z$4&gt;=$G21,Z$4&lt;=$H21),IF($F21="Monthly",$E21,IF(MOD(Z$4-$G21,12)=0,$E21,0)),0)</f>
        <v>0</v>
      </c>
      <c r="AA21" s="41" t="n">
        <f aca="false">IF(AND(AA$4&gt;=$G21,AA$4&lt;=$H21),IF($F21="Monthly",$E21,IF(MOD(AA$4-$G21,12)=0,$E21,0)),0)</f>
        <v>175</v>
      </c>
      <c r="AB21" s="41" t="n">
        <f aca="false">IF(AND(AB$4&gt;=$G21,AB$4&lt;=$H21),IF($F21="Monthly",$E21,IF(MOD(AB$4-$G21,12)=0,$E21,0)),0)</f>
        <v>0</v>
      </c>
      <c r="AC21" s="41" t="n">
        <f aca="false">IF(AND(AC$4&gt;=$G21,AC$4&lt;=$H21),IF($F21="Monthly",$E21,IF(MOD(AC$4-$G21,12)=0,$E21,0)),0)</f>
        <v>0</v>
      </c>
      <c r="AD21" s="41" t="n">
        <f aca="false">IF(AND(AD$4&gt;=$G21,AD$4&lt;=$H21),IF($F21="Monthly",$E21,IF(MOD(AD$4-$G21,12)=0,$E21,0)),0)</f>
        <v>0</v>
      </c>
      <c r="AE21" s="41" t="n">
        <f aca="false">IF(AND(AE$4&gt;=$G21,AE$4&lt;=$H21),IF($F21="Monthly",$E21,IF(MOD(AE$4-$G21,12)=0,$E21,0)),0)</f>
        <v>0</v>
      </c>
      <c r="AF21" s="41" t="n">
        <f aca="false">IF(AND(AF$4&gt;=$G21,AF$4&lt;=$H21),IF($F21="Monthly",$E21,IF(MOD(AF$4-$G21,12)=0,$E21,0)),0)</f>
        <v>0</v>
      </c>
      <c r="AG21" s="41" t="n">
        <f aca="false">IF(AND(AG$4&gt;=$G21,AG$4&lt;=$H21),IF($F21="Monthly",$E21,IF(MOD(AG$4-$G21,12)=0,$E21,0)),0)</f>
        <v>0</v>
      </c>
      <c r="AH21" s="41" t="n">
        <f aca="false">IF(AND(AH$4&gt;=$G21,AH$4&lt;=$H21),IF($F21="Monthly",$E21,IF(MOD(AH$4-$G21,12)=0,$E21,0)),0)</f>
        <v>0</v>
      </c>
      <c r="AI21" s="41" t="n">
        <f aca="false">IF(AND(AI$4&gt;=$G21,AI$4&lt;=$H21),IF($F21="Monthly",$E21,IF(MOD(AI$4-$G21,12)=0,$E21,0)),0)</f>
        <v>0</v>
      </c>
      <c r="AJ21" s="41" t="n">
        <f aca="false">IF(AND(AJ$4&gt;=$G21,AJ$4&lt;=$H21),IF($F21="Monthly",$E21,IF(MOD(AJ$4-$G21,12)=0,$E21,0)),0)</f>
        <v>0</v>
      </c>
      <c r="AK21" s="41" t="n">
        <f aca="false">IF(AND(AK$4&gt;=$G21,AK$4&lt;=$H21),IF($F21="Monthly",$E21,IF(MOD(AK$4-$G21,12)=0,$E21,0)),0)</f>
        <v>0</v>
      </c>
      <c r="AL21" s="41" t="n">
        <f aca="false">IF(AND(AL$4&gt;=$G21,AL$4&lt;=$H21),IF($F21="Monthly",$E21,IF(MOD(AL$4-$G21,12)=0,$E21,0)),0)</f>
        <v>0</v>
      </c>
      <c r="AM21" s="41" t="n">
        <f aca="false">IF(AND(AM$4&gt;=$G21,AM$4&lt;=$H21),IF($F21="Monthly",$E21,IF(MOD(AM$4-$G21,12)=0,$E21,0)),0)</f>
        <v>175</v>
      </c>
      <c r="AN21" s="41" t="n">
        <f aca="false">IF(AND(AN$4&gt;=$G21,AN$4&lt;=$H21),IF($F21="Monthly",$E21,IF(MOD(AN$4-$G21,12)=0,$E21,0)),0)</f>
        <v>0</v>
      </c>
      <c r="AO21" s="41" t="n">
        <f aca="false">IF(AND(AO$4&gt;=$G21,AO$4&lt;=$H21),IF($F21="Monthly",$E21,IF(MOD(AO$4-$G21,12)=0,$E21,0)),0)</f>
        <v>0</v>
      </c>
      <c r="AP21" s="41" t="n">
        <f aca="false">IF(AND(AP$4&gt;=$G21,AP$4&lt;=$H21),IF($F21="Monthly",$E21,IF(MOD(AP$4-$G21,12)=0,$E21,0)),0)</f>
        <v>0</v>
      </c>
      <c r="AQ21" s="41" t="n">
        <f aca="false">IF(AND(AQ$4&gt;=$G21,AQ$4&lt;=$H21),IF($F21="Monthly",$E21,IF(MOD(AQ$4-$G21,12)=0,$E21,0)),0)</f>
        <v>0</v>
      </c>
      <c r="AR21" s="41" t="n">
        <f aca="false">IF(AND(AR$4&gt;=$G21,AR$4&lt;=$H21),IF($F21="Monthly",$E21,IF(MOD(AR$4-$G21,12)=0,$E21,0)),0)</f>
        <v>0</v>
      </c>
      <c r="AS21" s="41" t="n">
        <f aca="false">IF(AND(AS$4&gt;=$G21,AS$4&lt;=$H21),IF($F21="Monthly",$E21,IF(MOD(AS$4-$G21,12)=0,$E21,0)),0)</f>
        <v>0</v>
      </c>
      <c r="AT21" s="41" t="n">
        <f aca="false">IF(AND(AT$4&gt;=$G21,AT$4&lt;=$H21),IF($F21="Monthly",$E21,IF(MOD(AT$4-$G21,12)=0,$E21,0)),0)</f>
        <v>0</v>
      </c>
      <c r="AU21" s="41" t="n">
        <f aca="false">IF(AND(AU$4&gt;=$G21,AU$4&lt;=$H21),IF($F21="Monthly",$E21,IF(MOD(AU$4-$G21,12)=0,$E21,0)),0)</f>
        <v>0</v>
      </c>
      <c r="AV21" s="41" t="n">
        <f aca="false">IF(AND(AV$4&gt;=$G21,AV$4&lt;=$H21),IF($F21="Monthly",$E21,IF(MOD(AV$4-$G21,12)=0,$E21,0)),0)</f>
        <v>0</v>
      </c>
      <c r="AW21" s="41" t="n">
        <f aca="false">IF(AND(AW$4&gt;=$G21,AW$4&lt;=$H21),IF($F21="Monthly",$E21,IF(MOD(AW$4-$G21,12)=0,$E21,0)),0)</f>
        <v>0</v>
      </c>
      <c r="AX21" s="41" t="n">
        <f aca="false">IF(AND(AX$4&gt;=$G21,AX$4&lt;=$H21),IF($F21="Monthly",$E21,IF(MOD(AX$4-$G21,12)=0,$E21,0)),0)</f>
        <v>0</v>
      </c>
    </row>
    <row r="22" customFormat="false" ht="15" hidden="false" customHeight="false" outlineLevel="0" collapsed="false">
      <c r="A22" s="7" t="s">
        <v>707</v>
      </c>
      <c r="B22" s="7" t="s">
        <v>703</v>
      </c>
      <c r="C22" s="25" t="n">
        <v>300</v>
      </c>
      <c r="D22" s="25" t="n">
        <v>300</v>
      </c>
      <c r="E22" s="15" t="n">
        <f aca="false">C22+Assumptions!$C$9*(D22-C22)</f>
        <v>300</v>
      </c>
      <c r="F22" s="44" t="s">
        <v>672</v>
      </c>
      <c r="G22" s="21" t="n">
        <v>7</v>
      </c>
      <c r="H22" s="21" t="n">
        <v>36</v>
      </c>
      <c r="I22" s="41" t="n">
        <f aca="false">SUMIF($O$3:$AX$3,1,O22:AX22)</f>
        <v>300</v>
      </c>
      <c r="J22" s="41" t="n">
        <f aca="false">SUMIF($O$3:$AX$3,2,O22:AX22)</f>
        <v>300</v>
      </c>
      <c r="K22" s="41" t="n">
        <f aca="false">SUMIF($O$3:$AX$3,3,O22:AX22)</f>
        <v>300</v>
      </c>
      <c r="L22" s="7" t="s">
        <v>708</v>
      </c>
      <c r="M22" s="7" t="s">
        <v>65</v>
      </c>
      <c r="O22" s="41" t="n">
        <f aca="false">IF(AND(O$4&gt;=$G22,O$4&lt;=$H22),IF($F22="Monthly",$E22,IF(MOD(O$4-$G22,12)=0,$E22,0)),0)</f>
        <v>0</v>
      </c>
      <c r="P22" s="41" t="n">
        <f aca="false">IF(AND(P$4&gt;=$G22,P$4&lt;=$H22),IF($F22="Monthly",$E22,IF(MOD(P$4-$G22,12)=0,$E22,0)),0)</f>
        <v>0</v>
      </c>
      <c r="Q22" s="41" t="n">
        <f aca="false">IF(AND(Q$4&gt;=$G22,Q$4&lt;=$H22),IF($F22="Monthly",$E22,IF(MOD(Q$4-$G22,12)=0,$E22,0)),0)</f>
        <v>0</v>
      </c>
      <c r="R22" s="41" t="n">
        <f aca="false">IF(AND(R$4&gt;=$G22,R$4&lt;=$H22),IF($F22="Monthly",$E22,IF(MOD(R$4-$G22,12)=0,$E22,0)),0)</f>
        <v>0</v>
      </c>
      <c r="S22" s="41" t="n">
        <f aca="false">IF(AND(S$4&gt;=$G22,S$4&lt;=$H22),IF($F22="Monthly",$E22,IF(MOD(S$4-$G22,12)=0,$E22,0)),0)</f>
        <v>0</v>
      </c>
      <c r="T22" s="41" t="n">
        <f aca="false">IF(AND(T$4&gt;=$G22,T$4&lt;=$H22),IF($F22="Monthly",$E22,IF(MOD(T$4-$G22,12)=0,$E22,0)),0)</f>
        <v>0</v>
      </c>
      <c r="U22" s="41" t="n">
        <f aca="false">IF(AND(U$4&gt;=$G22,U$4&lt;=$H22),IF($F22="Monthly",$E22,IF(MOD(U$4-$G22,12)=0,$E22,0)),0)</f>
        <v>300</v>
      </c>
      <c r="V22" s="41" t="n">
        <f aca="false">IF(AND(V$4&gt;=$G22,V$4&lt;=$H22),IF($F22="Monthly",$E22,IF(MOD(V$4-$G22,12)=0,$E22,0)),0)</f>
        <v>0</v>
      </c>
      <c r="W22" s="41" t="n">
        <f aca="false">IF(AND(W$4&gt;=$G22,W$4&lt;=$H22),IF($F22="Monthly",$E22,IF(MOD(W$4-$G22,12)=0,$E22,0)),0)</f>
        <v>0</v>
      </c>
      <c r="X22" s="41" t="n">
        <f aca="false">IF(AND(X$4&gt;=$G22,X$4&lt;=$H22),IF($F22="Monthly",$E22,IF(MOD(X$4-$G22,12)=0,$E22,0)),0)</f>
        <v>0</v>
      </c>
      <c r="Y22" s="41" t="n">
        <f aca="false">IF(AND(Y$4&gt;=$G22,Y$4&lt;=$H22),IF($F22="Monthly",$E22,IF(MOD(Y$4-$G22,12)=0,$E22,0)),0)</f>
        <v>0</v>
      </c>
      <c r="Z22" s="41" t="n">
        <f aca="false">IF(AND(Z$4&gt;=$G22,Z$4&lt;=$H22),IF($F22="Monthly",$E22,IF(MOD(Z$4-$G22,12)=0,$E22,0)),0)</f>
        <v>0</v>
      </c>
      <c r="AA22" s="41" t="n">
        <f aca="false">IF(AND(AA$4&gt;=$G22,AA$4&lt;=$H22),IF($F22="Monthly",$E22,IF(MOD(AA$4-$G22,12)=0,$E22,0)),0)</f>
        <v>0</v>
      </c>
      <c r="AB22" s="41" t="n">
        <f aca="false">IF(AND(AB$4&gt;=$G22,AB$4&lt;=$H22),IF($F22="Monthly",$E22,IF(MOD(AB$4-$G22,12)=0,$E22,0)),0)</f>
        <v>0</v>
      </c>
      <c r="AC22" s="41" t="n">
        <f aca="false">IF(AND(AC$4&gt;=$G22,AC$4&lt;=$H22),IF($F22="Monthly",$E22,IF(MOD(AC$4-$G22,12)=0,$E22,0)),0)</f>
        <v>0</v>
      </c>
      <c r="AD22" s="41" t="n">
        <f aca="false">IF(AND(AD$4&gt;=$G22,AD$4&lt;=$H22),IF($F22="Monthly",$E22,IF(MOD(AD$4-$G22,12)=0,$E22,0)),0)</f>
        <v>0</v>
      </c>
      <c r="AE22" s="41" t="n">
        <f aca="false">IF(AND(AE$4&gt;=$G22,AE$4&lt;=$H22),IF($F22="Monthly",$E22,IF(MOD(AE$4-$G22,12)=0,$E22,0)),0)</f>
        <v>0</v>
      </c>
      <c r="AF22" s="41" t="n">
        <f aca="false">IF(AND(AF$4&gt;=$G22,AF$4&lt;=$H22),IF($F22="Monthly",$E22,IF(MOD(AF$4-$G22,12)=0,$E22,0)),0)</f>
        <v>0</v>
      </c>
      <c r="AG22" s="41" t="n">
        <f aca="false">IF(AND(AG$4&gt;=$G22,AG$4&lt;=$H22),IF($F22="Monthly",$E22,IF(MOD(AG$4-$G22,12)=0,$E22,0)),0)</f>
        <v>300</v>
      </c>
      <c r="AH22" s="41" t="n">
        <f aca="false">IF(AND(AH$4&gt;=$G22,AH$4&lt;=$H22),IF($F22="Monthly",$E22,IF(MOD(AH$4-$G22,12)=0,$E22,0)),0)</f>
        <v>0</v>
      </c>
      <c r="AI22" s="41" t="n">
        <f aca="false">IF(AND(AI$4&gt;=$G22,AI$4&lt;=$H22),IF($F22="Monthly",$E22,IF(MOD(AI$4-$G22,12)=0,$E22,0)),0)</f>
        <v>0</v>
      </c>
      <c r="AJ22" s="41" t="n">
        <f aca="false">IF(AND(AJ$4&gt;=$G22,AJ$4&lt;=$H22),IF($F22="Monthly",$E22,IF(MOD(AJ$4-$G22,12)=0,$E22,0)),0)</f>
        <v>0</v>
      </c>
      <c r="AK22" s="41" t="n">
        <f aca="false">IF(AND(AK$4&gt;=$G22,AK$4&lt;=$H22),IF($F22="Monthly",$E22,IF(MOD(AK$4-$G22,12)=0,$E22,0)),0)</f>
        <v>0</v>
      </c>
      <c r="AL22" s="41" t="n">
        <f aca="false">IF(AND(AL$4&gt;=$G22,AL$4&lt;=$H22),IF($F22="Monthly",$E22,IF(MOD(AL$4-$G22,12)=0,$E22,0)),0)</f>
        <v>0</v>
      </c>
      <c r="AM22" s="41" t="n">
        <f aca="false">IF(AND(AM$4&gt;=$G22,AM$4&lt;=$H22),IF($F22="Monthly",$E22,IF(MOD(AM$4-$G22,12)=0,$E22,0)),0)</f>
        <v>0</v>
      </c>
      <c r="AN22" s="41" t="n">
        <f aca="false">IF(AND(AN$4&gt;=$G22,AN$4&lt;=$H22),IF($F22="Monthly",$E22,IF(MOD(AN$4-$G22,12)=0,$E22,0)),0)</f>
        <v>0</v>
      </c>
      <c r="AO22" s="41" t="n">
        <f aca="false">IF(AND(AO$4&gt;=$G22,AO$4&lt;=$H22),IF($F22="Monthly",$E22,IF(MOD(AO$4-$G22,12)=0,$E22,0)),0)</f>
        <v>0</v>
      </c>
      <c r="AP22" s="41" t="n">
        <f aca="false">IF(AND(AP$4&gt;=$G22,AP$4&lt;=$H22),IF($F22="Monthly",$E22,IF(MOD(AP$4-$G22,12)=0,$E22,0)),0)</f>
        <v>0</v>
      </c>
      <c r="AQ22" s="41" t="n">
        <f aca="false">IF(AND(AQ$4&gt;=$G22,AQ$4&lt;=$H22),IF($F22="Monthly",$E22,IF(MOD(AQ$4-$G22,12)=0,$E22,0)),0)</f>
        <v>0</v>
      </c>
      <c r="AR22" s="41" t="n">
        <f aca="false">IF(AND(AR$4&gt;=$G22,AR$4&lt;=$H22),IF($F22="Monthly",$E22,IF(MOD(AR$4-$G22,12)=0,$E22,0)),0)</f>
        <v>0</v>
      </c>
      <c r="AS22" s="41" t="n">
        <f aca="false">IF(AND(AS$4&gt;=$G22,AS$4&lt;=$H22),IF($F22="Monthly",$E22,IF(MOD(AS$4-$G22,12)=0,$E22,0)),0)</f>
        <v>300</v>
      </c>
      <c r="AT22" s="41" t="n">
        <f aca="false">IF(AND(AT$4&gt;=$G22,AT$4&lt;=$H22),IF($F22="Monthly",$E22,IF(MOD(AT$4-$G22,12)=0,$E22,0)),0)</f>
        <v>0</v>
      </c>
      <c r="AU22" s="41" t="n">
        <f aca="false">IF(AND(AU$4&gt;=$G22,AU$4&lt;=$H22),IF($F22="Monthly",$E22,IF(MOD(AU$4-$G22,12)=0,$E22,0)),0)</f>
        <v>0</v>
      </c>
      <c r="AV22" s="41" t="n">
        <f aca="false">IF(AND(AV$4&gt;=$G22,AV$4&lt;=$H22),IF($F22="Monthly",$E22,IF(MOD(AV$4-$G22,12)=0,$E22,0)),0)</f>
        <v>0</v>
      </c>
      <c r="AW22" s="41" t="n">
        <f aca="false">IF(AND(AW$4&gt;=$G22,AW$4&lt;=$H22),IF($F22="Monthly",$E22,IF(MOD(AW$4-$G22,12)=0,$E22,0)),0)</f>
        <v>0</v>
      </c>
      <c r="AX22" s="41" t="n">
        <f aca="false">IF(AND(AX$4&gt;=$G22,AX$4&lt;=$H22),IF($F22="Monthly",$E22,IF(MOD(AX$4-$G22,12)=0,$E22,0)),0)</f>
        <v>0</v>
      </c>
    </row>
    <row r="23" customFormat="false" ht="15" hidden="false" customHeight="false" outlineLevel="0" collapsed="false">
      <c r="A23" s="7" t="s">
        <v>709</v>
      </c>
      <c r="B23" s="7" t="s">
        <v>710</v>
      </c>
      <c r="C23" s="25" t="n">
        <v>45.17</v>
      </c>
      <c r="D23" s="25" t="n">
        <v>125</v>
      </c>
      <c r="E23" s="15" t="n">
        <f aca="false">C23+Assumptions!$C$9*(D23-C23)</f>
        <v>85.085</v>
      </c>
      <c r="F23" s="44" t="s">
        <v>666</v>
      </c>
      <c r="G23" s="21" t="n">
        <v>1</v>
      </c>
      <c r="H23" s="21" t="n">
        <v>36</v>
      </c>
      <c r="I23" s="41" t="n">
        <f aca="false">SUMIF($O$3:$AX$3,1,O23:AX23)</f>
        <v>1021.02</v>
      </c>
      <c r="J23" s="41" t="n">
        <f aca="false">SUMIF($O$3:$AX$3,2,O23:AX23)</f>
        <v>1021.02</v>
      </c>
      <c r="K23" s="41" t="n">
        <f aca="false">SUMIF($O$3:$AX$3,3,O23:AX23)</f>
        <v>1021.02</v>
      </c>
      <c r="L23" s="7" t="s">
        <v>711</v>
      </c>
      <c r="M23" s="7" t="s">
        <v>79</v>
      </c>
      <c r="O23" s="41" t="n">
        <f aca="false">IF(AND(O$4&gt;=$G23,O$4&lt;=$H23),IF($F23="Monthly",$E23,IF(MOD(O$4-$G23,12)=0,$E23,0)),0)</f>
        <v>85.085</v>
      </c>
      <c r="P23" s="41" t="n">
        <f aca="false">IF(AND(P$4&gt;=$G23,P$4&lt;=$H23),IF($F23="Monthly",$E23,IF(MOD(P$4-$G23,12)=0,$E23,0)),0)</f>
        <v>85.085</v>
      </c>
      <c r="Q23" s="41" t="n">
        <f aca="false">IF(AND(Q$4&gt;=$G23,Q$4&lt;=$H23),IF($F23="Monthly",$E23,IF(MOD(Q$4-$G23,12)=0,$E23,0)),0)</f>
        <v>85.085</v>
      </c>
      <c r="R23" s="41" t="n">
        <f aca="false">IF(AND(R$4&gt;=$G23,R$4&lt;=$H23),IF($F23="Monthly",$E23,IF(MOD(R$4-$G23,12)=0,$E23,0)),0)</f>
        <v>85.085</v>
      </c>
      <c r="S23" s="41" t="n">
        <f aca="false">IF(AND(S$4&gt;=$G23,S$4&lt;=$H23),IF($F23="Monthly",$E23,IF(MOD(S$4-$G23,12)=0,$E23,0)),0)</f>
        <v>85.085</v>
      </c>
      <c r="T23" s="41" t="n">
        <f aca="false">IF(AND(T$4&gt;=$G23,T$4&lt;=$H23),IF($F23="Monthly",$E23,IF(MOD(T$4-$G23,12)=0,$E23,0)),0)</f>
        <v>85.085</v>
      </c>
      <c r="U23" s="41" t="n">
        <f aca="false">IF(AND(U$4&gt;=$G23,U$4&lt;=$H23),IF($F23="Monthly",$E23,IF(MOD(U$4-$G23,12)=0,$E23,0)),0)</f>
        <v>85.085</v>
      </c>
      <c r="V23" s="41" t="n">
        <f aca="false">IF(AND(V$4&gt;=$G23,V$4&lt;=$H23),IF($F23="Monthly",$E23,IF(MOD(V$4-$G23,12)=0,$E23,0)),0)</f>
        <v>85.085</v>
      </c>
      <c r="W23" s="41" t="n">
        <f aca="false">IF(AND(W$4&gt;=$G23,W$4&lt;=$H23),IF($F23="Monthly",$E23,IF(MOD(W$4-$G23,12)=0,$E23,0)),0)</f>
        <v>85.085</v>
      </c>
      <c r="X23" s="41" t="n">
        <f aca="false">IF(AND(X$4&gt;=$G23,X$4&lt;=$H23),IF($F23="Monthly",$E23,IF(MOD(X$4-$G23,12)=0,$E23,0)),0)</f>
        <v>85.085</v>
      </c>
      <c r="Y23" s="41" t="n">
        <f aca="false">IF(AND(Y$4&gt;=$G23,Y$4&lt;=$H23),IF($F23="Monthly",$E23,IF(MOD(Y$4-$G23,12)=0,$E23,0)),0)</f>
        <v>85.085</v>
      </c>
      <c r="Z23" s="41" t="n">
        <f aca="false">IF(AND(Z$4&gt;=$G23,Z$4&lt;=$H23),IF($F23="Monthly",$E23,IF(MOD(Z$4-$G23,12)=0,$E23,0)),0)</f>
        <v>85.085</v>
      </c>
      <c r="AA23" s="41" t="n">
        <f aca="false">IF(AND(AA$4&gt;=$G23,AA$4&lt;=$H23),IF($F23="Monthly",$E23,IF(MOD(AA$4-$G23,12)=0,$E23,0)),0)</f>
        <v>85.085</v>
      </c>
      <c r="AB23" s="41" t="n">
        <f aca="false">IF(AND(AB$4&gt;=$G23,AB$4&lt;=$H23),IF($F23="Monthly",$E23,IF(MOD(AB$4-$G23,12)=0,$E23,0)),0)</f>
        <v>85.085</v>
      </c>
      <c r="AC23" s="41" t="n">
        <f aca="false">IF(AND(AC$4&gt;=$G23,AC$4&lt;=$H23),IF($F23="Monthly",$E23,IF(MOD(AC$4-$G23,12)=0,$E23,0)),0)</f>
        <v>85.085</v>
      </c>
      <c r="AD23" s="41" t="n">
        <f aca="false">IF(AND(AD$4&gt;=$G23,AD$4&lt;=$H23),IF($F23="Monthly",$E23,IF(MOD(AD$4-$G23,12)=0,$E23,0)),0)</f>
        <v>85.085</v>
      </c>
      <c r="AE23" s="41" t="n">
        <f aca="false">IF(AND(AE$4&gt;=$G23,AE$4&lt;=$H23),IF($F23="Monthly",$E23,IF(MOD(AE$4-$G23,12)=0,$E23,0)),0)</f>
        <v>85.085</v>
      </c>
      <c r="AF23" s="41" t="n">
        <f aca="false">IF(AND(AF$4&gt;=$G23,AF$4&lt;=$H23),IF($F23="Monthly",$E23,IF(MOD(AF$4-$G23,12)=0,$E23,0)),0)</f>
        <v>85.085</v>
      </c>
      <c r="AG23" s="41" t="n">
        <f aca="false">IF(AND(AG$4&gt;=$G23,AG$4&lt;=$H23),IF($F23="Monthly",$E23,IF(MOD(AG$4-$G23,12)=0,$E23,0)),0)</f>
        <v>85.085</v>
      </c>
      <c r="AH23" s="41" t="n">
        <f aca="false">IF(AND(AH$4&gt;=$G23,AH$4&lt;=$H23),IF($F23="Monthly",$E23,IF(MOD(AH$4-$G23,12)=0,$E23,0)),0)</f>
        <v>85.085</v>
      </c>
      <c r="AI23" s="41" t="n">
        <f aca="false">IF(AND(AI$4&gt;=$G23,AI$4&lt;=$H23),IF($F23="Monthly",$E23,IF(MOD(AI$4-$G23,12)=0,$E23,0)),0)</f>
        <v>85.085</v>
      </c>
      <c r="AJ23" s="41" t="n">
        <f aca="false">IF(AND(AJ$4&gt;=$G23,AJ$4&lt;=$H23),IF($F23="Monthly",$E23,IF(MOD(AJ$4-$G23,12)=0,$E23,0)),0)</f>
        <v>85.085</v>
      </c>
      <c r="AK23" s="41" t="n">
        <f aca="false">IF(AND(AK$4&gt;=$G23,AK$4&lt;=$H23),IF($F23="Monthly",$E23,IF(MOD(AK$4-$G23,12)=0,$E23,0)),0)</f>
        <v>85.085</v>
      </c>
      <c r="AL23" s="41" t="n">
        <f aca="false">IF(AND(AL$4&gt;=$G23,AL$4&lt;=$H23),IF($F23="Monthly",$E23,IF(MOD(AL$4-$G23,12)=0,$E23,0)),0)</f>
        <v>85.085</v>
      </c>
      <c r="AM23" s="41" t="n">
        <f aca="false">IF(AND(AM$4&gt;=$G23,AM$4&lt;=$H23),IF($F23="Monthly",$E23,IF(MOD(AM$4-$G23,12)=0,$E23,0)),0)</f>
        <v>85.085</v>
      </c>
      <c r="AN23" s="41" t="n">
        <f aca="false">IF(AND(AN$4&gt;=$G23,AN$4&lt;=$H23),IF($F23="Monthly",$E23,IF(MOD(AN$4-$G23,12)=0,$E23,0)),0)</f>
        <v>85.085</v>
      </c>
      <c r="AO23" s="41" t="n">
        <f aca="false">IF(AND(AO$4&gt;=$G23,AO$4&lt;=$H23),IF($F23="Monthly",$E23,IF(MOD(AO$4-$G23,12)=0,$E23,0)),0)</f>
        <v>85.085</v>
      </c>
      <c r="AP23" s="41" t="n">
        <f aca="false">IF(AND(AP$4&gt;=$G23,AP$4&lt;=$H23),IF($F23="Monthly",$E23,IF(MOD(AP$4-$G23,12)=0,$E23,0)),0)</f>
        <v>85.085</v>
      </c>
      <c r="AQ23" s="41" t="n">
        <f aca="false">IF(AND(AQ$4&gt;=$G23,AQ$4&lt;=$H23),IF($F23="Monthly",$E23,IF(MOD(AQ$4-$G23,12)=0,$E23,0)),0)</f>
        <v>85.085</v>
      </c>
      <c r="AR23" s="41" t="n">
        <f aca="false">IF(AND(AR$4&gt;=$G23,AR$4&lt;=$H23),IF($F23="Monthly",$E23,IF(MOD(AR$4-$G23,12)=0,$E23,0)),0)</f>
        <v>85.085</v>
      </c>
      <c r="AS23" s="41" t="n">
        <f aca="false">IF(AND(AS$4&gt;=$G23,AS$4&lt;=$H23),IF($F23="Monthly",$E23,IF(MOD(AS$4-$G23,12)=0,$E23,0)),0)</f>
        <v>85.085</v>
      </c>
      <c r="AT23" s="41" t="n">
        <f aca="false">IF(AND(AT$4&gt;=$G23,AT$4&lt;=$H23),IF($F23="Monthly",$E23,IF(MOD(AT$4-$G23,12)=0,$E23,0)),0)</f>
        <v>85.085</v>
      </c>
      <c r="AU23" s="41" t="n">
        <f aca="false">IF(AND(AU$4&gt;=$G23,AU$4&lt;=$H23),IF($F23="Monthly",$E23,IF(MOD(AU$4-$G23,12)=0,$E23,0)),0)</f>
        <v>85.085</v>
      </c>
      <c r="AV23" s="41" t="n">
        <f aca="false">IF(AND(AV$4&gt;=$G23,AV$4&lt;=$H23),IF($F23="Monthly",$E23,IF(MOD(AV$4-$G23,12)=0,$E23,0)),0)</f>
        <v>85.085</v>
      </c>
      <c r="AW23" s="41" t="n">
        <f aca="false">IF(AND(AW$4&gt;=$G23,AW$4&lt;=$H23),IF($F23="Monthly",$E23,IF(MOD(AW$4-$G23,12)=0,$E23,0)),0)</f>
        <v>85.085</v>
      </c>
      <c r="AX23" s="41" t="n">
        <f aca="false">IF(AND(AX$4&gt;=$G23,AX$4&lt;=$H23),IF($F23="Monthly",$E23,IF(MOD(AX$4-$G23,12)=0,$E23,0)),0)</f>
        <v>85.085</v>
      </c>
    </row>
    <row r="24" customFormat="false" ht="15" hidden="false" customHeight="false" outlineLevel="0" collapsed="false">
      <c r="A24" s="7" t="s">
        <v>712</v>
      </c>
      <c r="B24" s="7" t="s">
        <v>710</v>
      </c>
      <c r="C24" s="25" t="n">
        <v>62</v>
      </c>
      <c r="D24" s="25" t="n">
        <v>125</v>
      </c>
      <c r="E24" s="15" t="n">
        <f aca="false">C24+Assumptions!$C$9*(D24-C24)</f>
        <v>93.5</v>
      </c>
      <c r="F24" s="44" t="s">
        <v>666</v>
      </c>
      <c r="G24" s="21" t="n">
        <v>1</v>
      </c>
      <c r="H24" s="21" t="n">
        <v>36</v>
      </c>
      <c r="I24" s="41" t="n">
        <f aca="false">SUMIF($O$3:$AX$3,1,O24:AX24)</f>
        <v>1122</v>
      </c>
      <c r="J24" s="41" t="n">
        <f aca="false">SUMIF($O$3:$AX$3,2,O24:AX24)</f>
        <v>1122</v>
      </c>
      <c r="K24" s="41" t="n">
        <f aca="false">SUMIF($O$3:$AX$3,3,O24:AX24)</f>
        <v>1122</v>
      </c>
      <c r="L24" s="7" t="s">
        <v>713</v>
      </c>
      <c r="M24" s="7" t="s">
        <v>79</v>
      </c>
      <c r="O24" s="41" t="n">
        <f aca="false">IF(AND(O$4&gt;=$G24,O$4&lt;=$H24),IF($F24="Monthly",$E24,IF(MOD(O$4-$G24,12)=0,$E24,0)),0)</f>
        <v>93.5</v>
      </c>
      <c r="P24" s="41" t="n">
        <f aca="false">IF(AND(P$4&gt;=$G24,P$4&lt;=$H24),IF($F24="Monthly",$E24,IF(MOD(P$4-$G24,12)=0,$E24,0)),0)</f>
        <v>93.5</v>
      </c>
      <c r="Q24" s="41" t="n">
        <f aca="false">IF(AND(Q$4&gt;=$G24,Q$4&lt;=$H24),IF($F24="Monthly",$E24,IF(MOD(Q$4-$G24,12)=0,$E24,0)),0)</f>
        <v>93.5</v>
      </c>
      <c r="R24" s="41" t="n">
        <f aca="false">IF(AND(R$4&gt;=$G24,R$4&lt;=$H24),IF($F24="Monthly",$E24,IF(MOD(R$4-$G24,12)=0,$E24,0)),0)</f>
        <v>93.5</v>
      </c>
      <c r="S24" s="41" t="n">
        <f aca="false">IF(AND(S$4&gt;=$G24,S$4&lt;=$H24),IF($F24="Monthly",$E24,IF(MOD(S$4-$G24,12)=0,$E24,0)),0)</f>
        <v>93.5</v>
      </c>
      <c r="T24" s="41" t="n">
        <f aca="false">IF(AND(T$4&gt;=$G24,T$4&lt;=$H24),IF($F24="Monthly",$E24,IF(MOD(T$4-$G24,12)=0,$E24,0)),0)</f>
        <v>93.5</v>
      </c>
      <c r="U24" s="41" t="n">
        <f aca="false">IF(AND(U$4&gt;=$G24,U$4&lt;=$H24),IF($F24="Monthly",$E24,IF(MOD(U$4-$G24,12)=0,$E24,0)),0)</f>
        <v>93.5</v>
      </c>
      <c r="V24" s="41" t="n">
        <f aca="false">IF(AND(V$4&gt;=$G24,V$4&lt;=$H24),IF($F24="Monthly",$E24,IF(MOD(V$4-$G24,12)=0,$E24,0)),0)</f>
        <v>93.5</v>
      </c>
      <c r="W24" s="41" t="n">
        <f aca="false">IF(AND(W$4&gt;=$G24,W$4&lt;=$H24),IF($F24="Monthly",$E24,IF(MOD(W$4-$G24,12)=0,$E24,0)),0)</f>
        <v>93.5</v>
      </c>
      <c r="X24" s="41" t="n">
        <f aca="false">IF(AND(X$4&gt;=$G24,X$4&lt;=$H24),IF($F24="Monthly",$E24,IF(MOD(X$4-$G24,12)=0,$E24,0)),0)</f>
        <v>93.5</v>
      </c>
      <c r="Y24" s="41" t="n">
        <f aca="false">IF(AND(Y$4&gt;=$G24,Y$4&lt;=$H24),IF($F24="Monthly",$E24,IF(MOD(Y$4-$G24,12)=0,$E24,0)),0)</f>
        <v>93.5</v>
      </c>
      <c r="Z24" s="41" t="n">
        <f aca="false">IF(AND(Z$4&gt;=$G24,Z$4&lt;=$H24),IF($F24="Monthly",$E24,IF(MOD(Z$4-$G24,12)=0,$E24,0)),0)</f>
        <v>93.5</v>
      </c>
      <c r="AA24" s="41" t="n">
        <f aca="false">IF(AND(AA$4&gt;=$G24,AA$4&lt;=$H24),IF($F24="Monthly",$E24,IF(MOD(AA$4-$G24,12)=0,$E24,0)),0)</f>
        <v>93.5</v>
      </c>
      <c r="AB24" s="41" t="n">
        <f aca="false">IF(AND(AB$4&gt;=$G24,AB$4&lt;=$H24),IF($F24="Monthly",$E24,IF(MOD(AB$4-$G24,12)=0,$E24,0)),0)</f>
        <v>93.5</v>
      </c>
      <c r="AC24" s="41" t="n">
        <f aca="false">IF(AND(AC$4&gt;=$G24,AC$4&lt;=$H24),IF($F24="Monthly",$E24,IF(MOD(AC$4-$G24,12)=0,$E24,0)),0)</f>
        <v>93.5</v>
      </c>
      <c r="AD24" s="41" t="n">
        <f aca="false">IF(AND(AD$4&gt;=$G24,AD$4&lt;=$H24),IF($F24="Monthly",$E24,IF(MOD(AD$4-$G24,12)=0,$E24,0)),0)</f>
        <v>93.5</v>
      </c>
      <c r="AE24" s="41" t="n">
        <f aca="false">IF(AND(AE$4&gt;=$G24,AE$4&lt;=$H24),IF($F24="Monthly",$E24,IF(MOD(AE$4-$G24,12)=0,$E24,0)),0)</f>
        <v>93.5</v>
      </c>
      <c r="AF24" s="41" t="n">
        <f aca="false">IF(AND(AF$4&gt;=$G24,AF$4&lt;=$H24),IF($F24="Monthly",$E24,IF(MOD(AF$4-$G24,12)=0,$E24,0)),0)</f>
        <v>93.5</v>
      </c>
      <c r="AG24" s="41" t="n">
        <f aca="false">IF(AND(AG$4&gt;=$G24,AG$4&lt;=$H24),IF($F24="Monthly",$E24,IF(MOD(AG$4-$G24,12)=0,$E24,0)),0)</f>
        <v>93.5</v>
      </c>
      <c r="AH24" s="41" t="n">
        <f aca="false">IF(AND(AH$4&gt;=$G24,AH$4&lt;=$H24),IF($F24="Monthly",$E24,IF(MOD(AH$4-$G24,12)=0,$E24,0)),0)</f>
        <v>93.5</v>
      </c>
      <c r="AI24" s="41" t="n">
        <f aca="false">IF(AND(AI$4&gt;=$G24,AI$4&lt;=$H24),IF($F24="Monthly",$E24,IF(MOD(AI$4-$G24,12)=0,$E24,0)),0)</f>
        <v>93.5</v>
      </c>
      <c r="AJ24" s="41" t="n">
        <f aca="false">IF(AND(AJ$4&gt;=$G24,AJ$4&lt;=$H24),IF($F24="Monthly",$E24,IF(MOD(AJ$4-$G24,12)=0,$E24,0)),0)</f>
        <v>93.5</v>
      </c>
      <c r="AK24" s="41" t="n">
        <f aca="false">IF(AND(AK$4&gt;=$G24,AK$4&lt;=$H24),IF($F24="Monthly",$E24,IF(MOD(AK$4-$G24,12)=0,$E24,0)),0)</f>
        <v>93.5</v>
      </c>
      <c r="AL24" s="41" t="n">
        <f aca="false">IF(AND(AL$4&gt;=$G24,AL$4&lt;=$H24),IF($F24="Monthly",$E24,IF(MOD(AL$4-$G24,12)=0,$E24,0)),0)</f>
        <v>93.5</v>
      </c>
      <c r="AM24" s="41" t="n">
        <f aca="false">IF(AND(AM$4&gt;=$G24,AM$4&lt;=$H24),IF($F24="Monthly",$E24,IF(MOD(AM$4-$G24,12)=0,$E24,0)),0)</f>
        <v>93.5</v>
      </c>
      <c r="AN24" s="41" t="n">
        <f aca="false">IF(AND(AN$4&gt;=$G24,AN$4&lt;=$H24),IF($F24="Monthly",$E24,IF(MOD(AN$4-$G24,12)=0,$E24,0)),0)</f>
        <v>93.5</v>
      </c>
      <c r="AO24" s="41" t="n">
        <f aca="false">IF(AND(AO$4&gt;=$G24,AO$4&lt;=$H24),IF($F24="Monthly",$E24,IF(MOD(AO$4-$G24,12)=0,$E24,0)),0)</f>
        <v>93.5</v>
      </c>
      <c r="AP24" s="41" t="n">
        <f aca="false">IF(AND(AP$4&gt;=$G24,AP$4&lt;=$H24),IF($F24="Monthly",$E24,IF(MOD(AP$4-$G24,12)=0,$E24,0)),0)</f>
        <v>93.5</v>
      </c>
      <c r="AQ24" s="41" t="n">
        <f aca="false">IF(AND(AQ$4&gt;=$G24,AQ$4&lt;=$H24),IF($F24="Monthly",$E24,IF(MOD(AQ$4-$G24,12)=0,$E24,0)),0)</f>
        <v>93.5</v>
      </c>
      <c r="AR24" s="41" t="n">
        <f aca="false">IF(AND(AR$4&gt;=$G24,AR$4&lt;=$H24),IF($F24="Monthly",$E24,IF(MOD(AR$4-$G24,12)=0,$E24,0)),0)</f>
        <v>93.5</v>
      </c>
      <c r="AS24" s="41" t="n">
        <f aca="false">IF(AND(AS$4&gt;=$G24,AS$4&lt;=$H24),IF($F24="Monthly",$E24,IF(MOD(AS$4-$G24,12)=0,$E24,0)),0)</f>
        <v>93.5</v>
      </c>
      <c r="AT24" s="41" t="n">
        <f aca="false">IF(AND(AT$4&gt;=$G24,AT$4&lt;=$H24),IF($F24="Monthly",$E24,IF(MOD(AT$4-$G24,12)=0,$E24,0)),0)</f>
        <v>93.5</v>
      </c>
      <c r="AU24" s="41" t="n">
        <f aca="false">IF(AND(AU$4&gt;=$G24,AU$4&lt;=$H24),IF($F24="Monthly",$E24,IF(MOD(AU$4-$G24,12)=0,$E24,0)),0)</f>
        <v>93.5</v>
      </c>
      <c r="AV24" s="41" t="n">
        <f aca="false">IF(AND(AV$4&gt;=$G24,AV$4&lt;=$H24),IF($F24="Monthly",$E24,IF(MOD(AV$4-$G24,12)=0,$E24,0)),0)</f>
        <v>93.5</v>
      </c>
      <c r="AW24" s="41" t="n">
        <f aca="false">IF(AND(AW$4&gt;=$G24,AW$4&lt;=$H24),IF($F24="Monthly",$E24,IF(MOD(AW$4-$G24,12)=0,$E24,0)),0)</f>
        <v>93.5</v>
      </c>
      <c r="AX24" s="41" t="n">
        <f aca="false">IF(AND(AX$4&gt;=$G24,AX$4&lt;=$H24),IF($F24="Monthly",$E24,IF(MOD(AX$4-$G24,12)=0,$E24,0)),0)</f>
        <v>93.5</v>
      </c>
    </row>
    <row r="25" customFormat="false" ht="15" hidden="false" customHeight="false" outlineLevel="0" collapsed="false">
      <c r="A25" s="7" t="s">
        <v>714</v>
      </c>
      <c r="B25" s="7" t="s">
        <v>710</v>
      </c>
      <c r="C25" s="25" t="n">
        <v>50</v>
      </c>
      <c r="D25" s="25" t="n">
        <v>150</v>
      </c>
      <c r="E25" s="15" t="n">
        <f aca="false">C25+Assumptions!$C$9*(D25-C25)</f>
        <v>100</v>
      </c>
      <c r="F25" s="44" t="s">
        <v>666</v>
      </c>
      <c r="G25" s="21" t="n">
        <v>1</v>
      </c>
      <c r="H25" s="21" t="n">
        <v>36</v>
      </c>
      <c r="I25" s="41" t="n">
        <f aca="false">SUMIF($O$3:$AX$3,1,O25:AX25)</f>
        <v>1200</v>
      </c>
      <c r="J25" s="41" t="n">
        <f aca="false">SUMIF($O$3:$AX$3,2,O25:AX25)</f>
        <v>1200</v>
      </c>
      <c r="K25" s="41" t="n">
        <f aca="false">SUMIF($O$3:$AX$3,3,O25:AX25)</f>
        <v>1200</v>
      </c>
      <c r="L25" s="7" t="s">
        <v>715</v>
      </c>
      <c r="M25" s="7" t="s">
        <v>79</v>
      </c>
      <c r="O25" s="41" t="n">
        <f aca="false">IF(AND(O$4&gt;=$G25,O$4&lt;=$H25),IF($F25="Monthly",$E25,IF(MOD(O$4-$G25,12)=0,$E25,0)),0)</f>
        <v>100</v>
      </c>
      <c r="P25" s="41" t="n">
        <f aca="false">IF(AND(P$4&gt;=$G25,P$4&lt;=$H25),IF($F25="Monthly",$E25,IF(MOD(P$4-$G25,12)=0,$E25,0)),0)</f>
        <v>100</v>
      </c>
      <c r="Q25" s="41" t="n">
        <f aca="false">IF(AND(Q$4&gt;=$G25,Q$4&lt;=$H25),IF($F25="Monthly",$E25,IF(MOD(Q$4-$G25,12)=0,$E25,0)),0)</f>
        <v>100</v>
      </c>
      <c r="R25" s="41" t="n">
        <f aca="false">IF(AND(R$4&gt;=$G25,R$4&lt;=$H25),IF($F25="Monthly",$E25,IF(MOD(R$4-$G25,12)=0,$E25,0)),0)</f>
        <v>100</v>
      </c>
      <c r="S25" s="41" t="n">
        <f aca="false">IF(AND(S$4&gt;=$G25,S$4&lt;=$H25),IF($F25="Monthly",$E25,IF(MOD(S$4-$G25,12)=0,$E25,0)),0)</f>
        <v>100</v>
      </c>
      <c r="T25" s="41" t="n">
        <f aca="false">IF(AND(T$4&gt;=$G25,T$4&lt;=$H25),IF($F25="Monthly",$E25,IF(MOD(T$4-$G25,12)=0,$E25,0)),0)</f>
        <v>100</v>
      </c>
      <c r="U25" s="41" t="n">
        <f aca="false">IF(AND(U$4&gt;=$G25,U$4&lt;=$H25),IF($F25="Monthly",$E25,IF(MOD(U$4-$G25,12)=0,$E25,0)),0)</f>
        <v>100</v>
      </c>
      <c r="V25" s="41" t="n">
        <f aca="false">IF(AND(V$4&gt;=$G25,V$4&lt;=$H25),IF($F25="Monthly",$E25,IF(MOD(V$4-$G25,12)=0,$E25,0)),0)</f>
        <v>100</v>
      </c>
      <c r="W25" s="41" t="n">
        <f aca="false">IF(AND(W$4&gt;=$G25,W$4&lt;=$H25),IF($F25="Monthly",$E25,IF(MOD(W$4-$G25,12)=0,$E25,0)),0)</f>
        <v>100</v>
      </c>
      <c r="X25" s="41" t="n">
        <f aca="false">IF(AND(X$4&gt;=$G25,X$4&lt;=$H25),IF($F25="Monthly",$E25,IF(MOD(X$4-$G25,12)=0,$E25,0)),0)</f>
        <v>100</v>
      </c>
      <c r="Y25" s="41" t="n">
        <f aca="false">IF(AND(Y$4&gt;=$G25,Y$4&lt;=$H25),IF($F25="Monthly",$E25,IF(MOD(Y$4-$G25,12)=0,$E25,0)),0)</f>
        <v>100</v>
      </c>
      <c r="Z25" s="41" t="n">
        <f aca="false">IF(AND(Z$4&gt;=$G25,Z$4&lt;=$H25),IF($F25="Monthly",$E25,IF(MOD(Z$4-$G25,12)=0,$E25,0)),0)</f>
        <v>100</v>
      </c>
      <c r="AA25" s="41" t="n">
        <f aca="false">IF(AND(AA$4&gt;=$G25,AA$4&lt;=$H25),IF($F25="Monthly",$E25,IF(MOD(AA$4-$G25,12)=0,$E25,0)),0)</f>
        <v>100</v>
      </c>
      <c r="AB25" s="41" t="n">
        <f aca="false">IF(AND(AB$4&gt;=$G25,AB$4&lt;=$H25),IF($F25="Monthly",$E25,IF(MOD(AB$4-$G25,12)=0,$E25,0)),0)</f>
        <v>100</v>
      </c>
      <c r="AC25" s="41" t="n">
        <f aca="false">IF(AND(AC$4&gt;=$G25,AC$4&lt;=$H25),IF($F25="Monthly",$E25,IF(MOD(AC$4-$G25,12)=0,$E25,0)),0)</f>
        <v>100</v>
      </c>
      <c r="AD25" s="41" t="n">
        <f aca="false">IF(AND(AD$4&gt;=$G25,AD$4&lt;=$H25),IF($F25="Monthly",$E25,IF(MOD(AD$4-$G25,12)=0,$E25,0)),0)</f>
        <v>100</v>
      </c>
      <c r="AE25" s="41" t="n">
        <f aca="false">IF(AND(AE$4&gt;=$G25,AE$4&lt;=$H25),IF($F25="Monthly",$E25,IF(MOD(AE$4-$G25,12)=0,$E25,0)),0)</f>
        <v>100</v>
      </c>
      <c r="AF25" s="41" t="n">
        <f aca="false">IF(AND(AF$4&gt;=$G25,AF$4&lt;=$H25),IF($F25="Monthly",$E25,IF(MOD(AF$4-$G25,12)=0,$E25,0)),0)</f>
        <v>100</v>
      </c>
      <c r="AG25" s="41" t="n">
        <f aca="false">IF(AND(AG$4&gt;=$G25,AG$4&lt;=$H25),IF($F25="Monthly",$E25,IF(MOD(AG$4-$G25,12)=0,$E25,0)),0)</f>
        <v>100</v>
      </c>
      <c r="AH25" s="41" t="n">
        <f aca="false">IF(AND(AH$4&gt;=$G25,AH$4&lt;=$H25),IF($F25="Monthly",$E25,IF(MOD(AH$4-$G25,12)=0,$E25,0)),0)</f>
        <v>100</v>
      </c>
      <c r="AI25" s="41" t="n">
        <f aca="false">IF(AND(AI$4&gt;=$G25,AI$4&lt;=$H25),IF($F25="Monthly",$E25,IF(MOD(AI$4-$G25,12)=0,$E25,0)),0)</f>
        <v>100</v>
      </c>
      <c r="AJ25" s="41" t="n">
        <f aca="false">IF(AND(AJ$4&gt;=$G25,AJ$4&lt;=$H25),IF($F25="Monthly",$E25,IF(MOD(AJ$4-$G25,12)=0,$E25,0)),0)</f>
        <v>100</v>
      </c>
      <c r="AK25" s="41" t="n">
        <f aca="false">IF(AND(AK$4&gt;=$G25,AK$4&lt;=$H25),IF($F25="Monthly",$E25,IF(MOD(AK$4-$G25,12)=0,$E25,0)),0)</f>
        <v>100</v>
      </c>
      <c r="AL25" s="41" t="n">
        <f aca="false">IF(AND(AL$4&gt;=$G25,AL$4&lt;=$H25),IF($F25="Monthly",$E25,IF(MOD(AL$4-$G25,12)=0,$E25,0)),0)</f>
        <v>100</v>
      </c>
      <c r="AM25" s="41" t="n">
        <f aca="false">IF(AND(AM$4&gt;=$G25,AM$4&lt;=$H25),IF($F25="Monthly",$E25,IF(MOD(AM$4-$G25,12)=0,$E25,0)),0)</f>
        <v>100</v>
      </c>
      <c r="AN25" s="41" t="n">
        <f aca="false">IF(AND(AN$4&gt;=$G25,AN$4&lt;=$H25),IF($F25="Monthly",$E25,IF(MOD(AN$4-$G25,12)=0,$E25,0)),0)</f>
        <v>100</v>
      </c>
      <c r="AO25" s="41" t="n">
        <f aca="false">IF(AND(AO$4&gt;=$G25,AO$4&lt;=$H25),IF($F25="Monthly",$E25,IF(MOD(AO$4-$G25,12)=0,$E25,0)),0)</f>
        <v>100</v>
      </c>
      <c r="AP25" s="41" t="n">
        <f aca="false">IF(AND(AP$4&gt;=$G25,AP$4&lt;=$H25),IF($F25="Monthly",$E25,IF(MOD(AP$4-$G25,12)=0,$E25,0)),0)</f>
        <v>100</v>
      </c>
      <c r="AQ25" s="41" t="n">
        <f aca="false">IF(AND(AQ$4&gt;=$G25,AQ$4&lt;=$H25),IF($F25="Monthly",$E25,IF(MOD(AQ$4-$G25,12)=0,$E25,0)),0)</f>
        <v>100</v>
      </c>
      <c r="AR25" s="41" t="n">
        <f aca="false">IF(AND(AR$4&gt;=$G25,AR$4&lt;=$H25),IF($F25="Monthly",$E25,IF(MOD(AR$4-$G25,12)=0,$E25,0)),0)</f>
        <v>100</v>
      </c>
      <c r="AS25" s="41" t="n">
        <f aca="false">IF(AND(AS$4&gt;=$G25,AS$4&lt;=$H25),IF($F25="Monthly",$E25,IF(MOD(AS$4-$G25,12)=0,$E25,0)),0)</f>
        <v>100</v>
      </c>
      <c r="AT25" s="41" t="n">
        <f aca="false">IF(AND(AT$4&gt;=$G25,AT$4&lt;=$H25),IF($F25="Monthly",$E25,IF(MOD(AT$4-$G25,12)=0,$E25,0)),0)</f>
        <v>100</v>
      </c>
      <c r="AU25" s="41" t="n">
        <f aca="false">IF(AND(AU$4&gt;=$G25,AU$4&lt;=$H25),IF($F25="Monthly",$E25,IF(MOD(AU$4-$G25,12)=0,$E25,0)),0)</f>
        <v>100</v>
      </c>
      <c r="AV25" s="41" t="n">
        <f aca="false">IF(AND(AV$4&gt;=$G25,AV$4&lt;=$H25),IF($F25="Monthly",$E25,IF(MOD(AV$4-$G25,12)=0,$E25,0)),0)</f>
        <v>100</v>
      </c>
      <c r="AW25" s="41" t="n">
        <f aca="false">IF(AND(AW$4&gt;=$G25,AW$4&lt;=$H25),IF($F25="Monthly",$E25,IF(MOD(AW$4-$G25,12)=0,$E25,0)),0)</f>
        <v>100</v>
      </c>
      <c r="AX25" s="41" t="n">
        <f aca="false">IF(AND(AX$4&gt;=$G25,AX$4&lt;=$H25),IF($F25="Monthly",$E25,IF(MOD(AX$4-$G25,12)=0,$E25,0)),0)</f>
        <v>100</v>
      </c>
    </row>
    <row r="26" customFormat="false" ht="15" hidden="false" customHeight="false" outlineLevel="0" collapsed="false">
      <c r="A26" s="7" t="s">
        <v>716</v>
      </c>
      <c r="B26" s="7" t="s">
        <v>710</v>
      </c>
      <c r="C26" s="25" t="n">
        <v>35</v>
      </c>
      <c r="D26" s="25" t="n">
        <v>129</v>
      </c>
      <c r="E26" s="15" t="n">
        <f aca="false">C26+Assumptions!$C$9*(D26-C26)</f>
        <v>82</v>
      </c>
      <c r="F26" s="44" t="s">
        <v>666</v>
      </c>
      <c r="G26" s="21" t="n">
        <v>1</v>
      </c>
      <c r="H26" s="21" t="n">
        <v>36</v>
      </c>
      <c r="I26" s="41" t="n">
        <f aca="false">SUMIF($O$3:$AX$3,1,O26:AX26)</f>
        <v>984</v>
      </c>
      <c r="J26" s="41" t="n">
        <f aca="false">SUMIF($O$3:$AX$3,2,O26:AX26)</f>
        <v>984</v>
      </c>
      <c r="K26" s="41" t="n">
        <f aca="false">SUMIF($O$3:$AX$3,3,O26:AX26)</f>
        <v>984</v>
      </c>
      <c r="L26" s="7" t="s">
        <v>717</v>
      </c>
      <c r="M26" s="7" t="s">
        <v>79</v>
      </c>
      <c r="O26" s="41" t="n">
        <f aca="false">IF(AND(O$4&gt;=$G26,O$4&lt;=$H26),IF($F26="Monthly",$E26,IF(MOD(O$4-$G26,12)=0,$E26,0)),0)</f>
        <v>82</v>
      </c>
      <c r="P26" s="41" t="n">
        <f aca="false">IF(AND(P$4&gt;=$G26,P$4&lt;=$H26),IF($F26="Monthly",$E26,IF(MOD(P$4-$G26,12)=0,$E26,0)),0)</f>
        <v>82</v>
      </c>
      <c r="Q26" s="41" t="n">
        <f aca="false">IF(AND(Q$4&gt;=$G26,Q$4&lt;=$H26),IF($F26="Monthly",$E26,IF(MOD(Q$4-$G26,12)=0,$E26,0)),0)</f>
        <v>82</v>
      </c>
      <c r="R26" s="41" t="n">
        <f aca="false">IF(AND(R$4&gt;=$G26,R$4&lt;=$H26),IF($F26="Monthly",$E26,IF(MOD(R$4-$G26,12)=0,$E26,0)),0)</f>
        <v>82</v>
      </c>
      <c r="S26" s="41" t="n">
        <f aca="false">IF(AND(S$4&gt;=$G26,S$4&lt;=$H26),IF($F26="Monthly",$E26,IF(MOD(S$4-$G26,12)=0,$E26,0)),0)</f>
        <v>82</v>
      </c>
      <c r="T26" s="41" t="n">
        <f aca="false">IF(AND(T$4&gt;=$G26,T$4&lt;=$H26),IF($F26="Monthly",$E26,IF(MOD(T$4-$G26,12)=0,$E26,0)),0)</f>
        <v>82</v>
      </c>
      <c r="U26" s="41" t="n">
        <f aca="false">IF(AND(U$4&gt;=$G26,U$4&lt;=$H26),IF($F26="Monthly",$E26,IF(MOD(U$4-$G26,12)=0,$E26,0)),0)</f>
        <v>82</v>
      </c>
      <c r="V26" s="41" t="n">
        <f aca="false">IF(AND(V$4&gt;=$G26,V$4&lt;=$H26),IF($F26="Monthly",$E26,IF(MOD(V$4-$G26,12)=0,$E26,0)),0)</f>
        <v>82</v>
      </c>
      <c r="W26" s="41" t="n">
        <f aca="false">IF(AND(W$4&gt;=$G26,W$4&lt;=$H26),IF($F26="Monthly",$E26,IF(MOD(W$4-$G26,12)=0,$E26,0)),0)</f>
        <v>82</v>
      </c>
      <c r="X26" s="41" t="n">
        <f aca="false">IF(AND(X$4&gt;=$G26,X$4&lt;=$H26),IF($F26="Monthly",$E26,IF(MOD(X$4-$G26,12)=0,$E26,0)),0)</f>
        <v>82</v>
      </c>
      <c r="Y26" s="41" t="n">
        <f aca="false">IF(AND(Y$4&gt;=$G26,Y$4&lt;=$H26),IF($F26="Monthly",$E26,IF(MOD(Y$4-$G26,12)=0,$E26,0)),0)</f>
        <v>82</v>
      </c>
      <c r="Z26" s="41" t="n">
        <f aca="false">IF(AND(Z$4&gt;=$G26,Z$4&lt;=$H26),IF($F26="Monthly",$E26,IF(MOD(Z$4-$G26,12)=0,$E26,0)),0)</f>
        <v>82</v>
      </c>
      <c r="AA26" s="41" t="n">
        <f aca="false">IF(AND(AA$4&gt;=$G26,AA$4&lt;=$H26),IF($F26="Monthly",$E26,IF(MOD(AA$4-$G26,12)=0,$E26,0)),0)</f>
        <v>82</v>
      </c>
      <c r="AB26" s="41" t="n">
        <f aca="false">IF(AND(AB$4&gt;=$G26,AB$4&lt;=$H26),IF($F26="Monthly",$E26,IF(MOD(AB$4-$G26,12)=0,$E26,0)),0)</f>
        <v>82</v>
      </c>
      <c r="AC26" s="41" t="n">
        <f aca="false">IF(AND(AC$4&gt;=$G26,AC$4&lt;=$H26),IF($F26="Monthly",$E26,IF(MOD(AC$4-$G26,12)=0,$E26,0)),0)</f>
        <v>82</v>
      </c>
      <c r="AD26" s="41" t="n">
        <f aca="false">IF(AND(AD$4&gt;=$G26,AD$4&lt;=$H26),IF($F26="Monthly",$E26,IF(MOD(AD$4-$G26,12)=0,$E26,0)),0)</f>
        <v>82</v>
      </c>
      <c r="AE26" s="41" t="n">
        <f aca="false">IF(AND(AE$4&gt;=$G26,AE$4&lt;=$H26),IF($F26="Monthly",$E26,IF(MOD(AE$4-$G26,12)=0,$E26,0)),0)</f>
        <v>82</v>
      </c>
      <c r="AF26" s="41" t="n">
        <f aca="false">IF(AND(AF$4&gt;=$G26,AF$4&lt;=$H26),IF($F26="Monthly",$E26,IF(MOD(AF$4-$G26,12)=0,$E26,0)),0)</f>
        <v>82</v>
      </c>
      <c r="AG26" s="41" t="n">
        <f aca="false">IF(AND(AG$4&gt;=$G26,AG$4&lt;=$H26),IF($F26="Monthly",$E26,IF(MOD(AG$4-$G26,12)=0,$E26,0)),0)</f>
        <v>82</v>
      </c>
      <c r="AH26" s="41" t="n">
        <f aca="false">IF(AND(AH$4&gt;=$G26,AH$4&lt;=$H26),IF($F26="Monthly",$E26,IF(MOD(AH$4-$G26,12)=0,$E26,0)),0)</f>
        <v>82</v>
      </c>
      <c r="AI26" s="41" t="n">
        <f aca="false">IF(AND(AI$4&gt;=$G26,AI$4&lt;=$H26),IF($F26="Monthly",$E26,IF(MOD(AI$4-$G26,12)=0,$E26,0)),0)</f>
        <v>82</v>
      </c>
      <c r="AJ26" s="41" t="n">
        <f aca="false">IF(AND(AJ$4&gt;=$G26,AJ$4&lt;=$H26),IF($F26="Monthly",$E26,IF(MOD(AJ$4-$G26,12)=0,$E26,0)),0)</f>
        <v>82</v>
      </c>
      <c r="AK26" s="41" t="n">
        <f aca="false">IF(AND(AK$4&gt;=$G26,AK$4&lt;=$H26),IF($F26="Monthly",$E26,IF(MOD(AK$4-$G26,12)=0,$E26,0)),0)</f>
        <v>82</v>
      </c>
      <c r="AL26" s="41" t="n">
        <f aca="false">IF(AND(AL$4&gt;=$G26,AL$4&lt;=$H26),IF($F26="Monthly",$E26,IF(MOD(AL$4-$G26,12)=0,$E26,0)),0)</f>
        <v>82</v>
      </c>
      <c r="AM26" s="41" t="n">
        <f aca="false">IF(AND(AM$4&gt;=$G26,AM$4&lt;=$H26),IF($F26="Monthly",$E26,IF(MOD(AM$4-$G26,12)=0,$E26,0)),0)</f>
        <v>82</v>
      </c>
      <c r="AN26" s="41" t="n">
        <f aca="false">IF(AND(AN$4&gt;=$G26,AN$4&lt;=$H26),IF($F26="Monthly",$E26,IF(MOD(AN$4-$G26,12)=0,$E26,0)),0)</f>
        <v>82</v>
      </c>
      <c r="AO26" s="41" t="n">
        <f aca="false">IF(AND(AO$4&gt;=$G26,AO$4&lt;=$H26),IF($F26="Monthly",$E26,IF(MOD(AO$4-$G26,12)=0,$E26,0)),0)</f>
        <v>82</v>
      </c>
      <c r="AP26" s="41" t="n">
        <f aca="false">IF(AND(AP$4&gt;=$G26,AP$4&lt;=$H26),IF($F26="Monthly",$E26,IF(MOD(AP$4-$G26,12)=0,$E26,0)),0)</f>
        <v>82</v>
      </c>
      <c r="AQ26" s="41" t="n">
        <f aca="false">IF(AND(AQ$4&gt;=$G26,AQ$4&lt;=$H26),IF($F26="Monthly",$E26,IF(MOD(AQ$4-$G26,12)=0,$E26,0)),0)</f>
        <v>82</v>
      </c>
      <c r="AR26" s="41" t="n">
        <f aca="false">IF(AND(AR$4&gt;=$G26,AR$4&lt;=$H26),IF($F26="Monthly",$E26,IF(MOD(AR$4-$G26,12)=0,$E26,0)),0)</f>
        <v>82</v>
      </c>
      <c r="AS26" s="41" t="n">
        <f aca="false">IF(AND(AS$4&gt;=$G26,AS$4&lt;=$H26),IF($F26="Monthly",$E26,IF(MOD(AS$4-$G26,12)=0,$E26,0)),0)</f>
        <v>82</v>
      </c>
      <c r="AT26" s="41" t="n">
        <f aca="false">IF(AND(AT$4&gt;=$G26,AT$4&lt;=$H26),IF($F26="Monthly",$E26,IF(MOD(AT$4-$G26,12)=0,$E26,0)),0)</f>
        <v>82</v>
      </c>
      <c r="AU26" s="41" t="n">
        <f aca="false">IF(AND(AU$4&gt;=$G26,AU$4&lt;=$H26),IF($F26="Monthly",$E26,IF(MOD(AU$4-$G26,12)=0,$E26,0)),0)</f>
        <v>82</v>
      </c>
      <c r="AV26" s="41" t="n">
        <f aca="false">IF(AND(AV$4&gt;=$G26,AV$4&lt;=$H26),IF($F26="Monthly",$E26,IF(MOD(AV$4-$G26,12)=0,$E26,0)),0)</f>
        <v>82</v>
      </c>
      <c r="AW26" s="41" t="n">
        <f aca="false">IF(AND(AW$4&gt;=$G26,AW$4&lt;=$H26),IF($F26="Monthly",$E26,IF(MOD(AW$4-$G26,12)=0,$E26,0)),0)</f>
        <v>82</v>
      </c>
      <c r="AX26" s="41" t="n">
        <f aca="false">IF(AND(AX$4&gt;=$G26,AX$4&lt;=$H26),IF($F26="Monthly",$E26,IF(MOD(AX$4-$G26,12)=0,$E26,0)),0)</f>
        <v>82</v>
      </c>
    </row>
    <row r="27" customFormat="false" ht="15" hidden="false" customHeight="false" outlineLevel="0" collapsed="false">
      <c r="A27" s="7" t="s">
        <v>718</v>
      </c>
      <c r="B27" s="7" t="s">
        <v>710</v>
      </c>
      <c r="C27" s="25" t="n">
        <v>25</v>
      </c>
      <c r="D27" s="25" t="n">
        <v>50</v>
      </c>
      <c r="E27" s="15" t="n">
        <f aca="false">C27+Assumptions!$C$9*(D27-C27)</f>
        <v>37.5</v>
      </c>
      <c r="F27" s="44" t="s">
        <v>666</v>
      </c>
      <c r="G27" s="21" t="n">
        <v>3</v>
      </c>
      <c r="H27" s="21" t="n">
        <v>36</v>
      </c>
      <c r="I27" s="41" t="n">
        <f aca="false">SUMIF($O$3:$AX$3,1,O27:AX27)</f>
        <v>375</v>
      </c>
      <c r="J27" s="41" t="n">
        <f aca="false">SUMIF($O$3:$AX$3,2,O27:AX27)</f>
        <v>450</v>
      </c>
      <c r="K27" s="41" t="n">
        <f aca="false">SUMIF($O$3:$AX$3,3,O27:AX27)</f>
        <v>450</v>
      </c>
      <c r="L27" s="7" t="s">
        <v>719</v>
      </c>
      <c r="M27" s="7" t="s">
        <v>79</v>
      </c>
      <c r="O27" s="41" t="n">
        <f aca="false">IF(AND(O$4&gt;=$G27,O$4&lt;=$H27),IF($F27="Monthly",$E27,IF(MOD(O$4-$G27,12)=0,$E27,0)),0)</f>
        <v>0</v>
      </c>
      <c r="P27" s="41" t="n">
        <f aca="false">IF(AND(P$4&gt;=$G27,P$4&lt;=$H27),IF($F27="Monthly",$E27,IF(MOD(P$4-$G27,12)=0,$E27,0)),0)</f>
        <v>0</v>
      </c>
      <c r="Q27" s="41" t="n">
        <f aca="false">IF(AND(Q$4&gt;=$G27,Q$4&lt;=$H27),IF($F27="Monthly",$E27,IF(MOD(Q$4-$G27,12)=0,$E27,0)),0)</f>
        <v>37.5</v>
      </c>
      <c r="R27" s="41" t="n">
        <f aca="false">IF(AND(R$4&gt;=$G27,R$4&lt;=$H27),IF($F27="Monthly",$E27,IF(MOD(R$4-$G27,12)=0,$E27,0)),0)</f>
        <v>37.5</v>
      </c>
      <c r="S27" s="41" t="n">
        <f aca="false">IF(AND(S$4&gt;=$G27,S$4&lt;=$H27),IF($F27="Monthly",$E27,IF(MOD(S$4-$G27,12)=0,$E27,0)),0)</f>
        <v>37.5</v>
      </c>
      <c r="T27" s="41" t="n">
        <f aca="false">IF(AND(T$4&gt;=$G27,T$4&lt;=$H27),IF($F27="Monthly",$E27,IF(MOD(T$4-$G27,12)=0,$E27,0)),0)</f>
        <v>37.5</v>
      </c>
      <c r="U27" s="41" t="n">
        <f aca="false">IF(AND(U$4&gt;=$G27,U$4&lt;=$H27),IF($F27="Monthly",$E27,IF(MOD(U$4-$G27,12)=0,$E27,0)),0)</f>
        <v>37.5</v>
      </c>
      <c r="V27" s="41" t="n">
        <f aca="false">IF(AND(V$4&gt;=$G27,V$4&lt;=$H27),IF($F27="Monthly",$E27,IF(MOD(V$4-$G27,12)=0,$E27,0)),0)</f>
        <v>37.5</v>
      </c>
      <c r="W27" s="41" t="n">
        <f aca="false">IF(AND(W$4&gt;=$G27,W$4&lt;=$H27),IF($F27="Monthly",$E27,IF(MOD(W$4-$G27,12)=0,$E27,0)),0)</f>
        <v>37.5</v>
      </c>
      <c r="X27" s="41" t="n">
        <f aca="false">IF(AND(X$4&gt;=$G27,X$4&lt;=$H27),IF($F27="Monthly",$E27,IF(MOD(X$4-$G27,12)=0,$E27,0)),0)</f>
        <v>37.5</v>
      </c>
      <c r="Y27" s="41" t="n">
        <f aca="false">IF(AND(Y$4&gt;=$G27,Y$4&lt;=$H27),IF($F27="Monthly",$E27,IF(MOD(Y$4-$G27,12)=0,$E27,0)),0)</f>
        <v>37.5</v>
      </c>
      <c r="Z27" s="41" t="n">
        <f aca="false">IF(AND(Z$4&gt;=$G27,Z$4&lt;=$H27),IF($F27="Monthly",$E27,IF(MOD(Z$4-$G27,12)=0,$E27,0)),0)</f>
        <v>37.5</v>
      </c>
      <c r="AA27" s="41" t="n">
        <f aca="false">IF(AND(AA$4&gt;=$G27,AA$4&lt;=$H27),IF($F27="Monthly",$E27,IF(MOD(AA$4-$G27,12)=0,$E27,0)),0)</f>
        <v>37.5</v>
      </c>
      <c r="AB27" s="41" t="n">
        <f aca="false">IF(AND(AB$4&gt;=$G27,AB$4&lt;=$H27),IF($F27="Monthly",$E27,IF(MOD(AB$4-$G27,12)=0,$E27,0)),0)</f>
        <v>37.5</v>
      </c>
      <c r="AC27" s="41" t="n">
        <f aca="false">IF(AND(AC$4&gt;=$G27,AC$4&lt;=$H27),IF($F27="Monthly",$E27,IF(MOD(AC$4-$G27,12)=0,$E27,0)),0)</f>
        <v>37.5</v>
      </c>
      <c r="AD27" s="41" t="n">
        <f aca="false">IF(AND(AD$4&gt;=$G27,AD$4&lt;=$H27),IF($F27="Monthly",$E27,IF(MOD(AD$4-$G27,12)=0,$E27,0)),0)</f>
        <v>37.5</v>
      </c>
      <c r="AE27" s="41" t="n">
        <f aca="false">IF(AND(AE$4&gt;=$G27,AE$4&lt;=$H27),IF($F27="Monthly",$E27,IF(MOD(AE$4-$G27,12)=0,$E27,0)),0)</f>
        <v>37.5</v>
      </c>
      <c r="AF27" s="41" t="n">
        <f aca="false">IF(AND(AF$4&gt;=$G27,AF$4&lt;=$H27),IF($F27="Monthly",$E27,IF(MOD(AF$4-$G27,12)=0,$E27,0)),0)</f>
        <v>37.5</v>
      </c>
      <c r="AG27" s="41" t="n">
        <f aca="false">IF(AND(AG$4&gt;=$G27,AG$4&lt;=$H27),IF($F27="Monthly",$E27,IF(MOD(AG$4-$G27,12)=0,$E27,0)),0)</f>
        <v>37.5</v>
      </c>
      <c r="AH27" s="41" t="n">
        <f aca="false">IF(AND(AH$4&gt;=$G27,AH$4&lt;=$H27),IF($F27="Monthly",$E27,IF(MOD(AH$4-$G27,12)=0,$E27,0)),0)</f>
        <v>37.5</v>
      </c>
      <c r="AI27" s="41" t="n">
        <f aca="false">IF(AND(AI$4&gt;=$G27,AI$4&lt;=$H27),IF($F27="Monthly",$E27,IF(MOD(AI$4-$G27,12)=0,$E27,0)),0)</f>
        <v>37.5</v>
      </c>
      <c r="AJ27" s="41" t="n">
        <f aca="false">IF(AND(AJ$4&gt;=$G27,AJ$4&lt;=$H27),IF($F27="Monthly",$E27,IF(MOD(AJ$4-$G27,12)=0,$E27,0)),0)</f>
        <v>37.5</v>
      </c>
      <c r="AK27" s="41" t="n">
        <f aca="false">IF(AND(AK$4&gt;=$G27,AK$4&lt;=$H27),IF($F27="Monthly",$E27,IF(MOD(AK$4-$G27,12)=0,$E27,0)),0)</f>
        <v>37.5</v>
      </c>
      <c r="AL27" s="41" t="n">
        <f aca="false">IF(AND(AL$4&gt;=$G27,AL$4&lt;=$H27),IF($F27="Monthly",$E27,IF(MOD(AL$4-$G27,12)=0,$E27,0)),0)</f>
        <v>37.5</v>
      </c>
      <c r="AM27" s="41" t="n">
        <f aca="false">IF(AND(AM$4&gt;=$G27,AM$4&lt;=$H27),IF($F27="Monthly",$E27,IF(MOD(AM$4-$G27,12)=0,$E27,0)),0)</f>
        <v>37.5</v>
      </c>
      <c r="AN27" s="41" t="n">
        <f aca="false">IF(AND(AN$4&gt;=$G27,AN$4&lt;=$H27),IF($F27="Monthly",$E27,IF(MOD(AN$4-$G27,12)=0,$E27,0)),0)</f>
        <v>37.5</v>
      </c>
      <c r="AO27" s="41" t="n">
        <f aca="false">IF(AND(AO$4&gt;=$G27,AO$4&lt;=$H27),IF($F27="Monthly",$E27,IF(MOD(AO$4-$G27,12)=0,$E27,0)),0)</f>
        <v>37.5</v>
      </c>
      <c r="AP27" s="41" t="n">
        <f aca="false">IF(AND(AP$4&gt;=$G27,AP$4&lt;=$H27),IF($F27="Monthly",$E27,IF(MOD(AP$4-$G27,12)=0,$E27,0)),0)</f>
        <v>37.5</v>
      </c>
      <c r="AQ27" s="41" t="n">
        <f aca="false">IF(AND(AQ$4&gt;=$G27,AQ$4&lt;=$H27),IF($F27="Monthly",$E27,IF(MOD(AQ$4-$G27,12)=0,$E27,0)),0)</f>
        <v>37.5</v>
      </c>
      <c r="AR27" s="41" t="n">
        <f aca="false">IF(AND(AR$4&gt;=$G27,AR$4&lt;=$H27),IF($F27="Monthly",$E27,IF(MOD(AR$4-$G27,12)=0,$E27,0)),0)</f>
        <v>37.5</v>
      </c>
      <c r="AS27" s="41" t="n">
        <f aca="false">IF(AND(AS$4&gt;=$G27,AS$4&lt;=$H27),IF($F27="Monthly",$E27,IF(MOD(AS$4-$G27,12)=0,$E27,0)),0)</f>
        <v>37.5</v>
      </c>
      <c r="AT27" s="41" t="n">
        <f aca="false">IF(AND(AT$4&gt;=$G27,AT$4&lt;=$H27),IF($F27="Monthly",$E27,IF(MOD(AT$4-$G27,12)=0,$E27,0)),0)</f>
        <v>37.5</v>
      </c>
      <c r="AU27" s="41" t="n">
        <f aca="false">IF(AND(AU$4&gt;=$G27,AU$4&lt;=$H27),IF($F27="Monthly",$E27,IF(MOD(AU$4-$G27,12)=0,$E27,0)),0)</f>
        <v>37.5</v>
      </c>
      <c r="AV27" s="41" t="n">
        <f aca="false">IF(AND(AV$4&gt;=$G27,AV$4&lt;=$H27),IF($F27="Monthly",$E27,IF(MOD(AV$4-$G27,12)=0,$E27,0)),0)</f>
        <v>37.5</v>
      </c>
      <c r="AW27" s="41" t="n">
        <f aca="false">IF(AND(AW$4&gt;=$G27,AW$4&lt;=$H27),IF($F27="Monthly",$E27,IF(MOD(AW$4-$G27,12)=0,$E27,0)),0)</f>
        <v>37.5</v>
      </c>
      <c r="AX27" s="41" t="n">
        <f aca="false">IF(AND(AX$4&gt;=$G27,AX$4&lt;=$H27),IF($F27="Monthly",$E27,IF(MOD(AX$4-$G27,12)=0,$E27,0)),0)</f>
        <v>37.5</v>
      </c>
    </row>
    <row r="28" customFormat="false" ht="15" hidden="false" customHeight="false" outlineLevel="0" collapsed="false">
      <c r="A28" s="7" t="s">
        <v>720</v>
      </c>
      <c r="B28" s="7" t="s">
        <v>591</v>
      </c>
      <c r="C28" s="25" t="n">
        <v>0</v>
      </c>
      <c r="D28" s="25" t="n">
        <v>750</v>
      </c>
      <c r="E28" s="15" t="n">
        <f aca="false">C28+Assumptions!$C$9*(D28-C28)</f>
        <v>375</v>
      </c>
      <c r="F28" s="44" t="s">
        <v>672</v>
      </c>
      <c r="G28" s="21" t="n">
        <v>4</v>
      </c>
      <c r="H28" s="21" t="n">
        <v>36</v>
      </c>
      <c r="I28" s="41" t="n">
        <f aca="false">SUMIF($O$3:$AX$3,1,O28:AX28)</f>
        <v>375</v>
      </c>
      <c r="J28" s="41" t="n">
        <f aca="false">SUMIF($O$3:$AX$3,2,O28:AX28)</f>
        <v>375</v>
      </c>
      <c r="K28" s="41" t="n">
        <f aca="false">SUMIF($O$3:$AX$3,3,O28:AX28)</f>
        <v>375</v>
      </c>
      <c r="L28" s="7" t="s">
        <v>721</v>
      </c>
      <c r="M28" s="7" t="s">
        <v>79</v>
      </c>
      <c r="O28" s="41" t="n">
        <f aca="false">IF(AND(O$4&gt;=$G28,O$4&lt;=$H28),IF($F28="Monthly",$E28,IF(MOD(O$4-$G28,12)=0,$E28,0)),0)</f>
        <v>0</v>
      </c>
      <c r="P28" s="41" t="n">
        <f aca="false">IF(AND(P$4&gt;=$G28,P$4&lt;=$H28),IF($F28="Monthly",$E28,IF(MOD(P$4-$G28,12)=0,$E28,0)),0)</f>
        <v>0</v>
      </c>
      <c r="Q28" s="41" t="n">
        <f aca="false">IF(AND(Q$4&gt;=$G28,Q$4&lt;=$H28),IF($F28="Monthly",$E28,IF(MOD(Q$4-$G28,12)=0,$E28,0)),0)</f>
        <v>0</v>
      </c>
      <c r="R28" s="41" t="n">
        <f aca="false">IF(AND(R$4&gt;=$G28,R$4&lt;=$H28),IF($F28="Monthly",$E28,IF(MOD(R$4-$G28,12)=0,$E28,0)),0)</f>
        <v>375</v>
      </c>
      <c r="S28" s="41" t="n">
        <f aca="false">IF(AND(S$4&gt;=$G28,S$4&lt;=$H28),IF($F28="Monthly",$E28,IF(MOD(S$4-$G28,12)=0,$E28,0)),0)</f>
        <v>0</v>
      </c>
      <c r="T28" s="41" t="n">
        <f aca="false">IF(AND(T$4&gt;=$G28,T$4&lt;=$H28),IF($F28="Monthly",$E28,IF(MOD(T$4-$G28,12)=0,$E28,0)),0)</f>
        <v>0</v>
      </c>
      <c r="U28" s="41" t="n">
        <f aca="false">IF(AND(U$4&gt;=$G28,U$4&lt;=$H28),IF($F28="Monthly",$E28,IF(MOD(U$4-$G28,12)=0,$E28,0)),0)</f>
        <v>0</v>
      </c>
      <c r="V28" s="41" t="n">
        <f aca="false">IF(AND(V$4&gt;=$G28,V$4&lt;=$H28),IF($F28="Monthly",$E28,IF(MOD(V$4-$G28,12)=0,$E28,0)),0)</f>
        <v>0</v>
      </c>
      <c r="W28" s="41" t="n">
        <f aca="false">IF(AND(W$4&gt;=$G28,W$4&lt;=$H28),IF($F28="Monthly",$E28,IF(MOD(W$4-$G28,12)=0,$E28,0)),0)</f>
        <v>0</v>
      </c>
      <c r="X28" s="41" t="n">
        <f aca="false">IF(AND(X$4&gt;=$G28,X$4&lt;=$H28),IF($F28="Monthly",$E28,IF(MOD(X$4-$G28,12)=0,$E28,0)),0)</f>
        <v>0</v>
      </c>
      <c r="Y28" s="41" t="n">
        <f aca="false">IF(AND(Y$4&gt;=$G28,Y$4&lt;=$H28),IF($F28="Monthly",$E28,IF(MOD(Y$4-$G28,12)=0,$E28,0)),0)</f>
        <v>0</v>
      </c>
      <c r="Z28" s="41" t="n">
        <f aca="false">IF(AND(Z$4&gt;=$G28,Z$4&lt;=$H28),IF($F28="Monthly",$E28,IF(MOD(Z$4-$G28,12)=0,$E28,0)),0)</f>
        <v>0</v>
      </c>
      <c r="AA28" s="41" t="n">
        <f aca="false">IF(AND(AA$4&gt;=$G28,AA$4&lt;=$H28),IF($F28="Monthly",$E28,IF(MOD(AA$4-$G28,12)=0,$E28,0)),0)</f>
        <v>0</v>
      </c>
      <c r="AB28" s="41" t="n">
        <f aca="false">IF(AND(AB$4&gt;=$G28,AB$4&lt;=$H28),IF($F28="Monthly",$E28,IF(MOD(AB$4-$G28,12)=0,$E28,0)),0)</f>
        <v>0</v>
      </c>
      <c r="AC28" s="41" t="n">
        <f aca="false">IF(AND(AC$4&gt;=$G28,AC$4&lt;=$H28),IF($F28="Monthly",$E28,IF(MOD(AC$4-$G28,12)=0,$E28,0)),0)</f>
        <v>0</v>
      </c>
      <c r="AD28" s="41" t="n">
        <f aca="false">IF(AND(AD$4&gt;=$G28,AD$4&lt;=$H28),IF($F28="Monthly",$E28,IF(MOD(AD$4-$G28,12)=0,$E28,0)),0)</f>
        <v>375</v>
      </c>
      <c r="AE28" s="41" t="n">
        <f aca="false">IF(AND(AE$4&gt;=$G28,AE$4&lt;=$H28),IF($F28="Monthly",$E28,IF(MOD(AE$4-$G28,12)=0,$E28,0)),0)</f>
        <v>0</v>
      </c>
      <c r="AF28" s="41" t="n">
        <f aca="false">IF(AND(AF$4&gt;=$G28,AF$4&lt;=$H28),IF($F28="Monthly",$E28,IF(MOD(AF$4-$G28,12)=0,$E28,0)),0)</f>
        <v>0</v>
      </c>
      <c r="AG28" s="41" t="n">
        <f aca="false">IF(AND(AG$4&gt;=$G28,AG$4&lt;=$H28),IF($F28="Monthly",$E28,IF(MOD(AG$4-$G28,12)=0,$E28,0)),0)</f>
        <v>0</v>
      </c>
      <c r="AH28" s="41" t="n">
        <f aca="false">IF(AND(AH$4&gt;=$G28,AH$4&lt;=$H28),IF($F28="Monthly",$E28,IF(MOD(AH$4-$G28,12)=0,$E28,0)),0)</f>
        <v>0</v>
      </c>
      <c r="AI28" s="41" t="n">
        <f aca="false">IF(AND(AI$4&gt;=$G28,AI$4&lt;=$H28),IF($F28="Monthly",$E28,IF(MOD(AI$4-$G28,12)=0,$E28,0)),0)</f>
        <v>0</v>
      </c>
      <c r="AJ28" s="41" t="n">
        <f aca="false">IF(AND(AJ$4&gt;=$G28,AJ$4&lt;=$H28),IF($F28="Monthly",$E28,IF(MOD(AJ$4-$G28,12)=0,$E28,0)),0)</f>
        <v>0</v>
      </c>
      <c r="AK28" s="41" t="n">
        <f aca="false">IF(AND(AK$4&gt;=$G28,AK$4&lt;=$H28),IF($F28="Monthly",$E28,IF(MOD(AK$4-$G28,12)=0,$E28,0)),0)</f>
        <v>0</v>
      </c>
      <c r="AL28" s="41" t="n">
        <f aca="false">IF(AND(AL$4&gt;=$G28,AL$4&lt;=$H28),IF($F28="Monthly",$E28,IF(MOD(AL$4-$G28,12)=0,$E28,0)),0)</f>
        <v>0</v>
      </c>
      <c r="AM28" s="41" t="n">
        <f aca="false">IF(AND(AM$4&gt;=$G28,AM$4&lt;=$H28),IF($F28="Monthly",$E28,IF(MOD(AM$4-$G28,12)=0,$E28,0)),0)</f>
        <v>0</v>
      </c>
      <c r="AN28" s="41" t="n">
        <f aca="false">IF(AND(AN$4&gt;=$G28,AN$4&lt;=$H28),IF($F28="Monthly",$E28,IF(MOD(AN$4-$G28,12)=0,$E28,0)),0)</f>
        <v>0</v>
      </c>
      <c r="AO28" s="41" t="n">
        <f aca="false">IF(AND(AO$4&gt;=$G28,AO$4&lt;=$H28),IF($F28="Monthly",$E28,IF(MOD(AO$4-$G28,12)=0,$E28,0)),0)</f>
        <v>0</v>
      </c>
      <c r="AP28" s="41" t="n">
        <f aca="false">IF(AND(AP$4&gt;=$G28,AP$4&lt;=$H28),IF($F28="Monthly",$E28,IF(MOD(AP$4-$G28,12)=0,$E28,0)),0)</f>
        <v>375</v>
      </c>
      <c r="AQ28" s="41" t="n">
        <f aca="false">IF(AND(AQ$4&gt;=$G28,AQ$4&lt;=$H28),IF($F28="Monthly",$E28,IF(MOD(AQ$4-$G28,12)=0,$E28,0)),0)</f>
        <v>0</v>
      </c>
      <c r="AR28" s="41" t="n">
        <f aca="false">IF(AND(AR$4&gt;=$G28,AR$4&lt;=$H28),IF($F28="Monthly",$E28,IF(MOD(AR$4-$G28,12)=0,$E28,0)),0)</f>
        <v>0</v>
      </c>
      <c r="AS28" s="41" t="n">
        <f aca="false">IF(AND(AS$4&gt;=$G28,AS$4&lt;=$H28),IF($F28="Monthly",$E28,IF(MOD(AS$4-$G28,12)=0,$E28,0)),0)</f>
        <v>0</v>
      </c>
      <c r="AT28" s="41" t="n">
        <f aca="false">IF(AND(AT$4&gt;=$G28,AT$4&lt;=$H28),IF($F28="Monthly",$E28,IF(MOD(AT$4-$G28,12)=0,$E28,0)),0)</f>
        <v>0</v>
      </c>
      <c r="AU28" s="41" t="n">
        <f aca="false">IF(AND(AU$4&gt;=$G28,AU$4&lt;=$H28),IF($F28="Monthly",$E28,IF(MOD(AU$4-$G28,12)=0,$E28,0)),0)</f>
        <v>0</v>
      </c>
      <c r="AV28" s="41" t="n">
        <f aca="false">IF(AND(AV$4&gt;=$G28,AV$4&lt;=$H28),IF($F28="Monthly",$E28,IF(MOD(AV$4-$G28,12)=0,$E28,0)),0)</f>
        <v>0</v>
      </c>
      <c r="AW28" s="41" t="n">
        <f aca="false">IF(AND(AW$4&gt;=$G28,AW$4&lt;=$H28),IF($F28="Monthly",$E28,IF(MOD(AW$4-$G28,12)=0,$E28,0)),0)</f>
        <v>0</v>
      </c>
      <c r="AX28" s="41" t="n">
        <f aca="false">IF(AND(AX$4&gt;=$G28,AX$4&lt;=$H28),IF($F28="Monthly",$E28,IF(MOD(AX$4-$G28,12)=0,$E28,0)),0)</f>
        <v>0</v>
      </c>
    </row>
    <row r="29" customFormat="false" ht="15" hidden="false" customHeight="false" outlineLevel="0" collapsed="false">
      <c r="A29" s="7" t="s">
        <v>722</v>
      </c>
      <c r="B29" s="7" t="s">
        <v>620</v>
      </c>
      <c r="C29" s="25" t="n">
        <v>500</v>
      </c>
      <c r="D29" s="25" t="n">
        <v>1500</v>
      </c>
      <c r="E29" s="15" t="n">
        <f aca="false">C29+Assumptions!$C$9*(D29-C29)</f>
        <v>1000</v>
      </c>
      <c r="F29" s="44" t="s">
        <v>672</v>
      </c>
      <c r="G29" s="21" t="n">
        <v>7</v>
      </c>
      <c r="H29" s="21" t="n">
        <v>36</v>
      </c>
      <c r="I29" s="41" t="n">
        <f aca="false">SUMIF($O$3:$AX$3,1,O29:AX29)</f>
        <v>1000</v>
      </c>
      <c r="J29" s="41" t="n">
        <f aca="false">SUMIF($O$3:$AX$3,2,O29:AX29)</f>
        <v>1000</v>
      </c>
      <c r="K29" s="41" t="n">
        <f aca="false">SUMIF($O$3:$AX$3,3,O29:AX29)</f>
        <v>1000</v>
      </c>
      <c r="L29" s="7" t="s">
        <v>723</v>
      </c>
      <c r="M29" s="7" t="s">
        <v>160</v>
      </c>
      <c r="O29" s="41" t="n">
        <f aca="false">IF(AND(O$4&gt;=$G29,O$4&lt;=$H29),IF($F29="Monthly",$E29,IF(MOD(O$4-$G29,12)=0,$E29,0)),0)</f>
        <v>0</v>
      </c>
      <c r="P29" s="41" t="n">
        <f aca="false">IF(AND(P$4&gt;=$G29,P$4&lt;=$H29),IF($F29="Monthly",$E29,IF(MOD(P$4-$G29,12)=0,$E29,0)),0)</f>
        <v>0</v>
      </c>
      <c r="Q29" s="41" t="n">
        <f aca="false">IF(AND(Q$4&gt;=$G29,Q$4&lt;=$H29),IF($F29="Monthly",$E29,IF(MOD(Q$4-$G29,12)=0,$E29,0)),0)</f>
        <v>0</v>
      </c>
      <c r="R29" s="41" t="n">
        <f aca="false">IF(AND(R$4&gt;=$G29,R$4&lt;=$H29),IF($F29="Monthly",$E29,IF(MOD(R$4-$G29,12)=0,$E29,0)),0)</f>
        <v>0</v>
      </c>
      <c r="S29" s="41" t="n">
        <f aca="false">IF(AND(S$4&gt;=$G29,S$4&lt;=$H29),IF($F29="Monthly",$E29,IF(MOD(S$4-$G29,12)=0,$E29,0)),0)</f>
        <v>0</v>
      </c>
      <c r="T29" s="41" t="n">
        <f aca="false">IF(AND(T$4&gt;=$G29,T$4&lt;=$H29),IF($F29="Monthly",$E29,IF(MOD(T$4-$G29,12)=0,$E29,0)),0)</f>
        <v>0</v>
      </c>
      <c r="U29" s="41" t="n">
        <f aca="false">IF(AND(U$4&gt;=$G29,U$4&lt;=$H29),IF($F29="Monthly",$E29,IF(MOD(U$4-$G29,12)=0,$E29,0)),0)</f>
        <v>1000</v>
      </c>
      <c r="V29" s="41" t="n">
        <f aca="false">IF(AND(V$4&gt;=$G29,V$4&lt;=$H29),IF($F29="Monthly",$E29,IF(MOD(V$4-$G29,12)=0,$E29,0)),0)</f>
        <v>0</v>
      </c>
      <c r="W29" s="41" t="n">
        <f aca="false">IF(AND(W$4&gt;=$G29,W$4&lt;=$H29),IF($F29="Monthly",$E29,IF(MOD(W$4-$G29,12)=0,$E29,0)),0)</f>
        <v>0</v>
      </c>
      <c r="X29" s="41" t="n">
        <f aca="false">IF(AND(X$4&gt;=$G29,X$4&lt;=$H29),IF($F29="Monthly",$E29,IF(MOD(X$4-$G29,12)=0,$E29,0)),0)</f>
        <v>0</v>
      </c>
      <c r="Y29" s="41" t="n">
        <f aca="false">IF(AND(Y$4&gt;=$G29,Y$4&lt;=$H29),IF($F29="Monthly",$E29,IF(MOD(Y$4-$G29,12)=0,$E29,0)),0)</f>
        <v>0</v>
      </c>
      <c r="Z29" s="41" t="n">
        <f aca="false">IF(AND(Z$4&gt;=$G29,Z$4&lt;=$H29),IF($F29="Monthly",$E29,IF(MOD(Z$4-$G29,12)=0,$E29,0)),0)</f>
        <v>0</v>
      </c>
      <c r="AA29" s="41" t="n">
        <f aca="false">IF(AND(AA$4&gt;=$G29,AA$4&lt;=$H29),IF($F29="Monthly",$E29,IF(MOD(AA$4-$G29,12)=0,$E29,0)),0)</f>
        <v>0</v>
      </c>
      <c r="AB29" s="41" t="n">
        <f aca="false">IF(AND(AB$4&gt;=$G29,AB$4&lt;=$H29),IF($F29="Monthly",$E29,IF(MOD(AB$4-$G29,12)=0,$E29,0)),0)</f>
        <v>0</v>
      </c>
      <c r="AC29" s="41" t="n">
        <f aca="false">IF(AND(AC$4&gt;=$G29,AC$4&lt;=$H29),IF($F29="Monthly",$E29,IF(MOD(AC$4-$G29,12)=0,$E29,0)),0)</f>
        <v>0</v>
      </c>
      <c r="AD29" s="41" t="n">
        <f aca="false">IF(AND(AD$4&gt;=$G29,AD$4&lt;=$H29),IF($F29="Monthly",$E29,IF(MOD(AD$4-$G29,12)=0,$E29,0)),0)</f>
        <v>0</v>
      </c>
      <c r="AE29" s="41" t="n">
        <f aca="false">IF(AND(AE$4&gt;=$G29,AE$4&lt;=$H29),IF($F29="Monthly",$E29,IF(MOD(AE$4-$G29,12)=0,$E29,0)),0)</f>
        <v>0</v>
      </c>
      <c r="AF29" s="41" t="n">
        <f aca="false">IF(AND(AF$4&gt;=$G29,AF$4&lt;=$H29),IF($F29="Monthly",$E29,IF(MOD(AF$4-$G29,12)=0,$E29,0)),0)</f>
        <v>0</v>
      </c>
      <c r="AG29" s="41" t="n">
        <f aca="false">IF(AND(AG$4&gt;=$G29,AG$4&lt;=$H29),IF($F29="Monthly",$E29,IF(MOD(AG$4-$G29,12)=0,$E29,0)),0)</f>
        <v>1000</v>
      </c>
      <c r="AH29" s="41" t="n">
        <f aca="false">IF(AND(AH$4&gt;=$G29,AH$4&lt;=$H29),IF($F29="Monthly",$E29,IF(MOD(AH$4-$G29,12)=0,$E29,0)),0)</f>
        <v>0</v>
      </c>
      <c r="AI29" s="41" t="n">
        <f aca="false">IF(AND(AI$4&gt;=$G29,AI$4&lt;=$H29),IF($F29="Monthly",$E29,IF(MOD(AI$4-$G29,12)=0,$E29,0)),0)</f>
        <v>0</v>
      </c>
      <c r="AJ29" s="41" t="n">
        <f aca="false">IF(AND(AJ$4&gt;=$G29,AJ$4&lt;=$H29),IF($F29="Monthly",$E29,IF(MOD(AJ$4-$G29,12)=0,$E29,0)),0)</f>
        <v>0</v>
      </c>
      <c r="AK29" s="41" t="n">
        <f aca="false">IF(AND(AK$4&gt;=$G29,AK$4&lt;=$H29),IF($F29="Monthly",$E29,IF(MOD(AK$4-$G29,12)=0,$E29,0)),0)</f>
        <v>0</v>
      </c>
      <c r="AL29" s="41" t="n">
        <f aca="false">IF(AND(AL$4&gt;=$G29,AL$4&lt;=$H29),IF($F29="Monthly",$E29,IF(MOD(AL$4-$G29,12)=0,$E29,0)),0)</f>
        <v>0</v>
      </c>
      <c r="AM29" s="41" t="n">
        <f aca="false">IF(AND(AM$4&gt;=$G29,AM$4&lt;=$H29),IF($F29="Monthly",$E29,IF(MOD(AM$4-$G29,12)=0,$E29,0)),0)</f>
        <v>0</v>
      </c>
      <c r="AN29" s="41" t="n">
        <f aca="false">IF(AND(AN$4&gt;=$G29,AN$4&lt;=$H29),IF($F29="Monthly",$E29,IF(MOD(AN$4-$G29,12)=0,$E29,0)),0)</f>
        <v>0</v>
      </c>
      <c r="AO29" s="41" t="n">
        <f aca="false">IF(AND(AO$4&gt;=$G29,AO$4&lt;=$H29),IF($F29="Monthly",$E29,IF(MOD(AO$4-$G29,12)=0,$E29,0)),0)</f>
        <v>0</v>
      </c>
      <c r="AP29" s="41" t="n">
        <f aca="false">IF(AND(AP$4&gt;=$G29,AP$4&lt;=$H29),IF($F29="Monthly",$E29,IF(MOD(AP$4-$G29,12)=0,$E29,0)),0)</f>
        <v>0</v>
      </c>
      <c r="AQ29" s="41" t="n">
        <f aca="false">IF(AND(AQ$4&gt;=$G29,AQ$4&lt;=$H29),IF($F29="Monthly",$E29,IF(MOD(AQ$4-$G29,12)=0,$E29,0)),0)</f>
        <v>0</v>
      </c>
      <c r="AR29" s="41" t="n">
        <f aca="false">IF(AND(AR$4&gt;=$G29,AR$4&lt;=$H29),IF($F29="Monthly",$E29,IF(MOD(AR$4-$G29,12)=0,$E29,0)),0)</f>
        <v>0</v>
      </c>
      <c r="AS29" s="41" t="n">
        <f aca="false">IF(AND(AS$4&gt;=$G29,AS$4&lt;=$H29),IF($F29="Monthly",$E29,IF(MOD(AS$4-$G29,12)=0,$E29,0)),0)</f>
        <v>1000</v>
      </c>
      <c r="AT29" s="41" t="n">
        <f aca="false">IF(AND(AT$4&gt;=$G29,AT$4&lt;=$H29),IF($F29="Monthly",$E29,IF(MOD(AT$4-$G29,12)=0,$E29,0)),0)</f>
        <v>0</v>
      </c>
      <c r="AU29" s="41" t="n">
        <f aca="false">IF(AND(AU$4&gt;=$G29,AU$4&lt;=$H29),IF($F29="Monthly",$E29,IF(MOD(AU$4-$G29,12)=0,$E29,0)),0)</f>
        <v>0</v>
      </c>
      <c r="AV29" s="41" t="n">
        <f aca="false">IF(AND(AV$4&gt;=$G29,AV$4&lt;=$H29),IF($F29="Monthly",$E29,IF(MOD(AV$4-$G29,12)=0,$E29,0)),0)</f>
        <v>0</v>
      </c>
      <c r="AW29" s="41" t="n">
        <f aca="false">IF(AND(AW$4&gt;=$G29,AW$4&lt;=$H29),IF($F29="Monthly",$E29,IF(MOD(AW$4-$G29,12)=0,$E29,0)),0)</f>
        <v>0</v>
      </c>
      <c r="AX29" s="41" t="n">
        <f aca="false">IF(AND(AX$4&gt;=$G29,AX$4&lt;=$H29),IF($F29="Monthly",$E29,IF(MOD(AX$4-$G29,12)=0,$E29,0)),0)</f>
        <v>0</v>
      </c>
    </row>
    <row r="30" customFormat="false" ht="15" hidden="false" customHeight="false" outlineLevel="0" collapsed="false">
      <c r="A30" s="7" t="s">
        <v>724</v>
      </c>
      <c r="B30" s="7" t="s">
        <v>591</v>
      </c>
      <c r="C30" s="25" t="n">
        <v>260</v>
      </c>
      <c r="D30" s="25" t="n">
        <v>340</v>
      </c>
      <c r="E30" s="15" t="n">
        <f aca="false">C30+Assumptions!$C$9*(D30-C30)</f>
        <v>300</v>
      </c>
      <c r="F30" s="44" t="s">
        <v>672</v>
      </c>
      <c r="G30" s="21" t="n">
        <v>13</v>
      </c>
      <c r="H30" s="21" t="n">
        <v>36</v>
      </c>
      <c r="I30" s="41" t="n">
        <f aca="false">SUMIF($O$3:$AX$3,1,O30:AX30)</f>
        <v>0</v>
      </c>
      <c r="J30" s="41" t="n">
        <f aca="false">SUMIF($O$3:$AX$3,2,O30:AX30)</f>
        <v>300</v>
      </c>
      <c r="K30" s="41" t="n">
        <f aca="false">SUMIF($O$3:$AX$3,3,O30:AX30)</f>
        <v>300</v>
      </c>
      <c r="L30" s="7" t="s">
        <v>725</v>
      </c>
      <c r="M30" s="7" t="s">
        <v>65</v>
      </c>
      <c r="O30" s="41" t="n">
        <f aca="false">IF(AND(O$4&gt;=$G30,O$4&lt;=$H30),IF($F30="Monthly",$E30,IF(MOD(O$4-$G30,12)=0,$E30,0)),0)</f>
        <v>0</v>
      </c>
      <c r="P30" s="41" t="n">
        <f aca="false">IF(AND(P$4&gt;=$G30,P$4&lt;=$H30),IF($F30="Monthly",$E30,IF(MOD(P$4-$G30,12)=0,$E30,0)),0)</f>
        <v>0</v>
      </c>
      <c r="Q30" s="41" t="n">
        <f aca="false">IF(AND(Q$4&gt;=$G30,Q$4&lt;=$H30),IF($F30="Monthly",$E30,IF(MOD(Q$4-$G30,12)=0,$E30,0)),0)</f>
        <v>0</v>
      </c>
      <c r="R30" s="41" t="n">
        <f aca="false">IF(AND(R$4&gt;=$G30,R$4&lt;=$H30),IF($F30="Monthly",$E30,IF(MOD(R$4-$G30,12)=0,$E30,0)),0)</f>
        <v>0</v>
      </c>
      <c r="S30" s="41" t="n">
        <f aca="false">IF(AND(S$4&gt;=$G30,S$4&lt;=$H30),IF($F30="Monthly",$E30,IF(MOD(S$4-$G30,12)=0,$E30,0)),0)</f>
        <v>0</v>
      </c>
      <c r="T30" s="41" t="n">
        <f aca="false">IF(AND(T$4&gt;=$G30,T$4&lt;=$H30),IF($F30="Monthly",$E30,IF(MOD(T$4-$G30,12)=0,$E30,0)),0)</f>
        <v>0</v>
      </c>
      <c r="U30" s="41" t="n">
        <f aca="false">IF(AND(U$4&gt;=$G30,U$4&lt;=$H30),IF($F30="Monthly",$E30,IF(MOD(U$4-$G30,12)=0,$E30,0)),0)</f>
        <v>0</v>
      </c>
      <c r="V30" s="41" t="n">
        <f aca="false">IF(AND(V$4&gt;=$G30,V$4&lt;=$H30),IF($F30="Monthly",$E30,IF(MOD(V$4-$G30,12)=0,$E30,0)),0)</f>
        <v>0</v>
      </c>
      <c r="W30" s="41" t="n">
        <f aca="false">IF(AND(W$4&gt;=$G30,W$4&lt;=$H30),IF($F30="Monthly",$E30,IF(MOD(W$4-$G30,12)=0,$E30,0)),0)</f>
        <v>0</v>
      </c>
      <c r="X30" s="41" t="n">
        <f aca="false">IF(AND(X$4&gt;=$G30,X$4&lt;=$H30),IF($F30="Monthly",$E30,IF(MOD(X$4-$G30,12)=0,$E30,0)),0)</f>
        <v>0</v>
      </c>
      <c r="Y30" s="41" t="n">
        <f aca="false">IF(AND(Y$4&gt;=$G30,Y$4&lt;=$H30),IF($F30="Monthly",$E30,IF(MOD(Y$4-$G30,12)=0,$E30,0)),0)</f>
        <v>0</v>
      </c>
      <c r="Z30" s="41" t="n">
        <f aca="false">IF(AND(Z$4&gt;=$G30,Z$4&lt;=$H30),IF($F30="Monthly",$E30,IF(MOD(Z$4-$G30,12)=0,$E30,0)),0)</f>
        <v>0</v>
      </c>
      <c r="AA30" s="41" t="n">
        <f aca="false">IF(AND(AA$4&gt;=$G30,AA$4&lt;=$H30),IF($F30="Monthly",$E30,IF(MOD(AA$4-$G30,12)=0,$E30,0)),0)</f>
        <v>300</v>
      </c>
      <c r="AB30" s="41" t="n">
        <f aca="false">IF(AND(AB$4&gt;=$G30,AB$4&lt;=$H30),IF($F30="Monthly",$E30,IF(MOD(AB$4-$G30,12)=0,$E30,0)),0)</f>
        <v>0</v>
      </c>
      <c r="AC30" s="41" t="n">
        <f aca="false">IF(AND(AC$4&gt;=$G30,AC$4&lt;=$H30),IF($F30="Monthly",$E30,IF(MOD(AC$4-$G30,12)=0,$E30,0)),0)</f>
        <v>0</v>
      </c>
      <c r="AD30" s="41" t="n">
        <f aca="false">IF(AND(AD$4&gt;=$G30,AD$4&lt;=$H30),IF($F30="Monthly",$E30,IF(MOD(AD$4-$G30,12)=0,$E30,0)),0)</f>
        <v>0</v>
      </c>
      <c r="AE30" s="41" t="n">
        <f aca="false">IF(AND(AE$4&gt;=$G30,AE$4&lt;=$H30),IF($F30="Monthly",$E30,IF(MOD(AE$4-$G30,12)=0,$E30,0)),0)</f>
        <v>0</v>
      </c>
      <c r="AF30" s="41" t="n">
        <f aca="false">IF(AND(AF$4&gt;=$G30,AF$4&lt;=$H30),IF($F30="Monthly",$E30,IF(MOD(AF$4-$G30,12)=0,$E30,0)),0)</f>
        <v>0</v>
      </c>
      <c r="AG30" s="41" t="n">
        <f aca="false">IF(AND(AG$4&gt;=$G30,AG$4&lt;=$H30),IF($F30="Monthly",$E30,IF(MOD(AG$4-$G30,12)=0,$E30,0)),0)</f>
        <v>0</v>
      </c>
      <c r="AH30" s="41" t="n">
        <f aca="false">IF(AND(AH$4&gt;=$G30,AH$4&lt;=$H30),IF($F30="Monthly",$E30,IF(MOD(AH$4-$G30,12)=0,$E30,0)),0)</f>
        <v>0</v>
      </c>
      <c r="AI30" s="41" t="n">
        <f aca="false">IF(AND(AI$4&gt;=$G30,AI$4&lt;=$H30),IF($F30="Monthly",$E30,IF(MOD(AI$4-$G30,12)=0,$E30,0)),0)</f>
        <v>0</v>
      </c>
      <c r="AJ30" s="41" t="n">
        <f aca="false">IF(AND(AJ$4&gt;=$G30,AJ$4&lt;=$H30),IF($F30="Monthly",$E30,IF(MOD(AJ$4-$G30,12)=0,$E30,0)),0)</f>
        <v>0</v>
      </c>
      <c r="AK30" s="41" t="n">
        <f aca="false">IF(AND(AK$4&gt;=$G30,AK$4&lt;=$H30),IF($F30="Monthly",$E30,IF(MOD(AK$4-$G30,12)=0,$E30,0)),0)</f>
        <v>0</v>
      </c>
      <c r="AL30" s="41" t="n">
        <f aca="false">IF(AND(AL$4&gt;=$G30,AL$4&lt;=$H30),IF($F30="Monthly",$E30,IF(MOD(AL$4-$G30,12)=0,$E30,0)),0)</f>
        <v>0</v>
      </c>
      <c r="AM30" s="41" t="n">
        <f aca="false">IF(AND(AM$4&gt;=$G30,AM$4&lt;=$H30),IF($F30="Monthly",$E30,IF(MOD(AM$4-$G30,12)=0,$E30,0)),0)</f>
        <v>300</v>
      </c>
      <c r="AN30" s="41" t="n">
        <f aca="false">IF(AND(AN$4&gt;=$G30,AN$4&lt;=$H30),IF($F30="Monthly",$E30,IF(MOD(AN$4-$G30,12)=0,$E30,0)),0)</f>
        <v>0</v>
      </c>
      <c r="AO30" s="41" t="n">
        <f aca="false">IF(AND(AO$4&gt;=$G30,AO$4&lt;=$H30),IF($F30="Monthly",$E30,IF(MOD(AO$4-$G30,12)=0,$E30,0)),0)</f>
        <v>0</v>
      </c>
      <c r="AP30" s="41" t="n">
        <f aca="false">IF(AND(AP$4&gt;=$G30,AP$4&lt;=$H30),IF($F30="Monthly",$E30,IF(MOD(AP$4-$G30,12)=0,$E30,0)),0)</f>
        <v>0</v>
      </c>
      <c r="AQ30" s="41" t="n">
        <f aca="false">IF(AND(AQ$4&gt;=$G30,AQ$4&lt;=$H30),IF($F30="Monthly",$E30,IF(MOD(AQ$4-$G30,12)=0,$E30,0)),0)</f>
        <v>0</v>
      </c>
      <c r="AR30" s="41" t="n">
        <f aca="false">IF(AND(AR$4&gt;=$G30,AR$4&lt;=$H30),IF($F30="Monthly",$E30,IF(MOD(AR$4-$G30,12)=0,$E30,0)),0)</f>
        <v>0</v>
      </c>
      <c r="AS30" s="41" t="n">
        <f aca="false">IF(AND(AS$4&gt;=$G30,AS$4&lt;=$H30),IF($F30="Monthly",$E30,IF(MOD(AS$4-$G30,12)=0,$E30,0)),0)</f>
        <v>0</v>
      </c>
      <c r="AT30" s="41" t="n">
        <f aca="false">IF(AND(AT$4&gt;=$G30,AT$4&lt;=$H30),IF($F30="Monthly",$E30,IF(MOD(AT$4-$G30,12)=0,$E30,0)),0)</f>
        <v>0</v>
      </c>
      <c r="AU30" s="41" t="n">
        <f aca="false">IF(AND(AU$4&gt;=$G30,AU$4&lt;=$H30),IF($F30="Monthly",$E30,IF(MOD(AU$4-$G30,12)=0,$E30,0)),0)</f>
        <v>0</v>
      </c>
      <c r="AV30" s="41" t="n">
        <f aca="false">IF(AND(AV$4&gt;=$G30,AV$4&lt;=$H30),IF($F30="Monthly",$E30,IF(MOD(AV$4-$G30,12)=0,$E30,0)),0)</f>
        <v>0</v>
      </c>
      <c r="AW30" s="41" t="n">
        <f aca="false">IF(AND(AW$4&gt;=$G30,AW$4&lt;=$H30),IF($F30="Monthly",$E30,IF(MOD(AW$4-$G30,12)=0,$E30,0)),0)</f>
        <v>0</v>
      </c>
      <c r="AX30" s="41" t="n">
        <f aca="false">IF(AND(AX$4&gt;=$G30,AX$4&lt;=$H30),IF($F30="Monthly",$E30,IF(MOD(AX$4-$G30,12)=0,$E30,0)),0)</f>
        <v>0</v>
      </c>
    </row>
    <row r="31" customFormat="false" ht="15" hidden="false" customHeight="false" outlineLevel="0" collapsed="false">
      <c r="A31" s="38" t="s">
        <v>726</v>
      </c>
      <c r="B31" s="31"/>
      <c r="C31" s="31"/>
      <c r="D31" s="31"/>
      <c r="E31" s="31"/>
      <c r="F31" s="31"/>
      <c r="G31" s="31"/>
      <c r="H31" s="31"/>
      <c r="I31" s="45" t="n">
        <f aca="false">SUM(I6:I30)</f>
        <v>10990.02</v>
      </c>
      <c r="J31" s="45" t="n">
        <f aca="false">SUM(J6:J30)</f>
        <v>11667.02</v>
      </c>
      <c r="K31" s="45" t="n">
        <f aca="false">SUM(K6:K30)</f>
        <v>11667.02</v>
      </c>
      <c r="L31" s="31"/>
      <c r="M31" s="31"/>
      <c r="N31" s="31"/>
      <c r="O31" s="45" t="n">
        <f aca="false">SUM(O6:O30)</f>
        <v>1124.835</v>
      </c>
      <c r="P31" s="45" t="n">
        <f aca="false">SUM(P6:P30)</f>
        <v>668.835</v>
      </c>
      <c r="Q31" s="45" t="n">
        <f aca="false">SUM(Q6:Q30)</f>
        <v>740.335</v>
      </c>
      <c r="R31" s="45" t="n">
        <f aca="false">SUM(R6:R30)</f>
        <v>1115.335</v>
      </c>
      <c r="S31" s="45" t="n">
        <f aca="false">SUM(S6:S30)</f>
        <v>858.335</v>
      </c>
      <c r="T31" s="45" t="n">
        <f aca="false">SUM(T6:T30)</f>
        <v>740.335</v>
      </c>
      <c r="U31" s="45" t="n">
        <f aca="false">SUM(U6:U30)</f>
        <v>2040.335</v>
      </c>
      <c r="V31" s="45" t="n">
        <f aca="false">SUM(V6:V30)</f>
        <v>740.335</v>
      </c>
      <c r="W31" s="45" t="n">
        <f aca="false">SUM(W6:W30)</f>
        <v>740.335</v>
      </c>
      <c r="X31" s="45" t="n">
        <f aca="false">SUM(X6:X30)</f>
        <v>740.335</v>
      </c>
      <c r="Y31" s="45" t="n">
        <f aca="false">SUM(Y6:Y30)</f>
        <v>740.335</v>
      </c>
      <c r="Z31" s="45" t="n">
        <f aca="false">SUM(Z6:Z30)</f>
        <v>740.335</v>
      </c>
      <c r="AA31" s="45" t="n">
        <f aca="false">SUM(AA6:AA30)</f>
        <v>1515.835</v>
      </c>
      <c r="AB31" s="45" t="n">
        <f aca="false">SUM(AB6:AB30)</f>
        <v>759.835</v>
      </c>
      <c r="AC31" s="45" t="n">
        <f aca="false">SUM(AC6:AC30)</f>
        <v>759.835</v>
      </c>
      <c r="AD31" s="45" t="n">
        <f aca="false">SUM(AD6:AD30)</f>
        <v>1134.835</v>
      </c>
      <c r="AE31" s="45" t="n">
        <f aca="false">SUM(AE6:AE30)</f>
        <v>877.835</v>
      </c>
      <c r="AF31" s="45" t="n">
        <f aca="false">SUM(AF6:AF30)</f>
        <v>759.835</v>
      </c>
      <c r="AG31" s="45" t="n">
        <f aca="false">SUM(AG6:AG30)</f>
        <v>2059.835</v>
      </c>
      <c r="AH31" s="45" t="n">
        <f aca="false">SUM(AH6:AH30)</f>
        <v>759.835</v>
      </c>
      <c r="AI31" s="45" t="n">
        <f aca="false">SUM(AI6:AI30)</f>
        <v>759.835</v>
      </c>
      <c r="AJ31" s="45" t="n">
        <f aca="false">SUM(AJ6:AJ30)</f>
        <v>759.835</v>
      </c>
      <c r="AK31" s="45" t="n">
        <f aca="false">SUM(AK6:AK30)</f>
        <v>759.835</v>
      </c>
      <c r="AL31" s="45" t="n">
        <f aca="false">SUM(AL6:AL30)</f>
        <v>759.835</v>
      </c>
      <c r="AM31" s="45" t="n">
        <f aca="false">SUM(AM6:AM30)</f>
        <v>1515.835</v>
      </c>
      <c r="AN31" s="45" t="n">
        <f aca="false">SUM(AN6:AN30)</f>
        <v>759.835</v>
      </c>
      <c r="AO31" s="45" t="n">
        <f aca="false">SUM(AO6:AO30)</f>
        <v>759.835</v>
      </c>
      <c r="AP31" s="45" t="n">
        <f aca="false">SUM(AP6:AP30)</f>
        <v>1134.835</v>
      </c>
      <c r="AQ31" s="45" t="n">
        <f aca="false">SUM(AQ6:AQ30)</f>
        <v>877.835</v>
      </c>
      <c r="AR31" s="45" t="n">
        <f aca="false">SUM(AR6:AR30)</f>
        <v>759.835</v>
      </c>
      <c r="AS31" s="45" t="n">
        <f aca="false">SUM(AS6:AS30)</f>
        <v>2059.835</v>
      </c>
      <c r="AT31" s="45" t="n">
        <f aca="false">SUM(AT6:AT30)</f>
        <v>759.835</v>
      </c>
      <c r="AU31" s="45" t="n">
        <f aca="false">SUM(AU6:AU30)</f>
        <v>759.835</v>
      </c>
      <c r="AV31" s="45" t="n">
        <f aca="false">SUM(AV6:AV30)</f>
        <v>759.835</v>
      </c>
      <c r="AW31" s="45" t="n">
        <f aca="false">SUM(AW6:AW30)</f>
        <v>759.835</v>
      </c>
      <c r="AX31" s="45" t="n">
        <f aca="false">SUM(AX6:AX30)</f>
        <v>759.835</v>
      </c>
    </row>
    <row r="32" customFormat="false" ht="15" hidden="false" customHeight="false" outlineLevel="0" collapsed="false">
      <c r="A32" s="32" t="s">
        <v>727</v>
      </c>
      <c r="B32" s="31"/>
      <c r="C32" s="31"/>
      <c r="D32" s="31"/>
      <c r="E32" s="31"/>
      <c r="F32" s="31"/>
      <c r="G32" s="31"/>
      <c r="H32" s="31"/>
      <c r="I32" s="46" t="n">
        <f aca="false">I31*Assumptions!$C$17</f>
        <v>1099.002</v>
      </c>
      <c r="J32" s="46" t="n">
        <f aca="false">J31*Assumptions!$C$17</f>
        <v>1166.702</v>
      </c>
      <c r="K32" s="46" t="n">
        <f aca="false">K31*Assumptions!$C$17</f>
        <v>1166.702</v>
      </c>
      <c r="L32" s="31"/>
      <c r="M32" s="31"/>
      <c r="N32" s="31"/>
      <c r="O32" s="46" t="n">
        <f aca="false">O31*Assumptions!$C$17</f>
        <v>112.4835</v>
      </c>
      <c r="P32" s="46" t="n">
        <f aca="false">P31*Assumptions!$C$17</f>
        <v>66.8835</v>
      </c>
      <c r="Q32" s="46" t="n">
        <f aca="false">Q31*Assumptions!$C$17</f>
        <v>74.0335</v>
      </c>
      <c r="R32" s="46" t="n">
        <f aca="false">R31*Assumptions!$C$17</f>
        <v>111.5335</v>
      </c>
      <c r="S32" s="46" t="n">
        <f aca="false">S31*Assumptions!$C$17</f>
        <v>85.8335</v>
      </c>
      <c r="T32" s="46" t="n">
        <f aca="false">T31*Assumptions!$C$17</f>
        <v>74.0335</v>
      </c>
      <c r="U32" s="46" t="n">
        <f aca="false">U31*Assumptions!$C$17</f>
        <v>204.0335</v>
      </c>
      <c r="V32" s="46" t="n">
        <f aca="false">V31*Assumptions!$C$17</f>
        <v>74.0335</v>
      </c>
      <c r="W32" s="46" t="n">
        <f aca="false">W31*Assumptions!$C$17</f>
        <v>74.0335</v>
      </c>
      <c r="X32" s="46" t="n">
        <f aca="false">X31*Assumptions!$C$17</f>
        <v>74.0335</v>
      </c>
      <c r="Y32" s="46" t="n">
        <f aca="false">Y31*Assumptions!$C$17</f>
        <v>74.0335</v>
      </c>
      <c r="Z32" s="46" t="n">
        <f aca="false">Z31*Assumptions!$C$17</f>
        <v>74.0335</v>
      </c>
      <c r="AA32" s="46" t="n">
        <f aca="false">AA31*Assumptions!$C$17</f>
        <v>151.5835</v>
      </c>
      <c r="AB32" s="46" t="n">
        <f aca="false">AB31*Assumptions!$C$17</f>
        <v>75.9835</v>
      </c>
      <c r="AC32" s="46" t="n">
        <f aca="false">AC31*Assumptions!$C$17</f>
        <v>75.9835</v>
      </c>
      <c r="AD32" s="46" t="n">
        <f aca="false">AD31*Assumptions!$C$17</f>
        <v>113.4835</v>
      </c>
      <c r="AE32" s="46" t="n">
        <f aca="false">AE31*Assumptions!$C$17</f>
        <v>87.7835</v>
      </c>
      <c r="AF32" s="46" t="n">
        <f aca="false">AF31*Assumptions!$C$17</f>
        <v>75.9835</v>
      </c>
      <c r="AG32" s="46" t="n">
        <f aca="false">AG31*Assumptions!$C$17</f>
        <v>205.9835</v>
      </c>
      <c r="AH32" s="46" t="n">
        <f aca="false">AH31*Assumptions!$C$17</f>
        <v>75.9835</v>
      </c>
      <c r="AI32" s="46" t="n">
        <f aca="false">AI31*Assumptions!$C$17</f>
        <v>75.9835</v>
      </c>
      <c r="AJ32" s="46" t="n">
        <f aca="false">AJ31*Assumptions!$C$17</f>
        <v>75.9835</v>
      </c>
      <c r="AK32" s="46" t="n">
        <f aca="false">AK31*Assumptions!$C$17</f>
        <v>75.9835</v>
      </c>
      <c r="AL32" s="46" t="n">
        <f aca="false">AL31*Assumptions!$C$17</f>
        <v>75.9835</v>
      </c>
      <c r="AM32" s="46" t="n">
        <f aca="false">AM31*Assumptions!$C$17</f>
        <v>151.5835</v>
      </c>
      <c r="AN32" s="46" t="n">
        <f aca="false">AN31*Assumptions!$C$17</f>
        <v>75.9835</v>
      </c>
      <c r="AO32" s="46" t="n">
        <f aca="false">AO31*Assumptions!$C$17</f>
        <v>75.9835</v>
      </c>
      <c r="AP32" s="46" t="n">
        <f aca="false">AP31*Assumptions!$C$17</f>
        <v>113.4835</v>
      </c>
      <c r="AQ32" s="46" t="n">
        <f aca="false">AQ31*Assumptions!$C$17</f>
        <v>87.7835</v>
      </c>
      <c r="AR32" s="46" t="n">
        <f aca="false">AR31*Assumptions!$C$17</f>
        <v>75.9835</v>
      </c>
      <c r="AS32" s="46" t="n">
        <f aca="false">AS31*Assumptions!$C$17</f>
        <v>205.9835</v>
      </c>
      <c r="AT32" s="46" t="n">
        <f aca="false">AT31*Assumptions!$C$17</f>
        <v>75.9835</v>
      </c>
      <c r="AU32" s="46" t="n">
        <f aca="false">AU31*Assumptions!$C$17</f>
        <v>75.9835</v>
      </c>
      <c r="AV32" s="46" t="n">
        <f aca="false">AV31*Assumptions!$C$17</f>
        <v>75.9835</v>
      </c>
      <c r="AW32" s="46" t="n">
        <f aca="false">AW31*Assumptions!$C$17</f>
        <v>75.9835</v>
      </c>
      <c r="AX32" s="46" t="n">
        <f aca="false">AX31*Assumptions!$C$17</f>
        <v>75.9835</v>
      </c>
    </row>
    <row r="33" customFormat="false" ht="15" hidden="false" customHeight="false" outlineLevel="0" collapsed="false">
      <c r="A33" s="32" t="s">
        <v>728</v>
      </c>
      <c r="B33" s="31"/>
      <c r="C33" s="31"/>
      <c r="D33" s="31"/>
      <c r="E33" s="31"/>
      <c r="F33" s="31"/>
      <c r="G33" s="31"/>
      <c r="H33" s="31"/>
      <c r="I33" s="47" t="n">
        <f aca="false">I31+I32</f>
        <v>12089.022</v>
      </c>
      <c r="J33" s="47" t="n">
        <f aca="false">J31+J32</f>
        <v>12833.722</v>
      </c>
      <c r="K33" s="47" t="n">
        <f aca="false">K31+K32</f>
        <v>12833.722</v>
      </c>
      <c r="L33" s="31"/>
      <c r="M33" s="31"/>
      <c r="N33" s="31"/>
      <c r="O33" s="47" t="n">
        <f aca="false">O31+O32</f>
        <v>1237.3185</v>
      </c>
      <c r="P33" s="47" t="n">
        <f aca="false">P31+P32</f>
        <v>735.7185</v>
      </c>
      <c r="Q33" s="47" t="n">
        <f aca="false">Q31+Q32</f>
        <v>814.3685</v>
      </c>
      <c r="R33" s="47" t="n">
        <f aca="false">R31+R32</f>
        <v>1226.8685</v>
      </c>
      <c r="S33" s="47" t="n">
        <f aca="false">S31+S32</f>
        <v>944.1685</v>
      </c>
      <c r="T33" s="47" t="n">
        <f aca="false">T31+T32</f>
        <v>814.3685</v>
      </c>
      <c r="U33" s="47" t="n">
        <f aca="false">U31+U32</f>
        <v>2244.3685</v>
      </c>
      <c r="V33" s="47" t="n">
        <f aca="false">V31+V32</f>
        <v>814.3685</v>
      </c>
      <c r="W33" s="47" t="n">
        <f aca="false">W31+W32</f>
        <v>814.3685</v>
      </c>
      <c r="X33" s="47" t="n">
        <f aca="false">X31+X32</f>
        <v>814.3685</v>
      </c>
      <c r="Y33" s="47" t="n">
        <f aca="false">Y31+Y32</f>
        <v>814.3685</v>
      </c>
      <c r="Z33" s="47" t="n">
        <f aca="false">Z31+Z32</f>
        <v>814.3685</v>
      </c>
      <c r="AA33" s="47" t="n">
        <f aca="false">AA31+AA32</f>
        <v>1667.4185</v>
      </c>
      <c r="AB33" s="47" t="n">
        <f aca="false">AB31+AB32</f>
        <v>835.8185</v>
      </c>
      <c r="AC33" s="47" t="n">
        <f aca="false">AC31+AC32</f>
        <v>835.8185</v>
      </c>
      <c r="AD33" s="47" t="n">
        <f aca="false">AD31+AD32</f>
        <v>1248.3185</v>
      </c>
      <c r="AE33" s="47" t="n">
        <f aca="false">AE31+AE32</f>
        <v>965.6185</v>
      </c>
      <c r="AF33" s="47" t="n">
        <f aca="false">AF31+AF32</f>
        <v>835.8185</v>
      </c>
      <c r="AG33" s="47" t="n">
        <f aca="false">AG31+AG32</f>
        <v>2265.8185</v>
      </c>
      <c r="AH33" s="47" t="n">
        <f aca="false">AH31+AH32</f>
        <v>835.8185</v>
      </c>
      <c r="AI33" s="47" t="n">
        <f aca="false">AI31+AI32</f>
        <v>835.8185</v>
      </c>
      <c r="AJ33" s="47" t="n">
        <f aca="false">AJ31+AJ32</f>
        <v>835.8185</v>
      </c>
      <c r="AK33" s="47" t="n">
        <f aca="false">AK31+AK32</f>
        <v>835.8185</v>
      </c>
      <c r="AL33" s="47" t="n">
        <f aca="false">AL31+AL32</f>
        <v>835.8185</v>
      </c>
      <c r="AM33" s="47" t="n">
        <f aca="false">AM31+AM32</f>
        <v>1667.4185</v>
      </c>
      <c r="AN33" s="47" t="n">
        <f aca="false">AN31+AN32</f>
        <v>835.8185</v>
      </c>
      <c r="AO33" s="47" t="n">
        <f aca="false">AO31+AO32</f>
        <v>835.8185</v>
      </c>
      <c r="AP33" s="47" t="n">
        <f aca="false">AP31+AP32</f>
        <v>1248.3185</v>
      </c>
      <c r="AQ33" s="47" t="n">
        <f aca="false">AQ31+AQ32</f>
        <v>965.6185</v>
      </c>
      <c r="AR33" s="47" t="n">
        <f aca="false">AR31+AR32</f>
        <v>835.8185</v>
      </c>
      <c r="AS33" s="47" t="n">
        <f aca="false">AS31+AS32</f>
        <v>2265.8185</v>
      </c>
      <c r="AT33" s="47" t="n">
        <f aca="false">AT31+AT32</f>
        <v>835.8185</v>
      </c>
      <c r="AU33" s="47" t="n">
        <f aca="false">AU31+AU32</f>
        <v>835.8185</v>
      </c>
      <c r="AV33" s="47" t="n">
        <f aca="false">AV31+AV32</f>
        <v>835.8185</v>
      </c>
      <c r="AW33" s="47" t="n">
        <f aca="false">AW31+AW32</f>
        <v>835.8185</v>
      </c>
      <c r="AX33" s="47" t="n">
        <f aca="false">AX31+AX32</f>
        <v>835.8185</v>
      </c>
    </row>
    <row r="35" customFormat="false" ht="15" hidden="false" customHeight="false" outlineLevel="0" collapsed="false">
      <c r="A35" s="9" t="s">
        <v>729</v>
      </c>
    </row>
  </sheetData>
  <mergeCells count="1">
    <mergeCell ref="A2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P3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1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7" t="s">
        <v>730</v>
      </c>
    </row>
    <row r="2" customFormat="false" ht="27.75" hidden="false" customHeight="true" outlineLevel="0" collapsed="false">
      <c r="A2" s="2" t="s">
        <v>731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732</v>
      </c>
      <c r="B4" s="9" t="s">
        <v>733</v>
      </c>
      <c r="C4" s="42" t="n">
        <v>1</v>
      </c>
      <c r="D4" s="42" t="n">
        <v>2</v>
      </c>
      <c r="E4" s="42" t="n">
        <v>3</v>
      </c>
      <c r="F4" s="42" t="n">
        <v>4</v>
      </c>
      <c r="G4" s="42" t="n">
        <v>5</v>
      </c>
      <c r="H4" s="42" t="n">
        <v>6</v>
      </c>
      <c r="I4" s="42" t="n">
        <v>7</v>
      </c>
      <c r="J4" s="42" t="n">
        <v>8</v>
      </c>
      <c r="K4" s="42" t="n">
        <v>9</v>
      </c>
      <c r="L4" s="42" t="n">
        <v>10</v>
      </c>
      <c r="M4" s="42" t="n">
        <v>11</v>
      </c>
      <c r="N4" s="42" t="n">
        <v>12</v>
      </c>
      <c r="O4" s="42" t="n">
        <v>13</v>
      </c>
      <c r="P4" s="42" t="n">
        <v>14</v>
      </c>
      <c r="Q4" s="42" t="n">
        <v>15</v>
      </c>
      <c r="R4" s="42" t="n">
        <v>16</v>
      </c>
      <c r="S4" s="42" t="n">
        <v>17</v>
      </c>
      <c r="T4" s="42" t="n">
        <v>18</v>
      </c>
      <c r="U4" s="42" t="n">
        <v>19</v>
      </c>
      <c r="V4" s="42" t="n">
        <v>20</v>
      </c>
      <c r="W4" s="42" t="n">
        <v>21</v>
      </c>
      <c r="X4" s="42" t="n">
        <v>22</v>
      </c>
      <c r="Y4" s="42" t="n">
        <v>23</v>
      </c>
      <c r="Z4" s="42" t="n">
        <v>24</v>
      </c>
      <c r="AA4" s="42" t="n">
        <v>25</v>
      </c>
      <c r="AB4" s="42" t="n">
        <v>26</v>
      </c>
      <c r="AC4" s="42" t="n">
        <v>27</v>
      </c>
      <c r="AD4" s="42" t="n">
        <v>28</v>
      </c>
      <c r="AE4" s="42" t="n">
        <v>29</v>
      </c>
      <c r="AF4" s="42" t="n">
        <v>30</v>
      </c>
      <c r="AG4" s="42" t="n">
        <v>31</v>
      </c>
      <c r="AH4" s="42" t="n">
        <v>32</v>
      </c>
      <c r="AI4" s="42" t="n">
        <v>33</v>
      </c>
      <c r="AJ4" s="42" t="n">
        <v>34</v>
      </c>
      <c r="AK4" s="42" t="n">
        <v>35</v>
      </c>
      <c r="AL4" s="42" t="n">
        <v>36</v>
      </c>
      <c r="AM4" s="9" t="s">
        <v>734</v>
      </c>
      <c r="AN4" s="9" t="s">
        <v>734</v>
      </c>
      <c r="AO4" s="9" t="s">
        <v>734</v>
      </c>
      <c r="AP4" s="9" t="s">
        <v>735</v>
      </c>
    </row>
    <row r="5" customFormat="false" ht="15" hidden="false" customHeight="false" outlineLevel="0" collapsed="false">
      <c r="A5" s="10" t="s">
        <v>736</v>
      </c>
      <c r="C5" s="48" t="n">
        <f aca="false">DATE(YEAR(Assumptions!$C$8),MONTH(Assumptions!$C$8)+C4-1,1)</f>
        <v>46296</v>
      </c>
      <c r="D5" s="48" t="n">
        <f aca="false">DATE(YEAR(Assumptions!$C$8),MONTH(Assumptions!$C$8)+D4-1,1)</f>
        <v>46327</v>
      </c>
      <c r="E5" s="48" t="n">
        <f aca="false">DATE(YEAR(Assumptions!$C$8),MONTH(Assumptions!$C$8)+E4-1,1)</f>
        <v>46357</v>
      </c>
      <c r="F5" s="48" t="n">
        <f aca="false">DATE(YEAR(Assumptions!$C$8),MONTH(Assumptions!$C$8)+F4-1,1)</f>
        <v>46388</v>
      </c>
      <c r="G5" s="48" t="n">
        <f aca="false">DATE(YEAR(Assumptions!$C$8),MONTH(Assumptions!$C$8)+G4-1,1)</f>
        <v>46419</v>
      </c>
      <c r="H5" s="48" t="n">
        <f aca="false">DATE(YEAR(Assumptions!$C$8),MONTH(Assumptions!$C$8)+H4-1,1)</f>
        <v>46447</v>
      </c>
      <c r="I5" s="48" t="n">
        <f aca="false">DATE(YEAR(Assumptions!$C$8),MONTH(Assumptions!$C$8)+I4-1,1)</f>
        <v>46478</v>
      </c>
      <c r="J5" s="48" t="n">
        <f aca="false">DATE(YEAR(Assumptions!$C$8),MONTH(Assumptions!$C$8)+J4-1,1)</f>
        <v>46508</v>
      </c>
      <c r="K5" s="48" t="n">
        <f aca="false">DATE(YEAR(Assumptions!$C$8),MONTH(Assumptions!$C$8)+K4-1,1)</f>
        <v>46539</v>
      </c>
      <c r="L5" s="48" t="n">
        <f aca="false">DATE(YEAR(Assumptions!$C$8),MONTH(Assumptions!$C$8)+L4-1,1)</f>
        <v>46569</v>
      </c>
      <c r="M5" s="48" t="n">
        <f aca="false">DATE(YEAR(Assumptions!$C$8),MONTH(Assumptions!$C$8)+M4-1,1)</f>
        <v>46600</v>
      </c>
      <c r="N5" s="48" t="n">
        <f aca="false">DATE(YEAR(Assumptions!$C$8),MONTH(Assumptions!$C$8)+N4-1,1)</f>
        <v>46631</v>
      </c>
      <c r="O5" s="48" t="n">
        <f aca="false">DATE(YEAR(Assumptions!$C$8),MONTH(Assumptions!$C$8)+O4-1,1)</f>
        <v>46661</v>
      </c>
      <c r="P5" s="48" t="n">
        <f aca="false">DATE(YEAR(Assumptions!$C$8),MONTH(Assumptions!$C$8)+P4-1,1)</f>
        <v>46692</v>
      </c>
      <c r="Q5" s="48" t="n">
        <f aca="false">DATE(YEAR(Assumptions!$C$8),MONTH(Assumptions!$C$8)+Q4-1,1)</f>
        <v>46722</v>
      </c>
      <c r="R5" s="48" t="n">
        <f aca="false">DATE(YEAR(Assumptions!$C$8),MONTH(Assumptions!$C$8)+R4-1,1)</f>
        <v>46753</v>
      </c>
      <c r="S5" s="48" t="n">
        <f aca="false">DATE(YEAR(Assumptions!$C$8),MONTH(Assumptions!$C$8)+S4-1,1)</f>
        <v>46784</v>
      </c>
      <c r="T5" s="48" t="n">
        <f aca="false">DATE(YEAR(Assumptions!$C$8),MONTH(Assumptions!$C$8)+T4-1,1)</f>
        <v>46813</v>
      </c>
      <c r="U5" s="48" t="n">
        <f aca="false">DATE(YEAR(Assumptions!$C$8),MONTH(Assumptions!$C$8)+U4-1,1)</f>
        <v>46844</v>
      </c>
      <c r="V5" s="48" t="n">
        <f aca="false">DATE(YEAR(Assumptions!$C$8),MONTH(Assumptions!$C$8)+V4-1,1)</f>
        <v>46874</v>
      </c>
      <c r="W5" s="48" t="n">
        <f aca="false">DATE(YEAR(Assumptions!$C$8),MONTH(Assumptions!$C$8)+W4-1,1)</f>
        <v>46905</v>
      </c>
      <c r="X5" s="48" t="n">
        <f aca="false">DATE(YEAR(Assumptions!$C$8),MONTH(Assumptions!$C$8)+X4-1,1)</f>
        <v>46935</v>
      </c>
      <c r="Y5" s="48" t="n">
        <f aca="false">DATE(YEAR(Assumptions!$C$8),MONTH(Assumptions!$C$8)+Y4-1,1)</f>
        <v>46966</v>
      </c>
      <c r="Z5" s="48" t="n">
        <f aca="false">DATE(YEAR(Assumptions!$C$8),MONTH(Assumptions!$C$8)+Z4-1,1)</f>
        <v>46997</v>
      </c>
      <c r="AA5" s="48" t="n">
        <f aca="false">DATE(YEAR(Assumptions!$C$8),MONTH(Assumptions!$C$8)+AA4-1,1)</f>
        <v>47027</v>
      </c>
      <c r="AB5" s="48" t="n">
        <f aca="false">DATE(YEAR(Assumptions!$C$8),MONTH(Assumptions!$C$8)+AB4-1,1)</f>
        <v>47058</v>
      </c>
      <c r="AC5" s="48" t="n">
        <f aca="false">DATE(YEAR(Assumptions!$C$8),MONTH(Assumptions!$C$8)+AC4-1,1)</f>
        <v>47088</v>
      </c>
      <c r="AD5" s="48" t="n">
        <f aca="false">DATE(YEAR(Assumptions!$C$8),MONTH(Assumptions!$C$8)+AD4-1,1)</f>
        <v>47119</v>
      </c>
      <c r="AE5" s="48" t="n">
        <f aca="false">DATE(YEAR(Assumptions!$C$8),MONTH(Assumptions!$C$8)+AE4-1,1)</f>
        <v>47150</v>
      </c>
      <c r="AF5" s="48" t="n">
        <f aca="false">DATE(YEAR(Assumptions!$C$8),MONTH(Assumptions!$C$8)+AF4-1,1)</f>
        <v>47178</v>
      </c>
      <c r="AG5" s="48" t="n">
        <f aca="false">DATE(YEAR(Assumptions!$C$8),MONTH(Assumptions!$C$8)+AG4-1,1)</f>
        <v>47209</v>
      </c>
      <c r="AH5" s="48" t="n">
        <f aca="false">DATE(YEAR(Assumptions!$C$8),MONTH(Assumptions!$C$8)+AH4-1,1)</f>
        <v>47239</v>
      </c>
      <c r="AI5" s="48" t="n">
        <f aca="false">DATE(YEAR(Assumptions!$C$8),MONTH(Assumptions!$C$8)+AI4-1,1)</f>
        <v>47270</v>
      </c>
      <c r="AJ5" s="48" t="n">
        <f aca="false">DATE(YEAR(Assumptions!$C$8),MONTH(Assumptions!$C$8)+AJ4-1,1)</f>
        <v>47300</v>
      </c>
      <c r="AK5" s="48" t="n">
        <f aca="false">DATE(YEAR(Assumptions!$C$8),MONTH(Assumptions!$C$8)+AK4-1,1)</f>
        <v>47331</v>
      </c>
      <c r="AL5" s="48" t="n">
        <f aca="false">DATE(YEAR(Assumptions!$C$8),MONTH(Assumptions!$C$8)+AL4-1,1)</f>
        <v>47362</v>
      </c>
      <c r="AM5" s="4" t="s">
        <v>737</v>
      </c>
      <c r="AN5" s="4" t="s">
        <v>650</v>
      </c>
      <c r="AO5" s="4" t="s">
        <v>651</v>
      </c>
      <c r="AP5" s="4" t="s">
        <v>738</v>
      </c>
    </row>
    <row r="6" customFormat="false" ht="15" hidden="false" customHeight="false" outlineLevel="0" collapsed="false">
      <c r="A6" s="10" t="s">
        <v>739</v>
      </c>
      <c r="C6" s="42" t="n">
        <f aca="false">INT((C4-1)/12)+1</f>
        <v>1</v>
      </c>
      <c r="D6" s="42" t="n">
        <f aca="false">INT((D4-1)/12)+1</f>
        <v>1</v>
      </c>
      <c r="E6" s="42" t="n">
        <f aca="false">INT((E4-1)/12)+1</f>
        <v>1</v>
      </c>
      <c r="F6" s="42" t="n">
        <f aca="false">INT((F4-1)/12)+1</f>
        <v>1</v>
      </c>
      <c r="G6" s="42" t="n">
        <f aca="false">INT((G4-1)/12)+1</f>
        <v>1</v>
      </c>
      <c r="H6" s="42" t="n">
        <f aca="false">INT((H4-1)/12)+1</f>
        <v>1</v>
      </c>
      <c r="I6" s="42" t="n">
        <f aca="false">INT((I4-1)/12)+1</f>
        <v>1</v>
      </c>
      <c r="J6" s="42" t="n">
        <f aca="false">INT((J4-1)/12)+1</f>
        <v>1</v>
      </c>
      <c r="K6" s="42" t="n">
        <f aca="false">INT((K4-1)/12)+1</f>
        <v>1</v>
      </c>
      <c r="L6" s="42" t="n">
        <f aca="false">INT((L4-1)/12)+1</f>
        <v>1</v>
      </c>
      <c r="M6" s="42" t="n">
        <f aca="false">INT((M4-1)/12)+1</f>
        <v>1</v>
      </c>
      <c r="N6" s="42" t="n">
        <f aca="false">INT((N4-1)/12)+1</f>
        <v>1</v>
      </c>
      <c r="O6" s="42" t="n">
        <f aca="false">INT((O4-1)/12)+1</f>
        <v>2</v>
      </c>
      <c r="P6" s="42" t="n">
        <f aca="false">INT((P4-1)/12)+1</f>
        <v>2</v>
      </c>
      <c r="Q6" s="42" t="n">
        <f aca="false">INT((Q4-1)/12)+1</f>
        <v>2</v>
      </c>
      <c r="R6" s="42" t="n">
        <f aca="false">INT((R4-1)/12)+1</f>
        <v>2</v>
      </c>
      <c r="S6" s="42" t="n">
        <f aca="false">INT((S4-1)/12)+1</f>
        <v>2</v>
      </c>
      <c r="T6" s="42" t="n">
        <f aca="false">INT((T4-1)/12)+1</f>
        <v>2</v>
      </c>
      <c r="U6" s="42" t="n">
        <f aca="false">INT((U4-1)/12)+1</f>
        <v>2</v>
      </c>
      <c r="V6" s="42" t="n">
        <f aca="false">INT((V4-1)/12)+1</f>
        <v>2</v>
      </c>
      <c r="W6" s="42" t="n">
        <f aca="false">INT((W4-1)/12)+1</f>
        <v>2</v>
      </c>
      <c r="X6" s="42" t="n">
        <f aca="false">INT((X4-1)/12)+1</f>
        <v>2</v>
      </c>
      <c r="Y6" s="42" t="n">
        <f aca="false">INT((Y4-1)/12)+1</f>
        <v>2</v>
      </c>
      <c r="Z6" s="42" t="n">
        <f aca="false">INT((Z4-1)/12)+1</f>
        <v>2</v>
      </c>
      <c r="AA6" s="42" t="n">
        <f aca="false">INT((AA4-1)/12)+1</f>
        <v>3</v>
      </c>
      <c r="AB6" s="42" t="n">
        <f aca="false">INT((AB4-1)/12)+1</f>
        <v>3</v>
      </c>
      <c r="AC6" s="42" t="n">
        <f aca="false">INT((AC4-1)/12)+1</f>
        <v>3</v>
      </c>
      <c r="AD6" s="42" t="n">
        <f aca="false">INT((AD4-1)/12)+1</f>
        <v>3</v>
      </c>
      <c r="AE6" s="42" t="n">
        <f aca="false">INT((AE4-1)/12)+1</f>
        <v>3</v>
      </c>
      <c r="AF6" s="42" t="n">
        <f aca="false">INT((AF4-1)/12)+1</f>
        <v>3</v>
      </c>
      <c r="AG6" s="42" t="n">
        <f aca="false">INT((AG4-1)/12)+1</f>
        <v>3</v>
      </c>
      <c r="AH6" s="42" t="n">
        <f aca="false">INT((AH4-1)/12)+1</f>
        <v>3</v>
      </c>
      <c r="AI6" s="42" t="n">
        <f aca="false">INT((AI4-1)/12)+1</f>
        <v>3</v>
      </c>
      <c r="AJ6" s="42" t="n">
        <f aca="false">INT((AJ4-1)/12)+1</f>
        <v>3</v>
      </c>
      <c r="AK6" s="42" t="n">
        <f aca="false">INT((AK4-1)/12)+1</f>
        <v>3</v>
      </c>
      <c r="AL6" s="42" t="n">
        <f aca="false">INT((AL4-1)/12)+1</f>
        <v>3</v>
      </c>
    </row>
    <row r="7" customFormat="false" ht="15" hidden="false" customHeight="false" outlineLevel="0" collapsed="false">
      <c r="A7" s="10" t="s">
        <v>740</v>
      </c>
      <c r="C7" s="49" t="n">
        <f aca="false">INDEX(Assumptions!$C$81:$C$92,MONTH(C5))</f>
        <v>0.95</v>
      </c>
      <c r="D7" s="49" t="n">
        <f aca="false">INDEX(Assumptions!$C$81:$C$92,MONTH(D5))</f>
        <v>1.3</v>
      </c>
      <c r="E7" s="49" t="n">
        <f aca="false">INDEX(Assumptions!$C$81:$C$92,MONTH(E5))</f>
        <v>1.35</v>
      </c>
      <c r="F7" s="49" t="n">
        <f aca="false">INDEX(Assumptions!$C$81:$C$92,MONTH(F5))</f>
        <v>1.25</v>
      </c>
      <c r="G7" s="49" t="n">
        <f aca="false">INDEX(Assumptions!$C$81:$C$92,MONTH(G5))</f>
        <v>0.9</v>
      </c>
      <c r="H7" s="49" t="n">
        <f aca="false">INDEX(Assumptions!$C$81:$C$92,MONTH(H5))</f>
        <v>1</v>
      </c>
      <c r="I7" s="49" t="n">
        <f aca="false">INDEX(Assumptions!$C$81:$C$92,MONTH(I5))</f>
        <v>1.05</v>
      </c>
      <c r="J7" s="49" t="n">
        <f aca="false">INDEX(Assumptions!$C$81:$C$92,MONTH(J5))</f>
        <v>0.95</v>
      </c>
      <c r="K7" s="49" t="n">
        <f aca="false">INDEX(Assumptions!$C$81:$C$92,MONTH(K5))</f>
        <v>1</v>
      </c>
      <c r="L7" s="49" t="n">
        <f aca="false">INDEX(Assumptions!$C$81:$C$92,MONTH(L5))</f>
        <v>0.95</v>
      </c>
      <c r="M7" s="49" t="n">
        <f aca="false">INDEX(Assumptions!$C$81:$C$92,MONTH(M5))</f>
        <v>0.85</v>
      </c>
      <c r="N7" s="49" t="n">
        <f aca="false">INDEX(Assumptions!$C$81:$C$92,MONTH(N5))</f>
        <v>0.85</v>
      </c>
      <c r="O7" s="49" t="n">
        <f aca="false">INDEX(Assumptions!$C$81:$C$92,MONTH(O5))</f>
        <v>0.95</v>
      </c>
      <c r="P7" s="49" t="n">
        <f aca="false">INDEX(Assumptions!$C$81:$C$92,MONTH(P5))</f>
        <v>1.3</v>
      </c>
      <c r="Q7" s="49" t="n">
        <f aca="false">INDEX(Assumptions!$C$81:$C$92,MONTH(Q5))</f>
        <v>1.35</v>
      </c>
      <c r="R7" s="49" t="n">
        <f aca="false">INDEX(Assumptions!$C$81:$C$92,MONTH(R5))</f>
        <v>1.25</v>
      </c>
      <c r="S7" s="49" t="n">
        <f aca="false">INDEX(Assumptions!$C$81:$C$92,MONTH(S5))</f>
        <v>0.9</v>
      </c>
      <c r="T7" s="49" t="n">
        <f aca="false">INDEX(Assumptions!$C$81:$C$92,MONTH(T5))</f>
        <v>1</v>
      </c>
      <c r="U7" s="49" t="n">
        <f aca="false">INDEX(Assumptions!$C$81:$C$92,MONTH(U5))</f>
        <v>1.05</v>
      </c>
      <c r="V7" s="49" t="n">
        <f aca="false">INDEX(Assumptions!$C$81:$C$92,MONTH(V5))</f>
        <v>0.95</v>
      </c>
      <c r="W7" s="49" t="n">
        <f aca="false">INDEX(Assumptions!$C$81:$C$92,MONTH(W5))</f>
        <v>1</v>
      </c>
      <c r="X7" s="49" t="n">
        <f aca="false">INDEX(Assumptions!$C$81:$C$92,MONTH(X5))</f>
        <v>0.95</v>
      </c>
      <c r="Y7" s="49" t="n">
        <f aca="false">INDEX(Assumptions!$C$81:$C$92,MONTH(Y5))</f>
        <v>0.85</v>
      </c>
      <c r="Z7" s="49" t="n">
        <f aca="false">INDEX(Assumptions!$C$81:$C$92,MONTH(Z5))</f>
        <v>0.85</v>
      </c>
      <c r="AA7" s="49" t="n">
        <f aca="false">INDEX(Assumptions!$C$81:$C$92,MONTH(AA5))</f>
        <v>0.95</v>
      </c>
      <c r="AB7" s="49" t="n">
        <f aca="false">INDEX(Assumptions!$C$81:$C$92,MONTH(AB5))</f>
        <v>1.3</v>
      </c>
      <c r="AC7" s="49" t="n">
        <f aca="false">INDEX(Assumptions!$C$81:$C$92,MONTH(AC5))</f>
        <v>1.35</v>
      </c>
      <c r="AD7" s="49" t="n">
        <f aca="false">INDEX(Assumptions!$C$81:$C$92,MONTH(AD5))</f>
        <v>1.25</v>
      </c>
      <c r="AE7" s="49" t="n">
        <f aca="false">INDEX(Assumptions!$C$81:$C$92,MONTH(AE5))</f>
        <v>0.9</v>
      </c>
      <c r="AF7" s="49" t="n">
        <f aca="false">INDEX(Assumptions!$C$81:$C$92,MONTH(AF5))</f>
        <v>1</v>
      </c>
      <c r="AG7" s="49" t="n">
        <f aca="false">INDEX(Assumptions!$C$81:$C$92,MONTH(AG5))</f>
        <v>1.05</v>
      </c>
      <c r="AH7" s="49" t="n">
        <f aca="false">INDEX(Assumptions!$C$81:$C$92,MONTH(AH5))</f>
        <v>0.95</v>
      </c>
      <c r="AI7" s="49" t="n">
        <f aca="false">INDEX(Assumptions!$C$81:$C$92,MONTH(AI5))</f>
        <v>1</v>
      </c>
      <c r="AJ7" s="49" t="n">
        <f aca="false">INDEX(Assumptions!$C$81:$C$92,MONTH(AJ5))</f>
        <v>0.95</v>
      </c>
      <c r="AK7" s="49" t="n">
        <f aca="false">INDEX(Assumptions!$C$81:$C$92,MONTH(AK5))</f>
        <v>0.85</v>
      </c>
      <c r="AL7" s="49" t="n">
        <f aca="false">INDEX(Assumptions!$C$81:$C$92,MONTH(AL5))</f>
        <v>0.85</v>
      </c>
    </row>
    <row r="8" customFormat="false" ht="15" hidden="false" customHeight="false" outlineLevel="0" collapsed="false">
      <c r="A8" s="10" t="s">
        <v>741</v>
      </c>
      <c r="C8" s="49" t="n">
        <f aca="false">INDEX(Assumptions!$D$81:$D$92,MONTH(C5))</f>
        <v>1.2</v>
      </c>
      <c r="D8" s="49" t="n">
        <f aca="false">INDEX(Assumptions!$D$81:$D$92,MONTH(D5))</f>
        <v>1</v>
      </c>
      <c r="E8" s="49" t="n">
        <f aca="false">INDEX(Assumptions!$D$81:$D$92,MONTH(E5))</f>
        <v>0.7</v>
      </c>
      <c r="F8" s="49" t="n">
        <f aca="false">INDEX(Assumptions!$D$81:$D$92,MONTH(F5))</f>
        <v>1.1</v>
      </c>
      <c r="G8" s="49" t="n">
        <f aca="false">INDEX(Assumptions!$D$81:$D$92,MONTH(G5))</f>
        <v>1</v>
      </c>
      <c r="H8" s="49" t="n">
        <f aca="false">INDEX(Assumptions!$D$81:$D$92,MONTH(H5))</f>
        <v>1</v>
      </c>
      <c r="I8" s="49" t="n">
        <f aca="false">INDEX(Assumptions!$D$81:$D$92,MONTH(I5))</f>
        <v>0.9</v>
      </c>
      <c r="J8" s="49" t="n">
        <f aca="false">INDEX(Assumptions!$D$81:$D$92,MONTH(J5))</f>
        <v>0.7</v>
      </c>
      <c r="K8" s="49" t="n">
        <f aca="false">INDEX(Assumptions!$D$81:$D$92,MONTH(K5))</f>
        <v>0.4</v>
      </c>
      <c r="L8" s="49" t="n">
        <f aca="false">INDEX(Assumptions!$D$81:$D$92,MONTH(L5))</f>
        <v>0.6</v>
      </c>
      <c r="M8" s="49" t="n">
        <f aca="false">INDEX(Assumptions!$D$81:$D$92,MONTH(M5))</f>
        <v>1.3</v>
      </c>
      <c r="N8" s="49" t="n">
        <f aca="false">INDEX(Assumptions!$D$81:$D$92,MONTH(N5))</f>
        <v>1.4</v>
      </c>
      <c r="O8" s="49" t="n">
        <f aca="false">INDEX(Assumptions!$D$81:$D$92,MONTH(O5))</f>
        <v>1.2</v>
      </c>
      <c r="P8" s="49" t="n">
        <f aca="false">INDEX(Assumptions!$D$81:$D$92,MONTH(P5))</f>
        <v>1</v>
      </c>
      <c r="Q8" s="49" t="n">
        <f aca="false">INDEX(Assumptions!$D$81:$D$92,MONTH(Q5))</f>
        <v>0.7</v>
      </c>
      <c r="R8" s="49" t="n">
        <f aca="false">INDEX(Assumptions!$D$81:$D$92,MONTH(R5))</f>
        <v>1.1</v>
      </c>
      <c r="S8" s="49" t="n">
        <f aca="false">INDEX(Assumptions!$D$81:$D$92,MONTH(S5))</f>
        <v>1</v>
      </c>
      <c r="T8" s="49" t="n">
        <f aca="false">INDEX(Assumptions!$D$81:$D$92,MONTH(T5))</f>
        <v>1</v>
      </c>
      <c r="U8" s="49" t="n">
        <f aca="false">INDEX(Assumptions!$D$81:$D$92,MONTH(U5))</f>
        <v>0.9</v>
      </c>
      <c r="V8" s="49" t="n">
        <f aca="false">INDEX(Assumptions!$D$81:$D$92,MONTH(V5))</f>
        <v>0.7</v>
      </c>
      <c r="W8" s="49" t="n">
        <f aca="false">INDEX(Assumptions!$D$81:$D$92,MONTH(W5))</f>
        <v>0.4</v>
      </c>
      <c r="X8" s="49" t="n">
        <f aca="false">INDEX(Assumptions!$D$81:$D$92,MONTH(X5))</f>
        <v>0.6</v>
      </c>
      <c r="Y8" s="49" t="n">
        <f aca="false">INDEX(Assumptions!$D$81:$D$92,MONTH(Y5))</f>
        <v>1.3</v>
      </c>
      <c r="Z8" s="49" t="n">
        <f aca="false">INDEX(Assumptions!$D$81:$D$92,MONTH(Z5))</f>
        <v>1.4</v>
      </c>
      <c r="AA8" s="49" t="n">
        <f aca="false">INDEX(Assumptions!$D$81:$D$92,MONTH(AA5))</f>
        <v>1.2</v>
      </c>
      <c r="AB8" s="49" t="n">
        <f aca="false">INDEX(Assumptions!$D$81:$D$92,MONTH(AB5))</f>
        <v>1</v>
      </c>
      <c r="AC8" s="49" t="n">
        <f aca="false">INDEX(Assumptions!$D$81:$D$92,MONTH(AC5))</f>
        <v>0.7</v>
      </c>
      <c r="AD8" s="49" t="n">
        <f aca="false">INDEX(Assumptions!$D$81:$D$92,MONTH(AD5))</f>
        <v>1.1</v>
      </c>
      <c r="AE8" s="49" t="n">
        <f aca="false">INDEX(Assumptions!$D$81:$D$92,MONTH(AE5))</f>
        <v>1</v>
      </c>
      <c r="AF8" s="49" t="n">
        <f aca="false">INDEX(Assumptions!$D$81:$D$92,MONTH(AF5))</f>
        <v>1</v>
      </c>
      <c r="AG8" s="49" t="n">
        <f aca="false">INDEX(Assumptions!$D$81:$D$92,MONTH(AG5))</f>
        <v>0.9</v>
      </c>
      <c r="AH8" s="49" t="n">
        <f aca="false">INDEX(Assumptions!$D$81:$D$92,MONTH(AH5))</f>
        <v>0.7</v>
      </c>
      <c r="AI8" s="49" t="n">
        <f aca="false">INDEX(Assumptions!$D$81:$D$92,MONTH(AI5))</f>
        <v>0.4</v>
      </c>
      <c r="AJ8" s="49" t="n">
        <f aca="false">INDEX(Assumptions!$D$81:$D$92,MONTH(AJ5))</f>
        <v>0.6</v>
      </c>
      <c r="AK8" s="49" t="n">
        <f aca="false">INDEX(Assumptions!$D$81:$D$92,MONTH(AK5))</f>
        <v>1.3</v>
      </c>
      <c r="AL8" s="49" t="n">
        <f aca="false">INDEX(Assumptions!$D$81:$D$92,MONTH(AL5))</f>
        <v>1.4</v>
      </c>
    </row>
    <row r="10" customFormat="false" ht="15" hidden="false" customHeight="false" outlineLevel="0" collapsed="false">
      <c r="A10" s="3" t="s">
        <v>742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customFormat="false" ht="15" hidden="false" customHeight="false" outlineLevel="0" collapsed="false">
      <c r="A11" s="7" t="s">
        <v>743</v>
      </c>
      <c r="B11" s="50" t="n">
        <f aca="false">IF(Assumptions!$C$145=1,Assumptions!$C$146+Assumptions!$C$64,0)</f>
        <v>8</v>
      </c>
    </row>
    <row r="12" customFormat="false" ht="15" hidden="false" customHeight="false" outlineLevel="0" collapsed="false">
      <c r="A12" s="7" t="s">
        <v>744</v>
      </c>
      <c r="B12" s="51" t="n">
        <f aca="false">IF($B$11=0,0,SUMPRODUCT(($C$4:$AL$4&gt;=Assumptions!$C$146)*($C$4:$AL$4&lt;$B$11)*($C$81:$AL$81)))</f>
        <v>2.634654</v>
      </c>
    </row>
    <row r="13" customFormat="false" ht="15" hidden="false" customHeight="false" outlineLevel="0" collapsed="false">
      <c r="A13" s="7" t="s">
        <v>745</v>
      </c>
      <c r="B13" s="51" t="n">
        <f aca="false">IF($B$11=0,0,MAX(Assumptions!$C$62,ROUNDUP($B$12*(1+Assumptions!$C$63)/100,0)*100))</f>
        <v>1000</v>
      </c>
    </row>
    <row r="15" customFormat="false" ht="15" hidden="false" customHeight="false" outlineLevel="0" collapsed="false">
      <c r="A15" s="5" t="s">
        <v>560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</row>
    <row r="16" customFormat="false" ht="15" hidden="false" customHeight="false" outlineLevel="0" collapsed="false">
      <c r="A16" s="7" t="s">
        <v>746</v>
      </c>
      <c r="B16" s="9" t="s">
        <v>308</v>
      </c>
      <c r="C16" s="37" t="n">
        <f aca="false">IF(AND(Assumptions!$C$97=1,C$4&gt;=Assumptions!$C$98),1,0)</f>
        <v>1</v>
      </c>
      <c r="D16" s="37" t="n">
        <f aca="false">IF(AND(Assumptions!$C$97=1,D$4&gt;=Assumptions!$C$98),1,0)</f>
        <v>1</v>
      </c>
      <c r="E16" s="37" t="n">
        <f aca="false">IF(AND(Assumptions!$C$97=1,E$4&gt;=Assumptions!$C$98),1,0)</f>
        <v>1</v>
      </c>
      <c r="F16" s="37" t="n">
        <f aca="false">IF(AND(Assumptions!$C$97=1,F$4&gt;=Assumptions!$C$98),1,0)</f>
        <v>1</v>
      </c>
      <c r="G16" s="37" t="n">
        <f aca="false">IF(AND(Assumptions!$C$97=1,G$4&gt;=Assumptions!$C$98),1,0)</f>
        <v>1</v>
      </c>
      <c r="H16" s="37" t="n">
        <f aca="false">IF(AND(Assumptions!$C$97=1,H$4&gt;=Assumptions!$C$98),1,0)</f>
        <v>1</v>
      </c>
      <c r="I16" s="37" t="n">
        <f aca="false">IF(AND(Assumptions!$C$97=1,I$4&gt;=Assumptions!$C$98),1,0)</f>
        <v>1</v>
      </c>
      <c r="J16" s="37" t="n">
        <f aca="false">IF(AND(Assumptions!$C$97=1,J$4&gt;=Assumptions!$C$98),1,0)</f>
        <v>1</v>
      </c>
      <c r="K16" s="37" t="n">
        <f aca="false">IF(AND(Assumptions!$C$97=1,K$4&gt;=Assumptions!$C$98),1,0)</f>
        <v>1</v>
      </c>
      <c r="L16" s="37" t="n">
        <f aca="false">IF(AND(Assumptions!$C$97=1,L$4&gt;=Assumptions!$C$98),1,0)</f>
        <v>1</v>
      </c>
      <c r="M16" s="37" t="n">
        <f aca="false">IF(AND(Assumptions!$C$97=1,M$4&gt;=Assumptions!$C$98),1,0)</f>
        <v>1</v>
      </c>
      <c r="N16" s="37" t="n">
        <f aca="false">IF(AND(Assumptions!$C$97=1,N$4&gt;=Assumptions!$C$98),1,0)</f>
        <v>1</v>
      </c>
      <c r="O16" s="37" t="n">
        <f aca="false">IF(AND(Assumptions!$C$97=1,O$4&gt;=Assumptions!$C$98),1,0)</f>
        <v>1</v>
      </c>
      <c r="P16" s="37" t="n">
        <f aca="false">IF(AND(Assumptions!$C$97=1,P$4&gt;=Assumptions!$C$98),1,0)</f>
        <v>1</v>
      </c>
      <c r="Q16" s="37" t="n">
        <f aca="false">IF(AND(Assumptions!$C$97=1,Q$4&gt;=Assumptions!$C$98),1,0)</f>
        <v>1</v>
      </c>
      <c r="R16" s="37" t="n">
        <f aca="false">IF(AND(Assumptions!$C$97=1,R$4&gt;=Assumptions!$C$98),1,0)</f>
        <v>1</v>
      </c>
      <c r="S16" s="37" t="n">
        <f aca="false">IF(AND(Assumptions!$C$97=1,S$4&gt;=Assumptions!$C$98),1,0)</f>
        <v>1</v>
      </c>
      <c r="T16" s="37" t="n">
        <f aca="false">IF(AND(Assumptions!$C$97=1,T$4&gt;=Assumptions!$C$98),1,0)</f>
        <v>1</v>
      </c>
      <c r="U16" s="37" t="n">
        <f aca="false">IF(AND(Assumptions!$C$97=1,U$4&gt;=Assumptions!$C$98),1,0)</f>
        <v>1</v>
      </c>
      <c r="V16" s="37" t="n">
        <f aca="false">IF(AND(Assumptions!$C$97=1,V$4&gt;=Assumptions!$C$98),1,0)</f>
        <v>1</v>
      </c>
      <c r="W16" s="37" t="n">
        <f aca="false">IF(AND(Assumptions!$C$97=1,W$4&gt;=Assumptions!$C$98),1,0)</f>
        <v>1</v>
      </c>
      <c r="X16" s="37" t="n">
        <f aca="false">IF(AND(Assumptions!$C$97=1,X$4&gt;=Assumptions!$C$98),1,0)</f>
        <v>1</v>
      </c>
      <c r="Y16" s="37" t="n">
        <f aca="false">IF(AND(Assumptions!$C$97=1,Y$4&gt;=Assumptions!$C$98),1,0)</f>
        <v>1</v>
      </c>
      <c r="Z16" s="37" t="n">
        <f aca="false">IF(AND(Assumptions!$C$97=1,Z$4&gt;=Assumptions!$C$98),1,0)</f>
        <v>1</v>
      </c>
      <c r="AA16" s="37" t="n">
        <f aca="false">IF(AND(Assumptions!$C$97=1,AA$4&gt;=Assumptions!$C$98),1,0)</f>
        <v>1</v>
      </c>
      <c r="AB16" s="37" t="n">
        <f aca="false">IF(AND(Assumptions!$C$97=1,AB$4&gt;=Assumptions!$C$98),1,0)</f>
        <v>1</v>
      </c>
      <c r="AC16" s="37" t="n">
        <f aca="false">IF(AND(Assumptions!$C$97=1,AC$4&gt;=Assumptions!$C$98),1,0)</f>
        <v>1</v>
      </c>
      <c r="AD16" s="37" t="n">
        <f aca="false">IF(AND(Assumptions!$C$97=1,AD$4&gt;=Assumptions!$C$98),1,0)</f>
        <v>1</v>
      </c>
      <c r="AE16" s="37" t="n">
        <f aca="false">IF(AND(Assumptions!$C$97=1,AE$4&gt;=Assumptions!$C$98),1,0)</f>
        <v>1</v>
      </c>
      <c r="AF16" s="37" t="n">
        <f aca="false">IF(AND(Assumptions!$C$97=1,AF$4&gt;=Assumptions!$C$98),1,0)</f>
        <v>1</v>
      </c>
      <c r="AG16" s="37" t="n">
        <f aca="false">IF(AND(Assumptions!$C$97=1,AG$4&gt;=Assumptions!$C$98),1,0)</f>
        <v>1</v>
      </c>
      <c r="AH16" s="37" t="n">
        <f aca="false">IF(AND(Assumptions!$C$97=1,AH$4&gt;=Assumptions!$C$98),1,0)</f>
        <v>1</v>
      </c>
      <c r="AI16" s="37" t="n">
        <f aca="false">IF(AND(Assumptions!$C$97=1,AI$4&gt;=Assumptions!$C$98),1,0)</f>
        <v>1</v>
      </c>
      <c r="AJ16" s="37" t="n">
        <f aca="false">IF(AND(Assumptions!$C$97=1,AJ$4&gt;=Assumptions!$C$98),1,0)</f>
        <v>1</v>
      </c>
      <c r="AK16" s="37" t="n">
        <f aca="false">IF(AND(Assumptions!$C$97=1,AK$4&gt;=Assumptions!$C$98),1,0)</f>
        <v>1</v>
      </c>
      <c r="AL16" s="37" t="n">
        <f aca="false">IF(AND(Assumptions!$C$97=1,AL$4&gt;=Assumptions!$C$98),1,0)</f>
        <v>1</v>
      </c>
    </row>
    <row r="17" customFormat="false" ht="15" hidden="false" customHeight="false" outlineLevel="0" collapsed="false">
      <c r="A17" s="7" t="s">
        <v>747</v>
      </c>
      <c r="B17" s="9" t="s">
        <v>316</v>
      </c>
      <c r="C17" s="14" t="n">
        <f aca="false">IF(C16=0,0,Assumptions!$C$99)</f>
        <v>300</v>
      </c>
      <c r="D17" s="14" t="n">
        <f aca="false">IF(D16=0,0,IF(D$4=Assumptions!$C$98,Assumptions!$C$99,C17*(1+CHOOSE(D$6,Assumptions!$C$100,Assumptions!$C$101,Assumptions!$C$102))))</f>
        <v>324</v>
      </c>
      <c r="E17" s="14" t="n">
        <f aca="false">IF(E16=0,0,IF(E$4=Assumptions!$C$98,Assumptions!$C$99,D17*(1+CHOOSE(E$6,Assumptions!$C$100,Assumptions!$C$101,Assumptions!$C$102))))</f>
        <v>349.92</v>
      </c>
      <c r="F17" s="14" t="n">
        <f aca="false">IF(F16=0,0,IF(F$4=Assumptions!$C$98,Assumptions!$C$99,E17*(1+CHOOSE(F$6,Assumptions!$C$100,Assumptions!$C$101,Assumptions!$C$102))))</f>
        <v>377.9136</v>
      </c>
      <c r="G17" s="14" t="n">
        <f aca="false">IF(G16=0,0,IF(G$4=Assumptions!$C$98,Assumptions!$C$99,F17*(1+CHOOSE(G$6,Assumptions!$C$100,Assumptions!$C$101,Assumptions!$C$102))))</f>
        <v>408.146688</v>
      </c>
      <c r="H17" s="14" t="n">
        <f aca="false">IF(H16=0,0,IF(H$4=Assumptions!$C$98,Assumptions!$C$99,G17*(1+CHOOSE(H$6,Assumptions!$C$100,Assumptions!$C$101,Assumptions!$C$102))))</f>
        <v>440.79842304</v>
      </c>
      <c r="I17" s="14" t="n">
        <f aca="false">IF(I16=0,0,IF(I$4=Assumptions!$C$98,Assumptions!$C$99,H17*(1+CHOOSE(I$6,Assumptions!$C$100,Assumptions!$C$101,Assumptions!$C$102))))</f>
        <v>476.0622968832</v>
      </c>
      <c r="J17" s="14" t="n">
        <f aca="false">IF(J16=0,0,IF(J$4=Assumptions!$C$98,Assumptions!$C$99,I17*(1+CHOOSE(J$6,Assumptions!$C$100,Assumptions!$C$101,Assumptions!$C$102))))</f>
        <v>514.147280633856</v>
      </c>
      <c r="K17" s="14" t="n">
        <f aca="false">IF(K16=0,0,IF(K$4=Assumptions!$C$98,Assumptions!$C$99,J17*(1+CHOOSE(K$6,Assumptions!$C$100,Assumptions!$C$101,Assumptions!$C$102))))</f>
        <v>555.279063084565</v>
      </c>
      <c r="L17" s="14" t="n">
        <f aca="false">IF(L16=0,0,IF(L$4=Assumptions!$C$98,Assumptions!$C$99,K17*(1+CHOOSE(L$6,Assumptions!$C$100,Assumptions!$C$101,Assumptions!$C$102))))</f>
        <v>599.70138813133</v>
      </c>
      <c r="M17" s="14" t="n">
        <f aca="false">IF(M16=0,0,IF(M$4=Assumptions!$C$98,Assumptions!$C$99,L17*(1+CHOOSE(M$6,Assumptions!$C$100,Assumptions!$C$101,Assumptions!$C$102))))</f>
        <v>647.677499181836</v>
      </c>
      <c r="N17" s="14" t="n">
        <f aca="false">IF(N16=0,0,IF(N$4=Assumptions!$C$98,Assumptions!$C$99,M17*(1+CHOOSE(N$6,Assumptions!$C$100,Assumptions!$C$101,Assumptions!$C$102))))</f>
        <v>699.491699116383</v>
      </c>
      <c r="O17" s="14" t="n">
        <f aca="false">IF(O16=0,0,IF(O$4=Assumptions!$C$98,Assumptions!$C$99,N17*(1+CHOOSE(O$6,Assumptions!$C$100,Assumptions!$C$101,Assumptions!$C$102))))</f>
        <v>727.471367081039</v>
      </c>
      <c r="P17" s="14" t="n">
        <f aca="false">IF(P16=0,0,IF(P$4=Assumptions!$C$98,Assumptions!$C$99,O17*(1+CHOOSE(P$6,Assumptions!$C$100,Assumptions!$C$101,Assumptions!$C$102))))</f>
        <v>756.57022176428</v>
      </c>
      <c r="Q17" s="14" t="n">
        <f aca="false">IF(Q16=0,0,IF(Q$4=Assumptions!$C$98,Assumptions!$C$99,P17*(1+CHOOSE(Q$6,Assumptions!$C$100,Assumptions!$C$101,Assumptions!$C$102))))</f>
        <v>786.833030634852</v>
      </c>
      <c r="R17" s="14" t="n">
        <f aca="false">IF(R16=0,0,IF(R$4=Assumptions!$C$98,Assumptions!$C$99,Q17*(1+CHOOSE(R$6,Assumptions!$C$100,Assumptions!$C$101,Assumptions!$C$102))))</f>
        <v>818.306351860246</v>
      </c>
      <c r="S17" s="14" t="n">
        <f aca="false">IF(S16=0,0,IF(S$4=Assumptions!$C$98,Assumptions!$C$99,R17*(1+CHOOSE(S$6,Assumptions!$C$100,Assumptions!$C$101,Assumptions!$C$102))))</f>
        <v>851.038605934656</v>
      </c>
      <c r="T17" s="14" t="n">
        <f aca="false">IF(T16=0,0,IF(T$4=Assumptions!$C$98,Assumptions!$C$99,S17*(1+CHOOSE(T$6,Assumptions!$C$100,Assumptions!$C$101,Assumptions!$C$102))))</f>
        <v>885.080150172042</v>
      </c>
      <c r="U17" s="14" t="n">
        <f aca="false">IF(U16=0,0,IF(U$4=Assumptions!$C$98,Assumptions!$C$99,T17*(1+CHOOSE(U$6,Assumptions!$C$100,Assumptions!$C$101,Assumptions!$C$102))))</f>
        <v>920.483356178923</v>
      </c>
      <c r="V17" s="14" t="n">
        <f aca="false">IF(V16=0,0,IF(V$4=Assumptions!$C$98,Assumptions!$C$99,U17*(1+CHOOSE(V$6,Assumptions!$C$100,Assumptions!$C$101,Assumptions!$C$102))))</f>
        <v>957.30269042608</v>
      </c>
      <c r="W17" s="14" t="n">
        <f aca="false">IF(W16=0,0,IF(W$4=Assumptions!$C$98,Assumptions!$C$99,V17*(1+CHOOSE(W$6,Assumptions!$C$100,Assumptions!$C$101,Assumptions!$C$102))))</f>
        <v>995.594798043124</v>
      </c>
      <c r="X17" s="14" t="n">
        <f aca="false">IF(X16=0,0,IF(X$4=Assumptions!$C$98,Assumptions!$C$99,W17*(1+CHOOSE(X$6,Assumptions!$C$100,Assumptions!$C$101,Assumptions!$C$102))))</f>
        <v>1035.41858996485</v>
      </c>
      <c r="Y17" s="14" t="n">
        <f aca="false">IF(Y16=0,0,IF(Y$4=Assumptions!$C$98,Assumptions!$C$99,X17*(1+CHOOSE(Y$6,Assumptions!$C$100,Assumptions!$C$101,Assumptions!$C$102))))</f>
        <v>1076.83533356344</v>
      </c>
      <c r="Z17" s="14" t="n">
        <f aca="false">IF(Z16=0,0,IF(Z$4=Assumptions!$C$98,Assumptions!$C$99,Y17*(1+CHOOSE(Z$6,Assumptions!$C$100,Assumptions!$C$101,Assumptions!$C$102))))</f>
        <v>1119.90874690598</v>
      </c>
      <c r="AA17" s="14" t="n">
        <f aca="false">IF(AA16=0,0,IF(AA$4=Assumptions!$C$98,Assumptions!$C$99,Z17*(1+CHOOSE(AA$6,Assumptions!$C$100,Assumptions!$C$101,Assumptions!$C$102))))</f>
        <v>1142.3069218441</v>
      </c>
      <c r="AB17" s="14" t="n">
        <f aca="false">IF(AB16=0,0,IF(AB$4=Assumptions!$C$98,Assumptions!$C$99,AA17*(1+CHOOSE(AB$6,Assumptions!$C$100,Assumptions!$C$101,Assumptions!$C$102))))</f>
        <v>1165.15306028098</v>
      </c>
      <c r="AC17" s="14" t="n">
        <f aca="false">IF(AC16=0,0,IF(AC$4=Assumptions!$C$98,Assumptions!$C$99,AB17*(1+CHOOSE(AC$6,Assumptions!$C$100,Assumptions!$C$101,Assumptions!$C$102))))</f>
        <v>1188.4561214866</v>
      </c>
      <c r="AD17" s="14" t="n">
        <f aca="false">IF(AD16=0,0,IF(AD$4=Assumptions!$C$98,Assumptions!$C$99,AC17*(1+CHOOSE(AD$6,Assumptions!$C$100,Assumptions!$C$101,Assumptions!$C$102))))</f>
        <v>1212.22524391633</v>
      </c>
      <c r="AE17" s="14" t="n">
        <f aca="false">IF(AE16=0,0,IF(AE$4=Assumptions!$C$98,Assumptions!$C$99,AD17*(1+CHOOSE(AE$6,Assumptions!$C$100,Assumptions!$C$101,Assumptions!$C$102))))</f>
        <v>1236.46974879466</v>
      </c>
      <c r="AF17" s="14" t="n">
        <f aca="false">IF(AF16=0,0,IF(AF$4=Assumptions!$C$98,Assumptions!$C$99,AE17*(1+CHOOSE(AF$6,Assumptions!$C$100,Assumptions!$C$101,Assumptions!$C$102))))</f>
        <v>1261.19914377055</v>
      </c>
      <c r="AG17" s="14" t="n">
        <f aca="false">IF(AG16=0,0,IF(AG$4=Assumptions!$C$98,Assumptions!$C$99,AF17*(1+CHOOSE(AG$6,Assumptions!$C$100,Assumptions!$C$101,Assumptions!$C$102))))</f>
        <v>1286.42312664596</v>
      </c>
      <c r="AH17" s="14" t="n">
        <f aca="false">IF(AH16=0,0,IF(AH$4=Assumptions!$C$98,Assumptions!$C$99,AG17*(1+CHOOSE(AH$6,Assumptions!$C$100,Assumptions!$C$101,Assumptions!$C$102))))</f>
        <v>1312.15158917888</v>
      </c>
      <c r="AI17" s="14" t="n">
        <f aca="false">IF(AI16=0,0,IF(AI$4=Assumptions!$C$98,Assumptions!$C$99,AH17*(1+CHOOSE(AI$6,Assumptions!$C$100,Assumptions!$C$101,Assumptions!$C$102))))</f>
        <v>1338.39462096246</v>
      </c>
      <c r="AJ17" s="14" t="n">
        <f aca="false">IF(AJ16=0,0,IF(AJ$4=Assumptions!$C$98,Assumptions!$C$99,AI17*(1+CHOOSE(AJ$6,Assumptions!$C$100,Assumptions!$C$101,Assumptions!$C$102))))</f>
        <v>1365.16251338171</v>
      </c>
      <c r="AK17" s="14" t="n">
        <f aca="false">IF(AK16=0,0,IF(AK$4=Assumptions!$C$98,Assumptions!$C$99,AJ17*(1+CHOOSE(AK$6,Assumptions!$C$100,Assumptions!$C$101,Assumptions!$C$102))))</f>
        <v>1392.46576364935</v>
      </c>
      <c r="AL17" s="14" t="n">
        <f aca="false">IF(AL16=0,0,IF(AL$4=Assumptions!$C$98,Assumptions!$C$99,AK17*(1+CHOOSE(AL$6,Assumptions!$C$100,Assumptions!$C$101,Assumptions!$C$102))))</f>
        <v>1420.31507892233</v>
      </c>
    </row>
    <row r="18" customFormat="false" ht="15" hidden="false" customHeight="false" outlineLevel="0" collapsed="false">
      <c r="A18" s="7" t="s">
        <v>748</v>
      </c>
      <c r="B18" s="9" t="s">
        <v>316</v>
      </c>
      <c r="C18" s="52" t="n">
        <f aca="false">C17*C$7</f>
        <v>285</v>
      </c>
      <c r="D18" s="52" t="n">
        <f aca="false">D17*D$7</f>
        <v>421.2</v>
      </c>
      <c r="E18" s="52" t="n">
        <f aca="false">E17*E$7</f>
        <v>472.392</v>
      </c>
      <c r="F18" s="52" t="n">
        <f aca="false">F17*F$7</f>
        <v>472.392</v>
      </c>
      <c r="G18" s="52" t="n">
        <f aca="false">G17*G$7</f>
        <v>367.3320192</v>
      </c>
      <c r="H18" s="52" t="n">
        <f aca="false">H17*H$7</f>
        <v>440.79842304</v>
      </c>
      <c r="I18" s="52" t="n">
        <f aca="false">I17*I$7</f>
        <v>499.86541172736</v>
      </c>
      <c r="J18" s="52" t="n">
        <f aca="false">J17*J$7</f>
        <v>488.439916602163</v>
      </c>
      <c r="K18" s="52" t="n">
        <f aca="false">K17*K$7</f>
        <v>555.279063084565</v>
      </c>
      <c r="L18" s="52" t="n">
        <f aca="false">L17*L$7</f>
        <v>569.716318724763</v>
      </c>
      <c r="M18" s="52" t="n">
        <f aca="false">M17*M$7</f>
        <v>550.525874304561</v>
      </c>
      <c r="N18" s="52" t="n">
        <f aca="false">N17*N$7</f>
        <v>594.567944248926</v>
      </c>
      <c r="O18" s="52" t="n">
        <f aca="false">O17*O$7</f>
        <v>691.097798726987</v>
      </c>
      <c r="P18" s="52" t="n">
        <f aca="false">P17*P$7</f>
        <v>983.541288293564</v>
      </c>
      <c r="Q18" s="52" t="n">
        <f aca="false">Q17*Q$7</f>
        <v>1062.22459135705</v>
      </c>
      <c r="R18" s="52" t="n">
        <f aca="false">R17*R$7</f>
        <v>1022.88293982531</v>
      </c>
      <c r="S18" s="52" t="n">
        <f aca="false">S17*S$7</f>
        <v>765.93474534119</v>
      </c>
      <c r="T18" s="52" t="n">
        <f aca="false">T17*T$7</f>
        <v>885.080150172042</v>
      </c>
      <c r="U18" s="52" t="n">
        <f aca="false">U17*U$7</f>
        <v>966.50752398787</v>
      </c>
      <c r="V18" s="52" t="n">
        <f aca="false">V17*V$7</f>
        <v>909.437555904776</v>
      </c>
      <c r="W18" s="52" t="n">
        <f aca="false">W17*W$7</f>
        <v>995.594798043124</v>
      </c>
      <c r="X18" s="52" t="n">
        <f aca="false">X17*X$7</f>
        <v>983.647660466606</v>
      </c>
      <c r="Y18" s="52" t="n">
        <f aca="false">Y17*Y$7</f>
        <v>915.310033528926</v>
      </c>
      <c r="Z18" s="52" t="n">
        <f aca="false">Z17*Z$7</f>
        <v>951.922434870083</v>
      </c>
      <c r="AA18" s="52" t="n">
        <f aca="false">AA17*AA$7</f>
        <v>1085.19157575189</v>
      </c>
      <c r="AB18" s="52" t="n">
        <f aca="false">AB17*AB$7</f>
        <v>1514.69897836528</v>
      </c>
      <c r="AC18" s="52" t="n">
        <f aca="false">AC17*AC$7</f>
        <v>1604.41576400691</v>
      </c>
      <c r="AD18" s="52" t="n">
        <f aca="false">AD17*AD$7</f>
        <v>1515.28155489542</v>
      </c>
      <c r="AE18" s="52" t="n">
        <f aca="false">AE17*AE$7</f>
        <v>1112.82277391519</v>
      </c>
      <c r="AF18" s="52" t="n">
        <f aca="false">AF17*AF$7</f>
        <v>1261.19914377055</v>
      </c>
      <c r="AG18" s="52" t="n">
        <f aca="false">AG17*AG$7</f>
        <v>1350.74428297826</v>
      </c>
      <c r="AH18" s="52" t="n">
        <f aca="false">AH17*AH$7</f>
        <v>1246.54400971994</v>
      </c>
      <c r="AI18" s="52" t="n">
        <f aca="false">AI17*AI$7</f>
        <v>1338.39462096246</v>
      </c>
      <c r="AJ18" s="52" t="n">
        <f aca="false">AJ17*AJ$7</f>
        <v>1296.90438771263</v>
      </c>
      <c r="AK18" s="52" t="n">
        <f aca="false">AK17*AK$7</f>
        <v>1183.59589910194</v>
      </c>
      <c r="AL18" s="52" t="n">
        <f aca="false">AL17*AL$7</f>
        <v>1207.26781708398</v>
      </c>
      <c r="AM18" s="53" t="n">
        <f aca="false">SUMIF($C$6:$AL$6,1,C18:AL18)</f>
        <v>5717.50897093234</v>
      </c>
      <c r="AN18" s="53" t="n">
        <f aca="false">SUMIF($C$6:$AL$6,2,C18:AL18)</f>
        <v>11133.1815205175</v>
      </c>
      <c r="AO18" s="53" t="n">
        <f aca="false">SUMIF($C$6:$AL$6,3,C18:AL18)</f>
        <v>15717.0608082645</v>
      </c>
      <c r="AP18" s="53" t="n">
        <f aca="false">SUM(C18:AL18)</f>
        <v>32567.7512997143</v>
      </c>
    </row>
    <row r="19" customFormat="false" ht="15" hidden="false" customHeight="false" outlineLevel="0" collapsed="false">
      <c r="A19" s="7" t="s">
        <v>749</v>
      </c>
      <c r="B19" s="9" t="s">
        <v>88</v>
      </c>
      <c r="C19" s="54" t="n">
        <f aca="false">Assumptions!$C$103*MIN(1,(C$4-Assumptions!$C$98+1)/Assumptions!$C$10)*C16</f>
        <v>0.00166666666666667</v>
      </c>
      <c r="D19" s="54" t="n">
        <f aca="false">Assumptions!$C$103*MIN(1,(D$4-Assumptions!$C$98+1)/Assumptions!$C$10)*D16</f>
        <v>0.00333333333333333</v>
      </c>
      <c r="E19" s="54" t="n">
        <f aca="false">Assumptions!$C$103*MIN(1,(E$4-Assumptions!$C$98+1)/Assumptions!$C$10)*E16</f>
        <v>0.005</v>
      </c>
      <c r="F19" s="54" t="n">
        <f aca="false">Assumptions!$C$103*MIN(1,(F$4-Assumptions!$C$98+1)/Assumptions!$C$10)*F16</f>
        <v>0.00666666666666667</v>
      </c>
      <c r="G19" s="54" t="n">
        <f aca="false">Assumptions!$C$103*MIN(1,(G$4-Assumptions!$C$98+1)/Assumptions!$C$10)*G16</f>
        <v>0.00833333333333333</v>
      </c>
      <c r="H19" s="54" t="n">
        <f aca="false">Assumptions!$C$103*MIN(1,(H$4-Assumptions!$C$98+1)/Assumptions!$C$10)*H16</f>
        <v>0.01</v>
      </c>
      <c r="I19" s="54" t="n">
        <f aca="false">Assumptions!$C$103*MIN(1,(I$4-Assumptions!$C$98+1)/Assumptions!$C$10)*I16</f>
        <v>0.01</v>
      </c>
      <c r="J19" s="54" t="n">
        <f aca="false">Assumptions!$C$103*MIN(1,(J$4-Assumptions!$C$98+1)/Assumptions!$C$10)*J16</f>
        <v>0.01</v>
      </c>
      <c r="K19" s="54" t="n">
        <f aca="false">Assumptions!$C$103*MIN(1,(K$4-Assumptions!$C$98+1)/Assumptions!$C$10)*K16</f>
        <v>0.01</v>
      </c>
      <c r="L19" s="54" t="n">
        <f aca="false">Assumptions!$C$103*MIN(1,(L$4-Assumptions!$C$98+1)/Assumptions!$C$10)*L16</f>
        <v>0.01</v>
      </c>
      <c r="M19" s="54" t="n">
        <f aca="false">Assumptions!$C$103*MIN(1,(M$4-Assumptions!$C$98+1)/Assumptions!$C$10)*M16</f>
        <v>0.01</v>
      </c>
      <c r="N19" s="54" t="n">
        <f aca="false">Assumptions!$C$103*MIN(1,(N$4-Assumptions!$C$98+1)/Assumptions!$C$10)*N16</f>
        <v>0.01</v>
      </c>
      <c r="O19" s="54" t="n">
        <f aca="false">Assumptions!$C$103*MIN(1,(O$4-Assumptions!$C$98+1)/Assumptions!$C$10)*O16</f>
        <v>0.01</v>
      </c>
      <c r="P19" s="54" t="n">
        <f aca="false">Assumptions!$C$103*MIN(1,(P$4-Assumptions!$C$98+1)/Assumptions!$C$10)*P16</f>
        <v>0.01</v>
      </c>
      <c r="Q19" s="54" t="n">
        <f aca="false">Assumptions!$C$103*MIN(1,(Q$4-Assumptions!$C$98+1)/Assumptions!$C$10)*Q16</f>
        <v>0.01</v>
      </c>
      <c r="R19" s="54" t="n">
        <f aca="false">Assumptions!$C$103*MIN(1,(R$4-Assumptions!$C$98+1)/Assumptions!$C$10)*R16</f>
        <v>0.01</v>
      </c>
      <c r="S19" s="54" t="n">
        <f aca="false">Assumptions!$C$103*MIN(1,(S$4-Assumptions!$C$98+1)/Assumptions!$C$10)*S16</f>
        <v>0.01</v>
      </c>
      <c r="T19" s="54" t="n">
        <f aca="false">Assumptions!$C$103*MIN(1,(T$4-Assumptions!$C$98+1)/Assumptions!$C$10)*T16</f>
        <v>0.01</v>
      </c>
      <c r="U19" s="54" t="n">
        <f aca="false">Assumptions!$C$103*MIN(1,(U$4-Assumptions!$C$98+1)/Assumptions!$C$10)*U16</f>
        <v>0.01</v>
      </c>
      <c r="V19" s="54" t="n">
        <f aca="false">Assumptions!$C$103*MIN(1,(V$4-Assumptions!$C$98+1)/Assumptions!$C$10)*V16</f>
        <v>0.01</v>
      </c>
      <c r="W19" s="54" t="n">
        <f aca="false">Assumptions!$C$103*MIN(1,(W$4-Assumptions!$C$98+1)/Assumptions!$C$10)*W16</f>
        <v>0.01</v>
      </c>
      <c r="X19" s="54" t="n">
        <f aca="false">Assumptions!$C$103*MIN(1,(X$4-Assumptions!$C$98+1)/Assumptions!$C$10)*X16</f>
        <v>0.01</v>
      </c>
      <c r="Y19" s="54" t="n">
        <f aca="false">Assumptions!$C$103*MIN(1,(Y$4-Assumptions!$C$98+1)/Assumptions!$C$10)*Y16</f>
        <v>0.01</v>
      </c>
      <c r="Z19" s="54" t="n">
        <f aca="false">Assumptions!$C$103*MIN(1,(Z$4-Assumptions!$C$98+1)/Assumptions!$C$10)*Z16</f>
        <v>0.01</v>
      </c>
      <c r="AA19" s="54" t="n">
        <f aca="false">Assumptions!$C$103*MIN(1,(AA$4-Assumptions!$C$98+1)/Assumptions!$C$10)*AA16</f>
        <v>0.01</v>
      </c>
      <c r="AB19" s="54" t="n">
        <f aca="false">Assumptions!$C$103*MIN(1,(AB$4-Assumptions!$C$98+1)/Assumptions!$C$10)*AB16</f>
        <v>0.01</v>
      </c>
      <c r="AC19" s="54" t="n">
        <f aca="false">Assumptions!$C$103*MIN(1,(AC$4-Assumptions!$C$98+1)/Assumptions!$C$10)*AC16</f>
        <v>0.01</v>
      </c>
      <c r="AD19" s="54" t="n">
        <f aca="false">Assumptions!$C$103*MIN(1,(AD$4-Assumptions!$C$98+1)/Assumptions!$C$10)*AD16</f>
        <v>0.01</v>
      </c>
      <c r="AE19" s="54" t="n">
        <f aca="false">Assumptions!$C$103*MIN(1,(AE$4-Assumptions!$C$98+1)/Assumptions!$C$10)*AE16</f>
        <v>0.01</v>
      </c>
      <c r="AF19" s="54" t="n">
        <f aca="false">Assumptions!$C$103*MIN(1,(AF$4-Assumptions!$C$98+1)/Assumptions!$C$10)*AF16</f>
        <v>0.01</v>
      </c>
      <c r="AG19" s="54" t="n">
        <f aca="false">Assumptions!$C$103*MIN(1,(AG$4-Assumptions!$C$98+1)/Assumptions!$C$10)*AG16</f>
        <v>0.01</v>
      </c>
      <c r="AH19" s="54" t="n">
        <f aca="false">Assumptions!$C$103*MIN(1,(AH$4-Assumptions!$C$98+1)/Assumptions!$C$10)*AH16</f>
        <v>0.01</v>
      </c>
      <c r="AI19" s="54" t="n">
        <f aca="false">Assumptions!$C$103*MIN(1,(AI$4-Assumptions!$C$98+1)/Assumptions!$C$10)*AI16</f>
        <v>0.01</v>
      </c>
      <c r="AJ19" s="54" t="n">
        <f aca="false">Assumptions!$C$103*MIN(1,(AJ$4-Assumptions!$C$98+1)/Assumptions!$C$10)*AJ16</f>
        <v>0.01</v>
      </c>
      <c r="AK19" s="54" t="n">
        <f aca="false">Assumptions!$C$103*MIN(1,(AK$4-Assumptions!$C$98+1)/Assumptions!$C$10)*AK16</f>
        <v>0.01</v>
      </c>
      <c r="AL19" s="54" t="n">
        <f aca="false">Assumptions!$C$103*MIN(1,(AL$4-Assumptions!$C$98+1)/Assumptions!$C$10)*AL16</f>
        <v>0.01</v>
      </c>
    </row>
    <row r="20" customFormat="false" ht="15" hidden="false" customHeight="false" outlineLevel="0" collapsed="false">
      <c r="A20" s="7" t="s">
        <v>750</v>
      </c>
      <c r="B20" s="9" t="s">
        <v>751</v>
      </c>
      <c r="C20" s="55" t="n">
        <f aca="false">(C18-C58)*C19</f>
        <v>0.475</v>
      </c>
      <c r="D20" s="55" t="n">
        <f aca="false">(D18-D58)*D19</f>
        <v>1.404</v>
      </c>
      <c r="E20" s="55" t="n">
        <f aca="false">(E18-E58)*E19</f>
        <v>2.36196</v>
      </c>
      <c r="F20" s="55" t="n">
        <f aca="false">(F18-F58)*F19</f>
        <v>2.676888</v>
      </c>
      <c r="G20" s="55" t="n">
        <f aca="false">(G18-G58)*G19</f>
        <v>2.601935136</v>
      </c>
      <c r="H20" s="55" t="n">
        <f aca="false">(H18-H58)*H19</f>
        <v>3.74678659584</v>
      </c>
      <c r="I20" s="55" t="n">
        <f aca="false">(I18-I58)*I19</f>
        <v>4.24885599968256</v>
      </c>
      <c r="J20" s="55" t="n">
        <f aca="false">(J18-J58)*J19</f>
        <v>4.15173929111839</v>
      </c>
      <c r="K20" s="55" t="n">
        <f aca="false">(K18-K58)*K19</f>
        <v>4.7198720362188</v>
      </c>
      <c r="L20" s="55" t="n">
        <f aca="false">(L18-L58)*L19</f>
        <v>4.84258870916049</v>
      </c>
      <c r="M20" s="55" t="n">
        <f aca="false">(M18-M58)*M19</f>
        <v>4.67946993158877</v>
      </c>
      <c r="N20" s="55" t="n">
        <f aca="false">(N18-N58)*N19</f>
        <v>5.05382752611587</v>
      </c>
      <c r="O20" s="55" t="n">
        <f aca="false">(O18-O58)*O19</f>
        <v>5.87433128917939</v>
      </c>
      <c r="P20" s="55" t="n">
        <f aca="false">(P18-P58)*P19</f>
        <v>8.3601009504953</v>
      </c>
      <c r="Q20" s="55" t="n">
        <f aca="false">(Q18-Q58)*Q19</f>
        <v>9.02890902653492</v>
      </c>
      <c r="R20" s="55" t="n">
        <f aca="false">(R18-R58)*R19</f>
        <v>8.69450498851511</v>
      </c>
      <c r="S20" s="55" t="n">
        <f aca="false">(S18-S58)*S19</f>
        <v>6.51044533540012</v>
      </c>
      <c r="T20" s="55" t="n">
        <f aca="false">(T18-T58)*T19</f>
        <v>7.52318127646235</v>
      </c>
      <c r="U20" s="55" t="n">
        <f aca="false">(U18-U58)*U19</f>
        <v>8.21531395389689</v>
      </c>
      <c r="V20" s="55" t="n">
        <f aca="false">(V18-V58)*V19</f>
        <v>7.7302192251906</v>
      </c>
      <c r="W20" s="55" t="n">
        <f aca="false">(W18-W58)*W19</f>
        <v>8.46255578336655</v>
      </c>
      <c r="X20" s="55" t="n">
        <f aca="false">(X18-X58)*X19</f>
        <v>8.36100511396615</v>
      </c>
      <c r="Y20" s="55" t="n">
        <f aca="false">(Y18-Y58)*Y19</f>
        <v>7.78013528499587</v>
      </c>
      <c r="Z20" s="55" t="n">
        <f aca="false">(Z18-Z58)*Z19</f>
        <v>8.09134069639571</v>
      </c>
      <c r="AA20" s="55" t="n">
        <f aca="false">(AA18-AA58)*AA19</f>
        <v>9.22412839389111</v>
      </c>
      <c r="AB20" s="55" t="n">
        <f aca="false">(AB18-AB58)*AB19</f>
        <v>12.8749413161049</v>
      </c>
      <c r="AC20" s="55" t="n">
        <f aca="false">(AC18-AC58)*AC19</f>
        <v>13.6375339940588</v>
      </c>
      <c r="AD20" s="55" t="n">
        <f aca="false">(AD18-AD58)*AD19</f>
        <v>12.879893216611</v>
      </c>
      <c r="AE20" s="55" t="n">
        <f aca="false">(AE18-AE58)*AE19</f>
        <v>9.45899357827915</v>
      </c>
      <c r="AF20" s="55" t="n">
        <f aca="false">(AF18-AF58)*AF19</f>
        <v>10.7201927220497</v>
      </c>
      <c r="AG20" s="55" t="n">
        <f aca="false">(AG18-AG58)*AG19</f>
        <v>11.4813264053152</v>
      </c>
      <c r="AH20" s="55" t="n">
        <f aca="false">(AH18-AH58)*AH19</f>
        <v>10.5956240826195</v>
      </c>
      <c r="AI20" s="55" t="n">
        <f aca="false">(AI18-AI58)*AI19</f>
        <v>11.3763542781809</v>
      </c>
      <c r="AJ20" s="55" t="n">
        <f aca="false">(AJ18-AJ58)*AJ19</f>
        <v>11.0236872955573</v>
      </c>
      <c r="AK20" s="55" t="n">
        <f aca="false">(AK18-AK58)*AK19</f>
        <v>10.0605651423665</v>
      </c>
      <c r="AL20" s="55" t="n">
        <f aca="false">(AL18-AL58)*AL19</f>
        <v>10.2617764452139</v>
      </c>
      <c r="AM20" s="53" t="n">
        <f aca="false">SUMIF($C$6:$AL$6,1,C20:AL20)</f>
        <v>40.9629232257249</v>
      </c>
      <c r="AN20" s="53" t="n">
        <f aca="false">SUMIF($C$6:$AL$6,2,C20:AL20)</f>
        <v>94.632042924399</v>
      </c>
      <c r="AO20" s="53" t="n">
        <f aca="false">SUMIF($C$6:$AL$6,3,C20:AL20)</f>
        <v>133.595016870248</v>
      </c>
      <c r="AP20" s="53" t="n">
        <f aca="false">SUM(C20:AL20)</f>
        <v>269.189983020372</v>
      </c>
    </row>
    <row r="21" customFormat="false" ht="15" hidden="false" customHeight="false" outlineLevel="0" collapsed="false">
      <c r="A21" s="7" t="s">
        <v>752</v>
      </c>
      <c r="B21" s="9" t="s">
        <v>331</v>
      </c>
      <c r="C21" s="56" t="n">
        <f aca="false">C20*Assumptions!$C$104</f>
        <v>0.54625</v>
      </c>
      <c r="D21" s="56" t="n">
        <f aca="false">D20*Assumptions!$C$104</f>
        <v>1.6146</v>
      </c>
      <c r="E21" s="56" t="n">
        <f aca="false">E20*Assumptions!$C$104</f>
        <v>2.716254</v>
      </c>
      <c r="F21" s="56" t="n">
        <f aca="false">F20*Assumptions!$C$104</f>
        <v>3.0784212</v>
      </c>
      <c r="G21" s="56" t="n">
        <f aca="false">G20*Assumptions!$C$104</f>
        <v>2.9922254064</v>
      </c>
      <c r="H21" s="56" t="n">
        <f aca="false">H20*Assumptions!$C$104</f>
        <v>4.308804585216</v>
      </c>
      <c r="I21" s="56" t="n">
        <f aca="false">I20*Assumptions!$C$104</f>
        <v>4.88618439963494</v>
      </c>
      <c r="J21" s="56" t="n">
        <f aca="false">J20*Assumptions!$C$104</f>
        <v>4.77450018478615</v>
      </c>
      <c r="K21" s="56" t="n">
        <f aca="false">K20*Assumptions!$C$104</f>
        <v>5.42785284165162</v>
      </c>
      <c r="L21" s="56" t="n">
        <f aca="false">L20*Assumptions!$C$104</f>
        <v>5.56897701553456</v>
      </c>
      <c r="M21" s="56" t="n">
        <f aca="false">M20*Assumptions!$C$104</f>
        <v>5.38139042132708</v>
      </c>
      <c r="N21" s="56" t="n">
        <f aca="false">N20*Assumptions!$C$104</f>
        <v>5.81190165503325</v>
      </c>
      <c r="O21" s="56" t="n">
        <f aca="false">O20*Assumptions!$C$104</f>
        <v>6.7554809825563</v>
      </c>
      <c r="P21" s="56" t="n">
        <f aca="false">P20*Assumptions!$C$104</f>
        <v>9.61411609306959</v>
      </c>
      <c r="Q21" s="56" t="n">
        <f aca="false">Q20*Assumptions!$C$104</f>
        <v>10.3832453805152</v>
      </c>
      <c r="R21" s="56" t="n">
        <f aca="false">R20*Assumptions!$C$104</f>
        <v>9.99868073679238</v>
      </c>
      <c r="S21" s="56" t="n">
        <f aca="false">S20*Assumptions!$C$104</f>
        <v>7.48701213571013</v>
      </c>
      <c r="T21" s="56" t="n">
        <f aca="false">T20*Assumptions!$C$104</f>
        <v>8.65165846793171</v>
      </c>
      <c r="U21" s="56" t="n">
        <f aca="false">U20*Assumptions!$C$104</f>
        <v>9.44761104698143</v>
      </c>
      <c r="V21" s="56" t="n">
        <f aca="false">V20*Assumptions!$C$104</f>
        <v>8.88975210896919</v>
      </c>
      <c r="W21" s="56" t="n">
        <f aca="false">W20*Assumptions!$C$104</f>
        <v>9.73193915087153</v>
      </c>
      <c r="X21" s="56" t="n">
        <f aca="false">X20*Assumptions!$C$104</f>
        <v>9.61515588106107</v>
      </c>
      <c r="Y21" s="56" t="n">
        <f aca="false">Y20*Assumptions!$C$104</f>
        <v>8.94715557774525</v>
      </c>
      <c r="Z21" s="56" t="n">
        <f aca="false">Z20*Assumptions!$C$104</f>
        <v>9.30504180085506</v>
      </c>
      <c r="AA21" s="56" t="n">
        <f aca="false">AA20*Assumptions!$C$104</f>
        <v>10.6077476529748</v>
      </c>
      <c r="AB21" s="56" t="n">
        <f aca="false">AB20*Assumptions!$C$104</f>
        <v>14.8061825135206</v>
      </c>
      <c r="AC21" s="56" t="n">
        <f aca="false">AC20*Assumptions!$C$104</f>
        <v>15.6831640931676</v>
      </c>
      <c r="AD21" s="56" t="n">
        <f aca="false">AD20*Assumptions!$C$104</f>
        <v>14.8118771991027</v>
      </c>
      <c r="AE21" s="56" t="n">
        <f aca="false">AE20*Assumptions!$C$104</f>
        <v>10.877842615021</v>
      </c>
      <c r="AF21" s="56" t="n">
        <f aca="false">AF20*Assumptions!$C$104</f>
        <v>12.3282216303572</v>
      </c>
      <c r="AG21" s="56" t="n">
        <f aca="false">AG20*Assumptions!$C$104</f>
        <v>13.2035253661125</v>
      </c>
      <c r="AH21" s="56" t="n">
        <f aca="false">AH20*Assumptions!$C$104</f>
        <v>12.1849676950124</v>
      </c>
      <c r="AI21" s="56" t="n">
        <f aca="false">AI20*Assumptions!$C$104</f>
        <v>13.0828074199081</v>
      </c>
      <c r="AJ21" s="56" t="n">
        <f aca="false">AJ20*Assumptions!$C$104</f>
        <v>12.6772403898909</v>
      </c>
      <c r="AK21" s="56" t="n">
        <f aca="false">AK20*Assumptions!$C$104</f>
        <v>11.5696499137215</v>
      </c>
      <c r="AL21" s="56" t="n">
        <f aca="false">AL20*Assumptions!$C$104</f>
        <v>11.8010429119959</v>
      </c>
      <c r="AM21" s="53" t="n">
        <f aca="false">SUMIF($C$6:$AL$6,1,C21:AL21)</f>
        <v>47.1073617095836</v>
      </c>
      <c r="AN21" s="53" t="n">
        <f aca="false">SUMIF($C$6:$AL$6,2,C21:AL21)</f>
        <v>108.826849363059</v>
      </c>
      <c r="AO21" s="53" t="n">
        <f aca="false">SUMIF($C$6:$AL$6,3,C21:AL21)</f>
        <v>153.634269400785</v>
      </c>
      <c r="AP21" s="53" t="n">
        <f aca="false">SUM(C21:AL21)</f>
        <v>309.568480473428</v>
      </c>
    </row>
    <row r="22" customFormat="false" ht="15" hidden="false" customHeight="false" outlineLevel="0" collapsed="false">
      <c r="A22" s="7" t="s">
        <v>753</v>
      </c>
      <c r="B22" s="9" t="s">
        <v>93</v>
      </c>
      <c r="C22" s="15" t="n">
        <f aca="false">'Unit Economics'!$E$50*Assumptions!$C$104*C16</f>
        <v>10.495935</v>
      </c>
      <c r="D22" s="15" t="n">
        <f aca="false">'Unit Economics'!$E$50*Assumptions!$C$104*D16</f>
        <v>10.495935</v>
      </c>
      <c r="E22" s="15" t="n">
        <f aca="false">'Unit Economics'!$E$50*Assumptions!$C$104*E16</f>
        <v>10.495935</v>
      </c>
      <c r="F22" s="15" t="n">
        <f aca="false">'Unit Economics'!$E$50*Assumptions!$C$104*F16</f>
        <v>10.495935</v>
      </c>
      <c r="G22" s="15" t="n">
        <f aca="false">'Unit Economics'!$E$50*Assumptions!$C$104*G16</f>
        <v>10.495935</v>
      </c>
      <c r="H22" s="15" t="n">
        <f aca="false">'Unit Economics'!$E$50*Assumptions!$C$104*H16</f>
        <v>10.495935</v>
      </c>
      <c r="I22" s="15" t="n">
        <f aca="false">'Unit Economics'!$E$50*Assumptions!$C$104*I16</f>
        <v>10.495935</v>
      </c>
      <c r="J22" s="15" t="n">
        <f aca="false">'Unit Economics'!$E$50*Assumptions!$C$104*J16</f>
        <v>10.495935</v>
      </c>
      <c r="K22" s="15" t="n">
        <f aca="false">'Unit Economics'!$E$50*Assumptions!$C$104*K16</f>
        <v>10.495935</v>
      </c>
      <c r="L22" s="15" t="n">
        <f aca="false">'Unit Economics'!$E$50*Assumptions!$C$104*L16</f>
        <v>10.495935</v>
      </c>
      <c r="M22" s="15" t="n">
        <f aca="false">'Unit Economics'!$E$50*Assumptions!$C$104*M16</f>
        <v>10.495935</v>
      </c>
      <c r="N22" s="15" t="n">
        <f aca="false">'Unit Economics'!$E$50*Assumptions!$C$104*N16</f>
        <v>10.495935</v>
      </c>
      <c r="O22" s="15" t="n">
        <f aca="false">'Unit Economics'!$E$50*Assumptions!$C$104*O16</f>
        <v>10.495935</v>
      </c>
      <c r="P22" s="15" t="n">
        <f aca="false">'Unit Economics'!$E$50*Assumptions!$C$104*P16</f>
        <v>10.495935</v>
      </c>
      <c r="Q22" s="15" t="n">
        <f aca="false">'Unit Economics'!$E$50*Assumptions!$C$104*Q16</f>
        <v>10.495935</v>
      </c>
      <c r="R22" s="15" t="n">
        <f aca="false">'Unit Economics'!$E$50*Assumptions!$C$104*R16</f>
        <v>10.495935</v>
      </c>
      <c r="S22" s="15" t="n">
        <f aca="false">'Unit Economics'!$E$50*Assumptions!$C$104*S16</f>
        <v>10.495935</v>
      </c>
      <c r="T22" s="15" t="n">
        <f aca="false">'Unit Economics'!$E$50*Assumptions!$C$104*T16</f>
        <v>10.495935</v>
      </c>
      <c r="U22" s="15" t="n">
        <f aca="false">'Unit Economics'!$E$50*Assumptions!$C$104*U16</f>
        <v>10.495935</v>
      </c>
      <c r="V22" s="15" t="n">
        <f aca="false">'Unit Economics'!$E$50*Assumptions!$C$104*V16</f>
        <v>10.495935</v>
      </c>
      <c r="W22" s="15" t="n">
        <f aca="false">'Unit Economics'!$E$50*Assumptions!$C$104*W16</f>
        <v>10.495935</v>
      </c>
      <c r="X22" s="15" t="n">
        <f aca="false">'Unit Economics'!$E$50*Assumptions!$C$104*X16</f>
        <v>10.495935</v>
      </c>
      <c r="Y22" s="15" t="n">
        <f aca="false">'Unit Economics'!$E$50*Assumptions!$C$104*Y16</f>
        <v>10.495935</v>
      </c>
      <c r="Z22" s="15" t="n">
        <f aca="false">'Unit Economics'!$E$50*Assumptions!$C$104*Z16</f>
        <v>10.495935</v>
      </c>
      <c r="AA22" s="15" t="n">
        <f aca="false">'Unit Economics'!$E$50*Assumptions!$C$104*AA16</f>
        <v>10.495935</v>
      </c>
      <c r="AB22" s="15" t="n">
        <f aca="false">'Unit Economics'!$E$50*Assumptions!$C$104*AB16</f>
        <v>10.495935</v>
      </c>
      <c r="AC22" s="15" t="n">
        <f aca="false">'Unit Economics'!$E$50*Assumptions!$C$104*AC16</f>
        <v>10.495935</v>
      </c>
      <c r="AD22" s="15" t="n">
        <f aca="false">'Unit Economics'!$E$50*Assumptions!$C$104*AD16</f>
        <v>10.495935</v>
      </c>
      <c r="AE22" s="15" t="n">
        <f aca="false">'Unit Economics'!$E$50*Assumptions!$C$104*AE16</f>
        <v>10.495935</v>
      </c>
      <c r="AF22" s="15" t="n">
        <f aca="false">'Unit Economics'!$E$50*Assumptions!$C$104*AF16</f>
        <v>10.495935</v>
      </c>
      <c r="AG22" s="15" t="n">
        <f aca="false">'Unit Economics'!$E$50*Assumptions!$C$104*AG16</f>
        <v>10.495935</v>
      </c>
      <c r="AH22" s="15" t="n">
        <f aca="false">'Unit Economics'!$E$50*Assumptions!$C$104*AH16</f>
        <v>10.495935</v>
      </c>
      <c r="AI22" s="15" t="n">
        <f aca="false">'Unit Economics'!$E$50*Assumptions!$C$104*AI16</f>
        <v>10.495935</v>
      </c>
      <c r="AJ22" s="15" t="n">
        <f aca="false">'Unit Economics'!$E$50*Assumptions!$C$104*AJ16</f>
        <v>10.495935</v>
      </c>
      <c r="AK22" s="15" t="n">
        <f aca="false">'Unit Economics'!$E$50*Assumptions!$C$104*AK16</f>
        <v>10.495935</v>
      </c>
      <c r="AL22" s="15" t="n">
        <f aca="false">'Unit Economics'!$E$50*Assumptions!$C$104*AL16</f>
        <v>10.495935</v>
      </c>
    </row>
    <row r="23" customFormat="false" ht="15" hidden="false" customHeight="false" outlineLevel="0" collapsed="false">
      <c r="A23" s="7" t="s">
        <v>754</v>
      </c>
      <c r="B23" s="9" t="s">
        <v>93</v>
      </c>
      <c r="C23" s="8" t="n">
        <f aca="false">C21*'Unit Economics'!$E$50</f>
        <v>4.985569125</v>
      </c>
      <c r="D23" s="8" t="n">
        <f aca="false">D21*'Unit Economics'!$E$50</f>
        <v>14.73629274</v>
      </c>
      <c r="E23" s="8" t="n">
        <f aca="false">E21*'Unit Economics'!$E$50</f>
        <v>24.7909786326</v>
      </c>
      <c r="F23" s="8" t="n">
        <f aca="false">F21*'Unit Economics'!$E$50</f>
        <v>28.09644245028</v>
      </c>
      <c r="G23" s="8" t="n">
        <f aca="false">G21*'Unit Economics'!$E$50</f>
        <v>27.3097420616722</v>
      </c>
      <c r="H23" s="8" t="n">
        <f aca="false">H21*'Unit Economics'!$E$50</f>
        <v>39.3260285688079</v>
      </c>
      <c r="I23" s="8" t="n">
        <f aca="false">I21*'Unit Economics'!$E$50</f>
        <v>44.5957163970282</v>
      </c>
      <c r="J23" s="8" t="n">
        <f aca="false">J21*'Unit Economics'!$E$50</f>
        <v>43.5763857365247</v>
      </c>
      <c r="K23" s="8" t="n">
        <f aca="false">K21*'Unit Economics'!$E$50</f>
        <v>49.5394701004702</v>
      </c>
      <c r="L23" s="8" t="n">
        <f aca="false">L21*'Unit Economics'!$E$50</f>
        <v>50.8274963230824</v>
      </c>
      <c r="M23" s="8" t="n">
        <f aca="false">M21*'Unit Economics'!$E$50</f>
        <v>49.1154122364101</v>
      </c>
      <c r="N23" s="8" t="n">
        <f aca="false">N21*'Unit Economics'!$E$50</f>
        <v>53.044645215323</v>
      </c>
      <c r="O23" s="8" t="n">
        <f aca="false">O21*'Unit Economics'!$E$50</f>
        <v>61.6565993796931</v>
      </c>
      <c r="P23" s="8" t="n">
        <f aca="false">P21*'Unit Economics'!$E$50</f>
        <v>87.7470761698369</v>
      </c>
      <c r="Q23" s="8" t="n">
        <f aca="false">Q21*'Unit Economics'!$E$50</f>
        <v>94.7668422634238</v>
      </c>
      <c r="R23" s="8" t="n">
        <f aca="false">R21*'Unit Economics'!$E$50</f>
        <v>91.2569592166303</v>
      </c>
      <c r="S23" s="8" t="n">
        <f aca="false">S21*'Unit Economics'!$E$50</f>
        <v>68.3332110614128</v>
      </c>
      <c r="T23" s="8" t="n">
        <f aca="false">T21*'Unit Economics'!$E$50</f>
        <v>78.9628216709659</v>
      </c>
      <c r="U23" s="8" t="n">
        <f aca="false">U21*'Unit Economics'!$E$50</f>
        <v>86.2274012646948</v>
      </c>
      <c r="V23" s="8" t="n">
        <f aca="false">V21*'Unit Economics'!$E$50</f>
        <v>81.1358785233509</v>
      </c>
      <c r="W23" s="8" t="n">
        <f aca="false">W21*'Unit Economics'!$E$50</f>
        <v>88.8224354360894</v>
      </c>
      <c r="X23" s="8" t="n">
        <f aca="false">X21*'Unit Economics'!$E$50</f>
        <v>87.7565662108563</v>
      </c>
      <c r="Y23" s="8" t="n">
        <f aca="false">Y21*'Unit Economics'!$E$50</f>
        <v>81.6597942425232</v>
      </c>
      <c r="Z23" s="8" t="n">
        <f aca="false">Z21*'Unit Economics'!$E$50</f>
        <v>84.9261860122241</v>
      </c>
      <c r="AA23" s="8" t="n">
        <f aca="false">AA21*'Unit Economics'!$E$50</f>
        <v>96.8158520539354</v>
      </c>
      <c r="AB23" s="8" t="n">
        <f aca="false">AB21*'Unit Economics'!$E$50</f>
        <v>135.134547182651</v>
      </c>
      <c r="AC23" s="8" t="n">
        <f aca="false">AC21*'Unit Economics'!$E$50</f>
        <v>143.138670361931</v>
      </c>
      <c r="AD23" s="8" t="n">
        <f aca="false">AD21*'Unit Economics'!$E$50</f>
        <v>135.18652200849</v>
      </c>
      <c r="AE23" s="8" t="n">
        <f aca="false">AE21*'Unit Economics'!$E$50</f>
        <v>99.2809817630354</v>
      </c>
      <c r="AF23" s="8" t="n">
        <f aca="false">AF21*'Unit Economics'!$E$50</f>
        <v>112.518445998107</v>
      </c>
      <c r="AG23" s="8" t="n">
        <f aca="false">AG21*'Unit Economics'!$E$50</f>
        <v>120.507255663972</v>
      </c>
      <c r="AH23" s="8" t="n">
        <f aca="false">AH21*'Unit Economics'!$E$50</f>
        <v>111.210981655609</v>
      </c>
      <c r="AI23" s="8" t="n">
        <f aca="false">AI21*'Unit Economics'!$E$50</f>
        <v>119.405475040759</v>
      </c>
      <c r="AJ23" s="8" t="n">
        <f aca="false">AJ21*'Unit Economics'!$E$50</f>
        <v>115.703905314495</v>
      </c>
      <c r="AK23" s="8" t="n">
        <f aca="false">AK21*'Unit Economics'!$E$50</f>
        <v>105.595037797545</v>
      </c>
      <c r="AL23" s="8" t="n">
        <f aca="false">AL21*'Unit Economics'!$E$50</f>
        <v>107.706938553496</v>
      </c>
      <c r="AM23" s="45" t="n">
        <f aca="false">SUMIF($C$6:$AL$6,1,C23:AL23)</f>
        <v>429.944179587199</v>
      </c>
      <c r="AN23" s="45" t="n">
        <f aca="false">SUMIF($C$6:$AL$6,2,C23:AL23)</f>
        <v>993.251771451701</v>
      </c>
      <c r="AO23" s="45" t="n">
        <f aca="false">SUMIF($C$6:$AL$6,3,C23:AL23)</f>
        <v>1402.20461339403</v>
      </c>
      <c r="AP23" s="45" t="n">
        <f aca="false">SUM(C23:AL23)</f>
        <v>2825.40056443293</v>
      </c>
    </row>
    <row r="24" customFormat="false" ht="15" hidden="false" customHeight="false" outlineLevel="0" collapsed="false">
      <c r="A24" s="7" t="s">
        <v>755</v>
      </c>
      <c r="B24" s="9" t="s">
        <v>93</v>
      </c>
      <c r="C24" s="8" t="n">
        <f aca="false">C21*'Unit Economics'!$F$50</f>
        <v>4.440838737875</v>
      </c>
      <c r="D24" s="8" t="n">
        <f aca="false">D21*'Unit Economics'!$F$50</f>
        <v>13.12618439574</v>
      </c>
      <c r="E24" s="8" t="n">
        <f aca="false">E21*'Unit Economics'!$F$50</f>
        <v>22.0822809796026</v>
      </c>
      <c r="F24" s="8" t="n">
        <f aca="false">F21*'Unit Economics'!$F$50</f>
        <v>25.0265851102163</v>
      </c>
      <c r="G24" s="8" t="n">
        <f aca="false">G21*'Unit Economics'!$F$50</f>
        <v>24.3258407271302</v>
      </c>
      <c r="H24" s="8" t="n">
        <f aca="false">H21*'Unit Economics'!$F$50</f>
        <v>35.0292106470675</v>
      </c>
      <c r="I24" s="8" t="n">
        <f aca="false">I21*'Unit Economics'!$F$50</f>
        <v>39.7231248737746</v>
      </c>
      <c r="J24" s="8" t="n">
        <f aca="false">J21*'Unit Economics'!$F$50</f>
        <v>38.8151677338026</v>
      </c>
      <c r="K24" s="8" t="n">
        <f aca="false">K21*'Unit Economics'!$F$50</f>
        <v>44.1267170026387</v>
      </c>
      <c r="L24" s="8" t="n">
        <f aca="false">L21*'Unit Economics'!$F$50</f>
        <v>45.2740116447073</v>
      </c>
      <c r="M24" s="8" t="n">
        <f aca="false">M21*'Unit Economics'!$F$50</f>
        <v>43.7489923050961</v>
      </c>
      <c r="N24" s="8" t="n">
        <f aca="false">N21*'Unit Economics'!$F$50</f>
        <v>47.2489116895038</v>
      </c>
      <c r="O24" s="8" t="n">
        <f aca="false">O21*'Unit Economics'!$F$50</f>
        <v>54.9199114696821</v>
      </c>
      <c r="P24" s="8" t="n">
        <f aca="false">P21*'Unit Economics'!$F$50</f>
        <v>78.1597055863266</v>
      </c>
      <c r="Q24" s="8" t="n">
        <f aca="false">Q21*'Unit Economics'!$F$50</f>
        <v>84.4124820332327</v>
      </c>
      <c r="R24" s="8" t="n">
        <f aca="false">R21*'Unit Economics'!$F$50</f>
        <v>81.2860938097796</v>
      </c>
      <c r="S24" s="8" t="n">
        <f aca="false">S21*'Unit Economics'!$F$50</f>
        <v>60.867027044763</v>
      </c>
      <c r="T24" s="8" t="n">
        <f aca="false">T21*'Unit Economics'!$F$50</f>
        <v>70.3352312517261</v>
      </c>
      <c r="U24" s="8" t="n">
        <f aca="false">U21*'Unit Economics'!$F$50</f>
        <v>76.8060725268849</v>
      </c>
      <c r="V24" s="8" t="n">
        <f aca="false">V21*'Unit Economics'!$F$50</f>
        <v>72.2708568157736</v>
      </c>
      <c r="W24" s="8" t="n">
        <f aca="false">W21*'Unit Economics'!$F$50</f>
        <v>79.1175695667417</v>
      </c>
      <c r="X24" s="8" t="n">
        <f aca="false">X21*'Unit Economics'!$F$50</f>
        <v>78.1681587319408</v>
      </c>
      <c r="Y24" s="8" t="n">
        <f aca="false">Y21*'Unit Economics'!$F$50</f>
        <v>72.7375287568796</v>
      </c>
      <c r="Z24" s="8" t="n">
        <f aca="false">Z21*'Unit Economics'!$F$50</f>
        <v>75.6470299071548</v>
      </c>
      <c r="AA24" s="8" t="n">
        <f aca="false">AA21*'Unit Economics'!$F$50</f>
        <v>86.2376140941565</v>
      </c>
      <c r="AB24" s="8" t="n">
        <f aca="false">AB21*'Unit Economics'!$F$50</f>
        <v>120.369553988265</v>
      </c>
      <c r="AC24" s="8" t="n">
        <f aca="false">AC21*'Unit Economics'!$F$50</f>
        <v>127.499135262954</v>
      </c>
      <c r="AD24" s="8" t="n">
        <f aca="false">AD21*'Unit Economics'!$F$50</f>
        <v>120.415849970568</v>
      </c>
      <c r="AE24" s="8" t="n">
        <f aca="false">AE21*'Unit Economics'!$F$50</f>
        <v>88.4334002183851</v>
      </c>
      <c r="AF24" s="8" t="n">
        <f aca="false">AF21*'Unit Economics'!$F$50</f>
        <v>100.224520247503</v>
      </c>
      <c r="AG24" s="8" t="n">
        <f aca="false">AG21*'Unit Economics'!$F$50</f>
        <v>107.340461185076</v>
      </c>
      <c r="AH24" s="8" t="n">
        <f aca="false">AH21*'Unit Economics'!$F$50</f>
        <v>99.0599113222271</v>
      </c>
      <c r="AI24" s="8" t="n">
        <f aca="false">AI21*'Unit Economics'!$F$50</f>
        <v>106.359062682812</v>
      </c>
      <c r="AJ24" s="8" t="n">
        <f aca="false">AJ21*'Unit Economics'!$F$50</f>
        <v>103.061931739645</v>
      </c>
      <c r="AK24" s="8" t="n">
        <f aca="false">AK21*'Unit Economics'!$F$50</f>
        <v>94.0575734929182</v>
      </c>
      <c r="AL24" s="8" t="n">
        <f aca="false">AL21*'Unit Economics'!$F$50</f>
        <v>95.9387249627766</v>
      </c>
      <c r="AM24" s="45" t="n">
        <f aca="false">SUMIF($C$6:$AL$6,1,C24:AL24)</f>
        <v>382.967865847155</v>
      </c>
      <c r="AN24" s="45" t="n">
        <f aca="false">SUMIF($C$6:$AL$6,2,C24:AL24)</f>
        <v>884.727667500886</v>
      </c>
      <c r="AO24" s="45" t="n">
        <f aca="false">SUMIF($C$6:$AL$6,3,C24:AL24)</f>
        <v>1248.99773916729</v>
      </c>
      <c r="AP24" s="45" t="n">
        <f aca="false">SUM(C24:AL24)</f>
        <v>2516.69327251533</v>
      </c>
    </row>
    <row r="25" customFormat="false" ht="15" hidden="false" customHeight="false" outlineLevel="0" collapsed="false">
      <c r="A25" s="5" t="s">
        <v>561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</row>
    <row r="26" customFormat="false" ht="15" hidden="false" customHeight="false" outlineLevel="0" collapsed="false">
      <c r="A26" s="7" t="s">
        <v>746</v>
      </c>
      <c r="B26" s="9" t="s">
        <v>308</v>
      </c>
      <c r="C26" s="37" t="n">
        <f aca="false">IF(AND(Assumptions!$C$107=1,C$4&gt;=Assumptions!$C$108),1,0)</f>
        <v>1</v>
      </c>
      <c r="D26" s="37" t="n">
        <f aca="false">IF(AND(Assumptions!$C$107=1,D$4&gt;=Assumptions!$C$108),1,0)</f>
        <v>1</v>
      </c>
      <c r="E26" s="37" t="n">
        <f aca="false">IF(AND(Assumptions!$C$107=1,E$4&gt;=Assumptions!$C$108),1,0)</f>
        <v>1</v>
      </c>
      <c r="F26" s="37" t="n">
        <f aca="false">IF(AND(Assumptions!$C$107=1,F$4&gt;=Assumptions!$C$108),1,0)</f>
        <v>1</v>
      </c>
      <c r="G26" s="37" t="n">
        <f aca="false">IF(AND(Assumptions!$C$107=1,G$4&gt;=Assumptions!$C$108),1,0)</f>
        <v>1</v>
      </c>
      <c r="H26" s="37" t="n">
        <f aca="false">IF(AND(Assumptions!$C$107=1,H$4&gt;=Assumptions!$C$108),1,0)</f>
        <v>1</v>
      </c>
      <c r="I26" s="37" t="n">
        <f aca="false">IF(AND(Assumptions!$C$107=1,I$4&gt;=Assumptions!$C$108),1,0)</f>
        <v>1</v>
      </c>
      <c r="J26" s="37" t="n">
        <f aca="false">IF(AND(Assumptions!$C$107=1,J$4&gt;=Assumptions!$C$108),1,0)</f>
        <v>1</v>
      </c>
      <c r="K26" s="37" t="n">
        <f aca="false">IF(AND(Assumptions!$C$107=1,K$4&gt;=Assumptions!$C$108),1,0)</f>
        <v>1</v>
      </c>
      <c r="L26" s="37" t="n">
        <f aca="false">IF(AND(Assumptions!$C$107=1,L$4&gt;=Assumptions!$C$108),1,0)</f>
        <v>1</v>
      </c>
      <c r="M26" s="37" t="n">
        <f aca="false">IF(AND(Assumptions!$C$107=1,M$4&gt;=Assumptions!$C$108),1,0)</f>
        <v>1</v>
      </c>
      <c r="N26" s="37" t="n">
        <f aca="false">IF(AND(Assumptions!$C$107=1,N$4&gt;=Assumptions!$C$108),1,0)</f>
        <v>1</v>
      </c>
      <c r="O26" s="37" t="n">
        <f aca="false">IF(AND(Assumptions!$C$107=1,O$4&gt;=Assumptions!$C$108),1,0)</f>
        <v>1</v>
      </c>
      <c r="P26" s="37" t="n">
        <f aca="false">IF(AND(Assumptions!$C$107=1,P$4&gt;=Assumptions!$C$108),1,0)</f>
        <v>1</v>
      </c>
      <c r="Q26" s="37" t="n">
        <f aca="false">IF(AND(Assumptions!$C$107=1,Q$4&gt;=Assumptions!$C$108),1,0)</f>
        <v>1</v>
      </c>
      <c r="R26" s="37" t="n">
        <f aca="false">IF(AND(Assumptions!$C$107=1,R$4&gt;=Assumptions!$C$108),1,0)</f>
        <v>1</v>
      </c>
      <c r="S26" s="37" t="n">
        <f aca="false">IF(AND(Assumptions!$C$107=1,S$4&gt;=Assumptions!$C$108),1,0)</f>
        <v>1</v>
      </c>
      <c r="T26" s="37" t="n">
        <f aca="false">IF(AND(Assumptions!$C$107=1,T$4&gt;=Assumptions!$C$108),1,0)</f>
        <v>1</v>
      </c>
      <c r="U26" s="37" t="n">
        <f aca="false">IF(AND(Assumptions!$C$107=1,U$4&gt;=Assumptions!$C$108),1,0)</f>
        <v>1</v>
      </c>
      <c r="V26" s="37" t="n">
        <f aca="false">IF(AND(Assumptions!$C$107=1,V$4&gt;=Assumptions!$C$108),1,0)</f>
        <v>1</v>
      </c>
      <c r="W26" s="37" t="n">
        <f aca="false">IF(AND(Assumptions!$C$107=1,W$4&gt;=Assumptions!$C$108),1,0)</f>
        <v>1</v>
      </c>
      <c r="X26" s="37" t="n">
        <f aca="false">IF(AND(Assumptions!$C$107=1,X$4&gt;=Assumptions!$C$108),1,0)</f>
        <v>1</v>
      </c>
      <c r="Y26" s="37" t="n">
        <f aca="false">IF(AND(Assumptions!$C$107=1,Y$4&gt;=Assumptions!$C$108),1,0)</f>
        <v>1</v>
      </c>
      <c r="Z26" s="37" t="n">
        <f aca="false">IF(AND(Assumptions!$C$107=1,Z$4&gt;=Assumptions!$C$108),1,0)</f>
        <v>1</v>
      </c>
      <c r="AA26" s="37" t="n">
        <f aca="false">IF(AND(Assumptions!$C$107=1,AA$4&gt;=Assumptions!$C$108),1,0)</f>
        <v>1</v>
      </c>
      <c r="AB26" s="37" t="n">
        <f aca="false">IF(AND(Assumptions!$C$107=1,AB$4&gt;=Assumptions!$C$108),1,0)</f>
        <v>1</v>
      </c>
      <c r="AC26" s="37" t="n">
        <f aca="false">IF(AND(Assumptions!$C$107=1,AC$4&gt;=Assumptions!$C$108),1,0)</f>
        <v>1</v>
      </c>
      <c r="AD26" s="37" t="n">
        <f aca="false">IF(AND(Assumptions!$C$107=1,AD$4&gt;=Assumptions!$C$108),1,0)</f>
        <v>1</v>
      </c>
      <c r="AE26" s="37" t="n">
        <f aca="false">IF(AND(Assumptions!$C$107=1,AE$4&gt;=Assumptions!$C$108),1,0)</f>
        <v>1</v>
      </c>
      <c r="AF26" s="37" t="n">
        <f aca="false">IF(AND(Assumptions!$C$107=1,AF$4&gt;=Assumptions!$C$108),1,0)</f>
        <v>1</v>
      </c>
      <c r="AG26" s="37" t="n">
        <f aca="false">IF(AND(Assumptions!$C$107=1,AG$4&gt;=Assumptions!$C$108),1,0)</f>
        <v>1</v>
      </c>
      <c r="AH26" s="37" t="n">
        <f aca="false">IF(AND(Assumptions!$C$107=1,AH$4&gt;=Assumptions!$C$108),1,0)</f>
        <v>1</v>
      </c>
      <c r="AI26" s="37" t="n">
        <f aca="false">IF(AND(Assumptions!$C$107=1,AI$4&gt;=Assumptions!$C$108),1,0)</f>
        <v>1</v>
      </c>
      <c r="AJ26" s="37" t="n">
        <f aca="false">IF(AND(Assumptions!$C$107=1,AJ$4&gt;=Assumptions!$C$108),1,0)</f>
        <v>1</v>
      </c>
      <c r="AK26" s="37" t="n">
        <f aca="false">IF(AND(Assumptions!$C$107=1,AK$4&gt;=Assumptions!$C$108),1,0)</f>
        <v>1</v>
      </c>
      <c r="AL26" s="37" t="n">
        <f aca="false">IF(AND(Assumptions!$C$107=1,AL$4&gt;=Assumptions!$C$108),1,0)</f>
        <v>1</v>
      </c>
    </row>
    <row r="27" customFormat="false" ht="15" hidden="false" customHeight="false" outlineLevel="0" collapsed="false">
      <c r="A27" s="7" t="s">
        <v>747</v>
      </c>
      <c r="B27" s="9" t="s">
        <v>316</v>
      </c>
      <c r="C27" s="14" t="n">
        <f aca="false">IF(C26=0,0,Assumptions!$C$109)</f>
        <v>400</v>
      </c>
      <c r="D27" s="14" t="n">
        <f aca="false">IF(D26=0,0,IF(D$4=Assumptions!$C$108,Assumptions!$C$109,C27*(1+CHOOSE(D$6,Assumptions!$C$110,Assumptions!$C$111,Assumptions!$C$112))))</f>
        <v>432</v>
      </c>
      <c r="E27" s="14" t="n">
        <f aca="false">IF(E26=0,0,IF(E$4=Assumptions!$C$108,Assumptions!$C$109,D27*(1+CHOOSE(E$6,Assumptions!$C$110,Assumptions!$C$111,Assumptions!$C$112))))</f>
        <v>466.56</v>
      </c>
      <c r="F27" s="14" t="n">
        <f aca="false">IF(F26=0,0,IF(F$4=Assumptions!$C$108,Assumptions!$C$109,E27*(1+CHOOSE(F$6,Assumptions!$C$110,Assumptions!$C$111,Assumptions!$C$112))))</f>
        <v>503.8848</v>
      </c>
      <c r="G27" s="14" t="n">
        <f aca="false">IF(G26=0,0,IF(G$4=Assumptions!$C$108,Assumptions!$C$109,F27*(1+CHOOSE(G$6,Assumptions!$C$110,Assumptions!$C$111,Assumptions!$C$112))))</f>
        <v>544.195584</v>
      </c>
      <c r="H27" s="14" t="n">
        <f aca="false">IF(H26=0,0,IF(H$4=Assumptions!$C$108,Assumptions!$C$109,G27*(1+CHOOSE(H$6,Assumptions!$C$110,Assumptions!$C$111,Assumptions!$C$112))))</f>
        <v>587.73123072</v>
      </c>
      <c r="I27" s="14" t="n">
        <f aca="false">IF(I26=0,0,IF(I$4=Assumptions!$C$108,Assumptions!$C$109,H27*(1+CHOOSE(I$6,Assumptions!$C$110,Assumptions!$C$111,Assumptions!$C$112))))</f>
        <v>634.7497291776</v>
      </c>
      <c r="J27" s="14" t="n">
        <f aca="false">IF(J26=0,0,IF(J$4=Assumptions!$C$108,Assumptions!$C$109,I27*(1+CHOOSE(J$6,Assumptions!$C$110,Assumptions!$C$111,Assumptions!$C$112))))</f>
        <v>685.529707511808</v>
      </c>
      <c r="K27" s="14" t="n">
        <f aca="false">IF(K26=0,0,IF(K$4=Assumptions!$C$108,Assumptions!$C$109,J27*(1+CHOOSE(K$6,Assumptions!$C$110,Assumptions!$C$111,Assumptions!$C$112))))</f>
        <v>740.372084112753</v>
      </c>
      <c r="L27" s="14" t="n">
        <f aca="false">IF(L26=0,0,IF(L$4=Assumptions!$C$108,Assumptions!$C$109,K27*(1+CHOOSE(L$6,Assumptions!$C$110,Assumptions!$C$111,Assumptions!$C$112))))</f>
        <v>799.601850841773</v>
      </c>
      <c r="M27" s="14" t="n">
        <f aca="false">IF(M26=0,0,IF(M$4=Assumptions!$C$108,Assumptions!$C$109,L27*(1+CHOOSE(M$6,Assumptions!$C$110,Assumptions!$C$111,Assumptions!$C$112))))</f>
        <v>863.569998909115</v>
      </c>
      <c r="N27" s="14" t="n">
        <f aca="false">IF(N26=0,0,IF(N$4=Assumptions!$C$108,Assumptions!$C$109,M27*(1+CHOOSE(N$6,Assumptions!$C$110,Assumptions!$C$111,Assumptions!$C$112))))</f>
        <v>932.655598821845</v>
      </c>
      <c r="O27" s="14" t="n">
        <f aca="false">IF(O26=0,0,IF(O$4=Assumptions!$C$108,Assumptions!$C$109,N27*(1+CHOOSE(O$6,Assumptions!$C$110,Assumptions!$C$111,Assumptions!$C$112))))</f>
        <v>960.6352667865</v>
      </c>
      <c r="P27" s="14" t="n">
        <f aca="false">IF(P26=0,0,IF(P$4=Assumptions!$C$108,Assumptions!$C$109,O27*(1+CHOOSE(P$6,Assumptions!$C$110,Assumptions!$C$111,Assumptions!$C$112))))</f>
        <v>989.454324790095</v>
      </c>
      <c r="Q27" s="14" t="n">
        <f aca="false">IF(Q26=0,0,IF(Q$4=Assumptions!$C$108,Assumptions!$C$109,P27*(1+CHOOSE(Q$6,Assumptions!$C$110,Assumptions!$C$111,Assumptions!$C$112))))</f>
        <v>1019.1379545338</v>
      </c>
      <c r="R27" s="14" t="n">
        <f aca="false">IF(R26=0,0,IF(R$4=Assumptions!$C$108,Assumptions!$C$109,Q27*(1+CHOOSE(R$6,Assumptions!$C$110,Assumptions!$C$111,Assumptions!$C$112))))</f>
        <v>1049.71209316981</v>
      </c>
      <c r="S27" s="14" t="n">
        <f aca="false">IF(S26=0,0,IF(S$4=Assumptions!$C$108,Assumptions!$C$109,R27*(1+CHOOSE(S$6,Assumptions!$C$110,Assumptions!$C$111,Assumptions!$C$112))))</f>
        <v>1081.20345596491</v>
      </c>
      <c r="T27" s="14" t="n">
        <f aca="false">IF(T26=0,0,IF(T$4=Assumptions!$C$108,Assumptions!$C$109,S27*(1+CHOOSE(T$6,Assumptions!$C$110,Assumptions!$C$111,Assumptions!$C$112))))</f>
        <v>1113.63955964385</v>
      </c>
      <c r="U27" s="14" t="n">
        <f aca="false">IF(U26=0,0,IF(U$4=Assumptions!$C$108,Assumptions!$C$109,T27*(1+CHOOSE(U$6,Assumptions!$C$110,Assumptions!$C$111,Assumptions!$C$112))))</f>
        <v>1147.04874643317</v>
      </c>
      <c r="V27" s="14" t="n">
        <f aca="false">IF(V26=0,0,IF(V$4=Assumptions!$C$108,Assumptions!$C$109,U27*(1+CHOOSE(V$6,Assumptions!$C$110,Assumptions!$C$111,Assumptions!$C$112))))</f>
        <v>1181.46020882616</v>
      </c>
      <c r="W27" s="14" t="n">
        <f aca="false">IF(W26=0,0,IF(W$4=Assumptions!$C$108,Assumptions!$C$109,V27*(1+CHOOSE(W$6,Assumptions!$C$110,Assumptions!$C$111,Assumptions!$C$112))))</f>
        <v>1216.90401509095</v>
      </c>
      <c r="X27" s="14" t="n">
        <f aca="false">IF(X26=0,0,IF(X$4=Assumptions!$C$108,Assumptions!$C$109,W27*(1+CHOOSE(X$6,Assumptions!$C$110,Assumptions!$C$111,Assumptions!$C$112))))</f>
        <v>1253.41113554368</v>
      </c>
      <c r="Y27" s="14" t="n">
        <f aca="false">IF(Y26=0,0,IF(Y$4=Assumptions!$C$108,Assumptions!$C$109,X27*(1+CHOOSE(Y$6,Assumptions!$C$110,Assumptions!$C$111,Assumptions!$C$112))))</f>
        <v>1291.01346960999</v>
      </c>
      <c r="Z27" s="14" t="n">
        <f aca="false">IF(Z26=0,0,IF(Z$4=Assumptions!$C$108,Assumptions!$C$109,Y27*(1+CHOOSE(Z$6,Assumptions!$C$110,Assumptions!$C$111,Assumptions!$C$112))))</f>
        <v>1329.74387369829</v>
      </c>
      <c r="AA27" s="14" t="n">
        <f aca="false">IF(AA26=0,0,IF(AA$4=Assumptions!$C$108,Assumptions!$C$109,Z27*(1+CHOOSE(AA$6,Assumptions!$C$110,Assumptions!$C$111,Assumptions!$C$112))))</f>
        <v>1343.04131243527</v>
      </c>
      <c r="AB27" s="14" t="n">
        <f aca="false">IF(AB26=0,0,IF(AB$4=Assumptions!$C$108,Assumptions!$C$109,AA27*(1+CHOOSE(AB$6,Assumptions!$C$110,Assumptions!$C$111,Assumptions!$C$112))))</f>
        <v>1356.47172555962</v>
      </c>
      <c r="AC27" s="14" t="n">
        <f aca="false">IF(AC26=0,0,IF(AC$4=Assumptions!$C$108,Assumptions!$C$109,AB27*(1+CHOOSE(AC$6,Assumptions!$C$110,Assumptions!$C$111,Assumptions!$C$112))))</f>
        <v>1370.03644281522</v>
      </c>
      <c r="AD27" s="14" t="n">
        <f aca="false">IF(AD26=0,0,IF(AD$4=Assumptions!$C$108,Assumptions!$C$109,AC27*(1+CHOOSE(AD$6,Assumptions!$C$110,Assumptions!$C$111,Assumptions!$C$112))))</f>
        <v>1383.73680724337</v>
      </c>
      <c r="AE27" s="14" t="n">
        <f aca="false">IF(AE26=0,0,IF(AE$4=Assumptions!$C$108,Assumptions!$C$109,AD27*(1+CHOOSE(AE$6,Assumptions!$C$110,Assumptions!$C$111,Assumptions!$C$112))))</f>
        <v>1397.57417531581</v>
      </c>
      <c r="AF27" s="14" t="n">
        <f aca="false">IF(AF26=0,0,IF(AF$4=Assumptions!$C$108,Assumptions!$C$109,AE27*(1+CHOOSE(AF$6,Assumptions!$C$110,Assumptions!$C$111,Assumptions!$C$112))))</f>
        <v>1411.54991706896</v>
      </c>
      <c r="AG27" s="14" t="n">
        <f aca="false">IF(AG26=0,0,IF(AG$4=Assumptions!$C$108,Assumptions!$C$109,AF27*(1+CHOOSE(AG$6,Assumptions!$C$110,Assumptions!$C$111,Assumptions!$C$112))))</f>
        <v>1425.66541623965</v>
      </c>
      <c r="AH27" s="14" t="n">
        <f aca="false">IF(AH26=0,0,IF(AH$4=Assumptions!$C$108,Assumptions!$C$109,AG27*(1+CHOOSE(AH$6,Assumptions!$C$110,Assumptions!$C$111,Assumptions!$C$112))))</f>
        <v>1439.92207040205</v>
      </c>
      <c r="AI27" s="14" t="n">
        <f aca="false">IF(AI26=0,0,IF(AI$4=Assumptions!$C$108,Assumptions!$C$109,AH27*(1+CHOOSE(AI$6,Assumptions!$C$110,Assumptions!$C$111,Assumptions!$C$112))))</f>
        <v>1454.32129110607</v>
      </c>
      <c r="AJ27" s="14" t="n">
        <f aca="false">IF(AJ26=0,0,IF(AJ$4=Assumptions!$C$108,Assumptions!$C$109,AI27*(1+CHOOSE(AJ$6,Assumptions!$C$110,Assumptions!$C$111,Assumptions!$C$112))))</f>
        <v>1468.86450401713</v>
      </c>
      <c r="AK27" s="14" t="n">
        <f aca="false">IF(AK26=0,0,IF(AK$4=Assumptions!$C$108,Assumptions!$C$109,AJ27*(1+CHOOSE(AK$6,Assumptions!$C$110,Assumptions!$C$111,Assumptions!$C$112))))</f>
        <v>1483.5531490573</v>
      </c>
      <c r="AL27" s="14" t="n">
        <f aca="false">IF(AL26=0,0,IF(AL$4=Assumptions!$C$108,Assumptions!$C$109,AK27*(1+CHOOSE(AL$6,Assumptions!$C$110,Assumptions!$C$111,Assumptions!$C$112))))</f>
        <v>1498.38868054787</v>
      </c>
    </row>
    <row r="28" customFormat="false" ht="15" hidden="false" customHeight="false" outlineLevel="0" collapsed="false">
      <c r="A28" s="7" t="s">
        <v>756</v>
      </c>
      <c r="B28" s="9" t="s">
        <v>316</v>
      </c>
      <c r="C28" s="52" t="n">
        <f aca="false">C27*C$7</f>
        <v>380</v>
      </c>
      <c r="D28" s="52" t="n">
        <f aca="false">D27*D$7</f>
        <v>561.6</v>
      </c>
      <c r="E28" s="52" t="n">
        <f aca="false">E27*E$7</f>
        <v>629.856</v>
      </c>
      <c r="F28" s="52" t="n">
        <f aca="false">F27*F$7</f>
        <v>629.856</v>
      </c>
      <c r="G28" s="52" t="n">
        <f aca="false">G27*G$7</f>
        <v>489.7760256</v>
      </c>
      <c r="H28" s="52" t="n">
        <f aca="false">H27*H$7</f>
        <v>587.73123072</v>
      </c>
      <c r="I28" s="52" t="n">
        <f aca="false">I27*I$7</f>
        <v>666.48721563648</v>
      </c>
      <c r="J28" s="52" t="n">
        <f aca="false">J27*J$7</f>
        <v>651.253222136218</v>
      </c>
      <c r="K28" s="52" t="n">
        <f aca="false">K27*K$7</f>
        <v>740.372084112753</v>
      </c>
      <c r="L28" s="52" t="n">
        <f aca="false">L27*L$7</f>
        <v>759.621758299685</v>
      </c>
      <c r="M28" s="52" t="n">
        <f aca="false">M27*M$7</f>
        <v>734.034499072748</v>
      </c>
      <c r="N28" s="52" t="n">
        <f aca="false">N27*N$7</f>
        <v>792.757258998568</v>
      </c>
      <c r="O28" s="52" t="n">
        <f aca="false">O27*O$7</f>
        <v>912.603503447175</v>
      </c>
      <c r="P28" s="52" t="n">
        <f aca="false">P27*P$7</f>
        <v>1286.29062222712</v>
      </c>
      <c r="Q28" s="52" t="n">
        <f aca="false">Q27*Q$7</f>
        <v>1375.83623862063</v>
      </c>
      <c r="R28" s="52" t="n">
        <f aca="false">R27*R$7</f>
        <v>1312.14011646226</v>
      </c>
      <c r="S28" s="52" t="n">
        <f aca="false">S27*S$7</f>
        <v>973.083110368416</v>
      </c>
      <c r="T28" s="52" t="n">
        <f aca="false">T27*T$7</f>
        <v>1113.63955964385</v>
      </c>
      <c r="U28" s="52" t="n">
        <f aca="false">U27*U$7</f>
        <v>1204.40118375483</v>
      </c>
      <c r="V28" s="52" t="n">
        <f aca="false">V27*V$7</f>
        <v>1122.38719838486</v>
      </c>
      <c r="W28" s="52" t="n">
        <f aca="false">W27*W$7</f>
        <v>1216.90401509095</v>
      </c>
      <c r="X28" s="52" t="n">
        <f aca="false">X27*X$7</f>
        <v>1190.74057876649</v>
      </c>
      <c r="Y28" s="52" t="n">
        <f aca="false">Y27*Y$7</f>
        <v>1097.36144916849</v>
      </c>
      <c r="Z28" s="52" t="n">
        <f aca="false">Z27*Z$7</f>
        <v>1130.28229264354</v>
      </c>
      <c r="AA28" s="52" t="n">
        <f aca="false">AA27*AA$7</f>
        <v>1275.88924681351</v>
      </c>
      <c r="AB28" s="52" t="n">
        <f aca="false">AB27*AB$7</f>
        <v>1763.41324322751</v>
      </c>
      <c r="AC28" s="52" t="n">
        <f aca="false">AC27*AC$7</f>
        <v>1849.54919780055</v>
      </c>
      <c r="AD28" s="52" t="n">
        <f aca="false">AD27*AD$7</f>
        <v>1729.67100905421</v>
      </c>
      <c r="AE28" s="52" t="n">
        <f aca="false">AE27*AE$7</f>
        <v>1257.81675778422</v>
      </c>
      <c r="AF28" s="52" t="n">
        <f aca="false">AF27*AF$7</f>
        <v>1411.54991706896</v>
      </c>
      <c r="AG28" s="52" t="n">
        <f aca="false">AG27*AG$7</f>
        <v>1496.94868705164</v>
      </c>
      <c r="AH28" s="52" t="n">
        <f aca="false">AH27*AH$7</f>
        <v>1367.92596688195</v>
      </c>
      <c r="AI28" s="52" t="n">
        <f aca="false">AI27*AI$7</f>
        <v>1454.32129110607</v>
      </c>
      <c r="AJ28" s="52" t="n">
        <f aca="false">AJ27*AJ$7</f>
        <v>1395.42127881627</v>
      </c>
      <c r="AK28" s="52" t="n">
        <f aca="false">AK27*AK$7</f>
        <v>1261.02017669871</v>
      </c>
      <c r="AL28" s="52" t="n">
        <f aca="false">AL27*AL$7</f>
        <v>1273.63037846569</v>
      </c>
      <c r="AM28" s="53" t="n">
        <f aca="false">SUMIF($C$6:$AL$6,1,C28:AL28)</f>
        <v>7623.34529457645</v>
      </c>
      <c r="AN28" s="53" t="n">
        <f aca="false">SUMIF($C$6:$AL$6,2,C28:AL28)</f>
        <v>13935.6698685786</v>
      </c>
      <c r="AO28" s="53" t="n">
        <f aca="false">SUMIF($C$6:$AL$6,3,C28:AL28)</f>
        <v>17537.1571507693</v>
      </c>
      <c r="AP28" s="53" t="n">
        <f aca="false">SUM(C28:AL28)</f>
        <v>39096.1723139244</v>
      </c>
    </row>
    <row r="29" customFormat="false" ht="15" hidden="false" customHeight="false" outlineLevel="0" collapsed="false">
      <c r="A29" s="7" t="s">
        <v>749</v>
      </c>
      <c r="B29" s="9" t="s">
        <v>88</v>
      </c>
      <c r="C29" s="54" t="n">
        <f aca="false">Assumptions!$C$113*MIN(1,(C$4-Assumptions!$C$108+1)/Assumptions!$C$10)*C26</f>
        <v>0.00166666666666667</v>
      </c>
      <c r="D29" s="54" t="n">
        <f aca="false">Assumptions!$C$113*MIN(1,(D$4-Assumptions!$C$108+1)/Assumptions!$C$10)*D26</f>
        <v>0.00333333333333333</v>
      </c>
      <c r="E29" s="54" t="n">
        <f aca="false">Assumptions!$C$113*MIN(1,(E$4-Assumptions!$C$108+1)/Assumptions!$C$10)*E26</f>
        <v>0.005</v>
      </c>
      <c r="F29" s="54" t="n">
        <f aca="false">Assumptions!$C$113*MIN(1,(F$4-Assumptions!$C$108+1)/Assumptions!$C$10)*F26</f>
        <v>0.00666666666666667</v>
      </c>
      <c r="G29" s="54" t="n">
        <f aca="false">Assumptions!$C$113*MIN(1,(G$4-Assumptions!$C$108+1)/Assumptions!$C$10)*G26</f>
        <v>0.00833333333333333</v>
      </c>
      <c r="H29" s="54" t="n">
        <f aca="false">Assumptions!$C$113*MIN(1,(H$4-Assumptions!$C$108+1)/Assumptions!$C$10)*H26</f>
        <v>0.01</v>
      </c>
      <c r="I29" s="54" t="n">
        <f aca="false">Assumptions!$C$113*MIN(1,(I$4-Assumptions!$C$108+1)/Assumptions!$C$10)*I26</f>
        <v>0.01</v>
      </c>
      <c r="J29" s="54" t="n">
        <f aca="false">Assumptions!$C$113*MIN(1,(J$4-Assumptions!$C$108+1)/Assumptions!$C$10)*J26</f>
        <v>0.01</v>
      </c>
      <c r="K29" s="54" t="n">
        <f aca="false">Assumptions!$C$113*MIN(1,(K$4-Assumptions!$C$108+1)/Assumptions!$C$10)*K26</f>
        <v>0.01</v>
      </c>
      <c r="L29" s="54" t="n">
        <f aca="false">Assumptions!$C$113*MIN(1,(L$4-Assumptions!$C$108+1)/Assumptions!$C$10)*L26</f>
        <v>0.01</v>
      </c>
      <c r="M29" s="54" t="n">
        <f aca="false">Assumptions!$C$113*MIN(1,(M$4-Assumptions!$C$108+1)/Assumptions!$C$10)*M26</f>
        <v>0.01</v>
      </c>
      <c r="N29" s="54" t="n">
        <f aca="false">Assumptions!$C$113*MIN(1,(N$4-Assumptions!$C$108+1)/Assumptions!$C$10)*N26</f>
        <v>0.01</v>
      </c>
      <c r="O29" s="54" t="n">
        <f aca="false">Assumptions!$C$113*MIN(1,(O$4-Assumptions!$C$108+1)/Assumptions!$C$10)*O26</f>
        <v>0.01</v>
      </c>
      <c r="P29" s="54" t="n">
        <f aca="false">Assumptions!$C$113*MIN(1,(P$4-Assumptions!$C$108+1)/Assumptions!$C$10)*P26</f>
        <v>0.01</v>
      </c>
      <c r="Q29" s="54" t="n">
        <f aca="false">Assumptions!$C$113*MIN(1,(Q$4-Assumptions!$C$108+1)/Assumptions!$C$10)*Q26</f>
        <v>0.01</v>
      </c>
      <c r="R29" s="54" t="n">
        <f aca="false">Assumptions!$C$113*MIN(1,(R$4-Assumptions!$C$108+1)/Assumptions!$C$10)*R26</f>
        <v>0.01</v>
      </c>
      <c r="S29" s="54" t="n">
        <f aca="false">Assumptions!$C$113*MIN(1,(S$4-Assumptions!$C$108+1)/Assumptions!$C$10)*S26</f>
        <v>0.01</v>
      </c>
      <c r="T29" s="54" t="n">
        <f aca="false">Assumptions!$C$113*MIN(1,(T$4-Assumptions!$C$108+1)/Assumptions!$C$10)*T26</f>
        <v>0.01</v>
      </c>
      <c r="U29" s="54" t="n">
        <f aca="false">Assumptions!$C$113*MIN(1,(U$4-Assumptions!$C$108+1)/Assumptions!$C$10)*U26</f>
        <v>0.01</v>
      </c>
      <c r="V29" s="54" t="n">
        <f aca="false">Assumptions!$C$113*MIN(1,(V$4-Assumptions!$C$108+1)/Assumptions!$C$10)*V26</f>
        <v>0.01</v>
      </c>
      <c r="W29" s="54" t="n">
        <f aca="false">Assumptions!$C$113*MIN(1,(W$4-Assumptions!$C$108+1)/Assumptions!$C$10)*W26</f>
        <v>0.01</v>
      </c>
      <c r="X29" s="54" t="n">
        <f aca="false">Assumptions!$C$113*MIN(1,(X$4-Assumptions!$C$108+1)/Assumptions!$C$10)*X26</f>
        <v>0.01</v>
      </c>
      <c r="Y29" s="54" t="n">
        <f aca="false">Assumptions!$C$113*MIN(1,(Y$4-Assumptions!$C$108+1)/Assumptions!$C$10)*Y26</f>
        <v>0.01</v>
      </c>
      <c r="Z29" s="54" t="n">
        <f aca="false">Assumptions!$C$113*MIN(1,(Z$4-Assumptions!$C$108+1)/Assumptions!$C$10)*Z26</f>
        <v>0.01</v>
      </c>
      <c r="AA29" s="54" t="n">
        <f aca="false">Assumptions!$C$113*MIN(1,(AA$4-Assumptions!$C$108+1)/Assumptions!$C$10)*AA26</f>
        <v>0.01</v>
      </c>
      <c r="AB29" s="54" t="n">
        <f aca="false">Assumptions!$C$113*MIN(1,(AB$4-Assumptions!$C$108+1)/Assumptions!$C$10)*AB26</f>
        <v>0.01</v>
      </c>
      <c r="AC29" s="54" t="n">
        <f aca="false">Assumptions!$C$113*MIN(1,(AC$4-Assumptions!$C$108+1)/Assumptions!$C$10)*AC26</f>
        <v>0.01</v>
      </c>
      <c r="AD29" s="54" t="n">
        <f aca="false">Assumptions!$C$113*MIN(1,(AD$4-Assumptions!$C$108+1)/Assumptions!$C$10)*AD26</f>
        <v>0.01</v>
      </c>
      <c r="AE29" s="54" t="n">
        <f aca="false">Assumptions!$C$113*MIN(1,(AE$4-Assumptions!$C$108+1)/Assumptions!$C$10)*AE26</f>
        <v>0.01</v>
      </c>
      <c r="AF29" s="54" t="n">
        <f aca="false">Assumptions!$C$113*MIN(1,(AF$4-Assumptions!$C$108+1)/Assumptions!$C$10)*AF26</f>
        <v>0.01</v>
      </c>
      <c r="AG29" s="54" t="n">
        <f aca="false">Assumptions!$C$113*MIN(1,(AG$4-Assumptions!$C$108+1)/Assumptions!$C$10)*AG26</f>
        <v>0.01</v>
      </c>
      <c r="AH29" s="54" t="n">
        <f aca="false">Assumptions!$C$113*MIN(1,(AH$4-Assumptions!$C$108+1)/Assumptions!$C$10)*AH26</f>
        <v>0.01</v>
      </c>
      <c r="AI29" s="54" t="n">
        <f aca="false">Assumptions!$C$113*MIN(1,(AI$4-Assumptions!$C$108+1)/Assumptions!$C$10)*AI26</f>
        <v>0.01</v>
      </c>
      <c r="AJ29" s="54" t="n">
        <f aca="false">Assumptions!$C$113*MIN(1,(AJ$4-Assumptions!$C$108+1)/Assumptions!$C$10)*AJ26</f>
        <v>0.01</v>
      </c>
      <c r="AK29" s="54" t="n">
        <f aca="false">Assumptions!$C$113*MIN(1,(AK$4-Assumptions!$C$108+1)/Assumptions!$C$10)*AK26</f>
        <v>0.01</v>
      </c>
      <c r="AL29" s="54" t="n">
        <f aca="false">Assumptions!$C$113*MIN(1,(AL$4-Assumptions!$C$108+1)/Assumptions!$C$10)*AL26</f>
        <v>0.01</v>
      </c>
    </row>
    <row r="30" customFormat="false" ht="15" hidden="false" customHeight="false" outlineLevel="0" collapsed="false">
      <c r="A30" s="7" t="s">
        <v>757</v>
      </c>
      <c r="B30" s="9" t="s">
        <v>751</v>
      </c>
      <c r="C30" s="55" t="n">
        <f aca="false">C28*C29</f>
        <v>0.633333333333333</v>
      </c>
      <c r="D30" s="55" t="n">
        <f aca="false">D28*D29</f>
        <v>1.872</v>
      </c>
      <c r="E30" s="55" t="n">
        <f aca="false">E28*E29</f>
        <v>3.14928</v>
      </c>
      <c r="F30" s="55" t="n">
        <f aca="false">F28*F29</f>
        <v>4.19904</v>
      </c>
      <c r="G30" s="55" t="n">
        <f aca="false">G28*G29</f>
        <v>4.08146688</v>
      </c>
      <c r="H30" s="55" t="n">
        <f aca="false">H28*H29</f>
        <v>5.8773123072</v>
      </c>
      <c r="I30" s="55" t="n">
        <f aca="false">I28*I29</f>
        <v>6.6648721563648</v>
      </c>
      <c r="J30" s="55" t="n">
        <f aca="false">J28*J29</f>
        <v>6.51253222136218</v>
      </c>
      <c r="K30" s="55" t="n">
        <f aca="false">K28*K29</f>
        <v>7.40372084112753</v>
      </c>
      <c r="L30" s="55" t="n">
        <f aca="false">L28*L29</f>
        <v>7.59621758299685</v>
      </c>
      <c r="M30" s="55" t="n">
        <f aca="false">M28*M29</f>
        <v>7.34034499072748</v>
      </c>
      <c r="N30" s="55" t="n">
        <f aca="false">N28*N29</f>
        <v>7.92757258998568</v>
      </c>
      <c r="O30" s="55" t="n">
        <f aca="false">O28*O29</f>
        <v>9.12603503447175</v>
      </c>
      <c r="P30" s="55" t="n">
        <f aca="false">P28*P29</f>
        <v>12.8629062222712</v>
      </c>
      <c r="Q30" s="55" t="n">
        <f aca="false">Q28*Q29</f>
        <v>13.7583623862063</v>
      </c>
      <c r="R30" s="55" t="n">
        <f aca="false">R28*R29</f>
        <v>13.1214011646226</v>
      </c>
      <c r="S30" s="55" t="n">
        <f aca="false">S28*S29</f>
        <v>9.73083110368416</v>
      </c>
      <c r="T30" s="55" t="n">
        <f aca="false">T28*T29</f>
        <v>11.1363955964385</v>
      </c>
      <c r="U30" s="55" t="n">
        <f aca="false">U28*U29</f>
        <v>12.0440118375483</v>
      </c>
      <c r="V30" s="55" t="n">
        <f aca="false">V28*V29</f>
        <v>11.2238719838486</v>
      </c>
      <c r="W30" s="55" t="n">
        <f aca="false">W28*W29</f>
        <v>12.1690401509095</v>
      </c>
      <c r="X30" s="55" t="n">
        <f aca="false">X28*X29</f>
        <v>11.9074057876649</v>
      </c>
      <c r="Y30" s="55" t="n">
        <f aca="false">Y28*Y29</f>
        <v>10.9736144916849</v>
      </c>
      <c r="Z30" s="55" t="n">
        <f aca="false">Z28*Z29</f>
        <v>11.3028229264354</v>
      </c>
      <c r="AA30" s="55" t="n">
        <f aca="false">AA28*AA29</f>
        <v>12.7588924681351</v>
      </c>
      <c r="AB30" s="55" t="n">
        <f aca="false">AB28*AB29</f>
        <v>17.6341324322751</v>
      </c>
      <c r="AC30" s="55" t="n">
        <f aca="false">AC28*AC29</f>
        <v>18.4954919780055</v>
      </c>
      <c r="AD30" s="55" t="n">
        <f aca="false">AD28*AD29</f>
        <v>17.2967100905421</v>
      </c>
      <c r="AE30" s="55" t="n">
        <f aca="false">AE28*AE29</f>
        <v>12.5781675778422</v>
      </c>
      <c r="AF30" s="55" t="n">
        <f aca="false">AF28*AF29</f>
        <v>14.1154991706896</v>
      </c>
      <c r="AG30" s="55" t="n">
        <f aca="false">AG28*AG29</f>
        <v>14.9694868705164</v>
      </c>
      <c r="AH30" s="55" t="n">
        <f aca="false">AH28*AH29</f>
        <v>13.6792596688195</v>
      </c>
      <c r="AI30" s="55" t="n">
        <f aca="false">AI28*AI29</f>
        <v>14.5432129110607</v>
      </c>
      <c r="AJ30" s="55" t="n">
        <f aca="false">AJ28*AJ29</f>
        <v>13.9542127881627</v>
      </c>
      <c r="AK30" s="55" t="n">
        <f aca="false">AK28*AK29</f>
        <v>12.6102017669871</v>
      </c>
      <c r="AL30" s="55" t="n">
        <f aca="false">AL28*AL29</f>
        <v>12.7363037846569</v>
      </c>
      <c r="AM30" s="53" t="n">
        <f aca="false">SUMIF($C$6:$AL$6,1,C30:AL30)</f>
        <v>63.2576929030979</v>
      </c>
      <c r="AN30" s="53" t="n">
        <f aca="false">SUMIF($C$6:$AL$6,2,C30:AL30)</f>
        <v>139.356698685786</v>
      </c>
      <c r="AO30" s="53" t="n">
        <f aca="false">SUMIF($C$6:$AL$6,3,C30:AL30)</f>
        <v>175.371571507693</v>
      </c>
      <c r="AP30" s="53" t="n">
        <f aca="false">SUM(C30:AL30)</f>
        <v>377.985963096577</v>
      </c>
    </row>
    <row r="31" customFormat="false" ht="15" hidden="false" customHeight="false" outlineLevel="0" collapsed="false">
      <c r="A31" s="7" t="s">
        <v>752</v>
      </c>
      <c r="B31" s="9" t="s">
        <v>331</v>
      </c>
      <c r="C31" s="56" t="n">
        <f aca="false">C30*Assumptions!$C$114</f>
        <v>0.696666666666667</v>
      </c>
      <c r="D31" s="56" t="n">
        <f aca="false">D30*Assumptions!$C$114</f>
        <v>2.0592</v>
      </c>
      <c r="E31" s="56" t="n">
        <f aca="false">E30*Assumptions!$C$114</f>
        <v>3.464208</v>
      </c>
      <c r="F31" s="56" t="n">
        <f aca="false">F30*Assumptions!$C$114</f>
        <v>4.618944</v>
      </c>
      <c r="G31" s="56" t="n">
        <f aca="false">G30*Assumptions!$C$114</f>
        <v>4.489613568</v>
      </c>
      <c r="H31" s="56" t="n">
        <f aca="false">H30*Assumptions!$C$114</f>
        <v>6.46504353792</v>
      </c>
      <c r="I31" s="56" t="n">
        <f aca="false">I30*Assumptions!$C$114</f>
        <v>7.33135937200128</v>
      </c>
      <c r="J31" s="56" t="n">
        <f aca="false">J30*Assumptions!$C$114</f>
        <v>7.1637854434984</v>
      </c>
      <c r="K31" s="56" t="n">
        <f aca="false">K30*Assumptions!$C$114</f>
        <v>8.14409292524028</v>
      </c>
      <c r="L31" s="56" t="n">
        <f aca="false">L30*Assumptions!$C$114</f>
        <v>8.35583934129653</v>
      </c>
      <c r="M31" s="56" t="n">
        <f aca="false">M30*Assumptions!$C$114</f>
        <v>8.07437948980023</v>
      </c>
      <c r="N31" s="56" t="n">
        <f aca="false">N30*Assumptions!$C$114</f>
        <v>8.72032984898425</v>
      </c>
      <c r="O31" s="56" t="n">
        <f aca="false">O30*Assumptions!$C$114</f>
        <v>10.0386385379189</v>
      </c>
      <c r="P31" s="56" t="n">
        <f aca="false">P30*Assumptions!$C$114</f>
        <v>14.1491968444984</v>
      </c>
      <c r="Q31" s="56" t="n">
        <f aca="false">Q30*Assumptions!$C$114</f>
        <v>15.1341986248269</v>
      </c>
      <c r="R31" s="56" t="n">
        <f aca="false">R30*Assumptions!$C$114</f>
        <v>14.4335412810849</v>
      </c>
      <c r="S31" s="56" t="n">
        <f aca="false">S30*Assumptions!$C$114</f>
        <v>10.7039142140526</v>
      </c>
      <c r="T31" s="56" t="n">
        <f aca="false">T30*Assumptions!$C$114</f>
        <v>12.2500351560824</v>
      </c>
      <c r="U31" s="56" t="n">
        <f aca="false">U30*Assumptions!$C$114</f>
        <v>13.2484130213031</v>
      </c>
      <c r="V31" s="56" t="n">
        <f aca="false">V30*Assumptions!$C$114</f>
        <v>12.3462591822334</v>
      </c>
      <c r="W31" s="56" t="n">
        <f aca="false">W30*Assumptions!$C$114</f>
        <v>13.3859441660004</v>
      </c>
      <c r="X31" s="56" t="n">
        <f aca="false">X30*Assumptions!$C$114</f>
        <v>13.0981463664314</v>
      </c>
      <c r="Y31" s="56" t="n">
        <f aca="false">Y30*Assumptions!$C$114</f>
        <v>12.0709759408534</v>
      </c>
      <c r="Z31" s="56" t="n">
        <f aca="false">Z30*Assumptions!$C$114</f>
        <v>12.433105219079</v>
      </c>
      <c r="AA31" s="56" t="n">
        <f aca="false">AA30*Assumptions!$C$114</f>
        <v>14.0347817149486</v>
      </c>
      <c r="AB31" s="56" t="n">
        <f aca="false">AB30*Assumptions!$C$114</f>
        <v>19.3975456755026</v>
      </c>
      <c r="AC31" s="56" t="n">
        <f aca="false">AC30*Assumptions!$C$114</f>
        <v>20.345041175806</v>
      </c>
      <c r="AD31" s="56" t="n">
        <f aca="false">AD30*Assumptions!$C$114</f>
        <v>19.0263810995964</v>
      </c>
      <c r="AE31" s="56" t="n">
        <f aca="false">AE30*Assumptions!$C$114</f>
        <v>13.8359843356265</v>
      </c>
      <c r="AF31" s="56" t="n">
        <f aca="false">AF30*Assumptions!$C$114</f>
        <v>15.5270490877586</v>
      </c>
      <c r="AG31" s="56" t="n">
        <f aca="false">AG30*Assumptions!$C$114</f>
        <v>16.466435557568</v>
      </c>
      <c r="AH31" s="56" t="n">
        <f aca="false">AH30*Assumptions!$C$114</f>
        <v>15.0471856357014</v>
      </c>
      <c r="AI31" s="56" t="n">
        <f aca="false">AI30*Assumptions!$C$114</f>
        <v>15.9975342021668</v>
      </c>
      <c r="AJ31" s="56" t="n">
        <f aca="false">AJ30*Assumptions!$C$114</f>
        <v>15.349634066979</v>
      </c>
      <c r="AK31" s="56" t="n">
        <f aca="false">AK30*Assumptions!$C$114</f>
        <v>13.8712219436858</v>
      </c>
      <c r="AL31" s="56" t="n">
        <f aca="false">AL30*Assumptions!$C$114</f>
        <v>14.0099341631226</v>
      </c>
      <c r="AM31" s="53" t="n">
        <f aca="false">SUMIF($C$6:$AL$6,1,C31:AL31)</f>
        <v>69.5834621934076</v>
      </c>
      <c r="AN31" s="53" t="n">
        <f aca="false">SUMIF($C$6:$AL$6,2,C31:AL31)</f>
        <v>153.292368554365</v>
      </c>
      <c r="AO31" s="53" t="n">
        <f aca="false">SUMIF($C$6:$AL$6,3,C31:AL31)</f>
        <v>192.908728658462</v>
      </c>
      <c r="AP31" s="53" t="n">
        <f aca="false">SUM(C31:AL31)</f>
        <v>415.784559406235</v>
      </c>
    </row>
    <row r="32" customFormat="false" ht="15" hidden="false" customHeight="false" outlineLevel="0" collapsed="false">
      <c r="A32" s="7" t="s">
        <v>753</v>
      </c>
      <c r="B32" s="9" t="s">
        <v>93</v>
      </c>
      <c r="C32" s="15" t="n">
        <f aca="false">'Unit Economics'!$E$51*Assumptions!$C$114*C26</f>
        <v>9.63835714285714</v>
      </c>
      <c r="D32" s="15" t="n">
        <f aca="false">'Unit Economics'!$E$51*Assumptions!$C$114*D26</f>
        <v>9.63835714285714</v>
      </c>
      <c r="E32" s="15" t="n">
        <f aca="false">'Unit Economics'!$E$51*Assumptions!$C$114*E26</f>
        <v>9.63835714285714</v>
      </c>
      <c r="F32" s="15" t="n">
        <f aca="false">'Unit Economics'!$E$51*Assumptions!$C$114*F26</f>
        <v>9.63835714285714</v>
      </c>
      <c r="G32" s="15" t="n">
        <f aca="false">'Unit Economics'!$E$51*Assumptions!$C$114*G26</f>
        <v>9.63835714285714</v>
      </c>
      <c r="H32" s="15" t="n">
        <f aca="false">'Unit Economics'!$E$51*Assumptions!$C$114*H26</f>
        <v>9.63835714285714</v>
      </c>
      <c r="I32" s="15" t="n">
        <f aca="false">'Unit Economics'!$E$51*Assumptions!$C$114*I26</f>
        <v>9.63835714285714</v>
      </c>
      <c r="J32" s="15" t="n">
        <f aca="false">'Unit Economics'!$E$51*Assumptions!$C$114*J26</f>
        <v>9.63835714285714</v>
      </c>
      <c r="K32" s="15" t="n">
        <f aca="false">'Unit Economics'!$E$51*Assumptions!$C$114*K26</f>
        <v>9.63835714285714</v>
      </c>
      <c r="L32" s="15" t="n">
        <f aca="false">'Unit Economics'!$E$51*Assumptions!$C$114*L26</f>
        <v>9.63835714285714</v>
      </c>
      <c r="M32" s="15" t="n">
        <f aca="false">'Unit Economics'!$E$51*Assumptions!$C$114*M26</f>
        <v>9.63835714285714</v>
      </c>
      <c r="N32" s="15" t="n">
        <f aca="false">'Unit Economics'!$E$51*Assumptions!$C$114*N26</f>
        <v>9.63835714285714</v>
      </c>
      <c r="O32" s="15" t="n">
        <f aca="false">'Unit Economics'!$E$51*Assumptions!$C$114*O26</f>
        <v>9.63835714285714</v>
      </c>
      <c r="P32" s="15" t="n">
        <f aca="false">'Unit Economics'!$E$51*Assumptions!$C$114*P26</f>
        <v>9.63835714285714</v>
      </c>
      <c r="Q32" s="15" t="n">
        <f aca="false">'Unit Economics'!$E$51*Assumptions!$C$114*Q26</f>
        <v>9.63835714285714</v>
      </c>
      <c r="R32" s="15" t="n">
        <f aca="false">'Unit Economics'!$E$51*Assumptions!$C$114*R26</f>
        <v>9.63835714285714</v>
      </c>
      <c r="S32" s="15" t="n">
        <f aca="false">'Unit Economics'!$E$51*Assumptions!$C$114*S26</f>
        <v>9.63835714285714</v>
      </c>
      <c r="T32" s="15" t="n">
        <f aca="false">'Unit Economics'!$E$51*Assumptions!$C$114*T26</f>
        <v>9.63835714285714</v>
      </c>
      <c r="U32" s="15" t="n">
        <f aca="false">'Unit Economics'!$E$51*Assumptions!$C$114*U26</f>
        <v>9.63835714285714</v>
      </c>
      <c r="V32" s="15" t="n">
        <f aca="false">'Unit Economics'!$E$51*Assumptions!$C$114*V26</f>
        <v>9.63835714285714</v>
      </c>
      <c r="W32" s="15" t="n">
        <f aca="false">'Unit Economics'!$E$51*Assumptions!$C$114*W26</f>
        <v>9.63835714285714</v>
      </c>
      <c r="X32" s="15" t="n">
        <f aca="false">'Unit Economics'!$E$51*Assumptions!$C$114*X26</f>
        <v>9.63835714285714</v>
      </c>
      <c r="Y32" s="15" t="n">
        <f aca="false">'Unit Economics'!$E$51*Assumptions!$C$114*Y26</f>
        <v>9.63835714285714</v>
      </c>
      <c r="Z32" s="15" t="n">
        <f aca="false">'Unit Economics'!$E$51*Assumptions!$C$114*Z26</f>
        <v>9.63835714285714</v>
      </c>
      <c r="AA32" s="15" t="n">
        <f aca="false">'Unit Economics'!$E$51*Assumptions!$C$114*AA26</f>
        <v>9.63835714285714</v>
      </c>
      <c r="AB32" s="15" t="n">
        <f aca="false">'Unit Economics'!$E$51*Assumptions!$C$114*AB26</f>
        <v>9.63835714285714</v>
      </c>
      <c r="AC32" s="15" t="n">
        <f aca="false">'Unit Economics'!$E$51*Assumptions!$C$114*AC26</f>
        <v>9.63835714285714</v>
      </c>
      <c r="AD32" s="15" t="n">
        <f aca="false">'Unit Economics'!$E$51*Assumptions!$C$114*AD26</f>
        <v>9.63835714285714</v>
      </c>
      <c r="AE32" s="15" t="n">
        <f aca="false">'Unit Economics'!$E$51*Assumptions!$C$114*AE26</f>
        <v>9.63835714285714</v>
      </c>
      <c r="AF32" s="15" t="n">
        <f aca="false">'Unit Economics'!$E$51*Assumptions!$C$114*AF26</f>
        <v>9.63835714285714</v>
      </c>
      <c r="AG32" s="15" t="n">
        <f aca="false">'Unit Economics'!$E$51*Assumptions!$C$114*AG26</f>
        <v>9.63835714285714</v>
      </c>
      <c r="AH32" s="15" t="n">
        <f aca="false">'Unit Economics'!$E$51*Assumptions!$C$114*AH26</f>
        <v>9.63835714285714</v>
      </c>
      <c r="AI32" s="15" t="n">
        <f aca="false">'Unit Economics'!$E$51*Assumptions!$C$114*AI26</f>
        <v>9.63835714285714</v>
      </c>
      <c r="AJ32" s="15" t="n">
        <f aca="false">'Unit Economics'!$E$51*Assumptions!$C$114*AJ26</f>
        <v>9.63835714285714</v>
      </c>
      <c r="AK32" s="15" t="n">
        <f aca="false">'Unit Economics'!$E$51*Assumptions!$C$114*AK26</f>
        <v>9.63835714285714</v>
      </c>
      <c r="AL32" s="15" t="n">
        <f aca="false">'Unit Economics'!$E$51*Assumptions!$C$114*AL26</f>
        <v>9.63835714285714</v>
      </c>
    </row>
    <row r="33" customFormat="false" ht="15" hidden="false" customHeight="false" outlineLevel="0" collapsed="false">
      <c r="A33" s="7" t="s">
        <v>754</v>
      </c>
      <c r="B33" s="9" t="s">
        <v>93</v>
      </c>
      <c r="C33" s="8" t="n">
        <f aca="false">C31*'Unit Economics'!$E$51</f>
        <v>6.10429285714286</v>
      </c>
      <c r="D33" s="8" t="n">
        <f aca="false">D31*'Unit Economics'!$E$51</f>
        <v>18.0430045714286</v>
      </c>
      <c r="E33" s="8" t="n">
        <f aca="false">E31*'Unit Economics'!$E$51</f>
        <v>30.3538853828572</v>
      </c>
      <c r="F33" s="8" t="n">
        <f aca="false">F31*'Unit Economics'!$E$51</f>
        <v>40.4718471771429</v>
      </c>
      <c r="G33" s="8" t="n">
        <f aca="false">G31*'Unit Economics'!$E$51</f>
        <v>39.3386354561829</v>
      </c>
      <c r="H33" s="8" t="n">
        <f aca="false">H31*'Unit Economics'!$E$51</f>
        <v>56.6476350569033</v>
      </c>
      <c r="I33" s="8" t="n">
        <f aca="false">I31*'Unit Economics'!$E$51</f>
        <v>64.2384181545284</v>
      </c>
      <c r="J33" s="8" t="n">
        <f aca="false">J31*'Unit Economics'!$E$51</f>
        <v>62.7701114538535</v>
      </c>
      <c r="K33" s="8" t="n">
        <f aca="false">K31*'Unit Economics'!$E$51</f>
        <v>71.3597056528018</v>
      </c>
      <c r="L33" s="8" t="n">
        <f aca="false">L31*'Unit Economics'!$E$51</f>
        <v>73.2150579997747</v>
      </c>
      <c r="M33" s="8" t="n">
        <f aca="false">M31*'Unit Economics'!$E$51</f>
        <v>70.7488665724139</v>
      </c>
      <c r="N33" s="8" t="n">
        <f aca="false">N31*'Unit Economics'!$E$51</f>
        <v>76.408775898207</v>
      </c>
      <c r="O33" s="8" t="n">
        <f aca="false">O31*'Unit Economics'!$E$51</f>
        <v>87.9599849604653</v>
      </c>
      <c r="P33" s="8" t="n">
        <f aca="false">P31*'Unit Economics'!$E$51</f>
        <v>123.97728406533</v>
      </c>
      <c r="Q33" s="8" t="n">
        <f aca="false">Q31*'Unit Economics'!$E$51</f>
        <v>132.608010379108</v>
      </c>
      <c r="R33" s="8" t="n">
        <f aca="false">R31*'Unit Economics'!$E$51</f>
        <v>126.468750639335</v>
      </c>
      <c r="S33" s="8" t="n">
        <f aca="false">S31*'Unit Economics'!$E$51</f>
        <v>93.7892254741307</v>
      </c>
      <c r="T33" s="8" t="n">
        <f aca="false">T31*'Unit Economics'!$E$51</f>
        <v>107.336558042616</v>
      </c>
      <c r="U33" s="8" t="n">
        <f aca="false">U31*'Unit Economics'!$E$51</f>
        <v>116.084487523089</v>
      </c>
      <c r="V33" s="8" t="n">
        <f aca="false">V31*'Unit Economics'!$E$51</f>
        <v>108.179686706041</v>
      </c>
      <c r="W33" s="8" t="n">
        <f aca="false">W31*'Unit Economics'!$E$51</f>
        <v>117.289555060234</v>
      </c>
      <c r="X33" s="8" t="n">
        <f aca="false">X31*'Unit Economics'!$E$51</f>
        <v>114.767829626439</v>
      </c>
      <c r="Y33" s="8" t="n">
        <f aca="false">Y31*'Unit Economics'!$E$51</f>
        <v>105.767615618892</v>
      </c>
      <c r="Z33" s="8" t="n">
        <f aca="false">Z31*'Unit Economics'!$E$51</f>
        <v>108.940644087459</v>
      </c>
      <c r="AA33" s="8" t="n">
        <f aca="false">AA31*'Unit Economics'!$E$51</f>
        <v>122.974762355196</v>
      </c>
      <c r="AB33" s="8" t="n">
        <f aca="false">AB31*'Unit Economics'!$E$51</f>
        <v>169.964066286708</v>
      </c>
      <c r="AC33" s="8" t="n">
        <f aca="false">AC31*'Unit Economics'!$E$51</f>
        <v>178.266157216866</v>
      </c>
      <c r="AD33" s="8" t="n">
        <f aca="false">AD31*'Unit Economics'!$E$51</f>
        <v>166.711869249106</v>
      </c>
      <c r="AE33" s="8" t="n">
        <f aca="false">AE31*'Unit Economics'!$E$51</f>
        <v>121.23287131795</v>
      </c>
      <c r="AF33" s="8" t="n">
        <f aca="false">AF31*'Unit Economics'!$E$51</f>
        <v>136.05022225681</v>
      </c>
      <c r="AG33" s="8" t="n">
        <f aca="false">AG31*'Unit Economics'!$E$51</f>
        <v>144.281260703348</v>
      </c>
      <c r="AH33" s="8" t="n">
        <f aca="false">AH31*'Unit Economics'!$E$51</f>
        <v>131.845590137964</v>
      </c>
      <c r="AI33" s="8" t="n">
        <f aca="false">AI31*'Unit Economics'!$E$51</f>
        <v>140.172680041414</v>
      </c>
      <c r="AJ33" s="8" t="n">
        <f aca="false">AJ31*'Unit Economics'!$E$51</f>
        <v>134.495686499737</v>
      </c>
      <c r="AK33" s="8" t="n">
        <f aca="false">AK31*'Unit Economics'!$E$51</f>
        <v>121.54162827371</v>
      </c>
      <c r="AL33" s="8" t="n">
        <f aca="false">AL31*'Unit Economics'!$E$51</f>
        <v>122.757044556447</v>
      </c>
      <c r="AM33" s="45" t="n">
        <f aca="false">SUMIF($C$6:$AL$6,1,C33:AL33)</f>
        <v>609.700236233237</v>
      </c>
      <c r="AN33" s="45" t="n">
        <f aca="false">SUMIF($C$6:$AL$6,2,C33:AL33)</f>
        <v>1343.16963218314</v>
      </c>
      <c r="AO33" s="45" t="n">
        <f aca="false">SUMIF($C$6:$AL$6,3,C33:AL33)</f>
        <v>1690.29383889525</v>
      </c>
      <c r="AP33" s="45" t="n">
        <f aca="false">SUM(C33:AL33)</f>
        <v>3643.16370731163</v>
      </c>
    </row>
    <row r="34" customFormat="false" ht="15" hidden="false" customHeight="false" outlineLevel="0" collapsed="false">
      <c r="A34" s="7" t="s">
        <v>755</v>
      </c>
      <c r="B34" s="9" t="s">
        <v>93</v>
      </c>
      <c r="C34" s="8" t="n">
        <f aca="false">C31*'Unit Economics'!$F$51</f>
        <v>4.99723478571429</v>
      </c>
      <c r="D34" s="8" t="n">
        <f aca="false">D31*'Unit Economics'!$F$51</f>
        <v>14.7707739771429</v>
      </c>
      <c r="E34" s="8" t="n">
        <f aca="false">E31*'Unit Economics'!$F$51</f>
        <v>24.8489866830857</v>
      </c>
      <c r="F34" s="8" t="n">
        <f aca="false">F31*'Unit Economics'!$F$51</f>
        <v>33.1319822441143</v>
      </c>
      <c r="G34" s="8" t="n">
        <f aca="false">G31*'Unit Economics'!$F$51</f>
        <v>32.2042867412791</v>
      </c>
      <c r="H34" s="8" t="n">
        <f aca="false">H31*'Unit Economics'!$F$51</f>
        <v>46.3741729074419</v>
      </c>
      <c r="I34" s="8" t="n">
        <f aca="false">I31*'Unit Economics'!$F$51</f>
        <v>52.5883120770391</v>
      </c>
      <c r="J34" s="8" t="n">
        <f aca="false">J31*'Unit Economics'!$F$51</f>
        <v>51.3862935152782</v>
      </c>
      <c r="K34" s="8" t="n">
        <f aca="false">K31*'Unit Economics'!$F$51</f>
        <v>58.4181021015795</v>
      </c>
      <c r="L34" s="8" t="n">
        <f aca="false">L31*'Unit Economics'!$F$51</f>
        <v>59.9369727562205</v>
      </c>
      <c r="M34" s="8" t="n">
        <f aca="false">M31*'Unit Economics'!$F$51</f>
        <v>57.91804314759</v>
      </c>
      <c r="N34" s="8" t="n">
        <f aca="false">N31*'Unit Economics'!$F$51</f>
        <v>62.5514865993972</v>
      </c>
      <c r="O34" s="8" t="n">
        <f aca="false">O31*'Unit Economics'!$F$51</f>
        <v>72.0077995735413</v>
      </c>
      <c r="P34" s="8" t="n">
        <f aca="false">P31*'Unit Economics'!$F$51</f>
        <v>101.493098556812</v>
      </c>
      <c r="Q34" s="8" t="n">
        <f aca="false">Q31*'Unit Economics'!$F$51</f>
        <v>108.558579648652</v>
      </c>
      <c r="R34" s="8" t="n">
        <f aca="false">R31*'Unit Economics'!$F$51</f>
        <v>103.532719479733</v>
      </c>
      <c r="S34" s="8" t="n">
        <f aca="false">S31*'Unit Economics'!$F$51</f>
        <v>76.77986476617</v>
      </c>
      <c r="T34" s="8" t="n">
        <f aca="false">T31*'Unit Economics'!$F$51</f>
        <v>87.870289676839</v>
      </c>
      <c r="U34" s="8" t="n">
        <f aca="false">U31*'Unit Economics'!$F$51</f>
        <v>95.0317182855014</v>
      </c>
      <c r="V34" s="8" t="n">
        <f aca="false">V31*'Unit Economics'!$F$51</f>
        <v>88.5605108022506</v>
      </c>
      <c r="W34" s="8" t="n">
        <f aca="false">W31*'Unit Economics'!$F$51</f>
        <v>96.0182380277033</v>
      </c>
      <c r="X34" s="8" t="n">
        <f aca="false">X31*'Unit Economics'!$F$51</f>
        <v>93.9538459101077</v>
      </c>
      <c r="Y34" s="8" t="n">
        <f aca="false">Y31*'Unit Economics'!$F$51</f>
        <v>86.5858864150518</v>
      </c>
      <c r="Z34" s="8" t="n">
        <f aca="false">Z31*'Unit Economics'!$F$51</f>
        <v>89.1834630075034</v>
      </c>
      <c r="AA34" s="8" t="n">
        <f aca="false">AA31*'Unit Economics'!$F$51</f>
        <v>100.672391477294</v>
      </c>
      <c r="AB34" s="8" t="n">
        <f aca="false">AB31*'Unit Economics'!$F$51</f>
        <v>139.139842115459</v>
      </c>
      <c r="AC34" s="8" t="n">
        <f aca="false">AC31*'Unit Economics'!$F$51</f>
        <v>145.936288249561</v>
      </c>
      <c r="AD34" s="8" t="n">
        <f aca="false">AD31*'Unit Economics'!$F$51</f>
        <v>136.477454751904</v>
      </c>
      <c r="AE34" s="8" t="n">
        <f aca="false">AE31*'Unit Economics'!$F$51</f>
        <v>99.2464050955846</v>
      </c>
      <c r="AF34" s="8" t="n">
        <f aca="false">AF31*'Unit Economics'!$F$51</f>
        <v>111.376521273934</v>
      </c>
      <c r="AG34" s="8" t="n">
        <f aca="false">AG31*'Unit Economics'!$F$51</f>
        <v>118.114800811007</v>
      </c>
      <c r="AH34" s="8" t="n">
        <f aca="false">AH31*'Unit Economics'!$F$51</f>
        <v>107.934429883963</v>
      </c>
      <c r="AI34" s="8" t="n">
        <f aca="false">AI31*'Unit Economics'!$F$51</f>
        <v>114.751341245055</v>
      </c>
      <c r="AJ34" s="8" t="n">
        <f aca="false">AJ31*'Unit Economics'!$F$51</f>
        <v>110.103911924631</v>
      </c>
      <c r="AK34" s="8" t="n">
        <f aca="false">AK31*'Unit Economics'!$F$51</f>
        <v>99.4991667234687</v>
      </c>
      <c r="AL34" s="8" t="n">
        <f aca="false">AL31*'Unit Economics'!$F$51</f>
        <v>100.494158390703</v>
      </c>
      <c r="AM34" s="45" t="n">
        <f aca="false">SUMIF($C$6:$AL$6,1,C34:AL34)</f>
        <v>499.126647535883</v>
      </c>
      <c r="AN34" s="45" t="n">
        <f aca="false">SUMIF($C$6:$AL$6,2,C34:AL34)</f>
        <v>1099.57601414987</v>
      </c>
      <c r="AO34" s="45" t="n">
        <f aca="false">SUMIF($C$6:$AL$6,3,C34:AL34)</f>
        <v>1383.74671194256</v>
      </c>
      <c r="AP34" s="45" t="n">
        <f aca="false">SUM(C34:AL34)</f>
        <v>2982.44937362831</v>
      </c>
    </row>
    <row r="35" customFormat="false" ht="15" hidden="false" customHeight="false" outlineLevel="0" collapsed="false">
      <c r="A35" s="5" t="s">
        <v>562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</row>
    <row r="36" customFormat="false" ht="15" hidden="false" customHeight="false" outlineLevel="0" collapsed="false">
      <c r="A36" s="7" t="s">
        <v>746</v>
      </c>
      <c r="B36" s="9" t="s">
        <v>308</v>
      </c>
      <c r="C36" s="37" t="n">
        <f aca="false">IF(AND(Assumptions!$C$116=1,C$4&gt;=Assumptions!$C$117),1,0)</f>
        <v>0</v>
      </c>
      <c r="D36" s="37" t="n">
        <f aca="false">IF(AND(Assumptions!$C$116=1,D$4&gt;=Assumptions!$C$117),1,0)</f>
        <v>1</v>
      </c>
      <c r="E36" s="37" t="n">
        <f aca="false">IF(AND(Assumptions!$C$116=1,E$4&gt;=Assumptions!$C$117),1,0)</f>
        <v>1</v>
      </c>
      <c r="F36" s="37" t="n">
        <f aca="false">IF(AND(Assumptions!$C$116=1,F$4&gt;=Assumptions!$C$117),1,0)</f>
        <v>1</v>
      </c>
      <c r="G36" s="37" t="n">
        <f aca="false">IF(AND(Assumptions!$C$116=1,G$4&gt;=Assumptions!$C$117),1,0)</f>
        <v>1</v>
      </c>
      <c r="H36" s="37" t="n">
        <f aca="false">IF(AND(Assumptions!$C$116=1,H$4&gt;=Assumptions!$C$117),1,0)</f>
        <v>1</v>
      </c>
      <c r="I36" s="37" t="n">
        <f aca="false">IF(AND(Assumptions!$C$116=1,I$4&gt;=Assumptions!$C$117),1,0)</f>
        <v>1</v>
      </c>
      <c r="J36" s="37" t="n">
        <f aca="false">IF(AND(Assumptions!$C$116=1,J$4&gt;=Assumptions!$C$117),1,0)</f>
        <v>1</v>
      </c>
      <c r="K36" s="37" t="n">
        <f aca="false">IF(AND(Assumptions!$C$116=1,K$4&gt;=Assumptions!$C$117),1,0)</f>
        <v>1</v>
      </c>
      <c r="L36" s="37" t="n">
        <f aca="false">IF(AND(Assumptions!$C$116=1,L$4&gt;=Assumptions!$C$117),1,0)</f>
        <v>1</v>
      </c>
      <c r="M36" s="37" t="n">
        <f aca="false">IF(AND(Assumptions!$C$116=1,M$4&gt;=Assumptions!$C$117),1,0)</f>
        <v>1</v>
      </c>
      <c r="N36" s="37" t="n">
        <f aca="false">IF(AND(Assumptions!$C$116=1,N$4&gt;=Assumptions!$C$117),1,0)</f>
        <v>1</v>
      </c>
      <c r="O36" s="37" t="n">
        <f aca="false">IF(AND(Assumptions!$C$116=1,O$4&gt;=Assumptions!$C$117),1,0)</f>
        <v>1</v>
      </c>
      <c r="P36" s="37" t="n">
        <f aca="false">IF(AND(Assumptions!$C$116=1,P$4&gt;=Assumptions!$C$117),1,0)</f>
        <v>1</v>
      </c>
      <c r="Q36" s="37" t="n">
        <f aca="false">IF(AND(Assumptions!$C$116=1,Q$4&gt;=Assumptions!$C$117),1,0)</f>
        <v>1</v>
      </c>
      <c r="R36" s="37" t="n">
        <f aca="false">IF(AND(Assumptions!$C$116=1,R$4&gt;=Assumptions!$C$117),1,0)</f>
        <v>1</v>
      </c>
      <c r="S36" s="37" t="n">
        <f aca="false">IF(AND(Assumptions!$C$116=1,S$4&gt;=Assumptions!$C$117),1,0)</f>
        <v>1</v>
      </c>
      <c r="T36" s="37" t="n">
        <f aca="false">IF(AND(Assumptions!$C$116=1,T$4&gt;=Assumptions!$C$117),1,0)</f>
        <v>1</v>
      </c>
      <c r="U36" s="37" t="n">
        <f aca="false">IF(AND(Assumptions!$C$116=1,U$4&gt;=Assumptions!$C$117),1,0)</f>
        <v>1</v>
      </c>
      <c r="V36" s="37" t="n">
        <f aca="false">IF(AND(Assumptions!$C$116=1,V$4&gt;=Assumptions!$C$117),1,0)</f>
        <v>1</v>
      </c>
      <c r="W36" s="37" t="n">
        <f aca="false">IF(AND(Assumptions!$C$116=1,W$4&gt;=Assumptions!$C$117),1,0)</f>
        <v>1</v>
      </c>
      <c r="X36" s="37" t="n">
        <f aca="false">IF(AND(Assumptions!$C$116=1,X$4&gt;=Assumptions!$C$117),1,0)</f>
        <v>1</v>
      </c>
      <c r="Y36" s="37" t="n">
        <f aca="false">IF(AND(Assumptions!$C$116=1,Y$4&gt;=Assumptions!$C$117),1,0)</f>
        <v>1</v>
      </c>
      <c r="Z36" s="37" t="n">
        <f aca="false">IF(AND(Assumptions!$C$116=1,Z$4&gt;=Assumptions!$C$117),1,0)</f>
        <v>1</v>
      </c>
      <c r="AA36" s="37" t="n">
        <f aca="false">IF(AND(Assumptions!$C$116=1,AA$4&gt;=Assumptions!$C$117),1,0)</f>
        <v>1</v>
      </c>
      <c r="AB36" s="37" t="n">
        <f aca="false">IF(AND(Assumptions!$C$116=1,AB$4&gt;=Assumptions!$C$117),1,0)</f>
        <v>1</v>
      </c>
      <c r="AC36" s="37" t="n">
        <f aca="false">IF(AND(Assumptions!$C$116=1,AC$4&gt;=Assumptions!$C$117),1,0)</f>
        <v>1</v>
      </c>
      <c r="AD36" s="37" t="n">
        <f aca="false">IF(AND(Assumptions!$C$116=1,AD$4&gt;=Assumptions!$C$117),1,0)</f>
        <v>1</v>
      </c>
      <c r="AE36" s="37" t="n">
        <f aca="false">IF(AND(Assumptions!$C$116=1,AE$4&gt;=Assumptions!$C$117),1,0)</f>
        <v>1</v>
      </c>
      <c r="AF36" s="37" t="n">
        <f aca="false">IF(AND(Assumptions!$C$116=1,AF$4&gt;=Assumptions!$C$117),1,0)</f>
        <v>1</v>
      </c>
      <c r="AG36" s="37" t="n">
        <f aca="false">IF(AND(Assumptions!$C$116=1,AG$4&gt;=Assumptions!$C$117),1,0)</f>
        <v>1</v>
      </c>
      <c r="AH36" s="37" t="n">
        <f aca="false">IF(AND(Assumptions!$C$116=1,AH$4&gt;=Assumptions!$C$117),1,0)</f>
        <v>1</v>
      </c>
      <c r="AI36" s="37" t="n">
        <f aca="false">IF(AND(Assumptions!$C$116=1,AI$4&gt;=Assumptions!$C$117),1,0)</f>
        <v>1</v>
      </c>
      <c r="AJ36" s="37" t="n">
        <f aca="false">IF(AND(Assumptions!$C$116=1,AJ$4&gt;=Assumptions!$C$117),1,0)</f>
        <v>1</v>
      </c>
      <c r="AK36" s="37" t="n">
        <f aca="false">IF(AND(Assumptions!$C$116=1,AK$4&gt;=Assumptions!$C$117),1,0)</f>
        <v>1</v>
      </c>
      <c r="AL36" s="37" t="n">
        <f aca="false">IF(AND(Assumptions!$C$116=1,AL$4&gt;=Assumptions!$C$117),1,0)</f>
        <v>1</v>
      </c>
    </row>
    <row r="37" customFormat="false" ht="15" hidden="false" customHeight="false" outlineLevel="0" collapsed="false">
      <c r="A37" s="7" t="s">
        <v>747</v>
      </c>
      <c r="B37" s="9" t="s">
        <v>316</v>
      </c>
      <c r="C37" s="14" t="n">
        <f aca="false">IF(C36=0,0,Assumptions!$C$118)</f>
        <v>0</v>
      </c>
      <c r="D37" s="14" t="n">
        <f aca="false">IF(D36=0,0,IF(D$4=Assumptions!$C$117,Assumptions!$C$118,C37*(1+CHOOSE(D$6,Assumptions!$C$119,Assumptions!$C$120,Assumptions!$C$121))))</f>
        <v>300</v>
      </c>
      <c r="E37" s="14" t="n">
        <f aca="false">IF(E36=0,0,IF(E$4=Assumptions!$C$117,Assumptions!$C$118,D37*(1+CHOOSE(E$6,Assumptions!$C$119,Assumptions!$C$120,Assumptions!$C$121))))</f>
        <v>318</v>
      </c>
      <c r="F37" s="14" t="n">
        <f aca="false">IF(F36=0,0,IF(F$4=Assumptions!$C$117,Assumptions!$C$118,E37*(1+CHOOSE(F$6,Assumptions!$C$119,Assumptions!$C$120,Assumptions!$C$121))))</f>
        <v>337.08</v>
      </c>
      <c r="G37" s="14" t="n">
        <f aca="false">IF(G36=0,0,IF(G$4=Assumptions!$C$117,Assumptions!$C$118,F37*(1+CHOOSE(G$6,Assumptions!$C$119,Assumptions!$C$120,Assumptions!$C$121))))</f>
        <v>357.3048</v>
      </c>
      <c r="H37" s="14" t="n">
        <f aca="false">IF(H36=0,0,IF(H$4=Assumptions!$C$117,Assumptions!$C$118,G37*(1+CHOOSE(H$6,Assumptions!$C$119,Assumptions!$C$120,Assumptions!$C$121))))</f>
        <v>378.743088</v>
      </c>
      <c r="I37" s="14" t="n">
        <f aca="false">IF(I36=0,0,IF(I$4=Assumptions!$C$117,Assumptions!$C$118,H37*(1+CHOOSE(I$6,Assumptions!$C$119,Assumptions!$C$120,Assumptions!$C$121))))</f>
        <v>401.46767328</v>
      </c>
      <c r="J37" s="14" t="n">
        <f aca="false">IF(J36=0,0,IF(J$4=Assumptions!$C$117,Assumptions!$C$118,I37*(1+CHOOSE(J$6,Assumptions!$C$119,Assumptions!$C$120,Assumptions!$C$121))))</f>
        <v>425.5557336768</v>
      </c>
      <c r="K37" s="14" t="n">
        <f aca="false">IF(K36=0,0,IF(K$4=Assumptions!$C$117,Assumptions!$C$118,J37*(1+CHOOSE(K$6,Assumptions!$C$119,Assumptions!$C$120,Assumptions!$C$121))))</f>
        <v>451.089077697408</v>
      </c>
      <c r="L37" s="14" t="n">
        <f aca="false">IF(L36=0,0,IF(L$4=Assumptions!$C$117,Assumptions!$C$118,K37*(1+CHOOSE(L$6,Assumptions!$C$119,Assumptions!$C$120,Assumptions!$C$121))))</f>
        <v>478.154422359253</v>
      </c>
      <c r="M37" s="14" t="n">
        <f aca="false">IF(M36=0,0,IF(M$4=Assumptions!$C$117,Assumptions!$C$118,L37*(1+CHOOSE(M$6,Assumptions!$C$119,Assumptions!$C$120,Assumptions!$C$121))))</f>
        <v>506.843687700808</v>
      </c>
      <c r="N37" s="14" t="n">
        <f aca="false">IF(N36=0,0,IF(N$4=Assumptions!$C$117,Assumptions!$C$118,M37*(1+CHOOSE(N$6,Assumptions!$C$119,Assumptions!$C$120,Assumptions!$C$121))))</f>
        <v>537.254308962856</v>
      </c>
      <c r="O37" s="14" t="n">
        <f aca="false">IF(O36=0,0,IF(O$4=Assumptions!$C$117,Assumptions!$C$118,N37*(1+CHOOSE(O$6,Assumptions!$C$119,Assumptions!$C$120,Assumptions!$C$121))))</f>
        <v>553.371938231742</v>
      </c>
      <c r="P37" s="14" t="n">
        <f aca="false">IF(P36=0,0,IF(P$4=Assumptions!$C$117,Assumptions!$C$118,O37*(1+CHOOSE(P$6,Assumptions!$C$119,Assumptions!$C$120,Assumptions!$C$121))))</f>
        <v>569.973096378694</v>
      </c>
      <c r="Q37" s="14" t="n">
        <f aca="false">IF(Q36=0,0,IF(Q$4=Assumptions!$C$117,Assumptions!$C$118,P37*(1+CHOOSE(Q$6,Assumptions!$C$119,Assumptions!$C$120,Assumptions!$C$121))))</f>
        <v>587.072289270055</v>
      </c>
      <c r="R37" s="14" t="n">
        <f aca="false">IF(R36=0,0,IF(R$4=Assumptions!$C$117,Assumptions!$C$118,Q37*(1+CHOOSE(R$6,Assumptions!$C$119,Assumptions!$C$120,Assumptions!$C$121))))</f>
        <v>604.684457948157</v>
      </c>
      <c r="S37" s="14" t="n">
        <f aca="false">IF(S36=0,0,IF(S$4=Assumptions!$C$117,Assumptions!$C$118,R37*(1+CHOOSE(S$6,Assumptions!$C$119,Assumptions!$C$120,Assumptions!$C$121))))</f>
        <v>622.824991686602</v>
      </c>
      <c r="T37" s="14" t="n">
        <f aca="false">IF(T36=0,0,IF(T$4=Assumptions!$C$117,Assumptions!$C$118,S37*(1+CHOOSE(T$6,Assumptions!$C$119,Assumptions!$C$120,Assumptions!$C$121))))</f>
        <v>641.5097414372</v>
      </c>
      <c r="U37" s="14" t="n">
        <f aca="false">IF(U36=0,0,IF(U$4=Assumptions!$C$117,Assumptions!$C$118,T37*(1+CHOOSE(U$6,Assumptions!$C$119,Assumptions!$C$120,Assumptions!$C$121))))</f>
        <v>660.755033680316</v>
      </c>
      <c r="V37" s="14" t="n">
        <f aca="false">IF(V36=0,0,IF(V$4=Assumptions!$C$117,Assumptions!$C$118,U37*(1+CHOOSE(V$6,Assumptions!$C$119,Assumptions!$C$120,Assumptions!$C$121))))</f>
        <v>680.577684690725</v>
      </c>
      <c r="W37" s="14" t="n">
        <f aca="false">IF(W36=0,0,IF(W$4=Assumptions!$C$117,Assumptions!$C$118,V37*(1+CHOOSE(W$6,Assumptions!$C$119,Assumptions!$C$120,Assumptions!$C$121))))</f>
        <v>700.995015231447</v>
      </c>
      <c r="X37" s="14" t="n">
        <f aca="false">IF(X36=0,0,IF(X$4=Assumptions!$C$117,Assumptions!$C$118,W37*(1+CHOOSE(X$6,Assumptions!$C$119,Assumptions!$C$120,Assumptions!$C$121))))</f>
        <v>722.02486568839</v>
      </c>
      <c r="Y37" s="14" t="n">
        <f aca="false">IF(Y36=0,0,IF(Y$4=Assumptions!$C$117,Assumptions!$C$118,X37*(1+CHOOSE(Y$6,Assumptions!$C$119,Assumptions!$C$120,Assumptions!$C$121))))</f>
        <v>743.685611659042</v>
      </c>
      <c r="Z37" s="14" t="n">
        <f aca="false">IF(Z36=0,0,IF(Z$4=Assumptions!$C$117,Assumptions!$C$118,Y37*(1+CHOOSE(Z$6,Assumptions!$C$119,Assumptions!$C$120,Assumptions!$C$121))))</f>
        <v>765.996180008813</v>
      </c>
      <c r="AA37" s="14" t="n">
        <f aca="false">IF(AA36=0,0,IF(AA$4=Assumptions!$C$117,Assumptions!$C$118,Z37*(1+CHOOSE(AA$6,Assumptions!$C$119,Assumptions!$C$120,Assumptions!$C$121))))</f>
        <v>773.656141808901</v>
      </c>
      <c r="AB37" s="14" t="n">
        <f aca="false">IF(AB36=0,0,IF(AB$4=Assumptions!$C$117,Assumptions!$C$118,AA37*(1+CHOOSE(AB$6,Assumptions!$C$119,Assumptions!$C$120,Assumptions!$C$121))))</f>
        <v>781.39270322699</v>
      </c>
      <c r="AC37" s="14" t="n">
        <f aca="false">IF(AC36=0,0,IF(AC$4=Assumptions!$C$117,Assumptions!$C$118,AB37*(1+CHOOSE(AC$6,Assumptions!$C$119,Assumptions!$C$120,Assumptions!$C$121))))</f>
        <v>789.20663025926</v>
      </c>
      <c r="AD37" s="14" t="n">
        <f aca="false">IF(AD36=0,0,IF(AD$4=Assumptions!$C$117,Assumptions!$C$118,AC37*(1+CHOOSE(AD$6,Assumptions!$C$119,Assumptions!$C$120,Assumptions!$C$121))))</f>
        <v>797.098696561853</v>
      </c>
      <c r="AE37" s="14" t="n">
        <f aca="false">IF(AE36=0,0,IF(AE$4=Assumptions!$C$117,Assumptions!$C$118,AD37*(1+CHOOSE(AE$6,Assumptions!$C$119,Assumptions!$C$120,Assumptions!$C$121))))</f>
        <v>805.069683527471</v>
      </c>
      <c r="AF37" s="14" t="n">
        <f aca="false">IF(AF36=0,0,IF(AF$4=Assumptions!$C$117,Assumptions!$C$118,AE37*(1+CHOOSE(AF$6,Assumptions!$C$119,Assumptions!$C$120,Assumptions!$C$121))))</f>
        <v>813.120380362746</v>
      </c>
      <c r="AG37" s="14" t="n">
        <f aca="false">IF(AG36=0,0,IF(AG$4=Assumptions!$C$117,Assumptions!$C$118,AF37*(1+CHOOSE(AG$6,Assumptions!$C$119,Assumptions!$C$120,Assumptions!$C$121))))</f>
        <v>821.251584166374</v>
      </c>
      <c r="AH37" s="14" t="n">
        <f aca="false">IF(AH36=0,0,IF(AH$4=Assumptions!$C$117,Assumptions!$C$118,AG37*(1+CHOOSE(AH$6,Assumptions!$C$119,Assumptions!$C$120,Assumptions!$C$121))))</f>
        <v>829.464100008037</v>
      </c>
      <c r="AI37" s="14" t="n">
        <f aca="false">IF(AI36=0,0,IF(AI$4=Assumptions!$C$117,Assumptions!$C$118,AH37*(1+CHOOSE(AI$6,Assumptions!$C$119,Assumptions!$C$120,Assumptions!$C$121))))</f>
        <v>837.758741008118</v>
      </c>
      <c r="AJ37" s="14" t="n">
        <f aca="false">IF(AJ36=0,0,IF(AJ$4=Assumptions!$C$117,Assumptions!$C$118,AI37*(1+CHOOSE(AJ$6,Assumptions!$C$119,Assumptions!$C$120,Assumptions!$C$121))))</f>
        <v>846.136328418199</v>
      </c>
      <c r="AK37" s="14" t="n">
        <f aca="false">IF(AK36=0,0,IF(AK$4=Assumptions!$C$117,Assumptions!$C$118,AJ37*(1+CHOOSE(AK$6,Assumptions!$C$119,Assumptions!$C$120,Assumptions!$C$121))))</f>
        <v>854.597691702381</v>
      </c>
      <c r="AL37" s="14" t="n">
        <f aca="false">IF(AL36=0,0,IF(AL$4=Assumptions!$C$117,Assumptions!$C$118,AK37*(1+CHOOSE(AL$6,Assumptions!$C$119,Assumptions!$C$120,Assumptions!$C$121))))</f>
        <v>863.143668619405</v>
      </c>
    </row>
    <row r="38" customFormat="false" ht="15" hidden="false" customHeight="false" outlineLevel="0" collapsed="false">
      <c r="A38" s="7" t="s">
        <v>758</v>
      </c>
      <c r="B38" s="9" t="s">
        <v>316</v>
      </c>
      <c r="C38" s="52" t="n">
        <f aca="false">C37*C$7</f>
        <v>0</v>
      </c>
      <c r="D38" s="52" t="n">
        <f aca="false">D37*D$7</f>
        <v>390</v>
      </c>
      <c r="E38" s="52" t="n">
        <f aca="false">E37*E$7</f>
        <v>429.3</v>
      </c>
      <c r="F38" s="52" t="n">
        <f aca="false">F37*F$7</f>
        <v>421.35</v>
      </c>
      <c r="G38" s="52" t="n">
        <f aca="false">G37*G$7</f>
        <v>321.57432</v>
      </c>
      <c r="H38" s="52" t="n">
        <f aca="false">H37*H$7</f>
        <v>378.743088</v>
      </c>
      <c r="I38" s="52" t="n">
        <f aca="false">I37*I$7</f>
        <v>421.541056944</v>
      </c>
      <c r="J38" s="52" t="n">
        <f aca="false">J37*J$7</f>
        <v>404.27794699296</v>
      </c>
      <c r="K38" s="52" t="n">
        <f aca="false">K37*K$7</f>
        <v>451.089077697408</v>
      </c>
      <c r="L38" s="52" t="n">
        <f aca="false">L37*L$7</f>
        <v>454.24670124129</v>
      </c>
      <c r="M38" s="52" t="n">
        <f aca="false">M37*M$7</f>
        <v>430.817134545687</v>
      </c>
      <c r="N38" s="52" t="n">
        <f aca="false">N37*N$7</f>
        <v>456.666162618428</v>
      </c>
      <c r="O38" s="52" t="n">
        <f aca="false">O37*O$7</f>
        <v>525.703341320155</v>
      </c>
      <c r="P38" s="52" t="n">
        <f aca="false">P37*P$7</f>
        <v>740.965025292303</v>
      </c>
      <c r="Q38" s="52" t="n">
        <f aca="false">Q37*Q$7</f>
        <v>792.547590514575</v>
      </c>
      <c r="R38" s="52" t="n">
        <f aca="false">R37*R$7</f>
        <v>755.855572435196</v>
      </c>
      <c r="S38" s="52" t="n">
        <f aca="false">S37*S$7</f>
        <v>560.542492517941</v>
      </c>
      <c r="T38" s="52" t="n">
        <f aca="false">T37*T$7</f>
        <v>641.5097414372</v>
      </c>
      <c r="U38" s="52" t="n">
        <f aca="false">U37*U$7</f>
        <v>693.792785364331</v>
      </c>
      <c r="V38" s="52" t="n">
        <f aca="false">V37*V$7</f>
        <v>646.548800456189</v>
      </c>
      <c r="W38" s="52" t="n">
        <f aca="false">W37*W$7</f>
        <v>700.995015231447</v>
      </c>
      <c r="X38" s="52" t="n">
        <f aca="false">X37*X$7</f>
        <v>685.923622403971</v>
      </c>
      <c r="Y38" s="52" t="n">
        <f aca="false">Y37*Y$7</f>
        <v>632.132769910186</v>
      </c>
      <c r="Z38" s="52" t="n">
        <f aca="false">Z37*Z$7</f>
        <v>651.096753007491</v>
      </c>
      <c r="AA38" s="52" t="n">
        <f aca="false">AA37*AA$7</f>
        <v>734.973334718456</v>
      </c>
      <c r="AB38" s="52" t="n">
        <f aca="false">AB37*AB$7</f>
        <v>1015.81051419509</v>
      </c>
      <c r="AC38" s="52" t="n">
        <f aca="false">AC37*AC$7</f>
        <v>1065.42895085</v>
      </c>
      <c r="AD38" s="52" t="n">
        <f aca="false">AD37*AD$7</f>
        <v>996.373370702316</v>
      </c>
      <c r="AE38" s="52" t="n">
        <f aca="false">AE37*AE$7</f>
        <v>724.562715174724</v>
      </c>
      <c r="AF38" s="52" t="n">
        <f aca="false">AF37*AF$7</f>
        <v>813.120380362746</v>
      </c>
      <c r="AG38" s="52" t="n">
        <f aca="false">AG37*AG$7</f>
        <v>862.314163374692</v>
      </c>
      <c r="AH38" s="52" t="n">
        <f aca="false">AH37*AH$7</f>
        <v>787.990895007636</v>
      </c>
      <c r="AI38" s="52" t="n">
        <f aca="false">AI37*AI$7</f>
        <v>837.758741008118</v>
      </c>
      <c r="AJ38" s="52" t="n">
        <f aca="false">AJ37*AJ$7</f>
        <v>803.829511997289</v>
      </c>
      <c r="AK38" s="52" t="n">
        <f aca="false">AK37*AK$7</f>
        <v>726.408037947024</v>
      </c>
      <c r="AL38" s="52" t="n">
        <f aca="false">AL37*AL$7</f>
        <v>733.672118326494</v>
      </c>
      <c r="AM38" s="53" t="n">
        <f aca="false">SUMIF($C$6:$AL$6,1,C38:AL38)</f>
        <v>4559.60548803977</v>
      </c>
      <c r="AN38" s="53" t="n">
        <f aca="false">SUMIF($C$6:$AL$6,2,C38:AL38)</f>
        <v>8027.61350989098</v>
      </c>
      <c r="AO38" s="53" t="n">
        <f aca="false">SUMIF($C$6:$AL$6,3,C38:AL38)</f>
        <v>10102.2427336646</v>
      </c>
      <c r="AP38" s="53" t="n">
        <f aca="false">SUM(C38:AL38)</f>
        <v>22689.4617315953</v>
      </c>
    </row>
    <row r="39" customFormat="false" ht="15" hidden="false" customHeight="false" outlineLevel="0" collapsed="false">
      <c r="A39" s="7" t="s">
        <v>749</v>
      </c>
      <c r="B39" s="9" t="s">
        <v>88</v>
      </c>
      <c r="C39" s="54" t="n">
        <f aca="false">Assumptions!$C$122*MIN(1,(C$4-Assumptions!$C$117+1)/Assumptions!$C$10)*C36</f>
        <v>0</v>
      </c>
      <c r="D39" s="54" t="n">
        <f aca="false">Assumptions!$C$122*MIN(1,(D$4-Assumptions!$C$117+1)/Assumptions!$C$10)*D36</f>
        <v>0.005</v>
      </c>
      <c r="E39" s="54" t="n">
        <f aca="false">Assumptions!$C$122*MIN(1,(E$4-Assumptions!$C$117+1)/Assumptions!$C$10)*E36</f>
        <v>0.01</v>
      </c>
      <c r="F39" s="54" t="n">
        <f aca="false">Assumptions!$C$122*MIN(1,(F$4-Assumptions!$C$117+1)/Assumptions!$C$10)*F36</f>
        <v>0.015</v>
      </c>
      <c r="G39" s="54" t="n">
        <f aca="false">Assumptions!$C$122*MIN(1,(G$4-Assumptions!$C$117+1)/Assumptions!$C$10)*G36</f>
        <v>0.02</v>
      </c>
      <c r="H39" s="54" t="n">
        <f aca="false">Assumptions!$C$122*MIN(1,(H$4-Assumptions!$C$117+1)/Assumptions!$C$10)*H36</f>
        <v>0.025</v>
      </c>
      <c r="I39" s="54" t="n">
        <f aca="false">Assumptions!$C$122*MIN(1,(I$4-Assumptions!$C$117+1)/Assumptions!$C$10)*I36</f>
        <v>0.03</v>
      </c>
      <c r="J39" s="54" t="n">
        <f aca="false">Assumptions!$C$122*MIN(1,(J$4-Assumptions!$C$117+1)/Assumptions!$C$10)*J36</f>
        <v>0.03</v>
      </c>
      <c r="K39" s="54" t="n">
        <f aca="false">Assumptions!$C$122*MIN(1,(K$4-Assumptions!$C$117+1)/Assumptions!$C$10)*K36</f>
        <v>0.03</v>
      </c>
      <c r="L39" s="54" t="n">
        <f aca="false">Assumptions!$C$122*MIN(1,(L$4-Assumptions!$C$117+1)/Assumptions!$C$10)*L36</f>
        <v>0.03</v>
      </c>
      <c r="M39" s="54" t="n">
        <f aca="false">Assumptions!$C$122*MIN(1,(M$4-Assumptions!$C$117+1)/Assumptions!$C$10)*M36</f>
        <v>0.03</v>
      </c>
      <c r="N39" s="54" t="n">
        <f aca="false">Assumptions!$C$122*MIN(1,(N$4-Assumptions!$C$117+1)/Assumptions!$C$10)*N36</f>
        <v>0.03</v>
      </c>
      <c r="O39" s="54" t="n">
        <f aca="false">Assumptions!$C$122*MIN(1,(O$4-Assumptions!$C$117+1)/Assumptions!$C$10)*O36</f>
        <v>0.03</v>
      </c>
      <c r="P39" s="54" t="n">
        <f aca="false">Assumptions!$C$122*MIN(1,(P$4-Assumptions!$C$117+1)/Assumptions!$C$10)*P36</f>
        <v>0.03</v>
      </c>
      <c r="Q39" s="54" t="n">
        <f aca="false">Assumptions!$C$122*MIN(1,(Q$4-Assumptions!$C$117+1)/Assumptions!$C$10)*Q36</f>
        <v>0.03</v>
      </c>
      <c r="R39" s="54" t="n">
        <f aca="false">Assumptions!$C$122*MIN(1,(R$4-Assumptions!$C$117+1)/Assumptions!$C$10)*R36</f>
        <v>0.03</v>
      </c>
      <c r="S39" s="54" t="n">
        <f aca="false">Assumptions!$C$122*MIN(1,(S$4-Assumptions!$C$117+1)/Assumptions!$C$10)*S36</f>
        <v>0.03</v>
      </c>
      <c r="T39" s="54" t="n">
        <f aca="false">Assumptions!$C$122*MIN(1,(T$4-Assumptions!$C$117+1)/Assumptions!$C$10)*T36</f>
        <v>0.03</v>
      </c>
      <c r="U39" s="54" t="n">
        <f aca="false">Assumptions!$C$122*MIN(1,(U$4-Assumptions!$C$117+1)/Assumptions!$C$10)*U36</f>
        <v>0.03</v>
      </c>
      <c r="V39" s="54" t="n">
        <f aca="false">Assumptions!$C$122*MIN(1,(V$4-Assumptions!$C$117+1)/Assumptions!$C$10)*V36</f>
        <v>0.03</v>
      </c>
      <c r="W39" s="54" t="n">
        <f aca="false">Assumptions!$C$122*MIN(1,(W$4-Assumptions!$C$117+1)/Assumptions!$C$10)*W36</f>
        <v>0.03</v>
      </c>
      <c r="X39" s="54" t="n">
        <f aca="false">Assumptions!$C$122*MIN(1,(X$4-Assumptions!$C$117+1)/Assumptions!$C$10)*X36</f>
        <v>0.03</v>
      </c>
      <c r="Y39" s="54" t="n">
        <f aca="false">Assumptions!$C$122*MIN(1,(Y$4-Assumptions!$C$117+1)/Assumptions!$C$10)*Y36</f>
        <v>0.03</v>
      </c>
      <c r="Z39" s="54" t="n">
        <f aca="false">Assumptions!$C$122*MIN(1,(Z$4-Assumptions!$C$117+1)/Assumptions!$C$10)*Z36</f>
        <v>0.03</v>
      </c>
      <c r="AA39" s="54" t="n">
        <f aca="false">Assumptions!$C$122*MIN(1,(AA$4-Assumptions!$C$117+1)/Assumptions!$C$10)*AA36</f>
        <v>0.03</v>
      </c>
      <c r="AB39" s="54" t="n">
        <f aca="false">Assumptions!$C$122*MIN(1,(AB$4-Assumptions!$C$117+1)/Assumptions!$C$10)*AB36</f>
        <v>0.03</v>
      </c>
      <c r="AC39" s="54" t="n">
        <f aca="false">Assumptions!$C$122*MIN(1,(AC$4-Assumptions!$C$117+1)/Assumptions!$C$10)*AC36</f>
        <v>0.03</v>
      </c>
      <c r="AD39" s="54" t="n">
        <f aca="false">Assumptions!$C$122*MIN(1,(AD$4-Assumptions!$C$117+1)/Assumptions!$C$10)*AD36</f>
        <v>0.03</v>
      </c>
      <c r="AE39" s="54" t="n">
        <f aca="false">Assumptions!$C$122*MIN(1,(AE$4-Assumptions!$C$117+1)/Assumptions!$C$10)*AE36</f>
        <v>0.03</v>
      </c>
      <c r="AF39" s="54" t="n">
        <f aca="false">Assumptions!$C$122*MIN(1,(AF$4-Assumptions!$C$117+1)/Assumptions!$C$10)*AF36</f>
        <v>0.03</v>
      </c>
      <c r="AG39" s="54" t="n">
        <f aca="false">Assumptions!$C$122*MIN(1,(AG$4-Assumptions!$C$117+1)/Assumptions!$C$10)*AG36</f>
        <v>0.03</v>
      </c>
      <c r="AH39" s="54" t="n">
        <f aca="false">Assumptions!$C$122*MIN(1,(AH$4-Assumptions!$C$117+1)/Assumptions!$C$10)*AH36</f>
        <v>0.03</v>
      </c>
      <c r="AI39" s="54" t="n">
        <f aca="false">Assumptions!$C$122*MIN(1,(AI$4-Assumptions!$C$117+1)/Assumptions!$C$10)*AI36</f>
        <v>0.03</v>
      </c>
      <c r="AJ39" s="54" t="n">
        <f aca="false">Assumptions!$C$122*MIN(1,(AJ$4-Assumptions!$C$117+1)/Assumptions!$C$10)*AJ36</f>
        <v>0.03</v>
      </c>
      <c r="AK39" s="54" t="n">
        <f aca="false">Assumptions!$C$122*MIN(1,(AK$4-Assumptions!$C$117+1)/Assumptions!$C$10)*AK36</f>
        <v>0.03</v>
      </c>
      <c r="AL39" s="54" t="n">
        <f aca="false">Assumptions!$C$122*MIN(1,(AL$4-Assumptions!$C$117+1)/Assumptions!$C$10)*AL36</f>
        <v>0.03</v>
      </c>
    </row>
    <row r="40" customFormat="false" ht="15" hidden="false" customHeight="false" outlineLevel="0" collapsed="false">
      <c r="A40" s="7" t="s">
        <v>757</v>
      </c>
      <c r="B40" s="9" t="s">
        <v>751</v>
      </c>
      <c r="C40" s="55" t="n">
        <f aca="false">C38*C39</f>
        <v>0</v>
      </c>
      <c r="D40" s="55" t="n">
        <f aca="false">D38*D39</f>
        <v>1.95</v>
      </c>
      <c r="E40" s="55" t="n">
        <f aca="false">E38*E39</f>
        <v>4.293</v>
      </c>
      <c r="F40" s="55" t="n">
        <f aca="false">F38*F39</f>
        <v>6.32025</v>
      </c>
      <c r="G40" s="55" t="n">
        <f aca="false">G38*G39</f>
        <v>6.4314864</v>
      </c>
      <c r="H40" s="55" t="n">
        <f aca="false">H38*H39</f>
        <v>9.4685772</v>
      </c>
      <c r="I40" s="55" t="n">
        <f aca="false">I38*I39</f>
        <v>12.64623170832</v>
      </c>
      <c r="J40" s="55" t="n">
        <f aca="false">J38*J39</f>
        <v>12.1283384097888</v>
      </c>
      <c r="K40" s="55" t="n">
        <f aca="false">K38*K39</f>
        <v>13.5326723309222</v>
      </c>
      <c r="L40" s="55" t="n">
        <f aca="false">L38*L39</f>
        <v>13.6274010372387</v>
      </c>
      <c r="M40" s="55" t="n">
        <f aca="false">M38*M39</f>
        <v>12.9245140363706</v>
      </c>
      <c r="N40" s="55" t="n">
        <f aca="false">N38*N39</f>
        <v>13.6999848785528</v>
      </c>
      <c r="O40" s="55" t="n">
        <f aca="false">O38*O39</f>
        <v>15.7711002396047</v>
      </c>
      <c r="P40" s="55" t="n">
        <f aca="false">P38*P39</f>
        <v>22.2289507587691</v>
      </c>
      <c r="Q40" s="55" t="n">
        <f aca="false">Q38*Q39</f>
        <v>23.7764277154372</v>
      </c>
      <c r="R40" s="55" t="n">
        <f aca="false">R38*R39</f>
        <v>22.6756671730559</v>
      </c>
      <c r="S40" s="55" t="n">
        <f aca="false">S38*S39</f>
        <v>16.8162747755382</v>
      </c>
      <c r="T40" s="55" t="n">
        <f aca="false">T38*T39</f>
        <v>19.245292243116</v>
      </c>
      <c r="U40" s="55" t="n">
        <f aca="false">U38*U39</f>
        <v>20.8137835609299</v>
      </c>
      <c r="V40" s="55" t="n">
        <f aca="false">V38*V39</f>
        <v>19.3964640136857</v>
      </c>
      <c r="W40" s="55" t="n">
        <f aca="false">W38*W39</f>
        <v>21.0298504569434</v>
      </c>
      <c r="X40" s="55" t="n">
        <f aca="false">X38*X39</f>
        <v>20.5777086721191</v>
      </c>
      <c r="Y40" s="55" t="n">
        <f aca="false">Y38*Y39</f>
        <v>18.9639830973056</v>
      </c>
      <c r="Z40" s="55" t="n">
        <f aca="false">Z38*Z39</f>
        <v>19.5329025902247</v>
      </c>
      <c r="AA40" s="55" t="n">
        <f aca="false">AA38*AA39</f>
        <v>22.0492000415537</v>
      </c>
      <c r="AB40" s="55" t="n">
        <f aca="false">AB38*AB39</f>
        <v>30.4743154258526</v>
      </c>
      <c r="AC40" s="55" t="n">
        <f aca="false">AC38*AC39</f>
        <v>31.9628685255</v>
      </c>
      <c r="AD40" s="55" t="n">
        <f aca="false">AD38*AD39</f>
        <v>29.8912011210695</v>
      </c>
      <c r="AE40" s="55" t="n">
        <f aca="false">AE38*AE39</f>
        <v>21.7368814552417</v>
      </c>
      <c r="AF40" s="55" t="n">
        <f aca="false">AF38*AF39</f>
        <v>24.3936114108824</v>
      </c>
      <c r="AG40" s="55" t="n">
        <f aca="false">AG38*AG39</f>
        <v>25.8694249012408</v>
      </c>
      <c r="AH40" s="55" t="n">
        <f aca="false">AH38*AH39</f>
        <v>23.6397268502291</v>
      </c>
      <c r="AI40" s="55" t="n">
        <f aca="false">AI38*AI39</f>
        <v>25.1327622302435</v>
      </c>
      <c r="AJ40" s="55" t="n">
        <f aca="false">AJ38*AJ39</f>
        <v>24.1148853599187</v>
      </c>
      <c r="AK40" s="55" t="n">
        <f aca="false">AK38*AK39</f>
        <v>21.7922411384107</v>
      </c>
      <c r="AL40" s="55" t="n">
        <f aca="false">AL38*AL39</f>
        <v>22.0101635497948</v>
      </c>
      <c r="AM40" s="53" t="n">
        <f aca="false">SUMIF($C$6:$AL$6,1,C40:AL40)</f>
        <v>107.022456001193</v>
      </c>
      <c r="AN40" s="53" t="n">
        <f aca="false">SUMIF($C$6:$AL$6,2,C40:AL40)</f>
        <v>240.82840529673</v>
      </c>
      <c r="AO40" s="53" t="n">
        <f aca="false">SUMIF($C$6:$AL$6,3,C40:AL40)</f>
        <v>303.067282009938</v>
      </c>
      <c r="AP40" s="53" t="n">
        <f aca="false">SUM(C40:AL40)</f>
        <v>650.91814330786</v>
      </c>
    </row>
    <row r="41" customFormat="false" ht="15" hidden="false" customHeight="false" outlineLevel="0" collapsed="false">
      <c r="A41" s="7" t="s">
        <v>752</v>
      </c>
      <c r="B41" s="9" t="s">
        <v>331</v>
      </c>
      <c r="C41" s="56" t="n">
        <f aca="false">C40*Assumptions!$C$123</f>
        <v>0</v>
      </c>
      <c r="D41" s="56" t="n">
        <f aca="false">D40*Assumptions!$C$123</f>
        <v>1.95</v>
      </c>
      <c r="E41" s="56" t="n">
        <f aca="false">E40*Assumptions!$C$123</f>
        <v>4.293</v>
      </c>
      <c r="F41" s="56" t="n">
        <f aca="false">F40*Assumptions!$C$123</f>
        <v>6.32025</v>
      </c>
      <c r="G41" s="56" t="n">
        <f aca="false">G40*Assumptions!$C$123</f>
        <v>6.4314864</v>
      </c>
      <c r="H41" s="56" t="n">
        <f aca="false">H40*Assumptions!$C$123</f>
        <v>9.4685772</v>
      </c>
      <c r="I41" s="56" t="n">
        <f aca="false">I40*Assumptions!$C$123</f>
        <v>12.64623170832</v>
      </c>
      <c r="J41" s="56" t="n">
        <f aca="false">J40*Assumptions!$C$123</f>
        <v>12.1283384097888</v>
      </c>
      <c r="K41" s="56" t="n">
        <f aca="false">K40*Assumptions!$C$123</f>
        <v>13.5326723309222</v>
      </c>
      <c r="L41" s="56" t="n">
        <f aca="false">L40*Assumptions!$C$123</f>
        <v>13.6274010372387</v>
      </c>
      <c r="M41" s="56" t="n">
        <f aca="false">M40*Assumptions!$C$123</f>
        <v>12.9245140363706</v>
      </c>
      <c r="N41" s="56" t="n">
        <f aca="false">N40*Assumptions!$C$123</f>
        <v>13.6999848785528</v>
      </c>
      <c r="O41" s="56" t="n">
        <f aca="false">O40*Assumptions!$C$123</f>
        <v>15.7711002396047</v>
      </c>
      <c r="P41" s="56" t="n">
        <f aca="false">P40*Assumptions!$C$123</f>
        <v>22.2289507587691</v>
      </c>
      <c r="Q41" s="56" t="n">
        <f aca="false">Q40*Assumptions!$C$123</f>
        <v>23.7764277154372</v>
      </c>
      <c r="R41" s="56" t="n">
        <f aca="false">R40*Assumptions!$C$123</f>
        <v>22.6756671730559</v>
      </c>
      <c r="S41" s="56" t="n">
        <f aca="false">S40*Assumptions!$C$123</f>
        <v>16.8162747755382</v>
      </c>
      <c r="T41" s="56" t="n">
        <f aca="false">T40*Assumptions!$C$123</f>
        <v>19.245292243116</v>
      </c>
      <c r="U41" s="56" t="n">
        <f aca="false">U40*Assumptions!$C$123</f>
        <v>20.8137835609299</v>
      </c>
      <c r="V41" s="56" t="n">
        <f aca="false">V40*Assumptions!$C$123</f>
        <v>19.3964640136857</v>
      </c>
      <c r="W41" s="56" t="n">
        <f aca="false">W40*Assumptions!$C$123</f>
        <v>21.0298504569434</v>
      </c>
      <c r="X41" s="56" t="n">
        <f aca="false">X40*Assumptions!$C$123</f>
        <v>20.5777086721191</v>
      </c>
      <c r="Y41" s="56" t="n">
        <f aca="false">Y40*Assumptions!$C$123</f>
        <v>18.9639830973056</v>
      </c>
      <c r="Z41" s="56" t="n">
        <f aca="false">Z40*Assumptions!$C$123</f>
        <v>19.5329025902247</v>
      </c>
      <c r="AA41" s="56" t="n">
        <f aca="false">AA40*Assumptions!$C$123</f>
        <v>22.0492000415537</v>
      </c>
      <c r="AB41" s="56" t="n">
        <f aca="false">AB40*Assumptions!$C$123</f>
        <v>30.4743154258526</v>
      </c>
      <c r="AC41" s="56" t="n">
        <f aca="false">AC40*Assumptions!$C$123</f>
        <v>31.9628685255</v>
      </c>
      <c r="AD41" s="56" t="n">
        <f aca="false">AD40*Assumptions!$C$123</f>
        <v>29.8912011210695</v>
      </c>
      <c r="AE41" s="56" t="n">
        <f aca="false">AE40*Assumptions!$C$123</f>
        <v>21.7368814552417</v>
      </c>
      <c r="AF41" s="56" t="n">
        <f aca="false">AF40*Assumptions!$C$123</f>
        <v>24.3936114108824</v>
      </c>
      <c r="AG41" s="56" t="n">
        <f aca="false">AG40*Assumptions!$C$123</f>
        <v>25.8694249012408</v>
      </c>
      <c r="AH41" s="56" t="n">
        <f aca="false">AH40*Assumptions!$C$123</f>
        <v>23.6397268502291</v>
      </c>
      <c r="AI41" s="56" t="n">
        <f aca="false">AI40*Assumptions!$C$123</f>
        <v>25.1327622302435</v>
      </c>
      <c r="AJ41" s="56" t="n">
        <f aca="false">AJ40*Assumptions!$C$123</f>
        <v>24.1148853599187</v>
      </c>
      <c r="AK41" s="56" t="n">
        <f aca="false">AK40*Assumptions!$C$123</f>
        <v>21.7922411384107</v>
      </c>
      <c r="AL41" s="56" t="n">
        <f aca="false">AL40*Assumptions!$C$123</f>
        <v>22.0101635497948</v>
      </c>
      <c r="AM41" s="53" t="n">
        <f aca="false">SUMIF($C$6:$AL$6,1,C41:AL41)</f>
        <v>107.022456001193</v>
      </c>
      <c r="AN41" s="53" t="n">
        <f aca="false">SUMIF($C$6:$AL$6,2,C41:AL41)</f>
        <v>240.82840529673</v>
      </c>
      <c r="AO41" s="53" t="n">
        <f aca="false">SUMIF($C$6:$AL$6,3,C41:AL41)</f>
        <v>303.067282009938</v>
      </c>
      <c r="AP41" s="53" t="n">
        <f aca="false">SUM(C41:AL41)</f>
        <v>650.91814330786</v>
      </c>
    </row>
    <row r="42" customFormat="false" ht="15" hidden="false" customHeight="false" outlineLevel="0" collapsed="false">
      <c r="A42" s="7" t="s">
        <v>753</v>
      </c>
      <c r="B42" s="9" t="s">
        <v>93</v>
      </c>
      <c r="C42" s="15" t="n">
        <f aca="false">'Unit Economics'!$E$52*Assumptions!$C$123*C36</f>
        <v>0</v>
      </c>
      <c r="D42" s="15" t="n">
        <f aca="false">'Unit Economics'!$E$52*Assumptions!$C$123*D36</f>
        <v>14.49</v>
      </c>
      <c r="E42" s="15" t="n">
        <f aca="false">'Unit Economics'!$E$52*Assumptions!$C$123*E36</f>
        <v>14.49</v>
      </c>
      <c r="F42" s="15" t="n">
        <f aca="false">'Unit Economics'!$E$52*Assumptions!$C$123*F36</f>
        <v>14.49</v>
      </c>
      <c r="G42" s="15" t="n">
        <f aca="false">'Unit Economics'!$E$52*Assumptions!$C$123*G36</f>
        <v>14.49</v>
      </c>
      <c r="H42" s="15" t="n">
        <f aca="false">'Unit Economics'!$E$52*Assumptions!$C$123*H36</f>
        <v>14.49</v>
      </c>
      <c r="I42" s="15" t="n">
        <f aca="false">'Unit Economics'!$E$52*Assumptions!$C$123*I36</f>
        <v>14.49</v>
      </c>
      <c r="J42" s="15" t="n">
        <f aca="false">'Unit Economics'!$E$52*Assumptions!$C$123*J36</f>
        <v>14.49</v>
      </c>
      <c r="K42" s="15" t="n">
        <f aca="false">'Unit Economics'!$E$52*Assumptions!$C$123*K36</f>
        <v>14.49</v>
      </c>
      <c r="L42" s="15" t="n">
        <f aca="false">'Unit Economics'!$E$52*Assumptions!$C$123*L36</f>
        <v>14.49</v>
      </c>
      <c r="M42" s="15" t="n">
        <f aca="false">'Unit Economics'!$E$52*Assumptions!$C$123*M36</f>
        <v>14.49</v>
      </c>
      <c r="N42" s="15" t="n">
        <f aca="false">'Unit Economics'!$E$52*Assumptions!$C$123*N36</f>
        <v>14.49</v>
      </c>
      <c r="O42" s="15" t="n">
        <f aca="false">'Unit Economics'!$E$52*Assumptions!$C$123*O36</f>
        <v>14.49</v>
      </c>
      <c r="P42" s="15" t="n">
        <f aca="false">'Unit Economics'!$E$52*Assumptions!$C$123*P36</f>
        <v>14.49</v>
      </c>
      <c r="Q42" s="15" t="n">
        <f aca="false">'Unit Economics'!$E$52*Assumptions!$C$123*Q36</f>
        <v>14.49</v>
      </c>
      <c r="R42" s="15" t="n">
        <f aca="false">'Unit Economics'!$E$52*Assumptions!$C$123*R36</f>
        <v>14.49</v>
      </c>
      <c r="S42" s="15" t="n">
        <f aca="false">'Unit Economics'!$E$52*Assumptions!$C$123*S36</f>
        <v>14.49</v>
      </c>
      <c r="T42" s="15" t="n">
        <f aca="false">'Unit Economics'!$E$52*Assumptions!$C$123*T36</f>
        <v>14.49</v>
      </c>
      <c r="U42" s="15" t="n">
        <f aca="false">'Unit Economics'!$E$52*Assumptions!$C$123*U36</f>
        <v>14.49</v>
      </c>
      <c r="V42" s="15" t="n">
        <f aca="false">'Unit Economics'!$E$52*Assumptions!$C$123*V36</f>
        <v>14.49</v>
      </c>
      <c r="W42" s="15" t="n">
        <f aca="false">'Unit Economics'!$E$52*Assumptions!$C$123*W36</f>
        <v>14.49</v>
      </c>
      <c r="X42" s="15" t="n">
        <f aca="false">'Unit Economics'!$E$52*Assumptions!$C$123*X36</f>
        <v>14.49</v>
      </c>
      <c r="Y42" s="15" t="n">
        <f aca="false">'Unit Economics'!$E$52*Assumptions!$C$123*Y36</f>
        <v>14.49</v>
      </c>
      <c r="Z42" s="15" t="n">
        <f aca="false">'Unit Economics'!$E$52*Assumptions!$C$123*Z36</f>
        <v>14.49</v>
      </c>
      <c r="AA42" s="15" t="n">
        <f aca="false">'Unit Economics'!$E$52*Assumptions!$C$123*AA36</f>
        <v>14.49</v>
      </c>
      <c r="AB42" s="15" t="n">
        <f aca="false">'Unit Economics'!$E$52*Assumptions!$C$123*AB36</f>
        <v>14.49</v>
      </c>
      <c r="AC42" s="15" t="n">
        <f aca="false">'Unit Economics'!$E$52*Assumptions!$C$123*AC36</f>
        <v>14.49</v>
      </c>
      <c r="AD42" s="15" t="n">
        <f aca="false">'Unit Economics'!$E$52*Assumptions!$C$123*AD36</f>
        <v>14.49</v>
      </c>
      <c r="AE42" s="15" t="n">
        <f aca="false">'Unit Economics'!$E$52*Assumptions!$C$123*AE36</f>
        <v>14.49</v>
      </c>
      <c r="AF42" s="15" t="n">
        <f aca="false">'Unit Economics'!$E$52*Assumptions!$C$123*AF36</f>
        <v>14.49</v>
      </c>
      <c r="AG42" s="15" t="n">
        <f aca="false">'Unit Economics'!$E$52*Assumptions!$C$123*AG36</f>
        <v>14.49</v>
      </c>
      <c r="AH42" s="15" t="n">
        <f aca="false">'Unit Economics'!$E$52*Assumptions!$C$123*AH36</f>
        <v>14.49</v>
      </c>
      <c r="AI42" s="15" t="n">
        <f aca="false">'Unit Economics'!$E$52*Assumptions!$C$123*AI36</f>
        <v>14.49</v>
      </c>
      <c r="AJ42" s="15" t="n">
        <f aca="false">'Unit Economics'!$E$52*Assumptions!$C$123*AJ36</f>
        <v>14.49</v>
      </c>
      <c r="AK42" s="15" t="n">
        <f aca="false">'Unit Economics'!$E$52*Assumptions!$C$123*AK36</f>
        <v>14.49</v>
      </c>
      <c r="AL42" s="15" t="n">
        <f aca="false">'Unit Economics'!$E$52*Assumptions!$C$123*AL36</f>
        <v>14.49</v>
      </c>
    </row>
    <row r="43" customFormat="false" ht="15" hidden="false" customHeight="false" outlineLevel="0" collapsed="false">
      <c r="A43" s="7" t="s">
        <v>754</v>
      </c>
      <c r="B43" s="9" t="s">
        <v>93</v>
      </c>
      <c r="C43" s="8" t="n">
        <f aca="false">C41*'Unit Economics'!$E$52</f>
        <v>0</v>
      </c>
      <c r="D43" s="8" t="n">
        <f aca="false">D41*'Unit Economics'!$E$52</f>
        <v>28.2555</v>
      </c>
      <c r="E43" s="8" t="n">
        <f aca="false">E41*'Unit Economics'!$E$52</f>
        <v>62.20557</v>
      </c>
      <c r="F43" s="8" t="n">
        <f aca="false">F41*'Unit Economics'!$E$52</f>
        <v>91.5804225</v>
      </c>
      <c r="G43" s="8" t="n">
        <f aca="false">G41*'Unit Economics'!$E$52</f>
        <v>93.192237936</v>
      </c>
      <c r="H43" s="8" t="n">
        <f aca="false">H41*'Unit Economics'!$E$52</f>
        <v>137.199683628</v>
      </c>
      <c r="I43" s="8" t="n">
        <f aca="false">I41*'Unit Economics'!$E$52</f>
        <v>183.243897453557</v>
      </c>
      <c r="J43" s="8" t="n">
        <f aca="false">J41*'Unit Economics'!$E$52</f>
        <v>175.73962355784</v>
      </c>
      <c r="K43" s="8" t="n">
        <f aca="false">K41*'Unit Economics'!$E$52</f>
        <v>196.088422075063</v>
      </c>
      <c r="L43" s="8" t="n">
        <f aca="false">L41*'Unit Economics'!$E$52</f>
        <v>197.461041029589</v>
      </c>
      <c r="M43" s="8" t="n">
        <f aca="false">M41*'Unit Economics'!$E$52</f>
        <v>187.27620838701</v>
      </c>
      <c r="N43" s="8" t="n">
        <f aca="false">N41*'Unit Economics'!$E$52</f>
        <v>198.512780890231</v>
      </c>
      <c r="O43" s="8" t="n">
        <f aca="false">O41*'Unit Economics'!$E$52</f>
        <v>228.523242471871</v>
      </c>
      <c r="P43" s="8" t="n">
        <f aca="false">P41*'Unit Economics'!$E$52</f>
        <v>322.097496494564</v>
      </c>
      <c r="Q43" s="8" t="n">
        <f aca="false">Q41*'Unit Economics'!$E$52</f>
        <v>344.520437596686</v>
      </c>
      <c r="R43" s="8" t="n">
        <f aca="false">R41*'Unit Economics'!$E$52</f>
        <v>328.57041733758</v>
      </c>
      <c r="S43" s="8" t="n">
        <f aca="false">S41*'Unit Economics'!$E$52</f>
        <v>243.667821497549</v>
      </c>
      <c r="T43" s="8" t="n">
        <f aca="false">T41*'Unit Economics'!$E$52</f>
        <v>278.864284602751</v>
      </c>
      <c r="U43" s="8" t="n">
        <f aca="false">U41*'Unit Economics'!$E$52</f>
        <v>301.591723797875</v>
      </c>
      <c r="V43" s="8" t="n">
        <f aca="false">V41*'Unit Economics'!$E$52</f>
        <v>281.054763558305</v>
      </c>
      <c r="W43" s="8" t="n">
        <f aca="false">W41*'Unit Economics'!$E$52</f>
        <v>304.72253312111</v>
      </c>
      <c r="X43" s="8" t="n">
        <f aca="false">X41*'Unit Economics'!$E$52</f>
        <v>298.170998659006</v>
      </c>
      <c r="Y43" s="8" t="n">
        <f aca="false">Y41*'Unit Economics'!$E$52</f>
        <v>274.788115079958</v>
      </c>
      <c r="Z43" s="8" t="n">
        <f aca="false">Z41*'Unit Economics'!$E$52</f>
        <v>283.031758532356</v>
      </c>
      <c r="AA43" s="8" t="n">
        <f aca="false">AA41*'Unit Economics'!$E$52</f>
        <v>319.492908602113</v>
      </c>
      <c r="AB43" s="8" t="n">
        <f aca="false">AB41*'Unit Economics'!$E$52</f>
        <v>441.572830520605</v>
      </c>
      <c r="AC43" s="8" t="n">
        <f aca="false">AC41*'Unit Economics'!$E$52</f>
        <v>463.141964934496</v>
      </c>
      <c r="AD43" s="8" t="n">
        <f aca="false">AD41*'Unit Economics'!$E$52</f>
        <v>433.123504244297</v>
      </c>
      <c r="AE43" s="8" t="n">
        <f aca="false">AE41*'Unit Economics'!$E$52</f>
        <v>314.967412286453</v>
      </c>
      <c r="AF43" s="8" t="n">
        <f aca="false">AF41*'Unit Economics'!$E$52</f>
        <v>353.463429343686</v>
      </c>
      <c r="AG43" s="8" t="n">
        <f aca="false">AG41*'Unit Economics'!$E$52</f>
        <v>374.847966818979</v>
      </c>
      <c r="AH43" s="8" t="n">
        <f aca="false">AH41*'Unit Economics'!$E$52</f>
        <v>342.539642059819</v>
      </c>
      <c r="AI43" s="8" t="n">
        <f aca="false">AI41*'Unit Economics'!$E$52</f>
        <v>364.173724716229</v>
      </c>
      <c r="AJ43" s="8" t="n">
        <f aca="false">AJ41*'Unit Economics'!$E$52</f>
        <v>349.424688865221</v>
      </c>
      <c r="AK43" s="8" t="n">
        <f aca="false">AK41*'Unit Economics'!$E$52</f>
        <v>315.769574095571</v>
      </c>
      <c r="AL43" s="8" t="n">
        <f aca="false">AL41*'Unit Economics'!$E$52</f>
        <v>318.927269836527</v>
      </c>
      <c r="AM43" s="45" t="n">
        <f aca="false">SUMIF($C$6:$AL$6,1,C43:AL43)</f>
        <v>1550.75538745729</v>
      </c>
      <c r="AN43" s="45" t="n">
        <f aca="false">SUMIF($C$6:$AL$6,2,C43:AL43)</f>
        <v>3489.60359274961</v>
      </c>
      <c r="AO43" s="45" t="n">
        <f aca="false">SUMIF($C$6:$AL$6,3,C43:AL43)</f>
        <v>4391.44491632399</v>
      </c>
      <c r="AP43" s="45" t="n">
        <f aca="false">SUM(C43:AL43)</f>
        <v>9431.8038965309</v>
      </c>
    </row>
    <row r="44" customFormat="false" ht="15" hidden="false" customHeight="false" outlineLevel="0" collapsed="false">
      <c r="A44" s="7" t="s">
        <v>755</v>
      </c>
      <c r="B44" s="9" t="s">
        <v>93</v>
      </c>
      <c r="C44" s="8" t="n">
        <f aca="false">C41*'Unit Economics'!$F$52</f>
        <v>0</v>
      </c>
      <c r="D44" s="8" t="n">
        <f aca="false">D41*'Unit Economics'!$F$52</f>
        <v>11.8599</v>
      </c>
      <c r="E44" s="8" t="n">
        <f aca="false">E41*'Unit Economics'!$F$52</f>
        <v>26.110026</v>
      </c>
      <c r="F44" s="8" t="n">
        <f aca="false">F41*'Unit Economics'!$F$52</f>
        <v>38.4397605</v>
      </c>
      <c r="G44" s="8" t="n">
        <f aca="false">G41*'Unit Economics'!$F$52</f>
        <v>39.1163002848</v>
      </c>
      <c r="H44" s="8" t="n">
        <f aca="false">H41*'Unit Economics'!$F$52</f>
        <v>57.5878865304</v>
      </c>
      <c r="I44" s="8" t="n">
        <f aca="false">I41*'Unit Economics'!$F$52</f>
        <v>76.9143812500022</v>
      </c>
      <c r="J44" s="8" t="n">
        <f aca="false">J41*'Unit Economics'!$F$52</f>
        <v>73.7645542083355</v>
      </c>
      <c r="K44" s="8" t="n">
        <f aca="false">K41*'Unit Economics'!$F$52</f>
        <v>82.3057131166691</v>
      </c>
      <c r="L44" s="8" t="n">
        <f aca="false">L41*'Unit Economics'!$F$52</f>
        <v>82.8818531084858</v>
      </c>
      <c r="M44" s="8" t="n">
        <f aca="false">M41*'Unit Economics'!$F$52</f>
        <v>78.606894369206</v>
      </c>
      <c r="N44" s="8" t="n">
        <f aca="false">N41*'Unit Economics'!$F$52</f>
        <v>83.3233080313583</v>
      </c>
      <c r="O44" s="8" t="n">
        <f aca="false">O41*'Unit Economics'!$F$52</f>
        <v>95.9198316572755</v>
      </c>
      <c r="P44" s="8" t="n">
        <f aca="false">P41*'Unit Economics'!$F$52</f>
        <v>135.196478514834</v>
      </c>
      <c r="Q44" s="8" t="n">
        <f aca="false">Q41*'Unit Economics'!$F$52</f>
        <v>144.608233365289</v>
      </c>
      <c r="R44" s="8" t="n">
        <f aca="false">R41*'Unit Economics'!$F$52</f>
        <v>137.913407746526</v>
      </c>
      <c r="S44" s="8" t="n">
        <f aca="false">S41*'Unit Economics'!$F$52</f>
        <v>102.276583184824</v>
      </c>
      <c r="T44" s="8" t="n">
        <f aca="false">T41*'Unit Economics'!$F$52</f>
        <v>117.049867422631</v>
      </c>
      <c r="U44" s="8" t="n">
        <f aca="false">U41*'Unit Economics'!$F$52</f>
        <v>126.589431617576</v>
      </c>
      <c r="V44" s="8" t="n">
        <f aca="false">V41*'Unit Economics'!$F$52</f>
        <v>117.969294131236</v>
      </c>
      <c r="W44" s="8" t="n">
        <f aca="false">W41*'Unit Economics'!$F$52</f>
        <v>127.90355047913</v>
      </c>
      <c r="X44" s="8" t="n">
        <f aca="false">X41*'Unit Economics'!$F$52</f>
        <v>125.153624143828</v>
      </c>
      <c r="Y44" s="8" t="n">
        <f aca="false">Y41*'Unit Economics'!$F$52</f>
        <v>115.338945197812</v>
      </c>
      <c r="Z44" s="8" t="n">
        <f aca="false">Z41*'Unit Economics'!$F$52</f>
        <v>118.799113553747</v>
      </c>
      <c r="AA44" s="8" t="n">
        <f aca="false">AA41*'Unit Economics'!$F$52</f>
        <v>134.10323465273</v>
      </c>
      <c r="AB44" s="8" t="n">
        <f aca="false">AB41*'Unit Economics'!$F$52</f>
        <v>185.344786420036</v>
      </c>
      <c r="AC44" s="8" t="n">
        <f aca="false">AC41*'Unit Economics'!$F$52</f>
        <v>194.398166372091</v>
      </c>
      <c r="AD44" s="8" t="n">
        <f aca="false">AD41*'Unit Economics'!$F$52</f>
        <v>181.798285218345</v>
      </c>
      <c r="AE44" s="8" t="n">
        <f aca="false">AE41*'Unit Economics'!$F$52</f>
        <v>132.20371301078</v>
      </c>
      <c r="AF44" s="8" t="n">
        <f aca="false">AF41*'Unit Economics'!$F$52</f>
        <v>148.361944600987</v>
      </c>
      <c r="AG44" s="8" t="n">
        <f aca="false">AG41*'Unit Economics'!$F$52</f>
        <v>157.337842249346</v>
      </c>
      <c r="AH44" s="8" t="n">
        <f aca="false">AH41*'Unit Economics'!$F$52</f>
        <v>143.776818703093</v>
      </c>
      <c r="AI44" s="8" t="n">
        <f aca="false">AI41*'Unit Economics'!$F$52</f>
        <v>152.857459884341</v>
      </c>
      <c r="AJ44" s="8" t="n">
        <f aca="false">AJ41*'Unit Economics'!$F$52</f>
        <v>146.666732759025</v>
      </c>
      <c r="AK44" s="8" t="n">
        <f aca="false">AK41*'Unit Economics'!$F$52</f>
        <v>132.540410603814</v>
      </c>
      <c r="AL44" s="8" t="n">
        <f aca="false">AL41*'Unit Economics'!$F$52</f>
        <v>133.865814709852</v>
      </c>
      <c r="AM44" s="45" t="n">
        <f aca="false">SUMIF($C$6:$AL$6,1,C44:AL44)</f>
        <v>650.910577399257</v>
      </c>
      <c r="AN44" s="45" t="n">
        <f aca="false">SUMIF($C$6:$AL$6,2,C44:AL44)</f>
        <v>1464.71836101471</v>
      </c>
      <c r="AO44" s="45" t="n">
        <f aca="false">SUMIF($C$6:$AL$6,3,C44:AL44)</f>
        <v>1843.25520918444</v>
      </c>
      <c r="AP44" s="45" t="n">
        <f aca="false">SUM(C44:AL44)</f>
        <v>3958.88414759841</v>
      </c>
    </row>
    <row r="45" customFormat="false" ht="15" hidden="false" customHeight="false" outlineLevel="0" collapsed="false">
      <c r="A45" s="5" t="s">
        <v>563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</row>
    <row r="46" customFormat="false" ht="15" hidden="false" customHeight="false" outlineLevel="0" collapsed="false">
      <c r="A46" s="7" t="s">
        <v>746</v>
      </c>
      <c r="B46" s="9" t="s">
        <v>308</v>
      </c>
      <c r="C46" s="37" t="n">
        <f aca="false">IF(AND(Assumptions!$C$125=1,C$4&gt;=Assumptions!$C$126),1,0)</f>
        <v>0</v>
      </c>
      <c r="D46" s="37" t="n">
        <f aca="false">IF(AND(Assumptions!$C$125=1,D$4&gt;=Assumptions!$C$126),1,0)</f>
        <v>0</v>
      </c>
      <c r="E46" s="37" t="n">
        <f aca="false">IF(AND(Assumptions!$C$125=1,E$4&gt;=Assumptions!$C$126),1,0)</f>
        <v>1</v>
      </c>
      <c r="F46" s="37" t="n">
        <f aca="false">IF(AND(Assumptions!$C$125=1,F$4&gt;=Assumptions!$C$126),1,0)</f>
        <v>1</v>
      </c>
      <c r="G46" s="37" t="n">
        <f aca="false">IF(AND(Assumptions!$C$125=1,G$4&gt;=Assumptions!$C$126),1,0)</f>
        <v>1</v>
      </c>
      <c r="H46" s="37" t="n">
        <f aca="false">IF(AND(Assumptions!$C$125=1,H$4&gt;=Assumptions!$C$126),1,0)</f>
        <v>1</v>
      </c>
      <c r="I46" s="37" t="n">
        <f aca="false">IF(AND(Assumptions!$C$125=1,I$4&gt;=Assumptions!$C$126),1,0)</f>
        <v>1</v>
      </c>
      <c r="J46" s="37" t="n">
        <f aca="false">IF(AND(Assumptions!$C$125=1,J$4&gt;=Assumptions!$C$126),1,0)</f>
        <v>1</v>
      </c>
      <c r="K46" s="37" t="n">
        <f aca="false">IF(AND(Assumptions!$C$125=1,K$4&gt;=Assumptions!$C$126),1,0)</f>
        <v>1</v>
      </c>
      <c r="L46" s="37" t="n">
        <f aca="false">IF(AND(Assumptions!$C$125=1,L$4&gt;=Assumptions!$C$126),1,0)</f>
        <v>1</v>
      </c>
      <c r="M46" s="37" t="n">
        <f aca="false">IF(AND(Assumptions!$C$125=1,M$4&gt;=Assumptions!$C$126),1,0)</f>
        <v>1</v>
      </c>
      <c r="N46" s="37" t="n">
        <f aca="false">IF(AND(Assumptions!$C$125=1,N$4&gt;=Assumptions!$C$126),1,0)</f>
        <v>1</v>
      </c>
      <c r="O46" s="37" t="n">
        <f aca="false">IF(AND(Assumptions!$C$125=1,O$4&gt;=Assumptions!$C$126),1,0)</f>
        <v>1</v>
      </c>
      <c r="P46" s="37" t="n">
        <f aca="false">IF(AND(Assumptions!$C$125=1,P$4&gt;=Assumptions!$C$126),1,0)</f>
        <v>1</v>
      </c>
      <c r="Q46" s="37" t="n">
        <f aca="false">IF(AND(Assumptions!$C$125=1,Q$4&gt;=Assumptions!$C$126),1,0)</f>
        <v>1</v>
      </c>
      <c r="R46" s="37" t="n">
        <f aca="false">IF(AND(Assumptions!$C$125=1,R$4&gt;=Assumptions!$C$126),1,0)</f>
        <v>1</v>
      </c>
      <c r="S46" s="37" t="n">
        <f aca="false">IF(AND(Assumptions!$C$125=1,S$4&gt;=Assumptions!$C$126),1,0)</f>
        <v>1</v>
      </c>
      <c r="T46" s="37" t="n">
        <f aca="false">IF(AND(Assumptions!$C$125=1,T$4&gt;=Assumptions!$C$126),1,0)</f>
        <v>1</v>
      </c>
      <c r="U46" s="37" t="n">
        <f aca="false">IF(AND(Assumptions!$C$125=1,U$4&gt;=Assumptions!$C$126),1,0)</f>
        <v>1</v>
      </c>
      <c r="V46" s="37" t="n">
        <f aca="false">IF(AND(Assumptions!$C$125=1,V$4&gt;=Assumptions!$C$126),1,0)</f>
        <v>1</v>
      </c>
      <c r="W46" s="37" t="n">
        <f aca="false">IF(AND(Assumptions!$C$125=1,W$4&gt;=Assumptions!$C$126),1,0)</f>
        <v>1</v>
      </c>
      <c r="X46" s="37" t="n">
        <f aca="false">IF(AND(Assumptions!$C$125=1,X$4&gt;=Assumptions!$C$126),1,0)</f>
        <v>1</v>
      </c>
      <c r="Y46" s="37" t="n">
        <f aca="false">IF(AND(Assumptions!$C$125=1,Y$4&gt;=Assumptions!$C$126),1,0)</f>
        <v>1</v>
      </c>
      <c r="Z46" s="37" t="n">
        <f aca="false">IF(AND(Assumptions!$C$125=1,Z$4&gt;=Assumptions!$C$126),1,0)</f>
        <v>1</v>
      </c>
      <c r="AA46" s="37" t="n">
        <f aca="false">IF(AND(Assumptions!$C$125=1,AA$4&gt;=Assumptions!$C$126),1,0)</f>
        <v>1</v>
      </c>
      <c r="AB46" s="37" t="n">
        <f aca="false">IF(AND(Assumptions!$C$125=1,AB$4&gt;=Assumptions!$C$126),1,0)</f>
        <v>1</v>
      </c>
      <c r="AC46" s="37" t="n">
        <f aca="false">IF(AND(Assumptions!$C$125=1,AC$4&gt;=Assumptions!$C$126),1,0)</f>
        <v>1</v>
      </c>
      <c r="AD46" s="37" t="n">
        <f aca="false">IF(AND(Assumptions!$C$125=1,AD$4&gt;=Assumptions!$C$126),1,0)</f>
        <v>1</v>
      </c>
      <c r="AE46" s="37" t="n">
        <f aca="false">IF(AND(Assumptions!$C$125=1,AE$4&gt;=Assumptions!$C$126),1,0)</f>
        <v>1</v>
      </c>
      <c r="AF46" s="37" t="n">
        <f aca="false">IF(AND(Assumptions!$C$125=1,AF$4&gt;=Assumptions!$C$126),1,0)</f>
        <v>1</v>
      </c>
      <c r="AG46" s="37" t="n">
        <f aca="false">IF(AND(Assumptions!$C$125=1,AG$4&gt;=Assumptions!$C$126),1,0)</f>
        <v>1</v>
      </c>
      <c r="AH46" s="37" t="n">
        <f aca="false">IF(AND(Assumptions!$C$125=1,AH$4&gt;=Assumptions!$C$126),1,0)</f>
        <v>1</v>
      </c>
      <c r="AI46" s="37" t="n">
        <f aca="false">IF(AND(Assumptions!$C$125=1,AI$4&gt;=Assumptions!$C$126),1,0)</f>
        <v>1</v>
      </c>
      <c r="AJ46" s="37" t="n">
        <f aca="false">IF(AND(Assumptions!$C$125=1,AJ$4&gt;=Assumptions!$C$126),1,0)</f>
        <v>1</v>
      </c>
      <c r="AK46" s="37" t="n">
        <f aca="false">IF(AND(Assumptions!$C$125=1,AK$4&gt;=Assumptions!$C$126),1,0)</f>
        <v>1</v>
      </c>
      <c r="AL46" s="37" t="n">
        <f aca="false">IF(AND(Assumptions!$C$125=1,AL$4&gt;=Assumptions!$C$126),1,0)</f>
        <v>1</v>
      </c>
    </row>
    <row r="47" customFormat="false" ht="15" hidden="false" customHeight="false" outlineLevel="0" collapsed="false">
      <c r="A47" s="7" t="s">
        <v>747</v>
      </c>
      <c r="B47" s="9" t="s">
        <v>316</v>
      </c>
      <c r="C47" s="14" t="n">
        <f aca="false">IF(C46=0,0,Assumptions!$C$127)</f>
        <v>0</v>
      </c>
      <c r="D47" s="14" t="n">
        <f aca="false">IF(D46=0,0,IF(D$4=Assumptions!$C$126,Assumptions!$C$127,C47*(1+CHOOSE(D$6,Assumptions!$C$128,Assumptions!$C$129,Assumptions!$C$130))))</f>
        <v>0</v>
      </c>
      <c r="E47" s="14" t="n">
        <f aca="false">IF(E46=0,0,IF(E$4=Assumptions!$C$126,Assumptions!$C$127,D47*(1+CHOOSE(E$6,Assumptions!$C$128,Assumptions!$C$129,Assumptions!$C$130))))</f>
        <v>100</v>
      </c>
      <c r="F47" s="14" t="n">
        <f aca="false">IF(F46=0,0,IF(F$4=Assumptions!$C$126,Assumptions!$C$127,E47*(1+CHOOSE(F$6,Assumptions!$C$128,Assumptions!$C$129,Assumptions!$C$130))))</f>
        <v>104</v>
      </c>
      <c r="G47" s="14" t="n">
        <f aca="false">IF(G46=0,0,IF(G$4=Assumptions!$C$126,Assumptions!$C$127,F47*(1+CHOOSE(G$6,Assumptions!$C$128,Assumptions!$C$129,Assumptions!$C$130))))</f>
        <v>108.16</v>
      </c>
      <c r="H47" s="14" t="n">
        <f aca="false">IF(H46=0,0,IF(H$4=Assumptions!$C$126,Assumptions!$C$127,G47*(1+CHOOSE(H$6,Assumptions!$C$128,Assumptions!$C$129,Assumptions!$C$130))))</f>
        <v>112.4864</v>
      </c>
      <c r="I47" s="14" t="n">
        <f aca="false">IF(I46=0,0,IF(I$4=Assumptions!$C$126,Assumptions!$C$127,H47*(1+CHOOSE(I$6,Assumptions!$C$128,Assumptions!$C$129,Assumptions!$C$130))))</f>
        <v>116.985856</v>
      </c>
      <c r="J47" s="14" t="n">
        <f aca="false">IF(J46=0,0,IF(J$4=Assumptions!$C$126,Assumptions!$C$127,I47*(1+CHOOSE(J$6,Assumptions!$C$128,Assumptions!$C$129,Assumptions!$C$130))))</f>
        <v>121.66529024</v>
      </c>
      <c r="K47" s="14" t="n">
        <f aca="false">IF(K46=0,0,IF(K$4=Assumptions!$C$126,Assumptions!$C$127,J47*(1+CHOOSE(K$6,Assumptions!$C$128,Assumptions!$C$129,Assumptions!$C$130))))</f>
        <v>126.5319018496</v>
      </c>
      <c r="L47" s="14" t="n">
        <f aca="false">IF(L46=0,0,IF(L$4=Assumptions!$C$126,Assumptions!$C$127,K47*(1+CHOOSE(L$6,Assumptions!$C$128,Assumptions!$C$129,Assumptions!$C$130))))</f>
        <v>131.593177923584</v>
      </c>
      <c r="M47" s="14" t="n">
        <f aca="false">IF(M46=0,0,IF(M$4=Assumptions!$C$126,Assumptions!$C$127,L47*(1+CHOOSE(M$6,Assumptions!$C$128,Assumptions!$C$129,Assumptions!$C$130))))</f>
        <v>136.856905040527</v>
      </c>
      <c r="N47" s="14" t="n">
        <f aca="false">IF(N46=0,0,IF(N$4=Assumptions!$C$126,Assumptions!$C$127,M47*(1+CHOOSE(N$6,Assumptions!$C$128,Assumptions!$C$129,Assumptions!$C$130))))</f>
        <v>142.331181242149</v>
      </c>
      <c r="O47" s="14" t="n">
        <f aca="false">IF(O46=0,0,IF(O$4=Assumptions!$C$126,Assumptions!$C$127,N47*(1+CHOOSE(O$6,Assumptions!$C$128,Assumptions!$C$129,Assumptions!$C$130))))</f>
        <v>145.177804866991</v>
      </c>
      <c r="P47" s="14" t="n">
        <f aca="false">IF(P46=0,0,IF(P$4=Assumptions!$C$126,Assumptions!$C$127,O47*(1+CHOOSE(P$6,Assumptions!$C$128,Assumptions!$C$129,Assumptions!$C$130))))</f>
        <v>148.081360964331</v>
      </c>
      <c r="Q47" s="14" t="n">
        <f aca="false">IF(Q46=0,0,IF(Q$4=Assumptions!$C$126,Assumptions!$C$127,P47*(1+CHOOSE(Q$6,Assumptions!$C$128,Assumptions!$C$129,Assumptions!$C$130))))</f>
        <v>151.042988183618</v>
      </c>
      <c r="R47" s="14" t="n">
        <f aca="false">IF(R46=0,0,IF(R$4=Assumptions!$C$126,Assumptions!$C$127,Q47*(1+CHOOSE(R$6,Assumptions!$C$128,Assumptions!$C$129,Assumptions!$C$130))))</f>
        <v>154.06384794729</v>
      </c>
      <c r="S47" s="14" t="n">
        <f aca="false">IF(S46=0,0,IF(S$4=Assumptions!$C$126,Assumptions!$C$127,R47*(1+CHOOSE(S$6,Assumptions!$C$128,Assumptions!$C$129,Assumptions!$C$130))))</f>
        <v>157.145124906236</v>
      </c>
      <c r="T47" s="14" t="n">
        <f aca="false">IF(T46=0,0,IF(T$4=Assumptions!$C$126,Assumptions!$C$127,S47*(1+CHOOSE(T$6,Assumptions!$C$128,Assumptions!$C$129,Assumptions!$C$130))))</f>
        <v>160.288027404361</v>
      </c>
      <c r="U47" s="14" t="n">
        <f aca="false">IF(U46=0,0,IF(U$4=Assumptions!$C$126,Assumptions!$C$127,T47*(1+CHOOSE(U$6,Assumptions!$C$128,Assumptions!$C$129,Assumptions!$C$130))))</f>
        <v>163.493787952448</v>
      </c>
      <c r="V47" s="14" t="n">
        <f aca="false">IF(V46=0,0,IF(V$4=Assumptions!$C$126,Assumptions!$C$127,U47*(1+CHOOSE(V$6,Assumptions!$C$128,Assumptions!$C$129,Assumptions!$C$130))))</f>
        <v>166.763663711497</v>
      </c>
      <c r="W47" s="14" t="n">
        <f aca="false">IF(W46=0,0,IF(W$4=Assumptions!$C$126,Assumptions!$C$127,V47*(1+CHOOSE(W$6,Assumptions!$C$128,Assumptions!$C$129,Assumptions!$C$130))))</f>
        <v>170.098936985727</v>
      </c>
      <c r="X47" s="14" t="n">
        <f aca="false">IF(X46=0,0,IF(X$4=Assumptions!$C$126,Assumptions!$C$127,W47*(1+CHOOSE(X$6,Assumptions!$C$128,Assumptions!$C$129,Assumptions!$C$130))))</f>
        <v>173.500915725442</v>
      </c>
      <c r="Y47" s="14" t="n">
        <f aca="false">IF(Y46=0,0,IF(Y$4=Assumptions!$C$126,Assumptions!$C$127,X47*(1+CHOOSE(Y$6,Assumptions!$C$128,Assumptions!$C$129,Assumptions!$C$130))))</f>
        <v>176.97093403995</v>
      </c>
      <c r="Z47" s="14" t="n">
        <f aca="false">IF(Z46=0,0,IF(Z$4=Assumptions!$C$126,Assumptions!$C$127,Y47*(1+CHOOSE(Z$6,Assumptions!$C$128,Assumptions!$C$129,Assumptions!$C$130))))</f>
        <v>180.510352720749</v>
      </c>
      <c r="AA47" s="14" t="n">
        <f aca="false">IF(AA46=0,0,IF(AA$4=Assumptions!$C$126,Assumptions!$C$127,Z47*(1+CHOOSE(AA$6,Assumptions!$C$128,Assumptions!$C$129,Assumptions!$C$130))))</f>
        <v>182.315456247957</v>
      </c>
      <c r="AB47" s="14" t="n">
        <f aca="false">IF(AB46=0,0,IF(AB$4=Assumptions!$C$126,Assumptions!$C$127,AA47*(1+CHOOSE(AB$6,Assumptions!$C$128,Assumptions!$C$129,Assumptions!$C$130))))</f>
        <v>184.138610810436</v>
      </c>
      <c r="AC47" s="14" t="n">
        <f aca="false">IF(AC46=0,0,IF(AC$4=Assumptions!$C$126,Assumptions!$C$127,AB47*(1+CHOOSE(AC$6,Assumptions!$C$128,Assumptions!$C$129,Assumptions!$C$130))))</f>
        <v>185.979996918541</v>
      </c>
      <c r="AD47" s="14" t="n">
        <f aca="false">IF(AD46=0,0,IF(AD$4=Assumptions!$C$126,Assumptions!$C$127,AC47*(1+CHOOSE(AD$6,Assumptions!$C$128,Assumptions!$C$129,Assumptions!$C$130))))</f>
        <v>187.839796887726</v>
      </c>
      <c r="AE47" s="14" t="n">
        <f aca="false">IF(AE46=0,0,IF(AE$4=Assumptions!$C$126,Assumptions!$C$127,AD47*(1+CHOOSE(AE$6,Assumptions!$C$128,Assumptions!$C$129,Assumptions!$C$130))))</f>
        <v>189.718194856603</v>
      </c>
      <c r="AF47" s="14" t="n">
        <f aca="false">IF(AF46=0,0,IF(AF$4=Assumptions!$C$126,Assumptions!$C$127,AE47*(1+CHOOSE(AF$6,Assumptions!$C$128,Assumptions!$C$129,Assumptions!$C$130))))</f>
        <v>191.61537680517</v>
      </c>
      <c r="AG47" s="14" t="n">
        <f aca="false">IF(AG46=0,0,IF(AG$4=Assumptions!$C$126,Assumptions!$C$127,AF47*(1+CHOOSE(AG$6,Assumptions!$C$128,Assumptions!$C$129,Assumptions!$C$130))))</f>
        <v>193.531530573221</v>
      </c>
      <c r="AH47" s="14" t="n">
        <f aca="false">IF(AH46=0,0,IF(AH$4=Assumptions!$C$126,Assumptions!$C$127,AG47*(1+CHOOSE(AH$6,Assumptions!$C$128,Assumptions!$C$129,Assumptions!$C$130))))</f>
        <v>195.466845878953</v>
      </c>
      <c r="AI47" s="14" t="n">
        <f aca="false">IF(AI46=0,0,IF(AI$4=Assumptions!$C$126,Assumptions!$C$127,AH47*(1+CHOOSE(AI$6,Assumptions!$C$128,Assumptions!$C$129,Assumptions!$C$130))))</f>
        <v>197.421514337743</v>
      </c>
      <c r="AJ47" s="14" t="n">
        <f aca="false">IF(AJ46=0,0,IF(AJ$4=Assumptions!$C$126,Assumptions!$C$127,AI47*(1+CHOOSE(AJ$6,Assumptions!$C$128,Assumptions!$C$129,Assumptions!$C$130))))</f>
        <v>199.39572948112</v>
      </c>
      <c r="AK47" s="14" t="n">
        <f aca="false">IF(AK46=0,0,IF(AK$4=Assumptions!$C$126,Assumptions!$C$127,AJ47*(1+CHOOSE(AK$6,Assumptions!$C$128,Assumptions!$C$129,Assumptions!$C$130))))</f>
        <v>201.389686775932</v>
      </c>
      <c r="AL47" s="14" t="n">
        <f aca="false">IF(AL46=0,0,IF(AL$4=Assumptions!$C$126,Assumptions!$C$127,AK47*(1+CHOOSE(AL$6,Assumptions!$C$128,Assumptions!$C$129,Assumptions!$C$130))))</f>
        <v>203.403583643691</v>
      </c>
    </row>
    <row r="48" customFormat="false" ht="15" hidden="false" customHeight="false" outlineLevel="0" collapsed="false">
      <c r="A48" s="7" t="s">
        <v>759</v>
      </c>
      <c r="B48" s="9" t="s">
        <v>316</v>
      </c>
      <c r="C48" s="52" t="n">
        <f aca="false">C47*C$7</f>
        <v>0</v>
      </c>
      <c r="D48" s="52" t="n">
        <f aca="false">D47*D$7</f>
        <v>0</v>
      </c>
      <c r="E48" s="52" t="n">
        <f aca="false">E47*E$7</f>
        <v>135</v>
      </c>
      <c r="F48" s="52" t="n">
        <f aca="false">F47*F$7</f>
        <v>130</v>
      </c>
      <c r="G48" s="52" t="n">
        <f aca="false">G47*G$7</f>
        <v>97.344</v>
      </c>
      <c r="H48" s="52" t="n">
        <f aca="false">H47*H$7</f>
        <v>112.4864</v>
      </c>
      <c r="I48" s="52" t="n">
        <f aca="false">I47*I$7</f>
        <v>122.8351488</v>
      </c>
      <c r="J48" s="52" t="n">
        <f aca="false">J47*J$7</f>
        <v>115.582025728</v>
      </c>
      <c r="K48" s="52" t="n">
        <f aca="false">K47*K$7</f>
        <v>126.5319018496</v>
      </c>
      <c r="L48" s="52" t="n">
        <f aca="false">L47*L$7</f>
        <v>125.013519027405</v>
      </c>
      <c r="M48" s="52" t="n">
        <f aca="false">M47*M$7</f>
        <v>116.328369284448</v>
      </c>
      <c r="N48" s="52" t="n">
        <f aca="false">N47*N$7</f>
        <v>120.981504055826</v>
      </c>
      <c r="O48" s="52" t="n">
        <f aca="false">O47*O$7</f>
        <v>137.918914623642</v>
      </c>
      <c r="P48" s="52" t="n">
        <f aca="false">P47*P$7</f>
        <v>192.505769253631</v>
      </c>
      <c r="Q48" s="52" t="n">
        <f aca="false">Q47*Q$7</f>
        <v>203.908034047884</v>
      </c>
      <c r="R48" s="52" t="n">
        <f aca="false">R47*R$7</f>
        <v>192.579809934113</v>
      </c>
      <c r="S48" s="52" t="n">
        <f aca="false">S47*S$7</f>
        <v>141.430612415613</v>
      </c>
      <c r="T48" s="52" t="n">
        <f aca="false">T47*T$7</f>
        <v>160.288027404361</v>
      </c>
      <c r="U48" s="52" t="n">
        <f aca="false">U47*U$7</f>
        <v>171.66847735007</v>
      </c>
      <c r="V48" s="52" t="n">
        <f aca="false">V47*V$7</f>
        <v>158.425480525922</v>
      </c>
      <c r="W48" s="52" t="n">
        <f aca="false">W47*W$7</f>
        <v>170.098936985727</v>
      </c>
      <c r="X48" s="52" t="n">
        <f aca="false">X47*X$7</f>
        <v>164.825869939169</v>
      </c>
      <c r="Y48" s="52" t="n">
        <f aca="false">Y47*Y$7</f>
        <v>150.425293933958</v>
      </c>
      <c r="Z48" s="52" t="n">
        <f aca="false">Z47*Z$7</f>
        <v>153.433799812637</v>
      </c>
      <c r="AA48" s="52" t="n">
        <f aca="false">AA47*AA$7</f>
        <v>173.199683435559</v>
      </c>
      <c r="AB48" s="52" t="n">
        <f aca="false">AB47*AB$7</f>
        <v>239.380194053567</v>
      </c>
      <c r="AC48" s="52" t="n">
        <f aca="false">AC47*AC$7</f>
        <v>251.07299584003</v>
      </c>
      <c r="AD48" s="52" t="n">
        <f aca="false">AD47*AD$7</f>
        <v>234.799746109658</v>
      </c>
      <c r="AE48" s="52" t="n">
        <f aca="false">AE47*AE$7</f>
        <v>170.746375370943</v>
      </c>
      <c r="AF48" s="52" t="n">
        <f aca="false">AF47*AF$7</f>
        <v>191.61537680517</v>
      </c>
      <c r="AG48" s="52" t="n">
        <f aca="false">AG47*AG$7</f>
        <v>203.208107101882</v>
      </c>
      <c r="AH48" s="52" t="n">
        <f aca="false">AH47*AH$7</f>
        <v>185.693503585006</v>
      </c>
      <c r="AI48" s="52" t="n">
        <f aca="false">AI47*AI$7</f>
        <v>197.421514337743</v>
      </c>
      <c r="AJ48" s="52" t="n">
        <f aca="false">AJ47*AJ$7</f>
        <v>189.425943007064</v>
      </c>
      <c r="AK48" s="52" t="n">
        <f aca="false">AK47*AK$7</f>
        <v>171.181233759542</v>
      </c>
      <c r="AL48" s="52" t="n">
        <f aca="false">AL47*AL$7</f>
        <v>172.893046097137</v>
      </c>
      <c r="AM48" s="53" t="n">
        <f aca="false">SUMIF($C$6:$AL$6,1,C48:AL48)</f>
        <v>1202.10286874528</v>
      </c>
      <c r="AN48" s="53" t="n">
        <f aca="false">SUMIF($C$6:$AL$6,2,C48:AL48)</f>
        <v>1997.50902622673</v>
      </c>
      <c r="AO48" s="53" t="n">
        <f aca="false">SUMIF($C$6:$AL$6,3,C48:AL48)</f>
        <v>2380.6377195033</v>
      </c>
      <c r="AP48" s="53" t="n">
        <f aca="false">SUM(C48:AL48)</f>
        <v>5580.24961447531</v>
      </c>
    </row>
    <row r="49" customFormat="false" ht="15" hidden="false" customHeight="false" outlineLevel="0" collapsed="false">
      <c r="A49" s="7" t="s">
        <v>749</v>
      </c>
      <c r="B49" s="9" t="s">
        <v>88</v>
      </c>
      <c r="C49" s="54" t="n">
        <f aca="false">Assumptions!$C$131*MIN(1,(C$4-Assumptions!$C$126+1)/Assumptions!$C$10)*C46</f>
        <v>-0</v>
      </c>
      <c r="D49" s="54" t="n">
        <f aca="false">Assumptions!$C$131*MIN(1,(D$4-Assumptions!$C$126+1)/Assumptions!$C$10)*D46</f>
        <v>0</v>
      </c>
      <c r="E49" s="54" t="n">
        <f aca="false">Assumptions!$C$131*MIN(1,(E$4-Assumptions!$C$126+1)/Assumptions!$C$10)*E46</f>
        <v>0.00333333333333333</v>
      </c>
      <c r="F49" s="54" t="n">
        <f aca="false">Assumptions!$C$131*MIN(1,(F$4-Assumptions!$C$126+1)/Assumptions!$C$10)*F46</f>
        <v>0.00666666666666667</v>
      </c>
      <c r="G49" s="54" t="n">
        <f aca="false">Assumptions!$C$131*MIN(1,(G$4-Assumptions!$C$126+1)/Assumptions!$C$10)*G46</f>
        <v>0.01</v>
      </c>
      <c r="H49" s="54" t="n">
        <f aca="false">Assumptions!$C$131*MIN(1,(H$4-Assumptions!$C$126+1)/Assumptions!$C$10)*H46</f>
        <v>0.0133333333333333</v>
      </c>
      <c r="I49" s="54" t="n">
        <f aca="false">Assumptions!$C$131*MIN(1,(I$4-Assumptions!$C$126+1)/Assumptions!$C$10)*I46</f>
        <v>0.0166666666666667</v>
      </c>
      <c r="J49" s="54" t="n">
        <f aca="false">Assumptions!$C$131*MIN(1,(J$4-Assumptions!$C$126+1)/Assumptions!$C$10)*J46</f>
        <v>0.02</v>
      </c>
      <c r="K49" s="54" t="n">
        <f aca="false">Assumptions!$C$131*MIN(1,(K$4-Assumptions!$C$126+1)/Assumptions!$C$10)*K46</f>
        <v>0.02</v>
      </c>
      <c r="L49" s="54" t="n">
        <f aca="false">Assumptions!$C$131*MIN(1,(L$4-Assumptions!$C$126+1)/Assumptions!$C$10)*L46</f>
        <v>0.02</v>
      </c>
      <c r="M49" s="54" t="n">
        <f aca="false">Assumptions!$C$131*MIN(1,(M$4-Assumptions!$C$126+1)/Assumptions!$C$10)*M46</f>
        <v>0.02</v>
      </c>
      <c r="N49" s="54" t="n">
        <f aca="false">Assumptions!$C$131*MIN(1,(N$4-Assumptions!$C$126+1)/Assumptions!$C$10)*N46</f>
        <v>0.02</v>
      </c>
      <c r="O49" s="54" t="n">
        <f aca="false">Assumptions!$C$131*MIN(1,(O$4-Assumptions!$C$126+1)/Assumptions!$C$10)*O46</f>
        <v>0.02</v>
      </c>
      <c r="P49" s="54" t="n">
        <f aca="false">Assumptions!$C$131*MIN(1,(P$4-Assumptions!$C$126+1)/Assumptions!$C$10)*P46</f>
        <v>0.02</v>
      </c>
      <c r="Q49" s="54" t="n">
        <f aca="false">Assumptions!$C$131*MIN(1,(Q$4-Assumptions!$C$126+1)/Assumptions!$C$10)*Q46</f>
        <v>0.02</v>
      </c>
      <c r="R49" s="54" t="n">
        <f aca="false">Assumptions!$C$131*MIN(1,(R$4-Assumptions!$C$126+1)/Assumptions!$C$10)*R46</f>
        <v>0.02</v>
      </c>
      <c r="S49" s="54" t="n">
        <f aca="false">Assumptions!$C$131*MIN(1,(S$4-Assumptions!$C$126+1)/Assumptions!$C$10)*S46</f>
        <v>0.02</v>
      </c>
      <c r="T49" s="54" t="n">
        <f aca="false">Assumptions!$C$131*MIN(1,(T$4-Assumptions!$C$126+1)/Assumptions!$C$10)*T46</f>
        <v>0.02</v>
      </c>
      <c r="U49" s="54" t="n">
        <f aca="false">Assumptions!$C$131*MIN(1,(U$4-Assumptions!$C$126+1)/Assumptions!$C$10)*U46</f>
        <v>0.02</v>
      </c>
      <c r="V49" s="54" t="n">
        <f aca="false">Assumptions!$C$131*MIN(1,(V$4-Assumptions!$C$126+1)/Assumptions!$C$10)*V46</f>
        <v>0.02</v>
      </c>
      <c r="W49" s="54" t="n">
        <f aca="false">Assumptions!$C$131*MIN(1,(W$4-Assumptions!$C$126+1)/Assumptions!$C$10)*W46</f>
        <v>0.02</v>
      </c>
      <c r="X49" s="54" t="n">
        <f aca="false">Assumptions!$C$131*MIN(1,(X$4-Assumptions!$C$126+1)/Assumptions!$C$10)*X46</f>
        <v>0.02</v>
      </c>
      <c r="Y49" s="54" t="n">
        <f aca="false">Assumptions!$C$131*MIN(1,(Y$4-Assumptions!$C$126+1)/Assumptions!$C$10)*Y46</f>
        <v>0.02</v>
      </c>
      <c r="Z49" s="54" t="n">
        <f aca="false">Assumptions!$C$131*MIN(1,(Z$4-Assumptions!$C$126+1)/Assumptions!$C$10)*Z46</f>
        <v>0.02</v>
      </c>
      <c r="AA49" s="54" t="n">
        <f aca="false">Assumptions!$C$131*MIN(1,(AA$4-Assumptions!$C$126+1)/Assumptions!$C$10)*AA46</f>
        <v>0.02</v>
      </c>
      <c r="AB49" s="54" t="n">
        <f aca="false">Assumptions!$C$131*MIN(1,(AB$4-Assumptions!$C$126+1)/Assumptions!$C$10)*AB46</f>
        <v>0.02</v>
      </c>
      <c r="AC49" s="54" t="n">
        <f aca="false">Assumptions!$C$131*MIN(1,(AC$4-Assumptions!$C$126+1)/Assumptions!$C$10)*AC46</f>
        <v>0.02</v>
      </c>
      <c r="AD49" s="54" t="n">
        <f aca="false">Assumptions!$C$131*MIN(1,(AD$4-Assumptions!$C$126+1)/Assumptions!$C$10)*AD46</f>
        <v>0.02</v>
      </c>
      <c r="AE49" s="54" t="n">
        <f aca="false">Assumptions!$C$131*MIN(1,(AE$4-Assumptions!$C$126+1)/Assumptions!$C$10)*AE46</f>
        <v>0.02</v>
      </c>
      <c r="AF49" s="54" t="n">
        <f aca="false">Assumptions!$C$131*MIN(1,(AF$4-Assumptions!$C$126+1)/Assumptions!$C$10)*AF46</f>
        <v>0.02</v>
      </c>
      <c r="AG49" s="54" t="n">
        <f aca="false">Assumptions!$C$131*MIN(1,(AG$4-Assumptions!$C$126+1)/Assumptions!$C$10)*AG46</f>
        <v>0.02</v>
      </c>
      <c r="AH49" s="54" t="n">
        <f aca="false">Assumptions!$C$131*MIN(1,(AH$4-Assumptions!$C$126+1)/Assumptions!$C$10)*AH46</f>
        <v>0.02</v>
      </c>
      <c r="AI49" s="54" t="n">
        <f aca="false">Assumptions!$C$131*MIN(1,(AI$4-Assumptions!$C$126+1)/Assumptions!$C$10)*AI46</f>
        <v>0.02</v>
      </c>
      <c r="AJ49" s="54" t="n">
        <f aca="false">Assumptions!$C$131*MIN(1,(AJ$4-Assumptions!$C$126+1)/Assumptions!$C$10)*AJ46</f>
        <v>0.02</v>
      </c>
      <c r="AK49" s="54" t="n">
        <f aca="false">Assumptions!$C$131*MIN(1,(AK$4-Assumptions!$C$126+1)/Assumptions!$C$10)*AK46</f>
        <v>0.02</v>
      </c>
      <c r="AL49" s="54" t="n">
        <f aca="false">Assumptions!$C$131*MIN(1,(AL$4-Assumptions!$C$126+1)/Assumptions!$C$10)*AL46</f>
        <v>0.02</v>
      </c>
    </row>
    <row r="50" customFormat="false" ht="15" hidden="false" customHeight="false" outlineLevel="0" collapsed="false">
      <c r="A50" s="7" t="s">
        <v>757</v>
      </c>
      <c r="B50" s="9" t="s">
        <v>751</v>
      </c>
      <c r="C50" s="55" t="n">
        <f aca="false">C48*C49</f>
        <v>-0</v>
      </c>
      <c r="D50" s="55" t="n">
        <f aca="false">D48*D49</f>
        <v>0</v>
      </c>
      <c r="E50" s="55" t="n">
        <f aca="false">E48*E49</f>
        <v>0.45</v>
      </c>
      <c r="F50" s="55" t="n">
        <f aca="false">F48*F49</f>
        <v>0.866666666666667</v>
      </c>
      <c r="G50" s="55" t="n">
        <f aca="false">G48*G49</f>
        <v>0.97344</v>
      </c>
      <c r="H50" s="55" t="n">
        <f aca="false">H48*H49</f>
        <v>1.49981866666667</v>
      </c>
      <c r="I50" s="55" t="n">
        <f aca="false">I48*I49</f>
        <v>2.04725248</v>
      </c>
      <c r="J50" s="55" t="n">
        <f aca="false">J48*J49</f>
        <v>2.31164051456</v>
      </c>
      <c r="K50" s="55" t="n">
        <f aca="false">K48*K49</f>
        <v>2.530638036992</v>
      </c>
      <c r="L50" s="55" t="n">
        <f aca="false">L48*L49</f>
        <v>2.5002703805481</v>
      </c>
      <c r="M50" s="55" t="n">
        <f aca="false">M48*M49</f>
        <v>2.32656738568897</v>
      </c>
      <c r="N50" s="55" t="n">
        <f aca="false">N48*N49</f>
        <v>2.41963008111652</v>
      </c>
      <c r="O50" s="55" t="n">
        <f aca="false">O48*O49</f>
        <v>2.75837829247284</v>
      </c>
      <c r="P50" s="55" t="n">
        <f aca="false">P48*P49</f>
        <v>3.85011538507261</v>
      </c>
      <c r="Q50" s="55" t="n">
        <f aca="false">Q48*Q49</f>
        <v>4.07816068095769</v>
      </c>
      <c r="R50" s="55" t="n">
        <f aca="false">R48*R49</f>
        <v>3.85159619868226</v>
      </c>
      <c r="S50" s="55" t="n">
        <f aca="false">S48*S49</f>
        <v>2.82861224831225</v>
      </c>
      <c r="T50" s="55" t="n">
        <f aca="false">T48*T49</f>
        <v>3.20576054808722</v>
      </c>
      <c r="U50" s="55" t="n">
        <f aca="false">U48*U49</f>
        <v>3.43336954700141</v>
      </c>
      <c r="V50" s="55" t="n">
        <f aca="false">V48*V49</f>
        <v>3.16850961051844</v>
      </c>
      <c r="W50" s="55" t="n">
        <f aca="false">W48*W49</f>
        <v>3.40197873971454</v>
      </c>
      <c r="X50" s="55" t="n">
        <f aca="false">X48*X49</f>
        <v>3.29651739878339</v>
      </c>
      <c r="Y50" s="55" t="n">
        <f aca="false">Y48*Y49</f>
        <v>3.00850587867916</v>
      </c>
      <c r="Z50" s="55" t="n">
        <f aca="false">Z48*Z49</f>
        <v>3.06867599625274</v>
      </c>
      <c r="AA50" s="55" t="n">
        <f aca="false">AA48*AA49</f>
        <v>3.46399366871118</v>
      </c>
      <c r="AB50" s="55" t="n">
        <f aca="false">AB48*AB49</f>
        <v>4.78760388107135</v>
      </c>
      <c r="AC50" s="55" t="n">
        <f aca="false">AC48*AC49</f>
        <v>5.0214599168006</v>
      </c>
      <c r="AD50" s="55" t="n">
        <f aca="false">AD48*AD49</f>
        <v>4.69599492219315</v>
      </c>
      <c r="AE50" s="55" t="n">
        <f aca="false">AE48*AE49</f>
        <v>3.41492750741886</v>
      </c>
      <c r="AF50" s="55" t="n">
        <f aca="false">AF48*AF49</f>
        <v>3.83230753610339</v>
      </c>
      <c r="AG50" s="55" t="n">
        <f aca="false">AG48*AG49</f>
        <v>4.06416214203764</v>
      </c>
      <c r="AH50" s="55" t="n">
        <f aca="false">AH48*AH49</f>
        <v>3.71387007170011</v>
      </c>
      <c r="AI50" s="55" t="n">
        <f aca="false">AI48*AI49</f>
        <v>3.94843028675486</v>
      </c>
      <c r="AJ50" s="55" t="n">
        <f aca="false">AJ48*AJ49</f>
        <v>3.78851886014129</v>
      </c>
      <c r="AK50" s="55" t="n">
        <f aca="false">AK48*AK49</f>
        <v>3.42362467519084</v>
      </c>
      <c r="AL50" s="55" t="n">
        <f aca="false">AL48*AL49</f>
        <v>3.45786092194275</v>
      </c>
      <c r="AM50" s="53" t="n">
        <f aca="false">SUMIF($C$6:$AL$6,1,C50:AL50)</f>
        <v>17.9259242122389</v>
      </c>
      <c r="AN50" s="53" t="n">
        <f aca="false">SUMIF($C$6:$AL$6,2,C50:AL50)</f>
        <v>39.9501805245345</v>
      </c>
      <c r="AO50" s="53" t="n">
        <f aca="false">SUMIF($C$6:$AL$6,3,C50:AL50)</f>
        <v>47.612754390066</v>
      </c>
      <c r="AP50" s="53" t="n">
        <f aca="false">SUM(C50:AL50)</f>
        <v>105.488859126839</v>
      </c>
    </row>
    <row r="51" customFormat="false" ht="15" hidden="false" customHeight="false" outlineLevel="0" collapsed="false">
      <c r="A51" s="7" t="s">
        <v>752</v>
      </c>
      <c r="B51" s="9" t="s">
        <v>331</v>
      </c>
      <c r="C51" s="56" t="n">
        <f aca="false">C50*Assumptions!$C$132</f>
        <v>-0</v>
      </c>
      <c r="D51" s="56" t="n">
        <f aca="false">D50*Assumptions!$C$132</f>
        <v>0</v>
      </c>
      <c r="E51" s="56" t="n">
        <f aca="false">E50*Assumptions!$C$132</f>
        <v>0.45</v>
      </c>
      <c r="F51" s="56" t="n">
        <f aca="false">F50*Assumptions!$C$132</f>
        <v>0.866666666666667</v>
      </c>
      <c r="G51" s="56" t="n">
        <f aca="false">G50*Assumptions!$C$132</f>
        <v>0.97344</v>
      </c>
      <c r="H51" s="56" t="n">
        <f aca="false">H50*Assumptions!$C$132</f>
        <v>1.49981866666667</v>
      </c>
      <c r="I51" s="56" t="n">
        <f aca="false">I50*Assumptions!$C$132</f>
        <v>2.04725248</v>
      </c>
      <c r="J51" s="56" t="n">
        <f aca="false">J50*Assumptions!$C$132</f>
        <v>2.31164051456</v>
      </c>
      <c r="K51" s="56" t="n">
        <f aca="false">K50*Assumptions!$C$132</f>
        <v>2.530638036992</v>
      </c>
      <c r="L51" s="56" t="n">
        <f aca="false">L50*Assumptions!$C$132</f>
        <v>2.5002703805481</v>
      </c>
      <c r="M51" s="56" t="n">
        <f aca="false">M50*Assumptions!$C$132</f>
        <v>2.32656738568897</v>
      </c>
      <c r="N51" s="56" t="n">
        <f aca="false">N50*Assumptions!$C$132</f>
        <v>2.41963008111652</v>
      </c>
      <c r="O51" s="56" t="n">
        <f aca="false">O50*Assumptions!$C$132</f>
        <v>2.75837829247284</v>
      </c>
      <c r="P51" s="56" t="n">
        <f aca="false">P50*Assumptions!$C$132</f>
        <v>3.85011538507261</v>
      </c>
      <c r="Q51" s="56" t="n">
        <f aca="false">Q50*Assumptions!$C$132</f>
        <v>4.07816068095769</v>
      </c>
      <c r="R51" s="56" t="n">
        <f aca="false">R50*Assumptions!$C$132</f>
        <v>3.85159619868226</v>
      </c>
      <c r="S51" s="56" t="n">
        <f aca="false">S50*Assumptions!$C$132</f>
        <v>2.82861224831225</v>
      </c>
      <c r="T51" s="56" t="n">
        <f aca="false">T50*Assumptions!$C$132</f>
        <v>3.20576054808722</v>
      </c>
      <c r="U51" s="56" t="n">
        <f aca="false">U50*Assumptions!$C$132</f>
        <v>3.43336954700141</v>
      </c>
      <c r="V51" s="56" t="n">
        <f aca="false">V50*Assumptions!$C$132</f>
        <v>3.16850961051844</v>
      </c>
      <c r="W51" s="56" t="n">
        <f aca="false">W50*Assumptions!$C$132</f>
        <v>3.40197873971454</v>
      </c>
      <c r="X51" s="56" t="n">
        <f aca="false">X50*Assumptions!$C$132</f>
        <v>3.29651739878339</v>
      </c>
      <c r="Y51" s="56" t="n">
        <f aca="false">Y50*Assumptions!$C$132</f>
        <v>3.00850587867916</v>
      </c>
      <c r="Z51" s="56" t="n">
        <f aca="false">Z50*Assumptions!$C$132</f>
        <v>3.06867599625274</v>
      </c>
      <c r="AA51" s="56" t="n">
        <f aca="false">AA50*Assumptions!$C$132</f>
        <v>3.46399366871118</v>
      </c>
      <c r="AB51" s="56" t="n">
        <f aca="false">AB50*Assumptions!$C$132</f>
        <v>4.78760388107135</v>
      </c>
      <c r="AC51" s="56" t="n">
        <f aca="false">AC50*Assumptions!$C$132</f>
        <v>5.0214599168006</v>
      </c>
      <c r="AD51" s="56" t="n">
        <f aca="false">AD50*Assumptions!$C$132</f>
        <v>4.69599492219315</v>
      </c>
      <c r="AE51" s="56" t="n">
        <f aca="false">AE50*Assumptions!$C$132</f>
        <v>3.41492750741886</v>
      </c>
      <c r="AF51" s="56" t="n">
        <f aca="false">AF50*Assumptions!$C$132</f>
        <v>3.83230753610339</v>
      </c>
      <c r="AG51" s="56" t="n">
        <f aca="false">AG50*Assumptions!$C$132</f>
        <v>4.06416214203764</v>
      </c>
      <c r="AH51" s="56" t="n">
        <f aca="false">AH50*Assumptions!$C$132</f>
        <v>3.71387007170011</v>
      </c>
      <c r="AI51" s="56" t="n">
        <f aca="false">AI50*Assumptions!$C$132</f>
        <v>3.94843028675486</v>
      </c>
      <c r="AJ51" s="56" t="n">
        <f aca="false">AJ50*Assumptions!$C$132</f>
        <v>3.78851886014129</v>
      </c>
      <c r="AK51" s="56" t="n">
        <f aca="false">AK50*Assumptions!$C$132</f>
        <v>3.42362467519084</v>
      </c>
      <c r="AL51" s="56" t="n">
        <f aca="false">AL50*Assumptions!$C$132</f>
        <v>3.45786092194275</v>
      </c>
      <c r="AM51" s="53" t="n">
        <f aca="false">SUMIF($C$6:$AL$6,1,C51:AL51)</f>
        <v>17.9259242122389</v>
      </c>
      <c r="AN51" s="53" t="n">
        <f aca="false">SUMIF($C$6:$AL$6,2,C51:AL51)</f>
        <v>39.9501805245345</v>
      </c>
      <c r="AO51" s="53" t="n">
        <f aca="false">SUMIF($C$6:$AL$6,3,C51:AL51)</f>
        <v>47.612754390066</v>
      </c>
      <c r="AP51" s="53" t="n">
        <f aca="false">SUM(C51:AL51)</f>
        <v>105.488859126839</v>
      </c>
    </row>
    <row r="52" customFormat="false" ht="15" hidden="false" customHeight="false" outlineLevel="0" collapsed="false">
      <c r="A52" s="7" t="s">
        <v>753</v>
      </c>
      <c r="B52" s="9" t="s">
        <v>93</v>
      </c>
      <c r="C52" s="15" t="n">
        <f aca="false">'Unit Economics'!$E$53*Assumptions!$C$132*C46</f>
        <v>0</v>
      </c>
      <c r="D52" s="15" t="n">
        <f aca="false">'Unit Economics'!$E$53*Assumptions!$C$132*D46</f>
        <v>0</v>
      </c>
      <c r="E52" s="15" t="n">
        <f aca="false">'Unit Economics'!$E$53*Assumptions!$C$132*E46</f>
        <v>17.79</v>
      </c>
      <c r="F52" s="15" t="n">
        <f aca="false">'Unit Economics'!$E$53*Assumptions!$C$132*F46</f>
        <v>17.79</v>
      </c>
      <c r="G52" s="15" t="n">
        <f aca="false">'Unit Economics'!$E$53*Assumptions!$C$132*G46</f>
        <v>17.79</v>
      </c>
      <c r="H52" s="15" t="n">
        <f aca="false">'Unit Economics'!$E$53*Assumptions!$C$132*H46</f>
        <v>17.79</v>
      </c>
      <c r="I52" s="15" t="n">
        <f aca="false">'Unit Economics'!$E$53*Assumptions!$C$132*I46</f>
        <v>17.79</v>
      </c>
      <c r="J52" s="15" t="n">
        <f aca="false">'Unit Economics'!$E$53*Assumptions!$C$132*J46</f>
        <v>17.79</v>
      </c>
      <c r="K52" s="15" t="n">
        <f aca="false">'Unit Economics'!$E$53*Assumptions!$C$132*K46</f>
        <v>17.79</v>
      </c>
      <c r="L52" s="15" t="n">
        <f aca="false">'Unit Economics'!$E$53*Assumptions!$C$132*L46</f>
        <v>17.79</v>
      </c>
      <c r="M52" s="15" t="n">
        <f aca="false">'Unit Economics'!$E$53*Assumptions!$C$132*M46</f>
        <v>17.79</v>
      </c>
      <c r="N52" s="15" t="n">
        <f aca="false">'Unit Economics'!$E$53*Assumptions!$C$132*N46</f>
        <v>17.79</v>
      </c>
      <c r="O52" s="15" t="n">
        <f aca="false">'Unit Economics'!$E$53*Assumptions!$C$132*O46</f>
        <v>17.79</v>
      </c>
      <c r="P52" s="15" t="n">
        <f aca="false">'Unit Economics'!$E$53*Assumptions!$C$132*P46</f>
        <v>17.79</v>
      </c>
      <c r="Q52" s="15" t="n">
        <f aca="false">'Unit Economics'!$E$53*Assumptions!$C$132*Q46</f>
        <v>17.79</v>
      </c>
      <c r="R52" s="15" t="n">
        <f aca="false">'Unit Economics'!$E$53*Assumptions!$C$132*R46</f>
        <v>17.79</v>
      </c>
      <c r="S52" s="15" t="n">
        <f aca="false">'Unit Economics'!$E$53*Assumptions!$C$132*S46</f>
        <v>17.79</v>
      </c>
      <c r="T52" s="15" t="n">
        <f aca="false">'Unit Economics'!$E$53*Assumptions!$C$132*T46</f>
        <v>17.79</v>
      </c>
      <c r="U52" s="15" t="n">
        <f aca="false">'Unit Economics'!$E$53*Assumptions!$C$132*U46</f>
        <v>17.79</v>
      </c>
      <c r="V52" s="15" t="n">
        <f aca="false">'Unit Economics'!$E$53*Assumptions!$C$132*V46</f>
        <v>17.79</v>
      </c>
      <c r="W52" s="15" t="n">
        <f aca="false">'Unit Economics'!$E$53*Assumptions!$C$132*W46</f>
        <v>17.79</v>
      </c>
      <c r="X52" s="15" t="n">
        <f aca="false">'Unit Economics'!$E$53*Assumptions!$C$132*X46</f>
        <v>17.79</v>
      </c>
      <c r="Y52" s="15" t="n">
        <f aca="false">'Unit Economics'!$E$53*Assumptions!$C$132*Y46</f>
        <v>17.79</v>
      </c>
      <c r="Z52" s="15" t="n">
        <f aca="false">'Unit Economics'!$E$53*Assumptions!$C$132*Z46</f>
        <v>17.79</v>
      </c>
      <c r="AA52" s="15" t="n">
        <f aca="false">'Unit Economics'!$E$53*Assumptions!$C$132*AA46</f>
        <v>17.79</v>
      </c>
      <c r="AB52" s="15" t="n">
        <f aca="false">'Unit Economics'!$E$53*Assumptions!$C$132*AB46</f>
        <v>17.79</v>
      </c>
      <c r="AC52" s="15" t="n">
        <f aca="false">'Unit Economics'!$E$53*Assumptions!$C$132*AC46</f>
        <v>17.79</v>
      </c>
      <c r="AD52" s="15" t="n">
        <f aca="false">'Unit Economics'!$E$53*Assumptions!$C$132*AD46</f>
        <v>17.79</v>
      </c>
      <c r="AE52" s="15" t="n">
        <f aca="false">'Unit Economics'!$E$53*Assumptions!$C$132*AE46</f>
        <v>17.79</v>
      </c>
      <c r="AF52" s="15" t="n">
        <f aca="false">'Unit Economics'!$E$53*Assumptions!$C$132*AF46</f>
        <v>17.79</v>
      </c>
      <c r="AG52" s="15" t="n">
        <f aca="false">'Unit Economics'!$E$53*Assumptions!$C$132*AG46</f>
        <v>17.79</v>
      </c>
      <c r="AH52" s="15" t="n">
        <f aca="false">'Unit Economics'!$E$53*Assumptions!$C$132*AH46</f>
        <v>17.79</v>
      </c>
      <c r="AI52" s="15" t="n">
        <f aca="false">'Unit Economics'!$E$53*Assumptions!$C$132*AI46</f>
        <v>17.79</v>
      </c>
      <c r="AJ52" s="15" t="n">
        <f aca="false">'Unit Economics'!$E$53*Assumptions!$C$132*AJ46</f>
        <v>17.79</v>
      </c>
      <c r="AK52" s="15" t="n">
        <f aca="false">'Unit Economics'!$E$53*Assumptions!$C$132*AK46</f>
        <v>17.79</v>
      </c>
      <c r="AL52" s="15" t="n">
        <f aca="false">'Unit Economics'!$E$53*Assumptions!$C$132*AL46</f>
        <v>17.79</v>
      </c>
    </row>
    <row r="53" customFormat="false" ht="15" hidden="false" customHeight="false" outlineLevel="0" collapsed="false">
      <c r="A53" s="7" t="s">
        <v>754</v>
      </c>
      <c r="B53" s="9" t="s">
        <v>93</v>
      </c>
      <c r="C53" s="8" t="n">
        <f aca="false">C51*'Unit Economics'!$E$53</f>
        <v>-0</v>
      </c>
      <c r="D53" s="8" t="n">
        <f aca="false">D51*'Unit Economics'!$E$53</f>
        <v>0</v>
      </c>
      <c r="E53" s="8" t="n">
        <f aca="false">E51*'Unit Economics'!$E$53</f>
        <v>8.0055</v>
      </c>
      <c r="F53" s="8" t="n">
        <f aca="false">F51*'Unit Economics'!$E$53</f>
        <v>15.418</v>
      </c>
      <c r="G53" s="8" t="n">
        <f aca="false">G51*'Unit Economics'!$E$53</f>
        <v>17.3174976</v>
      </c>
      <c r="H53" s="8" t="n">
        <f aca="false">H51*'Unit Economics'!$E$53</f>
        <v>26.68177408</v>
      </c>
      <c r="I53" s="8" t="n">
        <f aca="false">I51*'Unit Economics'!$E$53</f>
        <v>36.4206216192</v>
      </c>
      <c r="J53" s="8" t="n">
        <f aca="false">J51*'Unit Economics'!$E$53</f>
        <v>41.1240847540224</v>
      </c>
      <c r="K53" s="8" t="n">
        <f aca="false">K51*'Unit Economics'!$E$53</f>
        <v>45.0200506780877</v>
      </c>
      <c r="L53" s="8" t="n">
        <f aca="false">L51*'Unit Economics'!$E$53</f>
        <v>44.4798100699506</v>
      </c>
      <c r="M53" s="8" t="n">
        <f aca="false">M51*'Unit Economics'!$E$53</f>
        <v>41.3896337914067</v>
      </c>
      <c r="N53" s="8" t="n">
        <f aca="false">N51*'Unit Economics'!$E$53</f>
        <v>43.045219143063</v>
      </c>
      <c r="O53" s="8" t="n">
        <f aca="false">O51*'Unit Economics'!$E$53</f>
        <v>49.0715498230918</v>
      </c>
      <c r="P53" s="8" t="n">
        <f aca="false">P51*'Unit Economics'!$E$53</f>
        <v>68.4935527004418</v>
      </c>
      <c r="Q53" s="8" t="n">
        <f aca="false">Q51*'Unit Economics'!$E$53</f>
        <v>72.5504785142372</v>
      </c>
      <c r="R53" s="8" t="n">
        <f aca="false">R51*'Unit Economics'!$E$53</f>
        <v>68.5198963745574</v>
      </c>
      <c r="S53" s="8" t="n">
        <f aca="false">S51*'Unit Economics'!$E$53</f>
        <v>50.3210118974749</v>
      </c>
      <c r="T53" s="8" t="n">
        <f aca="false">T51*'Unit Economics'!$E$53</f>
        <v>57.0304801504716</v>
      </c>
      <c r="U53" s="8" t="n">
        <f aca="false">U51*'Unit Economics'!$E$53</f>
        <v>61.0796442411551</v>
      </c>
      <c r="V53" s="8" t="n">
        <f aca="false">V51*'Unit Economics'!$E$53</f>
        <v>56.3677859711231</v>
      </c>
      <c r="W53" s="8" t="n">
        <f aca="false">W51*'Unit Economics'!$E$53</f>
        <v>60.5212017795217</v>
      </c>
      <c r="X53" s="8" t="n">
        <f aca="false">X51*'Unit Economics'!$E$53</f>
        <v>58.6450445243565</v>
      </c>
      <c r="Y53" s="8" t="n">
        <f aca="false">Y51*'Unit Economics'!$E$53</f>
        <v>53.5213195817022</v>
      </c>
      <c r="Z53" s="8" t="n">
        <f aca="false">Z51*'Unit Economics'!$E$53</f>
        <v>54.5917459733362</v>
      </c>
      <c r="AA53" s="8" t="n">
        <f aca="false">AA51*'Unit Economics'!$E$53</f>
        <v>61.6244473663719</v>
      </c>
      <c r="AB53" s="8" t="n">
        <f aca="false">AB51*'Unit Economics'!$E$53</f>
        <v>85.1714730442592</v>
      </c>
      <c r="AC53" s="8" t="n">
        <f aca="false">AC51*'Unit Economics'!$E$53</f>
        <v>89.3317719198827</v>
      </c>
      <c r="AD53" s="8" t="n">
        <f aca="false">AD51*'Unit Economics'!$E$53</f>
        <v>83.5417496658162</v>
      </c>
      <c r="AE53" s="8" t="n">
        <f aca="false">AE51*'Unit Economics'!$E$53</f>
        <v>60.7515603569816</v>
      </c>
      <c r="AF53" s="8" t="n">
        <f aca="false">AF51*'Unit Economics'!$E$53</f>
        <v>68.1767510672793</v>
      </c>
      <c r="AG53" s="8" t="n">
        <f aca="false">AG51*'Unit Economics'!$E$53</f>
        <v>72.3014445068497</v>
      </c>
      <c r="AH53" s="8" t="n">
        <f aca="false">AH51*'Unit Economics'!$E$53</f>
        <v>66.069748575545</v>
      </c>
      <c r="AI53" s="8" t="n">
        <f aca="false">AI51*'Unit Economics'!$E$53</f>
        <v>70.2425748013689</v>
      </c>
      <c r="AJ53" s="8" t="n">
        <f aca="false">AJ51*'Unit Economics'!$E$53</f>
        <v>67.3977505219135</v>
      </c>
      <c r="AK53" s="8" t="n">
        <f aca="false">AK51*'Unit Economics'!$E$53</f>
        <v>60.906282971645</v>
      </c>
      <c r="AL53" s="8" t="n">
        <f aca="false">AL51*'Unit Economics'!$E$53</f>
        <v>61.5153458013614</v>
      </c>
      <c r="AM53" s="45" t="n">
        <f aca="false">SUMIF($C$6:$AL$6,1,C53:AL53)</f>
        <v>318.90219173573</v>
      </c>
      <c r="AN53" s="45" t="n">
        <f aca="false">SUMIF($C$6:$AL$6,2,C53:AL53)</f>
        <v>710.713711531469</v>
      </c>
      <c r="AO53" s="45" t="n">
        <f aca="false">SUMIF($C$6:$AL$6,3,C53:AL53)</f>
        <v>847.030900599274</v>
      </c>
      <c r="AP53" s="45" t="n">
        <f aca="false">SUM(C53:AL53)</f>
        <v>1876.64680386647</v>
      </c>
    </row>
    <row r="54" customFormat="false" ht="15" hidden="false" customHeight="false" outlineLevel="0" collapsed="false">
      <c r="A54" s="7" t="s">
        <v>755</v>
      </c>
      <c r="B54" s="9" t="s">
        <v>93</v>
      </c>
      <c r="C54" s="8" t="n">
        <f aca="false">C51*'Unit Economics'!$F$53</f>
        <v>-0</v>
      </c>
      <c r="D54" s="8" t="n">
        <f aca="false">D51*'Unit Economics'!$F$53</f>
        <v>0</v>
      </c>
      <c r="E54" s="8" t="n">
        <f aca="false">E51*'Unit Economics'!$F$53</f>
        <v>0.837314999999999</v>
      </c>
      <c r="F54" s="8" t="n">
        <f aca="false">F51*'Unit Economics'!$F$53</f>
        <v>1.61260666666667</v>
      </c>
      <c r="G54" s="8" t="n">
        <f aca="false">G51*'Unit Economics'!$F$53</f>
        <v>1.811279808</v>
      </c>
      <c r="H54" s="8" t="n">
        <f aca="false">H51*'Unit Economics'!$F$53</f>
        <v>2.79071259306666</v>
      </c>
      <c r="I54" s="8" t="n">
        <f aca="false">I51*'Unit Economics'!$F$53</f>
        <v>3.809322689536</v>
      </c>
      <c r="J54" s="8" t="n">
        <f aca="false">J51*'Unit Economics'!$F$53</f>
        <v>4.30126950544179</v>
      </c>
      <c r="K54" s="8" t="n">
        <f aca="false">K51*'Unit Economics'!$F$53</f>
        <v>4.70875819543101</v>
      </c>
      <c r="L54" s="8" t="n">
        <f aca="false">L51*'Unit Economics'!$F$53</f>
        <v>4.65225309708584</v>
      </c>
      <c r="M54" s="8" t="n">
        <f aca="false">M51*'Unit Economics'!$F$53</f>
        <v>4.32904393455145</v>
      </c>
      <c r="N54" s="8" t="n">
        <f aca="false">N51*'Unit Economics'!$F$53</f>
        <v>4.50220569193351</v>
      </c>
      <c r="O54" s="8" t="n">
        <f aca="false">O51*'Unit Economics'!$F$53</f>
        <v>5.1325144888042</v>
      </c>
      <c r="P54" s="8" t="n">
        <f aca="false">P51*'Unit Economics'!$F$53</f>
        <v>7.16390969700461</v>
      </c>
      <c r="Q54" s="8" t="n">
        <f aca="false">Q51*'Unit Economics'!$F$53</f>
        <v>7.58823357905796</v>
      </c>
      <c r="R54" s="8" t="n">
        <f aca="false">R51*'Unit Economics'!$F$53</f>
        <v>7.16666504688807</v>
      </c>
      <c r="S54" s="8" t="n">
        <f aca="false">S51*'Unit Economics'!$F$53</f>
        <v>5.2631988104346</v>
      </c>
      <c r="T54" s="8" t="n">
        <f aca="false">T51*'Unit Economics'!$F$53</f>
        <v>5.96495865182588</v>
      </c>
      <c r="U54" s="8" t="n">
        <f aca="false">U51*'Unit Economics'!$F$53</f>
        <v>6.38847071610552</v>
      </c>
      <c r="V54" s="8" t="n">
        <f aca="false">V51*'Unit Economics'!$F$53</f>
        <v>5.89564583229166</v>
      </c>
      <c r="W54" s="8" t="n">
        <f aca="false">W51*'Unit Economics'!$F$53</f>
        <v>6.33006184098684</v>
      </c>
      <c r="X54" s="8" t="n">
        <f aca="false">X51*'Unit Economics'!$F$53</f>
        <v>6.13382992391625</v>
      </c>
      <c r="Y54" s="8" t="n">
        <f aca="false">Y51*'Unit Economics'!$F$53</f>
        <v>5.5979268884583</v>
      </c>
      <c r="Z54" s="8" t="n">
        <f aca="false">Z51*'Unit Economics'!$F$53</f>
        <v>5.70988542622747</v>
      </c>
      <c r="AA54" s="8" t="n">
        <f aca="false">AA51*'Unit Economics'!$F$53</f>
        <v>6.44545301937089</v>
      </c>
      <c r="AB54" s="8" t="n">
        <f aca="false">AB51*'Unit Economics'!$F$53</f>
        <v>8.90829454150945</v>
      </c>
      <c r="AC54" s="8" t="n">
        <f aca="false">AC51*'Unit Economics'!$F$53</f>
        <v>9.34343046719087</v>
      </c>
      <c r="AD54" s="8" t="n">
        <f aca="false">AD51*'Unit Economics'!$F$53</f>
        <v>8.7378377517248</v>
      </c>
      <c r="AE54" s="8" t="n">
        <f aca="false">AE51*'Unit Economics'!$F$53</f>
        <v>6.35415561305427</v>
      </c>
      <c r="AF54" s="8" t="n">
        <f aca="false">AF51*'Unit Economics'!$F$53</f>
        <v>7.13077463242757</v>
      </c>
      <c r="AG54" s="8" t="n">
        <f aca="false">AG51*'Unit Economics'!$F$53</f>
        <v>7.56218649768944</v>
      </c>
      <c r="AH54" s="8" t="n">
        <f aca="false">AH51*'Unit Economics'!$F$53</f>
        <v>6.9103980424124</v>
      </c>
      <c r="AI54" s="8" t="n">
        <f aca="false">AI51*'Unit Economics'!$F$53</f>
        <v>7.34684423456476</v>
      </c>
      <c r="AJ54" s="8" t="n">
        <f aca="false">AJ51*'Unit Economics'!$F$53</f>
        <v>7.04929704306489</v>
      </c>
      <c r="AK54" s="8" t="n">
        <f aca="false">AK51*'Unit Economics'!$F$53</f>
        <v>6.37033843312758</v>
      </c>
      <c r="AL54" s="8" t="n">
        <f aca="false">AL51*'Unit Economics'!$F$53</f>
        <v>6.43404181745886</v>
      </c>
      <c r="AM54" s="45" t="n">
        <f aca="false">SUMIF($C$6:$AL$6,1,C54:AL54)</f>
        <v>33.3547671817129</v>
      </c>
      <c r="AN54" s="45" t="n">
        <f aca="false">SUMIF($C$6:$AL$6,2,C54:AL54)</f>
        <v>74.3353009020013</v>
      </c>
      <c r="AO54" s="45" t="n">
        <f aca="false">SUMIF($C$6:$AL$6,3,C54:AL54)</f>
        <v>88.5930520935958</v>
      </c>
      <c r="AP54" s="45" t="n">
        <f aca="false">SUM(C54:AL54)</f>
        <v>196.28312017731</v>
      </c>
    </row>
    <row r="55" customFormat="false" ht="15" hidden="false" customHeight="false" outlineLevel="0" collapsed="false">
      <c r="A55" s="5" t="s">
        <v>564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</row>
    <row r="56" customFormat="false" ht="15" hidden="false" customHeight="false" outlineLevel="0" collapsed="false">
      <c r="A56" s="7" t="s">
        <v>746</v>
      </c>
      <c r="B56" s="9" t="s">
        <v>308</v>
      </c>
      <c r="C56" s="37" t="n">
        <f aca="false">IF(AND(Assumptions!$C$134=1,C$4&gt;=Assumptions!$C$135),1,0)</f>
        <v>0</v>
      </c>
      <c r="D56" s="37" t="n">
        <f aca="false">IF(AND(Assumptions!$C$134=1,D$4&gt;=Assumptions!$C$135),1,0)</f>
        <v>0</v>
      </c>
      <c r="E56" s="37" t="n">
        <f aca="false">IF(AND(Assumptions!$C$134=1,E$4&gt;=Assumptions!$C$135),1,0)</f>
        <v>0</v>
      </c>
      <c r="F56" s="37" t="n">
        <f aca="false">IF(AND(Assumptions!$C$134=1,F$4&gt;=Assumptions!$C$135),1,0)</f>
        <v>1</v>
      </c>
      <c r="G56" s="37" t="n">
        <f aca="false">IF(AND(Assumptions!$C$134=1,G$4&gt;=Assumptions!$C$135),1,0)</f>
        <v>1</v>
      </c>
      <c r="H56" s="37" t="n">
        <f aca="false">IF(AND(Assumptions!$C$134=1,H$4&gt;=Assumptions!$C$135),1,0)</f>
        <v>1</v>
      </c>
      <c r="I56" s="37" t="n">
        <f aca="false">IF(AND(Assumptions!$C$134=1,I$4&gt;=Assumptions!$C$135),1,0)</f>
        <v>1</v>
      </c>
      <c r="J56" s="37" t="n">
        <f aca="false">IF(AND(Assumptions!$C$134=1,J$4&gt;=Assumptions!$C$135),1,0)</f>
        <v>1</v>
      </c>
      <c r="K56" s="37" t="n">
        <f aca="false">IF(AND(Assumptions!$C$134=1,K$4&gt;=Assumptions!$C$135),1,0)</f>
        <v>1</v>
      </c>
      <c r="L56" s="37" t="n">
        <f aca="false">IF(AND(Assumptions!$C$134=1,L$4&gt;=Assumptions!$C$135),1,0)</f>
        <v>1</v>
      </c>
      <c r="M56" s="37" t="n">
        <f aca="false">IF(AND(Assumptions!$C$134=1,M$4&gt;=Assumptions!$C$135),1,0)</f>
        <v>1</v>
      </c>
      <c r="N56" s="37" t="n">
        <f aca="false">IF(AND(Assumptions!$C$134=1,N$4&gt;=Assumptions!$C$135),1,0)</f>
        <v>1</v>
      </c>
      <c r="O56" s="37" t="n">
        <f aca="false">IF(AND(Assumptions!$C$134=1,O$4&gt;=Assumptions!$C$135),1,0)</f>
        <v>1</v>
      </c>
      <c r="P56" s="37" t="n">
        <f aca="false">IF(AND(Assumptions!$C$134=1,P$4&gt;=Assumptions!$C$135),1,0)</f>
        <v>1</v>
      </c>
      <c r="Q56" s="37" t="n">
        <f aca="false">IF(AND(Assumptions!$C$134=1,Q$4&gt;=Assumptions!$C$135),1,0)</f>
        <v>1</v>
      </c>
      <c r="R56" s="37" t="n">
        <f aca="false">IF(AND(Assumptions!$C$134=1,R$4&gt;=Assumptions!$C$135),1,0)</f>
        <v>1</v>
      </c>
      <c r="S56" s="37" t="n">
        <f aca="false">IF(AND(Assumptions!$C$134=1,S$4&gt;=Assumptions!$C$135),1,0)</f>
        <v>1</v>
      </c>
      <c r="T56" s="37" t="n">
        <f aca="false">IF(AND(Assumptions!$C$134=1,T$4&gt;=Assumptions!$C$135),1,0)</f>
        <v>1</v>
      </c>
      <c r="U56" s="37" t="n">
        <f aca="false">IF(AND(Assumptions!$C$134=1,U$4&gt;=Assumptions!$C$135),1,0)</f>
        <v>1</v>
      </c>
      <c r="V56" s="37" t="n">
        <f aca="false">IF(AND(Assumptions!$C$134=1,V$4&gt;=Assumptions!$C$135),1,0)</f>
        <v>1</v>
      </c>
      <c r="W56" s="37" t="n">
        <f aca="false">IF(AND(Assumptions!$C$134=1,W$4&gt;=Assumptions!$C$135),1,0)</f>
        <v>1</v>
      </c>
      <c r="X56" s="37" t="n">
        <f aca="false">IF(AND(Assumptions!$C$134=1,X$4&gt;=Assumptions!$C$135),1,0)</f>
        <v>1</v>
      </c>
      <c r="Y56" s="37" t="n">
        <f aca="false">IF(AND(Assumptions!$C$134=1,Y$4&gt;=Assumptions!$C$135),1,0)</f>
        <v>1</v>
      </c>
      <c r="Z56" s="37" t="n">
        <f aca="false">IF(AND(Assumptions!$C$134=1,Z$4&gt;=Assumptions!$C$135),1,0)</f>
        <v>1</v>
      </c>
      <c r="AA56" s="37" t="n">
        <f aca="false">IF(AND(Assumptions!$C$134=1,AA$4&gt;=Assumptions!$C$135),1,0)</f>
        <v>1</v>
      </c>
      <c r="AB56" s="37" t="n">
        <f aca="false">IF(AND(Assumptions!$C$134=1,AB$4&gt;=Assumptions!$C$135),1,0)</f>
        <v>1</v>
      </c>
      <c r="AC56" s="37" t="n">
        <f aca="false">IF(AND(Assumptions!$C$134=1,AC$4&gt;=Assumptions!$C$135),1,0)</f>
        <v>1</v>
      </c>
      <c r="AD56" s="37" t="n">
        <f aca="false">IF(AND(Assumptions!$C$134=1,AD$4&gt;=Assumptions!$C$135),1,0)</f>
        <v>1</v>
      </c>
      <c r="AE56" s="37" t="n">
        <f aca="false">IF(AND(Assumptions!$C$134=1,AE$4&gt;=Assumptions!$C$135),1,0)</f>
        <v>1</v>
      </c>
      <c r="AF56" s="37" t="n">
        <f aca="false">IF(AND(Assumptions!$C$134=1,AF$4&gt;=Assumptions!$C$135),1,0)</f>
        <v>1</v>
      </c>
      <c r="AG56" s="37" t="n">
        <f aca="false">IF(AND(Assumptions!$C$134=1,AG$4&gt;=Assumptions!$C$135),1,0)</f>
        <v>1</v>
      </c>
      <c r="AH56" s="37" t="n">
        <f aca="false">IF(AND(Assumptions!$C$134=1,AH$4&gt;=Assumptions!$C$135),1,0)</f>
        <v>1</v>
      </c>
      <c r="AI56" s="37" t="n">
        <f aca="false">IF(AND(Assumptions!$C$134=1,AI$4&gt;=Assumptions!$C$135),1,0)</f>
        <v>1</v>
      </c>
      <c r="AJ56" s="37" t="n">
        <f aca="false">IF(AND(Assumptions!$C$134=1,AJ$4&gt;=Assumptions!$C$135),1,0)</f>
        <v>1</v>
      </c>
      <c r="AK56" s="37" t="n">
        <f aca="false">IF(AND(Assumptions!$C$134=1,AK$4&gt;=Assumptions!$C$135),1,0)</f>
        <v>1</v>
      </c>
      <c r="AL56" s="37" t="n">
        <f aca="false">IF(AND(Assumptions!$C$134=1,AL$4&gt;=Assumptions!$C$135),1,0)</f>
        <v>1</v>
      </c>
    </row>
    <row r="57" customFormat="false" ht="15" hidden="false" customHeight="false" outlineLevel="0" collapsed="false">
      <c r="A57" s="7" t="s">
        <v>747</v>
      </c>
      <c r="B57" s="9" t="s">
        <v>316</v>
      </c>
      <c r="C57" s="14" t="n">
        <f aca="false">IF(C56=0,0,C17*Assumptions!$C$105)</f>
        <v>0</v>
      </c>
      <c r="D57" s="14" t="n">
        <f aca="false">IF(D56=0,0,D17*Assumptions!$C$105)</f>
        <v>0</v>
      </c>
      <c r="E57" s="14" t="n">
        <f aca="false">IF(E56=0,0,E17*Assumptions!$C$105)</f>
        <v>0</v>
      </c>
      <c r="F57" s="14" t="n">
        <f aca="false">IF(F56=0,0,F17*Assumptions!$C$105)</f>
        <v>56.68704</v>
      </c>
      <c r="G57" s="14" t="n">
        <f aca="false">IF(G56=0,0,G17*Assumptions!$C$105)</f>
        <v>61.2220032</v>
      </c>
      <c r="H57" s="14" t="n">
        <f aca="false">IF(H56=0,0,H17*Assumptions!$C$105)</f>
        <v>66.119763456</v>
      </c>
      <c r="I57" s="14" t="n">
        <f aca="false">IF(I56=0,0,I17*Assumptions!$C$105)</f>
        <v>71.40934453248</v>
      </c>
      <c r="J57" s="14" t="n">
        <f aca="false">IF(J56=0,0,J17*Assumptions!$C$105)</f>
        <v>77.1220920950784</v>
      </c>
      <c r="K57" s="14" t="n">
        <f aca="false">IF(K56=0,0,K17*Assumptions!$C$105)</f>
        <v>83.2918594626847</v>
      </c>
      <c r="L57" s="14" t="n">
        <f aca="false">IF(L56=0,0,L17*Assumptions!$C$105)</f>
        <v>89.9552082196995</v>
      </c>
      <c r="M57" s="14" t="n">
        <f aca="false">IF(M56=0,0,M17*Assumptions!$C$105)</f>
        <v>97.1516248772754</v>
      </c>
      <c r="N57" s="14" t="n">
        <f aca="false">IF(N56=0,0,N17*Assumptions!$C$105)</f>
        <v>104.923754867457</v>
      </c>
      <c r="O57" s="14" t="n">
        <f aca="false">IF(O56=0,0,O17*Assumptions!$C$105)</f>
        <v>109.120705062156</v>
      </c>
      <c r="P57" s="14" t="n">
        <f aca="false">IF(P56=0,0,P17*Assumptions!$C$105)</f>
        <v>113.485533264642</v>
      </c>
      <c r="Q57" s="14" t="n">
        <f aca="false">IF(Q56=0,0,Q17*Assumptions!$C$105)</f>
        <v>118.024954595228</v>
      </c>
      <c r="R57" s="14" t="n">
        <f aca="false">IF(R56=0,0,R17*Assumptions!$C$105)</f>
        <v>122.745952779037</v>
      </c>
      <c r="S57" s="14" t="n">
        <f aca="false">IF(S56=0,0,S17*Assumptions!$C$105)</f>
        <v>127.655790890198</v>
      </c>
      <c r="T57" s="14" t="n">
        <f aca="false">IF(T56=0,0,T17*Assumptions!$C$105)</f>
        <v>132.762022525806</v>
      </c>
      <c r="U57" s="14" t="n">
        <f aca="false">IF(U56=0,0,U17*Assumptions!$C$105)</f>
        <v>138.072503426839</v>
      </c>
      <c r="V57" s="14" t="n">
        <f aca="false">IF(V56=0,0,V17*Assumptions!$C$105)</f>
        <v>143.595403563912</v>
      </c>
      <c r="W57" s="14" t="n">
        <f aca="false">IF(W56=0,0,W17*Assumptions!$C$105)</f>
        <v>149.339219706469</v>
      </c>
      <c r="X57" s="14" t="n">
        <f aca="false">IF(X56=0,0,X17*Assumptions!$C$105)</f>
        <v>155.312788494727</v>
      </c>
      <c r="Y57" s="14" t="n">
        <f aca="false">IF(Y56=0,0,Y17*Assumptions!$C$105)</f>
        <v>161.525300034516</v>
      </c>
      <c r="Z57" s="14" t="n">
        <f aca="false">IF(Z56=0,0,Z17*Assumptions!$C$105)</f>
        <v>167.986312035897</v>
      </c>
      <c r="AA57" s="14" t="n">
        <f aca="false">IF(AA56=0,0,AA17*Assumptions!$C$105)</f>
        <v>171.346038276615</v>
      </c>
      <c r="AB57" s="14" t="n">
        <f aca="false">IF(AB56=0,0,AB17*Assumptions!$C$105)</f>
        <v>174.772959042147</v>
      </c>
      <c r="AC57" s="14" t="n">
        <f aca="false">IF(AC56=0,0,AC17*Assumptions!$C$105)</f>
        <v>178.26841822299</v>
      </c>
      <c r="AD57" s="14" t="n">
        <f aca="false">IF(AD56=0,0,AD17*Assumptions!$C$105)</f>
        <v>181.83378658745</v>
      </c>
      <c r="AE57" s="14" t="n">
        <f aca="false">IF(AE56=0,0,AE17*Assumptions!$C$105)</f>
        <v>185.470462319199</v>
      </c>
      <c r="AF57" s="14" t="n">
        <f aca="false">IF(AF56=0,0,AF17*Assumptions!$C$105)</f>
        <v>189.179871565583</v>
      </c>
      <c r="AG57" s="14" t="n">
        <f aca="false">IF(AG56=0,0,AG17*Assumptions!$C$105)</f>
        <v>192.963468996895</v>
      </c>
      <c r="AH57" s="14" t="n">
        <f aca="false">IF(AH56=0,0,AH17*Assumptions!$C$105)</f>
        <v>196.822738376833</v>
      </c>
      <c r="AI57" s="14" t="n">
        <f aca="false">IF(AI56=0,0,AI17*Assumptions!$C$105)</f>
        <v>200.759193144369</v>
      </c>
      <c r="AJ57" s="14" t="n">
        <f aca="false">IF(AJ56=0,0,AJ17*Assumptions!$C$105)</f>
        <v>204.774377007257</v>
      </c>
      <c r="AK57" s="14" t="n">
        <f aca="false">IF(AK56=0,0,AK17*Assumptions!$C$105)</f>
        <v>208.869864547402</v>
      </c>
      <c r="AL57" s="14" t="n">
        <f aca="false">IF(AL56=0,0,AL17*Assumptions!$C$105)</f>
        <v>213.04726183835</v>
      </c>
    </row>
    <row r="58" customFormat="false" ht="15" hidden="false" customHeight="false" outlineLevel="0" collapsed="false">
      <c r="A58" s="7" t="s">
        <v>760</v>
      </c>
      <c r="B58" s="9" t="s">
        <v>316</v>
      </c>
      <c r="C58" s="52" t="n">
        <f aca="false">C57*C$7</f>
        <v>0</v>
      </c>
      <c r="D58" s="52" t="n">
        <f aca="false">D57*D$7</f>
        <v>0</v>
      </c>
      <c r="E58" s="52" t="n">
        <f aca="false">E57*E$7</f>
        <v>0</v>
      </c>
      <c r="F58" s="52" t="n">
        <f aca="false">F57*F$7</f>
        <v>70.8588</v>
      </c>
      <c r="G58" s="52" t="n">
        <f aca="false">G57*G$7</f>
        <v>55.09980288</v>
      </c>
      <c r="H58" s="52" t="n">
        <f aca="false">H57*H$7</f>
        <v>66.119763456</v>
      </c>
      <c r="I58" s="52" t="n">
        <f aca="false">I57*I$7</f>
        <v>74.979811759104</v>
      </c>
      <c r="J58" s="52" t="n">
        <f aca="false">J57*J$7</f>
        <v>73.2659874903245</v>
      </c>
      <c r="K58" s="52" t="n">
        <f aca="false">K57*K$7</f>
        <v>83.2918594626847</v>
      </c>
      <c r="L58" s="52" t="n">
        <f aca="false">L57*L$7</f>
        <v>85.4574478087145</v>
      </c>
      <c r="M58" s="52" t="n">
        <f aca="false">M57*M$7</f>
        <v>82.5788811456841</v>
      </c>
      <c r="N58" s="52" t="n">
        <f aca="false">N57*N$7</f>
        <v>89.1851916373389</v>
      </c>
      <c r="O58" s="52" t="n">
        <f aca="false">O57*O$7</f>
        <v>103.664669809048</v>
      </c>
      <c r="P58" s="52" t="n">
        <f aca="false">P57*P$7</f>
        <v>147.531193244035</v>
      </c>
      <c r="Q58" s="52" t="n">
        <f aca="false">Q57*Q$7</f>
        <v>159.333688703557</v>
      </c>
      <c r="R58" s="52" t="n">
        <f aca="false">R57*R$7</f>
        <v>153.432440973796</v>
      </c>
      <c r="S58" s="52" t="n">
        <f aca="false">S57*S$7</f>
        <v>114.890211801179</v>
      </c>
      <c r="T58" s="52" t="n">
        <f aca="false">T57*T$7</f>
        <v>132.762022525806</v>
      </c>
      <c r="U58" s="52" t="n">
        <f aca="false">U57*U$7</f>
        <v>144.97612859818</v>
      </c>
      <c r="V58" s="52" t="n">
        <f aca="false">V57*V$7</f>
        <v>136.415633385716</v>
      </c>
      <c r="W58" s="52" t="n">
        <f aca="false">W57*W$7</f>
        <v>149.339219706469</v>
      </c>
      <c r="X58" s="52" t="n">
        <f aca="false">X57*X$7</f>
        <v>147.547149069991</v>
      </c>
      <c r="Y58" s="52" t="n">
        <f aca="false">Y57*Y$7</f>
        <v>137.296505029339</v>
      </c>
      <c r="Z58" s="52" t="n">
        <f aca="false">Z57*Z$7</f>
        <v>142.788365230512</v>
      </c>
      <c r="AA58" s="52" t="n">
        <f aca="false">AA57*AA$7</f>
        <v>162.778736362784</v>
      </c>
      <c r="AB58" s="52" t="n">
        <f aca="false">AB57*AB$7</f>
        <v>227.204846754791</v>
      </c>
      <c r="AC58" s="52" t="n">
        <f aca="false">AC57*AC$7</f>
        <v>240.662364601037</v>
      </c>
      <c r="AD58" s="52" t="n">
        <f aca="false">AD57*AD$7</f>
        <v>227.292233234313</v>
      </c>
      <c r="AE58" s="52" t="n">
        <f aca="false">AE57*AE$7</f>
        <v>166.923416087279</v>
      </c>
      <c r="AF58" s="52" t="n">
        <f aca="false">AF57*AF$7</f>
        <v>189.179871565583</v>
      </c>
      <c r="AG58" s="52" t="n">
        <f aca="false">AG57*AG$7</f>
        <v>202.611642446739</v>
      </c>
      <c r="AH58" s="52" t="n">
        <f aca="false">AH57*AH$7</f>
        <v>186.981601457991</v>
      </c>
      <c r="AI58" s="52" t="n">
        <f aca="false">AI57*AI$7</f>
        <v>200.759193144369</v>
      </c>
      <c r="AJ58" s="52" t="n">
        <f aca="false">AJ57*AJ$7</f>
        <v>194.535658156894</v>
      </c>
      <c r="AK58" s="52" t="n">
        <f aca="false">AK57*AK$7</f>
        <v>177.539384865292</v>
      </c>
      <c r="AL58" s="52" t="n">
        <f aca="false">AL57*AL$7</f>
        <v>181.090172562597</v>
      </c>
      <c r="AM58" s="53" t="n">
        <f aca="false">SUMIF($C$6:$AL$6,1,C58:AL58)</f>
        <v>680.837545639851</v>
      </c>
      <c r="AN58" s="53" t="n">
        <f aca="false">SUMIF($C$6:$AL$6,2,C58:AL58)</f>
        <v>1669.97722807763</v>
      </c>
      <c r="AO58" s="53" t="n">
        <f aca="false">SUMIF($C$6:$AL$6,3,C58:AL58)</f>
        <v>2357.55912123967</v>
      </c>
      <c r="AP58" s="53" t="n">
        <f aca="false">SUM(C58:AL58)</f>
        <v>4708.37389495715</v>
      </c>
    </row>
    <row r="59" customFormat="false" ht="15" hidden="false" customHeight="false" outlineLevel="0" collapsed="false">
      <c r="A59" s="7" t="s">
        <v>749</v>
      </c>
      <c r="B59" s="9" t="s">
        <v>88</v>
      </c>
      <c r="C59" s="54" t="n">
        <f aca="false">Assumptions!$C$136*MIN(1,(C$4-Assumptions!$C$135+1)/Assumptions!$C$10)*C56</f>
        <v>-0</v>
      </c>
      <c r="D59" s="54" t="n">
        <f aca="false">Assumptions!$C$136*MIN(1,(D$4-Assumptions!$C$135+1)/Assumptions!$C$10)*D56</f>
        <v>-0</v>
      </c>
      <c r="E59" s="54" t="n">
        <f aca="false">Assumptions!$C$136*MIN(1,(E$4-Assumptions!$C$135+1)/Assumptions!$C$10)*E56</f>
        <v>0</v>
      </c>
      <c r="F59" s="54" t="n">
        <f aca="false">Assumptions!$C$136*MIN(1,(F$4-Assumptions!$C$135+1)/Assumptions!$C$10)*F56</f>
        <v>0.00133333333333333</v>
      </c>
      <c r="G59" s="54" t="n">
        <f aca="false">Assumptions!$C$136*MIN(1,(G$4-Assumptions!$C$135+1)/Assumptions!$C$10)*G56</f>
        <v>0.00266666666666667</v>
      </c>
      <c r="H59" s="54" t="n">
        <f aca="false">Assumptions!$C$136*MIN(1,(H$4-Assumptions!$C$135+1)/Assumptions!$C$10)*H56</f>
        <v>0.004</v>
      </c>
      <c r="I59" s="54" t="n">
        <f aca="false">Assumptions!$C$136*MIN(1,(I$4-Assumptions!$C$135+1)/Assumptions!$C$10)*I56</f>
        <v>0.00533333333333333</v>
      </c>
      <c r="J59" s="54" t="n">
        <f aca="false">Assumptions!$C$136*MIN(1,(J$4-Assumptions!$C$135+1)/Assumptions!$C$10)*J56</f>
        <v>0.00666666666666667</v>
      </c>
      <c r="K59" s="54" t="n">
        <f aca="false">Assumptions!$C$136*MIN(1,(K$4-Assumptions!$C$135+1)/Assumptions!$C$10)*K56</f>
        <v>0.008</v>
      </c>
      <c r="L59" s="54" t="n">
        <f aca="false">Assumptions!$C$136*MIN(1,(L$4-Assumptions!$C$135+1)/Assumptions!$C$10)*L56</f>
        <v>0.008</v>
      </c>
      <c r="M59" s="54" t="n">
        <f aca="false">Assumptions!$C$136*MIN(1,(M$4-Assumptions!$C$135+1)/Assumptions!$C$10)*M56</f>
        <v>0.008</v>
      </c>
      <c r="N59" s="54" t="n">
        <f aca="false">Assumptions!$C$136*MIN(1,(N$4-Assumptions!$C$135+1)/Assumptions!$C$10)*N56</f>
        <v>0.008</v>
      </c>
      <c r="O59" s="54" t="n">
        <f aca="false">Assumptions!$C$136*MIN(1,(O$4-Assumptions!$C$135+1)/Assumptions!$C$10)*O56</f>
        <v>0.008</v>
      </c>
      <c r="P59" s="54" t="n">
        <f aca="false">Assumptions!$C$136*MIN(1,(P$4-Assumptions!$C$135+1)/Assumptions!$C$10)*P56</f>
        <v>0.008</v>
      </c>
      <c r="Q59" s="54" t="n">
        <f aca="false">Assumptions!$C$136*MIN(1,(Q$4-Assumptions!$C$135+1)/Assumptions!$C$10)*Q56</f>
        <v>0.008</v>
      </c>
      <c r="R59" s="54" t="n">
        <f aca="false">Assumptions!$C$136*MIN(1,(R$4-Assumptions!$C$135+1)/Assumptions!$C$10)*R56</f>
        <v>0.008</v>
      </c>
      <c r="S59" s="54" t="n">
        <f aca="false">Assumptions!$C$136*MIN(1,(S$4-Assumptions!$C$135+1)/Assumptions!$C$10)*S56</f>
        <v>0.008</v>
      </c>
      <c r="T59" s="54" t="n">
        <f aca="false">Assumptions!$C$136*MIN(1,(T$4-Assumptions!$C$135+1)/Assumptions!$C$10)*T56</f>
        <v>0.008</v>
      </c>
      <c r="U59" s="54" t="n">
        <f aca="false">Assumptions!$C$136*MIN(1,(U$4-Assumptions!$C$135+1)/Assumptions!$C$10)*U56</f>
        <v>0.008</v>
      </c>
      <c r="V59" s="54" t="n">
        <f aca="false">Assumptions!$C$136*MIN(1,(V$4-Assumptions!$C$135+1)/Assumptions!$C$10)*V56</f>
        <v>0.008</v>
      </c>
      <c r="W59" s="54" t="n">
        <f aca="false">Assumptions!$C$136*MIN(1,(W$4-Assumptions!$C$135+1)/Assumptions!$C$10)*W56</f>
        <v>0.008</v>
      </c>
      <c r="X59" s="54" t="n">
        <f aca="false">Assumptions!$C$136*MIN(1,(X$4-Assumptions!$C$135+1)/Assumptions!$C$10)*X56</f>
        <v>0.008</v>
      </c>
      <c r="Y59" s="54" t="n">
        <f aca="false">Assumptions!$C$136*MIN(1,(Y$4-Assumptions!$C$135+1)/Assumptions!$C$10)*Y56</f>
        <v>0.008</v>
      </c>
      <c r="Z59" s="54" t="n">
        <f aca="false">Assumptions!$C$136*MIN(1,(Z$4-Assumptions!$C$135+1)/Assumptions!$C$10)*Z56</f>
        <v>0.008</v>
      </c>
      <c r="AA59" s="54" t="n">
        <f aca="false">Assumptions!$C$136*MIN(1,(AA$4-Assumptions!$C$135+1)/Assumptions!$C$10)*AA56</f>
        <v>0.008</v>
      </c>
      <c r="AB59" s="54" t="n">
        <f aca="false">Assumptions!$C$136*MIN(1,(AB$4-Assumptions!$C$135+1)/Assumptions!$C$10)*AB56</f>
        <v>0.008</v>
      </c>
      <c r="AC59" s="54" t="n">
        <f aca="false">Assumptions!$C$136*MIN(1,(AC$4-Assumptions!$C$135+1)/Assumptions!$C$10)*AC56</f>
        <v>0.008</v>
      </c>
      <c r="AD59" s="54" t="n">
        <f aca="false">Assumptions!$C$136*MIN(1,(AD$4-Assumptions!$C$135+1)/Assumptions!$C$10)*AD56</f>
        <v>0.008</v>
      </c>
      <c r="AE59" s="54" t="n">
        <f aca="false">Assumptions!$C$136*MIN(1,(AE$4-Assumptions!$C$135+1)/Assumptions!$C$10)*AE56</f>
        <v>0.008</v>
      </c>
      <c r="AF59" s="54" t="n">
        <f aca="false">Assumptions!$C$136*MIN(1,(AF$4-Assumptions!$C$135+1)/Assumptions!$C$10)*AF56</f>
        <v>0.008</v>
      </c>
      <c r="AG59" s="54" t="n">
        <f aca="false">Assumptions!$C$136*MIN(1,(AG$4-Assumptions!$C$135+1)/Assumptions!$C$10)*AG56</f>
        <v>0.008</v>
      </c>
      <c r="AH59" s="54" t="n">
        <f aca="false">Assumptions!$C$136*MIN(1,(AH$4-Assumptions!$C$135+1)/Assumptions!$C$10)*AH56</f>
        <v>0.008</v>
      </c>
      <c r="AI59" s="54" t="n">
        <f aca="false">Assumptions!$C$136*MIN(1,(AI$4-Assumptions!$C$135+1)/Assumptions!$C$10)*AI56</f>
        <v>0.008</v>
      </c>
      <c r="AJ59" s="54" t="n">
        <f aca="false">Assumptions!$C$136*MIN(1,(AJ$4-Assumptions!$C$135+1)/Assumptions!$C$10)*AJ56</f>
        <v>0.008</v>
      </c>
      <c r="AK59" s="54" t="n">
        <f aca="false">Assumptions!$C$136*MIN(1,(AK$4-Assumptions!$C$135+1)/Assumptions!$C$10)*AK56</f>
        <v>0.008</v>
      </c>
      <c r="AL59" s="54" t="n">
        <f aca="false">Assumptions!$C$136*MIN(1,(AL$4-Assumptions!$C$135+1)/Assumptions!$C$10)*AL56</f>
        <v>0.008</v>
      </c>
    </row>
    <row r="60" customFormat="false" ht="15" hidden="false" customHeight="false" outlineLevel="0" collapsed="false">
      <c r="A60" s="7" t="s">
        <v>757</v>
      </c>
      <c r="B60" s="9" t="s">
        <v>751</v>
      </c>
      <c r="C60" s="55" t="n">
        <f aca="false">C58*C59</f>
        <v>-0</v>
      </c>
      <c r="D60" s="55" t="n">
        <f aca="false">D58*D59</f>
        <v>-0</v>
      </c>
      <c r="E60" s="55" t="n">
        <f aca="false">E58*E59</f>
        <v>0</v>
      </c>
      <c r="F60" s="55" t="n">
        <f aca="false">F58*F59</f>
        <v>0.0944784</v>
      </c>
      <c r="G60" s="55" t="n">
        <f aca="false">G58*G59</f>
        <v>0.14693280768</v>
      </c>
      <c r="H60" s="55" t="n">
        <f aca="false">H58*H59</f>
        <v>0.264479053824</v>
      </c>
      <c r="I60" s="55" t="n">
        <f aca="false">I58*I59</f>
        <v>0.399892329381888</v>
      </c>
      <c r="J60" s="55" t="n">
        <f aca="false">J58*J59</f>
        <v>0.488439916602163</v>
      </c>
      <c r="K60" s="55" t="n">
        <f aca="false">K58*K59</f>
        <v>0.666334875701478</v>
      </c>
      <c r="L60" s="55" t="n">
        <f aca="false">L58*L59</f>
        <v>0.683659582469716</v>
      </c>
      <c r="M60" s="55" t="n">
        <f aca="false">M58*M59</f>
        <v>0.660631049165473</v>
      </c>
      <c r="N60" s="55" t="n">
        <f aca="false">N58*N59</f>
        <v>0.713481533098711</v>
      </c>
      <c r="O60" s="55" t="n">
        <f aca="false">O58*O59</f>
        <v>0.829317358472384</v>
      </c>
      <c r="P60" s="55" t="n">
        <f aca="false">P58*P59</f>
        <v>1.18024954595228</v>
      </c>
      <c r="Q60" s="55" t="n">
        <f aca="false">Q58*Q59</f>
        <v>1.27466950962846</v>
      </c>
      <c r="R60" s="55" t="n">
        <f aca="false">R58*R59</f>
        <v>1.22745952779037</v>
      </c>
      <c r="S60" s="55" t="n">
        <f aca="false">S58*S59</f>
        <v>0.919121694409428</v>
      </c>
      <c r="T60" s="55" t="n">
        <f aca="false">T58*T59</f>
        <v>1.06209618020645</v>
      </c>
      <c r="U60" s="55" t="n">
        <f aca="false">U58*U59</f>
        <v>1.15980902878544</v>
      </c>
      <c r="V60" s="55" t="n">
        <f aca="false">V58*V59</f>
        <v>1.09132506708573</v>
      </c>
      <c r="W60" s="55" t="n">
        <f aca="false">W58*W59</f>
        <v>1.19471375765175</v>
      </c>
      <c r="X60" s="55" t="n">
        <f aca="false">X58*X59</f>
        <v>1.18037719255993</v>
      </c>
      <c r="Y60" s="55" t="n">
        <f aca="false">Y58*Y59</f>
        <v>1.09837204023471</v>
      </c>
      <c r="Z60" s="55" t="n">
        <f aca="false">Z58*Z59</f>
        <v>1.1423069218441</v>
      </c>
      <c r="AA60" s="55" t="n">
        <f aca="false">AA58*AA59</f>
        <v>1.30222989090227</v>
      </c>
      <c r="AB60" s="55" t="n">
        <f aca="false">AB58*AB59</f>
        <v>1.81763877403833</v>
      </c>
      <c r="AC60" s="55" t="n">
        <f aca="false">AC58*AC59</f>
        <v>1.92529891680829</v>
      </c>
      <c r="AD60" s="55" t="n">
        <f aca="false">AD58*AD59</f>
        <v>1.8183378658745</v>
      </c>
      <c r="AE60" s="55" t="n">
        <f aca="false">AE58*AE59</f>
        <v>1.33538732869823</v>
      </c>
      <c r="AF60" s="55" t="n">
        <f aca="false">AF58*AF59</f>
        <v>1.51343897252466</v>
      </c>
      <c r="AG60" s="55" t="n">
        <f aca="false">AG58*AG59</f>
        <v>1.62089313957392</v>
      </c>
      <c r="AH60" s="55" t="n">
        <f aca="false">AH58*AH59</f>
        <v>1.49585281166393</v>
      </c>
      <c r="AI60" s="55" t="n">
        <f aca="false">AI58*AI59</f>
        <v>1.60607354515495</v>
      </c>
      <c r="AJ60" s="55" t="n">
        <f aca="false">AJ58*AJ59</f>
        <v>1.55628526525515</v>
      </c>
      <c r="AK60" s="55" t="n">
        <f aca="false">AK58*AK59</f>
        <v>1.42031507892233</v>
      </c>
      <c r="AL60" s="55" t="n">
        <f aca="false">AL58*AL59</f>
        <v>1.44872138050078</v>
      </c>
      <c r="AM60" s="53" t="n">
        <f aca="false">SUMIF($C$6:$AL$6,1,C60:AL60)</f>
        <v>4.11832954792343</v>
      </c>
      <c r="AN60" s="53" t="n">
        <f aca="false">SUMIF($C$6:$AL$6,2,C60:AL60)</f>
        <v>13.359817824621</v>
      </c>
      <c r="AO60" s="53" t="n">
        <f aca="false">SUMIF($C$6:$AL$6,3,C60:AL60)</f>
        <v>18.8604729699174</v>
      </c>
      <c r="AP60" s="53" t="n">
        <f aca="false">SUM(C60:AL60)</f>
        <v>36.3386203424618</v>
      </c>
    </row>
    <row r="61" customFormat="false" ht="15" hidden="false" customHeight="false" outlineLevel="0" collapsed="false">
      <c r="A61" s="7" t="s">
        <v>752</v>
      </c>
      <c r="B61" s="9" t="s">
        <v>331</v>
      </c>
      <c r="C61" s="56" t="n">
        <f aca="false">C60*Assumptions!$C$137</f>
        <v>-0</v>
      </c>
      <c r="D61" s="56" t="n">
        <f aca="false">D60*Assumptions!$C$137</f>
        <v>-0</v>
      </c>
      <c r="E61" s="56" t="n">
        <f aca="false">E60*Assumptions!$C$137</f>
        <v>0</v>
      </c>
      <c r="F61" s="56" t="n">
        <f aca="false">F60*Assumptions!$C$137</f>
        <v>0.10392624</v>
      </c>
      <c r="G61" s="56" t="n">
        <f aca="false">G60*Assumptions!$C$137</f>
        <v>0.161626088448</v>
      </c>
      <c r="H61" s="56" t="n">
        <f aca="false">H60*Assumptions!$C$137</f>
        <v>0.2909269592064</v>
      </c>
      <c r="I61" s="56" t="n">
        <f aca="false">I60*Assumptions!$C$137</f>
        <v>0.439881562320077</v>
      </c>
      <c r="J61" s="56" t="n">
        <f aca="false">J60*Assumptions!$C$137</f>
        <v>0.53728390826238</v>
      </c>
      <c r="K61" s="56" t="n">
        <f aca="false">K60*Assumptions!$C$137</f>
        <v>0.732968363271626</v>
      </c>
      <c r="L61" s="56" t="n">
        <f aca="false">L60*Assumptions!$C$137</f>
        <v>0.752025540716688</v>
      </c>
      <c r="M61" s="56" t="n">
        <f aca="false">M60*Assumptions!$C$137</f>
        <v>0.72669415408202</v>
      </c>
      <c r="N61" s="56" t="n">
        <f aca="false">N60*Assumptions!$C$137</f>
        <v>0.784829686408582</v>
      </c>
      <c r="O61" s="56" t="n">
        <f aca="false">O60*Assumptions!$C$137</f>
        <v>0.912249094319623</v>
      </c>
      <c r="P61" s="56" t="n">
        <f aca="false">P60*Assumptions!$C$137</f>
        <v>1.29827450054751</v>
      </c>
      <c r="Q61" s="56" t="n">
        <f aca="false">Q60*Assumptions!$C$137</f>
        <v>1.40213646059131</v>
      </c>
      <c r="R61" s="56" t="n">
        <f aca="false">R60*Assumptions!$C$137</f>
        <v>1.35020548056941</v>
      </c>
      <c r="S61" s="56" t="n">
        <f aca="false">S60*Assumptions!$C$137</f>
        <v>1.01103386385037</v>
      </c>
      <c r="T61" s="56" t="n">
        <f aca="false">T60*Assumptions!$C$137</f>
        <v>1.1683057982271</v>
      </c>
      <c r="U61" s="56" t="n">
        <f aca="false">U60*Assumptions!$C$137</f>
        <v>1.27578993166399</v>
      </c>
      <c r="V61" s="56" t="n">
        <f aca="false">V60*Assumptions!$C$137</f>
        <v>1.2004575737943</v>
      </c>
      <c r="W61" s="56" t="n">
        <f aca="false">W60*Assumptions!$C$137</f>
        <v>1.31418513341692</v>
      </c>
      <c r="X61" s="56" t="n">
        <f aca="false">X60*Assumptions!$C$137</f>
        <v>1.29841491181592</v>
      </c>
      <c r="Y61" s="56" t="n">
        <f aca="false">Y60*Assumptions!$C$137</f>
        <v>1.20820924425818</v>
      </c>
      <c r="Z61" s="56" t="n">
        <f aca="false">Z60*Assumptions!$C$137</f>
        <v>1.25653761402851</v>
      </c>
      <c r="AA61" s="56" t="n">
        <f aca="false">AA60*Assumptions!$C$137</f>
        <v>1.4324528799925</v>
      </c>
      <c r="AB61" s="56" t="n">
        <f aca="false">AB60*Assumptions!$C$137</f>
        <v>1.99940265144217</v>
      </c>
      <c r="AC61" s="56" t="n">
        <f aca="false">AC60*Assumptions!$C$137</f>
        <v>2.11782880848912</v>
      </c>
      <c r="AD61" s="56" t="n">
        <f aca="false">AD60*Assumptions!$C$137</f>
        <v>2.00017165246195</v>
      </c>
      <c r="AE61" s="56" t="n">
        <f aca="false">AE60*Assumptions!$C$137</f>
        <v>1.46892606156806</v>
      </c>
      <c r="AF61" s="56" t="n">
        <f aca="false">AF60*Assumptions!$C$137</f>
        <v>1.66478286977713</v>
      </c>
      <c r="AG61" s="56" t="n">
        <f aca="false">AG60*Assumptions!$C$137</f>
        <v>1.78298245353131</v>
      </c>
      <c r="AH61" s="56" t="n">
        <f aca="false">AH60*Assumptions!$C$137</f>
        <v>1.64543809283032</v>
      </c>
      <c r="AI61" s="56" t="n">
        <f aca="false">AI60*Assumptions!$C$137</f>
        <v>1.76668089967045</v>
      </c>
      <c r="AJ61" s="56" t="n">
        <f aca="false">AJ60*Assumptions!$C$137</f>
        <v>1.71191379178067</v>
      </c>
      <c r="AK61" s="56" t="n">
        <f aca="false">AK60*Assumptions!$C$137</f>
        <v>1.56234658681457</v>
      </c>
      <c r="AL61" s="56" t="n">
        <f aca="false">AL60*Assumptions!$C$137</f>
        <v>1.59359351855086</v>
      </c>
      <c r="AM61" s="53" t="n">
        <f aca="false">SUMIF($C$6:$AL$6,1,C61:AL61)</f>
        <v>4.53016250271577</v>
      </c>
      <c r="AN61" s="53" t="n">
        <f aca="false">SUMIF($C$6:$AL$6,2,C61:AL61)</f>
        <v>14.6957996070831</v>
      </c>
      <c r="AO61" s="53" t="n">
        <f aca="false">SUMIF($C$6:$AL$6,3,C61:AL61)</f>
        <v>20.7465202669091</v>
      </c>
      <c r="AP61" s="53" t="n">
        <f aca="false">SUM(C61:AL61)</f>
        <v>39.972482376708</v>
      </c>
    </row>
    <row r="62" customFormat="false" ht="15" hidden="false" customHeight="false" outlineLevel="0" collapsed="false">
      <c r="A62" s="7" t="s">
        <v>753</v>
      </c>
      <c r="B62" s="9" t="s">
        <v>93</v>
      </c>
      <c r="C62" s="15" t="n">
        <f aca="false">'Unit Economics'!$E$54*Assumptions!$C$137*C56</f>
        <v>0</v>
      </c>
      <c r="D62" s="15" t="n">
        <f aca="false">'Unit Economics'!$E$54*Assumptions!$C$137*D56</f>
        <v>0</v>
      </c>
      <c r="E62" s="15" t="n">
        <f aca="false">'Unit Economics'!$E$54*Assumptions!$C$137*E56</f>
        <v>0</v>
      </c>
      <c r="F62" s="15" t="n">
        <f aca="false">'Unit Economics'!$E$54*Assumptions!$C$137*F56</f>
        <v>9.9465</v>
      </c>
      <c r="G62" s="15" t="n">
        <f aca="false">'Unit Economics'!$E$54*Assumptions!$C$137*G56</f>
        <v>9.9465</v>
      </c>
      <c r="H62" s="15" t="n">
        <f aca="false">'Unit Economics'!$E$54*Assumptions!$C$137*H56</f>
        <v>9.9465</v>
      </c>
      <c r="I62" s="15" t="n">
        <f aca="false">'Unit Economics'!$E$54*Assumptions!$C$137*I56</f>
        <v>9.9465</v>
      </c>
      <c r="J62" s="15" t="n">
        <f aca="false">'Unit Economics'!$E$54*Assumptions!$C$137*J56</f>
        <v>9.9465</v>
      </c>
      <c r="K62" s="15" t="n">
        <f aca="false">'Unit Economics'!$E$54*Assumptions!$C$137*K56</f>
        <v>9.9465</v>
      </c>
      <c r="L62" s="15" t="n">
        <f aca="false">'Unit Economics'!$E$54*Assumptions!$C$137*L56</f>
        <v>9.9465</v>
      </c>
      <c r="M62" s="15" t="n">
        <f aca="false">'Unit Economics'!$E$54*Assumptions!$C$137*M56</f>
        <v>9.9465</v>
      </c>
      <c r="N62" s="15" t="n">
        <f aca="false">'Unit Economics'!$E$54*Assumptions!$C$137*N56</f>
        <v>9.9465</v>
      </c>
      <c r="O62" s="15" t="n">
        <f aca="false">'Unit Economics'!$E$54*Assumptions!$C$137*O56</f>
        <v>9.9465</v>
      </c>
      <c r="P62" s="15" t="n">
        <f aca="false">'Unit Economics'!$E$54*Assumptions!$C$137*P56</f>
        <v>9.9465</v>
      </c>
      <c r="Q62" s="15" t="n">
        <f aca="false">'Unit Economics'!$E$54*Assumptions!$C$137*Q56</f>
        <v>9.9465</v>
      </c>
      <c r="R62" s="15" t="n">
        <f aca="false">'Unit Economics'!$E$54*Assumptions!$C$137*R56</f>
        <v>9.9465</v>
      </c>
      <c r="S62" s="15" t="n">
        <f aca="false">'Unit Economics'!$E$54*Assumptions!$C$137*S56</f>
        <v>9.9465</v>
      </c>
      <c r="T62" s="15" t="n">
        <f aca="false">'Unit Economics'!$E$54*Assumptions!$C$137*T56</f>
        <v>9.9465</v>
      </c>
      <c r="U62" s="15" t="n">
        <f aca="false">'Unit Economics'!$E$54*Assumptions!$C$137*U56</f>
        <v>9.9465</v>
      </c>
      <c r="V62" s="15" t="n">
        <f aca="false">'Unit Economics'!$E$54*Assumptions!$C$137*V56</f>
        <v>9.9465</v>
      </c>
      <c r="W62" s="15" t="n">
        <f aca="false">'Unit Economics'!$E$54*Assumptions!$C$137*W56</f>
        <v>9.9465</v>
      </c>
      <c r="X62" s="15" t="n">
        <f aca="false">'Unit Economics'!$E$54*Assumptions!$C$137*X56</f>
        <v>9.9465</v>
      </c>
      <c r="Y62" s="15" t="n">
        <f aca="false">'Unit Economics'!$E$54*Assumptions!$C$137*Y56</f>
        <v>9.9465</v>
      </c>
      <c r="Z62" s="15" t="n">
        <f aca="false">'Unit Economics'!$E$54*Assumptions!$C$137*Z56</f>
        <v>9.9465</v>
      </c>
      <c r="AA62" s="15" t="n">
        <f aca="false">'Unit Economics'!$E$54*Assumptions!$C$137*AA56</f>
        <v>9.9465</v>
      </c>
      <c r="AB62" s="15" t="n">
        <f aca="false">'Unit Economics'!$E$54*Assumptions!$C$137*AB56</f>
        <v>9.9465</v>
      </c>
      <c r="AC62" s="15" t="n">
        <f aca="false">'Unit Economics'!$E$54*Assumptions!$C$137*AC56</f>
        <v>9.9465</v>
      </c>
      <c r="AD62" s="15" t="n">
        <f aca="false">'Unit Economics'!$E$54*Assumptions!$C$137*AD56</f>
        <v>9.9465</v>
      </c>
      <c r="AE62" s="15" t="n">
        <f aca="false">'Unit Economics'!$E$54*Assumptions!$C$137*AE56</f>
        <v>9.9465</v>
      </c>
      <c r="AF62" s="15" t="n">
        <f aca="false">'Unit Economics'!$E$54*Assumptions!$C$137*AF56</f>
        <v>9.9465</v>
      </c>
      <c r="AG62" s="15" t="n">
        <f aca="false">'Unit Economics'!$E$54*Assumptions!$C$137*AG56</f>
        <v>9.9465</v>
      </c>
      <c r="AH62" s="15" t="n">
        <f aca="false">'Unit Economics'!$E$54*Assumptions!$C$137*AH56</f>
        <v>9.9465</v>
      </c>
      <c r="AI62" s="15" t="n">
        <f aca="false">'Unit Economics'!$E$54*Assumptions!$C$137*AI56</f>
        <v>9.9465</v>
      </c>
      <c r="AJ62" s="15" t="n">
        <f aca="false">'Unit Economics'!$E$54*Assumptions!$C$137*AJ56</f>
        <v>9.9465</v>
      </c>
      <c r="AK62" s="15" t="n">
        <f aca="false">'Unit Economics'!$E$54*Assumptions!$C$137*AK56</f>
        <v>9.9465</v>
      </c>
      <c r="AL62" s="15" t="n">
        <f aca="false">'Unit Economics'!$E$54*Assumptions!$C$137*AL56</f>
        <v>9.9465</v>
      </c>
    </row>
    <row r="63" customFormat="false" ht="15" hidden="false" customHeight="false" outlineLevel="0" collapsed="false">
      <c r="A63" s="7" t="s">
        <v>754</v>
      </c>
      <c r="B63" s="9" t="s">
        <v>93</v>
      </c>
      <c r="C63" s="8" t="n">
        <f aca="false">C61*'Unit Economics'!$E$54</f>
        <v>-0</v>
      </c>
      <c r="D63" s="8" t="n">
        <f aca="false">D61*'Unit Economics'!$E$54</f>
        <v>-0</v>
      </c>
      <c r="E63" s="8" t="n">
        <f aca="false">E61*'Unit Economics'!$E$54</f>
        <v>0</v>
      </c>
      <c r="F63" s="8" t="n">
        <f aca="false">F61*'Unit Economics'!$E$54</f>
        <v>0.9397294056</v>
      </c>
      <c r="G63" s="8" t="n">
        <f aca="false">G61*'Unit Economics'!$E$54</f>
        <v>1.46146717158912</v>
      </c>
      <c r="H63" s="8" t="n">
        <f aca="false">H61*'Unit Economics'!$E$54</f>
        <v>2.63064090886042</v>
      </c>
      <c r="I63" s="8" t="n">
        <f aca="false">I61*'Unit Economics'!$E$54</f>
        <v>3.97752905419695</v>
      </c>
      <c r="J63" s="8" t="n">
        <f aca="false">J61*'Unit Economics'!$E$54</f>
        <v>4.85826763048342</v>
      </c>
      <c r="K63" s="8" t="n">
        <f aca="false">K61*'Unit Economics'!$E$54</f>
        <v>6.62769984116475</v>
      </c>
      <c r="L63" s="8" t="n">
        <f aca="false">L61*'Unit Economics'!$E$54</f>
        <v>6.80002003703503</v>
      </c>
      <c r="M63" s="8" t="n">
        <f aca="false">M61*'Unit Economics'!$E$54</f>
        <v>6.57096673052438</v>
      </c>
      <c r="N63" s="8" t="n">
        <f aca="false">N61*'Unit Economics'!$E$54</f>
        <v>7.09664406896633</v>
      </c>
      <c r="O63" s="8" t="n">
        <f aca="false">O61*'Unit Economics'!$E$54</f>
        <v>8.24880510604557</v>
      </c>
      <c r="P63" s="8" t="n">
        <f aca="false">P61*'Unit Economics'!$E$54</f>
        <v>11.7393521088143</v>
      </c>
      <c r="Q63" s="8" t="n">
        <f aca="false">Q61*'Unit Economics'!$E$54</f>
        <v>12.6785002775195</v>
      </c>
      <c r="R63" s="8" t="n">
        <f aca="false">R61*'Unit Economics'!$E$54</f>
        <v>12.2089261931669</v>
      </c>
      <c r="S63" s="8" t="n">
        <f aca="false">S61*'Unit Economics'!$E$54</f>
        <v>9.14204393344338</v>
      </c>
      <c r="T63" s="8" t="n">
        <f aca="false">T61*'Unit Economics'!$E$54</f>
        <v>10.5641396564235</v>
      </c>
      <c r="U63" s="8" t="n">
        <f aca="false">U61*'Unit Economics'!$E$54</f>
        <v>11.5360405048144</v>
      </c>
      <c r="V63" s="8" t="n">
        <f aca="false">V61*'Unit Economics'!$E$54</f>
        <v>10.8548647797682</v>
      </c>
      <c r="W63" s="8" t="n">
        <f aca="false">W61*'Unit Economics'!$E$54</f>
        <v>11.8832203904831</v>
      </c>
      <c r="X63" s="8" t="n">
        <f aca="false">X61*'Unit Economics'!$E$54</f>
        <v>11.7406217457973</v>
      </c>
      <c r="Y63" s="8" t="n">
        <f aca="false">Y61*'Unit Economics'!$E$54</f>
        <v>10.9249574981946</v>
      </c>
      <c r="Z63" s="8" t="n">
        <f aca="false">Z61*'Unit Economics'!$E$54</f>
        <v>11.3619557981223</v>
      </c>
      <c r="AA63" s="8" t="n">
        <f aca="false">AA61*'Unit Economics'!$E$54</f>
        <v>12.9526296098595</v>
      </c>
      <c r="AB63" s="8" t="n">
        <f aca="false">AB61*'Unit Economics'!$E$54</f>
        <v>18.0791440659723</v>
      </c>
      <c r="AC63" s="8" t="n">
        <f aca="false">AC61*'Unit Economics'!$E$54</f>
        <v>19.1499856760337</v>
      </c>
      <c r="AD63" s="8" t="n">
        <f aca="false">AD61*'Unit Economics'!$E$54</f>
        <v>18.0860975829207</v>
      </c>
      <c r="AE63" s="8" t="n">
        <f aca="false">AE61*'Unit Economics'!$E$54</f>
        <v>13.282430064897</v>
      </c>
      <c r="AF63" s="8" t="n">
        <f aca="false">AF61*'Unit Economics'!$E$54</f>
        <v>15.0534207402166</v>
      </c>
      <c r="AG63" s="8" t="n">
        <f aca="false">AG61*'Unit Economics'!$E$54</f>
        <v>16.122213612772</v>
      </c>
      <c r="AH63" s="8" t="n">
        <f aca="false">AH61*'Unit Economics'!$E$54</f>
        <v>14.8784999912153</v>
      </c>
      <c r="AI63" s="8" t="n">
        <f aca="false">AI61*'Unit Economics'!$E$54</f>
        <v>15.9748105168838</v>
      </c>
      <c r="AJ63" s="8" t="n">
        <f aca="false">AJ61*'Unit Economics'!$E$54</f>
        <v>15.4795913908604</v>
      </c>
      <c r="AK63" s="8" t="n">
        <f aca="false">AK61*'Unit Economics'!$E$54</f>
        <v>14.127163932501</v>
      </c>
      <c r="AL63" s="8" t="n">
        <f aca="false">AL61*'Unit Economics'!$E$54</f>
        <v>14.409707211151</v>
      </c>
      <c r="AM63" s="45" t="n">
        <f aca="false">SUMIF($C$6:$AL$6,1,C63:AL63)</f>
        <v>40.9629648484204</v>
      </c>
      <c r="AN63" s="45" t="n">
        <f aca="false">SUMIF($C$6:$AL$6,2,C63:AL63)</f>
        <v>132.883427992593</v>
      </c>
      <c r="AO63" s="45" t="n">
        <f aca="false">SUMIF($C$6:$AL$6,3,C63:AL63)</f>
        <v>187.595694395283</v>
      </c>
      <c r="AP63" s="45" t="n">
        <f aca="false">SUM(C63:AL63)</f>
        <v>361.442087236297</v>
      </c>
    </row>
    <row r="64" customFormat="false" ht="15" hidden="false" customHeight="false" outlineLevel="0" collapsed="false">
      <c r="A64" s="7" t="s">
        <v>755</v>
      </c>
      <c r="B64" s="9" t="s">
        <v>93</v>
      </c>
      <c r="C64" s="8" t="n">
        <f aca="false">C61*'Unit Economics'!$F$54</f>
        <v>-0</v>
      </c>
      <c r="D64" s="8" t="n">
        <f aca="false">D61*'Unit Economics'!$F$54</f>
        <v>-0</v>
      </c>
      <c r="E64" s="8" t="n">
        <f aca="false">E61*'Unit Economics'!$F$54</f>
        <v>0</v>
      </c>
      <c r="F64" s="8" t="n">
        <f aca="false">F61*'Unit Economics'!$F$54</f>
        <v>0.774998756928</v>
      </c>
      <c r="G64" s="8" t="n">
        <f aca="false">G61*'Unit Economics'!$F$54</f>
        <v>1.20527806677443</v>
      </c>
      <c r="H64" s="8" t="n">
        <f aca="false">H61*'Unit Economics'!$F$54</f>
        <v>2.16950052019397</v>
      </c>
      <c r="I64" s="8" t="n">
        <f aca="false">I61*'Unit Economics'!$F$54</f>
        <v>3.28028478653328</v>
      </c>
      <c r="J64" s="8" t="n">
        <f aca="false">J61*'Unit Economics'!$F$54</f>
        <v>4.00663356069422</v>
      </c>
      <c r="K64" s="8" t="n">
        <f aca="false">K61*'Unit Economics'!$F$54</f>
        <v>5.46589167858917</v>
      </c>
      <c r="L64" s="8" t="n">
        <f aca="false">L61*'Unit Economics'!$F$54</f>
        <v>5.60800486223248</v>
      </c>
      <c r="M64" s="8" t="n">
        <f aca="false">M61*'Unit Economics'!$F$54</f>
        <v>5.41910364582044</v>
      </c>
      <c r="N64" s="8" t="n">
        <f aca="false">N61*'Unit Economics'!$F$54</f>
        <v>5.85263193748608</v>
      </c>
      <c r="O64" s="8" t="n">
        <f aca="false">O61*'Unit Economics'!$F$54</f>
        <v>6.80282394616029</v>
      </c>
      <c r="P64" s="8" t="n">
        <f aca="false">P61*'Unit Economics'!$F$54</f>
        <v>9.68149260548286</v>
      </c>
      <c r="Q64" s="8" t="n">
        <f aca="false">Q61*'Unit Economics'!$F$54</f>
        <v>10.4560120139215</v>
      </c>
      <c r="R64" s="8" t="n">
        <f aca="false">R61*'Unit Economics'!$F$54</f>
        <v>10.0687523097022</v>
      </c>
      <c r="S64" s="8" t="n">
        <f aca="false">S61*'Unit Economics'!$F$54</f>
        <v>7.53948172950499</v>
      </c>
      <c r="T64" s="8" t="n">
        <f aca="false">T61*'Unit Economics'!$F$54</f>
        <v>8.7122899985391</v>
      </c>
      <c r="U64" s="8" t="n">
        <f aca="false">U61*'Unit Economics'!$F$54</f>
        <v>9.51382067840469</v>
      </c>
      <c r="V64" s="8" t="n">
        <f aca="false">V61*'Unit Economics'!$F$54</f>
        <v>8.95205221929889</v>
      </c>
      <c r="W64" s="8" t="n">
        <f aca="false">W61*'Unit Economics'!$F$54</f>
        <v>9.80014137691668</v>
      </c>
      <c r="X64" s="8" t="n">
        <f aca="false">X61*'Unit Economics'!$F$54</f>
        <v>9.68253968039368</v>
      </c>
      <c r="Y64" s="8" t="n">
        <f aca="false">Y61*'Unit Economics'!$F$54</f>
        <v>9.00985797628212</v>
      </c>
      <c r="Z64" s="8" t="n">
        <f aca="false">Z61*'Unit Economics'!$F$54</f>
        <v>9.37025229533341</v>
      </c>
      <c r="AA64" s="8" t="n">
        <f aca="false">AA61*'Unit Economics'!$F$54</f>
        <v>10.6820876166801</v>
      </c>
      <c r="AB64" s="8" t="n">
        <f aca="false">AB61*'Unit Economics'!$F$54</f>
        <v>14.9099454523345</v>
      </c>
      <c r="AC64" s="8" t="n">
        <f aca="false">AC61*'Unit Economics'!$F$54</f>
        <v>15.7930729906651</v>
      </c>
      <c r="AD64" s="8" t="n">
        <f aca="false">AD61*'Unit Economics'!$F$54</f>
        <v>14.9156800467393</v>
      </c>
      <c r="AE64" s="8" t="n">
        <f aca="false">AE61*'Unit Economics'!$F$54</f>
        <v>10.9540754263253</v>
      </c>
      <c r="AF64" s="8" t="n">
        <f aca="false">AF61*'Unit Economics'!$F$54</f>
        <v>12.414618816502</v>
      </c>
      <c r="AG64" s="8" t="n">
        <f aca="false">AG61*'Unit Economics'!$F$54</f>
        <v>13.2960567524737</v>
      </c>
      <c r="AH64" s="8" t="n">
        <f aca="false">AH61*'Unit Economics'!$F$54</f>
        <v>12.2703609458543</v>
      </c>
      <c r="AI64" s="8" t="n">
        <f aca="false">AI61*'Unit Economics'!$F$54</f>
        <v>13.1744928050225</v>
      </c>
      <c r="AJ64" s="8" t="n">
        <f aca="false">AJ61*'Unit Economics'!$F$54</f>
        <v>12.7660835280668</v>
      </c>
      <c r="AK64" s="8" t="n">
        <f aca="false">AK61*'Unit Economics'!$F$54</f>
        <v>11.6507309671936</v>
      </c>
      <c r="AL64" s="8" t="n">
        <f aca="false">AL61*'Unit Economics'!$F$54</f>
        <v>11.8837455865374</v>
      </c>
      <c r="AM64" s="45" t="n">
        <f aca="false">SUMIF($C$6:$AL$6,1,C64:AL64)</f>
        <v>33.7823278152521</v>
      </c>
      <c r="AN64" s="45" t="n">
        <f aca="false">SUMIF($C$6:$AL$6,2,C64:AL64)</f>
        <v>109.58951682994</v>
      </c>
      <c r="AO64" s="45" t="n">
        <f aca="false">SUMIF($C$6:$AL$6,3,C64:AL64)</f>
        <v>154.710950934395</v>
      </c>
      <c r="AP64" s="45" t="n">
        <f aca="false">SUM(C64:AL64)</f>
        <v>298.082795579587</v>
      </c>
    </row>
    <row r="65" customFormat="false" ht="15" hidden="false" customHeight="false" outlineLevel="0" collapsed="false">
      <c r="A65" s="5" t="s">
        <v>565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</row>
    <row r="66" customFormat="false" ht="15" hidden="false" customHeight="false" outlineLevel="0" collapsed="false">
      <c r="A66" s="7" t="s">
        <v>746</v>
      </c>
      <c r="B66" s="9" t="s">
        <v>308</v>
      </c>
      <c r="C66" s="37" t="n">
        <f aca="false">IF(AND(Assumptions!$C$139=1,C$4&gt;=Assumptions!$C$140),1,0)</f>
        <v>0</v>
      </c>
      <c r="D66" s="37" t="n">
        <f aca="false">IF(AND(Assumptions!$C$139=1,D$4&gt;=Assumptions!$C$140),1,0)</f>
        <v>0</v>
      </c>
      <c r="E66" s="37" t="n">
        <f aca="false">IF(AND(Assumptions!$C$139=1,E$4&gt;=Assumptions!$C$140),1,0)</f>
        <v>0</v>
      </c>
      <c r="F66" s="37" t="n">
        <f aca="false">IF(AND(Assumptions!$C$139=1,F$4&gt;=Assumptions!$C$140),1,0)</f>
        <v>1</v>
      </c>
      <c r="G66" s="37" t="n">
        <f aca="false">IF(AND(Assumptions!$C$139=1,G$4&gt;=Assumptions!$C$140),1,0)</f>
        <v>1</v>
      </c>
      <c r="H66" s="37" t="n">
        <f aca="false">IF(AND(Assumptions!$C$139=1,H$4&gt;=Assumptions!$C$140),1,0)</f>
        <v>1</v>
      </c>
      <c r="I66" s="37" t="n">
        <f aca="false">IF(AND(Assumptions!$C$139=1,I$4&gt;=Assumptions!$C$140),1,0)</f>
        <v>1</v>
      </c>
      <c r="J66" s="37" t="n">
        <f aca="false">IF(AND(Assumptions!$C$139=1,J$4&gt;=Assumptions!$C$140),1,0)</f>
        <v>1</v>
      </c>
      <c r="K66" s="37" t="n">
        <f aca="false">IF(AND(Assumptions!$C$139=1,K$4&gt;=Assumptions!$C$140),1,0)</f>
        <v>1</v>
      </c>
      <c r="L66" s="37" t="n">
        <f aca="false">IF(AND(Assumptions!$C$139=1,L$4&gt;=Assumptions!$C$140),1,0)</f>
        <v>1</v>
      </c>
      <c r="M66" s="37" t="n">
        <f aca="false">IF(AND(Assumptions!$C$139=1,M$4&gt;=Assumptions!$C$140),1,0)</f>
        <v>1</v>
      </c>
      <c r="N66" s="37" t="n">
        <f aca="false">IF(AND(Assumptions!$C$139=1,N$4&gt;=Assumptions!$C$140),1,0)</f>
        <v>1</v>
      </c>
      <c r="O66" s="37" t="n">
        <f aca="false">IF(AND(Assumptions!$C$139=1,O$4&gt;=Assumptions!$C$140),1,0)</f>
        <v>1</v>
      </c>
      <c r="P66" s="37" t="n">
        <f aca="false">IF(AND(Assumptions!$C$139=1,P$4&gt;=Assumptions!$C$140),1,0)</f>
        <v>1</v>
      </c>
      <c r="Q66" s="37" t="n">
        <f aca="false">IF(AND(Assumptions!$C$139=1,Q$4&gt;=Assumptions!$C$140),1,0)</f>
        <v>1</v>
      </c>
      <c r="R66" s="37" t="n">
        <f aca="false">IF(AND(Assumptions!$C$139=1,R$4&gt;=Assumptions!$C$140),1,0)</f>
        <v>1</v>
      </c>
      <c r="S66" s="37" t="n">
        <f aca="false">IF(AND(Assumptions!$C$139=1,S$4&gt;=Assumptions!$C$140),1,0)</f>
        <v>1</v>
      </c>
      <c r="T66" s="37" t="n">
        <f aca="false">IF(AND(Assumptions!$C$139=1,T$4&gt;=Assumptions!$C$140),1,0)</f>
        <v>1</v>
      </c>
      <c r="U66" s="37" t="n">
        <f aca="false">IF(AND(Assumptions!$C$139=1,U$4&gt;=Assumptions!$C$140),1,0)</f>
        <v>1</v>
      </c>
      <c r="V66" s="37" t="n">
        <f aca="false">IF(AND(Assumptions!$C$139=1,V$4&gt;=Assumptions!$C$140),1,0)</f>
        <v>1</v>
      </c>
      <c r="W66" s="37" t="n">
        <f aca="false">IF(AND(Assumptions!$C$139=1,W$4&gt;=Assumptions!$C$140),1,0)</f>
        <v>1</v>
      </c>
      <c r="X66" s="37" t="n">
        <f aca="false">IF(AND(Assumptions!$C$139=1,X$4&gt;=Assumptions!$C$140),1,0)</f>
        <v>1</v>
      </c>
      <c r="Y66" s="37" t="n">
        <f aca="false">IF(AND(Assumptions!$C$139=1,Y$4&gt;=Assumptions!$C$140),1,0)</f>
        <v>1</v>
      </c>
      <c r="Z66" s="37" t="n">
        <f aca="false">IF(AND(Assumptions!$C$139=1,Z$4&gt;=Assumptions!$C$140),1,0)</f>
        <v>1</v>
      </c>
      <c r="AA66" s="37" t="n">
        <f aca="false">IF(AND(Assumptions!$C$139=1,AA$4&gt;=Assumptions!$C$140),1,0)</f>
        <v>1</v>
      </c>
      <c r="AB66" s="37" t="n">
        <f aca="false">IF(AND(Assumptions!$C$139=1,AB$4&gt;=Assumptions!$C$140),1,0)</f>
        <v>1</v>
      </c>
      <c r="AC66" s="37" t="n">
        <f aca="false">IF(AND(Assumptions!$C$139=1,AC$4&gt;=Assumptions!$C$140),1,0)</f>
        <v>1</v>
      </c>
      <c r="AD66" s="37" t="n">
        <f aca="false">IF(AND(Assumptions!$C$139=1,AD$4&gt;=Assumptions!$C$140),1,0)</f>
        <v>1</v>
      </c>
      <c r="AE66" s="37" t="n">
        <f aca="false">IF(AND(Assumptions!$C$139=1,AE$4&gt;=Assumptions!$C$140),1,0)</f>
        <v>1</v>
      </c>
      <c r="AF66" s="37" t="n">
        <f aca="false">IF(AND(Assumptions!$C$139=1,AF$4&gt;=Assumptions!$C$140),1,0)</f>
        <v>1</v>
      </c>
      <c r="AG66" s="37" t="n">
        <f aca="false">IF(AND(Assumptions!$C$139=1,AG$4&gt;=Assumptions!$C$140),1,0)</f>
        <v>1</v>
      </c>
      <c r="AH66" s="37" t="n">
        <f aca="false">IF(AND(Assumptions!$C$139=1,AH$4&gt;=Assumptions!$C$140),1,0)</f>
        <v>1</v>
      </c>
      <c r="AI66" s="37" t="n">
        <f aca="false">IF(AND(Assumptions!$C$139=1,AI$4&gt;=Assumptions!$C$140),1,0)</f>
        <v>1</v>
      </c>
      <c r="AJ66" s="37" t="n">
        <f aca="false">IF(AND(Assumptions!$C$139=1,AJ$4&gt;=Assumptions!$C$140),1,0)</f>
        <v>1</v>
      </c>
      <c r="AK66" s="37" t="n">
        <f aca="false">IF(AND(Assumptions!$C$139=1,AK$4&gt;=Assumptions!$C$140),1,0)</f>
        <v>1</v>
      </c>
      <c r="AL66" s="37" t="n">
        <f aca="false">IF(AND(Assumptions!$C$139=1,AL$4&gt;=Assumptions!$C$140),1,0)</f>
        <v>1</v>
      </c>
    </row>
    <row r="67" customFormat="false" ht="15" hidden="false" customHeight="false" outlineLevel="0" collapsed="false">
      <c r="A67" s="7" t="s">
        <v>761</v>
      </c>
      <c r="B67" s="9" t="s">
        <v>762</v>
      </c>
      <c r="C67" s="14" t="n">
        <f aca="false">IF(C66=0,0,0*Assumptions!$C$143)</f>
        <v>0</v>
      </c>
      <c r="D67" s="14" t="n">
        <f aca="false">IF(D66=0,0,C108*Assumptions!$C$143)</f>
        <v>0</v>
      </c>
      <c r="E67" s="14" t="n">
        <f aca="false">IF(E66=0,0,D108*Assumptions!$C$143)</f>
        <v>0</v>
      </c>
      <c r="F67" s="14" t="n">
        <f aca="false">IF(F66=0,0,E108*Assumptions!$C$143)</f>
        <v>2.48216563333333</v>
      </c>
      <c r="G67" s="14" t="n">
        <f aca="false">IF(G66=0,0,F108*Assumptions!$C$143)</f>
        <v>3.51887955133333</v>
      </c>
      <c r="H67" s="14" t="n">
        <f aca="false">IF(H66=0,0,G108*Assumptions!$C$143)</f>
        <v>4.32889361094347</v>
      </c>
      <c r="I67" s="14" t="n">
        <f aca="false">IF(I66=0,0,H108*Assumptions!$C$143)</f>
        <v>5.3402823230399</v>
      </c>
      <c r="J67" s="14" t="n">
        <f aca="false">IF(J66=0,0,I108*Assumptions!$C$143)</f>
        <v>6.50605494677132</v>
      </c>
      <c r="K67" s="14" t="n">
        <f aca="false">IF(K66=0,0,J108*Assumptions!$C$143)</f>
        <v>7.62476989657453</v>
      </c>
      <c r="L67" s="14" t="n">
        <f aca="false">IF(L66=0,0,K108*Assumptions!$C$143)</f>
        <v>8.89329985402179</v>
      </c>
      <c r="M67" s="14" t="n">
        <f aca="false">IF(M66=0,0,L108*Assumptions!$C$143)</f>
        <v>10.1733738231038</v>
      </c>
      <c r="N67" s="14" t="n">
        <f aca="false">IF(N66=0,0,M108*Assumptions!$C$143)</f>
        <v>11.374472595415</v>
      </c>
      <c r="O67" s="14" t="n">
        <f aca="false">IF(O66=0,0,N108*Assumptions!$C$143)</f>
        <v>12.6594311933712</v>
      </c>
      <c r="P67" s="14" t="n">
        <f aca="false">IF(P66=0,0,O108*Assumptions!$C$143)</f>
        <v>14.1607203917165</v>
      </c>
      <c r="Q67" s="14" t="n">
        <f aca="false">IF(Q66=0,0,P108*Assumptions!$C$143)</f>
        <v>16.3694578302211</v>
      </c>
      <c r="R67" s="14" t="n">
        <f aca="false">IF(R66=0,0,Q108*Assumptions!$C$143)</f>
        <v>18.7281011484651</v>
      </c>
      <c r="S67" s="14" t="n">
        <f aca="false">IF(S66=0,0,R108*Assumptions!$C$143)</f>
        <v>20.9350727391228</v>
      </c>
      <c r="T67" s="14" t="n">
        <f aca="false">IF(T66=0,0,S108*Assumptions!$C$143)</f>
        <v>22.4457147506656</v>
      </c>
      <c r="U67" s="14" t="n">
        <f aca="false">IF(U66=0,0,T108*Assumptions!$C$143)</f>
        <v>24.2220319550515</v>
      </c>
      <c r="V67" s="14" t="n">
        <f aca="false">IF(V66=0,0,U108*Assumptions!$C$143)</f>
        <v>26.1629806036033</v>
      </c>
      <c r="W67" s="14" t="n">
        <f aca="false">IF(W66=0,0,V108*Assumptions!$C$143)</f>
        <v>27.9176564863662</v>
      </c>
      <c r="X67" s="14" t="n">
        <f aca="false">IF(X66=0,0,W108*Assumptions!$C$143)</f>
        <v>29.84845919814</v>
      </c>
      <c r="Y67" s="14" t="n">
        <f aca="false">IF(Y66=0,0,X108*Assumptions!$C$143)</f>
        <v>31.706303402738</v>
      </c>
      <c r="Z67" s="14" t="n">
        <f aca="false">IF(Z66=0,0,Y108*Assumptions!$C$143)</f>
        <v>33.352335753693</v>
      </c>
      <c r="AA67" s="14" t="n">
        <f aca="false">IF(AA66=0,0,Z108*Assumptions!$C$143)</f>
        <v>35.0524324885741</v>
      </c>
      <c r="AB67" s="14" t="n">
        <f aca="false">IF(AB66=0,0,AA108*Assumptions!$C$143)</f>
        <v>37.0457813247063</v>
      </c>
      <c r="AC67" s="14" t="n">
        <f aca="false">IF(AC66=0,0,AB108*Assumptions!$C$143)</f>
        <v>40.0599470735154</v>
      </c>
      <c r="AD67" s="14" t="n">
        <f aca="false">IF(AD66=0,0,AC108*Assumptions!$C$143)</f>
        <v>43.2302356904713</v>
      </c>
      <c r="AE67" s="14" t="n">
        <f aca="false">IF(AE66=0,0,AD108*Assumptions!$C$143)</f>
        <v>46.1108597105337</v>
      </c>
      <c r="AF67" s="14" t="n">
        <f aca="false">IF(AF66=0,0,AE108*Assumptions!$C$143)</f>
        <v>47.9350511786231</v>
      </c>
      <c r="AG67" s="14" t="n">
        <f aca="false">IF(AG66=0,0,AF108*Assumptions!$C$143)</f>
        <v>50.0843597578196</v>
      </c>
      <c r="AH67" s="14" t="n">
        <f aca="false">IF(AH66=0,0,AG108*Assumptions!$C$143)</f>
        <v>52.4064864597469</v>
      </c>
      <c r="AI67" s="14" t="n">
        <f aca="false">IF(AI66=0,0,AH108*Assumptions!$C$143)</f>
        <v>54.4213170033948</v>
      </c>
      <c r="AJ67" s="14" t="n">
        <f aca="false">IF(AJ66=0,0,AI108*Assumptions!$C$143)</f>
        <v>56.6168168774903</v>
      </c>
      <c r="AK67" s="14" t="n">
        <f aca="false">IF(AK66=0,0,AJ108*Assumptions!$C$143)</f>
        <v>58.6620705708717</v>
      </c>
      <c r="AL67" s="14" t="n">
        <f aca="false">IF(AL66=0,0,AK108*Assumptions!$C$143)</f>
        <v>60.3847004371524</v>
      </c>
    </row>
    <row r="68" customFormat="false" ht="15" hidden="false" customHeight="false" outlineLevel="0" collapsed="false">
      <c r="A68" s="7" t="s">
        <v>763</v>
      </c>
      <c r="B68" s="9" t="s">
        <v>316</v>
      </c>
      <c r="C68" s="52" t="n">
        <f aca="false">C67*C$7</f>
        <v>0</v>
      </c>
      <c r="D68" s="52" t="n">
        <f aca="false">D67*D$7</f>
        <v>0</v>
      </c>
      <c r="E68" s="52" t="n">
        <f aca="false">E67*E$7</f>
        <v>0</v>
      </c>
      <c r="F68" s="52" t="n">
        <f aca="false">F67*F$7</f>
        <v>3.10270704166667</v>
      </c>
      <c r="G68" s="52" t="n">
        <f aca="false">G67*G$7</f>
        <v>3.1669915962</v>
      </c>
      <c r="H68" s="52" t="n">
        <f aca="false">H67*H$7</f>
        <v>4.32889361094347</v>
      </c>
      <c r="I68" s="52" t="n">
        <f aca="false">I67*I$7</f>
        <v>5.6072964391919</v>
      </c>
      <c r="J68" s="52" t="n">
        <f aca="false">J67*J$7</f>
        <v>6.18075219943275</v>
      </c>
      <c r="K68" s="52" t="n">
        <f aca="false">K67*K$7</f>
        <v>7.62476989657453</v>
      </c>
      <c r="L68" s="52" t="n">
        <f aca="false">L67*L$7</f>
        <v>8.4486348613207</v>
      </c>
      <c r="M68" s="52" t="n">
        <f aca="false">M67*M$7</f>
        <v>8.64736774963825</v>
      </c>
      <c r="N68" s="52" t="n">
        <f aca="false">N67*N$7</f>
        <v>9.66830170610277</v>
      </c>
      <c r="O68" s="52" t="n">
        <f aca="false">O67*O$7</f>
        <v>12.0264596337026</v>
      </c>
      <c r="P68" s="52" t="n">
        <f aca="false">P67*P$7</f>
        <v>18.4089365092315</v>
      </c>
      <c r="Q68" s="52" t="n">
        <f aca="false">Q67*Q$7</f>
        <v>22.0987680707985</v>
      </c>
      <c r="R68" s="52" t="n">
        <f aca="false">R67*R$7</f>
        <v>23.4101264355814</v>
      </c>
      <c r="S68" s="52" t="n">
        <f aca="false">S67*S$7</f>
        <v>18.8415654652105</v>
      </c>
      <c r="T68" s="52" t="n">
        <f aca="false">T67*T$7</f>
        <v>22.4457147506656</v>
      </c>
      <c r="U68" s="52" t="n">
        <f aca="false">U67*U$7</f>
        <v>25.4331335528041</v>
      </c>
      <c r="V68" s="52" t="n">
        <f aca="false">V67*V$7</f>
        <v>24.8548315734232</v>
      </c>
      <c r="W68" s="52" t="n">
        <f aca="false">W67*W$7</f>
        <v>27.9176564863662</v>
      </c>
      <c r="X68" s="52" t="n">
        <f aca="false">X67*X$7</f>
        <v>28.356036238233</v>
      </c>
      <c r="Y68" s="52" t="n">
        <f aca="false">Y67*Y$7</f>
        <v>26.9503578923273</v>
      </c>
      <c r="Z68" s="52" t="n">
        <f aca="false">Z67*Z$7</f>
        <v>28.349485390639</v>
      </c>
      <c r="AA68" s="52" t="n">
        <f aca="false">AA67*AA$7</f>
        <v>33.2998108641454</v>
      </c>
      <c r="AB68" s="52" t="n">
        <f aca="false">AB67*AB$7</f>
        <v>48.1595157221182</v>
      </c>
      <c r="AC68" s="52" t="n">
        <f aca="false">AC67*AC$7</f>
        <v>54.0809285492458</v>
      </c>
      <c r="AD68" s="52" t="n">
        <f aca="false">AD67*AD$7</f>
        <v>54.0377946130891</v>
      </c>
      <c r="AE68" s="52" t="n">
        <f aca="false">AE67*AE$7</f>
        <v>41.4997737394804</v>
      </c>
      <c r="AF68" s="52" t="n">
        <f aca="false">AF67*AF$7</f>
        <v>47.9350511786231</v>
      </c>
      <c r="AG68" s="52" t="n">
        <f aca="false">AG67*AG$7</f>
        <v>52.5885777457106</v>
      </c>
      <c r="AH68" s="52" t="n">
        <f aca="false">AH67*AH$7</f>
        <v>49.7861621367595</v>
      </c>
      <c r="AI68" s="52" t="n">
        <f aca="false">AI67*AI$7</f>
        <v>54.4213170033948</v>
      </c>
      <c r="AJ68" s="52" t="n">
        <f aca="false">AJ67*AJ$7</f>
        <v>53.7859760336158</v>
      </c>
      <c r="AK68" s="52" t="n">
        <f aca="false">AK67*AK$7</f>
        <v>49.862759985241</v>
      </c>
      <c r="AL68" s="52" t="n">
        <f aca="false">AL67*AL$7</f>
        <v>51.3269953715796</v>
      </c>
      <c r="AM68" s="53" t="n">
        <f aca="false">SUMIF($C$6:$AL$6,1,C68:AL68)</f>
        <v>56.775715101071</v>
      </c>
      <c r="AN68" s="53" t="n">
        <f aca="false">SUMIF($C$6:$AL$6,2,C68:AL68)</f>
        <v>279.093071998983</v>
      </c>
      <c r="AO68" s="53" t="n">
        <f aca="false">SUMIF($C$6:$AL$6,3,C68:AL68)</f>
        <v>590.784662943003</v>
      </c>
      <c r="AP68" s="53" t="n">
        <f aca="false">SUM(C68:AL68)</f>
        <v>926.653450043057</v>
      </c>
    </row>
    <row r="69" customFormat="false" ht="15" hidden="false" customHeight="false" outlineLevel="0" collapsed="false">
      <c r="A69" s="7" t="s">
        <v>749</v>
      </c>
      <c r="B69" s="9" t="s">
        <v>88</v>
      </c>
      <c r="C69" s="54" t="n">
        <f aca="false">Assumptions!$C$141*MIN(1,(C$4-Assumptions!$C$140+1)/Assumptions!$C$10)*C66</f>
        <v>-0</v>
      </c>
      <c r="D69" s="54" t="n">
        <f aca="false">Assumptions!$C$141*MIN(1,(D$4-Assumptions!$C$140+1)/Assumptions!$C$10)*D66</f>
        <v>-0</v>
      </c>
      <c r="E69" s="54" t="n">
        <f aca="false">Assumptions!$C$141*MIN(1,(E$4-Assumptions!$C$140+1)/Assumptions!$C$10)*E66</f>
        <v>0</v>
      </c>
      <c r="F69" s="54" t="n">
        <f aca="false">Assumptions!$C$141*MIN(1,(F$4-Assumptions!$C$140+1)/Assumptions!$C$10)*F66</f>
        <v>0.00166666666666667</v>
      </c>
      <c r="G69" s="54" t="n">
        <f aca="false">Assumptions!$C$141*MIN(1,(G$4-Assumptions!$C$140+1)/Assumptions!$C$10)*G66</f>
        <v>0.00333333333333333</v>
      </c>
      <c r="H69" s="54" t="n">
        <f aca="false">Assumptions!$C$141*MIN(1,(H$4-Assumptions!$C$140+1)/Assumptions!$C$10)*H66</f>
        <v>0.005</v>
      </c>
      <c r="I69" s="54" t="n">
        <f aca="false">Assumptions!$C$141*MIN(1,(I$4-Assumptions!$C$140+1)/Assumptions!$C$10)*I66</f>
        <v>0.00666666666666667</v>
      </c>
      <c r="J69" s="54" t="n">
        <f aca="false">Assumptions!$C$141*MIN(1,(J$4-Assumptions!$C$140+1)/Assumptions!$C$10)*J66</f>
        <v>0.00833333333333333</v>
      </c>
      <c r="K69" s="54" t="n">
        <f aca="false">Assumptions!$C$141*MIN(1,(K$4-Assumptions!$C$140+1)/Assumptions!$C$10)*K66</f>
        <v>0.01</v>
      </c>
      <c r="L69" s="54" t="n">
        <f aca="false">Assumptions!$C$141*MIN(1,(L$4-Assumptions!$C$140+1)/Assumptions!$C$10)*L66</f>
        <v>0.01</v>
      </c>
      <c r="M69" s="54" t="n">
        <f aca="false">Assumptions!$C$141*MIN(1,(M$4-Assumptions!$C$140+1)/Assumptions!$C$10)*M66</f>
        <v>0.01</v>
      </c>
      <c r="N69" s="54" t="n">
        <f aca="false">Assumptions!$C$141*MIN(1,(N$4-Assumptions!$C$140+1)/Assumptions!$C$10)*N66</f>
        <v>0.01</v>
      </c>
      <c r="O69" s="54" t="n">
        <f aca="false">Assumptions!$C$141*MIN(1,(O$4-Assumptions!$C$140+1)/Assumptions!$C$10)*O66</f>
        <v>0.01</v>
      </c>
      <c r="P69" s="54" t="n">
        <f aca="false">Assumptions!$C$141*MIN(1,(P$4-Assumptions!$C$140+1)/Assumptions!$C$10)*P66</f>
        <v>0.01</v>
      </c>
      <c r="Q69" s="54" t="n">
        <f aca="false">Assumptions!$C$141*MIN(1,(Q$4-Assumptions!$C$140+1)/Assumptions!$C$10)*Q66</f>
        <v>0.01</v>
      </c>
      <c r="R69" s="54" t="n">
        <f aca="false">Assumptions!$C$141*MIN(1,(R$4-Assumptions!$C$140+1)/Assumptions!$C$10)*R66</f>
        <v>0.01</v>
      </c>
      <c r="S69" s="54" t="n">
        <f aca="false">Assumptions!$C$141*MIN(1,(S$4-Assumptions!$C$140+1)/Assumptions!$C$10)*S66</f>
        <v>0.01</v>
      </c>
      <c r="T69" s="54" t="n">
        <f aca="false">Assumptions!$C$141*MIN(1,(T$4-Assumptions!$C$140+1)/Assumptions!$C$10)*T66</f>
        <v>0.01</v>
      </c>
      <c r="U69" s="54" t="n">
        <f aca="false">Assumptions!$C$141*MIN(1,(U$4-Assumptions!$C$140+1)/Assumptions!$C$10)*U66</f>
        <v>0.01</v>
      </c>
      <c r="V69" s="54" t="n">
        <f aca="false">Assumptions!$C$141*MIN(1,(V$4-Assumptions!$C$140+1)/Assumptions!$C$10)*V66</f>
        <v>0.01</v>
      </c>
      <c r="W69" s="54" t="n">
        <f aca="false">Assumptions!$C$141*MIN(1,(W$4-Assumptions!$C$140+1)/Assumptions!$C$10)*W66</f>
        <v>0.01</v>
      </c>
      <c r="X69" s="54" t="n">
        <f aca="false">Assumptions!$C$141*MIN(1,(X$4-Assumptions!$C$140+1)/Assumptions!$C$10)*X66</f>
        <v>0.01</v>
      </c>
      <c r="Y69" s="54" t="n">
        <f aca="false">Assumptions!$C$141*MIN(1,(Y$4-Assumptions!$C$140+1)/Assumptions!$C$10)*Y66</f>
        <v>0.01</v>
      </c>
      <c r="Z69" s="54" t="n">
        <f aca="false">Assumptions!$C$141*MIN(1,(Z$4-Assumptions!$C$140+1)/Assumptions!$C$10)*Z66</f>
        <v>0.01</v>
      </c>
      <c r="AA69" s="54" t="n">
        <f aca="false">Assumptions!$C$141*MIN(1,(AA$4-Assumptions!$C$140+1)/Assumptions!$C$10)*AA66</f>
        <v>0.01</v>
      </c>
      <c r="AB69" s="54" t="n">
        <f aca="false">Assumptions!$C$141*MIN(1,(AB$4-Assumptions!$C$140+1)/Assumptions!$C$10)*AB66</f>
        <v>0.01</v>
      </c>
      <c r="AC69" s="54" t="n">
        <f aca="false">Assumptions!$C$141*MIN(1,(AC$4-Assumptions!$C$140+1)/Assumptions!$C$10)*AC66</f>
        <v>0.01</v>
      </c>
      <c r="AD69" s="54" t="n">
        <f aca="false">Assumptions!$C$141*MIN(1,(AD$4-Assumptions!$C$140+1)/Assumptions!$C$10)*AD66</f>
        <v>0.01</v>
      </c>
      <c r="AE69" s="54" t="n">
        <f aca="false">Assumptions!$C$141*MIN(1,(AE$4-Assumptions!$C$140+1)/Assumptions!$C$10)*AE66</f>
        <v>0.01</v>
      </c>
      <c r="AF69" s="54" t="n">
        <f aca="false">Assumptions!$C$141*MIN(1,(AF$4-Assumptions!$C$140+1)/Assumptions!$C$10)*AF66</f>
        <v>0.01</v>
      </c>
      <c r="AG69" s="54" t="n">
        <f aca="false">Assumptions!$C$141*MIN(1,(AG$4-Assumptions!$C$140+1)/Assumptions!$C$10)*AG66</f>
        <v>0.01</v>
      </c>
      <c r="AH69" s="54" t="n">
        <f aca="false">Assumptions!$C$141*MIN(1,(AH$4-Assumptions!$C$140+1)/Assumptions!$C$10)*AH66</f>
        <v>0.01</v>
      </c>
      <c r="AI69" s="54" t="n">
        <f aca="false">Assumptions!$C$141*MIN(1,(AI$4-Assumptions!$C$140+1)/Assumptions!$C$10)*AI66</f>
        <v>0.01</v>
      </c>
      <c r="AJ69" s="54" t="n">
        <f aca="false">Assumptions!$C$141*MIN(1,(AJ$4-Assumptions!$C$140+1)/Assumptions!$C$10)*AJ66</f>
        <v>0.01</v>
      </c>
      <c r="AK69" s="54" t="n">
        <f aca="false">Assumptions!$C$141*MIN(1,(AK$4-Assumptions!$C$140+1)/Assumptions!$C$10)*AK66</f>
        <v>0.01</v>
      </c>
      <c r="AL69" s="54" t="n">
        <f aca="false">Assumptions!$C$141*MIN(1,(AL$4-Assumptions!$C$140+1)/Assumptions!$C$10)*AL66</f>
        <v>0.01</v>
      </c>
    </row>
    <row r="70" customFormat="false" ht="15" hidden="false" customHeight="false" outlineLevel="0" collapsed="false">
      <c r="A70" s="7" t="s">
        <v>757</v>
      </c>
      <c r="B70" s="9" t="s">
        <v>751</v>
      </c>
      <c r="C70" s="55" t="n">
        <f aca="false">C68*C69</f>
        <v>-0</v>
      </c>
      <c r="D70" s="55" t="n">
        <f aca="false">D68*D69</f>
        <v>-0</v>
      </c>
      <c r="E70" s="55" t="n">
        <f aca="false">E68*E69</f>
        <v>0</v>
      </c>
      <c r="F70" s="55" t="n">
        <f aca="false">F68*F69</f>
        <v>0.00517117840277778</v>
      </c>
      <c r="G70" s="55" t="n">
        <f aca="false">G68*G69</f>
        <v>0.010556638654</v>
      </c>
      <c r="H70" s="55" t="n">
        <f aca="false">H68*H69</f>
        <v>0.0216444680547173</v>
      </c>
      <c r="I70" s="55" t="n">
        <f aca="false">I68*I69</f>
        <v>0.0373819762612793</v>
      </c>
      <c r="J70" s="55" t="n">
        <f aca="false">J68*J69</f>
        <v>0.0515062683286063</v>
      </c>
      <c r="K70" s="55" t="n">
        <f aca="false">K68*K69</f>
        <v>0.0762476989657454</v>
      </c>
      <c r="L70" s="55" t="n">
        <f aca="false">L68*L69</f>
        <v>0.084486348613207</v>
      </c>
      <c r="M70" s="55" t="n">
        <f aca="false">M68*M69</f>
        <v>0.0864736774963825</v>
      </c>
      <c r="N70" s="55" t="n">
        <f aca="false">N68*N69</f>
        <v>0.0966830170610277</v>
      </c>
      <c r="O70" s="55" t="n">
        <f aca="false">O68*O69</f>
        <v>0.120264596337026</v>
      </c>
      <c r="P70" s="55" t="n">
        <f aca="false">P68*P69</f>
        <v>0.184089365092315</v>
      </c>
      <c r="Q70" s="55" t="n">
        <f aca="false">Q68*Q69</f>
        <v>0.220987680707985</v>
      </c>
      <c r="R70" s="55" t="n">
        <f aca="false">R68*R69</f>
        <v>0.234101264355814</v>
      </c>
      <c r="S70" s="55" t="n">
        <f aca="false">S68*S69</f>
        <v>0.188415654652105</v>
      </c>
      <c r="T70" s="55" t="n">
        <f aca="false">T68*T69</f>
        <v>0.224457147506656</v>
      </c>
      <c r="U70" s="55" t="n">
        <f aca="false">U68*U69</f>
        <v>0.254331335528041</v>
      </c>
      <c r="V70" s="55" t="n">
        <f aca="false">V68*V69</f>
        <v>0.248548315734232</v>
      </c>
      <c r="W70" s="55" t="n">
        <f aca="false">W68*W69</f>
        <v>0.279176564863662</v>
      </c>
      <c r="X70" s="55" t="n">
        <f aca="false">X68*X69</f>
        <v>0.28356036238233</v>
      </c>
      <c r="Y70" s="55" t="n">
        <f aca="false">Y68*Y69</f>
        <v>0.269503578923273</v>
      </c>
      <c r="Z70" s="55" t="n">
        <f aca="false">Z68*Z69</f>
        <v>0.28349485390639</v>
      </c>
      <c r="AA70" s="55" t="n">
        <f aca="false">AA68*AA69</f>
        <v>0.332998108641454</v>
      </c>
      <c r="AB70" s="55" t="n">
        <f aca="false">AB68*AB69</f>
        <v>0.481595157221182</v>
      </c>
      <c r="AC70" s="55" t="n">
        <f aca="false">AC68*AC69</f>
        <v>0.540809285492458</v>
      </c>
      <c r="AD70" s="55" t="n">
        <f aca="false">AD68*AD69</f>
        <v>0.540377946130891</v>
      </c>
      <c r="AE70" s="55" t="n">
        <f aca="false">AE68*AE69</f>
        <v>0.414997737394804</v>
      </c>
      <c r="AF70" s="55" t="n">
        <f aca="false">AF68*AF69</f>
        <v>0.479350511786231</v>
      </c>
      <c r="AG70" s="55" t="n">
        <f aca="false">AG68*AG69</f>
        <v>0.525885777457106</v>
      </c>
      <c r="AH70" s="55" t="n">
        <f aca="false">AH68*AH69</f>
        <v>0.497861621367595</v>
      </c>
      <c r="AI70" s="55" t="n">
        <f aca="false">AI68*AI69</f>
        <v>0.544213170033948</v>
      </c>
      <c r="AJ70" s="55" t="n">
        <f aca="false">AJ68*AJ69</f>
        <v>0.537859760336158</v>
      </c>
      <c r="AK70" s="55" t="n">
        <f aca="false">AK68*AK69</f>
        <v>0.49862759985241</v>
      </c>
      <c r="AL70" s="55" t="n">
        <f aca="false">AL68*AL69</f>
        <v>0.513269953715796</v>
      </c>
      <c r="AM70" s="53" t="n">
        <f aca="false">SUMIF($C$6:$AL$6,1,C70:AL70)</f>
        <v>0.470151271837743</v>
      </c>
      <c r="AN70" s="53" t="n">
        <f aca="false">SUMIF($C$6:$AL$6,2,C70:AL70)</f>
        <v>2.79093071998983</v>
      </c>
      <c r="AO70" s="53" t="n">
        <f aca="false">SUMIF($C$6:$AL$6,3,C70:AL70)</f>
        <v>5.90784662943003</v>
      </c>
      <c r="AP70" s="53" t="n">
        <f aca="false">SUM(C70:AL70)</f>
        <v>9.16892862125761</v>
      </c>
    </row>
    <row r="71" customFormat="false" ht="15" hidden="false" customHeight="false" outlineLevel="0" collapsed="false">
      <c r="A71" s="7" t="s">
        <v>752</v>
      </c>
      <c r="B71" s="9" t="s">
        <v>331</v>
      </c>
      <c r="C71" s="56" t="n">
        <f aca="false">C70*Assumptions!$C$142</f>
        <v>-0</v>
      </c>
      <c r="D71" s="56" t="n">
        <f aca="false">D70*Assumptions!$C$142</f>
        <v>-0</v>
      </c>
      <c r="E71" s="56" t="n">
        <f aca="false">E70*Assumptions!$C$142</f>
        <v>0</v>
      </c>
      <c r="F71" s="56" t="n">
        <f aca="false">F70*Assumptions!$C$142</f>
        <v>0.00517117840277778</v>
      </c>
      <c r="G71" s="56" t="n">
        <f aca="false">G70*Assumptions!$C$142</f>
        <v>0.010556638654</v>
      </c>
      <c r="H71" s="56" t="n">
        <f aca="false">H70*Assumptions!$C$142</f>
        <v>0.0216444680547173</v>
      </c>
      <c r="I71" s="56" t="n">
        <f aca="false">I70*Assumptions!$C$142</f>
        <v>0.0373819762612793</v>
      </c>
      <c r="J71" s="56" t="n">
        <f aca="false">J70*Assumptions!$C$142</f>
        <v>0.0515062683286063</v>
      </c>
      <c r="K71" s="56" t="n">
        <f aca="false">K70*Assumptions!$C$142</f>
        <v>0.0762476989657454</v>
      </c>
      <c r="L71" s="56" t="n">
        <f aca="false">L70*Assumptions!$C$142</f>
        <v>0.084486348613207</v>
      </c>
      <c r="M71" s="56" t="n">
        <f aca="false">M70*Assumptions!$C$142</f>
        <v>0.0864736774963825</v>
      </c>
      <c r="N71" s="56" t="n">
        <f aca="false">N70*Assumptions!$C$142</f>
        <v>0.0966830170610277</v>
      </c>
      <c r="O71" s="56" t="n">
        <f aca="false">O70*Assumptions!$C$142</f>
        <v>0.120264596337026</v>
      </c>
      <c r="P71" s="56" t="n">
        <f aca="false">P70*Assumptions!$C$142</f>
        <v>0.184089365092315</v>
      </c>
      <c r="Q71" s="56" t="n">
        <f aca="false">Q70*Assumptions!$C$142</f>
        <v>0.220987680707985</v>
      </c>
      <c r="R71" s="56" t="n">
        <f aca="false">R70*Assumptions!$C$142</f>
        <v>0.234101264355814</v>
      </c>
      <c r="S71" s="56" t="n">
        <f aca="false">S70*Assumptions!$C$142</f>
        <v>0.188415654652105</v>
      </c>
      <c r="T71" s="56" t="n">
        <f aca="false">T70*Assumptions!$C$142</f>
        <v>0.224457147506656</v>
      </c>
      <c r="U71" s="56" t="n">
        <f aca="false">U70*Assumptions!$C$142</f>
        <v>0.254331335528041</v>
      </c>
      <c r="V71" s="56" t="n">
        <f aca="false">V70*Assumptions!$C$142</f>
        <v>0.248548315734232</v>
      </c>
      <c r="W71" s="56" t="n">
        <f aca="false">W70*Assumptions!$C$142</f>
        <v>0.279176564863662</v>
      </c>
      <c r="X71" s="56" t="n">
        <f aca="false">X70*Assumptions!$C$142</f>
        <v>0.28356036238233</v>
      </c>
      <c r="Y71" s="56" t="n">
        <f aca="false">Y70*Assumptions!$C$142</f>
        <v>0.269503578923273</v>
      </c>
      <c r="Z71" s="56" t="n">
        <f aca="false">Z70*Assumptions!$C$142</f>
        <v>0.28349485390639</v>
      </c>
      <c r="AA71" s="56" t="n">
        <f aca="false">AA70*Assumptions!$C$142</f>
        <v>0.332998108641454</v>
      </c>
      <c r="AB71" s="56" t="n">
        <f aca="false">AB70*Assumptions!$C$142</f>
        <v>0.481595157221182</v>
      </c>
      <c r="AC71" s="56" t="n">
        <f aca="false">AC70*Assumptions!$C$142</f>
        <v>0.540809285492458</v>
      </c>
      <c r="AD71" s="56" t="n">
        <f aca="false">AD70*Assumptions!$C$142</f>
        <v>0.540377946130891</v>
      </c>
      <c r="AE71" s="56" t="n">
        <f aca="false">AE70*Assumptions!$C$142</f>
        <v>0.414997737394804</v>
      </c>
      <c r="AF71" s="56" t="n">
        <f aca="false">AF70*Assumptions!$C$142</f>
        <v>0.479350511786231</v>
      </c>
      <c r="AG71" s="56" t="n">
        <f aca="false">AG70*Assumptions!$C$142</f>
        <v>0.525885777457106</v>
      </c>
      <c r="AH71" s="56" t="n">
        <f aca="false">AH70*Assumptions!$C$142</f>
        <v>0.497861621367595</v>
      </c>
      <c r="AI71" s="56" t="n">
        <f aca="false">AI70*Assumptions!$C$142</f>
        <v>0.544213170033948</v>
      </c>
      <c r="AJ71" s="56" t="n">
        <f aca="false">AJ70*Assumptions!$C$142</f>
        <v>0.537859760336158</v>
      </c>
      <c r="AK71" s="56" t="n">
        <f aca="false">AK70*Assumptions!$C$142</f>
        <v>0.49862759985241</v>
      </c>
      <c r="AL71" s="56" t="n">
        <f aca="false">AL70*Assumptions!$C$142</f>
        <v>0.513269953715796</v>
      </c>
      <c r="AM71" s="53" t="n">
        <f aca="false">SUMIF($C$6:$AL$6,1,C71:AL71)</f>
        <v>0.470151271837743</v>
      </c>
      <c r="AN71" s="53" t="n">
        <f aca="false">SUMIF($C$6:$AL$6,2,C71:AL71)</f>
        <v>2.79093071998983</v>
      </c>
      <c r="AO71" s="53" t="n">
        <f aca="false">SUMIF($C$6:$AL$6,3,C71:AL71)</f>
        <v>5.90784662943003</v>
      </c>
      <c r="AP71" s="53" t="n">
        <f aca="false">SUM(C71:AL71)</f>
        <v>9.16892862125761</v>
      </c>
    </row>
    <row r="72" customFormat="false" ht="15" hidden="false" customHeight="false" outlineLevel="0" collapsed="false">
      <c r="A72" s="7" t="s">
        <v>753</v>
      </c>
      <c r="B72" s="9" t="s">
        <v>93</v>
      </c>
      <c r="C72" s="15" t="n">
        <f aca="false">'Unit Economics'!$E$55*Assumptions!$C$142*C66</f>
        <v>0</v>
      </c>
      <c r="D72" s="15" t="n">
        <f aca="false">'Unit Economics'!$E$55*Assumptions!$C$142*D66</f>
        <v>0</v>
      </c>
      <c r="E72" s="15" t="n">
        <f aca="false">'Unit Economics'!$E$55*Assumptions!$C$142*E66</f>
        <v>0</v>
      </c>
      <c r="F72" s="15" t="n">
        <f aca="false">'Unit Economics'!$E$55*Assumptions!$C$142*F66</f>
        <v>33.6</v>
      </c>
      <c r="G72" s="15" t="n">
        <f aca="false">'Unit Economics'!$E$55*Assumptions!$C$142*G66</f>
        <v>33.6</v>
      </c>
      <c r="H72" s="15" t="n">
        <f aca="false">'Unit Economics'!$E$55*Assumptions!$C$142*H66</f>
        <v>33.6</v>
      </c>
      <c r="I72" s="15" t="n">
        <f aca="false">'Unit Economics'!$E$55*Assumptions!$C$142*I66</f>
        <v>33.6</v>
      </c>
      <c r="J72" s="15" t="n">
        <f aca="false">'Unit Economics'!$E$55*Assumptions!$C$142*J66</f>
        <v>33.6</v>
      </c>
      <c r="K72" s="15" t="n">
        <f aca="false">'Unit Economics'!$E$55*Assumptions!$C$142*K66</f>
        <v>33.6</v>
      </c>
      <c r="L72" s="15" t="n">
        <f aca="false">'Unit Economics'!$E$55*Assumptions!$C$142*L66</f>
        <v>33.6</v>
      </c>
      <c r="M72" s="15" t="n">
        <f aca="false">'Unit Economics'!$E$55*Assumptions!$C$142*M66</f>
        <v>33.6</v>
      </c>
      <c r="N72" s="15" t="n">
        <f aca="false">'Unit Economics'!$E$55*Assumptions!$C$142*N66</f>
        <v>33.6</v>
      </c>
      <c r="O72" s="15" t="n">
        <f aca="false">'Unit Economics'!$E$55*Assumptions!$C$142*O66</f>
        <v>33.6</v>
      </c>
      <c r="P72" s="15" t="n">
        <f aca="false">'Unit Economics'!$E$55*Assumptions!$C$142*P66</f>
        <v>33.6</v>
      </c>
      <c r="Q72" s="15" t="n">
        <f aca="false">'Unit Economics'!$E$55*Assumptions!$C$142*Q66</f>
        <v>33.6</v>
      </c>
      <c r="R72" s="15" t="n">
        <f aca="false">'Unit Economics'!$E$55*Assumptions!$C$142*R66</f>
        <v>33.6</v>
      </c>
      <c r="S72" s="15" t="n">
        <f aca="false">'Unit Economics'!$E$55*Assumptions!$C$142*S66</f>
        <v>33.6</v>
      </c>
      <c r="T72" s="15" t="n">
        <f aca="false">'Unit Economics'!$E$55*Assumptions!$C$142*T66</f>
        <v>33.6</v>
      </c>
      <c r="U72" s="15" t="n">
        <f aca="false">'Unit Economics'!$E$55*Assumptions!$C$142*U66</f>
        <v>33.6</v>
      </c>
      <c r="V72" s="15" t="n">
        <f aca="false">'Unit Economics'!$E$55*Assumptions!$C$142*V66</f>
        <v>33.6</v>
      </c>
      <c r="W72" s="15" t="n">
        <f aca="false">'Unit Economics'!$E$55*Assumptions!$C$142*W66</f>
        <v>33.6</v>
      </c>
      <c r="X72" s="15" t="n">
        <f aca="false">'Unit Economics'!$E$55*Assumptions!$C$142*X66</f>
        <v>33.6</v>
      </c>
      <c r="Y72" s="15" t="n">
        <f aca="false">'Unit Economics'!$E$55*Assumptions!$C$142*Y66</f>
        <v>33.6</v>
      </c>
      <c r="Z72" s="15" t="n">
        <f aca="false">'Unit Economics'!$E$55*Assumptions!$C$142*Z66</f>
        <v>33.6</v>
      </c>
      <c r="AA72" s="15" t="n">
        <f aca="false">'Unit Economics'!$E$55*Assumptions!$C$142*AA66</f>
        <v>33.6</v>
      </c>
      <c r="AB72" s="15" t="n">
        <f aca="false">'Unit Economics'!$E$55*Assumptions!$C$142*AB66</f>
        <v>33.6</v>
      </c>
      <c r="AC72" s="15" t="n">
        <f aca="false">'Unit Economics'!$E$55*Assumptions!$C$142*AC66</f>
        <v>33.6</v>
      </c>
      <c r="AD72" s="15" t="n">
        <f aca="false">'Unit Economics'!$E$55*Assumptions!$C$142*AD66</f>
        <v>33.6</v>
      </c>
      <c r="AE72" s="15" t="n">
        <f aca="false">'Unit Economics'!$E$55*Assumptions!$C$142*AE66</f>
        <v>33.6</v>
      </c>
      <c r="AF72" s="15" t="n">
        <f aca="false">'Unit Economics'!$E$55*Assumptions!$C$142*AF66</f>
        <v>33.6</v>
      </c>
      <c r="AG72" s="15" t="n">
        <f aca="false">'Unit Economics'!$E$55*Assumptions!$C$142*AG66</f>
        <v>33.6</v>
      </c>
      <c r="AH72" s="15" t="n">
        <f aca="false">'Unit Economics'!$E$55*Assumptions!$C$142*AH66</f>
        <v>33.6</v>
      </c>
      <c r="AI72" s="15" t="n">
        <f aca="false">'Unit Economics'!$E$55*Assumptions!$C$142*AI66</f>
        <v>33.6</v>
      </c>
      <c r="AJ72" s="15" t="n">
        <f aca="false">'Unit Economics'!$E$55*Assumptions!$C$142*AJ66</f>
        <v>33.6</v>
      </c>
      <c r="AK72" s="15" t="n">
        <f aca="false">'Unit Economics'!$E$55*Assumptions!$C$142*AK66</f>
        <v>33.6</v>
      </c>
      <c r="AL72" s="15" t="n">
        <f aca="false">'Unit Economics'!$E$55*Assumptions!$C$142*AL66</f>
        <v>33.6</v>
      </c>
    </row>
    <row r="73" customFormat="false" ht="15" hidden="false" customHeight="false" outlineLevel="0" collapsed="false">
      <c r="A73" s="7" t="s">
        <v>754</v>
      </c>
      <c r="B73" s="9" t="s">
        <v>93</v>
      </c>
      <c r="C73" s="8" t="n">
        <f aca="false">C71*'Unit Economics'!$E$55</f>
        <v>-0</v>
      </c>
      <c r="D73" s="8" t="n">
        <f aca="false">D71*'Unit Economics'!$E$55</f>
        <v>-0</v>
      </c>
      <c r="E73" s="8" t="n">
        <f aca="false">E71*'Unit Economics'!$E$55</f>
        <v>0</v>
      </c>
      <c r="F73" s="8" t="n">
        <f aca="false">F71*'Unit Economics'!$E$55</f>
        <v>0.173751594333333</v>
      </c>
      <c r="G73" s="8" t="n">
        <f aca="false">G71*'Unit Economics'!$E$55</f>
        <v>0.3547030587744</v>
      </c>
      <c r="H73" s="8" t="n">
        <f aca="false">H71*'Unit Economics'!$E$55</f>
        <v>0.727254126638502</v>
      </c>
      <c r="I73" s="8" t="n">
        <f aca="false">I71*'Unit Economics'!$E$55</f>
        <v>1.25603440237899</v>
      </c>
      <c r="J73" s="8" t="n">
        <f aca="false">J71*'Unit Economics'!$E$55</f>
        <v>1.73061061584117</v>
      </c>
      <c r="K73" s="8" t="n">
        <f aca="false">K71*'Unit Economics'!$E$55</f>
        <v>2.56192268524904</v>
      </c>
      <c r="L73" s="8" t="n">
        <f aca="false">L71*'Unit Economics'!$E$55</f>
        <v>2.83874131340376</v>
      </c>
      <c r="M73" s="8" t="n">
        <f aca="false">M71*'Unit Economics'!$E$55</f>
        <v>2.90551556387845</v>
      </c>
      <c r="N73" s="8" t="n">
        <f aca="false">N71*'Unit Economics'!$E$55</f>
        <v>3.24854937325053</v>
      </c>
      <c r="O73" s="8" t="n">
        <f aca="false">O71*'Unit Economics'!$E$55</f>
        <v>4.04089043692407</v>
      </c>
      <c r="P73" s="8" t="n">
        <f aca="false">P71*'Unit Economics'!$E$55</f>
        <v>6.18540266710177</v>
      </c>
      <c r="Q73" s="8" t="n">
        <f aca="false">Q71*'Unit Economics'!$E$55</f>
        <v>7.42518607178828</v>
      </c>
      <c r="R73" s="8" t="n">
        <f aca="false">R71*'Unit Economics'!$E$55</f>
        <v>7.86580248235535</v>
      </c>
      <c r="S73" s="8" t="n">
        <f aca="false">S71*'Unit Economics'!$E$55</f>
        <v>6.33076599631073</v>
      </c>
      <c r="T73" s="8" t="n">
        <f aca="false">T71*'Unit Economics'!$E$55</f>
        <v>7.54176015622364</v>
      </c>
      <c r="U73" s="8" t="n">
        <f aca="false">U71*'Unit Economics'!$E$55</f>
        <v>8.54553287374217</v>
      </c>
      <c r="V73" s="8" t="n">
        <f aca="false">V71*'Unit Economics'!$E$55</f>
        <v>8.35122340867018</v>
      </c>
      <c r="W73" s="8" t="n">
        <f aca="false">W71*'Unit Economics'!$E$55</f>
        <v>9.38033257941906</v>
      </c>
      <c r="X73" s="8" t="n">
        <f aca="false">X71*'Unit Economics'!$E$55</f>
        <v>9.5276281760463</v>
      </c>
      <c r="Y73" s="8" t="n">
        <f aca="false">Y71*'Unit Economics'!$E$55</f>
        <v>9.05532025182198</v>
      </c>
      <c r="Z73" s="8" t="n">
        <f aca="false">Z71*'Unit Economics'!$E$55</f>
        <v>9.52542709125471</v>
      </c>
      <c r="AA73" s="8" t="n">
        <f aca="false">AA71*'Unit Economics'!$E$55</f>
        <v>11.1887364503529</v>
      </c>
      <c r="AB73" s="8" t="n">
        <f aca="false">AB71*'Unit Economics'!$E$55</f>
        <v>16.1815972826317</v>
      </c>
      <c r="AC73" s="8" t="n">
        <f aca="false">AC71*'Unit Economics'!$E$55</f>
        <v>18.1711919925466</v>
      </c>
      <c r="AD73" s="8" t="n">
        <f aca="false">AD71*'Unit Economics'!$E$55</f>
        <v>18.1566989899979</v>
      </c>
      <c r="AE73" s="8" t="n">
        <f aca="false">AE71*'Unit Economics'!$E$55</f>
        <v>13.9439239764654</v>
      </c>
      <c r="AF73" s="8" t="n">
        <f aca="false">AF71*'Unit Economics'!$E$55</f>
        <v>16.1061771960174</v>
      </c>
      <c r="AG73" s="8" t="n">
        <f aca="false">AG71*'Unit Economics'!$E$55</f>
        <v>17.6697621225588</v>
      </c>
      <c r="AH73" s="8" t="n">
        <f aca="false">AH71*'Unit Economics'!$E$55</f>
        <v>16.7281504779512</v>
      </c>
      <c r="AI73" s="8" t="n">
        <f aca="false">AI71*'Unit Economics'!$E$55</f>
        <v>18.2855625131407</v>
      </c>
      <c r="AJ73" s="8" t="n">
        <f aca="false">AJ71*'Unit Economics'!$E$55</f>
        <v>18.0720879472949</v>
      </c>
      <c r="AK73" s="8" t="n">
        <f aca="false">AK71*'Unit Economics'!$E$55</f>
        <v>16.753887355041</v>
      </c>
      <c r="AL73" s="8" t="n">
        <f aca="false">AL71*'Unit Economics'!$E$55</f>
        <v>17.2458704448507</v>
      </c>
      <c r="AM73" s="45" t="n">
        <f aca="false">SUMIF($C$6:$AL$6,1,C73:AL73)</f>
        <v>15.7970827337482</v>
      </c>
      <c r="AN73" s="45" t="n">
        <f aca="false">SUMIF($C$6:$AL$6,2,C73:AL73)</f>
        <v>93.7752721916583</v>
      </c>
      <c r="AO73" s="45" t="n">
        <f aca="false">SUMIF($C$6:$AL$6,3,C73:AL73)</f>
        <v>198.503646748849</v>
      </c>
      <c r="AP73" s="45" t="n">
        <f aca="false">SUM(C73:AL73)</f>
        <v>308.076001674256</v>
      </c>
    </row>
    <row r="74" customFormat="false" ht="15" hidden="false" customHeight="false" outlineLevel="0" collapsed="false">
      <c r="A74" s="7" t="s">
        <v>755</v>
      </c>
      <c r="B74" s="9" t="s">
        <v>93</v>
      </c>
      <c r="C74" s="8" t="n">
        <f aca="false">C71*'Unit Economics'!$F$55</f>
        <v>-0</v>
      </c>
      <c r="D74" s="8" t="n">
        <f aca="false">D71*'Unit Economics'!$F$55</f>
        <v>-0</v>
      </c>
      <c r="E74" s="8" t="n">
        <f aca="false">E71*'Unit Economics'!$F$55</f>
        <v>0</v>
      </c>
      <c r="F74" s="8" t="n">
        <f aca="false">F71*'Unit Economics'!$F$55</f>
        <v>0.158473864860167</v>
      </c>
      <c r="G74" s="8" t="n">
        <f aca="false">G71*'Unit Economics'!$F$55</f>
        <v>0.323514525535022</v>
      </c>
      <c r="H74" s="8" t="n">
        <f aca="false">H71*'Unit Economics'!$F$55</f>
        <v>0.663307710217646</v>
      </c>
      <c r="I74" s="8" t="n">
        <f aca="false">I71*'Unit Economics'!$F$55</f>
        <v>1.14559309171266</v>
      </c>
      <c r="J74" s="8" t="n">
        <f aca="false">J71*'Unit Economics'!$F$55</f>
        <v>1.57844049669114</v>
      </c>
      <c r="K74" s="8" t="n">
        <f aca="false">K71*'Unit Economics'!$F$55</f>
        <v>2.33665648342465</v>
      </c>
      <c r="L74" s="8" t="n">
        <f aca="false">L71*'Unit Economics'!$F$55</f>
        <v>2.5891348450609</v>
      </c>
      <c r="M74" s="8" t="n">
        <f aca="false">M71*'Unit Economics'!$F$55</f>
        <v>2.65003773108314</v>
      </c>
      <c r="N74" s="8" t="n">
        <f aca="false">N71*'Unit Economics'!$F$55</f>
        <v>2.96290906764543</v>
      </c>
      <c r="O74" s="8" t="n">
        <f aca="false">O71*'Unit Economics'!$F$55</f>
        <v>3.68558071350596</v>
      </c>
      <c r="P74" s="8" t="n">
        <f aca="false">P71*'Unit Economics'!$F$55</f>
        <v>5.64152904687303</v>
      </c>
      <c r="Q74" s="8" t="n">
        <f aca="false">Q71*'Unit Economics'!$F$55</f>
        <v>6.77230006790461</v>
      </c>
      <c r="R74" s="8" t="n">
        <f aca="false">R71*'Unit Economics'!$F$55</f>
        <v>7.17417370694254</v>
      </c>
      <c r="S74" s="8" t="n">
        <f aca="false">S71*'Unit Economics'!$F$55</f>
        <v>5.77411078620655</v>
      </c>
      <c r="T74" s="8" t="n">
        <f aca="false">T71*'Unit Economics'!$F$55</f>
        <v>6.87862395962997</v>
      </c>
      <c r="U74" s="8" t="n">
        <f aca="false">U71*'Unit Economics'!$F$55</f>
        <v>7.79413637605813</v>
      </c>
      <c r="V74" s="8" t="n">
        <f aca="false">V71*'Unit Economics'!$F$55</f>
        <v>7.61691226466497</v>
      </c>
      <c r="W74" s="8" t="n">
        <f aca="false">W71*'Unit Economics'!$F$55</f>
        <v>8.55553333618585</v>
      </c>
      <c r="X74" s="8" t="n">
        <f aca="false">X71*'Unit Economics'!$F$55</f>
        <v>8.68987744142394</v>
      </c>
      <c r="Y74" s="8" t="n">
        <f aca="false">Y71*'Unit Economics'!$F$55</f>
        <v>8.25909887825106</v>
      </c>
      <c r="Z74" s="8" t="n">
        <f aca="false">Z71*'Unit Economics'!$F$55</f>
        <v>8.68786989487367</v>
      </c>
      <c r="AA74" s="8" t="n">
        <f aca="false">AA71*'Unit Economics'!$F$55</f>
        <v>10.2049268381826</v>
      </c>
      <c r="AB74" s="8" t="n">
        <f aca="false">AB71*'Unit Economics'!$F$55</f>
        <v>14.7587725501375</v>
      </c>
      <c r="AC74" s="8" t="n">
        <f aca="false">AC71*'Unit Economics'!$F$55</f>
        <v>16.5734250394877</v>
      </c>
      <c r="AD74" s="8" t="n">
        <f aca="false">AD71*'Unit Economics'!$F$55</f>
        <v>16.5602063859488</v>
      </c>
      <c r="AE74" s="8" t="n">
        <f aca="false">AE71*'Unit Economics'!$F$55</f>
        <v>12.7178546611062</v>
      </c>
      <c r="AF74" s="8" t="n">
        <f aca="false">AF71*'Unit Economics'!$F$55</f>
        <v>14.6899840439961</v>
      </c>
      <c r="AG74" s="8" t="n">
        <f aca="false">AG71*'Unit Economics'!$F$55</f>
        <v>16.1160851816395</v>
      </c>
      <c r="AH74" s="8" t="n">
        <f aca="false">AH71*'Unit Economics'!$F$55</f>
        <v>15.2572681037828</v>
      </c>
      <c r="AI74" s="8" t="n">
        <f aca="false">AI71*'Unit Economics'!$F$55</f>
        <v>16.6777391235924</v>
      </c>
      <c r="AJ74" s="8" t="n">
        <f aca="false">AJ71*'Unit Economics'!$F$55</f>
        <v>16.4830350713578</v>
      </c>
      <c r="AK74" s="8" t="n">
        <f aca="false">AK71*'Unit Economics'!$F$55</f>
        <v>15.280741974037</v>
      </c>
      <c r="AL74" s="8" t="n">
        <f aca="false">AL71*'Unit Economics'!$F$55</f>
        <v>15.7294656935928</v>
      </c>
      <c r="AM74" s="45" t="n">
        <f aca="false">SUMIF($C$6:$AL$6,1,C74:AL74)</f>
        <v>14.4080678162307</v>
      </c>
      <c r="AN74" s="45" t="n">
        <f aca="false">SUMIF($C$6:$AL$6,2,C74:AL74)</f>
        <v>85.5297464725203</v>
      </c>
      <c r="AO74" s="45" t="n">
        <f aca="false">SUMIF($C$6:$AL$6,3,C74:AL74)</f>
        <v>181.049504666861</v>
      </c>
      <c r="AP74" s="45" t="n">
        <f aca="false">SUM(C74:AL74)</f>
        <v>280.987318955612</v>
      </c>
    </row>
    <row r="75" customFormat="false" ht="15" hidden="false" customHeight="false" outlineLevel="0" collapsed="false">
      <c r="A75" s="5" t="s">
        <v>566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customFormat="false" ht="15" hidden="false" customHeight="false" outlineLevel="0" collapsed="false">
      <c r="A76" s="7" t="s">
        <v>746</v>
      </c>
      <c r="B76" s="9" t="s">
        <v>308</v>
      </c>
      <c r="C76" s="37" t="n">
        <f aca="false">IF(AND(Assumptions!$C$145=1,C$4&gt;=Assumptions!$C$146),1,0)</f>
        <v>0</v>
      </c>
      <c r="D76" s="37" t="n">
        <f aca="false">IF(AND(Assumptions!$C$145=1,D$4&gt;=Assumptions!$C$146),1,0)</f>
        <v>0</v>
      </c>
      <c r="E76" s="37" t="n">
        <f aca="false">IF(AND(Assumptions!$C$145=1,E$4&gt;=Assumptions!$C$146),1,0)</f>
        <v>0</v>
      </c>
      <c r="F76" s="37" t="n">
        <f aca="false">IF(AND(Assumptions!$C$145=1,F$4&gt;=Assumptions!$C$146),1,0)</f>
        <v>0</v>
      </c>
      <c r="G76" s="37" t="n">
        <f aca="false">IF(AND(Assumptions!$C$145=1,G$4&gt;=Assumptions!$C$146),1,0)</f>
        <v>1</v>
      </c>
      <c r="H76" s="37" t="n">
        <f aca="false">IF(AND(Assumptions!$C$145=1,H$4&gt;=Assumptions!$C$146),1,0)</f>
        <v>1</v>
      </c>
      <c r="I76" s="37" t="n">
        <f aca="false">IF(AND(Assumptions!$C$145=1,I$4&gt;=Assumptions!$C$146),1,0)</f>
        <v>1</v>
      </c>
      <c r="J76" s="37" t="n">
        <f aca="false">IF(AND(Assumptions!$C$145=1,J$4&gt;=Assumptions!$C$146),1,0)</f>
        <v>1</v>
      </c>
      <c r="K76" s="37" t="n">
        <f aca="false">IF(AND(Assumptions!$C$145=1,K$4&gt;=Assumptions!$C$146),1,0)</f>
        <v>1</v>
      </c>
      <c r="L76" s="37" t="n">
        <f aca="false">IF(AND(Assumptions!$C$145=1,L$4&gt;=Assumptions!$C$146),1,0)</f>
        <v>1</v>
      </c>
      <c r="M76" s="37" t="n">
        <f aca="false">IF(AND(Assumptions!$C$145=1,M$4&gt;=Assumptions!$C$146),1,0)</f>
        <v>1</v>
      </c>
      <c r="N76" s="37" t="n">
        <f aca="false">IF(AND(Assumptions!$C$145=1,N$4&gt;=Assumptions!$C$146),1,0)</f>
        <v>1</v>
      </c>
      <c r="O76" s="37" t="n">
        <f aca="false">IF(AND(Assumptions!$C$145=1,O$4&gt;=Assumptions!$C$146),1,0)</f>
        <v>1</v>
      </c>
      <c r="P76" s="37" t="n">
        <f aca="false">IF(AND(Assumptions!$C$145=1,P$4&gt;=Assumptions!$C$146),1,0)</f>
        <v>1</v>
      </c>
      <c r="Q76" s="37" t="n">
        <f aca="false">IF(AND(Assumptions!$C$145=1,Q$4&gt;=Assumptions!$C$146),1,0)</f>
        <v>1</v>
      </c>
      <c r="R76" s="37" t="n">
        <f aca="false">IF(AND(Assumptions!$C$145=1,R$4&gt;=Assumptions!$C$146),1,0)</f>
        <v>1</v>
      </c>
      <c r="S76" s="37" t="n">
        <f aca="false">IF(AND(Assumptions!$C$145=1,S$4&gt;=Assumptions!$C$146),1,0)</f>
        <v>1</v>
      </c>
      <c r="T76" s="37" t="n">
        <f aca="false">IF(AND(Assumptions!$C$145=1,T$4&gt;=Assumptions!$C$146),1,0)</f>
        <v>1</v>
      </c>
      <c r="U76" s="37" t="n">
        <f aca="false">IF(AND(Assumptions!$C$145=1,U$4&gt;=Assumptions!$C$146),1,0)</f>
        <v>1</v>
      </c>
      <c r="V76" s="37" t="n">
        <f aca="false">IF(AND(Assumptions!$C$145=1,V$4&gt;=Assumptions!$C$146),1,0)</f>
        <v>1</v>
      </c>
      <c r="W76" s="37" t="n">
        <f aca="false">IF(AND(Assumptions!$C$145=1,W$4&gt;=Assumptions!$C$146),1,0)</f>
        <v>1</v>
      </c>
      <c r="X76" s="37" t="n">
        <f aca="false">IF(AND(Assumptions!$C$145=1,X$4&gt;=Assumptions!$C$146),1,0)</f>
        <v>1</v>
      </c>
      <c r="Y76" s="37" t="n">
        <f aca="false">IF(AND(Assumptions!$C$145=1,Y$4&gt;=Assumptions!$C$146),1,0)</f>
        <v>1</v>
      </c>
      <c r="Z76" s="37" t="n">
        <f aca="false">IF(AND(Assumptions!$C$145=1,Z$4&gt;=Assumptions!$C$146),1,0)</f>
        <v>1</v>
      </c>
      <c r="AA76" s="37" t="n">
        <f aca="false">IF(AND(Assumptions!$C$145=1,AA$4&gt;=Assumptions!$C$146),1,0)</f>
        <v>1</v>
      </c>
      <c r="AB76" s="37" t="n">
        <f aca="false">IF(AND(Assumptions!$C$145=1,AB$4&gt;=Assumptions!$C$146),1,0)</f>
        <v>1</v>
      </c>
      <c r="AC76" s="37" t="n">
        <f aca="false">IF(AND(Assumptions!$C$145=1,AC$4&gt;=Assumptions!$C$146),1,0)</f>
        <v>1</v>
      </c>
      <c r="AD76" s="37" t="n">
        <f aca="false">IF(AND(Assumptions!$C$145=1,AD$4&gt;=Assumptions!$C$146),1,0)</f>
        <v>1</v>
      </c>
      <c r="AE76" s="37" t="n">
        <f aca="false">IF(AND(Assumptions!$C$145=1,AE$4&gt;=Assumptions!$C$146),1,0)</f>
        <v>1</v>
      </c>
      <c r="AF76" s="37" t="n">
        <f aca="false">IF(AND(Assumptions!$C$145=1,AF$4&gt;=Assumptions!$C$146),1,0)</f>
        <v>1</v>
      </c>
      <c r="AG76" s="37" t="n">
        <f aca="false">IF(AND(Assumptions!$C$145=1,AG$4&gt;=Assumptions!$C$146),1,0)</f>
        <v>1</v>
      </c>
      <c r="AH76" s="37" t="n">
        <f aca="false">IF(AND(Assumptions!$C$145=1,AH$4&gt;=Assumptions!$C$146),1,0)</f>
        <v>1</v>
      </c>
      <c r="AI76" s="37" t="n">
        <f aca="false">IF(AND(Assumptions!$C$145=1,AI$4&gt;=Assumptions!$C$146),1,0)</f>
        <v>1</v>
      </c>
      <c r="AJ76" s="37" t="n">
        <f aca="false">IF(AND(Assumptions!$C$145=1,AJ$4&gt;=Assumptions!$C$146),1,0)</f>
        <v>1</v>
      </c>
      <c r="AK76" s="37" t="n">
        <f aca="false">IF(AND(Assumptions!$C$145=1,AK$4&gt;=Assumptions!$C$146),1,0)</f>
        <v>1</v>
      </c>
      <c r="AL76" s="37" t="n">
        <f aca="false">IF(AND(Assumptions!$C$145=1,AL$4&gt;=Assumptions!$C$146),1,0)</f>
        <v>1</v>
      </c>
    </row>
    <row r="77" customFormat="false" ht="15" hidden="false" customHeight="false" outlineLevel="0" collapsed="false">
      <c r="A77" s="7" t="s">
        <v>747</v>
      </c>
      <c r="B77" s="9" t="s">
        <v>316</v>
      </c>
      <c r="C77" s="14" t="n">
        <f aca="false">IF(C76=0,0,Assumptions!$C$147)</f>
        <v>0</v>
      </c>
      <c r="D77" s="14" t="n">
        <f aca="false">IF(D76=0,0,IF(D$4=Assumptions!$C$146,Assumptions!$C$147,C77*(1+CHOOSE(D$6,Assumptions!$C$148,Assumptions!$C$149,Assumptions!$C$150))))</f>
        <v>0</v>
      </c>
      <c r="E77" s="14" t="n">
        <f aca="false">IF(E76=0,0,IF(E$4=Assumptions!$C$146,Assumptions!$C$147,D77*(1+CHOOSE(E$6,Assumptions!$C$148,Assumptions!$C$149,Assumptions!$C$150))))</f>
        <v>0</v>
      </c>
      <c r="F77" s="14" t="n">
        <f aca="false">IF(F76=0,0,IF(F$4=Assumptions!$C$146,Assumptions!$C$147,E77*(1+CHOOSE(F$6,Assumptions!$C$148,Assumptions!$C$149,Assumptions!$C$150))))</f>
        <v>0</v>
      </c>
      <c r="G77" s="14" t="n">
        <f aca="false">IF(G76=0,0,IF(G$4=Assumptions!$C$146,Assumptions!$C$147,F77*(1+CHOOSE(G$6,Assumptions!$C$148,Assumptions!$C$149,Assumptions!$C$150))))</f>
        <v>150</v>
      </c>
      <c r="H77" s="14" t="n">
        <f aca="false">IF(H76=0,0,IF(H$4=Assumptions!$C$146,Assumptions!$C$147,G77*(1+CHOOSE(H$6,Assumptions!$C$148,Assumptions!$C$149,Assumptions!$C$150))))</f>
        <v>156</v>
      </c>
      <c r="I77" s="14" t="n">
        <f aca="false">IF(I76=0,0,IF(I$4=Assumptions!$C$146,Assumptions!$C$147,H77*(1+CHOOSE(I$6,Assumptions!$C$148,Assumptions!$C$149,Assumptions!$C$150))))</f>
        <v>162.24</v>
      </c>
      <c r="J77" s="14" t="n">
        <f aca="false">IF(J76=0,0,IF(J$4=Assumptions!$C$146,Assumptions!$C$147,I77*(1+CHOOSE(J$6,Assumptions!$C$148,Assumptions!$C$149,Assumptions!$C$150))))</f>
        <v>168.7296</v>
      </c>
      <c r="K77" s="14" t="n">
        <f aca="false">IF(K76=0,0,IF(K$4=Assumptions!$C$146,Assumptions!$C$147,J77*(1+CHOOSE(K$6,Assumptions!$C$148,Assumptions!$C$149,Assumptions!$C$150))))</f>
        <v>175.478784</v>
      </c>
      <c r="L77" s="14" t="n">
        <f aca="false">IF(L76=0,0,IF(L$4=Assumptions!$C$146,Assumptions!$C$147,K77*(1+CHOOSE(L$6,Assumptions!$C$148,Assumptions!$C$149,Assumptions!$C$150))))</f>
        <v>182.49793536</v>
      </c>
      <c r="M77" s="14" t="n">
        <f aca="false">IF(M76=0,0,IF(M$4=Assumptions!$C$146,Assumptions!$C$147,L77*(1+CHOOSE(M$6,Assumptions!$C$148,Assumptions!$C$149,Assumptions!$C$150))))</f>
        <v>189.7978527744</v>
      </c>
      <c r="N77" s="14" t="n">
        <f aca="false">IF(N76=0,0,IF(N$4=Assumptions!$C$146,Assumptions!$C$147,M77*(1+CHOOSE(N$6,Assumptions!$C$148,Assumptions!$C$149,Assumptions!$C$150))))</f>
        <v>197.389766885376</v>
      </c>
      <c r="O77" s="14" t="n">
        <f aca="false">IF(O76=0,0,IF(O$4=Assumptions!$C$146,Assumptions!$C$147,N77*(1+CHOOSE(O$6,Assumptions!$C$148,Assumptions!$C$149,Assumptions!$C$150))))</f>
        <v>201.337562223084</v>
      </c>
      <c r="P77" s="14" t="n">
        <f aca="false">IF(P76=0,0,IF(P$4=Assumptions!$C$146,Assumptions!$C$147,O77*(1+CHOOSE(P$6,Assumptions!$C$148,Assumptions!$C$149,Assumptions!$C$150))))</f>
        <v>205.364313467545</v>
      </c>
      <c r="Q77" s="14" t="n">
        <f aca="false">IF(Q76=0,0,IF(Q$4=Assumptions!$C$146,Assumptions!$C$147,P77*(1+CHOOSE(Q$6,Assumptions!$C$148,Assumptions!$C$149,Assumptions!$C$150))))</f>
        <v>209.471599736896</v>
      </c>
      <c r="R77" s="14" t="n">
        <f aca="false">IF(R76=0,0,IF(R$4=Assumptions!$C$146,Assumptions!$C$147,Q77*(1+CHOOSE(R$6,Assumptions!$C$148,Assumptions!$C$149,Assumptions!$C$150))))</f>
        <v>213.661031731634</v>
      </c>
      <c r="S77" s="14" t="n">
        <f aca="false">IF(S76=0,0,IF(S$4=Assumptions!$C$146,Assumptions!$C$147,R77*(1+CHOOSE(S$6,Assumptions!$C$148,Assumptions!$C$149,Assumptions!$C$150))))</f>
        <v>217.934252366267</v>
      </c>
      <c r="T77" s="14" t="n">
        <f aca="false">IF(T76=0,0,IF(T$4=Assumptions!$C$146,Assumptions!$C$147,S77*(1+CHOOSE(T$6,Assumptions!$C$148,Assumptions!$C$149,Assumptions!$C$150))))</f>
        <v>222.292937413592</v>
      </c>
      <c r="U77" s="14" t="n">
        <f aca="false">IF(U76=0,0,IF(U$4=Assumptions!$C$146,Assumptions!$C$147,T77*(1+CHOOSE(U$6,Assumptions!$C$148,Assumptions!$C$149,Assumptions!$C$150))))</f>
        <v>226.738796161864</v>
      </c>
      <c r="V77" s="14" t="n">
        <f aca="false">IF(V76=0,0,IF(V$4=Assumptions!$C$146,Assumptions!$C$147,U77*(1+CHOOSE(V$6,Assumptions!$C$148,Assumptions!$C$149,Assumptions!$C$150))))</f>
        <v>231.273572085101</v>
      </c>
      <c r="W77" s="14" t="n">
        <f aca="false">IF(W76=0,0,IF(W$4=Assumptions!$C$146,Assumptions!$C$147,V77*(1+CHOOSE(W$6,Assumptions!$C$148,Assumptions!$C$149,Assumptions!$C$150))))</f>
        <v>235.899043526803</v>
      </c>
      <c r="X77" s="14" t="n">
        <f aca="false">IF(X76=0,0,IF(X$4=Assumptions!$C$146,Assumptions!$C$147,W77*(1+CHOOSE(X$6,Assumptions!$C$148,Assumptions!$C$149,Assumptions!$C$150))))</f>
        <v>240.617024397339</v>
      </c>
      <c r="Y77" s="14" t="n">
        <f aca="false">IF(Y76=0,0,IF(Y$4=Assumptions!$C$146,Assumptions!$C$147,X77*(1+CHOOSE(Y$6,Assumptions!$C$148,Assumptions!$C$149,Assumptions!$C$150))))</f>
        <v>245.429364885286</v>
      </c>
      <c r="Z77" s="14" t="n">
        <f aca="false">IF(Z76=0,0,IF(Z$4=Assumptions!$C$146,Assumptions!$C$147,Y77*(1+CHOOSE(Z$6,Assumptions!$C$148,Assumptions!$C$149,Assumptions!$C$150))))</f>
        <v>250.337952182992</v>
      </c>
      <c r="AA77" s="14" t="n">
        <f aca="false">IF(AA76=0,0,IF(AA$4=Assumptions!$C$146,Assumptions!$C$147,Z77*(1+CHOOSE(AA$6,Assumptions!$C$148,Assumptions!$C$149,Assumptions!$C$150))))</f>
        <v>252.841331704822</v>
      </c>
      <c r="AB77" s="14" t="n">
        <f aca="false">IF(AB76=0,0,IF(AB$4=Assumptions!$C$146,Assumptions!$C$147,AA77*(1+CHOOSE(AB$6,Assumptions!$C$148,Assumptions!$C$149,Assumptions!$C$150))))</f>
        <v>255.36974502187</v>
      </c>
      <c r="AC77" s="14" t="n">
        <f aca="false">IF(AC76=0,0,IF(AC$4=Assumptions!$C$146,Assumptions!$C$147,AB77*(1+CHOOSE(AC$6,Assumptions!$C$148,Assumptions!$C$149,Assumptions!$C$150))))</f>
        <v>257.923442472089</v>
      </c>
      <c r="AD77" s="14" t="n">
        <f aca="false">IF(AD76=0,0,IF(AD$4=Assumptions!$C$146,Assumptions!$C$147,AC77*(1+CHOOSE(AD$6,Assumptions!$C$148,Assumptions!$C$149,Assumptions!$C$150))))</f>
        <v>260.50267689681</v>
      </c>
      <c r="AE77" s="14" t="n">
        <f aca="false">IF(AE76=0,0,IF(AE$4=Assumptions!$C$146,Assumptions!$C$147,AD77*(1+CHOOSE(AE$6,Assumptions!$C$148,Assumptions!$C$149,Assumptions!$C$150))))</f>
        <v>263.107703665778</v>
      </c>
      <c r="AF77" s="14" t="n">
        <f aca="false">IF(AF76=0,0,IF(AF$4=Assumptions!$C$146,Assumptions!$C$147,AE77*(1+CHOOSE(AF$6,Assumptions!$C$148,Assumptions!$C$149,Assumptions!$C$150))))</f>
        <v>265.738780702435</v>
      </c>
      <c r="AG77" s="14" t="n">
        <f aca="false">IF(AG76=0,0,IF(AG$4=Assumptions!$C$146,Assumptions!$C$147,AF77*(1+CHOOSE(AG$6,Assumptions!$C$148,Assumptions!$C$149,Assumptions!$C$150))))</f>
        <v>268.39616850946</v>
      </c>
      <c r="AH77" s="14" t="n">
        <f aca="false">IF(AH76=0,0,IF(AH$4=Assumptions!$C$146,Assumptions!$C$147,AG77*(1+CHOOSE(AH$6,Assumptions!$C$148,Assumptions!$C$149,Assumptions!$C$150))))</f>
        <v>271.080130194554</v>
      </c>
      <c r="AI77" s="14" t="n">
        <f aca="false">IF(AI76=0,0,IF(AI$4=Assumptions!$C$146,Assumptions!$C$147,AH77*(1+CHOOSE(AI$6,Assumptions!$C$148,Assumptions!$C$149,Assumptions!$C$150))))</f>
        <v>273.7909314965</v>
      </c>
      <c r="AJ77" s="14" t="n">
        <f aca="false">IF(AJ76=0,0,IF(AJ$4=Assumptions!$C$146,Assumptions!$C$147,AI77*(1+CHOOSE(AJ$6,Assumptions!$C$148,Assumptions!$C$149,Assumptions!$C$150))))</f>
        <v>276.528840811465</v>
      </c>
      <c r="AK77" s="14" t="n">
        <f aca="false">IF(AK76=0,0,IF(AK$4=Assumptions!$C$146,Assumptions!$C$147,AJ77*(1+CHOOSE(AK$6,Assumptions!$C$148,Assumptions!$C$149,Assumptions!$C$150))))</f>
        <v>279.29412921958</v>
      </c>
      <c r="AL77" s="14" t="n">
        <f aca="false">IF(AL76=0,0,IF(AL$4=Assumptions!$C$146,Assumptions!$C$147,AK77*(1+CHOOSE(AL$6,Assumptions!$C$148,Assumptions!$C$149,Assumptions!$C$150))))</f>
        <v>282.087070511775</v>
      </c>
    </row>
    <row r="78" customFormat="false" ht="15" hidden="false" customHeight="false" outlineLevel="0" collapsed="false">
      <c r="A78" s="7" t="s">
        <v>764</v>
      </c>
      <c r="B78" s="9" t="s">
        <v>316</v>
      </c>
      <c r="C78" s="52" t="n">
        <f aca="false">C77*C$7</f>
        <v>0</v>
      </c>
      <c r="D78" s="52" t="n">
        <f aca="false">D77*D$7</f>
        <v>0</v>
      </c>
      <c r="E78" s="52" t="n">
        <f aca="false">E77*E$7</f>
        <v>0</v>
      </c>
      <c r="F78" s="52" t="n">
        <f aca="false">F77*F$7</f>
        <v>0</v>
      </c>
      <c r="G78" s="52" t="n">
        <f aca="false">G77*G$7</f>
        <v>135</v>
      </c>
      <c r="H78" s="52" t="n">
        <f aca="false">H77*H$7</f>
        <v>156</v>
      </c>
      <c r="I78" s="52" t="n">
        <f aca="false">I77*I$7</f>
        <v>170.352</v>
      </c>
      <c r="J78" s="52" t="n">
        <f aca="false">J77*J$7</f>
        <v>160.29312</v>
      </c>
      <c r="K78" s="52" t="n">
        <f aca="false">K77*K$7</f>
        <v>175.478784</v>
      </c>
      <c r="L78" s="52" t="n">
        <f aca="false">L77*L$7</f>
        <v>173.373038592</v>
      </c>
      <c r="M78" s="52" t="n">
        <f aca="false">M77*M$7</f>
        <v>161.32817485824</v>
      </c>
      <c r="N78" s="52" t="n">
        <f aca="false">N77*N$7</f>
        <v>167.78130185257</v>
      </c>
      <c r="O78" s="52" t="n">
        <f aca="false">O77*O$7</f>
        <v>191.270684111929</v>
      </c>
      <c r="P78" s="52" t="n">
        <f aca="false">P77*P$7</f>
        <v>266.973607507809</v>
      </c>
      <c r="Q78" s="52" t="n">
        <f aca="false">Q77*Q$7</f>
        <v>282.78665964481</v>
      </c>
      <c r="R78" s="52" t="n">
        <f aca="false">R77*R$7</f>
        <v>267.076289664543</v>
      </c>
      <c r="S78" s="52" t="n">
        <f aca="false">S77*S$7</f>
        <v>196.14082712964</v>
      </c>
      <c r="T78" s="52" t="n">
        <f aca="false">T77*T$7</f>
        <v>222.292937413592</v>
      </c>
      <c r="U78" s="52" t="n">
        <f aca="false">U77*U$7</f>
        <v>238.075735969957</v>
      </c>
      <c r="V78" s="52" t="n">
        <f aca="false">V77*V$7</f>
        <v>219.709893480846</v>
      </c>
      <c r="W78" s="52" t="n">
        <f aca="false">W77*W$7</f>
        <v>235.899043526803</v>
      </c>
      <c r="X78" s="52" t="n">
        <f aca="false">X77*X$7</f>
        <v>228.586173177472</v>
      </c>
      <c r="Y78" s="52" t="n">
        <f aca="false">Y77*Y$7</f>
        <v>208.614960152493</v>
      </c>
      <c r="Z78" s="52" t="n">
        <f aca="false">Z77*Z$7</f>
        <v>212.787259355543</v>
      </c>
      <c r="AA78" s="52" t="n">
        <f aca="false">AA77*AA$7</f>
        <v>240.199265119581</v>
      </c>
      <c r="AB78" s="52" t="n">
        <f aca="false">AB77*AB$7</f>
        <v>331.980668528431</v>
      </c>
      <c r="AC78" s="52" t="n">
        <f aca="false">AC77*AC$7</f>
        <v>348.19664733732</v>
      </c>
      <c r="AD78" s="52" t="n">
        <f aca="false">AD77*AD$7</f>
        <v>325.628346121012</v>
      </c>
      <c r="AE78" s="52" t="n">
        <f aca="false">AE77*AE$7</f>
        <v>236.7969332992</v>
      </c>
      <c r="AF78" s="52" t="n">
        <f aca="false">AF77*AF$7</f>
        <v>265.738780702435</v>
      </c>
      <c r="AG78" s="52" t="n">
        <f aca="false">AG77*AG$7</f>
        <v>281.815976934933</v>
      </c>
      <c r="AH78" s="52" t="n">
        <f aca="false">AH77*AH$7</f>
        <v>257.526123684827</v>
      </c>
      <c r="AI78" s="52" t="n">
        <f aca="false">AI77*AI$7</f>
        <v>273.7909314965</v>
      </c>
      <c r="AJ78" s="52" t="n">
        <f aca="false">AJ77*AJ$7</f>
        <v>262.702398770892</v>
      </c>
      <c r="AK78" s="52" t="n">
        <f aca="false">AK77*AK$7</f>
        <v>237.400009836643</v>
      </c>
      <c r="AL78" s="52" t="n">
        <f aca="false">AL77*AL$7</f>
        <v>239.774009935009</v>
      </c>
      <c r="AM78" s="53" t="n">
        <f aca="false">SUMIF($C$6:$AL$6,1,C78:AL78)</f>
        <v>1299.60641930281</v>
      </c>
      <c r="AN78" s="53" t="n">
        <f aca="false">SUMIF($C$6:$AL$6,2,C78:AL78)</f>
        <v>2770.21407113544</v>
      </c>
      <c r="AO78" s="53" t="n">
        <f aca="false">SUMIF($C$6:$AL$6,3,C78:AL78)</f>
        <v>3301.55009176678</v>
      </c>
      <c r="AP78" s="53" t="n">
        <f aca="false">SUM(C78:AL78)</f>
        <v>7371.37058220503</v>
      </c>
    </row>
    <row r="79" customFormat="false" ht="15" hidden="false" customHeight="false" outlineLevel="0" collapsed="false">
      <c r="A79" s="7" t="s">
        <v>749</v>
      </c>
      <c r="B79" s="9" t="s">
        <v>88</v>
      </c>
      <c r="C79" s="54" t="n">
        <f aca="false">Assumptions!$C$151*MIN(1,(C$4-Assumptions!$C$146+1)/Assumptions!$C$10)*C76</f>
        <v>-0</v>
      </c>
      <c r="D79" s="54" t="n">
        <f aca="false">Assumptions!$C$151*MIN(1,(D$4-Assumptions!$C$146+1)/Assumptions!$C$10)*D76</f>
        <v>-0</v>
      </c>
      <c r="E79" s="54" t="n">
        <f aca="false">Assumptions!$C$151*MIN(1,(E$4-Assumptions!$C$146+1)/Assumptions!$C$10)*E76</f>
        <v>-0</v>
      </c>
      <c r="F79" s="54" t="n">
        <f aca="false">Assumptions!$C$151*MIN(1,(F$4-Assumptions!$C$146+1)/Assumptions!$C$10)*F76</f>
        <v>0</v>
      </c>
      <c r="G79" s="54" t="n">
        <f aca="false">Assumptions!$C$151*MIN(1,(G$4-Assumptions!$C$146+1)/Assumptions!$C$10)*G76</f>
        <v>0.0025</v>
      </c>
      <c r="H79" s="54" t="n">
        <f aca="false">Assumptions!$C$151*MIN(1,(H$4-Assumptions!$C$146+1)/Assumptions!$C$10)*H76</f>
        <v>0.005</v>
      </c>
      <c r="I79" s="54" t="n">
        <f aca="false">Assumptions!$C$151*MIN(1,(I$4-Assumptions!$C$146+1)/Assumptions!$C$10)*I76</f>
        <v>0.0075</v>
      </c>
      <c r="J79" s="54" t="n">
        <f aca="false">Assumptions!$C$151*MIN(1,(J$4-Assumptions!$C$146+1)/Assumptions!$C$10)*J76</f>
        <v>0.01</v>
      </c>
      <c r="K79" s="54" t="n">
        <f aca="false">Assumptions!$C$151*MIN(1,(K$4-Assumptions!$C$146+1)/Assumptions!$C$10)*K76</f>
        <v>0.0125</v>
      </c>
      <c r="L79" s="54" t="n">
        <f aca="false">Assumptions!$C$151*MIN(1,(L$4-Assumptions!$C$146+1)/Assumptions!$C$10)*L76</f>
        <v>0.015</v>
      </c>
      <c r="M79" s="54" t="n">
        <f aca="false">Assumptions!$C$151*MIN(1,(M$4-Assumptions!$C$146+1)/Assumptions!$C$10)*M76</f>
        <v>0.015</v>
      </c>
      <c r="N79" s="54" t="n">
        <f aca="false">Assumptions!$C$151*MIN(1,(N$4-Assumptions!$C$146+1)/Assumptions!$C$10)*N76</f>
        <v>0.015</v>
      </c>
      <c r="O79" s="54" t="n">
        <f aca="false">Assumptions!$C$151*MIN(1,(O$4-Assumptions!$C$146+1)/Assumptions!$C$10)*O76</f>
        <v>0.015</v>
      </c>
      <c r="P79" s="54" t="n">
        <f aca="false">Assumptions!$C$151*MIN(1,(P$4-Assumptions!$C$146+1)/Assumptions!$C$10)*P76</f>
        <v>0.015</v>
      </c>
      <c r="Q79" s="54" t="n">
        <f aca="false">Assumptions!$C$151*MIN(1,(Q$4-Assumptions!$C$146+1)/Assumptions!$C$10)*Q76</f>
        <v>0.015</v>
      </c>
      <c r="R79" s="54" t="n">
        <f aca="false">Assumptions!$C$151*MIN(1,(R$4-Assumptions!$C$146+1)/Assumptions!$C$10)*R76</f>
        <v>0.015</v>
      </c>
      <c r="S79" s="54" t="n">
        <f aca="false">Assumptions!$C$151*MIN(1,(S$4-Assumptions!$C$146+1)/Assumptions!$C$10)*S76</f>
        <v>0.015</v>
      </c>
      <c r="T79" s="54" t="n">
        <f aca="false">Assumptions!$C$151*MIN(1,(T$4-Assumptions!$C$146+1)/Assumptions!$C$10)*T76</f>
        <v>0.015</v>
      </c>
      <c r="U79" s="54" t="n">
        <f aca="false">Assumptions!$C$151*MIN(1,(U$4-Assumptions!$C$146+1)/Assumptions!$C$10)*U76</f>
        <v>0.015</v>
      </c>
      <c r="V79" s="54" t="n">
        <f aca="false">Assumptions!$C$151*MIN(1,(V$4-Assumptions!$C$146+1)/Assumptions!$C$10)*V76</f>
        <v>0.015</v>
      </c>
      <c r="W79" s="54" t="n">
        <f aca="false">Assumptions!$C$151*MIN(1,(W$4-Assumptions!$C$146+1)/Assumptions!$C$10)*W76</f>
        <v>0.015</v>
      </c>
      <c r="X79" s="54" t="n">
        <f aca="false">Assumptions!$C$151*MIN(1,(X$4-Assumptions!$C$146+1)/Assumptions!$C$10)*X76</f>
        <v>0.015</v>
      </c>
      <c r="Y79" s="54" t="n">
        <f aca="false">Assumptions!$C$151*MIN(1,(Y$4-Assumptions!$C$146+1)/Assumptions!$C$10)*Y76</f>
        <v>0.015</v>
      </c>
      <c r="Z79" s="54" t="n">
        <f aca="false">Assumptions!$C$151*MIN(1,(Z$4-Assumptions!$C$146+1)/Assumptions!$C$10)*Z76</f>
        <v>0.015</v>
      </c>
      <c r="AA79" s="54" t="n">
        <f aca="false">Assumptions!$C$151*MIN(1,(AA$4-Assumptions!$C$146+1)/Assumptions!$C$10)*AA76</f>
        <v>0.015</v>
      </c>
      <c r="AB79" s="54" t="n">
        <f aca="false">Assumptions!$C$151*MIN(1,(AB$4-Assumptions!$C$146+1)/Assumptions!$C$10)*AB76</f>
        <v>0.015</v>
      </c>
      <c r="AC79" s="54" t="n">
        <f aca="false">Assumptions!$C$151*MIN(1,(AC$4-Assumptions!$C$146+1)/Assumptions!$C$10)*AC76</f>
        <v>0.015</v>
      </c>
      <c r="AD79" s="54" t="n">
        <f aca="false">Assumptions!$C$151*MIN(1,(AD$4-Assumptions!$C$146+1)/Assumptions!$C$10)*AD76</f>
        <v>0.015</v>
      </c>
      <c r="AE79" s="54" t="n">
        <f aca="false">Assumptions!$C$151*MIN(1,(AE$4-Assumptions!$C$146+1)/Assumptions!$C$10)*AE76</f>
        <v>0.015</v>
      </c>
      <c r="AF79" s="54" t="n">
        <f aca="false">Assumptions!$C$151*MIN(1,(AF$4-Assumptions!$C$146+1)/Assumptions!$C$10)*AF76</f>
        <v>0.015</v>
      </c>
      <c r="AG79" s="54" t="n">
        <f aca="false">Assumptions!$C$151*MIN(1,(AG$4-Assumptions!$C$146+1)/Assumptions!$C$10)*AG76</f>
        <v>0.015</v>
      </c>
      <c r="AH79" s="54" t="n">
        <f aca="false">Assumptions!$C$151*MIN(1,(AH$4-Assumptions!$C$146+1)/Assumptions!$C$10)*AH76</f>
        <v>0.015</v>
      </c>
      <c r="AI79" s="54" t="n">
        <f aca="false">Assumptions!$C$151*MIN(1,(AI$4-Assumptions!$C$146+1)/Assumptions!$C$10)*AI76</f>
        <v>0.015</v>
      </c>
      <c r="AJ79" s="54" t="n">
        <f aca="false">Assumptions!$C$151*MIN(1,(AJ$4-Assumptions!$C$146+1)/Assumptions!$C$10)*AJ76</f>
        <v>0.015</v>
      </c>
      <c r="AK79" s="54" t="n">
        <f aca="false">Assumptions!$C$151*MIN(1,(AK$4-Assumptions!$C$146+1)/Assumptions!$C$10)*AK76</f>
        <v>0.015</v>
      </c>
      <c r="AL79" s="54" t="n">
        <f aca="false">Assumptions!$C$151*MIN(1,(AL$4-Assumptions!$C$146+1)/Assumptions!$C$10)*AL76</f>
        <v>0.015</v>
      </c>
    </row>
    <row r="80" customFormat="false" ht="15" hidden="false" customHeight="false" outlineLevel="0" collapsed="false">
      <c r="A80" s="7" t="s">
        <v>757</v>
      </c>
      <c r="B80" s="9" t="s">
        <v>751</v>
      </c>
      <c r="C80" s="55" t="n">
        <f aca="false">C78*C79</f>
        <v>-0</v>
      </c>
      <c r="D80" s="55" t="n">
        <f aca="false">D78*D79</f>
        <v>-0</v>
      </c>
      <c r="E80" s="55" t="n">
        <f aca="false">E78*E79</f>
        <v>-0</v>
      </c>
      <c r="F80" s="55" t="n">
        <f aca="false">F78*F79</f>
        <v>0</v>
      </c>
      <c r="G80" s="55" t="n">
        <f aca="false">G78*G79</f>
        <v>0.3375</v>
      </c>
      <c r="H80" s="55" t="n">
        <f aca="false">H78*H79</f>
        <v>0.78</v>
      </c>
      <c r="I80" s="55" t="n">
        <f aca="false">I78*I79</f>
        <v>1.27764</v>
      </c>
      <c r="J80" s="55" t="n">
        <f aca="false">J78*J79</f>
        <v>1.6029312</v>
      </c>
      <c r="K80" s="55" t="n">
        <f aca="false">K78*K79</f>
        <v>2.1934848</v>
      </c>
      <c r="L80" s="55" t="n">
        <f aca="false">L78*L79</f>
        <v>2.60059557888</v>
      </c>
      <c r="M80" s="55" t="n">
        <f aca="false">M78*M79</f>
        <v>2.4199226228736</v>
      </c>
      <c r="N80" s="55" t="n">
        <f aca="false">N78*N79</f>
        <v>2.51671952778854</v>
      </c>
      <c r="O80" s="55" t="n">
        <f aca="false">O78*O79</f>
        <v>2.86906026167894</v>
      </c>
      <c r="P80" s="55" t="n">
        <f aca="false">P78*P79</f>
        <v>4.00460411261713</v>
      </c>
      <c r="Q80" s="55" t="n">
        <f aca="false">Q78*Q79</f>
        <v>4.24179989467215</v>
      </c>
      <c r="R80" s="55" t="n">
        <f aca="false">R78*R79</f>
        <v>4.00614434496814</v>
      </c>
      <c r="S80" s="55" t="n">
        <f aca="false">S78*S79</f>
        <v>2.9421124069446</v>
      </c>
      <c r="T80" s="55" t="n">
        <f aca="false">T78*T79</f>
        <v>3.33439406120388</v>
      </c>
      <c r="U80" s="55" t="n">
        <f aca="false">U78*U79</f>
        <v>3.57113603954936</v>
      </c>
      <c r="V80" s="55" t="n">
        <f aca="false">V78*V79</f>
        <v>3.29564840221269</v>
      </c>
      <c r="W80" s="55" t="n">
        <f aca="false">W78*W79</f>
        <v>3.53848565290205</v>
      </c>
      <c r="X80" s="55" t="n">
        <f aca="false">X78*X79</f>
        <v>3.42879259766208</v>
      </c>
      <c r="Y80" s="55" t="n">
        <f aca="false">Y78*Y79</f>
        <v>3.1292244022874</v>
      </c>
      <c r="Z80" s="55" t="n">
        <f aca="false">Z78*Z79</f>
        <v>3.19180889033315</v>
      </c>
      <c r="AA80" s="55" t="n">
        <f aca="false">AA78*AA79</f>
        <v>3.60298897679371</v>
      </c>
      <c r="AB80" s="55" t="n">
        <f aca="false">AB78*AB79</f>
        <v>4.97971002792646</v>
      </c>
      <c r="AC80" s="55" t="n">
        <f aca="false">AC78*AC79</f>
        <v>5.2229497100598</v>
      </c>
      <c r="AD80" s="55" t="n">
        <f aca="false">AD78*AD79</f>
        <v>4.88442519181518</v>
      </c>
      <c r="AE80" s="55" t="n">
        <f aca="false">AE78*AE79</f>
        <v>3.551953999488</v>
      </c>
      <c r="AF80" s="55" t="n">
        <f aca="false">AF78*AF79</f>
        <v>3.98608171053653</v>
      </c>
      <c r="AG80" s="55" t="n">
        <f aca="false">AG78*AG79</f>
        <v>4.22723965402399</v>
      </c>
      <c r="AH80" s="55" t="n">
        <f aca="false">AH78*AH79</f>
        <v>3.8628918552724</v>
      </c>
      <c r="AI80" s="55" t="n">
        <f aca="false">AI78*AI79</f>
        <v>4.1068639724475</v>
      </c>
      <c r="AJ80" s="55" t="n">
        <f aca="false">AJ78*AJ79</f>
        <v>3.94053598156337</v>
      </c>
      <c r="AK80" s="55" t="n">
        <f aca="false">AK78*AK79</f>
        <v>3.56100014754964</v>
      </c>
      <c r="AL80" s="55" t="n">
        <f aca="false">AL78*AL79</f>
        <v>3.59661014902514</v>
      </c>
      <c r="AM80" s="53" t="n">
        <f aca="false">SUMIF($C$6:$AL$6,1,C80:AL80)</f>
        <v>13.7287937295421</v>
      </c>
      <c r="AN80" s="53" t="n">
        <f aca="false">SUMIF($C$6:$AL$6,2,C80:AL80)</f>
        <v>41.5532110670316</v>
      </c>
      <c r="AO80" s="53" t="n">
        <f aca="false">SUMIF($C$6:$AL$6,3,C80:AL80)</f>
        <v>49.5232513765017</v>
      </c>
      <c r="AP80" s="53" t="n">
        <f aca="false">SUM(C80:AL80)</f>
        <v>104.805256173075</v>
      </c>
    </row>
    <row r="81" customFormat="false" ht="15" hidden="false" customHeight="false" outlineLevel="0" collapsed="false">
      <c r="A81" s="7" t="s">
        <v>752</v>
      </c>
      <c r="B81" s="9" t="s">
        <v>331</v>
      </c>
      <c r="C81" s="56" t="n">
        <f aca="false">C80*Assumptions!$C$152</f>
        <v>-0</v>
      </c>
      <c r="D81" s="56" t="n">
        <f aca="false">D80*Assumptions!$C$152</f>
        <v>-0</v>
      </c>
      <c r="E81" s="56" t="n">
        <f aca="false">E80*Assumptions!$C$152</f>
        <v>-0</v>
      </c>
      <c r="F81" s="56" t="n">
        <f aca="false">F80*Assumptions!$C$152</f>
        <v>0</v>
      </c>
      <c r="G81" s="56" t="n">
        <f aca="false">G80*Assumptions!$C$152</f>
        <v>0.37125</v>
      </c>
      <c r="H81" s="56" t="n">
        <f aca="false">H80*Assumptions!$C$152</f>
        <v>0.858</v>
      </c>
      <c r="I81" s="56" t="n">
        <f aca="false">I80*Assumptions!$C$152</f>
        <v>1.405404</v>
      </c>
      <c r="J81" s="56" t="n">
        <f aca="false">J80*Assumptions!$C$152</f>
        <v>1.76322432</v>
      </c>
      <c r="K81" s="56" t="n">
        <f aca="false">K80*Assumptions!$C$152</f>
        <v>2.41283328</v>
      </c>
      <c r="L81" s="56" t="n">
        <f aca="false">L80*Assumptions!$C$152</f>
        <v>2.860655136768</v>
      </c>
      <c r="M81" s="56" t="n">
        <f aca="false">M80*Assumptions!$C$152</f>
        <v>2.66191488516096</v>
      </c>
      <c r="N81" s="56" t="n">
        <f aca="false">N80*Assumptions!$C$152</f>
        <v>2.7683914805674</v>
      </c>
      <c r="O81" s="56" t="n">
        <f aca="false">O80*Assumptions!$C$152</f>
        <v>3.15596628784683</v>
      </c>
      <c r="P81" s="56" t="n">
        <f aca="false">P80*Assumptions!$C$152</f>
        <v>4.40506452387885</v>
      </c>
      <c r="Q81" s="56" t="n">
        <f aca="false">Q80*Assumptions!$C$152</f>
        <v>4.66597988413936</v>
      </c>
      <c r="R81" s="56" t="n">
        <f aca="false">R80*Assumptions!$C$152</f>
        <v>4.40675877946495</v>
      </c>
      <c r="S81" s="56" t="n">
        <f aca="false">S80*Assumptions!$C$152</f>
        <v>3.23632364763906</v>
      </c>
      <c r="T81" s="56" t="n">
        <f aca="false">T80*Assumptions!$C$152</f>
        <v>3.66783346732427</v>
      </c>
      <c r="U81" s="56" t="n">
        <f aca="false">U80*Assumptions!$C$152</f>
        <v>3.92824964350429</v>
      </c>
      <c r="V81" s="56" t="n">
        <f aca="false">V80*Assumptions!$C$152</f>
        <v>3.62521324243396</v>
      </c>
      <c r="W81" s="56" t="n">
        <f aca="false">W80*Assumptions!$C$152</f>
        <v>3.89233421819225</v>
      </c>
      <c r="X81" s="56" t="n">
        <f aca="false">X80*Assumptions!$C$152</f>
        <v>3.77167185742829</v>
      </c>
      <c r="Y81" s="56" t="n">
        <f aca="false">Y80*Assumptions!$C$152</f>
        <v>3.44214684251614</v>
      </c>
      <c r="Z81" s="56" t="n">
        <f aca="false">Z80*Assumptions!$C$152</f>
        <v>3.51098977936646</v>
      </c>
      <c r="AA81" s="56" t="n">
        <f aca="false">AA80*Assumptions!$C$152</f>
        <v>3.96328787447308</v>
      </c>
      <c r="AB81" s="56" t="n">
        <f aca="false">AB80*Assumptions!$C$152</f>
        <v>5.47768103071911</v>
      </c>
      <c r="AC81" s="56" t="n">
        <f aca="false">AC80*Assumptions!$C$152</f>
        <v>5.74524468106578</v>
      </c>
      <c r="AD81" s="56" t="n">
        <f aca="false">AD80*Assumptions!$C$152</f>
        <v>5.3728677109967</v>
      </c>
      <c r="AE81" s="56" t="n">
        <f aca="false">AE80*Assumptions!$C$152</f>
        <v>3.9071493994368</v>
      </c>
      <c r="AF81" s="56" t="n">
        <f aca="false">AF80*Assumptions!$C$152</f>
        <v>4.38468988159019</v>
      </c>
      <c r="AG81" s="56" t="n">
        <f aca="false">AG80*Assumptions!$C$152</f>
        <v>4.64996361942639</v>
      </c>
      <c r="AH81" s="56" t="n">
        <f aca="false">AH80*Assumptions!$C$152</f>
        <v>4.24918104079964</v>
      </c>
      <c r="AI81" s="56" t="n">
        <f aca="false">AI80*Assumptions!$C$152</f>
        <v>4.51755036969225</v>
      </c>
      <c r="AJ81" s="56" t="n">
        <f aca="false">AJ80*Assumptions!$C$152</f>
        <v>4.33458957971971</v>
      </c>
      <c r="AK81" s="56" t="n">
        <f aca="false">AK80*Assumptions!$C$152</f>
        <v>3.9171001623046</v>
      </c>
      <c r="AL81" s="56" t="n">
        <f aca="false">AL80*Assumptions!$C$152</f>
        <v>3.95627116392765</v>
      </c>
      <c r="AM81" s="53" t="n">
        <f aca="false">SUMIF($C$6:$AL$6,1,C81:AL81)</f>
        <v>15.1016731024964</v>
      </c>
      <c r="AN81" s="53" t="n">
        <f aca="false">SUMIF($C$6:$AL$6,2,C81:AL81)</f>
        <v>45.7085321737347</v>
      </c>
      <c r="AO81" s="53" t="n">
        <f aca="false">SUMIF($C$6:$AL$6,3,C81:AL81)</f>
        <v>54.4755765141519</v>
      </c>
      <c r="AP81" s="53" t="n">
        <f aca="false">SUM(C81:AL81)</f>
        <v>115.285781790383</v>
      </c>
    </row>
    <row r="82" customFormat="false" ht="15" hidden="false" customHeight="false" outlineLevel="0" collapsed="false">
      <c r="A82" s="7" t="s">
        <v>753</v>
      </c>
      <c r="B82" s="9" t="s">
        <v>93</v>
      </c>
      <c r="C82" s="15" t="n">
        <f aca="false">'Unit Economics'!$E$56*Assumptions!$C$152*C76</f>
        <v>0</v>
      </c>
      <c r="D82" s="15" t="n">
        <f aca="false">'Unit Economics'!$E$56*Assumptions!$C$152*D76</f>
        <v>0</v>
      </c>
      <c r="E82" s="15" t="n">
        <f aca="false">'Unit Economics'!$E$56*Assumptions!$C$152*E76</f>
        <v>0</v>
      </c>
      <c r="F82" s="15" t="n">
        <f aca="false">'Unit Economics'!$E$56*Assumptions!$C$152*F76</f>
        <v>0</v>
      </c>
      <c r="G82" s="15" t="n">
        <f aca="false">'Unit Economics'!$E$56*Assumptions!$C$152*G76</f>
        <v>14.289</v>
      </c>
      <c r="H82" s="15" t="n">
        <f aca="false">'Unit Economics'!$E$56*Assumptions!$C$152*H76</f>
        <v>14.289</v>
      </c>
      <c r="I82" s="15" t="n">
        <f aca="false">'Unit Economics'!$E$56*Assumptions!$C$152*I76</f>
        <v>14.289</v>
      </c>
      <c r="J82" s="15" t="n">
        <f aca="false">'Unit Economics'!$E$56*Assumptions!$C$152*J76</f>
        <v>14.289</v>
      </c>
      <c r="K82" s="15" t="n">
        <f aca="false">'Unit Economics'!$E$56*Assumptions!$C$152*K76</f>
        <v>14.289</v>
      </c>
      <c r="L82" s="15" t="n">
        <f aca="false">'Unit Economics'!$E$56*Assumptions!$C$152*L76</f>
        <v>14.289</v>
      </c>
      <c r="M82" s="15" t="n">
        <f aca="false">'Unit Economics'!$E$56*Assumptions!$C$152*M76</f>
        <v>14.289</v>
      </c>
      <c r="N82" s="15" t="n">
        <f aca="false">'Unit Economics'!$E$56*Assumptions!$C$152*N76</f>
        <v>14.289</v>
      </c>
      <c r="O82" s="15" t="n">
        <f aca="false">'Unit Economics'!$E$56*Assumptions!$C$152*O76</f>
        <v>14.289</v>
      </c>
      <c r="P82" s="15" t="n">
        <f aca="false">'Unit Economics'!$E$56*Assumptions!$C$152*P76</f>
        <v>14.289</v>
      </c>
      <c r="Q82" s="15" t="n">
        <f aca="false">'Unit Economics'!$E$56*Assumptions!$C$152*Q76</f>
        <v>14.289</v>
      </c>
      <c r="R82" s="15" t="n">
        <f aca="false">'Unit Economics'!$E$56*Assumptions!$C$152*R76</f>
        <v>14.289</v>
      </c>
      <c r="S82" s="15" t="n">
        <f aca="false">'Unit Economics'!$E$56*Assumptions!$C$152*S76</f>
        <v>14.289</v>
      </c>
      <c r="T82" s="15" t="n">
        <f aca="false">'Unit Economics'!$E$56*Assumptions!$C$152*T76</f>
        <v>14.289</v>
      </c>
      <c r="U82" s="15" t="n">
        <f aca="false">'Unit Economics'!$E$56*Assumptions!$C$152*U76</f>
        <v>14.289</v>
      </c>
      <c r="V82" s="15" t="n">
        <f aca="false">'Unit Economics'!$E$56*Assumptions!$C$152*V76</f>
        <v>14.289</v>
      </c>
      <c r="W82" s="15" t="n">
        <f aca="false">'Unit Economics'!$E$56*Assumptions!$C$152*W76</f>
        <v>14.289</v>
      </c>
      <c r="X82" s="15" t="n">
        <f aca="false">'Unit Economics'!$E$56*Assumptions!$C$152*X76</f>
        <v>14.289</v>
      </c>
      <c r="Y82" s="15" t="n">
        <f aca="false">'Unit Economics'!$E$56*Assumptions!$C$152*Y76</f>
        <v>14.289</v>
      </c>
      <c r="Z82" s="15" t="n">
        <f aca="false">'Unit Economics'!$E$56*Assumptions!$C$152*Z76</f>
        <v>14.289</v>
      </c>
      <c r="AA82" s="15" t="n">
        <f aca="false">'Unit Economics'!$E$56*Assumptions!$C$152*AA76</f>
        <v>14.289</v>
      </c>
      <c r="AB82" s="15" t="n">
        <f aca="false">'Unit Economics'!$E$56*Assumptions!$C$152*AB76</f>
        <v>14.289</v>
      </c>
      <c r="AC82" s="15" t="n">
        <f aca="false">'Unit Economics'!$E$56*Assumptions!$C$152*AC76</f>
        <v>14.289</v>
      </c>
      <c r="AD82" s="15" t="n">
        <f aca="false">'Unit Economics'!$E$56*Assumptions!$C$152*AD76</f>
        <v>14.289</v>
      </c>
      <c r="AE82" s="15" t="n">
        <f aca="false">'Unit Economics'!$E$56*Assumptions!$C$152*AE76</f>
        <v>14.289</v>
      </c>
      <c r="AF82" s="15" t="n">
        <f aca="false">'Unit Economics'!$E$56*Assumptions!$C$152*AF76</f>
        <v>14.289</v>
      </c>
      <c r="AG82" s="15" t="n">
        <f aca="false">'Unit Economics'!$E$56*Assumptions!$C$152*AG76</f>
        <v>14.289</v>
      </c>
      <c r="AH82" s="15" t="n">
        <f aca="false">'Unit Economics'!$E$56*Assumptions!$C$152*AH76</f>
        <v>14.289</v>
      </c>
      <c r="AI82" s="15" t="n">
        <f aca="false">'Unit Economics'!$E$56*Assumptions!$C$152*AI76</f>
        <v>14.289</v>
      </c>
      <c r="AJ82" s="15" t="n">
        <f aca="false">'Unit Economics'!$E$56*Assumptions!$C$152*AJ76</f>
        <v>14.289</v>
      </c>
      <c r="AK82" s="15" t="n">
        <f aca="false">'Unit Economics'!$E$56*Assumptions!$C$152*AK76</f>
        <v>14.289</v>
      </c>
      <c r="AL82" s="15" t="n">
        <f aca="false">'Unit Economics'!$E$56*Assumptions!$C$152*AL76</f>
        <v>14.289</v>
      </c>
    </row>
    <row r="83" customFormat="false" ht="15" hidden="false" customHeight="false" outlineLevel="0" collapsed="false">
      <c r="A83" s="7" t="s">
        <v>754</v>
      </c>
      <c r="B83" s="9" t="s">
        <v>93</v>
      </c>
      <c r="C83" s="8" t="n">
        <f aca="false">C81*'Unit Economics'!$E$56</f>
        <v>-0</v>
      </c>
      <c r="D83" s="8" t="n">
        <f aca="false">D81*'Unit Economics'!$E$56</f>
        <v>-0</v>
      </c>
      <c r="E83" s="8" t="n">
        <f aca="false">E81*'Unit Economics'!$E$56</f>
        <v>-0</v>
      </c>
      <c r="F83" s="8" t="n">
        <f aca="false">F81*'Unit Economics'!$E$56</f>
        <v>0</v>
      </c>
      <c r="G83" s="8" t="n">
        <f aca="false">G81*'Unit Economics'!$E$56</f>
        <v>4.8225375</v>
      </c>
      <c r="H83" s="8" t="n">
        <f aca="false">H81*'Unit Economics'!$E$56</f>
        <v>11.14542</v>
      </c>
      <c r="I83" s="8" t="n">
        <f aca="false">I81*'Unit Economics'!$E$56</f>
        <v>18.25619796</v>
      </c>
      <c r="J83" s="8" t="n">
        <f aca="false">J81*'Unit Economics'!$E$56</f>
        <v>22.9042839168</v>
      </c>
      <c r="K83" s="8" t="n">
        <f aca="false">K81*'Unit Economics'!$E$56</f>
        <v>31.3427043072</v>
      </c>
      <c r="L83" s="8" t="n">
        <f aca="false">L81*'Unit Economics'!$E$56</f>
        <v>37.1599102266163</v>
      </c>
      <c r="M83" s="8" t="n">
        <f aca="false">M81*'Unit Economics'!$E$56</f>
        <v>34.5782743582409</v>
      </c>
      <c r="N83" s="8" t="n">
        <f aca="false">N81*'Unit Economics'!$E$56</f>
        <v>35.9614053325705</v>
      </c>
      <c r="O83" s="8" t="n">
        <f aca="false">O81*'Unit Economics'!$E$56</f>
        <v>40.9960020791304</v>
      </c>
      <c r="P83" s="8" t="n">
        <f aca="false">P81*'Unit Economics'!$E$56</f>
        <v>57.2217881651862</v>
      </c>
      <c r="Q83" s="8" t="n">
        <f aca="false">Q81*'Unit Economics'!$E$56</f>
        <v>60.6110786949703</v>
      </c>
      <c r="R83" s="8" t="n">
        <f aca="false">R81*'Unit Economics'!$E$56</f>
        <v>57.2437965452497</v>
      </c>
      <c r="S83" s="8" t="n">
        <f aca="false">S81*'Unit Economics'!$E$56</f>
        <v>42.0398441828314</v>
      </c>
      <c r="T83" s="8" t="n">
        <f aca="false">T81*'Unit Economics'!$E$56</f>
        <v>47.6451567405423</v>
      </c>
      <c r="U83" s="8" t="n">
        <f aca="false">U81*'Unit Economics'!$E$56</f>
        <v>51.0279628691208</v>
      </c>
      <c r="V83" s="8" t="n">
        <f aca="false">V81*'Unit Economics'!$E$56</f>
        <v>47.0915200192172</v>
      </c>
      <c r="W83" s="8" t="n">
        <f aca="false">W81*'Unit Economics'!$E$56</f>
        <v>50.5614214943174</v>
      </c>
      <c r="X83" s="8" t="n">
        <f aca="false">X81*'Unit Economics'!$E$56</f>
        <v>48.9940174279935</v>
      </c>
      <c r="Y83" s="8" t="n">
        <f aca="false">Y81*'Unit Economics'!$E$56</f>
        <v>44.7134874842846</v>
      </c>
      <c r="Z83" s="8" t="n">
        <f aca="false">Z81*'Unit Economics'!$E$56</f>
        <v>45.6077572339703</v>
      </c>
      <c r="AA83" s="8" t="n">
        <f aca="false">AA81*'Unit Economics'!$E$56</f>
        <v>51.4831094894053</v>
      </c>
      <c r="AB83" s="8" t="n">
        <f aca="false">AB81*'Unit Economics'!$E$56</f>
        <v>71.1550765890413</v>
      </c>
      <c r="AC83" s="8" t="n">
        <f aca="false">AC81*'Unit Economics'!$E$56</f>
        <v>74.6307284070444</v>
      </c>
      <c r="AD83" s="8" t="n">
        <f aca="false">AD81*'Unit Economics'!$E$56</f>
        <v>69.7935515658471</v>
      </c>
      <c r="AE83" s="8" t="n">
        <f aca="false">AE81*'Unit Economics'!$E$56</f>
        <v>50.753870698684</v>
      </c>
      <c r="AF83" s="8" t="n">
        <f aca="false">AF81*'Unit Economics'!$E$56</f>
        <v>56.9571215618565</v>
      </c>
      <c r="AG83" s="8" t="n">
        <f aca="false">AG81*'Unit Economics'!$E$56</f>
        <v>60.4030274163488</v>
      </c>
      <c r="AH83" s="8" t="n">
        <f aca="false">AH81*'Unit Economics'!$E$56</f>
        <v>55.1968617199873</v>
      </c>
      <c r="AI83" s="8" t="n">
        <f aca="false">AI81*'Unit Economics'!$E$56</f>
        <v>58.6829793023023</v>
      </c>
      <c r="AJ83" s="8" t="n">
        <f aca="false">AJ81*'Unit Economics'!$E$56</f>
        <v>56.3063186405591</v>
      </c>
      <c r="AK83" s="8" t="n">
        <f aca="false">AK81*'Unit Economics'!$E$56</f>
        <v>50.8831311083368</v>
      </c>
      <c r="AL83" s="8" t="n">
        <f aca="false">AL81*'Unit Economics'!$E$56</f>
        <v>51.3919624194202</v>
      </c>
      <c r="AM83" s="45" t="n">
        <f aca="false">SUMIF($C$6:$AL$6,1,C83:AL83)</f>
        <v>196.170733601428</v>
      </c>
      <c r="AN83" s="45" t="n">
        <f aca="false">SUMIF($C$6:$AL$6,2,C83:AL83)</f>
        <v>593.753832936814</v>
      </c>
      <c r="AO83" s="45" t="n">
        <f aca="false">SUMIF($C$6:$AL$6,3,C83:AL83)</f>
        <v>707.637738918833</v>
      </c>
      <c r="AP83" s="45" t="n">
        <f aca="false">SUM(C83:AL83)</f>
        <v>1497.56230545708</v>
      </c>
    </row>
    <row r="84" customFormat="false" ht="15" hidden="false" customHeight="false" outlineLevel="0" collapsed="false">
      <c r="A84" s="7" t="s">
        <v>755</v>
      </c>
      <c r="B84" s="9" t="s">
        <v>93</v>
      </c>
      <c r="C84" s="8" t="n">
        <f aca="false">C81*'Unit Economics'!$F$56</f>
        <v>-0</v>
      </c>
      <c r="D84" s="8" t="n">
        <f aca="false">D81*'Unit Economics'!$F$56</f>
        <v>-0</v>
      </c>
      <c r="E84" s="8" t="n">
        <f aca="false">E81*'Unit Economics'!$F$56</f>
        <v>-0</v>
      </c>
      <c r="F84" s="8" t="n">
        <f aca="false">F81*'Unit Economics'!$F$56</f>
        <v>0</v>
      </c>
      <c r="G84" s="8" t="n">
        <f aca="false">G81*'Unit Economics'!$F$56</f>
        <v>1.6794213975</v>
      </c>
      <c r="H84" s="8" t="n">
        <f aca="false">H81*'Unit Economics'!$F$56</f>
        <v>3.881329452</v>
      </c>
      <c r="I84" s="8" t="n">
        <f aca="false">I81*'Unit Economics'!$F$56</f>
        <v>6.357617642376</v>
      </c>
      <c r="J84" s="8" t="n">
        <f aca="false">J81*'Unit Economics'!$F$56</f>
        <v>7.97628727703808</v>
      </c>
      <c r="K84" s="8" t="n">
        <f aca="false">K81*'Unit Economics'!$F$56</f>
        <v>10.9149194317363</v>
      </c>
      <c r="L84" s="8" t="n">
        <f aca="false">L81*'Unit Economics'!$F$56</f>
        <v>12.9407284782666</v>
      </c>
      <c r="M84" s="8" t="n">
        <f aca="false">M81*'Unit Economics'!$F$56</f>
        <v>12.0416883945133</v>
      </c>
      <c r="N84" s="8" t="n">
        <f aca="false">N81*'Unit Economics'!$F$56</f>
        <v>12.5233559302939</v>
      </c>
      <c r="O84" s="8" t="n">
        <f aca="false">O81*'Unit Economics'!$F$56</f>
        <v>14.276625760535</v>
      </c>
      <c r="P84" s="8" t="n">
        <f aca="false">P81*'Unit Economics'!$F$56</f>
        <v>19.9271639562836</v>
      </c>
      <c r="Q84" s="8" t="n">
        <f aca="false">Q81*'Unit Economics'!$F$56</f>
        <v>21.1074652060019</v>
      </c>
      <c r="R84" s="8" t="n">
        <f aca="false">R81*'Unit Economics'!$F$56</f>
        <v>19.9348282501129</v>
      </c>
      <c r="S84" s="8" t="n">
        <f aca="false">S81*'Unit Economics'!$F$56</f>
        <v>14.6401378668829</v>
      </c>
      <c r="T84" s="8" t="n">
        <f aca="false">T81*'Unit Economics'!$F$56</f>
        <v>16.592156249134</v>
      </c>
      <c r="U84" s="8" t="n">
        <f aca="false">U81*'Unit Economics'!$F$56</f>
        <v>17.7701993428225</v>
      </c>
      <c r="V84" s="8" t="n">
        <f aca="false">V81*'Unit Economics'!$F$56</f>
        <v>16.3993553935191</v>
      </c>
      <c r="W84" s="8" t="n">
        <f aca="false">W81*'Unit Economics'!$F$56</f>
        <v>17.607728948831</v>
      </c>
      <c r="X84" s="8" t="n">
        <f aca="false">X81*'Unit Economics'!$F$56</f>
        <v>17.0618893514172</v>
      </c>
      <c r="Y84" s="8" t="n">
        <f aca="false">Y81*'Unit Economics'!$F$56</f>
        <v>15.5712190186092</v>
      </c>
      <c r="Z84" s="8" t="n">
        <f aca="false">Z81*'Unit Economics'!$F$56</f>
        <v>15.8826433989814</v>
      </c>
      <c r="AA84" s="8" t="n">
        <f aca="false">AA81*'Unit Economics'!$F$56</f>
        <v>17.9287015780266</v>
      </c>
      <c r="AB84" s="8" t="n">
        <f aca="false">AB81*'Unit Economics'!$F$56</f>
        <v>24.7793528125779</v>
      </c>
      <c r="AC84" s="8" t="n">
        <f aca="false">AC81*'Unit Economics'!$F$56</f>
        <v>25.9897288922692</v>
      </c>
      <c r="AD84" s="8" t="n">
        <f aca="false">AD81*'Unit Economics'!$F$56</f>
        <v>24.3052094270295</v>
      </c>
      <c r="AE84" s="8" t="n">
        <f aca="false">AE81*'Unit Economics'!$F$56</f>
        <v>17.6747482953358</v>
      </c>
      <c r="AF84" s="8" t="n">
        <f aca="false">AF81*'Unit Economics'!$F$56</f>
        <v>19.8349953092102</v>
      </c>
      <c r="AG84" s="8" t="n">
        <f aca="false">AG81*'Unit Economics'!$F$56</f>
        <v>21.0350125254174</v>
      </c>
      <c r="AH84" s="8" t="n">
        <f aca="false">AH81*'Unit Economics'!$F$56</f>
        <v>19.2219947791791</v>
      </c>
      <c r="AI84" s="8" t="n">
        <f aca="false">AI81*'Unit Economics'!$F$56</f>
        <v>20.4360155020746</v>
      </c>
      <c r="AJ84" s="8" t="n">
        <f aca="false">AJ81*'Unit Economics'!$F$56</f>
        <v>19.6083568742406</v>
      </c>
      <c r="AK84" s="8" t="n">
        <f aca="false">AK81*'Unit Economics'!$F$56</f>
        <v>17.7197625016164</v>
      </c>
      <c r="AL84" s="8" t="n">
        <f aca="false">AL81*'Unit Economics'!$F$56</f>
        <v>17.8969601266325</v>
      </c>
      <c r="AM84" s="45" t="n">
        <f aca="false">SUMIF($C$6:$AL$6,1,C84:AL84)</f>
        <v>68.3153480037242</v>
      </c>
      <c r="AN84" s="45" t="n">
        <f aca="false">SUMIF($C$6:$AL$6,2,C84:AL84)</f>
        <v>206.771412743131</v>
      </c>
      <c r="AO84" s="45" t="n">
        <f aca="false">SUMIF($C$6:$AL$6,3,C84:AL84)</f>
        <v>246.43083862361</v>
      </c>
      <c r="AP84" s="45" t="n">
        <f aca="false">SUM(C84:AL84)</f>
        <v>521.517599370465</v>
      </c>
    </row>
    <row r="85" customFormat="false" ht="15" hidden="false" customHeight="false" outlineLevel="0" collapsed="false">
      <c r="A85" s="5" t="s">
        <v>567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customFormat="false" ht="15" hidden="false" customHeight="false" outlineLevel="0" collapsed="false">
      <c r="A86" s="7" t="s">
        <v>746</v>
      </c>
      <c r="B86" s="9" t="s">
        <v>308</v>
      </c>
      <c r="C86" s="37" t="n">
        <f aca="false">IF(AND(Assumptions!$C$154=1,C$4&gt;=Assumptions!$C$155),1,0)</f>
        <v>0</v>
      </c>
      <c r="D86" s="37" t="n">
        <f aca="false">IF(AND(Assumptions!$C$154=1,D$4&gt;=Assumptions!$C$155),1,0)</f>
        <v>0</v>
      </c>
      <c r="E86" s="37" t="n">
        <f aca="false">IF(AND(Assumptions!$C$154=1,E$4&gt;=Assumptions!$C$155),1,0)</f>
        <v>0</v>
      </c>
      <c r="F86" s="37" t="n">
        <f aca="false">IF(AND(Assumptions!$C$154=1,F$4&gt;=Assumptions!$C$155),1,0)</f>
        <v>0</v>
      </c>
      <c r="G86" s="37" t="n">
        <f aca="false">IF(AND(Assumptions!$C$154=1,G$4&gt;=Assumptions!$C$155),1,0)</f>
        <v>0</v>
      </c>
      <c r="H86" s="37" t="n">
        <f aca="false">IF(AND(Assumptions!$C$154=1,H$4&gt;=Assumptions!$C$155),1,0)</f>
        <v>0</v>
      </c>
      <c r="I86" s="37" t="n">
        <f aca="false">IF(AND(Assumptions!$C$154=1,I$4&gt;=Assumptions!$C$155),1,0)</f>
        <v>0</v>
      </c>
      <c r="J86" s="37" t="n">
        <f aca="false">IF(AND(Assumptions!$C$154=1,J$4&gt;=Assumptions!$C$155),1,0)</f>
        <v>0</v>
      </c>
      <c r="K86" s="37" t="n">
        <f aca="false">IF(AND(Assumptions!$C$154=1,K$4&gt;=Assumptions!$C$155),1,0)</f>
        <v>0</v>
      </c>
      <c r="L86" s="37" t="n">
        <f aca="false">IF(AND(Assumptions!$C$154=1,L$4&gt;=Assumptions!$C$155),1,0)</f>
        <v>0</v>
      </c>
      <c r="M86" s="37" t="n">
        <f aca="false">IF(AND(Assumptions!$C$154=1,M$4&gt;=Assumptions!$C$155),1,0)</f>
        <v>0</v>
      </c>
      <c r="N86" s="37" t="n">
        <f aca="false">IF(AND(Assumptions!$C$154=1,N$4&gt;=Assumptions!$C$155),1,0)</f>
        <v>0</v>
      </c>
      <c r="O86" s="37" t="n">
        <f aca="false">IF(AND(Assumptions!$C$154=1,O$4&gt;=Assumptions!$C$155),1,0)</f>
        <v>0</v>
      </c>
      <c r="P86" s="37" t="n">
        <f aca="false">IF(AND(Assumptions!$C$154=1,P$4&gt;=Assumptions!$C$155),1,0)</f>
        <v>0</v>
      </c>
      <c r="Q86" s="37" t="n">
        <f aca="false">IF(AND(Assumptions!$C$154=1,Q$4&gt;=Assumptions!$C$155),1,0)</f>
        <v>0</v>
      </c>
      <c r="R86" s="37" t="n">
        <f aca="false">IF(AND(Assumptions!$C$154=1,R$4&gt;=Assumptions!$C$155),1,0)</f>
        <v>0</v>
      </c>
      <c r="S86" s="37" t="n">
        <f aca="false">IF(AND(Assumptions!$C$154=1,S$4&gt;=Assumptions!$C$155),1,0)</f>
        <v>0</v>
      </c>
      <c r="T86" s="37" t="n">
        <f aca="false">IF(AND(Assumptions!$C$154=1,T$4&gt;=Assumptions!$C$155),1,0)</f>
        <v>0</v>
      </c>
      <c r="U86" s="37" t="n">
        <f aca="false">IF(AND(Assumptions!$C$154=1,U$4&gt;=Assumptions!$C$155),1,0)</f>
        <v>0</v>
      </c>
      <c r="V86" s="37" t="n">
        <f aca="false">IF(AND(Assumptions!$C$154=1,V$4&gt;=Assumptions!$C$155),1,0)</f>
        <v>0</v>
      </c>
      <c r="W86" s="37" t="n">
        <f aca="false">IF(AND(Assumptions!$C$154=1,W$4&gt;=Assumptions!$C$155),1,0)</f>
        <v>0</v>
      </c>
      <c r="X86" s="37" t="n">
        <f aca="false">IF(AND(Assumptions!$C$154=1,X$4&gt;=Assumptions!$C$155),1,0)</f>
        <v>0</v>
      </c>
      <c r="Y86" s="37" t="n">
        <f aca="false">IF(AND(Assumptions!$C$154=1,Y$4&gt;=Assumptions!$C$155),1,0)</f>
        <v>0</v>
      </c>
      <c r="Z86" s="37" t="n">
        <f aca="false">IF(AND(Assumptions!$C$154=1,Z$4&gt;=Assumptions!$C$155),1,0)</f>
        <v>0</v>
      </c>
      <c r="AA86" s="37" t="n">
        <f aca="false">IF(AND(Assumptions!$C$154=1,AA$4&gt;=Assumptions!$C$155),1,0)</f>
        <v>0</v>
      </c>
      <c r="AB86" s="37" t="n">
        <f aca="false">IF(AND(Assumptions!$C$154=1,AB$4&gt;=Assumptions!$C$155),1,0)</f>
        <v>0</v>
      </c>
      <c r="AC86" s="37" t="n">
        <f aca="false">IF(AND(Assumptions!$C$154=1,AC$4&gt;=Assumptions!$C$155),1,0)</f>
        <v>0</v>
      </c>
      <c r="AD86" s="37" t="n">
        <f aca="false">IF(AND(Assumptions!$C$154=1,AD$4&gt;=Assumptions!$C$155),1,0)</f>
        <v>0</v>
      </c>
      <c r="AE86" s="37" t="n">
        <f aca="false">IF(AND(Assumptions!$C$154=1,AE$4&gt;=Assumptions!$C$155),1,0)</f>
        <v>0</v>
      </c>
      <c r="AF86" s="37" t="n">
        <f aca="false">IF(AND(Assumptions!$C$154=1,AF$4&gt;=Assumptions!$C$155),1,0)</f>
        <v>0</v>
      </c>
      <c r="AG86" s="37" t="n">
        <f aca="false">IF(AND(Assumptions!$C$154=1,AG$4&gt;=Assumptions!$C$155),1,0)</f>
        <v>0</v>
      </c>
      <c r="AH86" s="37" t="n">
        <f aca="false">IF(AND(Assumptions!$C$154=1,AH$4&gt;=Assumptions!$C$155),1,0)</f>
        <v>0</v>
      </c>
      <c r="AI86" s="37" t="n">
        <f aca="false">IF(AND(Assumptions!$C$154=1,AI$4&gt;=Assumptions!$C$155),1,0)</f>
        <v>0</v>
      </c>
      <c r="AJ86" s="37" t="n">
        <f aca="false">IF(AND(Assumptions!$C$154=1,AJ$4&gt;=Assumptions!$C$155),1,0)</f>
        <v>0</v>
      </c>
      <c r="AK86" s="37" t="n">
        <f aca="false">IF(AND(Assumptions!$C$154=1,AK$4&gt;=Assumptions!$C$155),1,0)</f>
        <v>0</v>
      </c>
      <c r="AL86" s="37" t="n">
        <f aca="false">IF(AND(Assumptions!$C$154=1,AL$4&gt;=Assumptions!$C$155),1,0)</f>
        <v>0</v>
      </c>
    </row>
    <row r="87" customFormat="false" ht="15" hidden="false" customHeight="false" outlineLevel="0" collapsed="false">
      <c r="A87" s="7" t="s">
        <v>747</v>
      </c>
      <c r="B87" s="9" t="s">
        <v>316</v>
      </c>
      <c r="C87" s="14" t="n">
        <f aca="false">IF(C86=0,0,Assumptions!$C$156)</f>
        <v>0</v>
      </c>
      <c r="D87" s="14" t="n">
        <f aca="false">IF(D86=0,0,IF(D$4=Assumptions!$C$155,Assumptions!$C$156,C87*(1+CHOOSE(D$6,Assumptions!$C$157,Assumptions!$C$158,Assumptions!$C$159))))</f>
        <v>0</v>
      </c>
      <c r="E87" s="14" t="n">
        <f aca="false">IF(E86=0,0,IF(E$4=Assumptions!$C$155,Assumptions!$C$156,D87*(1+CHOOSE(E$6,Assumptions!$C$157,Assumptions!$C$158,Assumptions!$C$159))))</f>
        <v>0</v>
      </c>
      <c r="F87" s="14" t="n">
        <f aca="false">IF(F86=0,0,IF(F$4=Assumptions!$C$155,Assumptions!$C$156,E87*(1+CHOOSE(F$6,Assumptions!$C$157,Assumptions!$C$158,Assumptions!$C$159))))</f>
        <v>0</v>
      </c>
      <c r="G87" s="14" t="n">
        <f aca="false">IF(G86=0,0,IF(G$4=Assumptions!$C$155,Assumptions!$C$156,F87*(1+CHOOSE(G$6,Assumptions!$C$157,Assumptions!$C$158,Assumptions!$C$159))))</f>
        <v>0</v>
      </c>
      <c r="H87" s="14" t="n">
        <f aca="false">IF(H86=0,0,IF(H$4=Assumptions!$C$155,Assumptions!$C$156,G87*(1+CHOOSE(H$6,Assumptions!$C$157,Assumptions!$C$158,Assumptions!$C$159))))</f>
        <v>0</v>
      </c>
      <c r="I87" s="14" t="n">
        <f aca="false">IF(I86=0,0,IF(I$4=Assumptions!$C$155,Assumptions!$C$156,H87*(1+CHOOSE(I$6,Assumptions!$C$157,Assumptions!$C$158,Assumptions!$C$159))))</f>
        <v>0</v>
      </c>
      <c r="J87" s="14" t="n">
        <f aca="false">IF(J86=0,0,IF(J$4=Assumptions!$C$155,Assumptions!$C$156,I87*(1+CHOOSE(J$6,Assumptions!$C$157,Assumptions!$C$158,Assumptions!$C$159))))</f>
        <v>0</v>
      </c>
      <c r="K87" s="14" t="n">
        <f aca="false">IF(K86=0,0,IF(K$4=Assumptions!$C$155,Assumptions!$C$156,J87*(1+CHOOSE(K$6,Assumptions!$C$157,Assumptions!$C$158,Assumptions!$C$159))))</f>
        <v>0</v>
      </c>
      <c r="L87" s="14" t="n">
        <f aca="false">IF(L86=0,0,IF(L$4=Assumptions!$C$155,Assumptions!$C$156,K87*(1+CHOOSE(L$6,Assumptions!$C$157,Assumptions!$C$158,Assumptions!$C$159))))</f>
        <v>0</v>
      </c>
      <c r="M87" s="14" t="n">
        <f aca="false">IF(M86=0,0,IF(M$4=Assumptions!$C$155,Assumptions!$C$156,L87*(1+CHOOSE(M$6,Assumptions!$C$157,Assumptions!$C$158,Assumptions!$C$159))))</f>
        <v>0</v>
      </c>
      <c r="N87" s="14" t="n">
        <f aca="false">IF(N86=0,0,IF(N$4=Assumptions!$C$155,Assumptions!$C$156,M87*(1+CHOOSE(N$6,Assumptions!$C$157,Assumptions!$C$158,Assumptions!$C$159))))</f>
        <v>0</v>
      </c>
      <c r="O87" s="14" t="n">
        <f aca="false">IF(O86=0,0,IF(O$4=Assumptions!$C$155,Assumptions!$C$156,N87*(1+CHOOSE(O$6,Assumptions!$C$157,Assumptions!$C$158,Assumptions!$C$159))))</f>
        <v>0</v>
      </c>
      <c r="P87" s="14" t="n">
        <f aca="false">IF(P86=0,0,IF(P$4=Assumptions!$C$155,Assumptions!$C$156,O87*(1+CHOOSE(P$6,Assumptions!$C$157,Assumptions!$C$158,Assumptions!$C$159))))</f>
        <v>0</v>
      </c>
      <c r="Q87" s="14" t="n">
        <f aca="false">IF(Q86=0,0,IF(Q$4=Assumptions!$C$155,Assumptions!$C$156,P87*(1+CHOOSE(Q$6,Assumptions!$C$157,Assumptions!$C$158,Assumptions!$C$159))))</f>
        <v>0</v>
      </c>
      <c r="R87" s="14" t="n">
        <f aca="false">IF(R86=0,0,IF(R$4=Assumptions!$C$155,Assumptions!$C$156,Q87*(1+CHOOSE(R$6,Assumptions!$C$157,Assumptions!$C$158,Assumptions!$C$159))))</f>
        <v>0</v>
      </c>
      <c r="S87" s="14" t="n">
        <f aca="false">IF(S86=0,0,IF(S$4=Assumptions!$C$155,Assumptions!$C$156,R87*(1+CHOOSE(S$6,Assumptions!$C$157,Assumptions!$C$158,Assumptions!$C$159))))</f>
        <v>0</v>
      </c>
      <c r="T87" s="14" t="n">
        <f aca="false">IF(T86=0,0,IF(T$4=Assumptions!$C$155,Assumptions!$C$156,S87*(1+CHOOSE(T$6,Assumptions!$C$157,Assumptions!$C$158,Assumptions!$C$159))))</f>
        <v>0</v>
      </c>
      <c r="U87" s="14" t="n">
        <f aca="false">IF(U86=0,0,IF(U$4=Assumptions!$C$155,Assumptions!$C$156,T87*(1+CHOOSE(U$6,Assumptions!$C$157,Assumptions!$C$158,Assumptions!$C$159))))</f>
        <v>0</v>
      </c>
      <c r="V87" s="14" t="n">
        <f aca="false">IF(V86=0,0,IF(V$4=Assumptions!$C$155,Assumptions!$C$156,U87*(1+CHOOSE(V$6,Assumptions!$C$157,Assumptions!$C$158,Assumptions!$C$159))))</f>
        <v>0</v>
      </c>
      <c r="W87" s="14" t="n">
        <f aca="false">IF(W86=0,0,IF(W$4=Assumptions!$C$155,Assumptions!$C$156,V87*(1+CHOOSE(W$6,Assumptions!$C$157,Assumptions!$C$158,Assumptions!$C$159))))</f>
        <v>0</v>
      </c>
      <c r="X87" s="14" t="n">
        <f aca="false">IF(X86=0,0,IF(X$4=Assumptions!$C$155,Assumptions!$C$156,W87*(1+CHOOSE(X$6,Assumptions!$C$157,Assumptions!$C$158,Assumptions!$C$159))))</f>
        <v>0</v>
      </c>
      <c r="Y87" s="14" t="n">
        <f aca="false">IF(Y86=0,0,IF(Y$4=Assumptions!$C$155,Assumptions!$C$156,X87*(1+CHOOSE(Y$6,Assumptions!$C$157,Assumptions!$C$158,Assumptions!$C$159))))</f>
        <v>0</v>
      </c>
      <c r="Z87" s="14" t="n">
        <f aca="false">IF(Z86=0,0,IF(Z$4=Assumptions!$C$155,Assumptions!$C$156,Y87*(1+CHOOSE(Z$6,Assumptions!$C$157,Assumptions!$C$158,Assumptions!$C$159))))</f>
        <v>0</v>
      </c>
      <c r="AA87" s="14" t="n">
        <f aca="false">IF(AA86=0,0,IF(AA$4=Assumptions!$C$155,Assumptions!$C$156,Z87*(1+CHOOSE(AA$6,Assumptions!$C$157,Assumptions!$C$158,Assumptions!$C$159))))</f>
        <v>0</v>
      </c>
      <c r="AB87" s="14" t="n">
        <f aca="false">IF(AB86=0,0,IF(AB$4=Assumptions!$C$155,Assumptions!$C$156,AA87*(1+CHOOSE(AB$6,Assumptions!$C$157,Assumptions!$C$158,Assumptions!$C$159))))</f>
        <v>0</v>
      </c>
      <c r="AC87" s="14" t="n">
        <f aca="false">IF(AC86=0,0,IF(AC$4=Assumptions!$C$155,Assumptions!$C$156,AB87*(1+CHOOSE(AC$6,Assumptions!$C$157,Assumptions!$C$158,Assumptions!$C$159))))</f>
        <v>0</v>
      </c>
      <c r="AD87" s="14" t="n">
        <f aca="false">IF(AD86=0,0,IF(AD$4=Assumptions!$C$155,Assumptions!$C$156,AC87*(1+CHOOSE(AD$6,Assumptions!$C$157,Assumptions!$C$158,Assumptions!$C$159))))</f>
        <v>0</v>
      </c>
      <c r="AE87" s="14" t="n">
        <f aca="false">IF(AE86=0,0,IF(AE$4=Assumptions!$C$155,Assumptions!$C$156,AD87*(1+CHOOSE(AE$6,Assumptions!$C$157,Assumptions!$C$158,Assumptions!$C$159))))</f>
        <v>0</v>
      </c>
      <c r="AF87" s="14" t="n">
        <f aca="false">IF(AF86=0,0,IF(AF$4=Assumptions!$C$155,Assumptions!$C$156,AE87*(1+CHOOSE(AF$6,Assumptions!$C$157,Assumptions!$C$158,Assumptions!$C$159))))</f>
        <v>0</v>
      </c>
      <c r="AG87" s="14" t="n">
        <f aca="false">IF(AG86=0,0,IF(AG$4=Assumptions!$C$155,Assumptions!$C$156,AF87*(1+CHOOSE(AG$6,Assumptions!$C$157,Assumptions!$C$158,Assumptions!$C$159))))</f>
        <v>0</v>
      </c>
      <c r="AH87" s="14" t="n">
        <f aca="false">IF(AH86=0,0,IF(AH$4=Assumptions!$C$155,Assumptions!$C$156,AG87*(1+CHOOSE(AH$6,Assumptions!$C$157,Assumptions!$C$158,Assumptions!$C$159))))</f>
        <v>0</v>
      </c>
      <c r="AI87" s="14" t="n">
        <f aca="false">IF(AI86=0,0,IF(AI$4=Assumptions!$C$155,Assumptions!$C$156,AH87*(1+CHOOSE(AI$6,Assumptions!$C$157,Assumptions!$C$158,Assumptions!$C$159))))</f>
        <v>0</v>
      </c>
      <c r="AJ87" s="14" t="n">
        <f aca="false">IF(AJ86=0,0,IF(AJ$4=Assumptions!$C$155,Assumptions!$C$156,AI87*(1+CHOOSE(AJ$6,Assumptions!$C$157,Assumptions!$C$158,Assumptions!$C$159))))</f>
        <v>0</v>
      </c>
      <c r="AK87" s="14" t="n">
        <f aca="false">IF(AK86=0,0,IF(AK$4=Assumptions!$C$155,Assumptions!$C$156,AJ87*(1+CHOOSE(AK$6,Assumptions!$C$157,Assumptions!$C$158,Assumptions!$C$159))))</f>
        <v>0</v>
      </c>
      <c r="AL87" s="14" t="n">
        <f aca="false">IF(AL86=0,0,IF(AL$4=Assumptions!$C$155,Assumptions!$C$156,AK87*(1+CHOOSE(AL$6,Assumptions!$C$157,Assumptions!$C$158,Assumptions!$C$159))))</f>
        <v>0</v>
      </c>
    </row>
    <row r="88" customFormat="false" ht="15" hidden="false" customHeight="false" outlineLevel="0" collapsed="false">
      <c r="A88" s="7" t="s">
        <v>765</v>
      </c>
      <c r="B88" s="9" t="s">
        <v>316</v>
      </c>
      <c r="C88" s="52" t="n">
        <f aca="false">C87*C$8</f>
        <v>0</v>
      </c>
      <c r="D88" s="52" t="n">
        <f aca="false">D87*D$8</f>
        <v>0</v>
      </c>
      <c r="E88" s="52" t="n">
        <f aca="false">E87*E$8</f>
        <v>0</v>
      </c>
      <c r="F88" s="52" t="n">
        <f aca="false">F87*F$8</f>
        <v>0</v>
      </c>
      <c r="G88" s="52" t="n">
        <f aca="false">G87*G$8</f>
        <v>0</v>
      </c>
      <c r="H88" s="52" t="n">
        <f aca="false">H87*H$8</f>
        <v>0</v>
      </c>
      <c r="I88" s="52" t="n">
        <f aca="false">I87*I$8</f>
        <v>0</v>
      </c>
      <c r="J88" s="52" t="n">
        <f aca="false">J87*J$8</f>
        <v>0</v>
      </c>
      <c r="K88" s="52" t="n">
        <f aca="false">K87*K$8</f>
        <v>0</v>
      </c>
      <c r="L88" s="52" t="n">
        <f aca="false">L87*L$8</f>
        <v>0</v>
      </c>
      <c r="M88" s="52" t="n">
        <f aca="false">M87*M$8</f>
        <v>0</v>
      </c>
      <c r="N88" s="52" t="n">
        <f aca="false">N87*N$8</f>
        <v>0</v>
      </c>
      <c r="O88" s="52" t="n">
        <f aca="false">O87*O$8</f>
        <v>0</v>
      </c>
      <c r="P88" s="52" t="n">
        <f aca="false">P87*P$8</f>
        <v>0</v>
      </c>
      <c r="Q88" s="52" t="n">
        <f aca="false">Q87*Q$8</f>
        <v>0</v>
      </c>
      <c r="R88" s="52" t="n">
        <f aca="false">R87*R$8</f>
        <v>0</v>
      </c>
      <c r="S88" s="52" t="n">
        <f aca="false">S87*S$8</f>
        <v>0</v>
      </c>
      <c r="T88" s="52" t="n">
        <f aca="false">T87*T$8</f>
        <v>0</v>
      </c>
      <c r="U88" s="52" t="n">
        <f aca="false">U87*U$8</f>
        <v>0</v>
      </c>
      <c r="V88" s="52" t="n">
        <f aca="false">V87*V$8</f>
        <v>0</v>
      </c>
      <c r="W88" s="52" t="n">
        <f aca="false">W87*W$8</f>
        <v>0</v>
      </c>
      <c r="X88" s="52" t="n">
        <f aca="false">X87*X$8</f>
        <v>0</v>
      </c>
      <c r="Y88" s="52" t="n">
        <f aca="false">Y87*Y$8</f>
        <v>0</v>
      </c>
      <c r="Z88" s="52" t="n">
        <f aca="false">Z87*Z$8</f>
        <v>0</v>
      </c>
      <c r="AA88" s="52" t="n">
        <f aca="false">AA87*AA$8</f>
        <v>0</v>
      </c>
      <c r="AB88" s="52" t="n">
        <f aca="false">AB87*AB$8</f>
        <v>0</v>
      </c>
      <c r="AC88" s="52" t="n">
        <f aca="false">AC87*AC$8</f>
        <v>0</v>
      </c>
      <c r="AD88" s="52" t="n">
        <f aca="false">AD87*AD$8</f>
        <v>0</v>
      </c>
      <c r="AE88" s="52" t="n">
        <f aca="false">AE87*AE$8</f>
        <v>0</v>
      </c>
      <c r="AF88" s="52" t="n">
        <f aca="false">AF87*AF$8</f>
        <v>0</v>
      </c>
      <c r="AG88" s="52" t="n">
        <f aca="false">AG87*AG$8</f>
        <v>0</v>
      </c>
      <c r="AH88" s="52" t="n">
        <f aca="false">AH87*AH$8</f>
        <v>0</v>
      </c>
      <c r="AI88" s="52" t="n">
        <f aca="false">AI87*AI$8</f>
        <v>0</v>
      </c>
      <c r="AJ88" s="52" t="n">
        <f aca="false">AJ87*AJ$8</f>
        <v>0</v>
      </c>
      <c r="AK88" s="52" t="n">
        <f aca="false">AK87*AK$8</f>
        <v>0</v>
      </c>
      <c r="AL88" s="52" t="n">
        <f aca="false">AL87*AL$8</f>
        <v>0</v>
      </c>
      <c r="AM88" s="53" t="n">
        <f aca="false">SUMIF($C$6:$AL$6,1,C88:AL88)</f>
        <v>0</v>
      </c>
      <c r="AN88" s="53" t="n">
        <f aca="false">SUMIF($C$6:$AL$6,2,C88:AL88)</f>
        <v>0</v>
      </c>
      <c r="AO88" s="53" t="n">
        <f aca="false">SUMIF($C$6:$AL$6,3,C88:AL88)</f>
        <v>0</v>
      </c>
      <c r="AP88" s="53" t="n">
        <f aca="false">SUM(C88:AL88)</f>
        <v>0</v>
      </c>
    </row>
    <row r="89" customFormat="false" ht="15" hidden="false" customHeight="false" outlineLevel="0" collapsed="false">
      <c r="A89" s="7" t="s">
        <v>749</v>
      </c>
      <c r="B89" s="9" t="s">
        <v>88</v>
      </c>
      <c r="C89" s="54" t="n">
        <f aca="false">Assumptions!$C$160*MIN(1,(C$4-Assumptions!$C$155+1)/Assumptions!$C$10)*C86</f>
        <v>-0</v>
      </c>
      <c r="D89" s="54" t="n">
        <f aca="false">Assumptions!$C$160*MIN(1,(D$4-Assumptions!$C$155+1)/Assumptions!$C$10)*D86</f>
        <v>-0</v>
      </c>
      <c r="E89" s="54" t="n">
        <f aca="false">Assumptions!$C$160*MIN(1,(E$4-Assumptions!$C$155+1)/Assumptions!$C$10)*E86</f>
        <v>-0</v>
      </c>
      <c r="F89" s="54" t="n">
        <f aca="false">Assumptions!$C$160*MIN(1,(F$4-Assumptions!$C$155+1)/Assumptions!$C$10)*F86</f>
        <v>-0</v>
      </c>
      <c r="G89" s="54" t="n">
        <f aca="false">Assumptions!$C$160*MIN(1,(G$4-Assumptions!$C$155+1)/Assumptions!$C$10)*G86</f>
        <v>-0</v>
      </c>
      <c r="H89" s="54" t="n">
        <f aca="false">Assumptions!$C$160*MIN(1,(H$4-Assumptions!$C$155+1)/Assumptions!$C$10)*H86</f>
        <v>-0</v>
      </c>
      <c r="I89" s="54" t="n">
        <f aca="false">Assumptions!$C$160*MIN(1,(I$4-Assumptions!$C$155+1)/Assumptions!$C$10)*I86</f>
        <v>-0</v>
      </c>
      <c r="J89" s="54" t="n">
        <f aca="false">Assumptions!$C$160*MIN(1,(J$4-Assumptions!$C$155+1)/Assumptions!$C$10)*J86</f>
        <v>-0</v>
      </c>
      <c r="K89" s="54" t="n">
        <f aca="false">Assumptions!$C$160*MIN(1,(K$4-Assumptions!$C$155+1)/Assumptions!$C$10)*K86</f>
        <v>-0</v>
      </c>
      <c r="L89" s="54" t="n">
        <f aca="false">Assumptions!$C$160*MIN(1,(L$4-Assumptions!$C$155+1)/Assumptions!$C$10)*L86</f>
        <v>-0</v>
      </c>
      <c r="M89" s="54" t="n">
        <f aca="false">Assumptions!$C$160*MIN(1,(M$4-Assumptions!$C$155+1)/Assumptions!$C$10)*M86</f>
        <v>-0</v>
      </c>
      <c r="N89" s="54" t="n">
        <f aca="false">Assumptions!$C$160*MIN(1,(N$4-Assumptions!$C$155+1)/Assumptions!$C$10)*N86</f>
        <v>0</v>
      </c>
      <c r="O89" s="54" t="n">
        <f aca="false">Assumptions!$C$160*MIN(1,(O$4-Assumptions!$C$155+1)/Assumptions!$C$10)*O86</f>
        <v>0</v>
      </c>
      <c r="P89" s="54" t="n">
        <f aca="false">Assumptions!$C$160*MIN(1,(P$4-Assumptions!$C$155+1)/Assumptions!$C$10)*P86</f>
        <v>0</v>
      </c>
      <c r="Q89" s="54" t="n">
        <f aca="false">Assumptions!$C$160*MIN(1,(Q$4-Assumptions!$C$155+1)/Assumptions!$C$10)*Q86</f>
        <v>0</v>
      </c>
      <c r="R89" s="54" t="n">
        <f aca="false">Assumptions!$C$160*MIN(1,(R$4-Assumptions!$C$155+1)/Assumptions!$C$10)*R86</f>
        <v>0</v>
      </c>
      <c r="S89" s="54" t="n">
        <f aca="false">Assumptions!$C$160*MIN(1,(S$4-Assumptions!$C$155+1)/Assumptions!$C$10)*S86</f>
        <v>0</v>
      </c>
      <c r="T89" s="54" t="n">
        <f aca="false">Assumptions!$C$160*MIN(1,(T$4-Assumptions!$C$155+1)/Assumptions!$C$10)*T86</f>
        <v>0</v>
      </c>
      <c r="U89" s="54" t="n">
        <f aca="false">Assumptions!$C$160*MIN(1,(U$4-Assumptions!$C$155+1)/Assumptions!$C$10)*U86</f>
        <v>0</v>
      </c>
      <c r="V89" s="54" t="n">
        <f aca="false">Assumptions!$C$160*MIN(1,(V$4-Assumptions!$C$155+1)/Assumptions!$C$10)*V86</f>
        <v>0</v>
      </c>
      <c r="W89" s="54" t="n">
        <f aca="false">Assumptions!$C$160*MIN(1,(W$4-Assumptions!$C$155+1)/Assumptions!$C$10)*W86</f>
        <v>0</v>
      </c>
      <c r="X89" s="54" t="n">
        <f aca="false">Assumptions!$C$160*MIN(1,(X$4-Assumptions!$C$155+1)/Assumptions!$C$10)*X86</f>
        <v>0</v>
      </c>
      <c r="Y89" s="54" t="n">
        <f aca="false">Assumptions!$C$160*MIN(1,(Y$4-Assumptions!$C$155+1)/Assumptions!$C$10)*Y86</f>
        <v>0</v>
      </c>
      <c r="Z89" s="54" t="n">
        <f aca="false">Assumptions!$C$160*MIN(1,(Z$4-Assumptions!$C$155+1)/Assumptions!$C$10)*Z86</f>
        <v>0</v>
      </c>
      <c r="AA89" s="54" t="n">
        <f aca="false">Assumptions!$C$160*MIN(1,(AA$4-Assumptions!$C$155+1)/Assumptions!$C$10)*AA86</f>
        <v>0</v>
      </c>
      <c r="AB89" s="54" t="n">
        <f aca="false">Assumptions!$C$160*MIN(1,(AB$4-Assumptions!$C$155+1)/Assumptions!$C$10)*AB86</f>
        <v>0</v>
      </c>
      <c r="AC89" s="54" t="n">
        <f aca="false">Assumptions!$C$160*MIN(1,(AC$4-Assumptions!$C$155+1)/Assumptions!$C$10)*AC86</f>
        <v>0</v>
      </c>
      <c r="AD89" s="54" t="n">
        <f aca="false">Assumptions!$C$160*MIN(1,(AD$4-Assumptions!$C$155+1)/Assumptions!$C$10)*AD86</f>
        <v>0</v>
      </c>
      <c r="AE89" s="54" t="n">
        <f aca="false">Assumptions!$C$160*MIN(1,(AE$4-Assumptions!$C$155+1)/Assumptions!$C$10)*AE86</f>
        <v>0</v>
      </c>
      <c r="AF89" s="54" t="n">
        <f aca="false">Assumptions!$C$160*MIN(1,(AF$4-Assumptions!$C$155+1)/Assumptions!$C$10)*AF86</f>
        <v>0</v>
      </c>
      <c r="AG89" s="54" t="n">
        <f aca="false">Assumptions!$C$160*MIN(1,(AG$4-Assumptions!$C$155+1)/Assumptions!$C$10)*AG86</f>
        <v>0</v>
      </c>
      <c r="AH89" s="54" t="n">
        <f aca="false">Assumptions!$C$160*MIN(1,(AH$4-Assumptions!$C$155+1)/Assumptions!$C$10)*AH86</f>
        <v>0</v>
      </c>
      <c r="AI89" s="54" t="n">
        <f aca="false">Assumptions!$C$160*MIN(1,(AI$4-Assumptions!$C$155+1)/Assumptions!$C$10)*AI86</f>
        <v>0</v>
      </c>
      <c r="AJ89" s="54" t="n">
        <f aca="false">Assumptions!$C$160*MIN(1,(AJ$4-Assumptions!$C$155+1)/Assumptions!$C$10)*AJ86</f>
        <v>0</v>
      </c>
      <c r="AK89" s="54" t="n">
        <f aca="false">Assumptions!$C$160*MIN(1,(AK$4-Assumptions!$C$155+1)/Assumptions!$C$10)*AK86</f>
        <v>0</v>
      </c>
      <c r="AL89" s="54" t="n">
        <f aca="false">Assumptions!$C$160*MIN(1,(AL$4-Assumptions!$C$155+1)/Assumptions!$C$10)*AL86</f>
        <v>0</v>
      </c>
    </row>
    <row r="90" customFormat="false" ht="15" hidden="false" customHeight="false" outlineLevel="0" collapsed="false">
      <c r="A90" s="7" t="s">
        <v>757</v>
      </c>
      <c r="B90" s="9" t="s">
        <v>751</v>
      </c>
      <c r="C90" s="55" t="n">
        <f aca="false">C88*C89</f>
        <v>-0</v>
      </c>
      <c r="D90" s="55" t="n">
        <f aca="false">D88*D89</f>
        <v>-0</v>
      </c>
      <c r="E90" s="55" t="n">
        <f aca="false">E88*E89</f>
        <v>-0</v>
      </c>
      <c r="F90" s="55" t="n">
        <f aca="false">F88*F89</f>
        <v>-0</v>
      </c>
      <c r="G90" s="55" t="n">
        <f aca="false">G88*G89</f>
        <v>-0</v>
      </c>
      <c r="H90" s="55" t="n">
        <f aca="false">H88*H89</f>
        <v>-0</v>
      </c>
      <c r="I90" s="55" t="n">
        <f aca="false">I88*I89</f>
        <v>-0</v>
      </c>
      <c r="J90" s="55" t="n">
        <f aca="false">J88*J89</f>
        <v>-0</v>
      </c>
      <c r="K90" s="55" t="n">
        <f aca="false">K88*K89</f>
        <v>-0</v>
      </c>
      <c r="L90" s="55" t="n">
        <f aca="false">L88*L89</f>
        <v>-0</v>
      </c>
      <c r="M90" s="55" t="n">
        <f aca="false">M88*M89</f>
        <v>-0</v>
      </c>
      <c r="N90" s="55" t="n">
        <f aca="false">N88*N89</f>
        <v>0</v>
      </c>
      <c r="O90" s="55" t="n">
        <f aca="false">O88*O89</f>
        <v>0</v>
      </c>
      <c r="P90" s="55" t="n">
        <f aca="false">P88*P89</f>
        <v>0</v>
      </c>
      <c r="Q90" s="55" t="n">
        <f aca="false">Q88*Q89</f>
        <v>0</v>
      </c>
      <c r="R90" s="55" t="n">
        <f aca="false">R88*R89</f>
        <v>0</v>
      </c>
      <c r="S90" s="55" t="n">
        <f aca="false">S88*S89</f>
        <v>0</v>
      </c>
      <c r="T90" s="55" t="n">
        <f aca="false">T88*T89</f>
        <v>0</v>
      </c>
      <c r="U90" s="55" t="n">
        <f aca="false">U88*U89</f>
        <v>0</v>
      </c>
      <c r="V90" s="55" t="n">
        <f aca="false">V88*V89</f>
        <v>0</v>
      </c>
      <c r="W90" s="55" t="n">
        <f aca="false">W88*W89</f>
        <v>0</v>
      </c>
      <c r="X90" s="55" t="n">
        <f aca="false">X88*X89</f>
        <v>0</v>
      </c>
      <c r="Y90" s="55" t="n">
        <f aca="false">Y88*Y89</f>
        <v>0</v>
      </c>
      <c r="Z90" s="55" t="n">
        <f aca="false">Z88*Z89</f>
        <v>0</v>
      </c>
      <c r="AA90" s="55" t="n">
        <f aca="false">AA88*AA89</f>
        <v>0</v>
      </c>
      <c r="AB90" s="55" t="n">
        <f aca="false">AB88*AB89</f>
        <v>0</v>
      </c>
      <c r="AC90" s="55" t="n">
        <f aca="false">AC88*AC89</f>
        <v>0</v>
      </c>
      <c r="AD90" s="55" t="n">
        <f aca="false">AD88*AD89</f>
        <v>0</v>
      </c>
      <c r="AE90" s="55" t="n">
        <f aca="false">AE88*AE89</f>
        <v>0</v>
      </c>
      <c r="AF90" s="55" t="n">
        <f aca="false">AF88*AF89</f>
        <v>0</v>
      </c>
      <c r="AG90" s="55" t="n">
        <f aca="false">AG88*AG89</f>
        <v>0</v>
      </c>
      <c r="AH90" s="55" t="n">
        <f aca="false">AH88*AH89</f>
        <v>0</v>
      </c>
      <c r="AI90" s="55" t="n">
        <f aca="false">AI88*AI89</f>
        <v>0</v>
      </c>
      <c r="AJ90" s="55" t="n">
        <f aca="false">AJ88*AJ89</f>
        <v>0</v>
      </c>
      <c r="AK90" s="55" t="n">
        <f aca="false">AK88*AK89</f>
        <v>0</v>
      </c>
      <c r="AL90" s="55" t="n">
        <f aca="false">AL88*AL89</f>
        <v>0</v>
      </c>
      <c r="AM90" s="53" t="n">
        <f aca="false">SUMIF($C$6:$AL$6,1,C90:AL90)</f>
        <v>0</v>
      </c>
      <c r="AN90" s="53" t="n">
        <f aca="false">SUMIF($C$6:$AL$6,2,C90:AL90)</f>
        <v>0</v>
      </c>
      <c r="AO90" s="53" t="n">
        <f aca="false">SUMIF($C$6:$AL$6,3,C90:AL90)</f>
        <v>0</v>
      </c>
      <c r="AP90" s="53" t="n">
        <f aca="false">SUM(C90:AL90)</f>
        <v>0</v>
      </c>
    </row>
    <row r="91" customFormat="false" ht="15" hidden="false" customHeight="false" outlineLevel="0" collapsed="false">
      <c r="A91" s="7" t="s">
        <v>752</v>
      </c>
      <c r="B91" s="9" t="s">
        <v>331</v>
      </c>
      <c r="C91" s="56" t="n">
        <f aca="false">C90*Assumptions!$C$161</f>
        <v>-0</v>
      </c>
      <c r="D91" s="56" t="n">
        <f aca="false">D90*Assumptions!$C$161</f>
        <v>-0</v>
      </c>
      <c r="E91" s="56" t="n">
        <f aca="false">E90*Assumptions!$C$161</f>
        <v>-0</v>
      </c>
      <c r="F91" s="56" t="n">
        <f aca="false">F90*Assumptions!$C$161</f>
        <v>-0</v>
      </c>
      <c r="G91" s="56" t="n">
        <f aca="false">G90*Assumptions!$C$161</f>
        <v>-0</v>
      </c>
      <c r="H91" s="56" t="n">
        <f aca="false">H90*Assumptions!$C$161</f>
        <v>-0</v>
      </c>
      <c r="I91" s="56" t="n">
        <f aca="false">I90*Assumptions!$C$161</f>
        <v>-0</v>
      </c>
      <c r="J91" s="56" t="n">
        <f aca="false">J90*Assumptions!$C$161</f>
        <v>-0</v>
      </c>
      <c r="K91" s="56" t="n">
        <f aca="false">K90*Assumptions!$C$161</f>
        <v>-0</v>
      </c>
      <c r="L91" s="56" t="n">
        <f aca="false">L90*Assumptions!$C$161</f>
        <v>-0</v>
      </c>
      <c r="M91" s="56" t="n">
        <f aca="false">M90*Assumptions!$C$161</f>
        <v>-0</v>
      </c>
      <c r="N91" s="56" t="n">
        <f aca="false">N90*Assumptions!$C$161</f>
        <v>0</v>
      </c>
      <c r="O91" s="56" t="n">
        <f aca="false">O90*Assumptions!$C$161</f>
        <v>0</v>
      </c>
      <c r="P91" s="56" t="n">
        <f aca="false">P90*Assumptions!$C$161</f>
        <v>0</v>
      </c>
      <c r="Q91" s="56" t="n">
        <f aca="false">Q90*Assumptions!$C$161</f>
        <v>0</v>
      </c>
      <c r="R91" s="56" t="n">
        <f aca="false">R90*Assumptions!$C$161</f>
        <v>0</v>
      </c>
      <c r="S91" s="56" t="n">
        <f aca="false">S90*Assumptions!$C$161</f>
        <v>0</v>
      </c>
      <c r="T91" s="56" t="n">
        <f aca="false">T90*Assumptions!$C$161</f>
        <v>0</v>
      </c>
      <c r="U91" s="56" t="n">
        <f aca="false">U90*Assumptions!$C$161</f>
        <v>0</v>
      </c>
      <c r="V91" s="56" t="n">
        <f aca="false">V90*Assumptions!$C$161</f>
        <v>0</v>
      </c>
      <c r="W91" s="56" t="n">
        <f aca="false">W90*Assumptions!$C$161</f>
        <v>0</v>
      </c>
      <c r="X91" s="56" t="n">
        <f aca="false">X90*Assumptions!$C$161</f>
        <v>0</v>
      </c>
      <c r="Y91" s="56" t="n">
        <f aca="false">Y90*Assumptions!$C$161</f>
        <v>0</v>
      </c>
      <c r="Z91" s="56" t="n">
        <f aca="false">Z90*Assumptions!$C$161</f>
        <v>0</v>
      </c>
      <c r="AA91" s="56" t="n">
        <f aca="false">AA90*Assumptions!$C$161</f>
        <v>0</v>
      </c>
      <c r="AB91" s="56" t="n">
        <f aca="false">AB90*Assumptions!$C$161</f>
        <v>0</v>
      </c>
      <c r="AC91" s="56" t="n">
        <f aca="false">AC90*Assumptions!$C$161</f>
        <v>0</v>
      </c>
      <c r="AD91" s="56" t="n">
        <f aca="false">AD90*Assumptions!$C$161</f>
        <v>0</v>
      </c>
      <c r="AE91" s="56" t="n">
        <f aca="false">AE90*Assumptions!$C$161</f>
        <v>0</v>
      </c>
      <c r="AF91" s="56" t="n">
        <f aca="false">AF90*Assumptions!$C$161</f>
        <v>0</v>
      </c>
      <c r="AG91" s="56" t="n">
        <f aca="false">AG90*Assumptions!$C$161</f>
        <v>0</v>
      </c>
      <c r="AH91" s="56" t="n">
        <f aca="false">AH90*Assumptions!$C$161</f>
        <v>0</v>
      </c>
      <c r="AI91" s="56" t="n">
        <f aca="false">AI90*Assumptions!$C$161</f>
        <v>0</v>
      </c>
      <c r="AJ91" s="56" t="n">
        <f aca="false">AJ90*Assumptions!$C$161</f>
        <v>0</v>
      </c>
      <c r="AK91" s="56" t="n">
        <f aca="false">AK90*Assumptions!$C$161</f>
        <v>0</v>
      </c>
      <c r="AL91" s="56" t="n">
        <f aca="false">AL90*Assumptions!$C$161</f>
        <v>0</v>
      </c>
      <c r="AM91" s="53" t="n">
        <f aca="false">SUMIF($C$6:$AL$6,1,C91:AL91)</f>
        <v>0</v>
      </c>
      <c r="AN91" s="53" t="n">
        <f aca="false">SUMIF($C$6:$AL$6,2,C91:AL91)</f>
        <v>0</v>
      </c>
      <c r="AO91" s="53" t="n">
        <f aca="false">SUMIF($C$6:$AL$6,3,C91:AL91)</f>
        <v>0</v>
      </c>
      <c r="AP91" s="53" t="n">
        <f aca="false">SUM(C91:AL91)</f>
        <v>0</v>
      </c>
    </row>
    <row r="92" customFormat="false" ht="15" hidden="false" customHeight="false" outlineLevel="0" collapsed="false">
      <c r="A92" s="7" t="s">
        <v>753</v>
      </c>
      <c r="B92" s="9" t="s">
        <v>93</v>
      </c>
      <c r="C92" s="15" t="n">
        <f aca="false">'Unit Economics'!$E$57*Assumptions!$C$161*C86</f>
        <v>0</v>
      </c>
      <c r="D92" s="15" t="n">
        <f aca="false">'Unit Economics'!$E$57*Assumptions!$C$161*D86</f>
        <v>0</v>
      </c>
      <c r="E92" s="15" t="n">
        <f aca="false">'Unit Economics'!$E$57*Assumptions!$C$161*E86</f>
        <v>0</v>
      </c>
      <c r="F92" s="15" t="n">
        <f aca="false">'Unit Economics'!$E$57*Assumptions!$C$161*F86</f>
        <v>0</v>
      </c>
      <c r="G92" s="15" t="n">
        <f aca="false">'Unit Economics'!$E$57*Assumptions!$C$161*G86</f>
        <v>0</v>
      </c>
      <c r="H92" s="15" t="n">
        <f aca="false">'Unit Economics'!$E$57*Assumptions!$C$161*H86</f>
        <v>0</v>
      </c>
      <c r="I92" s="15" t="n">
        <f aca="false">'Unit Economics'!$E$57*Assumptions!$C$161*I86</f>
        <v>0</v>
      </c>
      <c r="J92" s="15" t="n">
        <f aca="false">'Unit Economics'!$E$57*Assumptions!$C$161*J86</f>
        <v>0</v>
      </c>
      <c r="K92" s="15" t="n">
        <f aca="false">'Unit Economics'!$E$57*Assumptions!$C$161*K86</f>
        <v>0</v>
      </c>
      <c r="L92" s="15" t="n">
        <f aca="false">'Unit Economics'!$E$57*Assumptions!$C$161*L86</f>
        <v>0</v>
      </c>
      <c r="M92" s="15" t="n">
        <f aca="false">'Unit Economics'!$E$57*Assumptions!$C$161*M86</f>
        <v>0</v>
      </c>
      <c r="N92" s="15" t="n">
        <f aca="false">'Unit Economics'!$E$57*Assumptions!$C$161*N86</f>
        <v>0</v>
      </c>
      <c r="O92" s="15" t="n">
        <f aca="false">'Unit Economics'!$E$57*Assumptions!$C$161*O86</f>
        <v>0</v>
      </c>
      <c r="P92" s="15" t="n">
        <f aca="false">'Unit Economics'!$E$57*Assumptions!$C$161*P86</f>
        <v>0</v>
      </c>
      <c r="Q92" s="15" t="n">
        <f aca="false">'Unit Economics'!$E$57*Assumptions!$C$161*Q86</f>
        <v>0</v>
      </c>
      <c r="R92" s="15" t="n">
        <f aca="false">'Unit Economics'!$E$57*Assumptions!$C$161*R86</f>
        <v>0</v>
      </c>
      <c r="S92" s="15" t="n">
        <f aca="false">'Unit Economics'!$E$57*Assumptions!$C$161*S86</f>
        <v>0</v>
      </c>
      <c r="T92" s="15" t="n">
        <f aca="false">'Unit Economics'!$E$57*Assumptions!$C$161*T86</f>
        <v>0</v>
      </c>
      <c r="U92" s="15" t="n">
        <f aca="false">'Unit Economics'!$E$57*Assumptions!$C$161*U86</f>
        <v>0</v>
      </c>
      <c r="V92" s="15" t="n">
        <f aca="false">'Unit Economics'!$E$57*Assumptions!$C$161*V86</f>
        <v>0</v>
      </c>
      <c r="W92" s="15" t="n">
        <f aca="false">'Unit Economics'!$E$57*Assumptions!$C$161*W86</f>
        <v>0</v>
      </c>
      <c r="X92" s="15" t="n">
        <f aca="false">'Unit Economics'!$E$57*Assumptions!$C$161*X86</f>
        <v>0</v>
      </c>
      <c r="Y92" s="15" t="n">
        <f aca="false">'Unit Economics'!$E$57*Assumptions!$C$161*Y86</f>
        <v>0</v>
      </c>
      <c r="Z92" s="15" t="n">
        <f aca="false">'Unit Economics'!$E$57*Assumptions!$C$161*Z86</f>
        <v>0</v>
      </c>
      <c r="AA92" s="15" t="n">
        <f aca="false">'Unit Economics'!$E$57*Assumptions!$C$161*AA86</f>
        <v>0</v>
      </c>
      <c r="AB92" s="15" t="n">
        <f aca="false">'Unit Economics'!$E$57*Assumptions!$C$161*AB86</f>
        <v>0</v>
      </c>
      <c r="AC92" s="15" t="n">
        <f aca="false">'Unit Economics'!$E$57*Assumptions!$C$161*AC86</f>
        <v>0</v>
      </c>
      <c r="AD92" s="15" t="n">
        <f aca="false">'Unit Economics'!$E$57*Assumptions!$C$161*AD86</f>
        <v>0</v>
      </c>
      <c r="AE92" s="15" t="n">
        <f aca="false">'Unit Economics'!$E$57*Assumptions!$C$161*AE86</f>
        <v>0</v>
      </c>
      <c r="AF92" s="15" t="n">
        <f aca="false">'Unit Economics'!$E$57*Assumptions!$C$161*AF86</f>
        <v>0</v>
      </c>
      <c r="AG92" s="15" t="n">
        <f aca="false">'Unit Economics'!$E$57*Assumptions!$C$161*AG86</f>
        <v>0</v>
      </c>
      <c r="AH92" s="15" t="n">
        <f aca="false">'Unit Economics'!$E$57*Assumptions!$C$161*AH86</f>
        <v>0</v>
      </c>
      <c r="AI92" s="15" t="n">
        <f aca="false">'Unit Economics'!$E$57*Assumptions!$C$161*AI86</f>
        <v>0</v>
      </c>
      <c r="AJ92" s="15" t="n">
        <f aca="false">'Unit Economics'!$E$57*Assumptions!$C$161*AJ86</f>
        <v>0</v>
      </c>
      <c r="AK92" s="15" t="n">
        <f aca="false">'Unit Economics'!$E$57*Assumptions!$C$161*AK86</f>
        <v>0</v>
      </c>
      <c r="AL92" s="15" t="n">
        <f aca="false">'Unit Economics'!$E$57*Assumptions!$C$161*AL86</f>
        <v>0</v>
      </c>
    </row>
    <row r="93" customFormat="false" ht="15" hidden="false" customHeight="false" outlineLevel="0" collapsed="false">
      <c r="A93" s="7" t="s">
        <v>754</v>
      </c>
      <c r="B93" s="9" t="s">
        <v>93</v>
      </c>
      <c r="C93" s="8" t="n">
        <f aca="false">C91*'Unit Economics'!$E$57</f>
        <v>-0</v>
      </c>
      <c r="D93" s="8" t="n">
        <f aca="false">D91*'Unit Economics'!$E$57</f>
        <v>-0</v>
      </c>
      <c r="E93" s="8" t="n">
        <f aca="false">E91*'Unit Economics'!$E$57</f>
        <v>-0</v>
      </c>
      <c r="F93" s="8" t="n">
        <f aca="false">F91*'Unit Economics'!$E$57</f>
        <v>-0</v>
      </c>
      <c r="G93" s="8" t="n">
        <f aca="false">G91*'Unit Economics'!$E$57</f>
        <v>-0</v>
      </c>
      <c r="H93" s="8" t="n">
        <f aca="false">H91*'Unit Economics'!$E$57</f>
        <v>-0</v>
      </c>
      <c r="I93" s="8" t="n">
        <f aca="false">I91*'Unit Economics'!$E$57</f>
        <v>-0</v>
      </c>
      <c r="J93" s="8" t="n">
        <f aca="false">J91*'Unit Economics'!$E$57</f>
        <v>-0</v>
      </c>
      <c r="K93" s="8" t="n">
        <f aca="false">K91*'Unit Economics'!$E$57</f>
        <v>-0</v>
      </c>
      <c r="L93" s="8" t="n">
        <f aca="false">L91*'Unit Economics'!$E$57</f>
        <v>-0</v>
      </c>
      <c r="M93" s="8" t="n">
        <f aca="false">M91*'Unit Economics'!$E$57</f>
        <v>-0</v>
      </c>
      <c r="N93" s="8" t="n">
        <f aca="false">N91*'Unit Economics'!$E$57</f>
        <v>0</v>
      </c>
      <c r="O93" s="8" t="n">
        <f aca="false">O91*'Unit Economics'!$E$57</f>
        <v>0</v>
      </c>
      <c r="P93" s="8" t="n">
        <f aca="false">P91*'Unit Economics'!$E$57</f>
        <v>0</v>
      </c>
      <c r="Q93" s="8" t="n">
        <f aca="false">Q91*'Unit Economics'!$E$57</f>
        <v>0</v>
      </c>
      <c r="R93" s="8" t="n">
        <f aca="false">R91*'Unit Economics'!$E$57</f>
        <v>0</v>
      </c>
      <c r="S93" s="8" t="n">
        <f aca="false">S91*'Unit Economics'!$E$57</f>
        <v>0</v>
      </c>
      <c r="T93" s="8" t="n">
        <f aca="false">T91*'Unit Economics'!$E$57</f>
        <v>0</v>
      </c>
      <c r="U93" s="8" t="n">
        <f aca="false">U91*'Unit Economics'!$E$57</f>
        <v>0</v>
      </c>
      <c r="V93" s="8" t="n">
        <f aca="false">V91*'Unit Economics'!$E$57</f>
        <v>0</v>
      </c>
      <c r="W93" s="8" t="n">
        <f aca="false">W91*'Unit Economics'!$E$57</f>
        <v>0</v>
      </c>
      <c r="X93" s="8" t="n">
        <f aca="false">X91*'Unit Economics'!$E$57</f>
        <v>0</v>
      </c>
      <c r="Y93" s="8" t="n">
        <f aca="false">Y91*'Unit Economics'!$E$57</f>
        <v>0</v>
      </c>
      <c r="Z93" s="8" t="n">
        <f aca="false">Z91*'Unit Economics'!$E$57</f>
        <v>0</v>
      </c>
      <c r="AA93" s="8" t="n">
        <f aca="false">AA91*'Unit Economics'!$E$57</f>
        <v>0</v>
      </c>
      <c r="AB93" s="8" t="n">
        <f aca="false">AB91*'Unit Economics'!$E$57</f>
        <v>0</v>
      </c>
      <c r="AC93" s="8" t="n">
        <f aca="false">AC91*'Unit Economics'!$E$57</f>
        <v>0</v>
      </c>
      <c r="AD93" s="8" t="n">
        <f aca="false">AD91*'Unit Economics'!$E$57</f>
        <v>0</v>
      </c>
      <c r="AE93" s="8" t="n">
        <f aca="false">AE91*'Unit Economics'!$E$57</f>
        <v>0</v>
      </c>
      <c r="AF93" s="8" t="n">
        <f aca="false">AF91*'Unit Economics'!$E$57</f>
        <v>0</v>
      </c>
      <c r="AG93" s="8" t="n">
        <f aca="false">AG91*'Unit Economics'!$E$57</f>
        <v>0</v>
      </c>
      <c r="AH93" s="8" t="n">
        <f aca="false">AH91*'Unit Economics'!$E$57</f>
        <v>0</v>
      </c>
      <c r="AI93" s="8" t="n">
        <f aca="false">AI91*'Unit Economics'!$E$57</f>
        <v>0</v>
      </c>
      <c r="AJ93" s="8" t="n">
        <f aca="false">AJ91*'Unit Economics'!$E$57</f>
        <v>0</v>
      </c>
      <c r="AK93" s="8" t="n">
        <f aca="false">AK91*'Unit Economics'!$E$57</f>
        <v>0</v>
      </c>
      <c r="AL93" s="8" t="n">
        <f aca="false">AL91*'Unit Economics'!$E$57</f>
        <v>0</v>
      </c>
      <c r="AM93" s="45" t="n">
        <f aca="false">SUMIF($C$6:$AL$6,1,C93:AL93)</f>
        <v>0</v>
      </c>
      <c r="AN93" s="45" t="n">
        <f aca="false">SUMIF($C$6:$AL$6,2,C93:AL93)</f>
        <v>0</v>
      </c>
      <c r="AO93" s="45" t="n">
        <f aca="false">SUMIF($C$6:$AL$6,3,C93:AL93)</f>
        <v>0</v>
      </c>
      <c r="AP93" s="45" t="n">
        <f aca="false">SUM(C93:AL93)</f>
        <v>0</v>
      </c>
    </row>
    <row r="94" customFormat="false" ht="15" hidden="false" customHeight="false" outlineLevel="0" collapsed="false">
      <c r="A94" s="7" t="s">
        <v>755</v>
      </c>
      <c r="B94" s="9" t="s">
        <v>93</v>
      </c>
      <c r="C94" s="8" t="n">
        <f aca="false">C91*'Unit Economics'!$F$57</f>
        <v>-0</v>
      </c>
      <c r="D94" s="8" t="n">
        <f aca="false">D91*'Unit Economics'!$F$57</f>
        <v>-0</v>
      </c>
      <c r="E94" s="8" t="n">
        <f aca="false">E91*'Unit Economics'!$F$57</f>
        <v>-0</v>
      </c>
      <c r="F94" s="8" t="n">
        <f aca="false">F91*'Unit Economics'!$F$57</f>
        <v>-0</v>
      </c>
      <c r="G94" s="8" t="n">
        <f aca="false">G91*'Unit Economics'!$F$57</f>
        <v>-0</v>
      </c>
      <c r="H94" s="8" t="n">
        <f aca="false">H91*'Unit Economics'!$F$57</f>
        <v>-0</v>
      </c>
      <c r="I94" s="8" t="n">
        <f aca="false">I91*'Unit Economics'!$F$57</f>
        <v>-0</v>
      </c>
      <c r="J94" s="8" t="n">
        <f aca="false">J91*'Unit Economics'!$F$57</f>
        <v>-0</v>
      </c>
      <c r="K94" s="8" t="n">
        <f aca="false">K91*'Unit Economics'!$F$57</f>
        <v>-0</v>
      </c>
      <c r="L94" s="8" t="n">
        <f aca="false">L91*'Unit Economics'!$F$57</f>
        <v>-0</v>
      </c>
      <c r="M94" s="8" t="n">
        <f aca="false">M91*'Unit Economics'!$F$57</f>
        <v>-0</v>
      </c>
      <c r="N94" s="8" t="n">
        <f aca="false">N91*'Unit Economics'!$F$57</f>
        <v>0</v>
      </c>
      <c r="O94" s="8" t="n">
        <f aca="false">O91*'Unit Economics'!$F$57</f>
        <v>0</v>
      </c>
      <c r="P94" s="8" t="n">
        <f aca="false">P91*'Unit Economics'!$F$57</f>
        <v>0</v>
      </c>
      <c r="Q94" s="8" t="n">
        <f aca="false">Q91*'Unit Economics'!$F$57</f>
        <v>0</v>
      </c>
      <c r="R94" s="8" t="n">
        <f aca="false">R91*'Unit Economics'!$F$57</f>
        <v>0</v>
      </c>
      <c r="S94" s="8" t="n">
        <f aca="false">S91*'Unit Economics'!$F$57</f>
        <v>0</v>
      </c>
      <c r="T94" s="8" t="n">
        <f aca="false">T91*'Unit Economics'!$F$57</f>
        <v>0</v>
      </c>
      <c r="U94" s="8" t="n">
        <f aca="false">U91*'Unit Economics'!$F$57</f>
        <v>0</v>
      </c>
      <c r="V94" s="8" t="n">
        <f aca="false">V91*'Unit Economics'!$F$57</f>
        <v>0</v>
      </c>
      <c r="W94" s="8" t="n">
        <f aca="false">W91*'Unit Economics'!$F$57</f>
        <v>0</v>
      </c>
      <c r="X94" s="8" t="n">
        <f aca="false">X91*'Unit Economics'!$F$57</f>
        <v>0</v>
      </c>
      <c r="Y94" s="8" t="n">
        <f aca="false">Y91*'Unit Economics'!$F$57</f>
        <v>0</v>
      </c>
      <c r="Z94" s="8" t="n">
        <f aca="false">Z91*'Unit Economics'!$F$57</f>
        <v>0</v>
      </c>
      <c r="AA94" s="8" t="n">
        <f aca="false">AA91*'Unit Economics'!$F$57</f>
        <v>0</v>
      </c>
      <c r="AB94" s="8" t="n">
        <f aca="false">AB91*'Unit Economics'!$F$57</f>
        <v>0</v>
      </c>
      <c r="AC94" s="8" t="n">
        <f aca="false">AC91*'Unit Economics'!$F$57</f>
        <v>0</v>
      </c>
      <c r="AD94" s="8" t="n">
        <f aca="false">AD91*'Unit Economics'!$F$57</f>
        <v>0</v>
      </c>
      <c r="AE94" s="8" t="n">
        <f aca="false">AE91*'Unit Economics'!$F$57</f>
        <v>0</v>
      </c>
      <c r="AF94" s="8" t="n">
        <f aca="false">AF91*'Unit Economics'!$F$57</f>
        <v>0</v>
      </c>
      <c r="AG94" s="8" t="n">
        <f aca="false">AG91*'Unit Economics'!$F$57</f>
        <v>0</v>
      </c>
      <c r="AH94" s="8" t="n">
        <f aca="false">AH91*'Unit Economics'!$F$57</f>
        <v>0</v>
      </c>
      <c r="AI94" s="8" t="n">
        <f aca="false">AI91*'Unit Economics'!$F$57</f>
        <v>0</v>
      </c>
      <c r="AJ94" s="8" t="n">
        <f aca="false">AJ91*'Unit Economics'!$F$57</f>
        <v>0</v>
      </c>
      <c r="AK94" s="8" t="n">
        <f aca="false">AK91*'Unit Economics'!$F$57</f>
        <v>0</v>
      </c>
      <c r="AL94" s="8" t="n">
        <f aca="false">AL91*'Unit Economics'!$F$57</f>
        <v>0</v>
      </c>
      <c r="AM94" s="45" t="n">
        <f aca="false">SUMIF($C$6:$AL$6,1,C94:AL94)</f>
        <v>0</v>
      </c>
      <c r="AN94" s="45" t="n">
        <f aca="false">SUMIF($C$6:$AL$6,2,C94:AL94)</f>
        <v>0</v>
      </c>
      <c r="AO94" s="45" t="n">
        <f aca="false">SUMIF($C$6:$AL$6,3,C94:AL94)</f>
        <v>0</v>
      </c>
      <c r="AP94" s="45" t="n">
        <f aca="false">SUM(C94:AL94)</f>
        <v>0</v>
      </c>
    </row>
    <row r="95" customFormat="false" ht="15" hidden="false" customHeight="false" outlineLevel="0" collapsed="false">
      <c r="A95" s="5" t="s">
        <v>568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customFormat="false" ht="15" hidden="false" customHeight="false" outlineLevel="0" collapsed="false">
      <c r="A96" s="7" t="s">
        <v>746</v>
      </c>
      <c r="B96" s="9" t="s">
        <v>308</v>
      </c>
      <c r="C96" s="37" t="n">
        <f aca="false">IF(AND(Assumptions!$C$163=1,C$4&gt;=Assumptions!$C$164),1,0)</f>
        <v>0</v>
      </c>
      <c r="D96" s="37" t="n">
        <f aca="false">IF(AND(Assumptions!$C$163=1,D$4&gt;=Assumptions!$C$164),1,0)</f>
        <v>0</v>
      </c>
      <c r="E96" s="37" t="n">
        <f aca="false">IF(AND(Assumptions!$C$163=1,E$4&gt;=Assumptions!$C$164),1,0)</f>
        <v>0</v>
      </c>
      <c r="F96" s="37" t="n">
        <f aca="false">IF(AND(Assumptions!$C$163=1,F$4&gt;=Assumptions!$C$164),1,0)</f>
        <v>0</v>
      </c>
      <c r="G96" s="37" t="n">
        <f aca="false">IF(AND(Assumptions!$C$163=1,G$4&gt;=Assumptions!$C$164),1,0)</f>
        <v>0</v>
      </c>
      <c r="H96" s="37" t="n">
        <f aca="false">IF(AND(Assumptions!$C$163=1,H$4&gt;=Assumptions!$C$164),1,0)</f>
        <v>0</v>
      </c>
      <c r="I96" s="37" t="n">
        <f aca="false">IF(AND(Assumptions!$C$163=1,I$4&gt;=Assumptions!$C$164),1,0)</f>
        <v>0</v>
      </c>
      <c r="J96" s="37" t="n">
        <f aca="false">IF(AND(Assumptions!$C$163=1,J$4&gt;=Assumptions!$C$164),1,0)</f>
        <v>0</v>
      </c>
      <c r="K96" s="37" t="n">
        <f aca="false">IF(AND(Assumptions!$C$163=1,K$4&gt;=Assumptions!$C$164),1,0)</f>
        <v>0</v>
      </c>
      <c r="L96" s="37" t="n">
        <f aca="false">IF(AND(Assumptions!$C$163=1,L$4&gt;=Assumptions!$C$164),1,0)</f>
        <v>0</v>
      </c>
      <c r="M96" s="37" t="n">
        <f aca="false">IF(AND(Assumptions!$C$163=1,M$4&gt;=Assumptions!$C$164),1,0)</f>
        <v>0</v>
      </c>
      <c r="N96" s="37" t="n">
        <f aca="false">IF(AND(Assumptions!$C$163=1,N$4&gt;=Assumptions!$C$164),1,0)</f>
        <v>0</v>
      </c>
      <c r="O96" s="37" t="n">
        <f aca="false">IF(AND(Assumptions!$C$163=1,O$4&gt;=Assumptions!$C$164),1,0)</f>
        <v>0</v>
      </c>
      <c r="P96" s="37" t="n">
        <f aca="false">IF(AND(Assumptions!$C$163=1,P$4&gt;=Assumptions!$C$164),1,0)</f>
        <v>0</v>
      </c>
      <c r="Q96" s="37" t="n">
        <f aca="false">IF(AND(Assumptions!$C$163=1,Q$4&gt;=Assumptions!$C$164),1,0)</f>
        <v>0</v>
      </c>
      <c r="R96" s="37" t="n">
        <f aca="false">IF(AND(Assumptions!$C$163=1,R$4&gt;=Assumptions!$C$164),1,0)</f>
        <v>0</v>
      </c>
      <c r="S96" s="37" t="n">
        <f aca="false">IF(AND(Assumptions!$C$163=1,S$4&gt;=Assumptions!$C$164),1,0)</f>
        <v>0</v>
      </c>
      <c r="T96" s="37" t="n">
        <f aca="false">IF(AND(Assumptions!$C$163=1,T$4&gt;=Assumptions!$C$164),1,0)</f>
        <v>0</v>
      </c>
      <c r="U96" s="37" t="n">
        <f aca="false">IF(AND(Assumptions!$C$163=1,U$4&gt;=Assumptions!$C$164),1,0)</f>
        <v>0</v>
      </c>
      <c r="V96" s="37" t="n">
        <f aca="false">IF(AND(Assumptions!$C$163=1,V$4&gt;=Assumptions!$C$164),1,0)</f>
        <v>0</v>
      </c>
      <c r="W96" s="37" t="n">
        <f aca="false">IF(AND(Assumptions!$C$163=1,W$4&gt;=Assumptions!$C$164),1,0)</f>
        <v>0</v>
      </c>
      <c r="X96" s="37" t="n">
        <f aca="false">IF(AND(Assumptions!$C$163=1,X$4&gt;=Assumptions!$C$164),1,0)</f>
        <v>0</v>
      </c>
      <c r="Y96" s="37" t="n">
        <f aca="false">IF(AND(Assumptions!$C$163=1,Y$4&gt;=Assumptions!$C$164),1,0)</f>
        <v>0</v>
      </c>
      <c r="Z96" s="37" t="n">
        <f aca="false">IF(AND(Assumptions!$C$163=1,Z$4&gt;=Assumptions!$C$164),1,0)</f>
        <v>0</v>
      </c>
      <c r="AA96" s="37" t="n">
        <f aca="false">IF(AND(Assumptions!$C$163=1,AA$4&gt;=Assumptions!$C$164),1,0)</f>
        <v>0</v>
      </c>
      <c r="AB96" s="37" t="n">
        <f aca="false">IF(AND(Assumptions!$C$163=1,AB$4&gt;=Assumptions!$C$164),1,0)</f>
        <v>0</v>
      </c>
      <c r="AC96" s="37" t="n">
        <f aca="false">IF(AND(Assumptions!$C$163=1,AC$4&gt;=Assumptions!$C$164),1,0)</f>
        <v>0</v>
      </c>
      <c r="AD96" s="37" t="n">
        <f aca="false">IF(AND(Assumptions!$C$163=1,AD$4&gt;=Assumptions!$C$164),1,0)</f>
        <v>0</v>
      </c>
      <c r="AE96" s="37" t="n">
        <f aca="false">IF(AND(Assumptions!$C$163=1,AE$4&gt;=Assumptions!$C$164),1,0)</f>
        <v>0</v>
      </c>
      <c r="AF96" s="37" t="n">
        <f aca="false">IF(AND(Assumptions!$C$163=1,AF$4&gt;=Assumptions!$C$164),1,0)</f>
        <v>0</v>
      </c>
      <c r="AG96" s="37" t="n">
        <f aca="false">IF(AND(Assumptions!$C$163=1,AG$4&gt;=Assumptions!$C$164),1,0)</f>
        <v>0</v>
      </c>
      <c r="AH96" s="37" t="n">
        <f aca="false">IF(AND(Assumptions!$C$163=1,AH$4&gt;=Assumptions!$C$164),1,0)</f>
        <v>0</v>
      </c>
      <c r="AI96" s="37" t="n">
        <f aca="false">IF(AND(Assumptions!$C$163=1,AI$4&gt;=Assumptions!$C$164),1,0)</f>
        <v>0</v>
      </c>
      <c r="AJ96" s="37" t="n">
        <f aca="false">IF(AND(Assumptions!$C$163=1,AJ$4&gt;=Assumptions!$C$164),1,0)</f>
        <v>0</v>
      </c>
      <c r="AK96" s="37" t="n">
        <f aca="false">IF(AND(Assumptions!$C$163=1,AK$4&gt;=Assumptions!$C$164),1,0)</f>
        <v>0</v>
      </c>
      <c r="AL96" s="37" t="n">
        <f aca="false">IF(AND(Assumptions!$C$163=1,AL$4&gt;=Assumptions!$C$164),1,0)</f>
        <v>0</v>
      </c>
    </row>
    <row r="97" customFormat="false" ht="15" hidden="false" customHeight="false" outlineLevel="0" collapsed="false">
      <c r="A97" s="7" t="s">
        <v>747</v>
      </c>
      <c r="B97" s="9" t="s">
        <v>316</v>
      </c>
      <c r="C97" s="14" t="n">
        <f aca="false">IF(C96=0,0,Assumptions!$C$165)</f>
        <v>0</v>
      </c>
      <c r="D97" s="14" t="n">
        <f aca="false">IF(D96=0,0,IF(D$4=Assumptions!$C$164,Assumptions!$C$165,C97*(1+CHOOSE(D$6,Assumptions!$C$166,Assumptions!$C$167,Assumptions!$C$168))))</f>
        <v>0</v>
      </c>
      <c r="E97" s="14" t="n">
        <f aca="false">IF(E96=0,0,IF(E$4=Assumptions!$C$164,Assumptions!$C$165,D97*(1+CHOOSE(E$6,Assumptions!$C$166,Assumptions!$C$167,Assumptions!$C$168))))</f>
        <v>0</v>
      </c>
      <c r="F97" s="14" t="n">
        <f aca="false">IF(F96=0,0,IF(F$4=Assumptions!$C$164,Assumptions!$C$165,E97*(1+CHOOSE(F$6,Assumptions!$C$166,Assumptions!$C$167,Assumptions!$C$168))))</f>
        <v>0</v>
      </c>
      <c r="G97" s="14" t="n">
        <f aca="false">IF(G96=0,0,IF(G$4=Assumptions!$C$164,Assumptions!$C$165,F97*(1+CHOOSE(G$6,Assumptions!$C$166,Assumptions!$C$167,Assumptions!$C$168))))</f>
        <v>0</v>
      </c>
      <c r="H97" s="14" t="n">
        <f aca="false">IF(H96=0,0,IF(H$4=Assumptions!$C$164,Assumptions!$C$165,G97*(1+CHOOSE(H$6,Assumptions!$C$166,Assumptions!$C$167,Assumptions!$C$168))))</f>
        <v>0</v>
      </c>
      <c r="I97" s="14" t="n">
        <f aca="false">IF(I96=0,0,IF(I$4=Assumptions!$C$164,Assumptions!$C$165,H97*(1+CHOOSE(I$6,Assumptions!$C$166,Assumptions!$C$167,Assumptions!$C$168))))</f>
        <v>0</v>
      </c>
      <c r="J97" s="14" t="n">
        <f aca="false">IF(J96=0,0,IF(J$4=Assumptions!$C$164,Assumptions!$C$165,I97*(1+CHOOSE(J$6,Assumptions!$C$166,Assumptions!$C$167,Assumptions!$C$168))))</f>
        <v>0</v>
      </c>
      <c r="K97" s="14" t="n">
        <f aca="false">IF(K96=0,0,IF(K$4=Assumptions!$C$164,Assumptions!$C$165,J97*(1+CHOOSE(K$6,Assumptions!$C$166,Assumptions!$C$167,Assumptions!$C$168))))</f>
        <v>0</v>
      </c>
      <c r="L97" s="14" t="n">
        <f aca="false">IF(L96=0,0,IF(L$4=Assumptions!$C$164,Assumptions!$C$165,K97*(1+CHOOSE(L$6,Assumptions!$C$166,Assumptions!$C$167,Assumptions!$C$168))))</f>
        <v>0</v>
      </c>
      <c r="M97" s="14" t="n">
        <f aca="false">IF(M96=0,0,IF(M$4=Assumptions!$C$164,Assumptions!$C$165,L97*(1+CHOOSE(M$6,Assumptions!$C$166,Assumptions!$C$167,Assumptions!$C$168))))</f>
        <v>0</v>
      </c>
      <c r="N97" s="14" t="n">
        <f aca="false">IF(N96=0,0,IF(N$4=Assumptions!$C$164,Assumptions!$C$165,M97*(1+CHOOSE(N$6,Assumptions!$C$166,Assumptions!$C$167,Assumptions!$C$168))))</f>
        <v>0</v>
      </c>
      <c r="O97" s="14" t="n">
        <f aca="false">IF(O96=0,0,IF(O$4=Assumptions!$C$164,Assumptions!$C$165,N97*(1+CHOOSE(O$6,Assumptions!$C$166,Assumptions!$C$167,Assumptions!$C$168))))</f>
        <v>0</v>
      </c>
      <c r="P97" s="14" t="n">
        <f aca="false">IF(P96=0,0,IF(P$4=Assumptions!$C$164,Assumptions!$C$165,O97*(1+CHOOSE(P$6,Assumptions!$C$166,Assumptions!$C$167,Assumptions!$C$168))))</f>
        <v>0</v>
      </c>
      <c r="Q97" s="14" t="n">
        <f aca="false">IF(Q96=0,0,IF(Q$4=Assumptions!$C$164,Assumptions!$C$165,P97*(1+CHOOSE(Q$6,Assumptions!$C$166,Assumptions!$C$167,Assumptions!$C$168))))</f>
        <v>0</v>
      </c>
      <c r="R97" s="14" t="n">
        <f aca="false">IF(R96=0,0,IF(R$4=Assumptions!$C$164,Assumptions!$C$165,Q97*(1+CHOOSE(R$6,Assumptions!$C$166,Assumptions!$C$167,Assumptions!$C$168))))</f>
        <v>0</v>
      </c>
      <c r="S97" s="14" t="n">
        <f aca="false">IF(S96=0,0,IF(S$4=Assumptions!$C$164,Assumptions!$C$165,R97*(1+CHOOSE(S$6,Assumptions!$C$166,Assumptions!$C$167,Assumptions!$C$168))))</f>
        <v>0</v>
      </c>
      <c r="T97" s="14" t="n">
        <f aca="false">IF(T96=0,0,IF(T$4=Assumptions!$C$164,Assumptions!$C$165,S97*(1+CHOOSE(T$6,Assumptions!$C$166,Assumptions!$C$167,Assumptions!$C$168))))</f>
        <v>0</v>
      </c>
      <c r="U97" s="14" t="n">
        <f aca="false">IF(U96=0,0,IF(U$4=Assumptions!$C$164,Assumptions!$C$165,T97*(1+CHOOSE(U$6,Assumptions!$C$166,Assumptions!$C$167,Assumptions!$C$168))))</f>
        <v>0</v>
      </c>
      <c r="V97" s="14" t="n">
        <f aca="false">IF(V96=0,0,IF(V$4=Assumptions!$C$164,Assumptions!$C$165,U97*(1+CHOOSE(V$6,Assumptions!$C$166,Assumptions!$C$167,Assumptions!$C$168))))</f>
        <v>0</v>
      </c>
      <c r="W97" s="14" t="n">
        <f aca="false">IF(W96=0,0,IF(W$4=Assumptions!$C$164,Assumptions!$C$165,V97*(1+CHOOSE(W$6,Assumptions!$C$166,Assumptions!$C$167,Assumptions!$C$168))))</f>
        <v>0</v>
      </c>
      <c r="X97" s="14" t="n">
        <f aca="false">IF(X96=0,0,IF(X$4=Assumptions!$C$164,Assumptions!$C$165,W97*(1+CHOOSE(X$6,Assumptions!$C$166,Assumptions!$C$167,Assumptions!$C$168))))</f>
        <v>0</v>
      </c>
      <c r="Y97" s="14" t="n">
        <f aca="false">IF(Y96=0,0,IF(Y$4=Assumptions!$C$164,Assumptions!$C$165,X97*(1+CHOOSE(Y$6,Assumptions!$C$166,Assumptions!$C$167,Assumptions!$C$168))))</f>
        <v>0</v>
      </c>
      <c r="Z97" s="14" t="n">
        <f aca="false">IF(Z96=0,0,IF(Z$4=Assumptions!$C$164,Assumptions!$C$165,Y97*(1+CHOOSE(Z$6,Assumptions!$C$166,Assumptions!$C$167,Assumptions!$C$168))))</f>
        <v>0</v>
      </c>
      <c r="AA97" s="14" t="n">
        <f aca="false">IF(AA96=0,0,IF(AA$4=Assumptions!$C$164,Assumptions!$C$165,Z97*(1+CHOOSE(AA$6,Assumptions!$C$166,Assumptions!$C$167,Assumptions!$C$168))))</f>
        <v>0</v>
      </c>
      <c r="AB97" s="14" t="n">
        <f aca="false">IF(AB96=0,0,IF(AB$4=Assumptions!$C$164,Assumptions!$C$165,AA97*(1+CHOOSE(AB$6,Assumptions!$C$166,Assumptions!$C$167,Assumptions!$C$168))))</f>
        <v>0</v>
      </c>
      <c r="AC97" s="14" t="n">
        <f aca="false">IF(AC96=0,0,IF(AC$4=Assumptions!$C$164,Assumptions!$C$165,AB97*(1+CHOOSE(AC$6,Assumptions!$C$166,Assumptions!$C$167,Assumptions!$C$168))))</f>
        <v>0</v>
      </c>
      <c r="AD97" s="14" t="n">
        <f aca="false">IF(AD96=0,0,IF(AD$4=Assumptions!$C$164,Assumptions!$C$165,AC97*(1+CHOOSE(AD$6,Assumptions!$C$166,Assumptions!$C$167,Assumptions!$C$168))))</f>
        <v>0</v>
      </c>
      <c r="AE97" s="14" t="n">
        <f aca="false">IF(AE96=0,0,IF(AE$4=Assumptions!$C$164,Assumptions!$C$165,AD97*(1+CHOOSE(AE$6,Assumptions!$C$166,Assumptions!$C$167,Assumptions!$C$168))))</f>
        <v>0</v>
      </c>
      <c r="AF97" s="14" t="n">
        <f aca="false">IF(AF96=0,0,IF(AF$4=Assumptions!$C$164,Assumptions!$C$165,AE97*(1+CHOOSE(AF$6,Assumptions!$C$166,Assumptions!$C$167,Assumptions!$C$168))))</f>
        <v>0</v>
      </c>
      <c r="AG97" s="14" t="n">
        <f aca="false">IF(AG96=0,0,IF(AG$4=Assumptions!$C$164,Assumptions!$C$165,AF97*(1+CHOOSE(AG$6,Assumptions!$C$166,Assumptions!$C$167,Assumptions!$C$168))))</f>
        <v>0</v>
      </c>
      <c r="AH97" s="14" t="n">
        <f aca="false">IF(AH96=0,0,IF(AH$4=Assumptions!$C$164,Assumptions!$C$165,AG97*(1+CHOOSE(AH$6,Assumptions!$C$166,Assumptions!$C$167,Assumptions!$C$168))))</f>
        <v>0</v>
      </c>
      <c r="AI97" s="14" t="n">
        <f aca="false">IF(AI96=0,0,IF(AI$4=Assumptions!$C$164,Assumptions!$C$165,AH97*(1+CHOOSE(AI$6,Assumptions!$C$166,Assumptions!$C$167,Assumptions!$C$168))))</f>
        <v>0</v>
      </c>
      <c r="AJ97" s="14" t="n">
        <f aca="false">IF(AJ96=0,0,IF(AJ$4=Assumptions!$C$164,Assumptions!$C$165,AI97*(1+CHOOSE(AJ$6,Assumptions!$C$166,Assumptions!$C$167,Assumptions!$C$168))))</f>
        <v>0</v>
      </c>
      <c r="AK97" s="14" t="n">
        <f aca="false">IF(AK96=0,0,IF(AK$4=Assumptions!$C$164,Assumptions!$C$165,AJ97*(1+CHOOSE(AK$6,Assumptions!$C$166,Assumptions!$C$167,Assumptions!$C$168))))</f>
        <v>0</v>
      </c>
      <c r="AL97" s="14" t="n">
        <f aca="false">IF(AL96=0,0,IF(AL$4=Assumptions!$C$164,Assumptions!$C$165,AK97*(1+CHOOSE(AL$6,Assumptions!$C$166,Assumptions!$C$167,Assumptions!$C$168))))</f>
        <v>0</v>
      </c>
    </row>
    <row r="98" customFormat="false" ht="15" hidden="false" customHeight="false" outlineLevel="0" collapsed="false">
      <c r="A98" s="7" t="s">
        <v>766</v>
      </c>
      <c r="B98" s="9" t="s">
        <v>316</v>
      </c>
      <c r="C98" s="52" t="n">
        <f aca="false">C97*C$7</f>
        <v>0</v>
      </c>
      <c r="D98" s="52" t="n">
        <f aca="false">D97*D$7</f>
        <v>0</v>
      </c>
      <c r="E98" s="52" t="n">
        <f aca="false">E97*E$7</f>
        <v>0</v>
      </c>
      <c r="F98" s="52" t="n">
        <f aca="false">F97*F$7</f>
        <v>0</v>
      </c>
      <c r="G98" s="52" t="n">
        <f aca="false">G97*G$7</f>
        <v>0</v>
      </c>
      <c r="H98" s="52" t="n">
        <f aca="false">H97*H$7</f>
        <v>0</v>
      </c>
      <c r="I98" s="52" t="n">
        <f aca="false">I97*I$7</f>
        <v>0</v>
      </c>
      <c r="J98" s="52" t="n">
        <f aca="false">J97*J$7</f>
        <v>0</v>
      </c>
      <c r="K98" s="52" t="n">
        <f aca="false">K97*K$7</f>
        <v>0</v>
      </c>
      <c r="L98" s="52" t="n">
        <f aca="false">L97*L$7</f>
        <v>0</v>
      </c>
      <c r="M98" s="52" t="n">
        <f aca="false">M97*M$7</f>
        <v>0</v>
      </c>
      <c r="N98" s="52" t="n">
        <f aca="false">N97*N$7</f>
        <v>0</v>
      </c>
      <c r="O98" s="52" t="n">
        <f aca="false">O97*O$7</f>
        <v>0</v>
      </c>
      <c r="P98" s="52" t="n">
        <f aca="false">P97*P$7</f>
        <v>0</v>
      </c>
      <c r="Q98" s="52" t="n">
        <f aca="false">Q97*Q$7</f>
        <v>0</v>
      </c>
      <c r="R98" s="52" t="n">
        <f aca="false">R97*R$7</f>
        <v>0</v>
      </c>
      <c r="S98" s="52" t="n">
        <f aca="false">S97*S$7</f>
        <v>0</v>
      </c>
      <c r="T98" s="52" t="n">
        <f aca="false">T97*T$7</f>
        <v>0</v>
      </c>
      <c r="U98" s="52" t="n">
        <f aca="false">U97*U$7</f>
        <v>0</v>
      </c>
      <c r="V98" s="52" t="n">
        <f aca="false">V97*V$7</f>
        <v>0</v>
      </c>
      <c r="W98" s="52" t="n">
        <f aca="false">W97*W$7</f>
        <v>0</v>
      </c>
      <c r="X98" s="52" t="n">
        <f aca="false">X97*X$7</f>
        <v>0</v>
      </c>
      <c r="Y98" s="52" t="n">
        <f aca="false">Y97*Y$7</f>
        <v>0</v>
      </c>
      <c r="Z98" s="52" t="n">
        <f aca="false">Z97*Z$7</f>
        <v>0</v>
      </c>
      <c r="AA98" s="52" t="n">
        <f aca="false">AA97*AA$7</f>
        <v>0</v>
      </c>
      <c r="AB98" s="52" t="n">
        <f aca="false">AB97*AB$7</f>
        <v>0</v>
      </c>
      <c r="AC98" s="52" t="n">
        <f aca="false">AC97*AC$7</f>
        <v>0</v>
      </c>
      <c r="AD98" s="52" t="n">
        <f aca="false">AD97*AD$7</f>
        <v>0</v>
      </c>
      <c r="AE98" s="52" t="n">
        <f aca="false">AE97*AE$7</f>
        <v>0</v>
      </c>
      <c r="AF98" s="52" t="n">
        <f aca="false">AF97*AF$7</f>
        <v>0</v>
      </c>
      <c r="AG98" s="52" t="n">
        <f aca="false">AG97*AG$7</f>
        <v>0</v>
      </c>
      <c r="AH98" s="52" t="n">
        <f aca="false">AH97*AH$7</f>
        <v>0</v>
      </c>
      <c r="AI98" s="52" t="n">
        <f aca="false">AI97*AI$7</f>
        <v>0</v>
      </c>
      <c r="AJ98" s="52" t="n">
        <f aca="false">AJ97*AJ$7</f>
        <v>0</v>
      </c>
      <c r="AK98" s="52" t="n">
        <f aca="false">AK97*AK$7</f>
        <v>0</v>
      </c>
      <c r="AL98" s="52" t="n">
        <f aca="false">AL97*AL$7</f>
        <v>0</v>
      </c>
      <c r="AM98" s="53" t="n">
        <f aca="false">SUMIF($C$6:$AL$6,1,C98:AL98)</f>
        <v>0</v>
      </c>
      <c r="AN98" s="53" t="n">
        <f aca="false">SUMIF($C$6:$AL$6,2,C98:AL98)</f>
        <v>0</v>
      </c>
      <c r="AO98" s="53" t="n">
        <f aca="false">SUMIF($C$6:$AL$6,3,C98:AL98)</f>
        <v>0</v>
      </c>
      <c r="AP98" s="53" t="n">
        <f aca="false">SUM(C98:AL98)</f>
        <v>0</v>
      </c>
    </row>
    <row r="99" customFormat="false" ht="15" hidden="false" customHeight="false" outlineLevel="0" collapsed="false">
      <c r="A99" s="7" t="s">
        <v>749</v>
      </c>
      <c r="B99" s="9" t="s">
        <v>88</v>
      </c>
      <c r="C99" s="54" t="n">
        <f aca="false">Assumptions!$C$169*MIN(1,(C$4-Assumptions!$C$164+1)/Assumptions!$C$10)*C96</f>
        <v>-0</v>
      </c>
      <c r="D99" s="54" t="n">
        <f aca="false">Assumptions!$C$169*MIN(1,(D$4-Assumptions!$C$164+1)/Assumptions!$C$10)*D96</f>
        <v>-0</v>
      </c>
      <c r="E99" s="54" t="n">
        <f aca="false">Assumptions!$C$169*MIN(1,(E$4-Assumptions!$C$164+1)/Assumptions!$C$10)*E96</f>
        <v>-0</v>
      </c>
      <c r="F99" s="54" t="n">
        <f aca="false">Assumptions!$C$169*MIN(1,(F$4-Assumptions!$C$164+1)/Assumptions!$C$10)*F96</f>
        <v>-0</v>
      </c>
      <c r="G99" s="54" t="n">
        <f aca="false">Assumptions!$C$169*MIN(1,(G$4-Assumptions!$C$164+1)/Assumptions!$C$10)*G96</f>
        <v>-0</v>
      </c>
      <c r="H99" s="54" t="n">
        <f aca="false">Assumptions!$C$169*MIN(1,(H$4-Assumptions!$C$164+1)/Assumptions!$C$10)*H96</f>
        <v>-0</v>
      </c>
      <c r="I99" s="54" t="n">
        <f aca="false">Assumptions!$C$169*MIN(1,(I$4-Assumptions!$C$164+1)/Assumptions!$C$10)*I96</f>
        <v>-0</v>
      </c>
      <c r="J99" s="54" t="n">
        <f aca="false">Assumptions!$C$169*MIN(1,(J$4-Assumptions!$C$164+1)/Assumptions!$C$10)*J96</f>
        <v>-0</v>
      </c>
      <c r="K99" s="54" t="n">
        <f aca="false">Assumptions!$C$169*MIN(1,(K$4-Assumptions!$C$164+1)/Assumptions!$C$10)*K96</f>
        <v>-0</v>
      </c>
      <c r="L99" s="54" t="n">
        <f aca="false">Assumptions!$C$169*MIN(1,(L$4-Assumptions!$C$164+1)/Assumptions!$C$10)*L96</f>
        <v>-0</v>
      </c>
      <c r="M99" s="54" t="n">
        <f aca="false">Assumptions!$C$169*MIN(1,(M$4-Assumptions!$C$164+1)/Assumptions!$C$10)*M96</f>
        <v>-0</v>
      </c>
      <c r="N99" s="54" t="n">
        <f aca="false">Assumptions!$C$169*MIN(1,(N$4-Assumptions!$C$164+1)/Assumptions!$C$10)*N96</f>
        <v>-0</v>
      </c>
      <c r="O99" s="54" t="n">
        <f aca="false">Assumptions!$C$169*MIN(1,(O$4-Assumptions!$C$164+1)/Assumptions!$C$10)*O96</f>
        <v>-0</v>
      </c>
      <c r="P99" s="54" t="n">
        <f aca="false">Assumptions!$C$169*MIN(1,(P$4-Assumptions!$C$164+1)/Assumptions!$C$10)*P96</f>
        <v>-0</v>
      </c>
      <c r="Q99" s="54" t="n">
        <f aca="false">Assumptions!$C$169*MIN(1,(Q$4-Assumptions!$C$164+1)/Assumptions!$C$10)*Q96</f>
        <v>-0</v>
      </c>
      <c r="R99" s="54" t="n">
        <f aca="false">Assumptions!$C$169*MIN(1,(R$4-Assumptions!$C$164+1)/Assumptions!$C$10)*R96</f>
        <v>-0</v>
      </c>
      <c r="S99" s="54" t="n">
        <f aca="false">Assumptions!$C$169*MIN(1,(S$4-Assumptions!$C$164+1)/Assumptions!$C$10)*S96</f>
        <v>-0</v>
      </c>
      <c r="T99" s="54" t="n">
        <f aca="false">Assumptions!$C$169*MIN(1,(T$4-Assumptions!$C$164+1)/Assumptions!$C$10)*T96</f>
        <v>-0</v>
      </c>
      <c r="U99" s="54" t="n">
        <f aca="false">Assumptions!$C$169*MIN(1,(U$4-Assumptions!$C$164+1)/Assumptions!$C$10)*U96</f>
        <v>-0</v>
      </c>
      <c r="V99" s="54" t="n">
        <f aca="false">Assumptions!$C$169*MIN(1,(V$4-Assumptions!$C$164+1)/Assumptions!$C$10)*V96</f>
        <v>-0</v>
      </c>
      <c r="W99" s="54" t="n">
        <f aca="false">Assumptions!$C$169*MIN(1,(W$4-Assumptions!$C$164+1)/Assumptions!$C$10)*W96</f>
        <v>-0</v>
      </c>
      <c r="X99" s="54" t="n">
        <f aca="false">Assumptions!$C$169*MIN(1,(X$4-Assumptions!$C$164+1)/Assumptions!$C$10)*X96</f>
        <v>-0</v>
      </c>
      <c r="Y99" s="54" t="n">
        <f aca="false">Assumptions!$C$169*MIN(1,(Y$4-Assumptions!$C$164+1)/Assumptions!$C$10)*Y96</f>
        <v>-0</v>
      </c>
      <c r="Z99" s="54" t="n">
        <f aca="false">Assumptions!$C$169*MIN(1,(Z$4-Assumptions!$C$164+1)/Assumptions!$C$10)*Z96</f>
        <v>0</v>
      </c>
      <c r="AA99" s="54" t="n">
        <f aca="false">Assumptions!$C$169*MIN(1,(AA$4-Assumptions!$C$164+1)/Assumptions!$C$10)*AA96</f>
        <v>0</v>
      </c>
      <c r="AB99" s="54" t="n">
        <f aca="false">Assumptions!$C$169*MIN(1,(AB$4-Assumptions!$C$164+1)/Assumptions!$C$10)*AB96</f>
        <v>0</v>
      </c>
      <c r="AC99" s="54" t="n">
        <f aca="false">Assumptions!$C$169*MIN(1,(AC$4-Assumptions!$C$164+1)/Assumptions!$C$10)*AC96</f>
        <v>0</v>
      </c>
      <c r="AD99" s="54" t="n">
        <f aca="false">Assumptions!$C$169*MIN(1,(AD$4-Assumptions!$C$164+1)/Assumptions!$C$10)*AD96</f>
        <v>0</v>
      </c>
      <c r="AE99" s="54" t="n">
        <f aca="false">Assumptions!$C$169*MIN(1,(AE$4-Assumptions!$C$164+1)/Assumptions!$C$10)*AE96</f>
        <v>0</v>
      </c>
      <c r="AF99" s="54" t="n">
        <f aca="false">Assumptions!$C$169*MIN(1,(AF$4-Assumptions!$C$164+1)/Assumptions!$C$10)*AF96</f>
        <v>0</v>
      </c>
      <c r="AG99" s="54" t="n">
        <f aca="false">Assumptions!$C$169*MIN(1,(AG$4-Assumptions!$C$164+1)/Assumptions!$C$10)*AG96</f>
        <v>0</v>
      </c>
      <c r="AH99" s="54" t="n">
        <f aca="false">Assumptions!$C$169*MIN(1,(AH$4-Assumptions!$C$164+1)/Assumptions!$C$10)*AH96</f>
        <v>0</v>
      </c>
      <c r="AI99" s="54" t="n">
        <f aca="false">Assumptions!$C$169*MIN(1,(AI$4-Assumptions!$C$164+1)/Assumptions!$C$10)*AI96</f>
        <v>0</v>
      </c>
      <c r="AJ99" s="54" t="n">
        <f aca="false">Assumptions!$C$169*MIN(1,(AJ$4-Assumptions!$C$164+1)/Assumptions!$C$10)*AJ96</f>
        <v>0</v>
      </c>
      <c r="AK99" s="54" t="n">
        <f aca="false">Assumptions!$C$169*MIN(1,(AK$4-Assumptions!$C$164+1)/Assumptions!$C$10)*AK96</f>
        <v>0</v>
      </c>
      <c r="AL99" s="54" t="n">
        <f aca="false">Assumptions!$C$169*MIN(1,(AL$4-Assumptions!$C$164+1)/Assumptions!$C$10)*AL96</f>
        <v>0</v>
      </c>
    </row>
    <row r="100" customFormat="false" ht="15" hidden="false" customHeight="false" outlineLevel="0" collapsed="false">
      <c r="A100" s="7" t="s">
        <v>757</v>
      </c>
      <c r="B100" s="9" t="s">
        <v>751</v>
      </c>
      <c r="C100" s="55" t="n">
        <f aca="false">C98*C99</f>
        <v>-0</v>
      </c>
      <c r="D100" s="55" t="n">
        <f aca="false">D98*D99</f>
        <v>-0</v>
      </c>
      <c r="E100" s="55" t="n">
        <f aca="false">E98*E99</f>
        <v>-0</v>
      </c>
      <c r="F100" s="55" t="n">
        <f aca="false">F98*F99</f>
        <v>-0</v>
      </c>
      <c r="G100" s="55" t="n">
        <f aca="false">G98*G99</f>
        <v>-0</v>
      </c>
      <c r="H100" s="55" t="n">
        <f aca="false">H98*H99</f>
        <v>-0</v>
      </c>
      <c r="I100" s="55" t="n">
        <f aca="false">I98*I99</f>
        <v>-0</v>
      </c>
      <c r="J100" s="55" t="n">
        <f aca="false">J98*J99</f>
        <v>-0</v>
      </c>
      <c r="K100" s="55" t="n">
        <f aca="false">K98*K99</f>
        <v>-0</v>
      </c>
      <c r="L100" s="55" t="n">
        <f aca="false">L98*L99</f>
        <v>-0</v>
      </c>
      <c r="M100" s="55" t="n">
        <f aca="false">M98*M99</f>
        <v>-0</v>
      </c>
      <c r="N100" s="55" t="n">
        <f aca="false">N98*N99</f>
        <v>-0</v>
      </c>
      <c r="O100" s="55" t="n">
        <f aca="false">O98*O99</f>
        <v>-0</v>
      </c>
      <c r="P100" s="55" t="n">
        <f aca="false">P98*P99</f>
        <v>-0</v>
      </c>
      <c r="Q100" s="55" t="n">
        <f aca="false">Q98*Q99</f>
        <v>-0</v>
      </c>
      <c r="R100" s="55" t="n">
        <f aca="false">R98*R99</f>
        <v>-0</v>
      </c>
      <c r="S100" s="55" t="n">
        <f aca="false">S98*S99</f>
        <v>-0</v>
      </c>
      <c r="T100" s="55" t="n">
        <f aca="false">T98*T99</f>
        <v>-0</v>
      </c>
      <c r="U100" s="55" t="n">
        <f aca="false">U98*U99</f>
        <v>-0</v>
      </c>
      <c r="V100" s="55" t="n">
        <f aca="false">V98*V99</f>
        <v>-0</v>
      </c>
      <c r="W100" s="55" t="n">
        <f aca="false">W98*W99</f>
        <v>-0</v>
      </c>
      <c r="X100" s="55" t="n">
        <f aca="false">X98*X99</f>
        <v>-0</v>
      </c>
      <c r="Y100" s="55" t="n">
        <f aca="false">Y98*Y99</f>
        <v>-0</v>
      </c>
      <c r="Z100" s="55" t="n">
        <f aca="false">Z98*Z99</f>
        <v>0</v>
      </c>
      <c r="AA100" s="55" t="n">
        <f aca="false">AA98*AA99</f>
        <v>0</v>
      </c>
      <c r="AB100" s="55" t="n">
        <f aca="false">AB98*AB99</f>
        <v>0</v>
      </c>
      <c r="AC100" s="55" t="n">
        <f aca="false">AC98*AC99</f>
        <v>0</v>
      </c>
      <c r="AD100" s="55" t="n">
        <f aca="false">AD98*AD99</f>
        <v>0</v>
      </c>
      <c r="AE100" s="55" t="n">
        <f aca="false">AE98*AE99</f>
        <v>0</v>
      </c>
      <c r="AF100" s="55" t="n">
        <f aca="false">AF98*AF99</f>
        <v>0</v>
      </c>
      <c r="AG100" s="55" t="n">
        <f aca="false">AG98*AG99</f>
        <v>0</v>
      </c>
      <c r="AH100" s="55" t="n">
        <f aca="false">AH98*AH99</f>
        <v>0</v>
      </c>
      <c r="AI100" s="55" t="n">
        <f aca="false">AI98*AI99</f>
        <v>0</v>
      </c>
      <c r="AJ100" s="55" t="n">
        <f aca="false">AJ98*AJ99</f>
        <v>0</v>
      </c>
      <c r="AK100" s="55" t="n">
        <f aca="false">AK98*AK99</f>
        <v>0</v>
      </c>
      <c r="AL100" s="55" t="n">
        <f aca="false">AL98*AL99</f>
        <v>0</v>
      </c>
      <c r="AM100" s="53" t="n">
        <f aca="false">SUMIF($C$6:$AL$6,1,C100:AL100)</f>
        <v>0</v>
      </c>
      <c r="AN100" s="53" t="n">
        <f aca="false">SUMIF($C$6:$AL$6,2,C100:AL100)</f>
        <v>0</v>
      </c>
      <c r="AO100" s="53" t="n">
        <f aca="false">SUMIF($C$6:$AL$6,3,C100:AL100)</f>
        <v>0</v>
      </c>
      <c r="AP100" s="53" t="n">
        <f aca="false">SUM(C100:AL100)</f>
        <v>0</v>
      </c>
    </row>
    <row r="101" customFormat="false" ht="15" hidden="false" customHeight="false" outlineLevel="0" collapsed="false">
      <c r="A101" s="7" t="s">
        <v>752</v>
      </c>
      <c r="B101" s="9" t="s">
        <v>331</v>
      </c>
      <c r="C101" s="56" t="n">
        <f aca="false">C100*Assumptions!$C$170</f>
        <v>-0</v>
      </c>
      <c r="D101" s="56" t="n">
        <f aca="false">D100*Assumptions!$C$170</f>
        <v>-0</v>
      </c>
      <c r="E101" s="56" t="n">
        <f aca="false">E100*Assumptions!$C$170</f>
        <v>-0</v>
      </c>
      <c r="F101" s="56" t="n">
        <f aca="false">F100*Assumptions!$C$170</f>
        <v>-0</v>
      </c>
      <c r="G101" s="56" t="n">
        <f aca="false">G100*Assumptions!$C$170</f>
        <v>-0</v>
      </c>
      <c r="H101" s="56" t="n">
        <f aca="false">H100*Assumptions!$C$170</f>
        <v>-0</v>
      </c>
      <c r="I101" s="56" t="n">
        <f aca="false">I100*Assumptions!$C$170</f>
        <v>-0</v>
      </c>
      <c r="J101" s="56" t="n">
        <f aca="false">J100*Assumptions!$C$170</f>
        <v>-0</v>
      </c>
      <c r="K101" s="56" t="n">
        <f aca="false">K100*Assumptions!$C$170</f>
        <v>-0</v>
      </c>
      <c r="L101" s="56" t="n">
        <f aca="false">L100*Assumptions!$C$170</f>
        <v>-0</v>
      </c>
      <c r="M101" s="56" t="n">
        <f aca="false">M100*Assumptions!$C$170</f>
        <v>-0</v>
      </c>
      <c r="N101" s="56" t="n">
        <f aca="false">N100*Assumptions!$C$170</f>
        <v>-0</v>
      </c>
      <c r="O101" s="56" t="n">
        <f aca="false">O100*Assumptions!$C$170</f>
        <v>-0</v>
      </c>
      <c r="P101" s="56" t="n">
        <f aca="false">P100*Assumptions!$C$170</f>
        <v>-0</v>
      </c>
      <c r="Q101" s="56" t="n">
        <f aca="false">Q100*Assumptions!$C$170</f>
        <v>-0</v>
      </c>
      <c r="R101" s="56" t="n">
        <f aca="false">R100*Assumptions!$C$170</f>
        <v>-0</v>
      </c>
      <c r="S101" s="56" t="n">
        <f aca="false">S100*Assumptions!$C$170</f>
        <v>-0</v>
      </c>
      <c r="T101" s="56" t="n">
        <f aca="false">T100*Assumptions!$C$170</f>
        <v>-0</v>
      </c>
      <c r="U101" s="56" t="n">
        <f aca="false">U100*Assumptions!$C$170</f>
        <v>-0</v>
      </c>
      <c r="V101" s="56" t="n">
        <f aca="false">V100*Assumptions!$C$170</f>
        <v>-0</v>
      </c>
      <c r="W101" s="56" t="n">
        <f aca="false">W100*Assumptions!$C$170</f>
        <v>-0</v>
      </c>
      <c r="X101" s="56" t="n">
        <f aca="false">X100*Assumptions!$C$170</f>
        <v>-0</v>
      </c>
      <c r="Y101" s="56" t="n">
        <f aca="false">Y100*Assumptions!$C$170</f>
        <v>-0</v>
      </c>
      <c r="Z101" s="56" t="n">
        <f aca="false">Z100*Assumptions!$C$170</f>
        <v>0</v>
      </c>
      <c r="AA101" s="56" t="n">
        <f aca="false">AA100*Assumptions!$C$170</f>
        <v>0</v>
      </c>
      <c r="AB101" s="56" t="n">
        <f aca="false">AB100*Assumptions!$C$170</f>
        <v>0</v>
      </c>
      <c r="AC101" s="56" t="n">
        <f aca="false">AC100*Assumptions!$C$170</f>
        <v>0</v>
      </c>
      <c r="AD101" s="56" t="n">
        <f aca="false">AD100*Assumptions!$C$170</f>
        <v>0</v>
      </c>
      <c r="AE101" s="56" t="n">
        <f aca="false">AE100*Assumptions!$C$170</f>
        <v>0</v>
      </c>
      <c r="AF101" s="56" t="n">
        <f aca="false">AF100*Assumptions!$C$170</f>
        <v>0</v>
      </c>
      <c r="AG101" s="56" t="n">
        <f aca="false">AG100*Assumptions!$C$170</f>
        <v>0</v>
      </c>
      <c r="AH101" s="56" t="n">
        <f aca="false">AH100*Assumptions!$C$170</f>
        <v>0</v>
      </c>
      <c r="AI101" s="56" t="n">
        <f aca="false">AI100*Assumptions!$C$170</f>
        <v>0</v>
      </c>
      <c r="AJ101" s="56" t="n">
        <f aca="false">AJ100*Assumptions!$C$170</f>
        <v>0</v>
      </c>
      <c r="AK101" s="56" t="n">
        <f aca="false">AK100*Assumptions!$C$170</f>
        <v>0</v>
      </c>
      <c r="AL101" s="56" t="n">
        <f aca="false">AL100*Assumptions!$C$170</f>
        <v>0</v>
      </c>
      <c r="AM101" s="53" t="n">
        <f aca="false">SUMIF($C$6:$AL$6,1,C101:AL101)</f>
        <v>0</v>
      </c>
      <c r="AN101" s="53" t="n">
        <f aca="false">SUMIF($C$6:$AL$6,2,C101:AL101)</f>
        <v>0</v>
      </c>
      <c r="AO101" s="53" t="n">
        <f aca="false">SUMIF($C$6:$AL$6,3,C101:AL101)</f>
        <v>0</v>
      </c>
      <c r="AP101" s="53" t="n">
        <f aca="false">SUM(C101:AL101)</f>
        <v>0</v>
      </c>
    </row>
    <row r="102" customFormat="false" ht="15" hidden="false" customHeight="false" outlineLevel="0" collapsed="false">
      <c r="A102" s="7" t="s">
        <v>753</v>
      </c>
      <c r="B102" s="9" t="s">
        <v>93</v>
      </c>
      <c r="C102" s="15" t="n">
        <f aca="false">'Unit Economics'!$E$58*Assumptions!$C$170*C96</f>
        <v>0</v>
      </c>
      <c r="D102" s="15" t="n">
        <f aca="false">'Unit Economics'!$E$58*Assumptions!$C$170*D96</f>
        <v>0</v>
      </c>
      <c r="E102" s="15" t="n">
        <f aca="false">'Unit Economics'!$E$58*Assumptions!$C$170*E96</f>
        <v>0</v>
      </c>
      <c r="F102" s="15" t="n">
        <f aca="false">'Unit Economics'!$E$58*Assumptions!$C$170*F96</f>
        <v>0</v>
      </c>
      <c r="G102" s="15" t="n">
        <f aca="false">'Unit Economics'!$E$58*Assumptions!$C$170*G96</f>
        <v>0</v>
      </c>
      <c r="H102" s="15" t="n">
        <f aca="false">'Unit Economics'!$E$58*Assumptions!$C$170*H96</f>
        <v>0</v>
      </c>
      <c r="I102" s="15" t="n">
        <f aca="false">'Unit Economics'!$E$58*Assumptions!$C$170*I96</f>
        <v>0</v>
      </c>
      <c r="J102" s="15" t="n">
        <f aca="false">'Unit Economics'!$E$58*Assumptions!$C$170*J96</f>
        <v>0</v>
      </c>
      <c r="K102" s="15" t="n">
        <f aca="false">'Unit Economics'!$E$58*Assumptions!$C$170*K96</f>
        <v>0</v>
      </c>
      <c r="L102" s="15" t="n">
        <f aca="false">'Unit Economics'!$E$58*Assumptions!$C$170*L96</f>
        <v>0</v>
      </c>
      <c r="M102" s="15" t="n">
        <f aca="false">'Unit Economics'!$E$58*Assumptions!$C$170*M96</f>
        <v>0</v>
      </c>
      <c r="N102" s="15" t="n">
        <f aca="false">'Unit Economics'!$E$58*Assumptions!$C$170*N96</f>
        <v>0</v>
      </c>
      <c r="O102" s="15" t="n">
        <f aca="false">'Unit Economics'!$E$58*Assumptions!$C$170*O96</f>
        <v>0</v>
      </c>
      <c r="P102" s="15" t="n">
        <f aca="false">'Unit Economics'!$E$58*Assumptions!$C$170*P96</f>
        <v>0</v>
      </c>
      <c r="Q102" s="15" t="n">
        <f aca="false">'Unit Economics'!$E$58*Assumptions!$C$170*Q96</f>
        <v>0</v>
      </c>
      <c r="R102" s="15" t="n">
        <f aca="false">'Unit Economics'!$E$58*Assumptions!$C$170*R96</f>
        <v>0</v>
      </c>
      <c r="S102" s="15" t="n">
        <f aca="false">'Unit Economics'!$E$58*Assumptions!$C$170*S96</f>
        <v>0</v>
      </c>
      <c r="T102" s="15" t="n">
        <f aca="false">'Unit Economics'!$E$58*Assumptions!$C$170*T96</f>
        <v>0</v>
      </c>
      <c r="U102" s="15" t="n">
        <f aca="false">'Unit Economics'!$E$58*Assumptions!$C$170*U96</f>
        <v>0</v>
      </c>
      <c r="V102" s="15" t="n">
        <f aca="false">'Unit Economics'!$E$58*Assumptions!$C$170*V96</f>
        <v>0</v>
      </c>
      <c r="W102" s="15" t="n">
        <f aca="false">'Unit Economics'!$E$58*Assumptions!$C$170*W96</f>
        <v>0</v>
      </c>
      <c r="X102" s="15" t="n">
        <f aca="false">'Unit Economics'!$E$58*Assumptions!$C$170*X96</f>
        <v>0</v>
      </c>
      <c r="Y102" s="15" t="n">
        <f aca="false">'Unit Economics'!$E$58*Assumptions!$C$170*Y96</f>
        <v>0</v>
      </c>
      <c r="Z102" s="15" t="n">
        <f aca="false">'Unit Economics'!$E$58*Assumptions!$C$170*Z96</f>
        <v>0</v>
      </c>
      <c r="AA102" s="15" t="n">
        <f aca="false">'Unit Economics'!$E$58*Assumptions!$C$170*AA96</f>
        <v>0</v>
      </c>
      <c r="AB102" s="15" t="n">
        <f aca="false">'Unit Economics'!$E$58*Assumptions!$C$170*AB96</f>
        <v>0</v>
      </c>
      <c r="AC102" s="15" t="n">
        <f aca="false">'Unit Economics'!$E$58*Assumptions!$C$170*AC96</f>
        <v>0</v>
      </c>
      <c r="AD102" s="15" t="n">
        <f aca="false">'Unit Economics'!$E$58*Assumptions!$C$170*AD96</f>
        <v>0</v>
      </c>
      <c r="AE102" s="15" t="n">
        <f aca="false">'Unit Economics'!$E$58*Assumptions!$C$170*AE96</f>
        <v>0</v>
      </c>
      <c r="AF102" s="15" t="n">
        <f aca="false">'Unit Economics'!$E$58*Assumptions!$C$170*AF96</f>
        <v>0</v>
      </c>
      <c r="AG102" s="15" t="n">
        <f aca="false">'Unit Economics'!$E$58*Assumptions!$C$170*AG96</f>
        <v>0</v>
      </c>
      <c r="AH102" s="15" t="n">
        <f aca="false">'Unit Economics'!$E$58*Assumptions!$C$170*AH96</f>
        <v>0</v>
      </c>
      <c r="AI102" s="15" t="n">
        <f aca="false">'Unit Economics'!$E$58*Assumptions!$C$170*AI96</f>
        <v>0</v>
      </c>
      <c r="AJ102" s="15" t="n">
        <f aca="false">'Unit Economics'!$E$58*Assumptions!$C$170*AJ96</f>
        <v>0</v>
      </c>
      <c r="AK102" s="15" t="n">
        <f aca="false">'Unit Economics'!$E$58*Assumptions!$C$170*AK96</f>
        <v>0</v>
      </c>
      <c r="AL102" s="15" t="n">
        <f aca="false">'Unit Economics'!$E$58*Assumptions!$C$170*AL96</f>
        <v>0</v>
      </c>
    </row>
    <row r="103" customFormat="false" ht="15" hidden="false" customHeight="false" outlineLevel="0" collapsed="false">
      <c r="A103" s="7" t="s">
        <v>754</v>
      </c>
      <c r="B103" s="9" t="s">
        <v>93</v>
      </c>
      <c r="C103" s="8" t="n">
        <f aca="false">C101*'Unit Economics'!$E$58</f>
        <v>-0</v>
      </c>
      <c r="D103" s="8" t="n">
        <f aca="false">D101*'Unit Economics'!$E$58</f>
        <v>-0</v>
      </c>
      <c r="E103" s="8" t="n">
        <f aca="false">E101*'Unit Economics'!$E$58</f>
        <v>-0</v>
      </c>
      <c r="F103" s="8" t="n">
        <f aca="false">F101*'Unit Economics'!$E$58</f>
        <v>-0</v>
      </c>
      <c r="G103" s="8" t="n">
        <f aca="false">G101*'Unit Economics'!$E$58</f>
        <v>-0</v>
      </c>
      <c r="H103" s="8" t="n">
        <f aca="false">H101*'Unit Economics'!$E$58</f>
        <v>-0</v>
      </c>
      <c r="I103" s="8" t="n">
        <f aca="false">I101*'Unit Economics'!$E$58</f>
        <v>-0</v>
      </c>
      <c r="J103" s="8" t="n">
        <f aca="false">J101*'Unit Economics'!$E$58</f>
        <v>-0</v>
      </c>
      <c r="K103" s="8" t="n">
        <f aca="false">K101*'Unit Economics'!$E$58</f>
        <v>-0</v>
      </c>
      <c r="L103" s="8" t="n">
        <f aca="false">L101*'Unit Economics'!$E$58</f>
        <v>-0</v>
      </c>
      <c r="M103" s="8" t="n">
        <f aca="false">M101*'Unit Economics'!$E$58</f>
        <v>-0</v>
      </c>
      <c r="N103" s="8" t="n">
        <f aca="false">N101*'Unit Economics'!$E$58</f>
        <v>-0</v>
      </c>
      <c r="O103" s="8" t="n">
        <f aca="false">O101*'Unit Economics'!$E$58</f>
        <v>-0</v>
      </c>
      <c r="P103" s="8" t="n">
        <f aca="false">P101*'Unit Economics'!$E$58</f>
        <v>-0</v>
      </c>
      <c r="Q103" s="8" t="n">
        <f aca="false">Q101*'Unit Economics'!$E$58</f>
        <v>-0</v>
      </c>
      <c r="R103" s="8" t="n">
        <f aca="false">R101*'Unit Economics'!$E$58</f>
        <v>-0</v>
      </c>
      <c r="S103" s="8" t="n">
        <f aca="false">S101*'Unit Economics'!$E$58</f>
        <v>-0</v>
      </c>
      <c r="T103" s="8" t="n">
        <f aca="false">T101*'Unit Economics'!$E$58</f>
        <v>-0</v>
      </c>
      <c r="U103" s="8" t="n">
        <f aca="false">U101*'Unit Economics'!$E$58</f>
        <v>-0</v>
      </c>
      <c r="V103" s="8" t="n">
        <f aca="false">V101*'Unit Economics'!$E$58</f>
        <v>-0</v>
      </c>
      <c r="W103" s="8" t="n">
        <f aca="false">W101*'Unit Economics'!$E$58</f>
        <v>-0</v>
      </c>
      <c r="X103" s="8" t="n">
        <f aca="false">X101*'Unit Economics'!$E$58</f>
        <v>-0</v>
      </c>
      <c r="Y103" s="8" t="n">
        <f aca="false">Y101*'Unit Economics'!$E$58</f>
        <v>-0</v>
      </c>
      <c r="Z103" s="8" t="n">
        <f aca="false">Z101*'Unit Economics'!$E$58</f>
        <v>0</v>
      </c>
      <c r="AA103" s="8" t="n">
        <f aca="false">AA101*'Unit Economics'!$E$58</f>
        <v>0</v>
      </c>
      <c r="AB103" s="8" t="n">
        <f aca="false">AB101*'Unit Economics'!$E$58</f>
        <v>0</v>
      </c>
      <c r="AC103" s="8" t="n">
        <f aca="false">AC101*'Unit Economics'!$E$58</f>
        <v>0</v>
      </c>
      <c r="AD103" s="8" t="n">
        <f aca="false">AD101*'Unit Economics'!$E$58</f>
        <v>0</v>
      </c>
      <c r="AE103" s="8" t="n">
        <f aca="false">AE101*'Unit Economics'!$E$58</f>
        <v>0</v>
      </c>
      <c r="AF103" s="8" t="n">
        <f aca="false">AF101*'Unit Economics'!$E$58</f>
        <v>0</v>
      </c>
      <c r="AG103" s="8" t="n">
        <f aca="false">AG101*'Unit Economics'!$E$58</f>
        <v>0</v>
      </c>
      <c r="AH103" s="8" t="n">
        <f aca="false">AH101*'Unit Economics'!$E$58</f>
        <v>0</v>
      </c>
      <c r="AI103" s="8" t="n">
        <f aca="false">AI101*'Unit Economics'!$E$58</f>
        <v>0</v>
      </c>
      <c r="AJ103" s="8" t="n">
        <f aca="false">AJ101*'Unit Economics'!$E$58</f>
        <v>0</v>
      </c>
      <c r="AK103" s="8" t="n">
        <f aca="false">AK101*'Unit Economics'!$E$58</f>
        <v>0</v>
      </c>
      <c r="AL103" s="8" t="n">
        <f aca="false">AL101*'Unit Economics'!$E$58</f>
        <v>0</v>
      </c>
      <c r="AM103" s="45" t="n">
        <f aca="false">SUMIF($C$6:$AL$6,1,C103:AL103)</f>
        <v>0</v>
      </c>
      <c r="AN103" s="45" t="n">
        <f aca="false">SUMIF($C$6:$AL$6,2,C103:AL103)</f>
        <v>0</v>
      </c>
      <c r="AO103" s="45" t="n">
        <f aca="false">SUMIF($C$6:$AL$6,3,C103:AL103)</f>
        <v>0</v>
      </c>
      <c r="AP103" s="45" t="n">
        <f aca="false">SUM(C103:AL103)</f>
        <v>0</v>
      </c>
    </row>
    <row r="104" customFormat="false" ht="15" hidden="false" customHeight="false" outlineLevel="0" collapsed="false">
      <c r="A104" s="7" t="s">
        <v>755</v>
      </c>
      <c r="B104" s="9" t="s">
        <v>93</v>
      </c>
      <c r="C104" s="8" t="n">
        <f aca="false">C101*'Unit Economics'!$F$58</f>
        <v>-0</v>
      </c>
      <c r="D104" s="8" t="n">
        <f aca="false">D101*'Unit Economics'!$F$58</f>
        <v>-0</v>
      </c>
      <c r="E104" s="8" t="n">
        <f aca="false">E101*'Unit Economics'!$F$58</f>
        <v>-0</v>
      </c>
      <c r="F104" s="8" t="n">
        <f aca="false">F101*'Unit Economics'!$F$58</f>
        <v>-0</v>
      </c>
      <c r="G104" s="8" t="n">
        <f aca="false">G101*'Unit Economics'!$F$58</f>
        <v>-0</v>
      </c>
      <c r="H104" s="8" t="n">
        <f aca="false">H101*'Unit Economics'!$F$58</f>
        <v>-0</v>
      </c>
      <c r="I104" s="8" t="n">
        <f aca="false">I101*'Unit Economics'!$F$58</f>
        <v>-0</v>
      </c>
      <c r="J104" s="8" t="n">
        <f aca="false">J101*'Unit Economics'!$F$58</f>
        <v>-0</v>
      </c>
      <c r="K104" s="8" t="n">
        <f aca="false">K101*'Unit Economics'!$F$58</f>
        <v>-0</v>
      </c>
      <c r="L104" s="8" t="n">
        <f aca="false">L101*'Unit Economics'!$F$58</f>
        <v>-0</v>
      </c>
      <c r="M104" s="8" t="n">
        <f aca="false">M101*'Unit Economics'!$F$58</f>
        <v>-0</v>
      </c>
      <c r="N104" s="8" t="n">
        <f aca="false">N101*'Unit Economics'!$F$58</f>
        <v>-0</v>
      </c>
      <c r="O104" s="8" t="n">
        <f aca="false">O101*'Unit Economics'!$F$58</f>
        <v>-0</v>
      </c>
      <c r="P104" s="8" t="n">
        <f aca="false">P101*'Unit Economics'!$F$58</f>
        <v>-0</v>
      </c>
      <c r="Q104" s="8" t="n">
        <f aca="false">Q101*'Unit Economics'!$F$58</f>
        <v>-0</v>
      </c>
      <c r="R104" s="8" t="n">
        <f aca="false">R101*'Unit Economics'!$F$58</f>
        <v>-0</v>
      </c>
      <c r="S104" s="8" t="n">
        <f aca="false">S101*'Unit Economics'!$F$58</f>
        <v>-0</v>
      </c>
      <c r="T104" s="8" t="n">
        <f aca="false">T101*'Unit Economics'!$F$58</f>
        <v>-0</v>
      </c>
      <c r="U104" s="8" t="n">
        <f aca="false">U101*'Unit Economics'!$F$58</f>
        <v>-0</v>
      </c>
      <c r="V104" s="8" t="n">
        <f aca="false">V101*'Unit Economics'!$F$58</f>
        <v>-0</v>
      </c>
      <c r="W104" s="8" t="n">
        <f aca="false">W101*'Unit Economics'!$F$58</f>
        <v>-0</v>
      </c>
      <c r="X104" s="8" t="n">
        <f aca="false">X101*'Unit Economics'!$F$58</f>
        <v>-0</v>
      </c>
      <c r="Y104" s="8" t="n">
        <f aca="false">Y101*'Unit Economics'!$F$58</f>
        <v>-0</v>
      </c>
      <c r="Z104" s="8" t="n">
        <f aca="false">Z101*'Unit Economics'!$F$58</f>
        <v>0</v>
      </c>
      <c r="AA104" s="8" t="n">
        <f aca="false">AA101*'Unit Economics'!$F$58</f>
        <v>0</v>
      </c>
      <c r="AB104" s="8" t="n">
        <f aca="false">AB101*'Unit Economics'!$F$58</f>
        <v>0</v>
      </c>
      <c r="AC104" s="8" t="n">
        <f aca="false">AC101*'Unit Economics'!$F$58</f>
        <v>0</v>
      </c>
      <c r="AD104" s="8" t="n">
        <f aca="false">AD101*'Unit Economics'!$F$58</f>
        <v>0</v>
      </c>
      <c r="AE104" s="8" t="n">
        <f aca="false">AE101*'Unit Economics'!$F$58</f>
        <v>0</v>
      </c>
      <c r="AF104" s="8" t="n">
        <f aca="false">AF101*'Unit Economics'!$F$58</f>
        <v>0</v>
      </c>
      <c r="AG104" s="8" t="n">
        <f aca="false">AG101*'Unit Economics'!$F$58</f>
        <v>0</v>
      </c>
      <c r="AH104" s="8" t="n">
        <f aca="false">AH101*'Unit Economics'!$F$58</f>
        <v>0</v>
      </c>
      <c r="AI104" s="8" t="n">
        <f aca="false">AI101*'Unit Economics'!$F$58</f>
        <v>0</v>
      </c>
      <c r="AJ104" s="8" t="n">
        <f aca="false">AJ101*'Unit Economics'!$F$58</f>
        <v>0</v>
      </c>
      <c r="AK104" s="8" t="n">
        <f aca="false">AK101*'Unit Economics'!$F$58</f>
        <v>0</v>
      </c>
      <c r="AL104" s="8" t="n">
        <f aca="false">AL101*'Unit Economics'!$F$58</f>
        <v>0</v>
      </c>
      <c r="AM104" s="45" t="n">
        <f aca="false">SUMIF($C$6:$AL$6,1,C104:AL104)</f>
        <v>0</v>
      </c>
      <c r="AN104" s="45" t="n">
        <f aca="false">SUMIF($C$6:$AL$6,2,C104:AL104)</f>
        <v>0</v>
      </c>
      <c r="AO104" s="45" t="n">
        <f aca="false">SUMIF($C$6:$AL$6,3,C104:AL104)</f>
        <v>0</v>
      </c>
      <c r="AP104" s="45" t="n">
        <f aca="false">SUM(C104:AL104)</f>
        <v>0</v>
      </c>
    </row>
    <row r="105" customFormat="false" ht="15" hidden="false" customHeight="false" outlineLevel="0" collapsed="false">
      <c r="A105" s="5" t="s">
        <v>767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customFormat="false" ht="15" hidden="false" customHeight="false" outlineLevel="0" collapsed="false">
      <c r="A106" s="7" t="s">
        <v>768</v>
      </c>
      <c r="B106" s="9" t="s">
        <v>762</v>
      </c>
      <c r="C106" s="14" t="n">
        <f aca="false">C18*Assumptions!$C$173+(C20+C30+C40+C50+C60+C80)*Assumptions!$C$174</f>
        <v>5.81083333333333</v>
      </c>
      <c r="D106" s="14" t="n">
        <f aca="false">D18*Assumptions!$C$173+(D20+D30+D40+D50+D60+D80)*Assumptions!$C$174</f>
        <v>8.9466</v>
      </c>
      <c r="E106" s="14" t="n">
        <f aca="false">E18*Assumptions!$C$173+(E20+E30+E40+E50+E60+E80)*Assumptions!$C$174</f>
        <v>10.473264</v>
      </c>
      <c r="F106" s="14" t="n">
        <f aca="false">F18*Assumptions!$C$173+(F20+F30+F40+F50+F60+F80)*Assumptions!$C$174</f>
        <v>10.8635723066667</v>
      </c>
      <c r="G106" s="14" t="n">
        <f aca="false">G18*Assumptions!$C$173+(G20+G30+G40+G50+G60+G80)*Assumptions!$C$174</f>
        <v>8.803916506368</v>
      </c>
      <c r="H106" s="14" t="n">
        <f aca="false">H18*Assumptions!$C$173+(H20+H30+H40+H50+H60+H80)*Assumptions!$C$174</f>
        <v>10.9796658431531</v>
      </c>
      <c r="I106" s="14" t="n">
        <f aca="false">I18*Assumptions!$C$173+(I20+I30+I40+I50+I60+I80)*Assumptions!$C$174</f>
        <v>12.7257827019221</v>
      </c>
      <c r="J106" s="14" t="n">
        <f aca="false">J18*Assumptions!$C$173+(J20+J30+J40+J50+J60+J80)*Assumptions!$C$174</f>
        <v>12.4883604873864</v>
      </c>
      <c r="K106" s="14" t="n">
        <f aca="false">K18*Assumptions!$C$173+(K20+K30+K40+K50+K60+K80)*Assumptions!$C$174</f>
        <v>14.2102535537875</v>
      </c>
      <c r="L106" s="14" t="n">
        <f aca="false">L18*Assumptions!$C$173+(L20+L30+L40+L50+L60+L80)*Assumptions!$C$174</f>
        <v>14.5793996616247</v>
      </c>
      <c r="M106" s="14" t="n">
        <f aca="false">M18*Assumptions!$C$173+(M20+M30+M40+M50+M60+M80)*Assumptions!$C$174</f>
        <v>14.0456624877327</v>
      </c>
      <c r="N106" s="14" t="n">
        <f aca="false">N18*Assumptions!$C$173+(N20+N30+N40+N50+N60+N80)*Assumptions!$C$174</f>
        <v>15.1244804986443</v>
      </c>
      <c r="O106" s="14" t="n">
        <f aca="false">O18*Assumptions!$C$173+(O20+O30+O40+O50+O60+O80)*Assumptions!$C$174</f>
        <v>17.5447782221277</v>
      </c>
      <c r="P106" s="14" t="n">
        <f aca="false">P18*Assumptions!$C$173+(P20+P30+P40+P50+P60+P80)*Assumptions!$C$174</f>
        <v>24.9195184633891</v>
      </c>
      <c r="Q106" s="14" t="n">
        <f aca="false">Q18*Assumptions!$C$173+(Q20+Q30+Q40+Q50+Q60+Q80)*Assumptions!$C$174</f>
        <v>26.8603247484847</v>
      </c>
      <c r="R106" s="14" t="n">
        <f aca="false">R18*Assumptions!$C$173+(R20+R30+R40+R50+R60+R80)*Assumptions!$C$174</f>
        <v>25.8153361362696</v>
      </c>
      <c r="S106" s="14" t="n">
        <f aca="false">S18*Assumptions!$C$173+(S20+S30+S40+S50+S60+S80)*Assumptions!$C$174</f>
        <v>19.2934346632527</v>
      </c>
      <c r="T106" s="14" t="n">
        <f aca="false">T18*Assumptions!$C$173+(T20+T30+T40+T50+T60+T80)*Assumptions!$C$174</f>
        <v>22.2523149939923</v>
      </c>
      <c r="U106" s="14" t="n">
        <f aca="false">U18*Assumptions!$C$173+(U20+U30+U40+U50+U60+U80)*Assumptions!$C$174</f>
        <v>24.2538928765285</v>
      </c>
      <c r="V106" s="14" t="n">
        <f aca="false">V18*Assumptions!$C$173+(V20+V30+V40+V50+V60+V80)*Assumptions!$C$174</f>
        <v>22.7793549483497</v>
      </c>
      <c r="W106" s="14" t="n">
        <f aca="false">W18*Assumptions!$C$173+(W20+W30+W40+W50+W60+W80)*Assumptions!$C$174</f>
        <v>24.8915584150112</v>
      </c>
      <c r="X106" s="14" t="n">
        <f aca="false">X18*Assumptions!$C$173+(X20+X30+X40+X50+X60+X80)*Assumptions!$C$174</f>
        <v>24.5481338856077</v>
      </c>
      <c r="Y106" s="14" t="n">
        <f aca="false">Y18*Assumptions!$C$173+(Y20+Y30+Y40+Y50+Y60+Y80)*Assumptions!$C$174</f>
        <v>22.8015841900973</v>
      </c>
      <c r="Z106" s="14" t="n">
        <f aca="false">Z18*Assumptions!$C$173+(Z20+Z30+Z40+Z50+Z60+Z80)*Assumptions!$C$174</f>
        <v>23.6714344995503</v>
      </c>
      <c r="AA106" s="14" t="n">
        <f aca="false">AA18*Assumptions!$C$173+(AA20+AA30+AA40+AA50+AA60+AA80)*Assumptions!$C$174</f>
        <v>26.9439748590366</v>
      </c>
      <c r="AB106" s="14" t="n">
        <f aca="false">AB18*Assumptions!$C$173+(AB20+AB30+AB40+AB50+AB60+AB80)*Assumptions!$C$174</f>
        <v>37.5508137530324</v>
      </c>
      <c r="AC106" s="14" t="n">
        <f aca="false">AC18*Assumptions!$C$173+(AC20+AC30+AC40+AC50+AC60+AC80)*Assumptions!$C$174</f>
        <v>39.7148755842615</v>
      </c>
      <c r="AD106" s="14" t="n">
        <f aca="false">AD18*Assumptions!$C$173+(AD20+AD30+AD40+AD50+AD60+AD80)*Assumptions!$C$174</f>
        <v>37.4522873387189</v>
      </c>
      <c r="AE106" s="14" t="n">
        <f aca="false">AE18*Assumptions!$C$173+(AE20+AE30+AE40+AE50+AE60+AE80)*Assumptions!$C$174</f>
        <v>27.4640866230007</v>
      </c>
      <c r="AF106" s="14" t="n">
        <f aca="false">AF18*Assumptions!$C$173+(AF20+AF30+AF40+AF50+AF60+AF80)*Assumptions!$C$174</f>
        <v>31.0800960276897</v>
      </c>
      <c r="AG106" s="14" t="n">
        <f aca="false">AG18*Assumptions!$C$173+(AG20+AG30+AG40+AG50+AG60+AG80)*Assumptions!$C$174</f>
        <v>33.2381389708361</v>
      </c>
      <c r="AH106" s="14" t="n">
        <f aca="false">AH18*Assumptions!$C$173+(AH20+AH30+AH40+AH50+AH60+AH80)*Assumptions!$C$174</f>
        <v>30.6296027284293</v>
      </c>
      <c r="AI106" s="14" t="n">
        <f aca="false">AI18*Assumptions!$C$173+(AI20+AI30+AI40+AI50+AI60+AI80)*Assumptions!$C$174</f>
        <v>32.8392621416335</v>
      </c>
      <c r="AJ106" s="14" t="n">
        <f aca="false">AJ18*Assumptions!$C$173+(AJ20+AJ30+AJ40+AJ50+AJ60+AJ80)*Assumptions!$C$174</f>
        <v>31.7759003093124</v>
      </c>
      <c r="AK106" s="14" t="n">
        <f aca="false">AK18*Assumptions!$C$173+(AK20+AK30+AK40+AK50+AK60+AK80)*Assumptions!$C$174</f>
        <v>28.9587127769816</v>
      </c>
      <c r="AL106" s="14" t="n">
        <f aca="false">AL18*Assumptions!$C$173+(AL20+AL30+AL40+AL50+AL60+AL80)*Assumptions!$C$174</f>
        <v>29.4964999647931</v>
      </c>
      <c r="AM106" s="53" t="n">
        <f aca="false">SUMIF($C$6:$AL$6,1,C106:AL106)</f>
        <v>139.051791380619</v>
      </c>
      <c r="AN106" s="53" t="n">
        <f aca="false">SUMIF($C$6:$AL$6,2,C106:AL106)</f>
        <v>279.631666042661</v>
      </c>
      <c r="AO106" s="53" t="n">
        <f aca="false">SUMIF($C$6:$AL$6,3,C106:AL106)</f>
        <v>387.144251077726</v>
      </c>
      <c r="AP106" s="53" t="n">
        <f aca="false">SUM(C106:AL106)</f>
        <v>805.827708501005</v>
      </c>
    </row>
    <row r="107" customFormat="false" ht="15" hidden="false" customHeight="false" outlineLevel="0" collapsed="false">
      <c r="A107" s="7" t="s">
        <v>769</v>
      </c>
      <c r="B107" s="9" t="s">
        <v>762</v>
      </c>
      <c r="C107" s="52" t="n">
        <f aca="false">0</f>
        <v>0</v>
      </c>
      <c r="D107" s="14" t="n">
        <f aca="false">C108*Assumptions!$C$175</f>
        <v>0.116216666666667</v>
      </c>
      <c r="E107" s="14" t="n">
        <f aca="false">D108*Assumptions!$C$175</f>
        <v>0.292824333333333</v>
      </c>
      <c r="F107" s="14" t="n">
        <f aca="false">E108*Assumptions!$C$175</f>
        <v>0.496433126666667</v>
      </c>
      <c r="G107" s="14" t="n">
        <f aca="false">F108*Assumptions!$C$175</f>
        <v>0.703775910266667</v>
      </c>
      <c r="H107" s="14" t="n">
        <f aca="false">G108*Assumptions!$C$175</f>
        <v>0.865778722188693</v>
      </c>
      <c r="I107" s="14" t="n">
        <f aca="false">H108*Assumptions!$C$175</f>
        <v>1.06805646460798</v>
      </c>
      <c r="J107" s="14" t="n">
        <f aca="false">I108*Assumptions!$C$175</f>
        <v>1.30121098935426</v>
      </c>
      <c r="K107" s="14" t="n">
        <f aca="false">J108*Assumptions!$C$175</f>
        <v>1.52495397931491</v>
      </c>
      <c r="L107" s="14" t="n">
        <f aca="false">K108*Assumptions!$C$175</f>
        <v>1.77865997080436</v>
      </c>
      <c r="M107" s="14" t="n">
        <f aca="false">L108*Assumptions!$C$175</f>
        <v>2.03467476462077</v>
      </c>
      <c r="N107" s="14" t="n">
        <f aca="false">M108*Assumptions!$C$175</f>
        <v>2.274894519083</v>
      </c>
      <c r="O107" s="14" t="n">
        <f aca="false">N108*Assumptions!$C$175</f>
        <v>2.53188623867423</v>
      </c>
      <c r="P107" s="14" t="n">
        <f aca="false">O108*Assumptions!$C$175</f>
        <v>2.8321440783433</v>
      </c>
      <c r="Q107" s="14" t="n">
        <f aca="false">P108*Assumptions!$C$175</f>
        <v>3.27389156604422</v>
      </c>
      <c r="R107" s="14" t="n">
        <f aca="false">Q108*Assumptions!$C$175</f>
        <v>3.74562022969302</v>
      </c>
      <c r="S107" s="14" t="n">
        <f aca="false">R108*Assumptions!$C$175</f>
        <v>4.18701454782456</v>
      </c>
      <c r="T107" s="14" t="n">
        <f aca="false">S108*Assumptions!$C$175</f>
        <v>4.48914295013312</v>
      </c>
      <c r="U107" s="14" t="n">
        <f aca="false">T108*Assumptions!$C$175</f>
        <v>4.8444063910103</v>
      </c>
      <c r="V107" s="14" t="n">
        <f aca="false">U108*Assumptions!$C$175</f>
        <v>5.23259612072067</v>
      </c>
      <c r="W107" s="14" t="n">
        <f aca="false">V108*Assumptions!$C$175</f>
        <v>5.58353129727325</v>
      </c>
      <c r="X107" s="14" t="n">
        <f aca="false">W108*Assumptions!$C$175</f>
        <v>5.96969183962801</v>
      </c>
      <c r="Y107" s="14" t="n">
        <f aca="false">X108*Assumptions!$C$175</f>
        <v>6.3412606805476</v>
      </c>
      <c r="Z107" s="14" t="n">
        <f aca="false">Y108*Assumptions!$C$175</f>
        <v>6.67046715073859</v>
      </c>
      <c r="AA107" s="14" t="n">
        <f aca="false">Z108*Assumptions!$C$175</f>
        <v>7.01048649771483</v>
      </c>
      <c r="AB107" s="14" t="n">
        <f aca="false">AA108*Assumptions!$C$175</f>
        <v>7.40915626494126</v>
      </c>
      <c r="AC107" s="14" t="n">
        <f aca="false">AB108*Assumptions!$C$175</f>
        <v>8.01198941470308</v>
      </c>
      <c r="AD107" s="14" t="n">
        <f aca="false">AC108*Assumptions!$C$175</f>
        <v>8.64604713809425</v>
      </c>
      <c r="AE107" s="14" t="n">
        <f aca="false">AD108*Assumptions!$C$175</f>
        <v>9.22217194210675</v>
      </c>
      <c r="AF107" s="14" t="n">
        <f aca="false">AE108*Assumptions!$C$175</f>
        <v>9.58701023572463</v>
      </c>
      <c r="AG107" s="14" t="n">
        <f aca="false">AF108*Assumptions!$C$175</f>
        <v>10.0168719515639</v>
      </c>
      <c r="AH107" s="14" t="n">
        <f aca="false">AG108*Assumptions!$C$175</f>
        <v>10.4812972919494</v>
      </c>
      <c r="AI107" s="14" t="n">
        <f aca="false">AH108*Assumptions!$C$175</f>
        <v>10.884263400679</v>
      </c>
      <c r="AJ107" s="14" t="n">
        <f aca="false">AI108*Assumptions!$C$175</f>
        <v>11.3233633754981</v>
      </c>
      <c r="AK107" s="14" t="n">
        <f aca="false">AJ108*Assumptions!$C$175</f>
        <v>11.7324141141743</v>
      </c>
      <c r="AL107" s="14" t="n">
        <f aca="false">AK108*Assumptions!$C$175</f>
        <v>12.0769400874305</v>
      </c>
      <c r="AM107" s="53" t="n">
        <f aca="false">SUMIF($C$6:$AL$6,1,C107:AL107)</f>
        <v>12.4574794469073</v>
      </c>
      <c r="AN107" s="53" t="n">
        <f aca="false">SUMIF($C$6:$AL$6,2,C107:AL107)</f>
        <v>55.7016530906309</v>
      </c>
      <c r="AO107" s="53" t="n">
        <f aca="false">SUMIF($C$6:$AL$6,3,C107:AL107)</f>
        <v>116.40201171458</v>
      </c>
      <c r="AP107" s="53" t="n">
        <f aca="false">SUM(C107:AL107)</f>
        <v>184.561144252118</v>
      </c>
    </row>
    <row r="108" customFormat="false" ht="15" hidden="false" customHeight="false" outlineLevel="0" collapsed="false">
      <c r="A108" s="7" t="s">
        <v>770</v>
      </c>
      <c r="B108" s="9" t="s">
        <v>762</v>
      </c>
      <c r="C108" s="52" t="n">
        <f aca="false">C106-C107</f>
        <v>5.81083333333333</v>
      </c>
      <c r="D108" s="52" t="n">
        <f aca="false">D106-D107+C108</f>
        <v>14.6412166666667</v>
      </c>
      <c r="E108" s="52" t="n">
        <f aca="false">E106-E107+D108</f>
        <v>24.8216563333333</v>
      </c>
      <c r="F108" s="52" t="n">
        <f aca="false">F106-F107+E108</f>
        <v>35.1887955133333</v>
      </c>
      <c r="G108" s="52" t="n">
        <f aca="false">G106-G107+F108</f>
        <v>43.2889361094347</v>
      </c>
      <c r="H108" s="52" t="n">
        <f aca="false">H106-H107+G108</f>
        <v>53.402823230399</v>
      </c>
      <c r="I108" s="52" t="n">
        <f aca="false">I106-I107+H108</f>
        <v>65.0605494677132</v>
      </c>
      <c r="J108" s="52" t="n">
        <f aca="false">J106-J107+I108</f>
        <v>76.2476989657453</v>
      </c>
      <c r="K108" s="52" t="n">
        <f aca="false">K106-K107+J108</f>
        <v>88.9329985402179</v>
      </c>
      <c r="L108" s="52" t="n">
        <f aca="false">L106-L107+K108</f>
        <v>101.733738231038</v>
      </c>
      <c r="M108" s="52" t="n">
        <f aca="false">M106-M107+L108</f>
        <v>113.74472595415</v>
      </c>
      <c r="N108" s="52" t="n">
        <f aca="false">N106-N107+M108</f>
        <v>126.594311933712</v>
      </c>
      <c r="O108" s="52" t="n">
        <f aca="false">O106-O107+N108</f>
        <v>141.607203917165</v>
      </c>
      <c r="P108" s="52" t="n">
        <f aca="false">P106-P107+O108</f>
        <v>163.694578302211</v>
      </c>
      <c r="Q108" s="52" t="n">
        <f aca="false">Q106-Q107+P108</f>
        <v>187.281011484651</v>
      </c>
      <c r="R108" s="52" t="n">
        <f aca="false">R106-R107+Q108</f>
        <v>209.350727391228</v>
      </c>
      <c r="S108" s="52" t="n">
        <f aca="false">S106-S107+R108</f>
        <v>224.457147506656</v>
      </c>
      <c r="T108" s="52" t="n">
        <f aca="false">T106-T107+S108</f>
        <v>242.220319550515</v>
      </c>
      <c r="U108" s="52" t="n">
        <f aca="false">U106-U107+T108</f>
        <v>261.629806036033</v>
      </c>
      <c r="V108" s="52" t="n">
        <f aca="false">V106-V107+U108</f>
        <v>279.176564863662</v>
      </c>
      <c r="W108" s="52" t="n">
        <f aca="false">W106-W107+V108</f>
        <v>298.4845919814</v>
      </c>
      <c r="X108" s="52" t="n">
        <f aca="false">X106-X107+W108</f>
        <v>317.06303402738</v>
      </c>
      <c r="Y108" s="52" t="n">
        <f aca="false">Y106-Y107+X108</f>
        <v>333.52335753693</v>
      </c>
      <c r="Z108" s="52" t="n">
        <f aca="false">Z106-Z107+Y108</f>
        <v>350.524324885741</v>
      </c>
      <c r="AA108" s="52" t="n">
        <f aca="false">AA106-AA107+Z108</f>
        <v>370.457813247063</v>
      </c>
      <c r="AB108" s="52" t="n">
        <f aca="false">AB106-AB107+AA108</f>
        <v>400.599470735154</v>
      </c>
      <c r="AC108" s="52" t="n">
        <f aca="false">AC106-AC107+AB108</f>
        <v>432.302356904713</v>
      </c>
      <c r="AD108" s="52" t="n">
        <f aca="false">AD106-AD107+AC108</f>
        <v>461.108597105337</v>
      </c>
      <c r="AE108" s="52" t="n">
        <f aca="false">AE106-AE107+AD108</f>
        <v>479.350511786231</v>
      </c>
      <c r="AF108" s="52" t="n">
        <f aca="false">AF106-AF107+AE108</f>
        <v>500.843597578196</v>
      </c>
      <c r="AG108" s="52" t="n">
        <f aca="false">AG106-AG107+AF108</f>
        <v>524.064864597469</v>
      </c>
      <c r="AH108" s="52" t="n">
        <f aca="false">AH106-AH107+AG108</f>
        <v>544.213170033948</v>
      </c>
      <c r="AI108" s="52" t="n">
        <f aca="false">AI106-AI107+AH108</f>
        <v>566.168168774903</v>
      </c>
      <c r="AJ108" s="52" t="n">
        <f aca="false">AJ106-AJ107+AI108</f>
        <v>586.620705708717</v>
      </c>
      <c r="AK108" s="52" t="n">
        <f aca="false">AK106-AK107+AJ108</f>
        <v>603.847004371524</v>
      </c>
      <c r="AL108" s="52" t="n">
        <f aca="false">AL106-AL107+AK108</f>
        <v>621.266564248887</v>
      </c>
      <c r="AM108" s="53" t="n">
        <f aca="false">N108</f>
        <v>126.594311933712</v>
      </c>
      <c r="AN108" s="53" t="n">
        <f aca="false">Z108</f>
        <v>350.524324885741</v>
      </c>
      <c r="AO108" s="53" t="n">
        <f aca="false">AL108</f>
        <v>621.266564248887</v>
      </c>
      <c r="AP108" s="53" t="n">
        <f aca="false">AL108</f>
        <v>621.266564248887</v>
      </c>
    </row>
    <row r="109" customFormat="false" ht="15" hidden="false" customHeight="false" outlineLevel="0" collapsed="false">
      <c r="A109" s="5" t="s">
        <v>771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customFormat="false" ht="15" hidden="false" customHeight="false" outlineLevel="0" collapsed="false">
      <c r="A110" s="7" t="s">
        <v>772</v>
      </c>
      <c r="B110" s="9" t="s">
        <v>751</v>
      </c>
      <c r="C110" s="52" t="n">
        <f aca="false">C20+C30+C40+C50+C60+C70+C80+C90+C100</f>
        <v>1.10833333333333</v>
      </c>
      <c r="D110" s="52" t="n">
        <f aca="false">D20+D30+D40+D50+D60+D70+D80+D90+D100</f>
        <v>5.226</v>
      </c>
      <c r="E110" s="52" t="n">
        <f aca="false">E20+E30+E40+E50+E60+E70+E80+E90+E100</f>
        <v>10.25424</v>
      </c>
      <c r="F110" s="52" t="n">
        <f aca="false">F20+F30+F40+F50+F60+F70+F80+F90+F100</f>
        <v>14.1624942450694</v>
      </c>
      <c r="G110" s="52" t="n">
        <f aca="false">G20+G30+G40+G50+G60+G70+G80+G90+G100</f>
        <v>14.583317862334</v>
      </c>
      <c r="H110" s="52" t="n">
        <f aca="false">H20+H30+H40+H50+H60+H70+H80+H90+H100</f>
        <v>21.6586182915854</v>
      </c>
      <c r="I110" s="52" t="n">
        <f aca="false">I20+I30+I40+I50+I60+I70+I80+I90+I100</f>
        <v>27.3221266500105</v>
      </c>
      <c r="J110" s="52" t="n">
        <f aca="false">J20+J30+J40+J50+J60+J70+J80+J90+J100</f>
        <v>27.2471278217601</v>
      </c>
      <c r="K110" s="52" t="n">
        <f aca="false">K20+K30+K40+K50+K60+K70+K80+K90+K100</f>
        <v>31.1229706199278</v>
      </c>
      <c r="L110" s="52" t="n">
        <f aca="false">L20+L30+L40+L50+L60+L70+L80+L90+L100</f>
        <v>31.9352192199071</v>
      </c>
      <c r="M110" s="52" t="n">
        <f aca="false">M20+M30+M40+M50+M60+M70+M80+M90+M100</f>
        <v>30.4379236939113</v>
      </c>
      <c r="N110" s="52" t="n">
        <f aca="false">N20+N30+N40+N50+N60+N70+N80+N90+N100</f>
        <v>32.4278991537192</v>
      </c>
      <c r="O110" s="52" t="n">
        <f aca="false">O20+O30+O40+O50+O60+O70+O80+O90+O100</f>
        <v>37.348487072217</v>
      </c>
      <c r="P110" s="52" t="n">
        <f aca="false">P20+P30+P40+P50+P60+P70+P80+P90+P100</f>
        <v>52.6710163402699</v>
      </c>
      <c r="Q110" s="52" t="n">
        <f aca="false">Q20+Q30+Q40+Q50+Q60+Q70+Q80+Q90+Q100</f>
        <v>56.3793168941447</v>
      </c>
      <c r="R110" s="52" t="n">
        <f aca="false">R20+R30+R40+R50+R60+R70+R80+R90+R100</f>
        <v>53.8108746619902</v>
      </c>
      <c r="S110" s="52" t="n">
        <f aca="false">S20+S30+S40+S50+S60+S70+S80+S90+S100</f>
        <v>39.9358132189409</v>
      </c>
      <c r="T110" s="52" t="n">
        <f aca="false">T20+T30+T40+T50+T60+T70+T80+T90+T100</f>
        <v>45.7315770530211</v>
      </c>
      <c r="U110" s="52" t="n">
        <f aca="false">U20+U30+U40+U50+U60+U70+U80+U90+U100</f>
        <v>49.4917553032394</v>
      </c>
      <c r="V110" s="52" t="n">
        <f aca="false">V20+V30+V40+V50+V60+V70+V80+V90+V100</f>
        <v>46.1545866182759</v>
      </c>
      <c r="W110" s="52" t="n">
        <f aca="false">W20+W30+W40+W50+W60+W70+W80+W90+W100</f>
        <v>50.0758011063514</v>
      </c>
      <c r="X110" s="52" t="n">
        <f aca="false">X20+X30+X40+X50+X60+X70+X80+X90+X100</f>
        <v>49.0353671251379</v>
      </c>
      <c r="Y110" s="52" t="n">
        <f aca="false">Y20+Y30+Y40+Y50+Y60+Y70+Y80+Y90+Y100</f>
        <v>45.2233387741109</v>
      </c>
      <c r="Z110" s="52" t="n">
        <f aca="false">Z20+Z30+Z40+Z50+Z60+Z70+Z80+Z90+Z100</f>
        <v>46.6133528753923</v>
      </c>
      <c r="AA110" s="52" t="n">
        <f aca="false">AA20+AA30+AA40+AA50+AA60+AA70+AA80+AA90+AA100</f>
        <v>52.7344315486285</v>
      </c>
      <c r="AB110" s="52" t="n">
        <f aca="false">AB20+AB30+AB40+AB50+AB60+AB70+AB80+AB90+AB100</f>
        <v>73.0499370144899</v>
      </c>
      <c r="AC110" s="52" t="n">
        <f aca="false">AC20+AC30+AC40+AC50+AC60+AC70+AC80+AC90+AC100</f>
        <v>76.8064123267254</v>
      </c>
      <c r="AD110" s="52" t="n">
        <f aca="false">AD20+AD30+AD40+AD50+AD60+AD70+AD80+AD90+AD100</f>
        <v>72.0069403542364</v>
      </c>
      <c r="AE110" s="52" t="n">
        <f aca="false">AE20+AE30+AE40+AE50+AE60+AE70+AE80+AE90+AE100</f>
        <v>52.491309184363</v>
      </c>
      <c r="AF110" s="52" t="n">
        <f aca="false">AF20+AF30+AF40+AF50+AF60+AF70+AF80+AF90+AF100</f>
        <v>59.0404820345725</v>
      </c>
      <c r="AG110" s="52" t="n">
        <f aca="false">AG20+AG30+AG40+AG50+AG60+AG70+AG80+AG90+AG100</f>
        <v>62.758418890165</v>
      </c>
      <c r="AH110" s="52" t="n">
        <f aca="false">AH20+AH30+AH40+AH50+AH60+AH70+AH80+AH90+AH100</f>
        <v>57.4850869616721</v>
      </c>
      <c r="AI110" s="52" t="n">
        <f aca="false">AI20+AI30+AI40+AI50+AI60+AI70+AI80+AI90+AI100</f>
        <v>61.2579103938764</v>
      </c>
      <c r="AJ110" s="52" t="n">
        <f aca="false">AJ20+AJ30+AJ40+AJ50+AJ60+AJ70+AJ80+AJ90+AJ100</f>
        <v>58.9159853109347</v>
      </c>
      <c r="AK110" s="52" t="n">
        <f aca="false">AK20+AK30+AK40+AK50+AK60+AK70+AK80+AK90+AK100</f>
        <v>53.3665755492795</v>
      </c>
      <c r="AL110" s="52" t="n">
        <f aca="false">AL20+AL30+AL40+AL50+AL60+AL70+AL80+AL90+AL100</f>
        <v>54.0247061848501</v>
      </c>
      <c r="AM110" s="53" t="n">
        <f aca="false">SUMIF($C$6:$AL$6,1,C110:AL110)</f>
        <v>247.486270891558</v>
      </c>
      <c r="AN110" s="53" t="n">
        <f aca="false">SUMIF($C$6:$AL$6,2,C110:AL110)</f>
        <v>572.471287043092</v>
      </c>
      <c r="AO110" s="53" t="n">
        <f aca="false">SUMIF($C$6:$AL$6,3,C110:AL110)</f>
        <v>733.938195753794</v>
      </c>
      <c r="AP110" s="53" t="n">
        <f aca="false">SUM(C110:AL110)</f>
        <v>1553.89575368844</v>
      </c>
    </row>
    <row r="111" customFormat="false" ht="15" hidden="false" customHeight="false" outlineLevel="0" collapsed="false">
      <c r="A111" s="7" t="s">
        <v>773</v>
      </c>
      <c r="B111" s="9" t="s">
        <v>331</v>
      </c>
      <c r="C111" s="52" t="n">
        <f aca="false">C21+C31+C41+C51+C61+C71+C81+C91+C101</f>
        <v>1.24291666666667</v>
      </c>
      <c r="D111" s="52" t="n">
        <f aca="false">D21+D31+D41+D51+D61+D71+D81+D91+D101</f>
        <v>5.6238</v>
      </c>
      <c r="E111" s="52" t="n">
        <f aca="false">E21+E31+E41+E51+E61+E71+E81+E91+E101</f>
        <v>10.923462</v>
      </c>
      <c r="F111" s="52" t="n">
        <f aca="false">F21+F31+F41+F51+F61+F71+F81+F91+F101</f>
        <v>14.9933792850694</v>
      </c>
      <c r="G111" s="52" t="n">
        <f aca="false">G21+G31+G41+G51+G61+G71+G81+G91+G101</f>
        <v>15.430198101502</v>
      </c>
      <c r="H111" s="52" t="n">
        <f aca="false">H21+H31+H41+H51+H61+H71+H81+H91+H101</f>
        <v>22.9128154170638</v>
      </c>
      <c r="I111" s="52" t="n">
        <f aca="false">I21+I31+I41+I51+I61+I71+I81+I91+I101</f>
        <v>28.7936954985376</v>
      </c>
      <c r="J111" s="52" t="n">
        <f aca="false">J21+J31+J41+J51+J61+J71+J81+J91+J101</f>
        <v>28.7302790492243</v>
      </c>
      <c r="K111" s="52" t="n">
        <f aca="false">K21+K31+K41+K51+K61+K71+K81+K91+K101</f>
        <v>32.8573054770435</v>
      </c>
      <c r="L111" s="52" t="n">
        <f aca="false">L21+L31+L41+L51+L61+L71+L81+L91+L101</f>
        <v>33.7496548007158</v>
      </c>
      <c r="M111" s="52" t="n">
        <f aca="false">M21+M31+M41+M51+M61+M71+M81+M91+M101</f>
        <v>32.1819340499262</v>
      </c>
      <c r="N111" s="52" t="n">
        <f aca="false">N21+N31+N41+N51+N61+N71+N81+N91+N101</f>
        <v>34.3017506477239</v>
      </c>
      <c r="O111" s="52" t="n">
        <f aca="false">O21+O31+O41+O51+O61+O71+O81+O91+O101</f>
        <v>39.5120780310562</v>
      </c>
      <c r="P111" s="52" t="n">
        <f aca="false">P21+P31+P41+P51+P61+P71+P81+P91+P101</f>
        <v>55.7298074709283</v>
      </c>
      <c r="Q111" s="52" t="n">
        <f aca="false">Q21+Q31+Q41+Q51+Q61+Q71+Q81+Q91+Q101</f>
        <v>59.6611364271756</v>
      </c>
      <c r="R111" s="52" t="n">
        <f aca="false">R21+R31+R41+R51+R61+R71+R81+R91+R101</f>
        <v>56.9505509140056</v>
      </c>
      <c r="S111" s="52" t="n">
        <f aca="false">S21+S31+S41+S51+S61+S71+S81+S91+S101</f>
        <v>42.2715865397547</v>
      </c>
      <c r="T111" s="52" t="n">
        <f aca="false">T21+T31+T41+T51+T61+T71+T81+T91+T101</f>
        <v>48.4133428282753</v>
      </c>
      <c r="U111" s="52" t="n">
        <f aca="false">U21+U31+U41+U51+U61+U71+U81+U91+U101</f>
        <v>52.4015480869122</v>
      </c>
      <c r="V111" s="52" t="n">
        <f aca="false">V21+V31+V41+V51+V61+V71+V81+V91+V101</f>
        <v>48.8752040473692</v>
      </c>
      <c r="W111" s="52" t="n">
        <f aca="false">W21+W31+W41+W51+W61+W71+W81+W91+W101</f>
        <v>53.0354084300028</v>
      </c>
      <c r="X111" s="52" t="n">
        <f aca="false">X21+X31+X41+X51+X61+X71+X81+X91+X101</f>
        <v>51.9411754500216</v>
      </c>
      <c r="Y111" s="52" t="n">
        <f aca="false">Y21+Y31+Y41+Y51+Y61+Y71+Y81+Y91+Y101</f>
        <v>47.910480160281</v>
      </c>
      <c r="Z111" s="52" t="n">
        <f aca="false">Z21+Z31+Z41+Z51+Z61+Z71+Z81+Z91+Z101</f>
        <v>49.3907478537129</v>
      </c>
      <c r="AA111" s="52" t="n">
        <f aca="false">AA21+AA31+AA41+AA51+AA61+AA71+AA81+AA91+AA101</f>
        <v>55.8844619412953</v>
      </c>
      <c r="AB111" s="52" t="n">
        <f aca="false">AB21+AB31+AB41+AB51+AB61+AB71+AB81+AB91+AB101</f>
        <v>77.4243263353296</v>
      </c>
      <c r="AC111" s="52" t="n">
        <f aca="false">AC21+AC31+AC41+AC51+AC61+AC71+AC81+AC91+AC101</f>
        <v>81.4164164863216</v>
      </c>
      <c r="AD111" s="52" t="n">
        <f aca="false">AD21+AD31+AD41+AD51+AD61+AD71+AD81+AD91+AD101</f>
        <v>76.3388716515512</v>
      </c>
      <c r="AE111" s="52" t="n">
        <f aca="false">AE21+AE31+AE41+AE51+AE61+AE71+AE81+AE91+AE101</f>
        <v>55.6567091117078</v>
      </c>
      <c r="AF111" s="52" t="n">
        <f aca="false">AF21+AF31+AF41+AF51+AF61+AF71+AF81+AF91+AF101</f>
        <v>62.6100129282551</v>
      </c>
      <c r="AG111" s="52" t="n">
        <f aca="false">AG21+AG31+AG41+AG51+AG61+AG71+AG81+AG91+AG101</f>
        <v>66.5623798173737</v>
      </c>
      <c r="AH111" s="52" t="n">
        <f aca="false">AH21+AH31+AH41+AH51+AH61+AH71+AH81+AH91+AH101</f>
        <v>60.9782310076406</v>
      </c>
      <c r="AI111" s="52" t="n">
        <f aca="false">AI21+AI31+AI41+AI51+AI61+AI71+AI81+AI91+AI101</f>
        <v>64.9899785784699</v>
      </c>
      <c r="AJ111" s="52" t="n">
        <f aca="false">AJ21+AJ31+AJ41+AJ51+AJ61+AJ71+AJ81+AJ91+AJ101</f>
        <v>62.5146418087664</v>
      </c>
      <c r="AK111" s="52" t="n">
        <f aca="false">AK21+AK31+AK41+AK51+AK61+AK71+AK81+AK91+AK101</f>
        <v>56.6348120199804</v>
      </c>
      <c r="AL111" s="52" t="n">
        <f aca="false">AL21+AL31+AL41+AL51+AL61+AL71+AL81+AL91+AL101</f>
        <v>57.3421361830504</v>
      </c>
      <c r="AM111" s="53" t="n">
        <f aca="false">SUMIF($C$6:$AL$6,1,C111:AL111)</f>
        <v>261.741190993473</v>
      </c>
      <c r="AN111" s="53" t="n">
        <f aca="false">SUMIF($C$6:$AL$6,2,C111:AL111)</f>
        <v>606.093066239495</v>
      </c>
      <c r="AO111" s="53" t="n">
        <f aca="false">SUMIF($C$6:$AL$6,3,C111:AL111)</f>
        <v>778.352977869742</v>
      </c>
      <c r="AP111" s="53" t="n">
        <f aca="false">SUM(C111:AL111)</f>
        <v>1646.18723510271</v>
      </c>
    </row>
    <row r="112" customFormat="false" ht="15" hidden="false" customHeight="false" outlineLevel="0" collapsed="false">
      <c r="A112" s="7" t="s">
        <v>774</v>
      </c>
      <c r="B112" s="9" t="s">
        <v>751</v>
      </c>
      <c r="C112" s="52" t="n">
        <f aca="false">C110</f>
        <v>1.10833333333333</v>
      </c>
      <c r="D112" s="52" t="n">
        <f aca="false">D110+C112</f>
        <v>6.33433333333333</v>
      </c>
      <c r="E112" s="52" t="n">
        <f aca="false">E110+D112</f>
        <v>16.5885733333333</v>
      </c>
      <c r="F112" s="52" t="n">
        <f aca="false">F110+E112</f>
        <v>30.7510675784028</v>
      </c>
      <c r="G112" s="52" t="n">
        <f aca="false">G110+F112</f>
        <v>45.3343854407368</v>
      </c>
      <c r="H112" s="52" t="n">
        <f aca="false">H110+G112</f>
        <v>66.9930037323222</v>
      </c>
      <c r="I112" s="52" t="n">
        <f aca="false">I110+H112</f>
        <v>94.3151303823327</v>
      </c>
      <c r="J112" s="52" t="n">
        <f aca="false">J110+I112</f>
        <v>121.562258204093</v>
      </c>
      <c r="K112" s="52" t="n">
        <f aca="false">K110+J112</f>
        <v>152.685228824021</v>
      </c>
      <c r="L112" s="52" t="n">
        <f aca="false">L110+K112</f>
        <v>184.620448043928</v>
      </c>
      <c r="M112" s="52" t="n">
        <f aca="false">M110+L112</f>
        <v>215.058371737839</v>
      </c>
      <c r="N112" s="52" t="n">
        <f aca="false">N110+M112</f>
        <v>247.486270891558</v>
      </c>
      <c r="O112" s="52" t="n">
        <f aca="false">O110+N112</f>
        <v>284.834757963775</v>
      </c>
      <c r="P112" s="52" t="n">
        <f aca="false">P110+O112</f>
        <v>337.505774304045</v>
      </c>
      <c r="Q112" s="52" t="n">
        <f aca="false">Q110+P112</f>
        <v>393.88509119819</v>
      </c>
      <c r="R112" s="52" t="n">
        <f aca="false">R110+Q112</f>
        <v>447.69596586018</v>
      </c>
      <c r="S112" s="52" t="n">
        <f aca="false">S110+R112</f>
        <v>487.631779079121</v>
      </c>
      <c r="T112" s="52" t="n">
        <f aca="false">T110+S112</f>
        <v>533.363356132142</v>
      </c>
      <c r="U112" s="52" t="n">
        <f aca="false">U110+T112</f>
        <v>582.855111435381</v>
      </c>
      <c r="V112" s="52" t="n">
        <f aca="false">V110+U112</f>
        <v>629.009698053657</v>
      </c>
      <c r="W112" s="52" t="n">
        <f aca="false">W110+V112</f>
        <v>679.085499160009</v>
      </c>
      <c r="X112" s="52" t="n">
        <f aca="false">X110+W112</f>
        <v>728.120866285147</v>
      </c>
      <c r="Y112" s="52" t="n">
        <f aca="false">Y110+X112</f>
        <v>773.344205059258</v>
      </c>
      <c r="Z112" s="52" t="n">
        <f aca="false">Z110+Y112</f>
        <v>819.95755793465</v>
      </c>
      <c r="AA112" s="52" t="n">
        <f aca="false">AA110+Z112</f>
        <v>872.691989483278</v>
      </c>
      <c r="AB112" s="52" t="n">
        <f aca="false">AB110+AA112</f>
        <v>945.741926497768</v>
      </c>
      <c r="AC112" s="52" t="n">
        <f aca="false">AC110+AB112</f>
        <v>1022.54833882449</v>
      </c>
      <c r="AD112" s="52" t="n">
        <f aca="false">AD110+AC112</f>
        <v>1094.55527917873</v>
      </c>
      <c r="AE112" s="52" t="n">
        <f aca="false">AE110+AD112</f>
        <v>1147.04658836309</v>
      </c>
      <c r="AF112" s="52" t="n">
        <f aca="false">AF110+AE112</f>
        <v>1206.08707039767</v>
      </c>
      <c r="AG112" s="52" t="n">
        <f aca="false">AG110+AF112</f>
        <v>1268.84548928783</v>
      </c>
      <c r="AH112" s="52" t="n">
        <f aca="false">AH110+AG112</f>
        <v>1326.3305762495</v>
      </c>
      <c r="AI112" s="52" t="n">
        <f aca="false">AI110+AH112</f>
        <v>1387.58848664338</v>
      </c>
      <c r="AJ112" s="52" t="n">
        <f aca="false">AJ110+AI112</f>
        <v>1446.50447195431</v>
      </c>
      <c r="AK112" s="52" t="n">
        <f aca="false">AK110+AJ112</f>
        <v>1499.87104750359</v>
      </c>
      <c r="AL112" s="52" t="n">
        <f aca="false">AL110+AK112</f>
        <v>1553.89575368844</v>
      </c>
      <c r="AM112" s="53" t="n">
        <f aca="false">N112</f>
        <v>247.486270891558</v>
      </c>
      <c r="AN112" s="53" t="n">
        <f aca="false">Z112</f>
        <v>819.95755793465</v>
      </c>
      <c r="AO112" s="53" t="n">
        <f aca="false">AL112</f>
        <v>1553.89575368844</v>
      </c>
      <c r="AP112" s="53" t="n">
        <f aca="false">AL112</f>
        <v>1553.89575368844</v>
      </c>
    </row>
    <row r="113" customFormat="false" ht="15" hidden="false" customHeight="false" outlineLevel="0" collapsed="false">
      <c r="A113" s="7" t="s">
        <v>775</v>
      </c>
      <c r="B113" s="9" t="s">
        <v>331</v>
      </c>
      <c r="C113" s="52" t="n">
        <f aca="false">C111</f>
        <v>1.24291666666667</v>
      </c>
      <c r="D113" s="52" t="n">
        <f aca="false">D111+C113</f>
        <v>6.86671666666667</v>
      </c>
      <c r="E113" s="52" t="n">
        <f aca="false">E111+D113</f>
        <v>17.7901786666667</v>
      </c>
      <c r="F113" s="52" t="n">
        <f aca="false">F111+E113</f>
        <v>32.7835579517361</v>
      </c>
      <c r="G113" s="52" t="n">
        <f aca="false">G111+F113</f>
        <v>48.2137560532381</v>
      </c>
      <c r="H113" s="52" t="n">
        <f aca="false">H111+G113</f>
        <v>71.1265714703019</v>
      </c>
      <c r="I113" s="52" t="n">
        <f aca="false">I111+H113</f>
        <v>99.9202669688395</v>
      </c>
      <c r="J113" s="52" t="n">
        <f aca="false">J111+I113</f>
        <v>128.650546018064</v>
      </c>
      <c r="K113" s="52" t="n">
        <f aca="false">K111+J113</f>
        <v>161.507851495107</v>
      </c>
      <c r="L113" s="52" t="n">
        <f aca="false">L111+K113</f>
        <v>195.257506295823</v>
      </c>
      <c r="M113" s="52" t="n">
        <f aca="false">M111+L113</f>
        <v>227.439440345749</v>
      </c>
      <c r="N113" s="52" t="n">
        <f aca="false">N111+M113</f>
        <v>261.741190993473</v>
      </c>
      <c r="O113" s="52" t="n">
        <f aca="false">O111+N113</f>
        <v>301.253269024529</v>
      </c>
      <c r="P113" s="52" t="n">
        <f aca="false">P111+O113</f>
        <v>356.983076495458</v>
      </c>
      <c r="Q113" s="52" t="n">
        <f aca="false">Q111+P113</f>
        <v>416.644212922633</v>
      </c>
      <c r="R113" s="52" t="n">
        <f aca="false">R111+Q113</f>
        <v>473.594763836639</v>
      </c>
      <c r="S113" s="52" t="n">
        <f aca="false">S111+R113</f>
        <v>515.866350376394</v>
      </c>
      <c r="T113" s="52" t="n">
        <f aca="false">T111+S113</f>
        <v>564.279693204669</v>
      </c>
      <c r="U113" s="52" t="n">
        <f aca="false">U111+T113</f>
        <v>616.681241291581</v>
      </c>
      <c r="V113" s="52" t="n">
        <f aca="false">V111+U113</f>
        <v>665.55644533895</v>
      </c>
      <c r="W113" s="52" t="n">
        <f aca="false">W111+V113</f>
        <v>718.591853768953</v>
      </c>
      <c r="X113" s="52" t="n">
        <f aca="false">X111+W113</f>
        <v>770.533029218974</v>
      </c>
      <c r="Y113" s="52" t="n">
        <f aca="false">Y111+X113</f>
        <v>818.443509379255</v>
      </c>
      <c r="Z113" s="52" t="n">
        <f aca="false">Z111+Y113</f>
        <v>867.834257232968</v>
      </c>
      <c r="AA113" s="52" t="n">
        <f aca="false">AA111+Z113</f>
        <v>923.718719174264</v>
      </c>
      <c r="AB113" s="52" t="n">
        <f aca="false">AB111+AA113</f>
        <v>1001.14304550959</v>
      </c>
      <c r="AC113" s="52" t="n">
        <f aca="false">AC111+AB113</f>
        <v>1082.55946199591</v>
      </c>
      <c r="AD113" s="52" t="n">
        <f aca="false">AD111+AC113</f>
        <v>1158.89833364747</v>
      </c>
      <c r="AE113" s="52" t="n">
        <f aca="false">AE111+AD113</f>
        <v>1214.55504275917</v>
      </c>
      <c r="AF113" s="52" t="n">
        <f aca="false">AF111+AE113</f>
        <v>1277.16505568743</v>
      </c>
      <c r="AG113" s="52" t="n">
        <f aca="false">AG111+AF113</f>
        <v>1343.7274355048</v>
      </c>
      <c r="AH113" s="52" t="n">
        <f aca="false">AH111+AG113</f>
        <v>1404.70566651244</v>
      </c>
      <c r="AI113" s="52" t="n">
        <f aca="false">AI111+AH113</f>
        <v>1469.69564509091</v>
      </c>
      <c r="AJ113" s="52" t="n">
        <f aca="false">AJ111+AI113</f>
        <v>1532.21028689968</v>
      </c>
      <c r="AK113" s="52" t="n">
        <f aca="false">AK111+AJ113</f>
        <v>1588.84509891966</v>
      </c>
      <c r="AL113" s="52" t="n">
        <f aca="false">AL111+AK113</f>
        <v>1646.18723510271</v>
      </c>
      <c r="AM113" s="53" t="n">
        <f aca="false">N113</f>
        <v>261.741190993473</v>
      </c>
      <c r="AN113" s="53" t="n">
        <f aca="false">Z113</f>
        <v>867.834257232968</v>
      </c>
      <c r="AO113" s="53" t="n">
        <f aca="false">AL113</f>
        <v>1646.18723510271</v>
      </c>
      <c r="AP113" s="53" t="n">
        <f aca="false">AL113</f>
        <v>1646.18723510271</v>
      </c>
    </row>
    <row r="114" customFormat="false" ht="15" hidden="false" customHeight="false" outlineLevel="0" collapsed="false">
      <c r="A114" s="57" t="s">
        <v>776</v>
      </c>
      <c r="B114" s="58" t="s">
        <v>93</v>
      </c>
      <c r="C114" s="59" t="n">
        <f aca="false">C23+C33+C43+C53+C63+C73+C83+C93+C103</f>
        <v>11.0898619821429</v>
      </c>
      <c r="D114" s="59" t="n">
        <f aca="false">D23+D33+D43+D53+D63+D73+D83+D93+D103</f>
        <v>61.0347973114286</v>
      </c>
      <c r="E114" s="59" t="n">
        <f aca="false">E23+E33+E43+E53+E63+E73+E83+E93+E103</f>
        <v>125.355934015457</v>
      </c>
      <c r="F114" s="59" t="n">
        <f aca="false">F23+F33+F43+F53+F63+F73+F83+F93+F103</f>
        <v>176.680193127356</v>
      </c>
      <c r="G114" s="59" t="n">
        <f aca="false">G23+G33+G43+G53+G63+G73+G83+G93+G103</f>
        <v>183.796820784219</v>
      </c>
      <c r="H114" s="59" t="n">
        <f aca="false">H23+H33+H43+H53+H63+H73+H83+H93+H103</f>
        <v>274.35843636921</v>
      </c>
      <c r="I114" s="59" t="n">
        <f aca="false">I23+I33+I43+I53+I63+I73+I83+I93+I103</f>
        <v>351.988415040889</v>
      </c>
      <c r="J114" s="59" t="n">
        <f aca="false">J23+J33+J43+J53+J63+J73+J83+J93+J103</f>
        <v>352.703367665365</v>
      </c>
      <c r="K114" s="59" t="n">
        <f aca="false">K23+K33+K43+K53+K63+K73+K83+K93+K103</f>
        <v>402.539975340037</v>
      </c>
      <c r="L114" s="59" t="n">
        <f aca="false">L23+L33+L43+L53+L63+L73+L83+L93+L103</f>
        <v>412.782076999452</v>
      </c>
      <c r="M114" s="59" t="n">
        <f aca="false">M23+M33+M43+M53+M63+M73+M83+M93+M103</f>
        <v>392.584877639884</v>
      </c>
      <c r="N114" s="59" t="n">
        <f aca="false">N23+N33+N43+N53+N63+N73+N83+N93+N103</f>
        <v>417.318019921611</v>
      </c>
      <c r="O114" s="59" t="n">
        <f aca="false">O23+O33+O43+O53+O63+O73+O83+O93+O103</f>
        <v>480.497074257222</v>
      </c>
      <c r="P114" s="59" t="n">
        <f aca="false">P23+P33+P43+P53+P63+P73+P83+P93+P103</f>
        <v>677.461952371275</v>
      </c>
      <c r="Q114" s="59" t="n">
        <f aca="false">Q23+Q33+Q43+Q53+Q63+Q73+Q83+Q93+Q103</f>
        <v>725.160533797733</v>
      </c>
      <c r="R114" s="59" t="n">
        <f aca="false">R23+R33+R43+R53+R63+R73+R83+R93+R103</f>
        <v>692.134548788874</v>
      </c>
      <c r="S114" s="59" t="n">
        <f aca="false">S23+S33+S43+S53+S63+S73+S83+S93+S103</f>
        <v>513.623924043153</v>
      </c>
      <c r="T114" s="59" t="n">
        <f aca="false">T23+T33+T43+T53+T63+T73+T83+T93+T103</f>
        <v>587.945201019994</v>
      </c>
      <c r="U114" s="59" t="n">
        <f aca="false">U23+U33+U43+U53+U63+U73+U83+U93+U103</f>
        <v>636.092793074491</v>
      </c>
      <c r="V114" s="59" t="n">
        <f aca="false">V23+V33+V43+V53+V63+V73+V83+V93+V103</f>
        <v>593.035722966476</v>
      </c>
      <c r="W114" s="59" t="n">
        <f aca="false">W23+W33+W43+W53+W63+W73+W83+W93+W103</f>
        <v>643.180699861174</v>
      </c>
      <c r="X114" s="59" t="n">
        <f aca="false">X23+X33+X43+X53+X63+X73+X83+X93+X103</f>
        <v>629.602706370495</v>
      </c>
      <c r="Y114" s="59" t="n">
        <f aca="false">Y23+Y33+Y43+Y53+Y63+Y73+Y83+Y93+Y103</f>
        <v>580.430609757376</v>
      </c>
      <c r="Z114" s="59" t="n">
        <f aca="false">Z23+Z33+Z43+Z53+Z63+Z73+Z83+Z93+Z103</f>
        <v>597.985474728723</v>
      </c>
      <c r="AA114" s="59" t="n">
        <f aca="false">AA23+AA33+AA43+AA53+AA63+AA73+AA83+AA93+AA103</f>
        <v>676.532445927234</v>
      </c>
      <c r="AB114" s="59" t="n">
        <f aca="false">AB23+AB33+AB43+AB53+AB63+AB73+AB83+AB93+AB103</f>
        <v>937.258734971868</v>
      </c>
      <c r="AC114" s="59" t="n">
        <f aca="false">AC23+AC33+AC43+AC53+AC63+AC73+AC83+AC93+AC103</f>
        <v>985.8304705088</v>
      </c>
      <c r="AD114" s="59" t="n">
        <f aca="false">AD23+AD33+AD43+AD53+AD63+AD73+AD83+AD93+AD103</f>
        <v>924.599993306475</v>
      </c>
      <c r="AE114" s="59" t="n">
        <f aca="false">AE23+AE33+AE43+AE53+AE63+AE73+AE83+AE93+AE103</f>
        <v>674.213050464466</v>
      </c>
      <c r="AF114" s="59" t="n">
        <f aca="false">AF23+AF33+AF43+AF53+AF63+AF73+AF83+AF93+AF103</f>
        <v>758.325568163973</v>
      </c>
      <c r="AG114" s="59" t="n">
        <f aca="false">AG23+AG33+AG43+AG53+AG63+AG73+AG83+AG93+AG103</f>
        <v>806.132930844828</v>
      </c>
      <c r="AH114" s="59" t="n">
        <f aca="false">AH23+AH33+AH43+AH53+AH63+AH73+AH83+AH93+AH103</f>
        <v>738.46947461809</v>
      </c>
      <c r="AI114" s="59" t="n">
        <f aca="false">AI23+AI33+AI43+AI53+AI63+AI73+AI83+AI93+AI103</f>
        <v>786.937806932098</v>
      </c>
      <c r="AJ114" s="59" t="n">
        <f aca="false">AJ23+AJ33+AJ43+AJ53+AJ63+AJ73+AJ83+AJ93+AJ103</f>
        <v>756.880029180082</v>
      </c>
      <c r="AK114" s="59" t="n">
        <f aca="false">AK23+AK33+AK43+AK53+AK63+AK73+AK83+AK93+AK103</f>
        <v>685.576705534349</v>
      </c>
      <c r="AL114" s="59" t="n">
        <f aca="false">AL23+AL33+AL43+AL53+AL63+AL73+AL83+AL93+AL103</f>
        <v>693.954138823253</v>
      </c>
      <c r="AM114" s="60" t="n">
        <f aca="false">SUMIF($C$6:$AL$6,1,C114:AL114)</f>
        <v>3162.23277619705</v>
      </c>
      <c r="AN114" s="60" t="n">
        <f aca="false">SUMIF($C$6:$AL$6,2,C114:AL114)</f>
        <v>7357.15124103698</v>
      </c>
      <c r="AO114" s="60" t="n">
        <f aca="false">SUMIF($C$6:$AL$6,3,C114:AL114)</f>
        <v>9424.71134927551</v>
      </c>
      <c r="AP114" s="60" t="n">
        <f aca="false">SUM(C114:AL114)</f>
        <v>19944.0953665096</v>
      </c>
    </row>
    <row r="115" customFormat="false" ht="15" hidden="false" customHeight="false" outlineLevel="0" collapsed="false">
      <c r="A115" s="57" t="s">
        <v>777</v>
      </c>
      <c r="B115" s="58" t="s">
        <v>93</v>
      </c>
      <c r="C115" s="59" t="n">
        <f aca="false">C24+C34+C44+C54+C64+C74+C84+C94+C104</f>
        <v>9.43807352358929</v>
      </c>
      <c r="D115" s="59" t="n">
        <f aca="false">D24+D34+D44+D54+D64+D74+D84+D94+D104</f>
        <v>39.7568583728829</v>
      </c>
      <c r="E115" s="59" t="n">
        <f aca="false">E24+E34+E44+E54+E64+E74+E84+E94+E104</f>
        <v>73.8786086626883</v>
      </c>
      <c r="F115" s="59" t="n">
        <f aca="false">F24+F34+F44+F54+F64+F74+F84+F94+F104</f>
        <v>99.1444071427854</v>
      </c>
      <c r="G115" s="59" t="n">
        <f aca="false">G24+G34+G44+G54+G64+G74+G84+G94+G104</f>
        <v>100.665921551019</v>
      </c>
      <c r="H115" s="59" t="n">
        <f aca="false">H24+H34+H44+H54+H64+H74+H84+H94+H104</f>
        <v>148.496120360388</v>
      </c>
      <c r="I115" s="59" t="n">
        <f aca="false">I24+I34+I44+I54+I64+I74+I84+I94+I104</f>
        <v>183.818636410974</v>
      </c>
      <c r="J115" s="59" t="n">
        <f aca="false">J24+J34+J44+J54+J64+J74+J84+J94+J104</f>
        <v>181.828646297282</v>
      </c>
      <c r="K115" s="59" t="n">
        <f aca="false">K24+K34+K44+K54+K64+K74+K84+K94+K104</f>
        <v>208.276758010068</v>
      </c>
      <c r="L115" s="59" t="n">
        <f aca="false">L24+L34+L44+L54+L64+L74+L84+L94+L104</f>
        <v>213.882958792059</v>
      </c>
      <c r="M115" s="59" t="n">
        <f aca="false">M24+M34+M44+M54+M64+M74+M84+M94+M104</f>
        <v>204.71380352786</v>
      </c>
      <c r="N115" s="59" t="n">
        <f aca="false">N24+N34+N44+N54+N64+N74+N84+N94+N104</f>
        <v>218.964808947618</v>
      </c>
      <c r="O115" s="59" t="n">
        <f aca="false">O24+O34+O44+O54+O64+O74+O84+O94+O104</f>
        <v>252.745087609504</v>
      </c>
      <c r="P115" s="59" t="n">
        <f aca="false">P24+P34+P44+P54+P64+P74+P84+P94+P104</f>
        <v>357.263377963617</v>
      </c>
      <c r="Q115" s="59" t="n">
        <f aca="false">Q24+Q34+Q44+Q54+Q64+Q74+Q84+Q94+Q104</f>
        <v>383.50330591406</v>
      </c>
      <c r="R115" s="59" t="n">
        <f aca="false">R24+R34+R44+R54+R64+R74+R84+R94+R104</f>
        <v>367.076640349684</v>
      </c>
      <c r="S115" s="59" t="n">
        <f aca="false">S24+S34+S44+S54+S64+S74+S84+S94+S104</f>
        <v>273.140404188786</v>
      </c>
      <c r="T115" s="59" t="n">
        <f aca="false">T24+T34+T44+T54+T64+T74+T84+T94+T104</f>
        <v>313.403417210326</v>
      </c>
      <c r="U115" s="59" t="n">
        <f aca="false">U24+U34+U44+U54+U64+U74+U84+U94+U104</f>
        <v>339.893849543353</v>
      </c>
      <c r="V115" s="59" t="n">
        <f aca="false">V24+V34+V44+V54+V64+V74+V84+V94+V104</f>
        <v>317.664627459035</v>
      </c>
      <c r="W115" s="59" t="n">
        <f aca="false">W24+W34+W44+W54+W64+W74+W84+W94+W104</f>
        <v>345.332823576495</v>
      </c>
      <c r="X115" s="59" t="n">
        <f aca="false">X24+X34+X44+X54+X64+X74+X84+X94+X104</f>
        <v>338.843765183028</v>
      </c>
      <c r="Y115" s="59" t="n">
        <f aca="false">Y24+Y34+Y44+Y54+Y64+Y74+Y84+Y94+Y104</f>
        <v>313.100463131345</v>
      </c>
      <c r="Z115" s="59" t="n">
        <f aca="false">Z24+Z34+Z44+Z54+Z64+Z74+Z84+Z94+Z104</f>
        <v>323.280257483821</v>
      </c>
      <c r="AA115" s="59" t="n">
        <f aca="false">AA24+AA34+AA44+AA54+AA64+AA74+AA84+AA94+AA104</f>
        <v>366.27440927644</v>
      </c>
      <c r="AB115" s="59" t="n">
        <f aca="false">AB24+AB34+AB44+AB54+AB64+AB74+AB84+AB94+AB104</f>
        <v>508.210547880319</v>
      </c>
      <c r="AC115" s="59" t="n">
        <f aca="false">AC24+AC34+AC44+AC54+AC64+AC74+AC84+AC94+AC104</f>
        <v>535.533247274219</v>
      </c>
      <c r="AD115" s="59" t="n">
        <f aca="false">AD24+AD34+AD44+AD54+AD64+AD74+AD84+AD94+AD104</f>
        <v>503.210523552259</v>
      </c>
      <c r="AE115" s="59" t="n">
        <f aca="false">AE24+AE34+AE44+AE54+AE64+AE74+AE84+AE94+AE104</f>
        <v>367.584352320571</v>
      </c>
      <c r="AF115" s="59" t="n">
        <f aca="false">AF24+AF34+AF44+AF54+AF64+AF74+AF84+AF94+AF104</f>
        <v>414.033358924559</v>
      </c>
      <c r="AG115" s="59" t="n">
        <f aca="false">AG24+AG34+AG44+AG54+AG64+AG74+AG84+AG94+AG104</f>
        <v>440.802445202649</v>
      </c>
      <c r="AH115" s="59" t="n">
        <f aca="false">AH24+AH34+AH44+AH54+AH64+AH74+AH84+AH94+AH104</f>
        <v>404.431181780512</v>
      </c>
      <c r="AI115" s="59" t="n">
        <f aca="false">AI24+AI34+AI44+AI54+AI64+AI74+AI84+AI94+AI104</f>
        <v>431.602955477463</v>
      </c>
      <c r="AJ115" s="59" t="n">
        <f aca="false">AJ24+AJ34+AJ44+AJ54+AJ64+AJ74+AJ84+AJ94+AJ104</f>
        <v>415.739348940031</v>
      </c>
      <c r="AK115" s="59" t="n">
        <f aca="false">AK24+AK34+AK44+AK54+AK64+AK74+AK84+AK94+AK104</f>
        <v>377.118724696175</v>
      </c>
      <c r="AL115" s="59" t="n">
        <f aca="false">AL24+AL34+AL44+AL54+AL64+AL74+AL84+AL94+AL104</f>
        <v>382.242911287554</v>
      </c>
      <c r="AM115" s="60" t="n">
        <f aca="false">SUMIF($C$6:$AL$6,1,C115:AL115)</f>
        <v>1682.86560159921</v>
      </c>
      <c r="AN115" s="60" t="n">
        <f aca="false">SUMIF($C$6:$AL$6,2,C115:AL115)</f>
        <v>3925.24801961305</v>
      </c>
      <c r="AO115" s="60" t="n">
        <f aca="false">SUMIF($C$6:$AL$6,3,C115:AL115)</f>
        <v>5146.78400661275</v>
      </c>
      <c r="AP115" s="60" t="n">
        <f aca="false">SUM(C115:AL115)</f>
        <v>10754.897627825</v>
      </c>
    </row>
    <row r="116" customFormat="false" ht="15" hidden="false" customHeight="false" outlineLevel="0" collapsed="false">
      <c r="A116" s="7" t="s">
        <v>778</v>
      </c>
      <c r="B116" s="9" t="s">
        <v>88</v>
      </c>
      <c r="C116" s="36" t="n">
        <f aca="false">IF(C114=0,0,C115/C114)</f>
        <v>0.851054191547801</v>
      </c>
      <c r="D116" s="36" t="n">
        <f aca="false">IF(D114=0,0,D115/D114)</f>
        <v>0.651380198250261</v>
      </c>
      <c r="E116" s="36" t="n">
        <f aca="false">IF(E114=0,0,E115/E114)</f>
        <v>0.589350709584906</v>
      </c>
      <c r="F116" s="36" t="n">
        <f aca="false">IF(F114=0,0,F115/F114)</f>
        <v>0.561151792896894</v>
      </c>
      <c r="G116" s="36" t="n">
        <f aca="false">IF(G114=0,0,G115/G114)</f>
        <v>0.547702191591239</v>
      </c>
      <c r="H116" s="36" t="n">
        <f aca="false">IF(H114=0,0,H115/H114)</f>
        <v>0.541248602833387</v>
      </c>
      <c r="I116" s="36" t="n">
        <f aca="false">IF(I114=0,0,I115/I114)</f>
        <v>0.522229222770358</v>
      </c>
      <c r="J116" s="36" t="n">
        <f aca="false">IF(J114=0,0,J115/J114)</f>
        <v>0.515528523305157</v>
      </c>
      <c r="K116" s="36" t="n">
        <f aca="false">IF(K114=0,0,K115/K114)</f>
        <v>0.51740639630668</v>
      </c>
      <c r="L116" s="36" t="n">
        <f aca="false">IF(L114=0,0,L115/L114)</f>
        <v>0.518149819747003</v>
      </c>
      <c r="M116" s="36" t="n">
        <f aca="false">IF(M114=0,0,M115/M114)</f>
        <v>0.521451067495379</v>
      </c>
      <c r="N116" s="36" t="n">
        <f aca="false">IF(N114=0,0,N115/N114)</f>
        <v>0.524695312674848</v>
      </c>
      <c r="O116" s="36" t="n">
        <f aca="false">IF(O114=0,0,O115/O114)</f>
        <v>0.526007547496957</v>
      </c>
      <c r="P116" s="36" t="n">
        <f aca="false">IF(P114=0,0,P115/P114)</f>
        <v>0.527355634826593</v>
      </c>
      <c r="Q116" s="36" t="n">
        <f aca="false">IF(Q114=0,0,Q115/Q114)</f>
        <v>0.528852975362045</v>
      </c>
      <c r="R116" s="36" t="n">
        <f aca="false">IF(R114=0,0,R115/R114)</f>
        <v>0.530354453468636</v>
      </c>
      <c r="S116" s="36" t="n">
        <f aca="false">IF(S114=0,0,S115/S114)</f>
        <v>0.531790657332849</v>
      </c>
      <c r="T116" s="36" t="n">
        <f aca="false">IF(T114=0,0,T115/T114)</f>
        <v>0.533048686623548</v>
      </c>
      <c r="U116" s="36" t="n">
        <f aca="false">IF(U114=0,0,U115/U114)</f>
        <v>0.534346330038594</v>
      </c>
      <c r="V116" s="36" t="n">
        <f aca="false">IF(V114=0,0,V115/V114)</f>
        <v>0.535658502779592</v>
      </c>
      <c r="W116" s="36" t="n">
        <f aca="false">IF(W114=0,0,W115/W114)</f>
        <v>0.536914157484876</v>
      </c>
      <c r="X116" s="36" t="n">
        <f aca="false">IF(X114=0,0,X115/X114)</f>
        <v>0.538186640169289</v>
      </c>
      <c r="Y116" s="36" t="n">
        <f aca="false">IF(Y114=0,0,Y115/Y114)</f>
        <v>0.539427896923325</v>
      </c>
      <c r="Z116" s="36" t="n">
        <f aca="false">IF(Z114=0,0,Z115/Z114)</f>
        <v>0.540615568681627</v>
      </c>
      <c r="AA116" s="36" t="n">
        <f aca="false">IF(AA114=0,0,AA115/AA114)</f>
        <v>0.541399620197721</v>
      </c>
      <c r="AB116" s="36" t="n">
        <f aca="false">IF(AB114=0,0,AB115/AB114)</f>
        <v>0.542230793821914</v>
      </c>
      <c r="AC116" s="36" t="n">
        <f aca="false">IF(AC114=0,0,AC115/AC114)</f>
        <v>0.543230568839918</v>
      </c>
      <c r="AD116" s="36" t="n">
        <f aca="false">IF(AD114=0,0,AD115/AD114)</f>
        <v>0.544246730689149</v>
      </c>
      <c r="AE116" s="36" t="n">
        <f aca="false">IF(AE114=0,0,AE115/AE114)</f>
        <v>0.545205038774231</v>
      </c>
      <c r="AF116" s="36" t="n">
        <f aca="false">IF(AF114=0,0,AF115/AF114)</f>
        <v>0.545983646479177</v>
      </c>
      <c r="AG116" s="36" t="n">
        <f aca="false">IF(AG114=0,0,AG115/AG114)</f>
        <v>0.546811113076212</v>
      </c>
      <c r="AH116" s="36" t="n">
        <f aca="false">IF(AH114=0,0,AH115/AH114)</f>
        <v>0.54766133967781</v>
      </c>
      <c r="AI116" s="36" t="n">
        <f aca="false">IF(AI114=0,0,AI115/AI114)</f>
        <v>0.548458787562998</v>
      </c>
      <c r="AJ116" s="36" t="n">
        <f aca="false">IF(AJ114=0,0,AJ115/AJ114)</f>
        <v>0.549280378543474</v>
      </c>
      <c r="AK116" s="36" t="n">
        <f aca="false">IF(AK114=0,0,AK115/AK114)</f>
        <v>0.550075172700396</v>
      </c>
      <c r="AL116" s="36" t="n">
        <f aca="false">IF(AL114=0,0,AL115/AL114)</f>
        <v>0.550818692335675</v>
      </c>
    </row>
    <row r="117" customFormat="false" ht="15" hidden="false" customHeight="false" outlineLevel="0" collapsed="false">
      <c r="A117" s="7" t="s">
        <v>779</v>
      </c>
      <c r="B117" s="9" t="s">
        <v>93</v>
      </c>
      <c r="C117" s="8" t="n">
        <f aca="false">IF(C$4&gt;=Assumptions!$C$178,CHOOSE(C$6,Assumptions!$C$179,Assumptions!$C$180,Assumptions!$C$181),0)</f>
        <v>0</v>
      </c>
      <c r="D117" s="8" t="n">
        <f aca="false">IF(D$4&gt;=Assumptions!$C$178,CHOOSE(D$6,Assumptions!$C$179,Assumptions!$C$180,Assumptions!$C$181),0)</f>
        <v>0</v>
      </c>
      <c r="E117" s="8" t="n">
        <f aca="false">IF(E$4&gt;=Assumptions!$C$178,CHOOSE(E$6,Assumptions!$C$179,Assumptions!$C$180,Assumptions!$C$181),0)</f>
        <v>0</v>
      </c>
      <c r="F117" s="8" t="n">
        <f aca="false">IF(F$4&gt;=Assumptions!$C$178,CHOOSE(F$6,Assumptions!$C$179,Assumptions!$C$180,Assumptions!$C$181),0)</f>
        <v>0</v>
      </c>
      <c r="G117" s="8" t="n">
        <f aca="false">IF(G$4&gt;=Assumptions!$C$178,CHOOSE(G$6,Assumptions!$C$179,Assumptions!$C$180,Assumptions!$C$181),0)</f>
        <v>0</v>
      </c>
      <c r="H117" s="8" t="n">
        <f aca="false">IF(H$4&gt;=Assumptions!$C$178,CHOOSE(H$6,Assumptions!$C$179,Assumptions!$C$180,Assumptions!$C$181),0)</f>
        <v>0</v>
      </c>
      <c r="I117" s="8" t="n">
        <f aca="false">IF(I$4&gt;=Assumptions!$C$178,CHOOSE(I$6,Assumptions!$C$179,Assumptions!$C$180,Assumptions!$C$181),0)</f>
        <v>0</v>
      </c>
      <c r="J117" s="8" t="n">
        <f aca="false">IF(J$4&gt;=Assumptions!$C$178,CHOOSE(J$6,Assumptions!$C$179,Assumptions!$C$180,Assumptions!$C$181),0)</f>
        <v>0</v>
      </c>
      <c r="K117" s="8" t="n">
        <f aca="false">IF(K$4&gt;=Assumptions!$C$178,CHOOSE(K$6,Assumptions!$C$179,Assumptions!$C$180,Assumptions!$C$181),0)</f>
        <v>0</v>
      </c>
      <c r="L117" s="8" t="n">
        <f aca="false">IF(L$4&gt;=Assumptions!$C$178,CHOOSE(L$6,Assumptions!$C$179,Assumptions!$C$180,Assumptions!$C$181),0)</f>
        <v>0</v>
      </c>
      <c r="M117" s="8" t="n">
        <f aca="false">IF(M$4&gt;=Assumptions!$C$178,CHOOSE(M$6,Assumptions!$C$179,Assumptions!$C$180,Assumptions!$C$181),0)</f>
        <v>0</v>
      </c>
      <c r="N117" s="8" t="n">
        <f aca="false">IF(N$4&gt;=Assumptions!$C$178,CHOOSE(N$6,Assumptions!$C$179,Assumptions!$C$180,Assumptions!$C$181),0)</f>
        <v>0</v>
      </c>
      <c r="O117" s="8" t="n">
        <f aca="false">IF(O$4&gt;=Assumptions!$C$178,CHOOSE(O$6,Assumptions!$C$179,Assumptions!$C$180,Assumptions!$C$181),0)</f>
        <v>150</v>
      </c>
      <c r="P117" s="8" t="n">
        <f aca="false">IF(P$4&gt;=Assumptions!$C$178,CHOOSE(P$6,Assumptions!$C$179,Assumptions!$C$180,Assumptions!$C$181),0)</f>
        <v>150</v>
      </c>
      <c r="Q117" s="8" t="n">
        <f aca="false">IF(Q$4&gt;=Assumptions!$C$178,CHOOSE(Q$6,Assumptions!$C$179,Assumptions!$C$180,Assumptions!$C$181),0)</f>
        <v>150</v>
      </c>
      <c r="R117" s="8" t="n">
        <f aca="false">IF(R$4&gt;=Assumptions!$C$178,CHOOSE(R$6,Assumptions!$C$179,Assumptions!$C$180,Assumptions!$C$181),0)</f>
        <v>150</v>
      </c>
      <c r="S117" s="8" t="n">
        <f aca="false">IF(S$4&gt;=Assumptions!$C$178,CHOOSE(S$6,Assumptions!$C$179,Assumptions!$C$180,Assumptions!$C$181),0)</f>
        <v>150</v>
      </c>
      <c r="T117" s="8" t="n">
        <f aca="false">IF(T$4&gt;=Assumptions!$C$178,CHOOSE(T$6,Assumptions!$C$179,Assumptions!$C$180,Assumptions!$C$181),0)</f>
        <v>150</v>
      </c>
      <c r="U117" s="8" t="n">
        <f aca="false">IF(U$4&gt;=Assumptions!$C$178,CHOOSE(U$6,Assumptions!$C$179,Assumptions!$C$180,Assumptions!$C$181),0)</f>
        <v>150</v>
      </c>
      <c r="V117" s="8" t="n">
        <f aca="false">IF(V$4&gt;=Assumptions!$C$178,CHOOSE(V$6,Assumptions!$C$179,Assumptions!$C$180,Assumptions!$C$181),0)</f>
        <v>150</v>
      </c>
      <c r="W117" s="8" t="n">
        <f aca="false">IF(W$4&gt;=Assumptions!$C$178,CHOOSE(W$6,Assumptions!$C$179,Assumptions!$C$180,Assumptions!$C$181),0)</f>
        <v>150</v>
      </c>
      <c r="X117" s="8" t="n">
        <f aca="false">IF(X$4&gt;=Assumptions!$C$178,CHOOSE(X$6,Assumptions!$C$179,Assumptions!$C$180,Assumptions!$C$181),0)</f>
        <v>150</v>
      </c>
      <c r="Y117" s="8" t="n">
        <f aca="false">IF(Y$4&gt;=Assumptions!$C$178,CHOOSE(Y$6,Assumptions!$C$179,Assumptions!$C$180,Assumptions!$C$181),0)</f>
        <v>150</v>
      </c>
      <c r="Z117" s="8" t="n">
        <f aca="false">IF(Z$4&gt;=Assumptions!$C$178,CHOOSE(Z$6,Assumptions!$C$179,Assumptions!$C$180,Assumptions!$C$181),0)</f>
        <v>150</v>
      </c>
      <c r="AA117" s="8" t="n">
        <f aca="false">IF(AA$4&gt;=Assumptions!$C$178,CHOOSE(AA$6,Assumptions!$C$179,Assumptions!$C$180,Assumptions!$C$181),0)</f>
        <v>250</v>
      </c>
      <c r="AB117" s="8" t="n">
        <f aca="false">IF(AB$4&gt;=Assumptions!$C$178,CHOOSE(AB$6,Assumptions!$C$179,Assumptions!$C$180,Assumptions!$C$181),0)</f>
        <v>250</v>
      </c>
      <c r="AC117" s="8" t="n">
        <f aca="false">IF(AC$4&gt;=Assumptions!$C$178,CHOOSE(AC$6,Assumptions!$C$179,Assumptions!$C$180,Assumptions!$C$181),0)</f>
        <v>250</v>
      </c>
      <c r="AD117" s="8" t="n">
        <f aca="false">IF(AD$4&gt;=Assumptions!$C$178,CHOOSE(AD$6,Assumptions!$C$179,Assumptions!$C$180,Assumptions!$C$181),0)</f>
        <v>250</v>
      </c>
      <c r="AE117" s="8" t="n">
        <f aca="false">IF(AE$4&gt;=Assumptions!$C$178,CHOOSE(AE$6,Assumptions!$C$179,Assumptions!$C$180,Assumptions!$C$181),0)</f>
        <v>250</v>
      </c>
      <c r="AF117" s="8" t="n">
        <f aca="false">IF(AF$4&gt;=Assumptions!$C$178,CHOOSE(AF$6,Assumptions!$C$179,Assumptions!$C$180,Assumptions!$C$181),0)</f>
        <v>250</v>
      </c>
      <c r="AG117" s="8" t="n">
        <f aca="false">IF(AG$4&gt;=Assumptions!$C$178,CHOOSE(AG$6,Assumptions!$C$179,Assumptions!$C$180,Assumptions!$C$181),0)</f>
        <v>250</v>
      </c>
      <c r="AH117" s="8" t="n">
        <f aca="false">IF(AH$4&gt;=Assumptions!$C$178,CHOOSE(AH$6,Assumptions!$C$179,Assumptions!$C$180,Assumptions!$C$181),0)</f>
        <v>250</v>
      </c>
      <c r="AI117" s="8" t="n">
        <f aca="false">IF(AI$4&gt;=Assumptions!$C$178,CHOOSE(AI$6,Assumptions!$C$179,Assumptions!$C$180,Assumptions!$C$181),0)</f>
        <v>250</v>
      </c>
      <c r="AJ117" s="8" t="n">
        <f aca="false">IF(AJ$4&gt;=Assumptions!$C$178,CHOOSE(AJ$6,Assumptions!$C$179,Assumptions!$C$180,Assumptions!$C$181),0)</f>
        <v>250</v>
      </c>
      <c r="AK117" s="8" t="n">
        <f aca="false">IF(AK$4&gt;=Assumptions!$C$178,CHOOSE(AK$6,Assumptions!$C$179,Assumptions!$C$180,Assumptions!$C$181),0)</f>
        <v>250</v>
      </c>
      <c r="AL117" s="8" t="n">
        <f aca="false">IF(AL$4&gt;=Assumptions!$C$178,CHOOSE(AL$6,Assumptions!$C$179,Assumptions!$C$180,Assumptions!$C$181),0)</f>
        <v>250</v>
      </c>
      <c r="AM117" s="45" t="n">
        <f aca="false">SUMIF($C$6:$AL$6,1,C117:AL117)</f>
        <v>0</v>
      </c>
      <c r="AN117" s="45" t="n">
        <f aca="false">SUMIF($C$6:$AL$6,2,C117:AL117)</f>
        <v>1800</v>
      </c>
      <c r="AO117" s="45" t="n">
        <f aca="false">SUMIF($C$6:$AL$6,3,C117:AL117)</f>
        <v>3000</v>
      </c>
      <c r="AP117" s="45" t="n">
        <f aca="false">SUM(C117:AL117)</f>
        <v>4800</v>
      </c>
    </row>
    <row r="118" customFormat="false" ht="15" hidden="false" customHeight="false" outlineLevel="0" collapsed="false">
      <c r="A118" s="7" t="s">
        <v>780</v>
      </c>
      <c r="B118" s="9" t="s">
        <v>93</v>
      </c>
      <c r="C118" s="8" t="n">
        <f aca="false">'Monthly Operating Costs'!O$33</f>
        <v>1237.3185</v>
      </c>
      <c r="D118" s="8" t="n">
        <f aca="false">'Monthly Operating Costs'!P$33</f>
        <v>735.7185</v>
      </c>
      <c r="E118" s="8" t="n">
        <f aca="false">'Monthly Operating Costs'!Q$33</f>
        <v>814.3685</v>
      </c>
      <c r="F118" s="8" t="n">
        <f aca="false">'Monthly Operating Costs'!R$33</f>
        <v>1226.8685</v>
      </c>
      <c r="G118" s="8" t="n">
        <f aca="false">'Monthly Operating Costs'!S$33</f>
        <v>944.1685</v>
      </c>
      <c r="H118" s="8" t="n">
        <f aca="false">'Monthly Operating Costs'!T$33</f>
        <v>814.3685</v>
      </c>
      <c r="I118" s="8" t="n">
        <f aca="false">'Monthly Operating Costs'!U$33</f>
        <v>2244.3685</v>
      </c>
      <c r="J118" s="8" t="n">
        <f aca="false">'Monthly Operating Costs'!V$33</f>
        <v>814.3685</v>
      </c>
      <c r="K118" s="8" t="n">
        <f aca="false">'Monthly Operating Costs'!W$33</f>
        <v>814.3685</v>
      </c>
      <c r="L118" s="8" t="n">
        <f aca="false">'Monthly Operating Costs'!X$33</f>
        <v>814.3685</v>
      </c>
      <c r="M118" s="8" t="n">
        <f aca="false">'Monthly Operating Costs'!Y$33</f>
        <v>814.3685</v>
      </c>
      <c r="N118" s="8" t="n">
        <f aca="false">'Monthly Operating Costs'!Z$33</f>
        <v>814.3685</v>
      </c>
      <c r="O118" s="8" t="n">
        <f aca="false">'Monthly Operating Costs'!AA$33</f>
        <v>1667.4185</v>
      </c>
      <c r="P118" s="8" t="n">
        <f aca="false">'Monthly Operating Costs'!AB$33</f>
        <v>835.8185</v>
      </c>
      <c r="Q118" s="8" t="n">
        <f aca="false">'Monthly Operating Costs'!AC$33</f>
        <v>835.8185</v>
      </c>
      <c r="R118" s="8" t="n">
        <f aca="false">'Monthly Operating Costs'!AD$33</f>
        <v>1248.3185</v>
      </c>
      <c r="S118" s="8" t="n">
        <f aca="false">'Monthly Operating Costs'!AE$33</f>
        <v>965.6185</v>
      </c>
      <c r="T118" s="8" t="n">
        <f aca="false">'Monthly Operating Costs'!AF$33</f>
        <v>835.8185</v>
      </c>
      <c r="U118" s="8" t="n">
        <f aca="false">'Monthly Operating Costs'!AG$33</f>
        <v>2265.8185</v>
      </c>
      <c r="V118" s="8" t="n">
        <f aca="false">'Monthly Operating Costs'!AH$33</f>
        <v>835.8185</v>
      </c>
      <c r="W118" s="8" t="n">
        <f aca="false">'Monthly Operating Costs'!AI$33</f>
        <v>835.8185</v>
      </c>
      <c r="X118" s="8" t="n">
        <f aca="false">'Monthly Operating Costs'!AJ$33</f>
        <v>835.8185</v>
      </c>
      <c r="Y118" s="8" t="n">
        <f aca="false">'Monthly Operating Costs'!AK$33</f>
        <v>835.8185</v>
      </c>
      <c r="Z118" s="8" t="n">
        <f aca="false">'Monthly Operating Costs'!AL$33</f>
        <v>835.8185</v>
      </c>
      <c r="AA118" s="8" t="n">
        <f aca="false">'Monthly Operating Costs'!AM$33</f>
        <v>1667.4185</v>
      </c>
      <c r="AB118" s="8" t="n">
        <f aca="false">'Monthly Operating Costs'!AN$33</f>
        <v>835.8185</v>
      </c>
      <c r="AC118" s="8" t="n">
        <f aca="false">'Monthly Operating Costs'!AO$33</f>
        <v>835.8185</v>
      </c>
      <c r="AD118" s="8" t="n">
        <f aca="false">'Monthly Operating Costs'!AP$33</f>
        <v>1248.3185</v>
      </c>
      <c r="AE118" s="8" t="n">
        <f aca="false">'Monthly Operating Costs'!AQ$33</f>
        <v>965.6185</v>
      </c>
      <c r="AF118" s="8" t="n">
        <f aca="false">'Monthly Operating Costs'!AR$33</f>
        <v>835.8185</v>
      </c>
      <c r="AG118" s="8" t="n">
        <f aca="false">'Monthly Operating Costs'!AS$33</f>
        <v>2265.8185</v>
      </c>
      <c r="AH118" s="8" t="n">
        <f aca="false">'Monthly Operating Costs'!AT$33</f>
        <v>835.8185</v>
      </c>
      <c r="AI118" s="8" t="n">
        <f aca="false">'Monthly Operating Costs'!AU$33</f>
        <v>835.8185</v>
      </c>
      <c r="AJ118" s="8" t="n">
        <f aca="false">'Monthly Operating Costs'!AV$33</f>
        <v>835.8185</v>
      </c>
      <c r="AK118" s="8" t="n">
        <f aca="false">'Monthly Operating Costs'!AW$33</f>
        <v>835.8185</v>
      </c>
      <c r="AL118" s="8" t="n">
        <f aca="false">'Monthly Operating Costs'!AX$33</f>
        <v>835.8185</v>
      </c>
      <c r="AM118" s="45" t="n">
        <f aca="false">SUMIF($C$6:$AL$6,1,C118:AL118)</f>
        <v>12089.022</v>
      </c>
      <c r="AN118" s="45" t="n">
        <f aca="false">SUMIF($C$6:$AL$6,2,C118:AL118)</f>
        <v>12833.722</v>
      </c>
      <c r="AO118" s="45" t="n">
        <f aca="false">SUMIF($C$6:$AL$6,3,C118:AL118)</f>
        <v>12833.722</v>
      </c>
      <c r="AP118" s="45" t="n">
        <f aca="false">SUM(C118:AL118)</f>
        <v>37756.466</v>
      </c>
    </row>
    <row r="119" customFormat="false" ht="15" hidden="false" customHeight="false" outlineLevel="0" collapsed="false">
      <c r="A119" s="7" t="s">
        <v>781</v>
      </c>
      <c r="B119" s="9" t="s">
        <v>93</v>
      </c>
      <c r="C119" s="8" t="n">
        <f aca="false">IF(AND(Assumptions!$C$145=1,$B$11&gt;0,C$4&gt;=$B$11),Assumptions!$C$60+Assumptions!$C$61,0)+IF(C96=1,'Retail Readiness Costs'!$H$29,0)</f>
        <v>0</v>
      </c>
      <c r="D119" s="8" t="n">
        <f aca="false">IF(AND(Assumptions!$C$145=1,$B$11&gt;0,D$4&gt;=$B$11),Assumptions!$C$60+Assumptions!$C$61,0)+IF(D96=1,'Retail Readiness Costs'!$H$29,0)</f>
        <v>0</v>
      </c>
      <c r="E119" s="8" t="n">
        <f aca="false">IF(AND(Assumptions!$C$145=1,$B$11&gt;0,E$4&gt;=$B$11),Assumptions!$C$60+Assumptions!$C$61,0)+IF(E96=1,'Retail Readiness Costs'!$H$29,0)</f>
        <v>0</v>
      </c>
      <c r="F119" s="8" t="n">
        <f aca="false">IF(AND(Assumptions!$C$145=1,$B$11&gt;0,F$4&gt;=$B$11),Assumptions!$C$60+Assumptions!$C$61,0)+IF(F96=1,'Retail Readiness Costs'!$H$29,0)</f>
        <v>0</v>
      </c>
      <c r="G119" s="8" t="n">
        <f aca="false">IF(AND(Assumptions!$C$145=1,$B$11&gt;0,G$4&gt;=$B$11),Assumptions!$C$60+Assumptions!$C$61,0)+IF(G96=1,'Retail Readiness Costs'!$H$29,0)</f>
        <v>0</v>
      </c>
      <c r="H119" s="8" t="n">
        <f aca="false">IF(AND(Assumptions!$C$145=1,$B$11&gt;0,H$4&gt;=$B$11),Assumptions!$C$60+Assumptions!$C$61,0)+IF(H96=1,'Retail Readiness Costs'!$H$29,0)</f>
        <v>0</v>
      </c>
      <c r="I119" s="8" t="n">
        <f aca="false">IF(AND(Assumptions!$C$145=1,$B$11&gt;0,I$4&gt;=$B$11),Assumptions!$C$60+Assumptions!$C$61,0)+IF(I96=1,'Retail Readiness Costs'!$H$29,0)</f>
        <v>0</v>
      </c>
      <c r="J119" s="8" t="n">
        <f aca="false">IF(AND(Assumptions!$C$145=1,$B$11&gt;0,J$4&gt;=$B$11),Assumptions!$C$60+Assumptions!$C$61,0)+IF(J96=1,'Retail Readiness Costs'!$H$29,0)</f>
        <v>139.99</v>
      </c>
      <c r="K119" s="8" t="n">
        <f aca="false">IF(AND(Assumptions!$C$145=1,$B$11&gt;0,K$4&gt;=$B$11),Assumptions!$C$60+Assumptions!$C$61,0)+IF(K96=1,'Retail Readiness Costs'!$H$29,0)</f>
        <v>139.99</v>
      </c>
      <c r="L119" s="8" t="n">
        <f aca="false">IF(AND(Assumptions!$C$145=1,$B$11&gt;0,L$4&gt;=$B$11),Assumptions!$C$60+Assumptions!$C$61,0)+IF(L96=1,'Retail Readiness Costs'!$H$29,0)</f>
        <v>139.99</v>
      </c>
      <c r="M119" s="8" t="n">
        <f aca="false">IF(AND(Assumptions!$C$145=1,$B$11&gt;0,M$4&gt;=$B$11),Assumptions!$C$60+Assumptions!$C$61,0)+IF(M96=1,'Retail Readiness Costs'!$H$29,0)</f>
        <v>139.99</v>
      </c>
      <c r="N119" s="8" t="n">
        <f aca="false">IF(AND(Assumptions!$C$145=1,$B$11&gt;0,N$4&gt;=$B$11),Assumptions!$C$60+Assumptions!$C$61,0)+IF(N96=1,'Retail Readiness Costs'!$H$29,0)</f>
        <v>139.99</v>
      </c>
      <c r="O119" s="8" t="n">
        <f aca="false">IF(AND(Assumptions!$C$145=1,$B$11&gt;0,O$4&gt;=$B$11),Assumptions!$C$60+Assumptions!$C$61,0)+IF(O96=1,'Retail Readiness Costs'!$H$29,0)</f>
        <v>139.99</v>
      </c>
      <c r="P119" s="8" t="n">
        <f aca="false">IF(AND(Assumptions!$C$145=1,$B$11&gt;0,P$4&gt;=$B$11),Assumptions!$C$60+Assumptions!$C$61,0)+IF(P96=1,'Retail Readiness Costs'!$H$29,0)</f>
        <v>139.99</v>
      </c>
      <c r="Q119" s="8" t="n">
        <f aca="false">IF(AND(Assumptions!$C$145=1,$B$11&gt;0,Q$4&gt;=$B$11),Assumptions!$C$60+Assumptions!$C$61,0)+IF(Q96=1,'Retail Readiness Costs'!$H$29,0)</f>
        <v>139.99</v>
      </c>
      <c r="R119" s="8" t="n">
        <f aca="false">IF(AND(Assumptions!$C$145=1,$B$11&gt;0,R$4&gt;=$B$11),Assumptions!$C$60+Assumptions!$C$61,0)+IF(R96=1,'Retail Readiness Costs'!$H$29,0)</f>
        <v>139.99</v>
      </c>
      <c r="S119" s="8" t="n">
        <f aca="false">IF(AND(Assumptions!$C$145=1,$B$11&gt;0,S$4&gt;=$B$11),Assumptions!$C$60+Assumptions!$C$61,0)+IF(S96=1,'Retail Readiness Costs'!$H$29,0)</f>
        <v>139.99</v>
      </c>
      <c r="T119" s="8" t="n">
        <f aca="false">IF(AND(Assumptions!$C$145=1,$B$11&gt;0,T$4&gt;=$B$11),Assumptions!$C$60+Assumptions!$C$61,0)+IF(T96=1,'Retail Readiness Costs'!$H$29,0)</f>
        <v>139.99</v>
      </c>
      <c r="U119" s="8" t="n">
        <f aca="false">IF(AND(Assumptions!$C$145=1,$B$11&gt;0,U$4&gt;=$B$11),Assumptions!$C$60+Assumptions!$C$61,0)+IF(U96=1,'Retail Readiness Costs'!$H$29,0)</f>
        <v>139.99</v>
      </c>
      <c r="V119" s="8" t="n">
        <f aca="false">IF(AND(Assumptions!$C$145=1,$B$11&gt;0,V$4&gt;=$B$11),Assumptions!$C$60+Assumptions!$C$61,0)+IF(V96=1,'Retail Readiness Costs'!$H$29,0)</f>
        <v>139.99</v>
      </c>
      <c r="W119" s="8" t="n">
        <f aca="false">IF(AND(Assumptions!$C$145=1,$B$11&gt;0,W$4&gt;=$B$11),Assumptions!$C$60+Assumptions!$C$61,0)+IF(W96=1,'Retail Readiness Costs'!$H$29,0)</f>
        <v>139.99</v>
      </c>
      <c r="X119" s="8" t="n">
        <f aca="false">IF(AND(Assumptions!$C$145=1,$B$11&gt;0,X$4&gt;=$B$11),Assumptions!$C$60+Assumptions!$C$61,0)+IF(X96=1,'Retail Readiness Costs'!$H$29,0)</f>
        <v>139.99</v>
      </c>
      <c r="Y119" s="8" t="n">
        <f aca="false">IF(AND(Assumptions!$C$145=1,$B$11&gt;0,Y$4&gt;=$B$11),Assumptions!$C$60+Assumptions!$C$61,0)+IF(Y96=1,'Retail Readiness Costs'!$H$29,0)</f>
        <v>139.99</v>
      </c>
      <c r="Z119" s="8" t="n">
        <f aca="false">IF(AND(Assumptions!$C$145=1,$B$11&gt;0,Z$4&gt;=$B$11),Assumptions!$C$60+Assumptions!$C$61,0)+IF(Z96=1,'Retail Readiness Costs'!$H$29,0)</f>
        <v>139.99</v>
      </c>
      <c r="AA119" s="8" t="n">
        <f aca="false">IF(AND(Assumptions!$C$145=1,$B$11&gt;0,AA$4&gt;=$B$11),Assumptions!$C$60+Assumptions!$C$61,0)+IF(AA96=1,'Retail Readiness Costs'!$H$29,0)</f>
        <v>139.99</v>
      </c>
      <c r="AB119" s="8" t="n">
        <f aca="false">IF(AND(Assumptions!$C$145=1,$B$11&gt;0,AB$4&gt;=$B$11),Assumptions!$C$60+Assumptions!$C$61,0)+IF(AB96=1,'Retail Readiness Costs'!$H$29,0)</f>
        <v>139.99</v>
      </c>
      <c r="AC119" s="8" t="n">
        <f aca="false">IF(AND(Assumptions!$C$145=1,$B$11&gt;0,AC$4&gt;=$B$11),Assumptions!$C$60+Assumptions!$C$61,0)+IF(AC96=1,'Retail Readiness Costs'!$H$29,0)</f>
        <v>139.99</v>
      </c>
      <c r="AD119" s="8" t="n">
        <f aca="false">IF(AND(Assumptions!$C$145=1,$B$11&gt;0,AD$4&gt;=$B$11),Assumptions!$C$60+Assumptions!$C$61,0)+IF(AD96=1,'Retail Readiness Costs'!$H$29,0)</f>
        <v>139.99</v>
      </c>
      <c r="AE119" s="8" t="n">
        <f aca="false">IF(AND(Assumptions!$C$145=1,$B$11&gt;0,AE$4&gt;=$B$11),Assumptions!$C$60+Assumptions!$C$61,0)+IF(AE96=1,'Retail Readiness Costs'!$H$29,0)</f>
        <v>139.99</v>
      </c>
      <c r="AF119" s="8" t="n">
        <f aca="false">IF(AND(Assumptions!$C$145=1,$B$11&gt;0,AF$4&gt;=$B$11),Assumptions!$C$60+Assumptions!$C$61,0)+IF(AF96=1,'Retail Readiness Costs'!$H$29,0)</f>
        <v>139.99</v>
      </c>
      <c r="AG119" s="8" t="n">
        <f aca="false">IF(AND(Assumptions!$C$145=1,$B$11&gt;0,AG$4&gt;=$B$11),Assumptions!$C$60+Assumptions!$C$61,0)+IF(AG96=1,'Retail Readiness Costs'!$H$29,0)</f>
        <v>139.99</v>
      </c>
      <c r="AH119" s="8" t="n">
        <f aca="false">IF(AND(Assumptions!$C$145=1,$B$11&gt;0,AH$4&gt;=$B$11),Assumptions!$C$60+Assumptions!$C$61,0)+IF(AH96=1,'Retail Readiness Costs'!$H$29,0)</f>
        <v>139.99</v>
      </c>
      <c r="AI119" s="8" t="n">
        <f aca="false">IF(AND(Assumptions!$C$145=1,$B$11&gt;0,AI$4&gt;=$B$11),Assumptions!$C$60+Assumptions!$C$61,0)+IF(AI96=1,'Retail Readiness Costs'!$H$29,0)</f>
        <v>139.99</v>
      </c>
      <c r="AJ119" s="8" t="n">
        <f aca="false">IF(AND(Assumptions!$C$145=1,$B$11&gt;0,AJ$4&gt;=$B$11),Assumptions!$C$60+Assumptions!$C$61,0)+IF(AJ96=1,'Retail Readiness Costs'!$H$29,0)</f>
        <v>139.99</v>
      </c>
      <c r="AK119" s="8" t="n">
        <f aca="false">IF(AND(Assumptions!$C$145=1,$B$11&gt;0,AK$4&gt;=$B$11),Assumptions!$C$60+Assumptions!$C$61,0)+IF(AK96=1,'Retail Readiness Costs'!$H$29,0)</f>
        <v>139.99</v>
      </c>
      <c r="AL119" s="8" t="n">
        <f aca="false">IF(AND(Assumptions!$C$145=1,$B$11&gt;0,AL$4&gt;=$B$11),Assumptions!$C$60+Assumptions!$C$61,0)+IF(AL96=1,'Retail Readiness Costs'!$H$29,0)</f>
        <v>139.99</v>
      </c>
      <c r="AM119" s="45" t="n">
        <f aca="false">SUMIF($C$6:$AL$6,1,C119:AL119)</f>
        <v>699.95</v>
      </c>
      <c r="AN119" s="45" t="n">
        <f aca="false">SUMIF($C$6:$AL$6,2,C119:AL119)</f>
        <v>1679.88</v>
      </c>
      <c r="AO119" s="45" t="n">
        <f aca="false">SUMIF($C$6:$AL$6,3,C119:AL119)</f>
        <v>1679.88</v>
      </c>
      <c r="AP119" s="45" t="n">
        <f aca="false">SUM(C119:AL119)</f>
        <v>4059.71</v>
      </c>
    </row>
    <row r="120" customFormat="false" ht="15" hidden="false" customHeight="false" outlineLevel="0" collapsed="false">
      <c r="A120" s="57" t="s">
        <v>782</v>
      </c>
      <c r="B120" s="58" t="s">
        <v>93</v>
      </c>
      <c r="C120" s="59" t="n">
        <f aca="false">C115-C117-C118-C119</f>
        <v>-1227.88042647641</v>
      </c>
      <c r="D120" s="59" t="n">
        <f aca="false">D115-D117-D118-D119</f>
        <v>-695.961641627117</v>
      </c>
      <c r="E120" s="59" t="n">
        <f aca="false">E115-E117-E118-E119</f>
        <v>-740.489891337312</v>
      </c>
      <c r="F120" s="59" t="n">
        <f aca="false">F115-F117-F118-F119</f>
        <v>-1127.72409285721</v>
      </c>
      <c r="G120" s="59" t="n">
        <f aca="false">G115-G117-G118-G119</f>
        <v>-843.502578448981</v>
      </c>
      <c r="H120" s="59" t="n">
        <f aca="false">H115-H117-H118-H119</f>
        <v>-665.872379639612</v>
      </c>
      <c r="I120" s="59" t="n">
        <f aca="false">I115-I117-I118-I119</f>
        <v>-2060.54986358903</v>
      </c>
      <c r="J120" s="59" t="n">
        <f aca="false">J115-J117-J118-J119</f>
        <v>-772.529853702719</v>
      </c>
      <c r="K120" s="59" t="n">
        <f aca="false">K115-K117-K118-K119</f>
        <v>-746.081741989932</v>
      </c>
      <c r="L120" s="59" t="n">
        <f aca="false">L115-L117-L118-L119</f>
        <v>-740.475541207941</v>
      </c>
      <c r="M120" s="59" t="n">
        <f aca="false">M115-M117-M118-M119</f>
        <v>-749.64469647214</v>
      </c>
      <c r="N120" s="59" t="n">
        <f aca="false">N115-N117-N118-N119</f>
        <v>-735.393691052382</v>
      </c>
      <c r="O120" s="59" t="n">
        <f aca="false">O115-O117-O118-O119</f>
        <v>-1704.6634123905</v>
      </c>
      <c r="P120" s="59" t="n">
        <f aca="false">P115-P117-P118-P119</f>
        <v>-768.545122036383</v>
      </c>
      <c r="Q120" s="59" t="n">
        <f aca="false">Q115-Q117-Q118-Q119</f>
        <v>-742.30519408594</v>
      </c>
      <c r="R120" s="59" t="n">
        <f aca="false">R115-R117-R118-R119</f>
        <v>-1171.23185965032</v>
      </c>
      <c r="S120" s="59" t="n">
        <f aca="false">S115-S117-S118-S119</f>
        <v>-982.468095811214</v>
      </c>
      <c r="T120" s="59" t="n">
        <f aca="false">T115-T117-T118-T119</f>
        <v>-812.405082789675</v>
      </c>
      <c r="U120" s="59" t="n">
        <f aca="false">U115-U117-U118-U119</f>
        <v>-2215.91465045665</v>
      </c>
      <c r="V120" s="59" t="n">
        <f aca="false">V115-V117-V118-V119</f>
        <v>-808.143872540965</v>
      </c>
      <c r="W120" s="59" t="n">
        <f aca="false">W115-W117-W118-W119</f>
        <v>-780.475676423505</v>
      </c>
      <c r="X120" s="59" t="n">
        <f aca="false">X115-X117-X118-X119</f>
        <v>-786.964734816972</v>
      </c>
      <c r="Y120" s="59" t="n">
        <f aca="false">Y115-Y117-Y118-Y119</f>
        <v>-812.708036868656</v>
      </c>
      <c r="Z120" s="59" t="n">
        <f aca="false">Z115-Z117-Z118-Z119</f>
        <v>-802.528242516179</v>
      </c>
      <c r="AA120" s="59" t="n">
        <f aca="false">AA115-AA117-AA118-AA119</f>
        <v>-1691.13409072356</v>
      </c>
      <c r="AB120" s="59" t="n">
        <f aca="false">AB115-AB117-AB118-AB119</f>
        <v>-717.597952119681</v>
      </c>
      <c r="AC120" s="59" t="n">
        <f aca="false">AC115-AC117-AC118-AC119</f>
        <v>-690.275252725781</v>
      </c>
      <c r="AD120" s="59" t="n">
        <f aca="false">AD115-AD117-AD118-AD119</f>
        <v>-1135.09797644774</v>
      </c>
      <c r="AE120" s="59" t="n">
        <f aca="false">AE115-AE117-AE118-AE119</f>
        <v>-988.024147679429</v>
      </c>
      <c r="AF120" s="59" t="n">
        <f aca="false">AF115-AF117-AF118-AF119</f>
        <v>-811.775141075441</v>
      </c>
      <c r="AG120" s="59" t="n">
        <f aca="false">AG115-AG117-AG118-AG119</f>
        <v>-2215.00605479735</v>
      </c>
      <c r="AH120" s="59" t="n">
        <f aca="false">AH115-AH117-AH118-AH119</f>
        <v>-821.377318219488</v>
      </c>
      <c r="AI120" s="59" t="n">
        <f aca="false">AI115-AI117-AI118-AI119</f>
        <v>-794.205544522537</v>
      </c>
      <c r="AJ120" s="59" t="n">
        <f aca="false">AJ115-AJ117-AJ118-AJ119</f>
        <v>-810.069151059969</v>
      </c>
      <c r="AK120" s="59" t="n">
        <f aca="false">AK115-AK117-AK118-AK119</f>
        <v>-848.689775303825</v>
      </c>
      <c r="AL120" s="59" t="n">
        <f aca="false">AL115-AL117-AL118-AL119</f>
        <v>-843.565588712447</v>
      </c>
      <c r="AM120" s="60" t="n">
        <f aca="false">SUMIF($C$6:$AL$6,1,C120:AL120)</f>
        <v>-11106.1063984008</v>
      </c>
      <c r="AN120" s="60" t="n">
        <f aca="false">SUMIF($C$6:$AL$6,2,C120:AL120)</f>
        <v>-12388.3539803869</v>
      </c>
      <c r="AO120" s="60" t="n">
        <f aca="false">SUMIF($C$6:$AL$6,3,C120:AL120)</f>
        <v>-12366.8179933873</v>
      </c>
      <c r="AP120" s="60" t="n">
        <f aca="false">SUM(C120:AL120)</f>
        <v>-35861.278372175</v>
      </c>
    </row>
    <row r="121" customFormat="false" ht="15" hidden="false" customHeight="false" outlineLevel="0" collapsed="false">
      <c r="A121" s="7" t="s">
        <v>783</v>
      </c>
      <c r="B121" s="9" t="s">
        <v>93</v>
      </c>
      <c r="C121" s="8" t="n">
        <f aca="false">SUMPRODUCT(('Startup Costs'!$F$6:$F$32=C$4)*'Startup Costs'!$G$6:$G$32*'Startup Costs'!$E$6:$E$32)</f>
        <v>4253.5</v>
      </c>
      <c r="D121" s="8" t="n">
        <f aca="false">SUMPRODUCT(('Startup Costs'!$F$6:$F$32=D$4)*'Startup Costs'!$G$6:$G$32*'Startup Costs'!$E$6:$E$32)</f>
        <v>1420</v>
      </c>
      <c r="E121" s="8" t="n">
        <f aca="false">SUMPRODUCT(('Startup Costs'!$F$6:$F$32=E$4)*'Startup Costs'!$G$6:$G$32*'Startup Costs'!$E$6:$E$32)</f>
        <v>1975</v>
      </c>
      <c r="F121" s="8" t="n">
        <f aca="false">SUMPRODUCT(('Startup Costs'!$F$6:$F$32=F$4)*'Startup Costs'!$G$6:$G$32*'Startup Costs'!$E$6:$E$32)</f>
        <v>650</v>
      </c>
      <c r="G121" s="8" t="n">
        <f aca="false">SUMPRODUCT(('Startup Costs'!$F$6:$F$32=G$4)*'Startup Costs'!$G$6:$G$32*'Startup Costs'!$E$6:$E$32)</f>
        <v>1037.5</v>
      </c>
      <c r="H121" s="8" t="n">
        <f aca="false">SUMPRODUCT(('Startup Costs'!$F$6:$F$32=H$4)*'Startup Costs'!$G$6:$G$32*'Startup Costs'!$E$6:$E$32)</f>
        <v>4250</v>
      </c>
      <c r="I121" s="8" t="n">
        <f aca="false">SUMPRODUCT(('Startup Costs'!$F$6:$F$32=I$4)*'Startup Costs'!$G$6:$G$32*'Startup Costs'!$E$6:$E$32)</f>
        <v>5250</v>
      </c>
      <c r="J121" s="8" t="n">
        <f aca="false">SUMPRODUCT(('Startup Costs'!$F$6:$F$32=J$4)*'Startup Costs'!$G$6:$G$32*'Startup Costs'!$E$6:$E$32)</f>
        <v>0</v>
      </c>
      <c r="K121" s="8" t="n">
        <f aca="false">SUMPRODUCT(('Startup Costs'!$F$6:$F$32=K$4)*'Startup Costs'!$G$6:$G$32*'Startup Costs'!$E$6:$E$32)</f>
        <v>687.5</v>
      </c>
      <c r="L121" s="8" t="n">
        <f aca="false">SUMPRODUCT(('Startup Costs'!$F$6:$F$32=L$4)*'Startup Costs'!$G$6:$G$32*'Startup Costs'!$E$6:$E$32)</f>
        <v>262.5</v>
      </c>
      <c r="M121" s="8" t="n">
        <f aca="false">SUMPRODUCT(('Startup Costs'!$F$6:$F$32=M$4)*'Startup Costs'!$G$6:$G$32*'Startup Costs'!$E$6:$E$32)</f>
        <v>0</v>
      </c>
      <c r="N121" s="8" t="n">
        <f aca="false">SUMPRODUCT(('Startup Costs'!$F$6:$F$32=N$4)*'Startup Costs'!$G$6:$G$32*'Startup Costs'!$E$6:$E$32)</f>
        <v>0</v>
      </c>
      <c r="O121" s="8" t="n">
        <f aca="false">SUMPRODUCT(('Startup Costs'!$F$6:$F$32=O$4)*'Startup Costs'!$G$6:$G$32*'Startup Costs'!$E$6:$E$32)</f>
        <v>0</v>
      </c>
      <c r="P121" s="8" t="n">
        <f aca="false">SUMPRODUCT(('Startup Costs'!$F$6:$F$32=P$4)*'Startup Costs'!$G$6:$G$32*'Startup Costs'!$E$6:$E$32)</f>
        <v>0</v>
      </c>
      <c r="Q121" s="8" t="n">
        <f aca="false">SUMPRODUCT(('Startup Costs'!$F$6:$F$32=Q$4)*'Startup Costs'!$G$6:$G$32*'Startup Costs'!$E$6:$E$32)</f>
        <v>0</v>
      </c>
      <c r="R121" s="8" t="n">
        <f aca="false">SUMPRODUCT(('Startup Costs'!$F$6:$F$32=R$4)*'Startup Costs'!$G$6:$G$32*'Startup Costs'!$E$6:$E$32)</f>
        <v>0</v>
      </c>
      <c r="S121" s="8" t="n">
        <f aca="false">SUMPRODUCT(('Startup Costs'!$F$6:$F$32=S$4)*'Startup Costs'!$G$6:$G$32*'Startup Costs'!$E$6:$E$32)</f>
        <v>0</v>
      </c>
      <c r="T121" s="8" t="n">
        <f aca="false">SUMPRODUCT(('Startup Costs'!$F$6:$F$32=T$4)*'Startup Costs'!$G$6:$G$32*'Startup Costs'!$E$6:$E$32)</f>
        <v>0</v>
      </c>
      <c r="U121" s="8" t="n">
        <f aca="false">SUMPRODUCT(('Startup Costs'!$F$6:$F$32=U$4)*'Startup Costs'!$G$6:$G$32*'Startup Costs'!$E$6:$E$32)</f>
        <v>0</v>
      </c>
      <c r="V121" s="8" t="n">
        <f aca="false">SUMPRODUCT(('Startup Costs'!$F$6:$F$32=V$4)*'Startup Costs'!$G$6:$G$32*'Startup Costs'!$E$6:$E$32)</f>
        <v>0</v>
      </c>
      <c r="W121" s="8" t="n">
        <f aca="false">SUMPRODUCT(('Startup Costs'!$F$6:$F$32=W$4)*'Startup Costs'!$G$6:$G$32*'Startup Costs'!$E$6:$E$32)</f>
        <v>0</v>
      </c>
      <c r="X121" s="8" t="n">
        <f aca="false">SUMPRODUCT(('Startup Costs'!$F$6:$F$32=X$4)*'Startup Costs'!$G$6:$G$32*'Startup Costs'!$E$6:$E$32)</f>
        <v>0</v>
      </c>
      <c r="Y121" s="8" t="n">
        <f aca="false">SUMPRODUCT(('Startup Costs'!$F$6:$F$32=Y$4)*'Startup Costs'!$G$6:$G$32*'Startup Costs'!$E$6:$E$32)</f>
        <v>0</v>
      </c>
      <c r="Z121" s="8" t="n">
        <f aca="false">SUMPRODUCT(('Startup Costs'!$F$6:$F$32=Z$4)*'Startup Costs'!$G$6:$G$32*'Startup Costs'!$E$6:$E$32)</f>
        <v>0</v>
      </c>
      <c r="AA121" s="8" t="n">
        <f aca="false">SUMPRODUCT(('Startup Costs'!$F$6:$F$32=AA$4)*'Startup Costs'!$G$6:$G$32*'Startup Costs'!$E$6:$E$32)</f>
        <v>0</v>
      </c>
      <c r="AB121" s="8" t="n">
        <f aca="false">SUMPRODUCT(('Startup Costs'!$F$6:$F$32=AB$4)*'Startup Costs'!$G$6:$G$32*'Startup Costs'!$E$6:$E$32)</f>
        <v>0</v>
      </c>
      <c r="AC121" s="8" t="n">
        <f aca="false">SUMPRODUCT(('Startup Costs'!$F$6:$F$32=AC$4)*'Startup Costs'!$G$6:$G$32*'Startup Costs'!$E$6:$E$32)</f>
        <v>0</v>
      </c>
      <c r="AD121" s="8" t="n">
        <f aca="false">SUMPRODUCT(('Startup Costs'!$F$6:$F$32=AD$4)*'Startup Costs'!$G$6:$G$32*'Startup Costs'!$E$6:$E$32)</f>
        <v>0</v>
      </c>
      <c r="AE121" s="8" t="n">
        <f aca="false">SUMPRODUCT(('Startup Costs'!$F$6:$F$32=AE$4)*'Startup Costs'!$G$6:$G$32*'Startup Costs'!$E$6:$E$32)</f>
        <v>0</v>
      </c>
      <c r="AF121" s="8" t="n">
        <f aca="false">SUMPRODUCT(('Startup Costs'!$F$6:$F$32=AF$4)*'Startup Costs'!$G$6:$G$32*'Startup Costs'!$E$6:$E$32)</f>
        <v>0</v>
      </c>
      <c r="AG121" s="8" t="n">
        <f aca="false">SUMPRODUCT(('Startup Costs'!$F$6:$F$32=AG$4)*'Startup Costs'!$G$6:$G$32*'Startup Costs'!$E$6:$E$32)</f>
        <v>0</v>
      </c>
      <c r="AH121" s="8" t="n">
        <f aca="false">SUMPRODUCT(('Startup Costs'!$F$6:$F$32=AH$4)*'Startup Costs'!$G$6:$G$32*'Startup Costs'!$E$6:$E$32)</f>
        <v>0</v>
      </c>
      <c r="AI121" s="8" t="n">
        <f aca="false">SUMPRODUCT(('Startup Costs'!$F$6:$F$32=AI$4)*'Startup Costs'!$G$6:$G$32*'Startup Costs'!$E$6:$E$32)</f>
        <v>0</v>
      </c>
      <c r="AJ121" s="8" t="n">
        <f aca="false">SUMPRODUCT(('Startup Costs'!$F$6:$F$32=AJ$4)*'Startup Costs'!$G$6:$G$32*'Startup Costs'!$E$6:$E$32)</f>
        <v>0</v>
      </c>
      <c r="AK121" s="8" t="n">
        <f aca="false">SUMPRODUCT(('Startup Costs'!$F$6:$F$32=AK$4)*'Startup Costs'!$G$6:$G$32*'Startup Costs'!$E$6:$E$32)</f>
        <v>0</v>
      </c>
      <c r="AL121" s="8" t="n">
        <f aca="false">SUMPRODUCT(('Startup Costs'!$F$6:$F$32=AL$4)*'Startup Costs'!$G$6:$G$32*'Startup Costs'!$E$6:$E$32)</f>
        <v>0</v>
      </c>
      <c r="AM121" s="45" t="n">
        <f aca="false">SUMIF($C$6:$AL$6,1,C121:AL121)</f>
        <v>19786</v>
      </c>
      <c r="AN121" s="45" t="n">
        <f aca="false">SUMIF($C$6:$AL$6,2,C121:AL121)</f>
        <v>0</v>
      </c>
      <c r="AO121" s="45" t="n">
        <f aca="false">SUMIF($C$6:$AL$6,3,C121:AL121)</f>
        <v>0</v>
      </c>
      <c r="AP121" s="45" t="n">
        <f aca="false">SUM(C121:AL121)</f>
        <v>19786</v>
      </c>
    </row>
    <row r="122" customFormat="false" ht="15" hidden="false" customHeight="false" outlineLevel="0" collapsed="false">
      <c r="A122" s="7" t="s">
        <v>784</v>
      </c>
      <c r="B122" s="9" t="s">
        <v>93</v>
      </c>
      <c r="C122" s="8" t="n">
        <f aca="false">IF(AND(Assumptions!$C$145=1,C$4=$B$11),'Retail Readiness Costs'!$H$14,0)+IF(AND(Assumptions!$C$163=1,C$4=MAX(1,Assumptions!$C$164-Assumptions!$C$66)),'Retail Readiness Costs'!$H$23,0)+IF(AND(Assumptions!$C$154=1,C$4=Assumptions!$C$155),Assumptions!$C$65,0)</f>
        <v>0</v>
      </c>
      <c r="D122" s="8" t="n">
        <f aca="false">IF(AND(Assumptions!$C$145=1,D$4=$B$11),'Retail Readiness Costs'!$H$14,0)+IF(AND(Assumptions!$C$163=1,D$4=MAX(1,Assumptions!$C$164-Assumptions!$C$66)),'Retail Readiness Costs'!$H$23,0)+IF(AND(Assumptions!$C$154=1,D$4=Assumptions!$C$155),Assumptions!$C$65,0)</f>
        <v>0</v>
      </c>
      <c r="E122" s="8" t="n">
        <f aca="false">IF(AND(Assumptions!$C$145=1,E$4=$B$11),'Retail Readiness Costs'!$H$14,0)+IF(AND(Assumptions!$C$163=1,E$4=MAX(1,Assumptions!$C$164-Assumptions!$C$66)),'Retail Readiness Costs'!$H$23,0)+IF(AND(Assumptions!$C$154=1,E$4=Assumptions!$C$155),Assumptions!$C$65,0)</f>
        <v>0</v>
      </c>
      <c r="F122" s="8" t="n">
        <f aca="false">IF(AND(Assumptions!$C$145=1,F$4=$B$11),'Retail Readiness Costs'!$H$14,0)+IF(AND(Assumptions!$C$163=1,F$4=MAX(1,Assumptions!$C$164-Assumptions!$C$66)),'Retail Readiness Costs'!$H$23,0)+IF(AND(Assumptions!$C$154=1,F$4=Assumptions!$C$155),Assumptions!$C$65,0)</f>
        <v>0</v>
      </c>
      <c r="G122" s="8" t="n">
        <f aca="false">IF(AND(Assumptions!$C$145=1,G$4=$B$11),'Retail Readiness Costs'!$H$14,0)+IF(AND(Assumptions!$C$163=1,G$4=MAX(1,Assumptions!$C$164-Assumptions!$C$66)),'Retail Readiness Costs'!$H$23,0)+IF(AND(Assumptions!$C$154=1,G$4=Assumptions!$C$155),Assumptions!$C$65,0)</f>
        <v>0</v>
      </c>
      <c r="H122" s="8" t="n">
        <f aca="false">IF(AND(Assumptions!$C$145=1,H$4=$B$11),'Retail Readiness Costs'!$H$14,0)+IF(AND(Assumptions!$C$163=1,H$4=MAX(1,Assumptions!$C$164-Assumptions!$C$66)),'Retail Readiness Costs'!$H$23,0)+IF(AND(Assumptions!$C$154=1,H$4=Assumptions!$C$155),Assumptions!$C$65,0)</f>
        <v>0</v>
      </c>
      <c r="I122" s="8" t="n">
        <f aca="false">IF(AND(Assumptions!$C$145=1,I$4=$B$11),'Retail Readiness Costs'!$H$14,0)+IF(AND(Assumptions!$C$163=1,I$4=MAX(1,Assumptions!$C$164-Assumptions!$C$66)),'Retail Readiness Costs'!$H$23,0)+IF(AND(Assumptions!$C$154=1,I$4=Assumptions!$C$155),Assumptions!$C$65,0)</f>
        <v>0</v>
      </c>
      <c r="J122" s="8" t="n">
        <f aca="false">IF(AND(Assumptions!$C$145=1,J$4=$B$11),'Retail Readiness Costs'!$H$14,0)+IF(AND(Assumptions!$C$163=1,J$4=MAX(1,Assumptions!$C$164-Assumptions!$C$66)),'Retail Readiness Costs'!$H$23,0)+IF(AND(Assumptions!$C$154=1,J$4=Assumptions!$C$155),Assumptions!$C$65,0)</f>
        <v>1875</v>
      </c>
      <c r="K122" s="8" t="n">
        <f aca="false">IF(AND(Assumptions!$C$145=1,K$4=$B$11),'Retail Readiness Costs'!$H$14,0)+IF(AND(Assumptions!$C$163=1,K$4=MAX(1,Assumptions!$C$164-Assumptions!$C$66)),'Retail Readiness Costs'!$H$23,0)+IF(AND(Assumptions!$C$154=1,K$4=Assumptions!$C$155),Assumptions!$C$65,0)</f>
        <v>0</v>
      </c>
      <c r="L122" s="8" t="n">
        <f aca="false">IF(AND(Assumptions!$C$145=1,L$4=$B$11),'Retail Readiness Costs'!$H$14,0)+IF(AND(Assumptions!$C$163=1,L$4=MAX(1,Assumptions!$C$164-Assumptions!$C$66)),'Retail Readiness Costs'!$H$23,0)+IF(AND(Assumptions!$C$154=1,L$4=Assumptions!$C$155),Assumptions!$C$65,0)</f>
        <v>0</v>
      </c>
      <c r="M122" s="8" t="n">
        <f aca="false">IF(AND(Assumptions!$C$145=1,M$4=$B$11),'Retail Readiness Costs'!$H$14,0)+IF(AND(Assumptions!$C$163=1,M$4=MAX(1,Assumptions!$C$164-Assumptions!$C$66)),'Retail Readiness Costs'!$H$23,0)+IF(AND(Assumptions!$C$154=1,M$4=Assumptions!$C$155),Assumptions!$C$65,0)</f>
        <v>0</v>
      </c>
      <c r="N122" s="8" t="n">
        <f aca="false">IF(AND(Assumptions!$C$145=1,N$4=$B$11),'Retail Readiness Costs'!$H$14,0)+IF(AND(Assumptions!$C$163=1,N$4=MAX(1,Assumptions!$C$164-Assumptions!$C$66)),'Retail Readiness Costs'!$H$23,0)+IF(AND(Assumptions!$C$154=1,N$4=Assumptions!$C$155),Assumptions!$C$65,0)</f>
        <v>0</v>
      </c>
      <c r="O122" s="8" t="n">
        <f aca="false">IF(AND(Assumptions!$C$145=1,O$4=$B$11),'Retail Readiness Costs'!$H$14,0)+IF(AND(Assumptions!$C$163=1,O$4=MAX(1,Assumptions!$C$164-Assumptions!$C$66)),'Retail Readiness Costs'!$H$23,0)+IF(AND(Assumptions!$C$154=1,O$4=Assumptions!$C$155),Assumptions!$C$65,0)</f>
        <v>0</v>
      </c>
      <c r="P122" s="8" t="n">
        <f aca="false">IF(AND(Assumptions!$C$145=1,P$4=$B$11),'Retail Readiness Costs'!$H$14,0)+IF(AND(Assumptions!$C$163=1,P$4=MAX(1,Assumptions!$C$164-Assumptions!$C$66)),'Retail Readiness Costs'!$H$23,0)+IF(AND(Assumptions!$C$154=1,P$4=Assumptions!$C$155),Assumptions!$C$65,0)</f>
        <v>0</v>
      </c>
      <c r="Q122" s="8" t="n">
        <f aca="false">IF(AND(Assumptions!$C$145=1,Q$4=$B$11),'Retail Readiness Costs'!$H$14,0)+IF(AND(Assumptions!$C$163=1,Q$4=MAX(1,Assumptions!$C$164-Assumptions!$C$66)),'Retail Readiness Costs'!$H$23,0)+IF(AND(Assumptions!$C$154=1,Q$4=Assumptions!$C$155),Assumptions!$C$65,0)</f>
        <v>0</v>
      </c>
      <c r="R122" s="8" t="n">
        <f aca="false">IF(AND(Assumptions!$C$145=1,R$4=$B$11),'Retail Readiness Costs'!$H$14,0)+IF(AND(Assumptions!$C$163=1,R$4=MAX(1,Assumptions!$C$164-Assumptions!$C$66)),'Retail Readiness Costs'!$H$23,0)+IF(AND(Assumptions!$C$154=1,R$4=Assumptions!$C$155),Assumptions!$C$65,0)</f>
        <v>0</v>
      </c>
      <c r="S122" s="8" t="n">
        <f aca="false">IF(AND(Assumptions!$C$145=1,S$4=$B$11),'Retail Readiness Costs'!$H$14,0)+IF(AND(Assumptions!$C$163=1,S$4=MAX(1,Assumptions!$C$164-Assumptions!$C$66)),'Retail Readiness Costs'!$H$23,0)+IF(AND(Assumptions!$C$154=1,S$4=Assumptions!$C$155),Assumptions!$C$65,0)</f>
        <v>0</v>
      </c>
      <c r="T122" s="8" t="n">
        <f aca="false">IF(AND(Assumptions!$C$145=1,T$4=$B$11),'Retail Readiness Costs'!$H$14,0)+IF(AND(Assumptions!$C$163=1,T$4=MAX(1,Assumptions!$C$164-Assumptions!$C$66)),'Retail Readiness Costs'!$H$23,0)+IF(AND(Assumptions!$C$154=1,T$4=Assumptions!$C$155),Assumptions!$C$65,0)</f>
        <v>0</v>
      </c>
      <c r="U122" s="8" t="n">
        <f aca="false">IF(AND(Assumptions!$C$145=1,U$4=$B$11),'Retail Readiness Costs'!$H$14,0)+IF(AND(Assumptions!$C$163=1,U$4=MAX(1,Assumptions!$C$164-Assumptions!$C$66)),'Retail Readiness Costs'!$H$23,0)+IF(AND(Assumptions!$C$154=1,U$4=Assumptions!$C$155),Assumptions!$C$65,0)</f>
        <v>0</v>
      </c>
      <c r="V122" s="8" t="n">
        <f aca="false">IF(AND(Assumptions!$C$145=1,V$4=$B$11),'Retail Readiness Costs'!$H$14,0)+IF(AND(Assumptions!$C$163=1,V$4=MAX(1,Assumptions!$C$164-Assumptions!$C$66)),'Retail Readiness Costs'!$H$23,0)+IF(AND(Assumptions!$C$154=1,V$4=Assumptions!$C$155),Assumptions!$C$65,0)</f>
        <v>0</v>
      </c>
      <c r="W122" s="8" t="n">
        <f aca="false">IF(AND(Assumptions!$C$145=1,W$4=$B$11),'Retail Readiness Costs'!$H$14,0)+IF(AND(Assumptions!$C$163=1,W$4=MAX(1,Assumptions!$C$164-Assumptions!$C$66)),'Retail Readiness Costs'!$H$23,0)+IF(AND(Assumptions!$C$154=1,W$4=Assumptions!$C$155),Assumptions!$C$65,0)</f>
        <v>0</v>
      </c>
      <c r="X122" s="8" t="n">
        <f aca="false">IF(AND(Assumptions!$C$145=1,X$4=$B$11),'Retail Readiness Costs'!$H$14,0)+IF(AND(Assumptions!$C$163=1,X$4=MAX(1,Assumptions!$C$164-Assumptions!$C$66)),'Retail Readiness Costs'!$H$23,0)+IF(AND(Assumptions!$C$154=1,X$4=Assumptions!$C$155),Assumptions!$C$65,0)</f>
        <v>0</v>
      </c>
      <c r="Y122" s="8" t="n">
        <f aca="false">IF(AND(Assumptions!$C$145=1,Y$4=$B$11),'Retail Readiness Costs'!$H$14,0)+IF(AND(Assumptions!$C$163=1,Y$4=MAX(1,Assumptions!$C$164-Assumptions!$C$66)),'Retail Readiness Costs'!$H$23,0)+IF(AND(Assumptions!$C$154=1,Y$4=Assumptions!$C$155),Assumptions!$C$65,0)</f>
        <v>0</v>
      </c>
      <c r="Z122" s="8" t="n">
        <f aca="false">IF(AND(Assumptions!$C$145=1,Z$4=$B$11),'Retail Readiness Costs'!$H$14,0)+IF(AND(Assumptions!$C$163=1,Z$4=MAX(1,Assumptions!$C$164-Assumptions!$C$66)),'Retail Readiness Costs'!$H$23,0)+IF(AND(Assumptions!$C$154=1,Z$4=Assumptions!$C$155),Assumptions!$C$65,0)</f>
        <v>0</v>
      </c>
      <c r="AA122" s="8" t="n">
        <f aca="false">IF(AND(Assumptions!$C$145=1,AA$4=$B$11),'Retail Readiness Costs'!$H$14,0)+IF(AND(Assumptions!$C$163=1,AA$4=MAX(1,Assumptions!$C$164-Assumptions!$C$66)),'Retail Readiness Costs'!$H$23,0)+IF(AND(Assumptions!$C$154=1,AA$4=Assumptions!$C$155),Assumptions!$C$65,0)</f>
        <v>0</v>
      </c>
      <c r="AB122" s="8" t="n">
        <f aca="false">IF(AND(Assumptions!$C$145=1,AB$4=$B$11),'Retail Readiness Costs'!$H$14,0)+IF(AND(Assumptions!$C$163=1,AB$4=MAX(1,Assumptions!$C$164-Assumptions!$C$66)),'Retail Readiness Costs'!$H$23,0)+IF(AND(Assumptions!$C$154=1,AB$4=Assumptions!$C$155),Assumptions!$C$65,0)</f>
        <v>0</v>
      </c>
      <c r="AC122" s="8" t="n">
        <f aca="false">IF(AND(Assumptions!$C$145=1,AC$4=$B$11),'Retail Readiness Costs'!$H$14,0)+IF(AND(Assumptions!$C$163=1,AC$4=MAX(1,Assumptions!$C$164-Assumptions!$C$66)),'Retail Readiness Costs'!$H$23,0)+IF(AND(Assumptions!$C$154=1,AC$4=Assumptions!$C$155),Assumptions!$C$65,0)</f>
        <v>0</v>
      </c>
      <c r="AD122" s="8" t="n">
        <f aca="false">IF(AND(Assumptions!$C$145=1,AD$4=$B$11),'Retail Readiness Costs'!$H$14,0)+IF(AND(Assumptions!$C$163=1,AD$4=MAX(1,Assumptions!$C$164-Assumptions!$C$66)),'Retail Readiness Costs'!$H$23,0)+IF(AND(Assumptions!$C$154=1,AD$4=Assumptions!$C$155),Assumptions!$C$65,0)</f>
        <v>0</v>
      </c>
      <c r="AE122" s="8" t="n">
        <f aca="false">IF(AND(Assumptions!$C$145=1,AE$4=$B$11),'Retail Readiness Costs'!$H$14,0)+IF(AND(Assumptions!$C$163=1,AE$4=MAX(1,Assumptions!$C$164-Assumptions!$C$66)),'Retail Readiness Costs'!$H$23,0)+IF(AND(Assumptions!$C$154=1,AE$4=Assumptions!$C$155),Assumptions!$C$65,0)</f>
        <v>0</v>
      </c>
      <c r="AF122" s="8" t="n">
        <f aca="false">IF(AND(Assumptions!$C$145=1,AF$4=$B$11),'Retail Readiness Costs'!$H$14,0)+IF(AND(Assumptions!$C$163=1,AF$4=MAX(1,Assumptions!$C$164-Assumptions!$C$66)),'Retail Readiness Costs'!$H$23,0)+IF(AND(Assumptions!$C$154=1,AF$4=Assumptions!$C$155),Assumptions!$C$65,0)</f>
        <v>0</v>
      </c>
      <c r="AG122" s="8" t="n">
        <f aca="false">IF(AND(Assumptions!$C$145=1,AG$4=$B$11),'Retail Readiness Costs'!$H$14,0)+IF(AND(Assumptions!$C$163=1,AG$4=MAX(1,Assumptions!$C$164-Assumptions!$C$66)),'Retail Readiness Costs'!$H$23,0)+IF(AND(Assumptions!$C$154=1,AG$4=Assumptions!$C$155),Assumptions!$C$65,0)</f>
        <v>0</v>
      </c>
      <c r="AH122" s="8" t="n">
        <f aca="false">IF(AND(Assumptions!$C$145=1,AH$4=$B$11),'Retail Readiness Costs'!$H$14,0)+IF(AND(Assumptions!$C$163=1,AH$4=MAX(1,Assumptions!$C$164-Assumptions!$C$66)),'Retail Readiness Costs'!$H$23,0)+IF(AND(Assumptions!$C$154=1,AH$4=Assumptions!$C$155),Assumptions!$C$65,0)</f>
        <v>0</v>
      </c>
      <c r="AI122" s="8" t="n">
        <f aca="false">IF(AND(Assumptions!$C$145=1,AI$4=$B$11),'Retail Readiness Costs'!$H$14,0)+IF(AND(Assumptions!$C$163=1,AI$4=MAX(1,Assumptions!$C$164-Assumptions!$C$66)),'Retail Readiness Costs'!$H$23,0)+IF(AND(Assumptions!$C$154=1,AI$4=Assumptions!$C$155),Assumptions!$C$65,0)</f>
        <v>0</v>
      </c>
      <c r="AJ122" s="8" t="n">
        <f aca="false">IF(AND(Assumptions!$C$145=1,AJ$4=$B$11),'Retail Readiness Costs'!$H$14,0)+IF(AND(Assumptions!$C$163=1,AJ$4=MAX(1,Assumptions!$C$164-Assumptions!$C$66)),'Retail Readiness Costs'!$H$23,0)+IF(AND(Assumptions!$C$154=1,AJ$4=Assumptions!$C$155),Assumptions!$C$65,0)</f>
        <v>0</v>
      </c>
      <c r="AK122" s="8" t="n">
        <f aca="false">IF(AND(Assumptions!$C$145=1,AK$4=$B$11),'Retail Readiness Costs'!$H$14,0)+IF(AND(Assumptions!$C$163=1,AK$4=MAX(1,Assumptions!$C$164-Assumptions!$C$66)),'Retail Readiness Costs'!$H$23,0)+IF(AND(Assumptions!$C$154=1,AK$4=Assumptions!$C$155),Assumptions!$C$65,0)</f>
        <v>0</v>
      </c>
      <c r="AL122" s="8" t="n">
        <f aca="false">IF(AND(Assumptions!$C$145=1,AL$4=$B$11),'Retail Readiness Costs'!$H$14,0)+IF(AND(Assumptions!$C$163=1,AL$4=MAX(1,Assumptions!$C$164-Assumptions!$C$66)),'Retail Readiness Costs'!$H$23,0)+IF(AND(Assumptions!$C$154=1,AL$4=Assumptions!$C$155),Assumptions!$C$65,0)</f>
        <v>0</v>
      </c>
      <c r="AM122" s="45" t="n">
        <f aca="false">SUMIF($C$6:$AL$6,1,C122:AL122)</f>
        <v>1875</v>
      </c>
      <c r="AN122" s="45" t="n">
        <f aca="false">SUMIF($C$6:$AL$6,2,C122:AL122)</f>
        <v>0</v>
      </c>
      <c r="AO122" s="45" t="n">
        <f aca="false">SUMIF($C$6:$AL$6,3,C122:AL122)</f>
        <v>0</v>
      </c>
      <c r="AP122" s="45" t="n">
        <f aca="false">SUM(C122:AL122)</f>
        <v>1875</v>
      </c>
    </row>
    <row r="123" customFormat="false" ht="15" hidden="false" customHeight="false" outlineLevel="0" collapsed="false">
      <c r="A123" s="7" t="s">
        <v>785</v>
      </c>
      <c r="B123" s="9" t="s">
        <v>93</v>
      </c>
      <c r="C123" s="41" t="n">
        <f aca="false">C120-C121-C122</f>
        <v>-5481.38042647641</v>
      </c>
      <c r="D123" s="41" t="n">
        <f aca="false">D120-D121-D122</f>
        <v>-2115.96164162712</v>
      </c>
      <c r="E123" s="41" t="n">
        <f aca="false">E120-E121-E122</f>
        <v>-2715.48989133731</v>
      </c>
      <c r="F123" s="41" t="n">
        <f aca="false">F120-F121-F122</f>
        <v>-1777.72409285721</v>
      </c>
      <c r="G123" s="41" t="n">
        <f aca="false">G120-G121-G122</f>
        <v>-1881.00257844898</v>
      </c>
      <c r="H123" s="41" t="n">
        <f aca="false">H120-H121-H122</f>
        <v>-4915.87237963961</v>
      </c>
      <c r="I123" s="41" t="n">
        <f aca="false">I120-I121-I122</f>
        <v>-7310.54986358903</v>
      </c>
      <c r="J123" s="41" t="n">
        <f aca="false">J120-J121-J122</f>
        <v>-2647.52985370272</v>
      </c>
      <c r="K123" s="41" t="n">
        <f aca="false">K120-K121-K122</f>
        <v>-1433.58174198993</v>
      </c>
      <c r="L123" s="41" t="n">
        <f aca="false">L120-L121-L122</f>
        <v>-1002.97554120794</v>
      </c>
      <c r="M123" s="41" t="n">
        <f aca="false">M120-M121-M122</f>
        <v>-749.64469647214</v>
      </c>
      <c r="N123" s="41" t="n">
        <f aca="false">N120-N121-N122</f>
        <v>-735.393691052382</v>
      </c>
      <c r="O123" s="41" t="n">
        <f aca="false">O120-O121-O122</f>
        <v>-1704.6634123905</v>
      </c>
      <c r="P123" s="41" t="n">
        <f aca="false">P120-P121-P122</f>
        <v>-768.545122036383</v>
      </c>
      <c r="Q123" s="41" t="n">
        <f aca="false">Q120-Q121-Q122</f>
        <v>-742.30519408594</v>
      </c>
      <c r="R123" s="41" t="n">
        <f aca="false">R120-R121-R122</f>
        <v>-1171.23185965032</v>
      </c>
      <c r="S123" s="41" t="n">
        <f aca="false">S120-S121-S122</f>
        <v>-982.468095811214</v>
      </c>
      <c r="T123" s="41" t="n">
        <f aca="false">T120-T121-T122</f>
        <v>-812.405082789675</v>
      </c>
      <c r="U123" s="41" t="n">
        <f aca="false">U120-U121-U122</f>
        <v>-2215.91465045665</v>
      </c>
      <c r="V123" s="41" t="n">
        <f aca="false">V120-V121-V122</f>
        <v>-808.143872540965</v>
      </c>
      <c r="W123" s="41" t="n">
        <f aca="false">W120-W121-W122</f>
        <v>-780.475676423505</v>
      </c>
      <c r="X123" s="41" t="n">
        <f aca="false">X120-X121-X122</f>
        <v>-786.964734816972</v>
      </c>
      <c r="Y123" s="41" t="n">
        <f aca="false">Y120-Y121-Y122</f>
        <v>-812.708036868656</v>
      </c>
      <c r="Z123" s="41" t="n">
        <f aca="false">Z120-Z121-Z122</f>
        <v>-802.528242516179</v>
      </c>
      <c r="AA123" s="41" t="n">
        <f aca="false">AA120-AA121-AA122</f>
        <v>-1691.13409072356</v>
      </c>
      <c r="AB123" s="41" t="n">
        <f aca="false">AB120-AB121-AB122</f>
        <v>-717.597952119681</v>
      </c>
      <c r="AC123" s="41" t="n">
        <f aca="false">AC120-AC121-AC122</f>
        <v>-690.275252725781</v>
      </c>
      <c r="AD123" s="41" t="n">
        <f aca="false">AD120-AD121-AD122</f>
        <v>-1135.09797644774</v>
      </c>
      <c r="AE123" s="41" t="n">
        <f aca="false">AE120-AE121-AE122</f>
        <v>-988.024147679429</v>
      </c>
      <c r="AF123" s="41" t="n">
        <f aca="false">AF120-AF121-AF122</f>
        <v>-811.775141075441</v>
      </c>
      <c r="AG123" s="41" t="n">
        <f aca="false">AG120-AG121-AG122</f>
        <v>-2215.00605479735</v>
      </c>
      <c r="AH123" s="41" t="n">
        <f aca="false">AH120-AH121-AH122</f>
        <v>-821.377318219488</v>
      </c>
      <c r="AI123" s="41" t="n">
        <f aca="false">AI120-AI121-AI122</f>
        <v>-794.205544522537</v>
      </c>
      <c r="AJ123" s="41" t="n">
        <f aca="false">AJ120-AJ121-AJ122</f>
        <v>-810.069151059969</v>
      </c>
      <c r="AK123" s="41" t="n">
        <f aca="false">AK120-AK121-AK122</f>
        <v>-848.689775303825</v>
      </c>
      <c r="AL123" s="41" t="n">
        <f aca="false">AL120-AL121-AL122</f>
        <v>-843.565588712447</v>
      </c>
      <c r="AM123" s="45" t="n">
        <f aca="false">SUMIF($C$6:$AL$6,1,C123:AL123)</f>
        <v>-32767.1063984008</v>
      </c>
      <c r="AN123" s="45" t="n">
        <f aca="false">SUMIF($C$6:$AL$6,2,C123:AL123)</f>
        <v>-12388.3539803869</v>
      </c>
      <c r="AO123" s="45" t="n">
        <f aca="false">SUMIF($C$6:$AL$6,3,C123:AL123)</f>
        <v>-12366.8179933873</v>
      </c>
      <c r="AP123" s="45" t="n">
        <f aca="false">SUM(C123:AL123)</f>
        <v>-57522.278372175</v>
      </c>
    </row>
    <row r="124" customFormat="false" ht="15" hidden="false" customHeight="false" outlineLevel="0" collapsed="false">
      <c r="A124" s="7" t="s">
        <v>786</v>
      </c>
      <c r="B124" s="9" t="s">
        <v>93</v>
      </c>
      <c r="C124" s="41" t="n">
        <f aca="false">C123</f>
        <v>-5481.38042647641</v>
      </c>
      <c r="D124" s="41" t="n">
        <f aca="false">D123+C124</f>
        <v>-7597.34206810353</v>
      </c>
      <c r="E124" s="41" t="n">
        <f aca="false">E123+D124</f>
        <v>-10312.8319594408</v>
      </c>
      <c r="F124" s="41" t="n">
        <f aca="false">F123+E124</f>
        <v>-12090.5560522981</v>
      </c>
      <c r="G124" s="41" t="n">
        <f aca="false">G123+F124</f>
        <v>-13971.558630747</v>
      </c>
      <c r="H124" s="41" t="n">
        <f aca="false">H123+G124</f>
        <v>-18887.4310103867</v>
      </c>
      <c r="I124" s="41" t="n">
        <f aca="false">I123+H124</f>
        <v>-26197.9808739757</v>
      </c>
      <c r="J124" s="41" t="n">
        <f aca="false">J123+I124</f>
        <v>-28845.5107276784</v>
      </c>
      <c r="K124" s="41" t="n">
        <f aca="false">K123+J124</f>
        <v>-30279.0924696683</v>
      </c>
      <c r="L124" s="41" t="n">
        <f aca="false">L123+K124</f>
        <v>-31282.0680108763</v>
      </c>
      <c r="M124" s="41" t="n">
        <f aca="false">M123+L124</f>
        <v>-32031.7127073484</v>
      </c>
      <c r="N124" s="41" t="n">
        <f aca="false">N123+M124</f>
        <v>-32767.1063984008</v>
      </c>
      <c r="O124" s="41" t="n">
        <f aca="false">O123+N124</f>
        <v>-34471.7698107913</v>
      </c>
      <c r="P124" s="41" t="n">
        <f aca="false">P123+O124</f>
        <v>-35240.3149328277</v>
      </c>
      <c r="Q124" s="41" t="n">
        <f aca="false">Q123+P124</f>
        <v>-35982.6201269136</v>
      </c>
      <c r="R124" s="41" t="n">
        <f aca="false">R123+Q124</f>
        <v>-37153.8519865639</v>
      </c>
      <c r="S124" s="41" t="n">
        <f aca="false">S123+R124</f>
        <v>-38136.3200823751</v>
      </c>
      <c r="T124" s="41" t="n">
        <f aca="false">T123+S124</f>
        <v>-38948.7251651648</v>
      </c>
      <c r="U124" s="41" t="n">
        <f aca="false">U123+T124</f>
        <v>-41164.6398156215</v>
      </c>
      <c r="V124" s="41" t="n">
        <f aca="false">V123+U124</f>
        <v>-41972.7836881624</v>
      </c>
      <c r="W124" s="41" t="n">
        <f aca="false">W123+V124</f>
        <v>-42753.2593645859</v>
      </c>
      <c r="X124" s="41" t="n">
        <f aca="false">X123+W124</f>
        <v>-43540.2240994029</v>
      </c>
      <c r="Y124" s="41" t="n">
        <f aca="false">Y123+X124</f>
        <v>-44352.9321362716</v>
      </c>
      <c r="Z124" s="41" t="n">
        <f aca="false">Z123+Y124</f>
        <v>-45155.4603787877</v>
      </c>
      <c r="AA124" s="41" t="n">
        <f aca="false">AA123+Z124</f>
        <v>-46846.5944695113</v>
      </c>
      <c r="AB124" s="41" t="n">
        <f aca="false">AB123+AA124</f>
        <v>-47564.192421631</v>
      </c>
      <c r="AC124" s="41" t="n">
        <f aca="false">AC123+AB124</f>
        <v>-48254.4676743568</v>
      </c>
      <c r="AD124" s="41" t="n">
        <f aca="false">AD123+AC124</f>
        <v>-49389.5656508045</v>
      </c>
      <c r="AE124" s="41" t="n">
        <f aca="false">AE123+AD124</f>
        <v>-50377.5897984839</v>
      </c>
      <c r="AF124" s="41" t="n">
        <f aca="false">AF123+AE124</f>
        <v>-51189.3649395594</v>
      </c>
      <c r="AG124" s="41" t="n">
        <f aca="false">AG123+AF124</f>
        <v>-53404.3709943567</v>
      </c>
      <c r="AH124" s="41" t="n">
        <f aca="false">AH123+AG124</f>
        <v>-54225.7483125762</v>
      </c>
      <c r="AI124" s="41" t="n">
        <f aca="false">AI123+AH124</f>
        <v>-55019.9538570987</v>
      </c>
      <c r="AJ124" s="41" t="n">
        <f aca="false">AJ123+AI124</f>
        <v>-55830.0230081587</v>
      </c>
      <c r="AK124" s="41" t="n">
        <f aca="false">AK123+AJ124</f>
        <v>-56678.7127834625</v>
      </c>
      <c r="AL124" s="41" t="n">
        <f aca="false">AL123+AK124</f>
        <v>-57522.278372175</v>
      </c>
      <c r="AM124" s="45" t="n">
        <f aca="false">N124</f>
        <v>-32767.1063984008</v>
      </c>
      <c r="AN124" s="45" t="n">
        <f aca="false">Z124</f>
        <v>-45155.4603787877</v>
      </c>
      <c r="AO124" s="45" t="n">
        <f aca="false">AL124</f>
        <v>-57522.278372175</v>
      </c>
      <c r="AP124" s="45" t="n">
        <f aca="false">AL124</f>
        <v>-57522.278372175</v>
      </c>
    </row>
    <row r="125" customFormat="false" ht="15" hidden="false" customHeight="false" outlineLevel="0" collapsed="false">
      <c r="A125" s="5" t="s">
        <v>787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</row>
    <row r="126" customFormat="false" ht="15" hidden="false" customHeight="false" outlineLevel="0" collapsed="false">
      <c r="A126" s="7" t="s">
        <v>788</v>
      </c>
      <c r="B126" s="9" t="s">
        <v>331</v>
      </c>
      <c r="C126" s="52" t="n">
        <f aca="false">C81+C101</f>
        <v>-0</v>
      </c>
      <c r="D126" s="52" t="n">
        <f aca="false">D81+D101</f>
        <v>-0</v>
      </c>
      <c r="E126" s="52" t="n">
        <f aca="false">E81+E101</f>
        <v>-0</v>
      </c>
      <c r="F126" s="52" t="n">
        <f aca="false">F81+F101</f>
        <v>0</v>
      </c>
      <c r="G126" s="52" t="n">
        <f aca="false">G81+G101</f>
        <v>0.37125</v>
      </c>
      <c r="H126" s="52" t="n">
        <f aca="false">H81+H101</f>
        <v>0.858</v>
      </c>
      <c r="I126" s="52" t="n">
        <f aca="false">I81+I101</f>
        <v>1.405404</v>
      </c>
      <c r="J126" s="52" t="n">
        <f aca="false">J81+J101</f>
        <v>1.76322432</v>
      </c>
      <c r="K126" s="52" t="n">
        <f aca="false">K81+K101</f>
        <v>2.41283328</v>
      </c>
      <c r="L126" s="52" t="n">
        <f aca="false">L81+L101</f>
        <v>2.860655136768</v>
      </c>
      <c r="M126" s="52" t="n">
        <f aca="false">M81+M101</f>
        <v>2.66191488516096</v>
      </c>
      <c r="N126" s="52" t="n">
        <f aca="false">N81+N101</f>
        <v>2.7683914805674</v>
      </c>
      <c r="O126" s="52" t="n">
        <f aca="false">O81+O101</f>
        <v>3.15596628784683</v>
      </c>
      <c r="P126" s="52" t="n">
        <f aca="false">P81+P101</f>
        <v>4.40506452387885</v>
      </c>
      <c r="Q126" s="52" t="n">
        <f aca="false">Q81+Q101</f>
        <v>4.66597988413936</v>
      </c>
      <c r="R126" s="52" t="n">
        <f aca="false">R81+R101</f>
        <v>4.40675877946495</v>
      </c>
      <c r="S126" s="52" t="n">
        <f aca="false">S81+S101</f>
        <v>3.23632364763906</v>
      </c>
      <c r="T126" s="52" t="n">
        <f aca="false">T81+T101</f>
        <v>3.66783346732427</v>
      </c>
      <c r="U126" s="52" t="n">
        <f aca="false">U81+U101</f>
        <v>3.92824964350429</v>
      </c>
      <c r="V126" s="52" t="n">
        <f aca="false">V81+V101</f>
        <v>3.62521324243396</v>
      </c>
      <c r="W126" s="52" t="n">
        <f aca="false">W81+W101</f>
        <v>3.89233421819225</v>
      </c>
      <c r="X126" s="52" t="n">
        <f aca="false">X81+X101</f>
        <v>3.77167185742829</v>
      </c>
      <c r="Y126" s="52" t="n">
        <f aca="false">Y81+Y101</f>
        <v>3.44214684251614</v>
      </c>
      <c r="Z126" s="52" t="n">
        <f aca="false">Z81+Z101</f>
        <v>3.51098977936646</v>
      </c>
      <c r="AA126" s="52" t="n">
        <f aca="false">AA81+AA101</f>
        <v>3.96328787447308</v>
      </c>
      <c r="AB126" s="52" t="n">
        <f aca="false">AB81+AB101</f>
        <v>5.47768103071911</v>
      </c>
      <c r="AC126" s="52" t="n">
        <f aca="false">AC81+AC101</f>
        <v>5.74524468106578</v>
      </c>
      <c r="AD126" s="52" t="n">
        <f aca="false">AD81+AD101</f>
        <v>5.3728677109967</v>
      </c>
      <c r="AE126" s="52" t="n">
        <f aca="false">AE81+AE101</f>
        <v>3.9071493994368</v>
      </c>
      <c r="AF126" s="52" t="n">
        <f aca="false">AF81+AF101</f>
        <v>4.38468988159019</v>
      </c>
      <c r="AG126" s="52" t="n">
        <f aca="false">AG81+AG101</f>
        <v>4.64996361942639</v>
      </c>
      <c r="AH126" s="52" t="n">
        <f aca="false">AH81+AH101</f>
        <v>4.24918104079964</v>
      </c>
      <c r="AI126" s="52" t="n">
        <f aca="false">AI81+AI101</f>
        <v>4.51755036969225</v>
      </c>
      <c r="AJ126" s="52" t="n">
        <f aca="false">AJ81+AJ101</f>
        <v>4.33458957971971</v>
      </c>
      <c r="AK126" s="52" t="n">
        <f aca="false">AK81+AK101</f>
        <v>3.9171001623046</v>
      </c>
      <c r="AL126" s="52" t="n">
        <f aca="false">AL81+AL101</f>
        <v>3.95627116392765</v>
      </c>
      <c r="AM126" s="53" t="n">
        <f aca="false">SUMIF($C$6:$AL$6,1,C126:AL126)</f>
        <v>15.1016731024964</v>
      </c>
      <c r="AN126" s="53" t="n">
        <f aca="false">SUMIF($C$6:$AL$6,2,C126:AL126)</f>
        <v>45.7085321737347</v>
      </c>
      <c r="AO126" s="53" t="n">
        <f aca="false">SUMIF($C$6:$AL$6,3,C126:AL126)</f>
        <v>54.4755765141519</v>
      </c>
      <c r="AP126" s="53" t="n">
        <f aca="false">SUM(C126:AL126)</f>
        <v>115.285781790383</v>
      </c>
    </row>
    <row r="127" customFormat="false" ht="15" hidden="false" customHeight="false" outlineLevel="0" collapsed="false">
      <c r="A127" s="7" t="s">
        <v>789</v>
      </c>
      <c r="B127" s="9" t="s">
        <v>331</v>
      </c>
      <c r="C127" s="52" t="n">
        <f aca="false">C126</f>
        <v>-0</v>
      </c>
      <c r="D127" s="52" t="n">
        <f aca="false">D126+C127</f>
        <v>-0</v>
      </c>
      <c r="E127" s="52" t="n">
        <f aca="false">E126+D127</f>
        <v>-0</v>
      </c>
      <c r="F127" s="52" t="n">
        <f aca="false">F126+E127</f>
        <v>0</v>
      </c>
      <c r="G127" s="52" t="n">
        <f aca="false">G126+F127</f>
        <v>0.37125</v>
      </c>
      <c r="H127" s="52" t="n">
        <f aca="false">H126+G127</f>
        <v>1.22925</v>
      </c>
      <c r="I127" s="52" t="n">
        <f aca="false">I126+H127</f>
        <v>2.634654</v>
      </c>
      <c r="J127" s="52" t="n">
        <f aca="false">J126+I127</f>
        <v>4.39787832</v>
      </c>
      <c r="K127" s="52" t="n">
        <f aca="false">K126+J127</f>
        <v>6.8107116</v>
      </c>
      <c r="L127" s="52" t="n">
        <f aca="false">L126+K127</f>
        <v>9.671366736768</v>
      </c>
      <c r="M127" s="52" t="n">
        <f aca="false">M126+L127</f>
        <v>12.333281621929</v>
      </c>
      <c r="N127" s="52" t="n">
        <f aca="false">N126+M127</f>
        <v>15.1016731024964</v>
      </c>
      <c r="O127" s="52" t="n">
        <f aca="false">O126+N127</f>
        <v>18.2576393903432</v>
      </c>
      <c r="P127" s="52" t="n">
        <f aca="false">P126+O127</f>
        <v>22.662703914222</v>
      </c>
      <c r="Q127" s="52" t="n">
        <f aca="false">Q126+P127</f>
        <v>27.3286837983614</v>
      </c>
      <c r="R127" s="52" t="n">
        <f aca="false">R126+Q127</f>
        <v>31.7354425778264</v>
      </c>
      <c r="S127" s="52" t="n">
        <f aca="false">S126+R127</f>
        <v>34.9717662254654</v>
      </c>
      <c r="T127" s="52" t="n">
        <f aca="false">T126+S127</f>
        <v>38.6395996927897</v>
      </c>
      <c r="U127" s="52" t="n">
        <f aca="false">U126+T127</f>
        <v>42.567849336294</v>
      </c>
      <c r="V127" s="52" t="n">
        <f aca="false">V126+U127</f>
        <v>46.1930625787279</v>
      </c>
      <c r="W127" s="52" t="n">
        <f aca="false">W126+V127</f>
        <v>50.0853967969202</v>
      </c>
      <c r="X127" s="52" t="n">
        <f aca="false">X126+W127</f>
        <v>53.8570686543485</v>
      </c>
      <c r="Y127" s="52" t="n">
        <f aca="false">Y126+X127</f>
        <v>57.2992154968646</v>
      </c>
      <c r="Z127" s="52" t="n">
        <f aca="false">Z126+Y127</f>
        <v>60.8102052762311</v>
      </c>
      <c r="AA127" s="52" t="n">
        <f aca="false">AA126+Z127</f>
        <v>64.7734931507042</v>
      </c>
      <c r="AB127" s="52" t="n">
        <f aca="false">AB126+AA127</f>
        <v>70.2511741814233</v>
      </c>
      <c r="AC127" s="52" t="n">
        <f aca="false">AC126+AB127</f>
        <v>75.9964188624891</v>
      </c>
      <c r="AD127" s="52" t="n">
        <f aca="false">AD126+AC127</f>
        <v>81.3692865734858</v>
      </c>
      <c r="AE127" s="52" t="n">
        <f aca="false">AE126+AD127</f>
        <v>85.2764359729226</v>
      </c>
      <c r="AF127" s="52" t="n">
        <f aca="false">AF126+AE127</f>
        <v>89.6611258545128</v>
      </c>
      <c r="AG127" s="52" t="n">
        <f aca="false">AG126+AF127</f>
        <v>94.3110894739391</v>
      </c>
      <c r="AH127" s="52" t="n">
        <f aca="false">AH126+AG127</f>
        <v>98.5602705147388</v>
      </c>
      <c r="AI127" s="52" t="n">
        <f aca="false">AI126+AH127</f>
        <v>103.077820884431</v>
      </c>
      <c r="AJ127" s="52" t="n">
        <f aca="false">AJ126+AI127</f>
        <v>107.412410464151</v>
      </c>
      <c r="AK127" s="52" t="n">
        <f aca="false">AK126+AJ127</f>
        <v>111.329510626455</v>
      </c>
      <c r="AL127" s="52" t="n">
        <f aca="false">AL126+AK127</f>
        <v>115.285781790383</v>
      </c>
      <c r="AM127" s="53" t="n">
        <f aca="false">N127</f>
        <v>15.1016731024964</v>
      </c>
      <c r="AN127" s="53" t="n">
        <f aca="false">Z127</f>
        <v>60.8102052762311</v>
      </c>
      <c r="AO127" s="53" t="n">
        <f aca="false">AL127</f>
        <v>115.285781790383</v>
      </c>
      <c r="AP127" s="53" t="n">
        <f aca="false">AL127</f>
        <v>115.285781790383</v>
      </c>
    </row>
    <row r="128" customFormat="false" ht="15" hidden="false" customHeight="false" outlineLevel="0" collapsed="false">
      <c r="A128" s="7" t="s">
        <v>790</v>
      </c>
      <c r="B128" s="9" t="s">
        <v>231</v>
      </c>
      <c r="C128" s="52" t="n">
        <f aca="false">IF($B$13=0,0,IF(C$4=$B$11,$B$13,IF(C$4&gt;$B$11,(INT(C127/$B$13)-INT(0/$B$13))*$B$13,0)))</f>
        <v>0</v>
      </c>
      <c r="D128" s="52" t="n">
        <f aca="false">IF($B$13=0,0,IF(D$4=$B$11,$B$13,IF(D$4&gt;$B$11,(INT(D127/$B$13)-INT(C127/$B$13))*$B$13,0)))</f>
        <v>0</v>
      </c>
      <c r="E128" s="52" t="n">
        <f aca="false">IF($B$13=0,0,IF(E$4=$B$11,$B$13,IF(E$4&gt;$B$11,(INT(E127/$B$13)-INT(D127/$B$13))*$B$13,0)))</f>
        <v>0</v>
      </c>
      <c r="F128" s="52" t="n">
        <f aca="false">IF($B$13=0,0,IF(F$4=$B$11,$B$13,IF(F$4&gt;$B$11,(INT(F127/$B$13)-INT(E127/$B$13))*$B$13,0)))</f>
        <v>0</v>
      </c>
      <c r="G128" s="52" t="n">
        <f aca="false">IF($B$13=0,0,IF(G$4=$B$11,$B$13,IF(G$4&gt;$B$11,(INT(G127/$B$13)-INT(F127/$B$13))*$B$13,0)))</f>
        <v>0</v>
      </c>
      <c r="H128" s="52" t="n">
        <f aca="false">IF($B$13=0,0,IF(H$4=$B$11,$B$13,IF(H$4&gt;$B$11,(INT(H127/$B$13)-INT(G127/$B$13))*$B$13,0)))</f>
        <v>0</v>
      </c>
      <c r="I128" s="52" t="n">
        <f aca="false">IF($B$13=0,0,IF(I$4=$B$11,$B$13,IF(I$4&gt;$B$11,(INT(I127/$B$13)-INT(H127/$B$13))*$B$13,0)))</f>
        <v>0</v>
      </c>
      <c r="J128" s="52" t="n">
        <f aca="false">IF($B$13=0,0,IF(J$4=$B$11,$B$13,IF(J$4&gt;$B$11,(INT(J127/$B$13)-INT(I127/$B$13))*$B$13,0)))</f>
        <v>1000</v>
      </c>
      <c r="K128" s="52" t="n">
        <f aca="false">IF($B$13=0,0,IF(K$4=$B$11,$B$13,IF(K$4&gt;$B$11,(INT(K127/$B$13)-INT(J127/$B$13))*$B$13,0)))</f>
        <v>0</v>
      </c>
      <c r="L128" s="52" t="n">
        <f aca="false">IF($B$13=0,0,IF(L$4=$B$11,$B$13,IF(L$4&gt;$B$11,(INT(L127/$B$13)-INT(K127/$B$13))*$B$13,0)))</f>
        <v>0</v>
      </c>
      <c r="M128" s="52" t="n">
        <f aca="false">IF($B$13=0,0,IF(M$4=$B$11,$B$13,IF(M$4&gt;$B$11,(INT(M127/$B$13)-INT(L127/$B$13))*$B$13,0)))</f>
        <v>0</v>
      </c>
      <c r="N128" s="52" t="n">
        <f aca="false">IF($B$13=0,0,IF(N$4=$B$11,$B$13,IF(N$4&gt;$B$11,(INT(N127/$B$13)-INT(M127/$B$13))*$B$13,0)))</f>
        <v>0</v>
      </c>
      <c r="O128" s="52" t="n">
        <f aca="false">IF($B$13=0,0,IF(O$4=$B$11,$B$13,IF(O$4&gt;$B$11,(INT(O127/$B$13)-INT(N127/$B$13))*$B$13,0)))</f>
        <v>0</v>
      </c>
      <c r="P128" s="52" t="n">
        <f aca="false">IF($B$13=0,0,IF(P$4=$B$11,$B$13,IF(P$4&gt;$B$11,(INT(P127/$B$13)-INT(O127/$B$13))*$B$13,0)))</f>
        <v>0</v>
      </c>
      <c r="Q128" s="52" t="n">
        <f aca="false">IF($B$13=0,0,IF(Q$4=$B$11,$B$13,IF(Q$4&gt;$B$11,(INT(Q127/$B$13)-INT(P127/$B$13))*$B$13,0)))</f>
        <v>0</v>
      </c>
      <c r="R128" s="52" t="n">
        <f aca="false">IF($B$13=0,0,IF(R$4=$B$11,$B$13,IF(R$4&gt;$B$11,(INT(R127/$B$13)-INT(Q127/$B$13))*$B$13,0)))</f>
        <v>0</v>
      </c>
      <c r="S128" s="52" t="n">
        <f aca="false">IF($B$13=0,0,IF(S$4=$B$11,$B$13,IF(S$4&gt;$B$11,(INT(S127/$B$13)-INT(R127/$B$13))*$B$13,0)))</f>
        <v>0</v>
      </c>
      <c r="T128" s="52" t="n">
        <f aca="false">IF($B$13=0,0,IF(T$4=$B$11,$B$13,IF(T$4&gt;$B$11,(INT(T127/$B$13)-INT(S127/$B$13))*$B$13,0)))</f>
        <v>0</v>
      </c>
      <c r="U128" s="52" t="n">
        <f aca="false">IF($B$13=0,0,IF(U$4=$B$11,$B$13,IF(U$4&gt;$B$11,(INT(U127/$B$13)-INT(T127/$B$13))*$B$13,0)))</f>
        <v>0</v>
      </c>
      <c r="V128" s="52" t="n">
        <f aca="false">IF($B$13=0,0,IF(V$4=$B$11,$B$13,IF(V$4&gt;$B$11,(INT(V127/$B$13)-INT(U127/$B$13))*$B$13,0)))</f>
        <v>0</v>
      </c>
      <c r="W128" s="52" t="n">
        <f aca="false">IF($B$13=0,0,IF(W$4=$B$11,$B$13,IF(W$4&gt;$B$11,(INT(W127/$B$13)-INT(V127/$B$13))*$B$13,0)))</f>
        <v>0</v>
      </c>
      <c r="X128" s="52" t="n">
        <f aca="false">IF($B$13=0,0,IF(X$4=$B$11,$B$13,IF(X$4&gt;$B$11,(INT(X127/$B$13)-INT(W127/$B$13))*$B$13,0)))</f>
        <v>0</v>
      </c>
      <c r="Y128" s="52" t="n">
        <f aca="false">IF($B$13=0,0,IF(Y$4=$B$11,$B$13,IF(Y$4&gt;$B$11,(INT(Y127/$B$13)-INT(X127/$B$13))*$B$13,0)))</f>
        <v>0</v>
      </c>
      <c r="Z128" s="52" t="n">
        <f aca="false">IF($B$13=0,0,IF(Z$4=$B$11,$B$13,IF(Z$4&gt;$B$11,(INT(Z127/$B$13)-INT(Y127/$B$13))*$B$13,0)))</f>
        <v>0</v>
      </c>
      <c r="AA128" s="52" t="n">
        <f aca="false">IF($B$13=0,0,IF(AA$4=$B$11,$B$13,IF(AA$4&gt;$B$11,(INT(AA127/$B$13)-INT(Z127/$B$13))*$B$13,0)))</f>
        <v>0</v>
      </c>
      <c r="AB128" s="52" t="n">
        <f aca="false">IF($B$13=0,0,IF(AB$4=$B$11,$B$13,IF(AB$4&gt;$B$11,(INT(AB127/$B$13)-INT(AA127/$B$13))*$B$13,0)))</f>
        <v>0</v>
      </c>
      <c r="AC128" s="52" t="n">
        <f aca="false">IF($B$13=0,0,IF(AC$4=$B$11,$B$13,IF(AC$4&gt;$B$11,(INT(AC127/$B$13)-INT(AB127/$B$13))*$B$13,0)))</f>
        <v>0</v>
      </c>
      <c r="AD128" s="52" t="n">
        <f aca="false">IF($B$13=0,0,IF(AD$4=$B$11,$B$13,IF(AD$4&gt;$B$11,(INT(AD127/$B$13)-INT(AC127/$B$13))*$B$13,0)))</f>
        <v>0</v>
      </c>
      <c r="AE128" s="52" t="n">
        <f aca="false">IF($B$13=0,0,IF(AE$4=$B$11,$B$13,IF(AE$4&gt;$B$11,(INT(AE127/$B$13)-INT(AD127/$B$13))*$B$13,0)))</f>
        <v>0</v>
      </c>
      <c r="AF128" s="52" t="n">
        <f aca="false">IF($B$13=0,0,IF(AF$4=$B$11,$B$13,IF(AF$4&gt;$B$11,(INT(AF127/$B$13)-INT(AE127/$B$13))*$B$13,0)))</f>
        <v>0</v>
      </c>
      <c r="AG128" s="52" t="n">
        <f aca="false">IF($B$13=0,0,IF(AG$4=$B$11,$B$13,IF(AG$4&gt;$B$11,(INT(AG127/$B$13)-INT(AF127/$B$13))*$B$13,0)))</f>
        <v>0</v>
      </c>
      <c r="AH128" s="52" t="n">
        <f aca="false">IF($B$13=0,0,IF(AH$4=$B$11,$B$13,IF(AH$4&gt;$B$11,(INT(AH127/$B$13)-INT(AG127/$B$13))*$B$13,0)))</f>
        <v>0</v>
      </c>
      <c r="AI128" s="52" t="n">
        <f aca="false">IF($B$13=0,0,IF(AI$4=$B$11,$B$13,IF(AI$4&gt;$B$11,(INT(AI127/$B$13)-INT(AH127/$B$13))*$B$13,0)))</f>
        <v>0</v>
      </c>
      <c r="AJ128" s="52" t="n">
        <f aca="false">IF($B$13=0,0,IF(AJ$4=$B$11,$B$13,IF(AJ$4&gt;$B$11,(INT(AJ127/$B$13)-INT(AI127/$B$13))*$B$13,0)))</f>
        <v>0</v>
      </c>
      <c r="AK128" s="52" t="n">
        <f aca="false">IF($B$13=0,0,IF(AK$4=$B$11,$B$13,IF(AK$4&gt;$B$11,(INT(AK127/$B$13)-INT(AJ127/$B$13))*$B$13,0)))</f>
        <v>0</v>
      </c>
      <c r="AL128" s="52" t="n">
        <f aca="false">IF($B$13=0,0,IF(AL$4=$B$11,$B$13,IF(AL$4&gt;$B$11,(INT(AL127/$B$13)-INT(AK127/$B$13))*$B$13,0)))</f>
        <v>0</v>
      </c>
      <c r="AM128" s="53" t="n">
        <f aca="false">SUMIF($C$6:$AL$6,1,C128:AL128)</f>
        <v>1000</v>
      </c>
      <c r="AN128" s="53" t="n">
        <f aca="false">SUMIF($C$6:$AL$6,2,C128:AL128)</f>
        <v>0</v>
      </c>
      <c r="AO128" s="53" t="n">
        <f aca="false">SUMIF($C$6:$AL$6,3,C128:AL128)</f>
        <v>0</v>
      </c>
      <c r="AP128" s="53" t="n">
        <f aca="false">SUM(C128:AL128)</f>
        <v>1000</v>
      </c>
    </row>
    <row r="129" customFormat="false" ht="15" hidden="false" customHeight="false" outlineLevel="0" collapsed="false">
      <c r="A129" s="7" t="s">
        <v>791</v>
      </c>
      <c r="B129" s="9" t="s">
        <v>93</v>
      </c>
      <c r="C129" s="8" t="n">
        <f aca="false">C128*Assumptions!$C$57</f>
        <v>0</v>
      </c>
      <c r="D129" s="8" t="n">
        <f aca="false">D128*Assumptions!$C$57</f>
        <v>0</v>
      </c>
      <c r="E129" s="8" t="n">
        <f aca="false">E128*Assumptions!$C$57</f>
        <v>0</v>
      </c>
      <c r="F129" s="8" t="n">
        <f aca="false">F128*Assumptions!$C$57</f>
        <v>0</v>
      </c>
      <c r="G129" s="8" t="n">
        <f aca="false">G128*Assumptions!$C$57</f>
        <v>0</v>
      </c>
      <c r="H129" s="8" t="n">
        <f aca="false">H128*Assumptions!$C$57</f>
        <v>0</v>
      </c>
      <c r="I129" s="8" t="n">
        <f aca="false">I128*Assumptions!$C$57</f>
        <v>0</v>
      </c>
      <c r="J129" s="8" t="n">
        <f aca="false">J128*Assumptions!$C$57</f>
        <v>3625</v>
      </c>
      <c r="K129" s="8" t="n">
        <f aca="false">K128*Assumptions!$C$57</f>
        <v>0</v>
      </c>
      <c r="L129" s="8" t="n">
        <f aca="false">L128*Assumptions!$C$57</f>
        <v>0</v>
      </c>
      <c r="M129" s="8" t="n">
        <f aca="false">M128*Assumptions!$C$57</f>
        <v>0</v>
      </c>
      <c r="N129" s="8" t="n">
        <f aca="false">N128*Assumptions!$C$57</f>
        <v>0</v>
      </c>
      <c r="O129" s="8" t="n">
        <f aca="false">O128*Assumptions!$C$57</f>
        <v>0</v>
      </c>
      <c r="P129" s="8" t="n">
        <f aca="false">P128*Assumptions!$C$57</f>
        <v>0</v>
      </c>
      <c r="Q129" s="8" t="n">
        <f aca="false">Q128*Assumptions!$C$57</f>
        <v>0</v>
      </c>
      <c r="R129" s="8" t="n">
        <f aca="false">R128*Assumptions!$C$57</f>
        <v>0</v>
      </c>
      <c r="S129" s="8" t="n">
        <f aca="false">S128*Assumptions!$C$57</f>
        <v>0</v>
      </c>
      <c r="T129" s="8" t="n">
        <f aca="false">T128*Assumptions!$C$57</f>
        <v>0</v>
      </c>
      <c r="U129" s="8" t="n">
        <f aca="false">U128*Assumptions!$C$57</f>
        <v>0</v>
      </c>
      <c r="V129" s="8" t="n">
        <f aca="false">V128*Assumptions!$C$57</f>
        <v>0</v>
      </c>
      <c r="W129" s="8" t="n">
        <f aca="false">W128*Assumptions!$C$57</f>
        <v>0</v>
      </c>
      <c r="X129" s="8" t="n">
        <f aca="false">X128*Assumptions!$C$57</f>
        <v>0</v>
      </c>
      <c r="Y129" s="8" t="n">
        <f aca="false">Y128*Assumptions!$C$57</f>
        <v>0</v>
      </c>
      <c r="Z129" s="8" t="n">
        <f aca="false">Z128*Assumptions!$C$57</f>
        <v>0</v>
      </c>
      <c r="AA129" s="8" t="n">
        <f aca="false">AA128*Assumptions!$C$57</f>
        <v>0</v>
      </c>
      <c r="AB129" s="8" t="n">
        <f aca="false">AB128*Assumptions!$C$57</f>
        <v>0</v>
      </c>
      <c r="AC129" s="8" t="n">
        <f aca="false">AC128*Assumptions!$C$57</f>
        <v>0</v>
      </c>
      <c r="AD129" s="8" t="n">
        <f aca="false">AD128*Assumptions!$C$57</f>
        <v>0</v>
      </c>
      <c r="AE129" s="8" t="n">
        <f aca="false">AE128*Assumptions!$C$57</f>
        <v>0</v>
      </c>
      <c r="AF129" s="8" t="n">
        <f aca="false">AF128*Assumptions!$C$57</f>
        <v>0</v>
      </c>
      <c r="AG129" s="8" t="n">
        <f aca="false">AG128*Assumptions!$C$57</f>
        <v>0</v>
      </c>
      <c r="AH129" s="8" t="n">
        <f aca="false">AH128*Assumptions!$C$57</f>
        <v>0</v>
      </c>
      <c r="AI129" s="8" t="n">
        <f aca="false">AI128*Assumptions!$C$57</f>
        <v>0</v>
      </c>
      <c r="AJ129" s="8" t="n">
        <f aca="false">AJ128*Assumptions!$C$57</f>
        <v>0</v>
      </c>
      <c r="AK129" s="8" t="n">
        <f aca="false">AK128*Assumptions!$C$57</f>
        <v>0</v>
      </c>
      <c r="AL129" s="8" t="n">
        <f aca="false">AL128*Assumptions!$C$57</f>
        <v>0</v>
      </c>
      <c r="AM129" s="45" t="n">
        <f aca="false">SUMIF($C$6:$AL$6,1,C129:AL129)</f>
        <v>3625</v>
      </c>
      <c r="AN129" s="45" t="n">
        <f aca="false">SUMIF($C$6:$AL$6,2,C129:AL129)</f>
        <v>0</v>
      </c>
      <c r="AO129" s="45" t="n">
        <f aca="false">SUMIF($C$6:$AL$6,3,C129:AL129)</f>
        <v>0</v>
      </c>
      <c r="AP129" s="45" t="n">
        <f aca="false">SUM(C129:AL129)</f>
        <v>3625</v>
      </c>
    </row>
    <row r="130" customFormat="false" ht="15" hidden="false" customHeight="false" outlineLevel="0" collapsed="false">
      <c r="A130" s="7" t="s">
        <v>792</v>
      </c>
      <c r="B130" s="9" t="s">
        <v>231</v>
      </c>
      <c r="C130" s="52" t="n">
        <f aca="false">C128</f>
        <v>0</v>
      </c>
      <c r="D130" s="52" t="n">
        <f aca="false">D128+C130</f>
        <v>0</v>
      </c>
      <c r="E130" s="52" t="n">
        <f aca="false">E128+D130</f>
        <v>0</v>
      </c>
      <c r="F130" s="52" t="n">
        <f aca="false">F128+E130</f>
        <v>0</v>
      </c>
      <c r="G130" s="52" t="n">
        <f aca="false">G128+F130</f>
        <v>0</v>
      </c>
      <c r="H130" s="52" t="n">
        <f aca="false">H128+G130</f>
        <v>0</v>
      </c>
      <c r="I130" s="52" t="n">
        <f aca="false">I128+H130</f>
        <v>0</v>
      </c>
      <c r="J130" s="52" t="n">
        <f aca="false">J128+I130</f>
        <v>1000</v>
      </c>
      <c r="K130" s="52" t="n">
        <f aca="false">K128+J130</f>
        <v>1000</v>
      </c>
      <c r="L130" s="52" t="n">
        <f aca="false">L128+K130</f>
        <v>1000</v>
      </c>
      <c r="M130" s="52" t="n">
        <f aca="false">M128+L130</f>
        <v>1000</v>
      </c>
      <c r="N130" s="52" t="n">
        <f aca="false">N128+M130</f>
        <v>1000</v>
      </c>
      <c r="O130" s="52" t="n">
        <f aca="false">O128+N130</f>
        <v>1000</v>
      </c>
      <c r="P130" s="52" t="n">
        <f aca="false">P128+O130</f>
        <v>1000</v>
      </c>
      <c r="Q130" s="52" t="n">
        <f aca="false">Q128+P130</f>
        <v>1000</v>
      </c>
      <c r="R130" s="52" t="n">
        <f aca="false">R128+Q130</f>
        <v>1000</v>
      </c>
      <c r="S130" s="52" t="n">
        <f aca="false">S128+R130</f>
        <v>1000</v>
      </c>
      <c r="T130" s="52" t="n">
        <f aca="false">T128+S130</f>
        <v>1000</v>
      </c>
      <c r="U130" s="52" t="n">
        <f aca="false">U128+T130</f>
        <v>1000</v>
      </c>
      <c r="V130" s="52" t="n">
        <f aca="false">V128+U130</f>
        <v>1000</v>
      </c>
      <c r="W130" s="52" t="n">
        <f aca="false">W128+V130</f>
        <v>1000</v>
      </c>
      <c r="X130" s="52" t="n">
        <f aca="false">X128+W130</f>
        <v>1000</v>
      </c>
      <c r="Y130" s="52" t="n">
        <f aca="false">Y128+X130</f>
        <v>1000</v>
      </c>
      <c r="Z130" s="52" t="n">
        <f aca="false">Z128+Y130</f>
        <v>1000</v>
      </c>
      <c r="AA130" s="52" t="n">
        <f aca="false">AA128+Z130</f>
        <v>1000</v>
      </c>
      <c r="AB130" s="52" t="n">
        <f aca="false">AB128+AA130</f>
        <v>1000</v>
      </c>
      <c r="AC130" s="52" t="n">
        <f aca="false">AC128+AB130</f>
        <v>1000</v>
      </c>
      <c r="AD130" s="52" t="n">
        <f aca="false">AD128+AC130</f>
        <v>1000</v>
      </c>
      <c r="AE130" s="52" t="n">
        <f aca="false">AE128+AD130</f>
        <v>1000</v>
      </c>
      <c r="AF130" s="52" t="n">
        <f aca="false">AF128+AE130</f>
        <v>1000</v>
      </c>
      <c r="AG130" s="52" t="n">
        <f aca="false">AG128+AF130</f>
        <v>1000</v>
      </c>
      <c r="AH130" s="52" t="n">
        <f aca="false">AH128+AG130</f>
        <v>1000</v>
      </c>
      <c r="AI130" s="52" t="n">
        <f aca="false">AI128+AH130</f>
        <v>1000</v>
      </c>
      <c r="AJ130" s="52" t="n">
        <f aca="false">AJ128+AI130</f>
        <v>1000</v>
      </c>
      <c r="AK130" s="52" t="n">
        <f aca="false">AK128+AJ130</f>
        <v>1000</v>
      </c>
      <c r="AL130" s="52" t="n">
        <f aca="false">AL128+AK130</f>
        <v>1000</v>
      </c>
      <c r="AM130" s="53" t="n">
        <f aca="false">N130</f>
        <v>1000</v>
      </c>
      <c r="AN130" s="53" t="n">
        <f aca="false">Z130</f>
        <v>1000</v>
      </c>
      <c r="AO130" s="53" t="n">
        <f aca="false">AL130</f>
        <v>1000</v>
      </c>
      <c r="AP130" s="53" t="n">
        <f aca="false">AL130</f>
        <v>1000</v>
      </c>
    </row>
    <row r="131" customFormat="false" ht="15" hidden="false" customHeight="false" outlineLevel="0" collapsed="false">
      <c r="A131" s="7" t="s">
        <v>793</v>
      </c>
      <c r="B131" s="9" t="s">
        <v>231</v>
      </c>
      <c r="C131" s="52" t="n">
        <f aca="false">C130-C127</f>
        <v>0</v>
      </c>
      <c r="D131" s="52" t="n">
        <f aca="false">D130-D127</f>
        <v>0</v>
      </c>
      <c r="E131" s="52" t="n">
        <f aca="false">E130-E127</f>
        <v>0</v>
      </c>
      <c r="F131" s="52" t="n">
        <f aca="false">F130-F127</f>
        <v>0</v>
      </c>
      <c r="G131" s="52" t="n">
        <f aca="false">G130-G127</f>
        <v>-0.37125</v>
      </c>
      <c r="H131" s="52" t="n">
        <f aca="false">H130-H127</f>
        <v>-1.22925</v>
      </c>
      <c r="I131" s="52" t="n">
        <f aca="false">I130-I127</f>
        <v>-2.634654</v>
      </c>
      <c r="J131" s="52" t="n">
        <f aca="false">J130-J127</f>
        <v>995.60212168</v>
      </c>
      <c r="K131" s="52" t="n">
        <f aca="false">K130-K127</f>
        <v>993.1892884</v>
      </c>
      <c r="L131" s="52" t="n">
        <f aca="false">L130-L127</f>
        <v>990.328633263232</v>
      </c>
      <c r="M131" s="52" t="n">
        <f aca="false">M130-M127</f>
        <v>987.666718378071</v>
      </c>
      <c r="N131" s="52" t="n">
        <f aca="false">N130-N127</f>
        <v>984.898326897504</v>
      </c>
      <c r="O131" s="52" t="n">
        <f aca="false">O130-O127</f>
        <v>981.742360609657</v>
      </c>
      <c r="P131" s="52" t="n">
        <f aca="false">P130-P127</f>
        <v>977.337296085778</v>
      </c>
      <c r="Q131" s="52" t="n">
        <f aca="false">Q130-Q127</f>
        <v>972.671316201639</v>
      </c>
      <c r="R131" s="52" t="n">
        <f aca="false">R130-R127</f>
        <v>968.264557422174</v>
      </c>
      <c r="S131" s="52" t="n">
        <f aca="false">S130-S127</f>
        <v>965.028233774535</v>
      </c>
      <c r="T131" s="52" t="n">
        <f aca="false">T130-T127</f>
        <v>961.36040030721</v>
      </c>
      <c r="U131" s="52" t="n">
        <f aca="false">U130-U127</f>
        <v>957.432150663706</v>
      </c>
      <c r="V131" s="52" t="n">
        <f aca="false">V130-V127</f>
        <v>953.806937421272</v>
      </c>
      <c r="W131" s="52" t="n">
        <f aca="false">W130-W127</f>
        <v>949.91460320308</v>
      </c>
      <c r="X131" s="52" t="n">
        <f aca="false">X130-X127</f>
        <v>946.142931345652</v>
      </c>
      <c r="Y131" s="52" t="n">
        <f aca="false">Y130-Y127</f>
        <v>942.700784503135</v>
      </c>
      <c r="Z131" s="52" t="n">
        <f aca="false">Z130-Z127</f>
        <v>939.189794723769</v>
      </c>
      <c r="AA131" s="52" t="n">
        <f aca="false">AA130-AA127</f>
        <v>935.226506849296</v>
      </c>
      <c r="AB131" s="52" t="n">
        <f aca="false">AB130-AB127</f>
        <v>929.748825818577</v>
      </c>
      <c r="AC131" s="52" t="n">
        <f aca="false">AC130-AC127</f>
        <v>924.003581137511</v>
      </c>
      <c r="AD131" s="52" t="n">
        <f aca="false">AD130-AD127</f>
        <v>918.630713426514</v>
      </c>
      <c r="AE131" s="52" t="n">
        <f aca="false">AE130-AE127</f>
        <v>914.723564027078</v>
      </c>
      <c r="AF131" s="52" t="n">
        <f aca="false">AF130-AF127</f>
        <v>910.338874145487</v>
      </c>
      <c r="AG131" s="52" t="n">
        <f aca="false">AG130-AG127</f>
        <v>905.688910526061</v>
      </c>
      <c r="AH131" s="52" t="n">
        <f aca="false">AH130-AH127</f>
        <v>901.439729485261</v>
      </c>
      <c r="AI131" s="52" t="n">
        <f aca="false">AI130-AI127</f>
        <v>896.922179115569</v>
      </c>
      <c r="AJ131" s="52" t="n">
        <f aca="false">AJ130-AJ127</f>
        <v>892.587589535849</v>
      </c>
      <c r="AK131" s="52" t="n">
        <f aca="false">AK130-AK127</f>
        <v>888.670489373545</v>
      </c>
      <c r="AL131" s="52" t="n">
        <f aca="false">AL130-AL127</f>
        <v>884.714218209617</v>
      </c>
      <c r="AM131" s="53" t="n">
        <f aca="false">N131</f>
        <v>984.898326897504</v>
      </c>
      <c r="AN131" s="53" t="n">
        <f aca="false">Z131</f>
        <v>939.189794723769</v>
      </c>
      <c r="AO131" s="53" t="n">
        <f aca="false">AL131</f>
        <v>884.714218209617</v>
      </c>
      <c r="AP131" s="53" t="n">
        <f aca="false">AL131</f>
        <v>884.714218209617</v>
      </c>
    </row>
    <row r="132" customFormat="false" ht="15" hidden="false" customHeight="false" outlineLevel="0" collapsed="false">
      <c r="A132" s="5" t="s">
        <v>794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</row>
    <row r="133" customFormat="false" ht="15" hidden="false" customHeight="false" outlineLevel="0" collapsed="false">
      <c r="A133" s="7" t="s">
        <v>795</v>
      </c>
      <c r="B133" s="9" t="s">
        <v>63</v>
      </c>
      <c r="C133" s="42" t="str">
        <f aca="false">IF(C120&gt;=0,C$4,"")</f>
        <v/>
      </c>
      <c r="D133" s="42" t="str">
        <f aca="false">IF(D120&gt;=0,D$4,"")</f>
        <v/>
      </c>
      <c r="E133" s="42" t="str">
        <f aca="false">IF(E120&gt;=0,E$4,"")</f>
        <v/>
      </c>
      <c r="F133" s="42" t="str">
        <f aca="false">IF(F120&gt;=0,F$4,"")</f>
        <v/>
      </c>
      <c r="G133" s="42" t="str">
        <f aca="false">IF(G120&gt;=0,G$4,"")</f>
        <v/>
      </c>
      <c r="H133" s="42" t="str">
        <f aca="false">IF(H120&gt;=0,H$4,"")</f>
        <v/>
      </c>
      <c r="I133" s="42" t="str">
        <f aca="false">IF(I120&gt;=0,I$4,"")</f>
        <v/>
      </c>
      <c r="J133" s="42" t="str">
        <f aca="false">IF(J120&gt;=0,J$4,"")</f>
        <v/>
      </c>
      <c r="K133" s="42" t="str">
        <f aca="false">IF(K120&gt;=0,K$4,"")</f>
        <v/>
      </c>
      <c r="L133" s="42" t="str">
        <f aca="false">IF(L120&gt;=0,L$4,"")</f>
        <v/>
      </c>
      <c r="M133" s="42" t="str">
        <f aca="false">IF(M120&gt;=0,M$4,"")</f>
        <v/>
      </c>
      <c r="N133" s="42" t="str">
        <f aca="false">IF(N120&gt;=0,N$4,"")</f>
        <v/>
      </c>
      <c r="O133" s="42" t="str">
        <f aca="false">IF(O120&gt;=0,O$4,"")</f>
        <v/>
      </c>
      <c r="P133" s="42" t="str">
        <f aca="false">IF(P120&gt;=0,P$4,"")</f>
        <v/>
      </c>
      <c r="Q133" s="42" t="str">
        <f aca="false">IF(Q120&gt;=0,Q$4,"")</f>
        <v/>
      </c>
      <c r="R133" s="42" t="str">
        <f aca="false">IF(R120&gt;=0,R$4,"")</f>
        <v/>
      </c>
      <c r="S133" s="42" t="str">
        <f aca="false">IF(S120&gt;=0,S$4,"")</f>
        <v/>
      </c>
      <c r="T133" s="42" t="str">
        <f aca="false">IF(T120&gt;=0,T$4,"")</f>
        <v/>
      </c>
      <c r="U133" s="42" t="str">
        <f aca="false">IF(U120&gt;=0,U$4,"")</f>
        <v/>
      </c>
      <c r="V133" s="42" t="str">
        <f aca="false">IF(V120&gt;=0,V$4,"")</f>
        <v/>
      </c>
      <c r="W133" s="42" t="str">
        <f aca="false">IF(W120&gt;=0,W$4,"")</f>
        <v/>
      </c>
      <c r="X133" s="42" t="str">
        <f aca="false">IF(X120&gt;=0,X$4,"")</f>
        <v/>
      </c>
      <c r="Y133" s="42" t="str">
        <f aca="false">IF(Y120&gt;=0,Y$4,"")</f>
        <v/>
      </c>
      <c r="Z133" s="42" t="str">
        <f aca="false">IF(Z120&gt;=0,Z$4,"")</f>
        <v/>
      </c>
      <c r="AA133" s="42" t="str">
        <f aca="false">IF(AA120&gt;=0,AA$4,"")</f>
        <v/>
      </c>
      <c r="AB133" s="42" t="str">
        <f aca="false">IF(AB120&gt;=0,AB$4,"")</f>
        <v/>
      </c>
      <c r="AC133" s="42" t="str">
        <f aca="false">IF(AC120&gt;=0,AC$4,"")</f>
        <v/>
      </c>
      <c r="AD133" s="42" t="str">
        <f aca="false">IF(AD120&gt;=0,AD$4,"")</f>
        <v/>
      </c>
      <c r="AE133" s="42" t="str">
        <f aca="false">IF(AE120&gt;=0,AE$4,"")</f>
        <v/>
      </c>
      <c r="AF133" s="42" t="str">
        <f aca="false">IF(AF120&gt;=0,AF$4,"")</f>
        <v/>
      </c>
      <c r="AG133" s="42" t="str">
        <f aca="false">IF(AG120&gt;=0,AG$4,"")</f>
        <v/>
      </c>
      <c r="AH133" s="42" t="str">
        <f aca="false">IF(AH120&gt;=0,AH$4,"")</f>
        <v/>
      </c>
      <c r="AI133" s="42" t="str">
        <f aca="false">IF(AI120&gt;=0,AI$4,"")</f>
        <v/>
      </c>
      <c r="AJ133" s="42" t="str">
        <f aca="false">IF(AJ120&gt;=0,AJ$4,"")</f>
        <v/>
      </c>
      <c r="AK133" s="42" t="str">
        <f aca="false">IF(AK120&gt;=0,AK$4,"")</f>
        <v/>
      </c>
      <c r="AL133" s="42" t="str">
        <f aca="false">IF(AL120&gt;=0,AL$4,"")</f>
        <v/>
      </c>
    </row>
    <row r="134" customFormat="false" ht="15" hidden="false" customHeight="false" outlineLevel="0" collapsed="false">
      <c r="A134" s="7" t="s">
        <v>796</v>
      </c>
      <c r="B134" s="9" t="s">
        <v>63</v>
      </c>
      <c r="C134" s="42" t="str">
        <f aca="false">IF(COUNTIF(C120:$AL120,"&lt;0")=0,C$4,"")</f>
        <v/>
      </c>
      <c r="D134" s="42" t="str">
        <f aca="false">IF(COUNTIF(D120:$AL120,"&lt;0")=0,D$4,"")</f>
        <v/>
      </c>
      <c r="E134" s="42" t="str">
        <f aca="false">IF(COUNTIF(E120:$AL120,"&lt;0")=0,E$4,"")</f>
        <v/>
      </c>
      <c r="F134" s="42" t="str">
        <f aca="false">IF(COUNTIF(F120:$AL120,"&lt;0")=0,F$4,"")</f>
        <v/>
      </c>
      <c r="G134" s="42" t="str">
        <f aca="false">IF(COUNTIF(G120:$AL120,"&lt;0")=0,G$4,"")</f>
        <v/>
      </c>
      <c r="H134" s="42" t="str">
        <f aca="false">IF(COUNTIF(H120:$AL120,"&lt;0")=0,H$4,"")</f>
        <v/>
      </c>
      <c r="I134" s="42" t="str">
        <f aca="false">IF(COUNTIF(I120:$AL120,"&lt;0")=0,I$4,"")</f>
        <v/>
      </c>
      <c r="J134" s="42" t="str">
        <f aca="false">IF(COUNTIF(J120:$AL120,"&lt;0")=0,J$4,"")</f>
        <v/>
      </c>
      <c r="K134" s="42" t="str">
        <f aca="false">IF(COUNTIF(K120:$AL120,"&lt;0")=0,K$4,"")</f>
        <v/>
      </c>
      <c r="L134" s="42" t="str">
        <f aca="false">IF(COUNTIF(L120:$AL120,"&lt;0")=0,L$4,"")</f>
        <v/>
      </c>
      <c r="M134" s="42" t="str">
        <f aca="false">IF(COUNTIF(M120:$AL120,"&lt;0")=0,M$4,"")</f>
        <v/>
      </c>
      <c r="N134" s="42" t="str">
        <f aca="false">IF(COUNTIF(N120:$AL120,"&lt;0")=0,N$4,"")</f>
        <v/>
      </c>
      <c r="O134" s="42" t="str">
        <f aca="false">IF(COUNTIF(O120:$AL120,"&lt;0")=0,O$4,"")</f>
        <v/>
      </c>
      <c r="P134" s="42" t="str">
        <f aca="false">IF(COUNTIF(P120:$AL120,"&lt;0")=0,P$4,"")</f>
        <v/>
      </c>
      <c r="Q134" s="42" t="str">
        <f aca="false">IF(COUNTIF(Q120:$AL120,"&lt;0")=0,Q$4,"")</f>
        <v/>
      </c>
      <c r="R134" s="42" t="str">
        <f aca="false">IF(COUNTIF(R120:$AL120,"&lt;0")=0,R$4,"")</f>
        <v/>
      </c>
      <c r="S134" s="42" t="str">
        <f aca="false">IF(COUNTIF(S120:$AL120,"&lt;0")=0,S$4,"")</f>
        <v/>
      </c>
      <c r="T134" s="42" t="str">
        <f aca="false">IF(COUNTIF(T120:$AL120,"&lt;0")=0,T$4,"")</f>
        <v/>
      </c>
      <c r="U134" s="42" t="str">
        <f aca="false">IF(COUNTIF(U120:$AL120,"&lt;0")=0,U$4,"")</f>
        <v/>
      </c>
      <c r="V134" s="42" t="str">
        <f aca="false">IF(COUNTIF(V120:$AL120,"&lt;0")=0,V$4,"")</f>
        <v/>
      </c>
      <c r="W134" s="42" t="str">
        <f aca="false">IF(COUNTIF(W120:$AL120,"&lt;0")=0,W$4,"")</f>
        <v/>
      </c>
      <c r="X134" s="42" t="str">
        <f aca="false">IF(COUNTIF(X120:$AL120,"&lt;0")=0,X$4,"")</f>
        <v/>
      </c>
      <c r="Y134" s="42" t="str">
        <f aca="false">IF(COUNTIF(Y120:$AL120,"&lt;0")=0,Y$4,"")</f>
        <v/>
      </c>
      <c r="Z134" s="42" t="str">
        <f aca="false">IF(COUNTIF(Z120:$AL120,"&lt;0")=0,Z$4,"")</f>
        <v/>
      </c>
      <c r="AA134" s="42" t="str">
        <f aca="false">IF(COUNTIF(AA120:$AL120,"&lt;0")=0,AA$4,"")</f>
        <v/>
      </c>
      <c r="AB134" s="42" t="str">
        <f aca="false">IF(COUNTIF(AB120:$AL120,"&lt;0")=0,AB$4,"")</f>
        <v/>
      </c>
      <c r="AC134" s="42" t="str">
        <f aca="false">IF(COUNTIF(AC120:$AL120,"&lt;0")=0,AC$4,"")</f>
        <v/>
      </c>
      <c r="AD134" s="42" t="str">
        <f aca="false">IF(COUNTIF(AD120:$AL120,"&lt;0")=0,AD$4,"")</f>
        <v/>
      </c>
      <c r="AE134" s="42" t="str">
        <f aca="false">IF(COUNTIF(AE120:$AL120,"&lt;0")=0,AE$4,"")</f>
        <v/>
      </c>
      <c r="AF134" s="42" t="str">
        <f aca="false">IF(COUNTIF(AF120:$AL120,"&lt;0")=0,AF$4,"")</f>
        <v/>
      </c>
      <c r="AG134" s="42" t="str">
        <f aca="false">IF(COUNTIF(AG120:$AL120,"&lt;0")=0,AG$4,"")</f>
        <v/>
      </c>
      <c r="AH134" s="42" t="str">
        <f aca="false">IF(COUNTIF(AH120:$AL120,"&lt;0")=0,AH$4,"")</f>
        <v/>
      </c>
      <c r="AI134" s="42" t="str">
        <f aca="false">IF(COUNTIF(AI120:$AL120,"&lt;0")=0,AI$4,"")</f>
        <v/>
      </c>
      <c r="AJ134" s="42" t="str">
        <f aca="false">IF(COUNTIF(AJ120:$AL120,"&lt;0")=0,AJ$4,"")</f>
        <v/>
      </c>
      <c r="AK134" s="42" t="str">
        <f aca="false">IF(COUNTIF(AK120:$AL120,"&lt;0")=0,AK$4,"")</f>
        <v/>
      </c>
      <c r="AL134" s="42" t="str">
        <f aca="false">IF(COUNTIF(AL120:$AL120,"&lt;0")=0,AL$4,"")</f>
        <v/>
      </c>
    </row>
    <row r="136" customFormat="false" ht="15" hidden="false" customHeight="false" outlineLevel="0" collapsed="false">
      <c r="A136" s="3" t="s">
        <v>797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</row>
    <row r="137" customFormat="false" ht="15" hidden="false" customHeight="false" outlineLevel="0" collapsed="false">
      <c r="A137" s="7" t="s">
        <v>743</v>
      </c>
      <c r="B137" s="50" t="n">
        <f aca="false">IF(Assumptions!$D$145=1,Assumptions!$D$146+Assumptions!$C$64,0)</f>
        <v>8</v>
      </c>
    </row>
    <row r="138" customFormat="false" ht="15" hidden="false" customHeight="false" outlineLevel="0" collapsed="false">
      <c r="A138" s="7" t="s">
        <v>744</v>
      </c>
      <c r="B138" s="51" t="n">
        <f aca="false">IF($B$137=0,0,SUMPRODUCT(($C$4:$AL$4&gt;=Assumptions!$D$146)*($C$4:$AL$4&lt;$B$137)*($C$207:$AL$207)))</f>
        <v>9.83901</v>
      </c>
    </row>
    <row r="139" customFormat="false" ht="15" hidden="false" customHeight="false" outlineLevel="0" collapsed="false">
      <c r="A139" s="7" t="s">
        <v>745</v>
      </c>
      <c r="B139" s="51" t="n">
        <f aca="false">IF($B$137=0,0,MAX(Assumptions!$C$62,ROUNDUP($B$138*(1+Assumptions!$C$63)/100,0)*100))</f>
        <v>1000</v>
      </c>
    </row>
    <row r="141" customFormat="false" ht="15" hidden="false" customHeight="false" outlineLevel="0" collapsed="false">
      <c r="A141" s="5" t="s">
        <v>560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</row>
    <row r="142" customFormat="false" ht="15" hidden="false" customHeight="false" outlineLevel="0" collapsed="false">
      <c r="A142" s="7" t="s">
        <v>746</v>
      </c>
      <c r="B142" s="9" t="s">
        <v>308</v>
      </c>
      <c r="C142" s="37" t="n">
        <f aca="false">IF(AND(Assumptions!$D$97=1,C$4&gt;=Assumptions!$D$98),1,0)</f>
        <v>1</v>
      </c>
      <c r="D142" s="37" t="n">
        <f aca="false">IF(AND(Assumptions!$D$97=1,D$4&gt;=Assumptions!$D$98),1,0)</f>
        <v>1</v>
      </c>
      <c r="E142" s="37" t="n">
        <f aca="false">IF(AND(Assumptions!$D$97=1,E$4&gt;=Assumptions!$D$98),1,0)</f>
        <v>1</v>
      </c>
      <c r="F142" s="37" t="n">
        <f aca="false">IF(AND(Assumptions!$D$97=1,F$4&gt;=Assumptions!$D$98),1,0)</f>
        <v>1</v>
      </c>
      <c r="G142" s="37" t="n">
        <f aca="false">IF(AND(Assumptions!$D$97=1,G$4&gt;=Assumptions!$D$98),1,0)</f>
        <v>1</v>
      </c>
      <c r="H142" s="37" t="n">
        <f aca="false">IF(AND(Assumptions!$D$97=1,H$4&gt;=Assumptions!$D$98),1,0)</f>
        <v>1</v>
      </c>
      <c r="I142" s="37" t="n">
        <f aca="false">IF(AND(Assumptions!$D$97=1,I$4&gt;=Assumptions!$D$98),1,0)</f>
        <v>1</v>
      </c>
      <c r="J142" s="37" t="n">
        <f aca="false">IF(AND(Assumptions!$D$97=1,J$4&gt;=Assumptions!$D$98),1,0)</f>
        <v>1</v>
      </c>
      <c r="K142" s="37" t="n">
        <f aca="false">IF(AND(Assumptions!$D$97=1,K$4&gt;=Assumptions!$D$98),1,0)</f>
        <v>1</v>
      </c>
      <c r="L142" s="37" t="n">
        <f aca="false">IF(AND(Assumptions!$D$97=1,L$4&gt;=Assumptions!$D$98),1,0)</f>
        <v>1</v>
      </c>
      <c r="M142" s="37" t="n">
        <f aca="false">IF(AND(Assumptions!$D$97=1,M$4&gt;=Assumptions!$D$98),1,0)</f>
        <v>1</v>
      </c>
      <c r="N142" s="37" t="n">
        <f aca="false">IF(AND(Assumptions!$D$97=1,N$4&gt;=Assumptions!$D$98),1,0)</f>
        <v>1</v>
      </c>
      <c r="O142" s="37" t="n">
        <f aca="false">IF(AND(Assumptions!$D$97=1,O$4&gt;=Assumptions!$D$98),1,0)</f>
        <v>1</v>
      </c>
      <c r="P142" s="37" t="n">
        <f aca="false">IF(AND(Assumptions!$D$97=1,P$4&gt;=Assumptions!$D$98),1,0)</f>
        <v>1</v>
      </c>
      <c r="Q142" s="37" t="n">
        <f aca="false">IF(AND(Assumptions!$D$97=1,Q$4&gt;=Assumptions!$D$98),1,0)</f>
        <v>1</v>
      </c>
      <c r="R142" s="37" t="n">
        <f aca="false">IF(AND(Assumptions!$D$97=1,R$4&gt;=Assumptions!$D$98),1,0)</f>
        <v>1</v>
      </c>
      <c r="S142" s="37" t="n">
        <f aca="false">IF(AND(Assumptions!$D$97=1,S$4&gt;=Assumptions!$D$98),1,0)</f>
        <v>1</v>
      </c>
      <c r="T142" s="37" t="n">
        <f aca="false">IF(AND(Assumptions!$D$97=1,T$4&gt;=Assumptions!$D$98),1,0)</f>
        <v>1</v>
      </c>
      <c r="U142" s="37" t="n">
        <f aca="false">IF(AND(Assumptions!$D$97=1,U$4&gt;=Assumptions!$D$98),1,0)</f>
        <v>1</v>
      </c>
      <c r="V142" s="37" t="n">
        <f aca="false">IF(AND(Assumptions!$D$97=1,V$4&gt;=Assumptions!$D$98),1,0)</f>
        <v>1</v>
      </c>
      <c r="W142" s="37" t="n">
        <f aca="false">IF(AND(Assumptions!$D$97=1,W$4&gt;=Assumptions!$D$98),1,0)</f>
        <v>1</v>
      </c>
      <c r="X142" s="37" t="n">
        <f aca="false">IF(AND(Assumptions!$D$97=1,X$4&gt;=Assumptions!$D$98),1,0)</f>
        <v>1</v>
      </c>
      <c r="Y142" s="37" t="n">
        <f aca="false">IF(AND(Assumptions!$D$97=1,Y$4&gt;=Assumptions!$D$98),1,0)</f>
        <v>1</v>
      </c>
      <c r="Z142" s="37" t="n">
        <f aca="false">IF(AND(Assumptions!$D$97=1,Z$4&gt;=Assumptions!$D$98),1,0)</f>
        <v>1</v>
      </c>
      <c r="AA142" s="37" t="n">
        <f aca="false">IF(AND(Assumptions!$D$97=1,AA$4&gt;=Assumptions!$D$98),1,0)</f>
        <v>1</v>
      </c>
      <c r="AB142" s="37" t="n">
        <f aca="false">IF(AND(Assumptions!$D$97=1,AB$4&gt;=Assumptions!$D$98),1,0)</f>
        <v>1</v>
      </c>
      <c r="AC142" s="37" t="n">
        <f aca="false">IF(AND(Assumptions!$D$97=1,AC$4&gt;=Assumptions!$D$98),1,0)</f>
        <v>1</v>
      </c>
      <c r="AD142" s="37" t="n">
        <f aca="false">IF(AND(Assumptions!$D$97=1,AD$4&gt;=Assumptions!$D$98),1,0)</f>
        <v>1</v>
      </c>
      <c r="AE142" s="37" t="n">
        <f aca="false">IF(AND(Assumptions!$D$97=1,AE$4&gt;=Assumptions!$D$98),1,0)</f>
        <v>1</v>
      </c>
      <c r="AF142" s="37" t="n">
        <f aca="false">IF(AND(Assumptions!$D$97=1,AF$4&gt;=Assumptions!$D$98),1,0)</f>
        <v>1</v>
      </c>
      <c r="AG142" s="37" t="n">
        <f aca="false">IF(AND(Assumptions!$D$97=1,AG$4&gt;=Assumptions!$D$98),1,0)</f>
        <v>1</v>
      </c>
      <c r="AH142" s="37" t="n">
        <f aca="false">IF(AND(Assumptions!$D$97=1,AH$4&gt;=Assumptions!$D$98),1,0)</f>
        <v>1</v>
      </c>
      <c r="AI142" s="37" t="n">
        <f aca="false">IF(AND(Assumptions!$D$97=1,AI$4&gt;=Assumptions!$D$98),1,0)</f>
        <v>1</v>
      </c>
      <c r="AJ142" s="37" t="n">
        <f aca="false">IF(AND(Assumptions!$D$97=1,AJ$4&gt;=Assumptions!$D$98),1,0)</f>
        <v>1</v>
      </c>
      <c r="AK142" s="37" t="n">
        <f aca="false">IF(AND(Assumptions!$D$97=1,AK$4&gt;=Assumptions!$D$98),1,0)</f>
        <v>1</v>
      </c>
      <c r="AL142" s="37" t="n">
        <f aca="false">IF(AND(Assumptions!$D$97=1,AL$4&gt;=Assumptions!$D$98),1,0)</f>
        <v>1</v>
      </c>
    </row>
    <row r="143" customFormat="false" ht="15" hidden="false" customHeight="false" outlineLevel="0" collapsed="false">
      <c r="A143" s="7" t="s">
        <v>747</v>
      </c>
      <c r="B143" s="9" t="s">
        <v>316</v>
      </c>
      <c r="C143" s="14" t="n">
        <f aca="false">IF(C142=0,0,Assumptions!$D$99)</f>
        <v>600</v>
      </c>
      <c r="D143" s="14" t="n">
        <f aca="false">IF(D142=0,0,IF(D$4=Assumptions!$D$98,Assumptions!$D$99,C143*(1+CHOOSE(D$6,Assumptions!$D$100,Assumptions!$D$101,Assumptions!$D$102))))</f>
        <v>672</v>
      </c>
      <c r="E143" s="14" t="n">
        <f aca="false">IF(E142=0,0,IF(E$4=Assumptions!$D$98,Assumptions!$D$99,D143*(1+CHOOSE(E$6,Assumptions!$D$100,Assumptions!$D$101,Assumptions!$D$102))))</f>
        <v>752.64</v>
      </c>
      <c r="F143" s="14" t="n">
        <f aca="false">IF(F142=0,0,IF(F$4=Assumptions!$D$98,Assumptions!$D$99,E143*(1+CHOOSE(F$6,Assumptions!$D$100,Assumptions!$D$101,Assumptions!$D$102))))</f>
        <v>842.9568</v>
      </c>
      <c r="G143" s="14" t="n">
        <f aca="false">IF(G142=0,0,IF(G$4=Assumptions!$D$98,Assumptions!$D$99,F143*(1+CHOOSE(G$6,Assumptions!$D$100,Assumptions!$D$101,Assumptions!$D$102))))</f>
        <v>944.111616</v>
      </c>
      <c r="H143" s="14" t="n">
        <f aca="false">IF(H142=0,0,IF(H$4=Assumptions!$D$98,Assumptions!$D$99,G143*(1+CHOOSE(H$6,Assumptions!$D$100,Assumptions!$D$101,Assumptions!$D$102))))</f>
        <v>1057.40500992</v>
      </c>
      <c r="I143" s="14" t="n">
        <f aca="false">IF(I142=0,0,IF(I$4=Assumptions!$D$98,Assumptions!$D$99,H143*(1+CHOOSE(I$6,Assumptions!$D$100,Assumptions!$D$101,Assumptions!$D$102))))</f>
        <v>1184.2936111104</v>
      </c>
      <c r="J143" s="14" t="n">
        <f aca="false">IF(J142=0,0,IF(J$4=Assumptions!$D$98,Assumptions!$D$99,I143*(1+CHOOSE(J$6,Assumptions!$D$100,Assumptions!$D$101,Assumptions!$D$102))))</f>
        <v>1326.40884444365</v>
      </c>
      <c r="K143" s="14" t="n">
        <f aca="false">IF(K142=0,0,IF(K$4=Assumptions!$D$98,Assumptions!$D$99,J143*(1+CHOOSE(K$6,Assumptions!$D$100,Assumptions!$D$101,Assumptions!$D$102))))</f>
        <v>1485.57790577689</v>
      </c>
      <c r="L143" s="14" t="n">
        <f aca="false">IF(L142=0,0,IF(L$4=Assumptions!$D$98,Assumptions!$D$99,K143*(1+CHOOSE(L$6,Assumptions!$D$100,Assumptions!$D$101,Assumptions!$D$102))))</f>
        <v>1663.84725447011</v>
      </c>
      <c r="M143" s="14" t="n">
        <f aca="false">IF(M142=0,0,IF(M$4=Assumptions!$D$98,Assumptions!$D$99,L143*(1+CHOOSE(M$6,Assumptions!$D$100,Assumptions!$D$101,Assumptions!$D$102))))</f>
        <v>1863.50892500653</v>
      </c>
      <c r="N143" s="14" t="n">
        <f aca="false">IF(N142=0,0,IF(N$4=Assumptions!$D$98,Assumptions!$D$99,M143*(1+CHOOSE(N$6,Assumptions!$D$100,Assumptions!$D$101,Assumptions!$D$102))))</f>
        <v>2087.12999600731</v>
      </c>
      <c r="O143" s="14" t="n">
        <f aca="false">IF(O142=0,0,IF(O$4=Assumptions!$D$98,Assumptions!$D$99,N143*(1+CHOOSE(O$6,Assumptions!$D$100,Assumptions!$D$101,Assumptions!$D$102))))</f>
        <v>2212.35779576775</v>
      </c>
      <c r="P143" s="14" t="n">
        <f aca="false">IF(P142=0,0,IF(P$4=Assumptions!$D$98,Assumptions!$D$99,O143*(1+CHOOSE(P$6,Assumptions!$D$100,Assumptions!$D$101,Assumptions!$D$102))))</f>
        <v>2345.09926351381</v>
      </c>
      <c r="Q143" s="14" t="n">
        <f aca="false">IF(Q142=0,0,IF(Q$4=Assumptions!$D$98,Assumptions!$D$99,P143*(1+CHOOSE(Q$6,Assumptions!$D$100,Assumptions!$D$101,Assumptions!$D$102))))</f>
        <v>2485.80521932464</v>
      </c>
      <c r="R143" s="14" t="n">
        <f aca="false">IF(R142=0,0,IF(R$4=Assumptions!$D$98,Assumptions!$D$99,Q143*(1+CHOOSE(R$6,Assumptions!$D$100,Assumptions!$D$101,Assumptions!$D$102))))</f>
        <v>2634.95353248412</v>
      </c>
      <c r="S143" s="14" t="n">
        <f aca="false">IF(S142=0,0,IF(S$4=Assumptions!$D$98,Assumptions!$D$99,R143*(1+CHOOSE(S$6,Assumptions!$D$100,Assumptions!$D$101,Assumptions!$D$102))))</f>
        <v>2793.05074443317</v>
      </c>
      <c r="T143" s="14" t="n">
        <f aca="false">IF(T142=0,0,IF(T$4=Assumptions!$D$98,Assumptions!$D$99,S143*(1+CHOOSE(T$6,Assumptions!$D$100,Assumptions!$D$101,Assumptions!$D$102))))</f>
        <v>2960.63378909916</v>
      </c>
      <c r="U143" s="14" t="n">
        <f aca="false">IF(U142=0,0,IF(U$4=Assumptions!$D$98,Assumptions!$D$99,T143*(1+CHOOSE(U$6,Assumptions!$D$100,Assumptions!$D$101,Assumptions!$D$102))))</f>
        <v>3138.27181644511</v>
      </c>
      <c r="V143" s="14" t="n">
        <f aca="false">IF(V142=0,0,IF(V$4=Assumptions!$D$98,Assumptions!$D$99,U143*(1+CHOOSE(V$6,Assumptions!$D$100,Assumptions!$D$101,Assumptions!$D$102))))</f>
        <v>3326.56812543182</v>
      </c>
      <c r="W143" s="14" t="n">
        <f aca="false">IF(W142=0,0,IF(W$4=Assumptions!$D$98,Assumptions!$D$99,V143*(1+CHOOSE(W$6,Assumptions!$D$100,Assumptions!$D$101,Assumptions!$D$102))))</f>
        <v>3526.16221295773</v>
      </c>
      <c r="X143" s="14" t="n">
        <f aca="false">IF(X142=0,0,IF(X$4=Assumptions!$D$98,Assumptions!$D$99,W143*(1+CHOOSE(X$6,Assumptions!$D$100,Assumptions!$D$101,Assumptions!$D$102))))</f>
        <v>3737.73194573519</v>
      </c>
      <c r="Y143" s="14" t="n">
        <f aca="false">IF(Y142=0,0,IF(Y$4=Assumptions!$D$98,Assumptions!$D$99,X143*(1+CHOOSE(Y$6,Assumptions!$D$100,Assumptions!$D$101,Assumptions!$D$102))))</f>
        <v>3961.9958624793</v>
      </c>
      <c r="Z143" s="14" t="n">
        <f aca="false">IF(Z142=0,0,IF(Z$4=Assumptions!$D$98,Assumptions!$D$99,Y143*(1+CHOOSE(Z$6,Assumptions!$D$100,Assumptions!$D$101,Assumptions!$D$102))))</f>
        <v>4199.71561422806</v>
      </c>
      <c r="AA143" s="14" t="n">
        <f aca="false">IF(AA142=0,0,IF(AA$4=Assumptions!$D$98,Assumptions!$D$99,Z143*(1+CHOOSE(AA$6,Assumptions!$D$100,Assumptions!$D$101,Assumptions!$D$102))))</f>
        <v>4325.7070826549</v>
      </c>
      <c r="AB143" s="14" t="n">
        <f aca="false">IF(AB142=0,0,IF(AB$4=Assumptions!$D$98,Assumptions!$D$99,AA143*(1+CHOOSE(AB$6,Assumptions!$D$100,Assumptions!$D$101,Assumptions!$D$102))))</f>
        <v>4455.47829513455</v>
      </c>
      <c r="AC143" s="14" t="n">
        <f aca="false">IF(AC142=0,0,IF(AC$4=Assumptions!$D$98,Assumptions!$D$99,AB143*(1+CHOOSE(AC$6,Assumptions!$D$100,Assumptions!$D$101,Assumptions!$D$102))))</f>
        <v>4589.14264398858</v>
      </c>
      <c r="AD143" s="14" t="n">
        <f aca="false">IF(AD142=0,0,IF(AD$4=Assumptions!$D$98,Assumptions!$D$99,AC143*(1+CHOOSE(AD$6,Assumptions!$D$100,Assumptions!$D$101,Assumptions!$D$102))))</f>
        <v>4726.81692330824</v>
      </c>
      <c r="AE143" s="14" t="n">
        <f aca="false">IF(AE142=0,0,IF(AE$4=Assumptions!$D$98,Assumptions!$D$99,AD143*(1+CHOOSE(AE$6,Assumptions!$D$100,Assumptions!$D$101,Assumptions!$D$102))))</f>
        <v>4868.62143100749</v>
      </c>
      <c r="AF143" s="14" t="n">
        <f aca="false">IF(AF142=0,0,IF(AF$4=Assumptions!$D$98,Assumptions!$D$99,AE143*(1+CHOOSE(AF$6,Assumptions!$D$100,Assumptions!$D$101,Assumptions!$D$102))))</f>
        <v>5014.68007393771</v>
      </c>
      <c r="AG143" s="14" t="n">
        <f aca="false">IF(AG142=0,0,IF(AG$4=Assumptions!$D$98,Assumptions!$D$99,AF143*(1+CHOOSE(AG$6,Assumptions!$D$100,Assumptions!$D$101,Assumptions!$D$102))))</f>
        <v>5165.12047615585</v>
      </c>
      <c r="AH143" s="14" t="n">
        <f aca="false">IF(AH142=0,0,IF(AH$4=Assumptions!$D$98,Assumptions!$D$99,AG143*(1+CHOOSE(AH$6,Assumptions!$D$100,Assumptions!$D$101,Assumptions!$D$102))))</f>
        <v>5320.07409044052</v>
      </c>
      <c r="AI143" s="14" t="n">
        <f aca="false">IF(AI142=0,0,IF(AI$4=Assumptions!$D$98,Assumptions!$D$99,AH143*(1+CHOOSE(AI$6,Assumptions!$D$100,Assumptions!$D$101,Assumptions!$D$102))))</f>
        <v>5479.67631315374</v>
      </c>
      <c r="AJ143" s="14" t="n">
        <f aca="false">IF(AJ142=0,0,IF(AJ$4=Assumptions!$D$98,Assumptions!$D$99,AI143*(1+CHOOSE(AJ$6,Assumptions!$D$100,Assumptions!$D$101,Assumptions!$D$102))))</f>
        <v>5644.06660254835</v>
      </c>
      <c r="AK143" s="14" t="n">
        <f aca="false">IF(AK142=0,0,IF(AK$4=Assumptions!$D$98,Assumptions!$D$99,AJ143*(1+CHOOSE(AK$6,Assumptions!$D$100,Assumptions!$D$101,Assumptions!$D$102))))</f>
        <v>5813.3886006248</v>
      </c>
      <c r="AL143" s="14" t="n">
        <f aca="false">IF(AL142=0,0,IF(AL$4=Assumptions!$D$98,Assumptions!$D$99,AK143*(1+CHOOSE(AL$6,Assumptions!$D$100,Assumptions!$D$101,Assumptions!$D$102))))</f>
        <v>5987.79025864355</v>
      </c>
    </row>
    <row r="144" customFormat="false" ht="15" hidden="false" customHeight="false" outlineLevel="0" collapsed="false">
      <c r="A144" s="7" t="s">
        <v>748</v>
      </c>
      <c r="B144" s="9" t="s">
        <v>316</v>
      </c>
      <c r="C144" s="52" t="n">
        <f aca="false">C143*C$7</f>
        <v>570</v>
      </c>
      <c r="D144" s="52" t="n">
        <f aca="false">D143*D$7</f>
        <v>873.6</v>
      </c>
      <c r="E144" s="52" t="n">
        <f aca="false">E143*E$7</f>
        <v>1016.064</v>
      </c>
      <c r="F144" s="52" t="n">
        <f aca="false">F143*F$7</f>
        <v>1053.696</v>
      </c>
      <c r="G144" s="52" t="n">
        <f aca="false">G143*G$7</f>
        <v>849.7004544</v>
      </c>
      <c r="H144" s="52" t="n">
        <f aca="false">H143*H$7</f>
        <v>1057.40500992</v>
      </c>
      <c r="I144" s="52" t="n">
        <f aca="false">I143*I$7</f>
        <v>1243.50829166592</v>
      </c>
      <c r="J144" s="52" t="n">
        <f aca="false">J143*J$7</f>
        <v>1260.08840222147</v>
      </c>
      <c r="K144" s="52" t="n">
        <f aca="false">K143*K$7</f>
        <v>1485.57790577689</v>
      </c>
      <c r="L144" s="52" t="n">
        <f aca="false">L143*L$7</f>
        <v>1580.65489174661</v>
      </c>
      <c r="M144" s="52" t="n">
        <f aca="false">M143*M$7</f>
        <v>1583.98258625555</v>
      </c>
      <c r="N144" s="52" t="n">
        <f aca="false">N143*N$7</f>
        <v>1774.06049660621</v>
      </c>
      <c r="O144" s="52" t="n">
        <f aca="false">O143*O$7</f>
        <v>2101.73990597936</v>
      </c>
      <c r="P144" s="52" t="n">
        <f aca="false">P143*P$7</f>
        <v>3048.62904256796</v>
      </c>
      <c r="Q144" s="52" t="n">
        <f aca="false">Q143*Q$7</f>
        <v>3355.83704608827</v>
      </c>
      <c r="R144" s="52" t="n">
        <f aca="false">R143*R$7</f>
        <v>3293.69191560515</v>
      </c>
      <c r="S144" s="52" t="n">
        <f aca="false">S143*S$7</f>
        <v>2513.74566998985</v>
      </c>
      <c r="T144" s="52" t="n">
        <f aca="false">T143*T$7</f>
        <v>2960.63378909916</v>
      </c>
      <c r="U144" s="52" t="n">
        <f aca="false">U143*U$7</f>
        <v>3295.18540726737</v>
      </c>
      <c r="V144" s="52" t="n">
        <f aca="false">V143*V$7</f>
        <v>3160.23971916023</v>
      </c>
      <c r="W144" s="52" t="n">
        <f aca="false">W143*W$7</f>
        <v>3526.16221295773</v>
      </c>
      <c r="X144" s="52" t="n">
        <f aca="false">X143*X$7</f>
        <v>3550.84534844843</v>
      </c>
      <c r="Y144" s="52" t="n">
        <f aca="false">Y143*Y$7</f>
        <v>3367.69648310741</v>
      </c>
      <c r="Z144" s="52" t="n">
        <f aca="false">Z143*Z$7</f>
        <v>3569.75827209385</v>
      </c>
      <c r="AA144" s="52" t="n">
        <f aca="false">AA143*AA$7</f>
        <v>4109.42172852216</v>
      </c>
      <c r="AB144" s="52" t="n">
        <f aca="false">AB143*AB$7</f>
        <v>5792.12178367491</v>
      </c>
      <c r="AC144" s="52" t="n">
        <f aca="false">AC143*AC$7</f>
        <v>6195.34256938459</v>
      </c>
      <c r="AD144" s="52" t="n">
        <f aca="false">AD143*AD$7</f>
        <v>5908.5211541353</v>
      </c>
      <c r="AE144" s="52" t="n">
        <f aca="false">AE143*AE$7</f>
        <v>4381.75928790674</v>
      </c>
      <c r="AF144" s="52" t="n">
        <f aca="false">AF143*AF$7</f>
        <v>5014.68007393771</v>
      </c>
      <c r="AG144" s="52" t="n">
        <f aca="false">AG143*AG$7</f>
        <v>5423.37649996364</v>
      </c>
      <c r="AH144" s="52" t="n">
        <f aca="false">AH143*AH$7</f>
        <v>5054.0703859185</v>
      </c>
      <c r="AI144" s="52" t="n">
        <f aca="false">AI143*AI$7</f>
        <v>5479.67631315374</v>
      </c>
      <c r="AJ144" s="52" t="n">
        <f aca="false">AJ143*AJ$7</f>
        <v>5361.86327242093</v>
      </c>
      <c r="AK144" s="52" t="n">
        <f aca="false">AK143*AK$7</f>
        <v>4941.38031053108</v>
      </c>
      <c r="AL144" s="52" t="n">
        <f aca="false">AL143*AL$7</f>
        <v>5089.62171984701</v>
      </c>
      <c r="AM144" s="53" t="n">
        <f aca="false">SUMIF($C$6:$AL$6,1,C144:AL144)</f>
        <v>14348.3380385926</v>
      </c>
      <c r="AN144" s="53" t="n">
        <f aca="false">SUMIF($C$6:$AL$6,2,C144:AL144)</f>
        <v>37744.1648123648</v>
      </c>
      <c r="AO144" s="53" t="n">
        <f aca="false">SUMIF($C$6:$AL$6,3,C144:AL144)</f>
        <v>62751.8350993963</v>
      </c>
      <c r="AP144" s="53" t="n">
        <f aca="false">SUM(C144:AL144)</f>
        <v>114844.337950354</v>
      </c>
    </row>
    <row r="145" customFormat="false" ht="15" hidden="false" customHeight="false" outlineLevel="0" collapsed="false">
      <c r="A145" s="7" t="s">
        <v>749</v>
      </c>
      <c r="B145" s="9" t="s">
        <v>88</v>
      </c>
      <c r="C145" s="54" t="n">
        <f aca="false">Assumptions!$D$103*MIN(1,(C$4-Assumptions!$D$98+1)/Assumptions!$C$10)*C142</f>
        <v>0.0025</v>
      </c>
      <c r="D145" s="54" t="n">
        <f aca="false">Assumptions!$D$103*MIN(1,(D$4-Assumptions!$D$98+1)/Assumptions!$C$10)*D142</f>
        <v>0.005</v>
      </c>
      <c r="E145" s="54" t="n">
        <f aca="false">Assumptions!$D$103*MIN(1,(E$4-Assumptions!$D$98+1)/Assumptions!$C$10)*E142</f>
        <v>0.0075</v>
      </c>
      <c r="F145" s="54" t="n">
        <f aca="false">Assumptions!$D$103*MIN(1,(F$4-Assumptions!$D$98+1)/Assumptions!$C$10)*F142</f>
        <v>0.01</v>
      </c>
      <c r="G145" s="54" t="n">
        <f aca="false">Assumptions!$D$103*MIN(1,(G$4-Assumptions!$D$98+1)/Assumptions!$C$10)*G142</f>
        <v>0.0125</v>
      </c>
      <c r="H145" s="54" t="n">
        <f aca="false">Assumptions!$D$103*MIN(1,(H$4-Assumptions!$D$98+1)/Assumptions!$C$10)*H142</f>
        <v>0.015</v>
      </c>
      <c r="I145" s="54" t="n">
        <f aca="false">Assumptions!$D$103*MIN(1,(I$4-Assumptions!$D$98+1)/Assumptions!$C$10)*I142</f>
        <v>0.015</v>
      </c>
      <c r="J145" s="54" t="n">
        <f aca="false">Assumptions!$D$103*MIN(1,(J$4-Assumptions!$D$98+1)/Assumptions!$C$10)*J142</f>
        <v>0.015</v>
      </c>
      <c r="K145" s="54" t="n">
        <f aca="false">Assumptions!$D$103*MIN(1,(K$4-Assumptions!$D$98+1)/Assumptions!$C$10)*K142</f>
        <v>0.015</v>
      </c>
      <c r="L145" s="54" t="n">
        <f aca="false">Assumptions!$D$103*MIN(1,(L$4-Assumptions!$D$98+1)/Assumptions!$C$10)*L142</f>
        <v>0.015</v>
      </c>
      <c r="M145" s="54" t="n">
        <f aca="false">Assumptions!$D$103*MIN(1,(M$4-Assumptions!$D$98+1)/Assumptions!$C$10)*M142</f>
        <v>0.015</v>
      </c>
      <c r="N145" s="54" t="n">
        <f aca="false">Assumptions!$D$103*MIN(1,(N$4-Assumptions!$D$98+1)/Assumptions!$C$10)*N142</f>
        <v>0.015</v>
      </c>
      <c r="O145" s="54" t="n">
        <f aca="false">Assumptions!$D$103*MIN(1,(O$4-Assumptions!$D$98+1)/Assumptions!$C$10)*O142</f>
        <v>0.015</v>
      </c>
      <c r="P145" s="54" t="n">
        <f aca="false">Assumptions!$D$103*MIN(1,(P$4-Assumptions!$D$98+1)/Assumptions!$C$10)*P142</f>
        <v>0.015</v>
      </c>
      <c r="Q145" s="54" t="n">
        <f aca="false">Assumptions!$D$103*MIN(1,(Q$4-Assumptions!$D$98+1)/Assumptions!$C$10)*Q142</f>
        <v>0.015</v>
      </c>
      <c r="R145" s="54" t="n">
        <f aca="false">Assumptions!$D$103*MIN(1,(R$4-Assumptions!$D$98+1)/Assumptions!$C$10)*R142</f>
        <v>0.015</v>
      </c>
      <c r="S145" s="54" t="n">
        <f aca="false">Assumptions!$D$103*MIN(1,(S$4-Assumptions!$D$98+1)/Assumptions!$C$10)*S142</f>
        <v>0.015</v>
      </c>
      <c r="T145" s="54" t="n">
        <f aca="false">Assumptions!$D$103*MIN(1,(T$4-Assumptions!$D$98+1)/Assumptions!$C$10)*T142</f>
        <v>0.015</v>
      </c>
      <c r="U145" s="54" t="n">
        <f aca="false">Assumptions!$D$103*MIN(1,(U$4-Assumptions!$D$98+1)/Assumptions!$C$10)*U142</f>
        <v>0.015</v>
      </c>
      <c r="V145" s="54" t="n">
        <f aca="false">Assumptions!$D$103*MIN(1,(V$4-Assumptions!$D$98+1)/Assumptions!$C$10)*V142</f>
        <v>0.015</v>
      </c>
      <c r="W145" s="54" t="n">
        <f aca="false">Assumptions!$D$103*MIN(1,(W$4-Assumptions!$D$98+1)/Assumptions!$C$10)*W142</f>
        <v>0.015</v>
      </c>
      <c r="X145" s="54" t="n">
        <f aca="false">Assumptions!$D$103*MIN(1,(X$4-Assumptions!$D$98+1)/Assumptions!$C$10)*X142</f>
        <v>0.015</v>
      </c>
      <c r="Y145" s="54" t="n">
        <f aca="false">Assumptions!$D$103*MIN(1,(Y$4-Assumptions!$D$98+1)/Assumptions!$C$10)*Y142</f>
        <v>0.015</v>
      </c>
      <c r="Z145" s="54" t="n">
        <f aca="false">Assumptions!$D$103*MIN(1,(Z$4-Assumptions!$D$98+1)/Assumptions!$C$10)*Z142</f>
        <v>0.015</v>
      </c>
      <c r="AA145" s="54" t="n">
        <f aca="false">Assumptions!$D$103*MIN(1,(AA$4-Assumptions!$D$98+1)/Assumptions!$C$10)*AA142</f>
        <v>0.015</v>
      </c>
      <c r="AB145" s="54" t="n">
        <f aca="false">Assumptions!$D$103*MIN(1,(AB$4-Assumptions!$D$98+1)/Assumptions!$C$10)*AB142</f>
        <v>0.015</v>
      </c>
      <c r="AC145" s="54" t="n">
        <f aca="false">Assumptions!$D$103*MIN(1,(AC$4-Assumptions!$D$98+1)/Assumptions!$C$10)*AC142</f>
        <v>0.015</v>
      </c>
      <c r="AD145" s="54" t="n">
        <f aca="false">Assumptions!$D$103*MIN(1,(AD$4-Assumptions!$D$98+1)/Assumptions!$C$10)*AD142</f>
        <v>0.015</v>
      </c>
      <c r="AE145" s="54" t="n">
        <f aca="false">Assumptions!$D$103*MIN(1,(AE$4-Assumptions!$D$98+1)/Assumptions!$C$10)*AE142</f>
        <v>0.015</v>
      </c>
      <c r="AF145" s="54" t="n">
        <f aca="false">Assumptions!$D$103*MIN(1,(AF$4-Assumptions!$D$98+1)/Assumptions!$C$10)*AF142</f>
        <v>0.015</v>
      </c>
      <c r="AG145" s="54" t="n">
        <f aca="false">Assumptions!$D$103*MIN(1,(AG$4-Assumptions!$D$98+1)/Assumptions!$C$10)*AG142</f>
        <v>0.015</v>
      </c>
      <c r="AH145" s="54" t="n">
        <f aca="false">Assumptions!$D$103*MIN(1,(AH$4-Assumptions!$D$98+1)/Assumptions!$C$10)*AH142</f>
        <v>0.015</v>
      </c>
      <c r="AI145" s="54" t="n">
        <f aca="false">Assumptions!$D$103*MIN(1,(AI$4-Assumptions!$D$98+1)/Assumptions!$C$10)*AI142</f>
        <v>0.015</v>
      </c>
      <c r="AJ145" s="54" t="n">
        <f aca="false">Assumptions!$D$103*MIN(1,(AJ$4-Assumptions!$D$98+1)/Assumptions!$C$10)*AJ142</f>
        <v>0.015</v>
      </c>
      <c r="AK145" s="54" t="n">
        <f aca="false">Assumptions!$D$103*MIN(1,(AK$4-Assumptions!$D$98+1)/Assumptions!$C$10)*AK142</f>
        <v>0.015</v>
      </c>
      <c r="AL145" s="54" t="n">
        <f aca="false">Assumptions!$D$103*MIN(1,(AL$4-Assumptions!$D$98+1)/Assumptions!$C$10)*AL142</f>
        <v>0.015</v>
      </c>
    </row>
    <row r="146" customFormat="false" ht="15" hidden="false" customHeight="false" outlineLevel="0" collapsed="false">
      <c r="A146" s="7" t="s">
        <v>750</v>
      </c>
      <c r="B146" s="9" t="s">
        <v>751</v>
      </c>
      <c r="C146" s="55" t="n">
        <f aca="false">(C144-C184)*C145</f>
        <v>1.425</v>
      </c>
      <c r="D146" s="55" t="n">
        <f aca="false">(D144-D184)*D145</f>
        <v>4.368</v>
      </c>
      <c r="E146" s="55" t="n">
        <f aca="false">(E144-E184)*E145</f>
        <v>7.62048</v>
      </c>
      <c r="F146" s="55" t="n">
        <f aca="false">(F144-F184)*F145</f>
        <v>8.429568</v>
      </c>
      <c r="G146" s="55" t="n">
        <f aca="false">(G144-G184)*G145</f>
        <v>8.49700454400001</v>
      </c>
      <c r="H146" s="55" t="n">
        <f aca="false">(H144-H184)*H145</f>
        <v>12.68886011904</v>
      </c>
      <c r="I146" s="55" t="n">
        <f aca="false">(I144-I184)*I145</f>
        <v>14.922099499991</v>
      </c>
      <c r="J146" s="55" t="n">
        <f aca="false">(J144-J184)*J145</f>
        <v>15.1210608266576</v>
      </c>
      <c r="K146" s="55" t="n">
        <f aca="false">(K144-K184)*K145</f>
        <v>17.8269348693226</v>
      </c>
      <c r="L146" s="55" t="n">
        <f aca="false">(L144-L184)*L145</f>
        <v>18.9678587009593</v>
      </c>
      <c r="M146" s="55" t="n">
        <f aca="false">(M144-M184)*M145</f>
        <v>19.0077910350666</v>
      </c>
      <c r="N146" s="55" t="n">
        <f aca="false">(N144-N184)*N145</f>
        <v>21.2887259592746</v>
      </c>
      <c r="O146" s="55" t="n">
        <f aca="false">(O144-O184)*O145</f>
        <v>25.2208788717523</v>
      </c>
      <c r="P146" s="55" t="n">
        <f aca="false">(P144-P184)*P145</f>
        <v>36.5835485108155</v>
      </c>
      <c r="Q146" s="55" t="n">
        <f aca="false">(Q144-Q184)*Q145</f>
        <v>40.2700445530592</v>
      </c>
      <c r="R146" s="55" t="n">
        <f aca="false">(R144-R184)*R145</f>
        <v>39.5243029872618</v>
      </c>
      <c r="S146" s="55" t="n">
        <f aca="false">(S144-S184)*S145</f>
        <v>30.1649480398782</v>
      </c>
      <c r="T146" s="55" t="n">
        <f aca="false">(T144-T184)*T145</f>
        <v>35.5276054691899</v>
      </c>
      <c r="U146" s="55" t="n">
        <f aca="false">(U144-U184)*U145</f>
        <v>39.5422248872084</v>
      </c>
      <c r="V146" s="55" t="n">
        <f aca="false">(V144-V184)*V145</f>
        <v>37.9228766299227</v>
      </c>
      <c r="W146" s="55" t="n">
        <f aca="false">(W144-W184)*W145</f>
        <v>42.3139465554927</v>
      </c>
      <c r="X146" s="55" t="n">
        <f aca="false">(X144-X184)*X145</f>
        <v>42.6101441813812</v>
      </c>
      <c r="Y146" s="55" t="n">
        <f aca="false">(Y144-Y184)*Y145</f>
        <v>40.4123577972889</v>
      </c>
      <c r="Z146" s="55" t="n">
        <f aca="false">(Z144-Z184)*Z145</f>
        <v>42.8370992651262</v>
      </c>
      <c r="AA146" s="55" t="n">
        <f aca="false">(AA144-AA184)*AA145</f>
        <v>49.3130607422659</v>
      </c>
      <c r="AB146" s="55" t="n">
        <f aca="false">(AB144-AB184)*AB145</f>
        <v>69.5054614040989</v>
      </c>
      <c r="AC146" s="55" t="n">
        <f aca="false">(AC144-AC184)*AC145</f>
        <v>74.3441108326151</v>
      </c>
      <c r="AD146" s="55" t="n">
        <f aca="false">(AD144-AD184)*AD145</f>
        <v>70.9022538496236</v>
      </c>
      <c r="AE146" s="55" t="n">
        <f aca="false">(AE144-AE184)*AE145</f>
        <v>52.5811114548809</v>
      </c>
      <c r="AF146" s="55" t="n">
        <f aca="false">(AF144-AF184)*AF145</f>
        <v>60.1761608872526</v>
      </c>
      <c r="AG146" s="55" t="n">
        <f aca="false">(AG144-AG184)*AG145</f>
        <v>65.0805179995637</v>
      </c>
      <c r="AH146" s="55" t="n">
        <f aca="false">(AH144-AH184)*AH145</f>
        <v>60.6488446310219</v>
      </c>
      <c r="AI146" s="55" t="n">
        <f aca="false">(AI144-AI184)*AI145</f>
        <v>65.7561157578449</v>
      </c>
      <c r="AJ146" s="55" t="n">
        <f aca="false">(AJ144-AJ184)*AJ145</f>
        <v>64.3423592690512</v>
      </c>
      <c r="AK146" s="55" t="n">
        <f aca="false">(AK144-AK184)*AK145</f>
        <v>59.296563726373</v>
      </c>
      <c r="AL146" s="55" t="n">
        <f aca="false">(AL144-AL184)*AL145</f>
        <v>61.0754606381642</v>
      </c>
      <c r="AM146" s="53" t="n">
        <f aca="false">SUMIF($C$6:$AL$6,1,C146:AL146)</f>
        <v>150.163383554312</v>
      </c>
      <c r="AN146" s="53" t="n">
        <f aca="false">SUMIF($C$6:$AL$6,2,C146:AL146)</f>
        <v>452.929977748377</v>
      </c>
      <c r="AO146" s="53" t="n">
        <f aca="false">SUMIF($C$6:$AL$6,3,C146:AL146)</f>
        <v>753.022021192756</v>
      </c>
      <c r="AP146" s="53" t="n">
        <f aca="false">SUM(C146:AL146)</f>
        <v>1356.11538249544</v>
      </c>
    </row>
    <row r="147" customFormat="false" ht="15" hidden="false" customHeight="false" outlineLevel="0" collapsed="false">
      <c r="A147" s="7" t="s">
        <v>752</v>
      </c>
      <c r="B147" s="9" t="s">
        <v>331</v>
      </c>
      <c r="C147" s="56" t="n">
        <f aca="false">C146*Assumptions!$D$104</f>
        <v>1.78125</v>
      </c>
      <c r="D147" s="56" t="n">
        <f aca="false">D146*Assumptions!$D$104</f>
        <v>5.46</v>
      </c>
      <c r="E147" s="56" t="n">
        <f aca="false">E146*Assumptions!$D$104</f>
        <v>9.5256</v>
      </c>
      <c r="F147" s="56" t="n">
        <f aca="false">F146*Assumptions!$D$104</f>
        <v>10.53696</v>
      </c>
      <c r="G147" s="56" t="n">
        <f aca="false">G146*Assumptions!$D$104</f>
        <v>10.62125568</v>
      </c>
      <c r="H147" s="56" t="n">
        <f aca="false">H146*Assumptions!$D$104</f>
        <v>15.8610751488</v>
      </c>
      <c r="I147" s="56" t="n">
        <f aca="false">I146*Assumptions!$D$104</f>
        <v>18.6526243749888</v>
      </c>
      <c r="J147" s="56" t="n">
        <f aca="false">J146*Assumptions!$D$104</f>
        <v>18.901326033322</v>
      </c>
      <c r="K147" s="56" t="n">
        <f aca="false">K146*Assumptions!$D$104</f>
        <v>22.2836685866533</v>
      </c>
      <c r="L147" s="56" t="n">
        <f aca="false">L146*Assumptions!$D$104</f>
        <v>23.7098233761991</v>
      </c>
      <c r="M147" s="56" t="n">
        <f aca="false">M146*Assumptions!$D$104</f>
        <v>23.7597387938332</v>
      </c>
      <c r="N147" s="56" t="n">
        <f aca="false">N146*Assumptions!$D$104</f>
        <v>26.6109074490932</v>
      </c>
      <c r="O147" s="56" t="n">
        <f aca="false">O146*Assumptions!$D$104</f>
        <v>31.5260985896904</v>
      </c>
      <c r="P147" s="56" t="n">
        <f aca="false">P146*Assumptions!$D$104</f>
        <v>45.7294356385194</v>
      </c>
      <c r="Q147" s="56" t="n">
        <f aca="false">Q146*Assumptions!$D$104</f>
        <v>50.337555691324</v>
      </c>
      <c r="R147" s="56" t="n">
        <f aca="false">R146*Assumptions!$D$104</f>
        <v>49.4053787340773</v>
      </c>
      <c r="S147" s="56" t="n">
        <f aca="false">S146*Assumptions!$D$104</f>
        <v>37.7061850498478</v>
      </c>
      <c r="T147" s="56" t="n">
        <f aca="false">T146*Assumptions!$D$104</f>
        <v>44.4095068364874</v>
      </c>
      <c r="U147" s="56" t="n">
        <f aca="false">U146*Assumptions!$D$104</f>
        <v>49.4277811090105</v>
      </c>
      <c r="V147" s="56" t="n">
        <f aca="false">V146*Assumptions!$D$104</f>
        <v>47.4035957874034</v>
      </c>
      <c r="W147" s="56" t="n">
        <f aca="false">W146*Assumptions!$D$104</f>
        <v>52.8924331943659</v>
      </c>
      <c r="X147" s="56" t="n">
        <f aca="false">X146*Assumptions!$D$104</f>
        <v>53.2626802267264</v>
      </c>
      <c r="Y147" s="56" t="n">
        <f aca="false">Y146*Assumptions!$D$104</f>
        <v>50.5154472466111</v>
      </c>
      <c r="Z147" s="56" t="n">
        <f aca="false">Z146*Assumptions!$D$104</f>
        <v>53.5463740814078</v>
      </c>
      <c r="AA147" s="56" t="n">
        <f aca="false">AA146*Assumptions!$D$104</f>
        <v>61.6413259278323</v>
      </c>
      <c r="AB147" s="56" t="n">
        <f aca="false">AB146*Assumptions!$D$104</f>
        <v>86.8818267551237</v>
      </c>
      <c r="AC147" s="56" t="n">
        <f aca="false">AC146*Assumptions!$D$104</f>
        <v>92.9301385407688</v>
      </c>
      <c r="AD147" s="56" t="n">
        <f aca="false">AD146*Assumptions!$D$104</f>
        <v>88.6278173120295</v>
      </c>
      <c r="AE147" s="56" t="n">
        <f aca="false">AE146*Assumptions!$D$104</f>
        <v>65.7263893186011</v>
      </c>
      <c r="AF147" s="56" t="n">
        <f aca="false">AF146*Assumptions!$D$104</f>
        <v>75.2202011090657</v>
      </c>
      <c r="AG147" s="56" t="n">
        <f aca="false">AG146*Assumptions!$D$104</f>
        <v>81.3506474994546</v>
      </c>
      <c r="AH147" s="56" t="n">
        <f aca="false">AH146*Assumptions!$D$104</f>
        <v>75.8110557887774</v>
      </c>
      <c r="AI147" s="56" t="n">
        <f aca="false">AI146*Assumptions!$D$104</f>
        <v>82.1951446973061</v>
      </c>
      <c r="AJ147" s="56" t="n">
        <f aca="false">AJ146*Assumptions!$D$104</f>
        <v>80.427949086314</v>
      </c>
      <c r="AK147" s="56" t="n">
        <f aca="false">AK146*Assumptions!$D$104</f>
        <v>74.1207046579662</v>
      </c>
      <c r="AL147" s="56" t="n">
        <f aca="false">AL146*Assumptions!$D$104</f>
        <v>76.3443257977052</v>
      </c>
      <c r="AM147" s="53" t="n">
        <f aca="false">SUMIF($C$6:$AL$6,1,C147:AL147)</f>
        <v>187.70422944289</v>
      </c>
      <c r="AN147" s="53" t="n">
        <f aca="false">SUMIF($C$6:$AL$6,2,C147:AL147)</f>
        <v>566.162472185471</v>
      </c>
      <c r="AO147" s="53" t="n">
        <f aca="false">SUMIF($C$6:$AL$6,3,C147:AL147)</f>
        <v>941.277526490945</v>
      </c>
      <c r="AP147" s="53" t="n">
        <f aca="false">SUM(C147:AL147)</f>
        <v>1695.14422811931</v>
      </c>
    </row>
    <row r="148" customFormat="false" ht="15" hidden="false" customHeight="false" outlineLevel="0" collapsed="false">
      <c r="A148" s="7" t="s">
        <v>753</v>
      </c>
      <c r="B148" s="9" t="s">
        <v>93</v>
      </c>
      <c r="C148" s="15" t="n">
        <f aca="false">'Unit Economics'!$E$50*Assumptions!$D$104*C142</f>
        <v>11.408625</v>
      </c>
      <c r="D148" s="15" t="n">
        <f aca="false">'Unit Economics'!$E$50*Assumptions!$D$104*D142</f>
        <v>11.408625</v>
      </c>
      <c r="E148" s="15" t="n">
        <f aca="false">'Unit Economics'!$E$50*Assumptions!$D$104*E142</f>
        <v>11.408625</v>
      </c>
      <c r="F148" s="15" t="n">
        <f aca="false">'Unit Economics'!$E$50*Assumptions!$D$104*F142</f>
        <v>11.408625</v>
      </c>
      <c r="G148" s="15" t="n">
        <f aca="false">'Unit Economics'!$E$50*Assumptions!$D$104*G142</f>
        <v>11.408625</v>
      </c>
      <c r="H148" s="15" t="n">
        <f aca="false">'Unit Economics'!$E$50*Assumptions!$D$104*H142</f>
        <v>11.408625</v>
      </c>
      <c r="I148" s="15" t="n">
        <f aca="false">'Unit Economics'!$E$50*Assumptions!$D$104*I142</f>
        <v>11.408625</v>
      </c>
      <c r="J148" s="15" t="n">
        <f aca="false">'Unit Economics'!$E$50*Assumptions!$D$104*J142</f>
        <v>11.408625</v>
      </c>
      <c r="K148" s="15" t="n">
        <f aca="false">'Unit Economics'!$E$50*Assumptions!$D$104*K142</f>
        <v>11.408625</v>
      </c>
      <c r="L148" s="15" t="n">
        <f aca="false">'Unit Economics'!$E$50*Assumptions!$D$104*L142</f>
        <v>11.408625</v>
      </c>
      <c r="M148" s="15" t="n">
        <f aca="false">'Unit Economics'!$E$50*Assumptions!$D$104*M142</f>
        <v>11.408625</v>
      </c>
      <c r="N148" s="15" t="n">
        <f aca="false">'Unit Economics'!$E$50*Assumptions!$D$104*N142</f>
        <v>11.408625</v>
      </c>
      <c r="O148" s="15" t="n">
        <f aca="false">'Unit Economics'!$E$50*Assumptions!$D$104*O142</f>
        <v>11.408625</v>
      </c>
      <c r="P148" s="15" t="n">
        <f aca="false">'Unit Economics'!$E$50*Assumptions!$D$104*P142</f>
        <v>11.408625</v>
      </c>
      <c r="Q148" s="15" t="n">
        <f aca="false">'Unit Economics'!$E$50*Assumptions!$D$104*Q142</f>
        <v>11.408625</v>
      </c>
      <c r="R148" s="15" t="n">
        <f aca="false">'Unit Economics'!$E$50*Assumptions!$D$104*R142</f>
        <v>11.408625</v>
      </c>
      <c r="S148" s="15" t="n">
        <f aca="false">'Unit Economics'!$E$50*Assumptions!$D$104*S142</f>
        <v>11.408625</v>
      </c>
      <c r="T148" s="15" t="n">
        <f aca="false">'Unit Economics'!$E$50*Assumptions!$D$104*T142</f>
        <v>11.408625</v>
      </c>
      <c r="U148" s="15" t="n">
        <f aca="false">'Unit Economics'!$E$50*Assumptions!$D$104*U142</f>
        <v>11.408625</v>
      </c>
      <c r="V148" s="15" t="n">
        <f aca="false">'Unit Economics'!$E$50*Assumptions!$D$104*V142</f>
        <v>11.408625</v>
      </c>
      <c r="W148" s="15" t="n">
        <f aca="false">'Unit Economics'!$E$50*Assumptions!$D$104*W142</f>
        <v>11.408625</v>
      </c>
      <c r="X148" s="15" t="n">
        <f aca="false">'Unit Economics'!$E$50*Assumptions!$D$104*X142</f>
        <v>11.408625</v>
      </c>
      <c r="Y148" s="15" t="n">
        <f aca="false">'Unit Economics'!$E$50*Assumptions!$D$104*Y142</f>
        <v>11.408625</v>
      </c>
      <c r="Z148" s="15" t="n">
        <f aca="false">'Unit Economics'!$E$50*Assumptions!$D$104*Z142</f>
        <v>11.408625</v>
      </c>
      <c r="AA148" s="15" t="n">
        <f aca="false">'Unit Economics'!$E$50*Assumptions!$D$104*AA142</f>
        <v>11.408625</v>
      </c>
      <c r="AB148" s="15" t="n">
        <f aca="false">'Unit Economics'!$E$50*Assumptions!$D$104*AB142</f>
        <v>11.408625</v>
      </c>
      <c r="AC148" s="15" t="n">
        <f aca="false">'Unit Economics'!$E$50*Assumptions!$D$104*AC142</f>
        <v>11.408625</v>
      </c>
      <c r="AD148" s="15" t="n">
        <f aca="false">'Unit Economics'!$E$50*Assumptions!$D$104*AD142</f>
        <v>11.408625</v>
      </c>
      <c r="AE148" s="15" t="n">
        <f aca="false">'Unit Economics'!$E$50*Assumptions!$D$104*AE142</f>
        <v>11.408625</v>
      </c>
      <c r="AF148" s="15" t="n">
        <f aca="false">'Unit Economics'!$E$50*Assumptions!$D$104*AF142</f>
        <v>11.408625</v>
      </c>
      <c r="AG148" s="15" t="n">
        <f aca="false">'Unit Economics'!$E$50*Assumptions!$D$104*AG142</f>
        <v>11.408625</v>
      </c>
      <c r="AH148" s="15" t="n">
        <f aca="false">'Unit Economics'!$E$50*Assumptions!$D$104*AH142</f>
        <v>11.408625</v>
      </c>
      <c r="AI148" s="15" t="n">
        <f aca="false">'Unit Economics'!$E$50*Assumptions!$D$104*AI142</f>
        <v>11.408625</v>
      </c>
      <c r="AJ148" s="15" t="n">
        <f aca="false">'Unit Economics'!$E$50*Assumptions!$D$104*AJ142</f>
        <v>11.408625</v>
      </c>
      <c r="AK148" s="15" t="n">
        <f aca="false">'Unit Economics'!$E$50*Assumptions!$D$104*AK142</f>
        <v>11.408625</v>
      </c>
      <c r="AL148" s="15" t="n">
        <f aca="false">'Unit Economics'!$E$50*Assumptions!$D$104*AL142</f>
        <v>11.408625</v>
      </c>
    </row>
    <row r="149" customFormat="false" ht="15" hidden="false" customHeight="false" outlineLevel="0" collapsed="false">
      <c r="A149" s="7" t="s">
        <v>754</v>
      </c>
      <c r="B149" s="9" t="s">
        <v>93</v>
      </c>
      <c r="C149" s="8" t="n">
        <f aca="false">C147*'Unit Economics'!$E$50</f>
        <v>16.257290625</v>
      </c>
      <c r="D149" s="8" t="n">
        <f aca="false">D147*'Unit Economics'!$E$50</f>
        <v>49.832874</v>
      </c>
      <c r="E149" s="8" t="n">
        <f aca="false">E147*'Unit Economics'!$E$50</f>
        <v>86.93919864</v>
      </c>
      <c r="F149" s="8" t="n">
        <f aca="false">F147*'Unit Economics'!$E$50</f>
        <v>96.169780224</v>
      </c>
      <c r="G149" s="8" t="n">
        <f aca="false">G147*'Unit Economics'!$E$50</f>
        <v>96.9391384657921</v>
      </c>
      <c r="H149" s="8" t="n">
        <f aca="false">H147*'Unit Economics'!$E$50</f>
        <v>144.762446775583</v>
      </c>
      <c r="I149" s="8" t="n">
        <f aca="false">I147*'Unit Economics'!$E$50</f>
        <v>170.240637408085</v>
      </c>
      <c r="J149" s="8" t="n">
        <f aca="false">J147*'Unit Economics'!$E$50</f>
        <v>172.510512573527</v>
      </c>
      <c r="K149" s="8" t="n">
        <f aca="false">K147*'Unit Economics'!$E$50</f>
        <v>203.380814823526</v>
      </c>
      <c r="L149" s="8" t="n">
        <f aca="false">L147*'Unit Economics'!$E$50</f>
        <v>216.397186972232</v>
      </c>
      <c r="M149" s="8" t="n">
        <f aca="false">M147*'Unit Economics'!$E$50</f>
        <v>216.852759997436</v>
      </c>
      <c r="N149" s="8" t="n">
        <f aca="false">N147*'Unit Economics'!$E$50</f>
        <v>242.875091197129</v>
      </c>
      <c r="O149" s="8" t="n">
        <f aca="false">O147*'Unit Economics'!$E$50</f>
        <v>287.735549218246</v>
      </c>
      <c r="P149" s="8" t="n">
        <f aca="false">P147*'Unit Economics'!$E$50</f>
        <v>417.367986129203</v>
      </c>
      <c r="Q149" s="8" t="n">
        <f aca="false">Q147*'Unit Economics'!$E$50</f>
        <v>459.425837039145</v>
      </c>
      <c r="R149" s="8" t="n">
        <f aca="false">R147*'Unit Economics'!$E$50</f>
        <v>450.91795116805</v>
      </c>
      <c r="S149" s="8" t="n">
        <f aca="false">S147*'Unit Economics'!$E$50</f>
        <v>344.140580331456</v>
      </c>
      <c r="T149" s="8" t="n">
        <f aca="false">T147*'Unit Economics'!$E$50</f>
        <v>405.321127945937</v>
      </c>
      <c r="U149" s="8" t="n">
        <f aca="false">U147*'Unit Economics'!$E$50</f>
        <v>451.122415403828</v>
      </c>
      <c r="V149" s="8" t="n">
        <f aca="false">V147*'Unit Economics'!$E$50</f>
        <v>432.647878392052</v>
      </c>
      <c r="W149" s="8" t="n">
        <f aca="false">W147*'Unit Economics'!$E$50</f>
        <v>482.743948521658</v>
      </c>
      <c r="X149" s="8" t="n">
        <f aca="false">X147*'Unit Economics'!$E$50</f>
        <v>486.12315616131</v>
      </c>
      <c r="Y149" s="8" t="n">
        <f aca="false">Y147*'Unit Economics'!$E$50</f>
        <v>461.049435475095</v>
      </c>
      <c r="Z149" s="8" t="n">
        <f aca="false">Z147*'Unit Economics'!$E$50</f>
        <v>488.712401603601</v>
      </c>
      <c r="AA149" s="8" t="n">
        <f aca="false">AA147*'Unit Economics'!$E$50</f>
        <v>562.594217610733</v>
      </c>
      <c r="AB149" s="8" t="n">
        <f aca="false">AB147*'Unit Economics'!$E$50</f>
        <v>792.961744611338</v>
      </c>
      <c r="AC149" s="8" t="n">
        <f aca="false">AC147*'Unit Economics'!$E$50</f>
        <v>848.164081447743</v>
      </c>
      <c r="AD149" s="8" t="n">
        <f aca="false">AD147*'Unit Economics'!$E$50</f>
        <v>808.897225825162</v>
      </c>
      <c r="AE149" s="8" t="n">
        <f aca="false">AE147*'Unit Economics'!$E$50</f>
        <v>599.878182671941</v>
      </c>
      <c r="AF149" s="8" t="n">
        <f aca="false">AF147*'Unit Economics'!$E$50</f>
        <v>686.527253502332</v>
      </c>
      <c r="AG149" s="8" t="n">
        <f aca="false">AG147*'Unit Economics'!$E$50</f>
        <v>742.479224662772</v>
      </c>
      <c r="AH149" s="8" t="n">
        <f aca="false">AH147*'Unit Economics'!$E$50</f>
        <v>691.919925078593</v>
      </c>
      <c r="AI149" s="8" t="n">
        <f aca="false">AI147*'Unit Economics'!$E$50</f>
        <v>750.186866137843</v>
      </c>
      <c r="AJ149" s="8" t="n">
        <f aca="false">AJ147*'Unit Economics'!$E$50</f>
        <v>734.057848515879</v>
      </c>
      <c r="AK149" s="8" t="n">
        <f aca="false">AK147*'Unit Economics'!$E$50</f>
        <v>676.492259342792</v>
      </c>
      <c r="AL149" s="8" t="n">
        <f aca="false">AL147*'Unit Economics'!$E$50</f>
        <v>696.787027123076</v>
      </c>
      <c r="AM149" s="45" t="n">
        <f aca="false">SUMIF($C$6:$AL$6,1,C149:AL149)</f>
        <v>1713.15773170231</v>
      </c>
      <c r="AN149" s="45" t="n">
        <f aca="false">SUMIF($C$6:$AL$6,2,C149:AL149)</f>
        <v>5167.30826738958</v>
      </c>
      <c r="AO149" s="45" t="n">
        <f aca="false">SUMIF($C$6:$AL$6,3,C149:AL149)</f>
        <v>8590.9458565302</v>
      </c>
      <c r="AP149" s="45" t="n">
        <f aca="false">SUM(C149:AL149)</f>
        <v>15471.4118556221</v>
      </c>
    </row>
    <row r="150" customFormat="false" ht="15" hidden="false" customHeight="false" outlineLevel="0" collapsed="false">
      <c r="A150" s="7" t="s">
        <v>755</v>
      </c>
      <c r="B150" s="9" t="s">
        <v>93</v>
      </c>
      <c r="C150" s="8" t="n">
        <f aca="false">C147*'Unit Economics'!$F$50</f>
        <v>14.480995884375</v>
      </c>
      <c r="D150" s="8" t="n">
        <f aca="false">D147*'Unit Economics'!$F$50</f>
        <v>44.388063174</v>
      </c>
      <c r="E150" s="8" t="n">
        <f aca="false">E147*'Unit Economics'!$F$50</f>
        <v>77.44009790664</v>
      </c>
      <c r="F150" s="8" t="n">
        <f aca="false">F147*'Unit Economics'!$F$50</f>
        <v>85.662132993024</v>
      </c>
      <c r="G150" s="8" t="n">
        <f aca="false">G147*'Unit Economics'!$F$50</f>
        <v>86.3474300569682</v>
      </c>
      <c r="H150" s="8" t="n">
        <f aca="false">H147*'Unit Economics'!$F$50</f>
        <v>128.945495551739</v>
      </c>
      <c r="I150" s="8" t="n">
        <f aca="false">I147*'Unit Economics'!$F$50</f>
        <v>151.639902768845</v>
      </c>
      <c r="J150" s="8" t="n">
        <f aca="false">J147*'Unit Economics'!$F$50</f>
        <v>153.661768139097</v>
      </c>
      <c r="K150" s="8" t="n">
        <f aca="false">K147*'Unit Economics'!$F$50</f>
        <v>181.159137174514</v>
      </c>
      <c r="L150" s="8" t="n">
        <f aca="false">L147*'Unit Economics'!$F$50</f>
        <v>192.753321953683</v>
      </c>
      <c r="M150" s="8" t="n">
        <f aca="false">M147*'Unit Economics'!$F$50</f>
        <v>193.159118420954</v>
      </c>
      <c r="N150" s="8" t="n">
        <f aca="false">N147*'Unit Economics'!$F$50</f>
        <v>216.338212631468</v>
      </c>
      <c r="O150" s="8" t="n">
        <f aca="false">O147*'Unit Economics'!$F$50</f>
        <v>256.297153082222</v>
      </c>
      <c r="P150" s="8" t="n">
        <f aca="false">P147*'Unit Economics'!$F$50</f>
        <v>371.765765207686</v>
      </c>
      <c r="Q150" s="8" t="n">
        <f aca="false">Q147*'Unit Economics'!$F$50</f>
        <v>409.228315393999</v>
      </c>
      <c r="R150" s="8" t="n">
        <f aca="false">R147*'Unit Economics'!$F$50</f>
        <v>401.650013257073</v>
      </c>
      <c r="S150" s="8" t="n">
        <f aca="false">S147*'Unit Economics'!$F$50</f>
        <v>306.539290117798</v>
      </c>
      <c r="T150" s="8" t="n">
        <f aca="false">T147*'Unit Economics'!$F$50</f>
        <v>361.035163916518</v>
      </c>
      <c r="U150" s="8" t="n">
        <f aca="false">U147*'Unit Economics'!$F$50</f>
        <v>401.832137439084</v>
      </c>
      <c r="V150" s="8" t="n">
        <f aca="false">V147*'Unit Economics'!$F$50</f>
        <v>385.37615466777</v>
      </c>
      <c r="W150" s="8" t="n">
        <f aca="false">W147*'Unit Economics'!$F$50</f>
        <v>429.998656787195</v>
      </c>
      <c r="X150" s="8" t="n">
        <f aca="false">X147*'Unit Economics'!$F$50</f>
        <v>433.008647384706</v>
      </c>
      <c r="Y150" s="8" t="n">
        <f aca="false">Y147*'Unit Economics'!$F$50</f>
        <v>410.674517151179</v>
      </c>
      <c r="Z150" s="8" t="n">
        <f aca="false">Z147*'Unit Economics'!$F$50</f>
        <v>435.31498818025</v>
      </c>
      <c r="AA150" s="8" t="n">
        <f aca="false">AA147*'Unit Economics'!$F$50</f>
        <v>501.124371687499</v>
      </c>
      <c r="AB150" s="8" t="n">
        <f aca="false">AB147*'Unit Economics'!$F$50</f>
        <v>706.321614410065</v>
      </c>
      <c r="AC150" s="8" t="n">
        <f aca="false">AC147*'Unit Economics'!$F$50</f>
        <v>755.492465259381</v>
      </c>
      <c r="AD150" s="8" t="n">
        <f aca="false">AD147*'Unit Economics'!$F$50</f>
        <v>720.515962238113</v>
      </c>
      <c r="AE150" s="8" t="n">
        <f aca="false">AE147*'Unit Economics'!$F$50</f>
        <v>534.334637595785</v>
      </c>
      <c r="AF150" s="8" t="n">
        <f aca="false">AF147*'Unit Economics'!$F$50</f>
        <v>611.516307470731</v>
      </c>
      <c r="AG150" s="8" t="n">
        <f aca="false">AG147*'Unit Economics'!$F$50</f>
        <v>661.354886529596</v>
      </c>
      <c r="AH150" s="8" t="n">
        <f aca="false">AH147*'Unit Economics'!$F$50</f>
        <v>616.319768065914</v>
      </c>
      <c r="AI150" s="8" t="n">
        <f aca="false">AI147*'Unit Economics'!$F$50</f>
        <v>668.22038011357</v>
      </c>
      <c r="AJ150" s="8" t="n">
        <f aca="false">AJ147*'Unit Economics'!$F$50</f>
        <v>653.853641941128</v>
      </c>
      <c r="AK150" s="8" t="n">
        <f aca="false">AK147*'Unit Economics'!$F$50</f>
        <v>602.577751073113</v>
      </c>
      <c r="AL150" s="8" t="n">
        <f aca="false">AL147*'Unit Economics'!$F$50</f>
        <v>620.655083605307</v>
      </c>
      <c r="AM150" s="45" t="n">
        <f aca="false">SUMIF($C$6:$AL$6,1,C150:AL150)</f>
        <v>1525.97567665531</v>
      </c>
      <c r="AN150" s="45" t="n">
        <f aca="false">SUMIF($C$6:$AL$6,2,C150:AL150)</f>
        <v>4602.72080258548</v>
      </c>
      <c r="AO150" s="45" t="n">
        <f aca="false">SUMIF($C$6:$AL$6,3,C150:AL150)</f>
        <v>7652.2868699902</v>
      </c>
      <c r="AP150" s="45" t="n">
        <f aca="false">SUM(C150:AL150)</f>
        <v>13780.983349231</v>
      </c>
    </row>
    <row r="151" customFormat="false" ht="15" hidden="false" customHeight="false" outlineLevel="0" collapsed="false">
      <c r="A151" s="5" t="s">
        <v>561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</row>
    <row r="152" customFormat="false" ht="15" hidden="false" customHeight="false" outlineLevel="0" collapsed="false">
      <c r="A152" s="7" t="s">
        <v>746</v>
      </c>
      <c r="B152" s="9" t="s">
        <v>308</v>
      </c>
      <c r="C152" s="37" t="n">
        <f aca="false">IF(AND(Assumptions!$D$107=1,C$4&gt;=Assumptions!$D$108),1,0)</f>
        <v>1</v>
      </c>
      <c r="D152" s="37" t="n">
        <f aca="false">IF(AND(Assumptions!$D$107=1,D$4&gt;=Assumptions!$D$108),1,0)</f>
        <v>1</v>
      </c>
      <c r="E152" s="37" t="n">
        <f aca="false">IF(AND(Assumptions!$D$107=1,E$4&gt;=Assumptions!$D$108),1,0)</f>
        <v>1</v>
      </c>
      <c r="F152" s="37" t="n">
        <f aca="false">IF(AND(Assumptions!$D$107=1,F$4&gt;=Assumptions!$D$108),1,0)</f>
        <v>1</v>
      </c>
      <c r="G152" s="37" t="n">
        <f aca="false">IF(AND(Assumptions!$D$107=1,G$4&gt;=Assumptions!$D$108),1,0)</f>
        <v>1</v>
      </c>
      <c r="H152" s="37" t="n">
        <f aca="false">IF(AND(Assumptions!$D$107=1,H$4&gt;=Assumptions!$D$108),1,0)</f>
        <v>1</v>
      </c>
      <c r="I152" s="37" t="n">
        <f aca="false">IF(AND(Assumptions!$D$107=1,I$4&gt;=Assumptions!$D$108),1,0)</f>
        <v>1</v>
      </c>
      <c r="J152" s="37" t="n">
        <f aca="false">IF(AND(Assumptions!$D$107=1,J$4&gt;=Assumptions!$D$108),1,0)</f>
        <v>1</v>
      </c>
      <c r="K152" s="37" t="n">
        <f aca="false">IF(AND(Assumptions!$D$107=1,K$4&gt;=Assumptions!$D$108),1,0)</f>
        <v>1</v>
      </c>
      <c r="L152" s="37" t="n">
        <f aca="false">IF(AND(Assumptions!$D$107=1,L$4&gt;=Assumptions!$D$108),1,0)</f>
        <v>1</v>
      </c>
      <c r="M152" s="37" t="n">
        <f aca="false">IF(AND(Assumptions!$D$107=1,M$4&gt;=Assumptions!$D$108),1,0)</f>
        <v>1</v>
      </c>
      <c r="N152" s="37" t="n">
        <f aca="false">IF(AND(Assumptions!$D$107=1,N$4&gt;=Assumptions!$D$108),1,0)</f>
        <v>1</v>
      </c>
      <c r="O152" s="37" t="n">
        <f aca="false">IF(AND(Assumptions!$D$107=1,O$4&gt;=Assumptions!$D$108),1,0)</f>
        <v>1</v>
      </c>
      <c r="P152" s="37" t="n">
        <f aca="false">IF(AND(Assumptions!$D$107=1,P$4&gt;=Assumptions!$D$108),1,0)</f>
        <v>1</v>
      </c>
      <c r="Q152" s="37" t="n">
        <f aca="false">IF(AND(Assumptions!$D$107=1,Q$4&gt;=Assumptions!$D$108),1,0)</f>
        <v>1</v>
      </c>
      <c r="R152" s="37" t="n">
        <f aca="false">IF(AND(Assumptions!$D$107=1,R$4&gt;=Assumptions!$D$108),1,0)</f>
        <v>1</v>
      </c>
      <c r="S152" s="37" t="n">
        <f aca="false">IF(AND(Assumptions!$D$107=1,S$4&gt;=Assumptions!$D$108),1,0)</f>
        <v>1</v>
      </c>
      <c r="T152" s="37" t="n">
        <f aca="false">IF(AND(Assumptions!$D$107=1,T$4&gt;=Assumptions!$D$108),1,0)</f>
        <v>1</v>
      </c>
      <c r="U152" s="37" t="n">
        <f aca="false">IF(AND(Assumptions!$D$107=1,U$4&gt;=Assumptions!$D$108),1,0)</f>
        <v>1</v>
      </c>
      <c r="V152" s="37" t="n">
        <f aca="false">IF(AND(Assumptions!$D$107=1,V$4&gt;=Assumptions!$D$108),1,0)</f>
        <v>1</v>
      </c>
      <c r="W152" s="37" t="n">
        <f aca="false">IF(AND(Assumptions!$D$107=1,W$4&gt;=Assumptions!$D$108),1,0)</f>
        <v>1</v>
      </c>
      <c r="X152" s="37" t="n">
        <f aca="false">IF(AND(Assumptions!$D$107=1,X$4&gt;=Assumptions!$D$108),1,0)</f>
        <v>1</v>
      </c>
      <c r="Y152" s="37" t="n">
        <f aca="false">IF(AND(Assumptions!$D$107=1,Y$4&gt;=Assumptions!$D$108),1,0)</f>
        <v>1</v>
      </c>
      <c r="Z152" s="37" t="n">
        <f aca="false">IF(AND(Assumptions!$D$107=1,Z$4&gt;=Assumptions!$D$108),1,0)</f>
        <v>1</v>
      </c>
      <c r="AA152" s="37" t="n">
        <f aca="false">IF(AND(Assumptions!$D$107=1,AA$4&gt;=Assumptions!$D$108),1,0)</f>
        <v>1</v>
      </c>
      <c r="AB152" s="37" t="n">
        <f aca="false">IF(AND(Assumptions!$D$107=1,AB$4&gt;=Assumptions!$D$108),1,0)</f>
        <v>1</v>
      </c>
      <c r="AC152" s="37" t="n">
        <f aca="false">IF(AND(Assumptions!$D$107=1,AC$4&gt;=Assumptions!$D$108),1,0)</f>
        <v>1</v>
      </c>
      <c r="AD152" s="37" t="n">
        <f aca="false">IF(AND(Assumptions!$D$107=1,AD$4&gt;=Assumptions!$D$108),1,0)</f>
        <v>1</v>
      </c>
      <c r="AE152" s="37" t="n">
        <f aca="false">IF(AND(Assumptions!$D$107=1,AE$4&gt;=Assumptions!$D$108),1,0)</f>
        <v>1</v>
      </c>
      <c r="AF152" s="37" t="n">
        <f aca="false">IF(AND(Assumptions!$D$107=1,AF$4&gt;=Assumptions!$D$108),1,0)</f>
        <v>1</v>
      </c>
      <c r="AG152" s="37" t="n">
        <f aca="false">IF(AND(Assumptions!$D$107=1,AG$4&gt;=Assumptions!$D$108),1,0)</f>
        <v>1</v>
      </c>
      <c r="AH152" s="37" t="n">
        <f aca="false">IF(AND(Assumptions!$D$107=1,AH$4&gt;=Assumptions!$D$108),1,0)</f>
        <v>1</v>
      </c>
      <c r="AI152" s="37" t="n">
        <f aca="false">IF(AND(Assumptions!$D$107=1,AI$4&gt;=Assumptions!$D$108),1,0)</f>
        <v>1</v>
      </c>
      <c r="AJ152" s="37" t="n">
        <f aca="false">IF(AND(Assumptions!$D$107=1,AJ$4&gt;=Assumptions!$D$108),1,0)</f>
        <v>1</v>
      </c>
      <c r="AK152" s="37" t="n">
        <f aca="false">IF(AND(Assumptions!$D$107=1,AK$4&gt;=Assumptions!$D$108),1,0)</f>
        <v>1</v>
      </c>
      <c r="AL152" s="37" t="n">
        <f aca="false">IF(AND(Assumptions!$D$107=1,AL$4&gt;=Assumptions!$D$108),1,0)</f>
        <v>1</v>
      </c>
    </row>
    <row r="153" customFormat="false" ht="15" hidden="false" customHeight="false" outlineLevel="0" collapsed="false">
      <c r="A153" s="7" t="s">
        <v>747</v>
      </c>
      <c r="B153" s="9" t="s">
        <v>316</v>
      </c>
      <c r="C153" s="14" t="n">
        <f aca="false">IF(C152=0,0,Assumptions!$D$109)</f>
        <v>800</v>
      </c>
      <c r="D153" s="14" t="n">
        <f aca="false">IF(D152=0,0,IF(D$4=Assumptions!$D$108,Assumptions!$D$109,C153*(1+CHOOSE(D$6,Assumptions!$D$110,Assumptions!$D$111,Assumptions!$D$112))))</f>
        <v>896</v>
      </c>
      <c r="E153" s="14" t="n">
        <f aca="false">IF(E152=0,0,IF(E$4=Assumptions!$D$108,Assumptions!$D$109,D153*(1+CHOOSE(E$6,Assumptions!$D$110,Assumptions!$D$111,Assumptions!$D$112))))</f>
        <v>1003.52</v>
      </c>
      <c r="F153" s="14" t="n">
        <f aca="false">IF(F152=0,0,IF(F$4=Assumptions!$D$108,Assumptions!$D$109,E153*(1+CHOOSE(F$6,Assumptions!$D$110,Assumptions!$D$111,Assumptions!$D$112))))</f>
        <v>1123.9424</v>
      </c>
      <c r="G153" s="14" t="n">
        <f aca="false">IF(G152=0,0,IF(G$4=Assumptions!$D$108,Assumptions!$D$109,F153*(1+CHOOSE(G$6,Assumptions!$D$110,Assumptions!$D$111,Assumptions!$D$112))))</f>
        <v>1258.815488</v>
      </c>
      <c r="H153" s="14" t="n">
        <f aca="false">IF(H152=0,0,IF(H$4=Assumptions!$D$108,Assumptions!$D$109,G153*(1+CHOOSE(H$6,Assumptions!$D$110,Assumptions!$D$111,Assumptions!$D$112))))</f>
        <v>1409.87334656</v>
      </c>
      <c r="I153" s="14" t="n">
        <f aca="false">IF(I152=0,0,IF(I$4=Assumptions!$D$108,Assumptions!$D$109,H153*(1+CHOOSE(I$6,Assumptions!$D$110,Assumptions!$D$111,Assumptions!$D$112))))</f>
        <v>1579.0581481472</v>
      </c>
      <c r="J153" s="14" t="n">
        <f aca="false">IF(J152=0,0,IF(J$4=Assumptions!$D$108,Assumptions!$D$109,I153*(1+CHOOSE(J$6,Assumptions!$D$110,Assumptions!$D$111,Assumptions!$D$112))))</f>
        <v>1768.54512592486</v>
      </c>
      <c r="K153" s="14" t="n">
        <f aca="false">IF(K152=0,0,IF(K$4=Assumptions!$D$108,Assumptions!$D$109,J153*(1+CHOOSE(K$6,Assumptions!$D$110,Assumptions!$D$111,Assumptions!$D$112))))</f>
        <v>1980.77054103585</v>
      </c>
      <c r="L153" s="14" t="n">
        <f aca="false">IF(L152=0,0,IF(L$4=Assumptions!$D$108,Assumptions!$D$109,K153*(1+CHOOSE(L$6,Assumptions!$D$110,Assumptions!$D$111,Assumptions!$D$112))))</f>
        <v>2218.46300596015</v>
      </c>
      <c r="M153" s="14" t="n">
        <f aca="false">IF(M152=0,0,IF(M$4=Assumptions!$D$108,Assumptions!$D$109,L153*(1+CHOOSE(M$6,Assumptions!$D$110,Assumptions!$D$111,Assumptions!$D$112))))</f>
        <v>2484.67856667537</v>
      </c>
      <c r="N153" s="14" t="n">
        <f aca="false">IF(N152=0,0,IF(N$4=Assumptions!$D$108,Assumptions!$D$109,M153*(1+CHOOSE(N$6,Assumptions!$D$110,Assumptions!$D$111,Assumptions!$D$112))))</f>
        <v>2782.83999467641</v>
      </c>
      <c r="O153" s="14" t="n">
        <f aca="false">IF(O152=0,0,IF(O$4=Assumptions!$D$108,Assumptions!$D$109,N153*(1+CHOOSE(O$6,Assumptions!$D$110,Assumptions!$D$111,Assumptions!$D$112))))</f>
        <v>2921.98199441023</v>
      </c>
      <c r="P153" s="14" t="n">
        <f aca="false">IF(P152=0,0,IF(P$4=Assumptions!$D$108,Assumptions!$D$109,O153*(1+CHOOSE(P$6,Assumptions!$D$110,Assumptions!$D$111,Assumptions!$D$112))))</f>
        <v>3068.08109413075</v>
      </c>
      <c r="Q153" s="14" t="n">
        <f aca="false">IF(Q152=0,0,IF(Q$4=Assumptions!$D$108,Assumptions!$D$109,P153*(1+CHOOSE(Q$6,Assumptions!$D$110,Assumptions!$D$111,Assumptions!$D$112))))</f>
        <v>3221.48514883728</v>
      </c>
      <c r="R153" s="14" t="n">
        <f aca="false">IF(R152=0,0,IF(R$4=Assumptions!$D$108,Assumptions!$D$109,Q153*(1+CHOOSE(R$6,Assumptions!$D$110,Assumptions!$D$111,Assumptions!$D$112))))</f>
        <v>3382.55940627915</v>
      </c>
      <c r="S153" s="14" t="n">
        <f aca="false">IF(S152=0,0,IF(S$4=Assumptions!$D$108,Assumptions!$D$109,R153*(1+CHOOSE(S$6,Assumptions!$D$110,Assumptions!$D$111,Assumptions!$D$112))))</f>
        <v>3551.68737659311</v>
      </c>
      <c r="T153" s="14" t="n">
        <f aca="false">IF(T152=0,0,IF(T$4=Assumptions!$D$108,Assumptions!$D$109,S153*(1+CHOOSE(T$6,Assumptions!$D$110,Assumptions!$D$111,Assumptions!$D$112))))</f>
        <v>3729.27174542276</v>
      </c>
      <c r="U153" s="14" t="n">
        <f aca="false">IF(U152=0,0,IF(U$4=Assumptions!$D$108,Assumptions!$D$109,T153*(1+CHOOSE(U$6,Assumptions!$D$110,Assumptions!$D$111,Assumptions!$D$112))))</f>
        <v>3915.7353326939</v>
      </c>
      <c r="V153" s="14" t="n">
        <f aca="false">IF(V152=0,0,IF(V$4=Assumptions!$D$108,Assumptions!$D$109,U153*(1+CHOOSE(V$6,Assumptions!$D$110,Assumptions!$D$111,Assumptions!$D$112))))</f>
        <v>4111.52209932859</v>
      </c>
      <c r="W153" s="14" t="n">
        <f aca="false">IF(W152=0,0,IF(W$4=Assumptions!$D$108,Assumptions!$D$109,V153*(1+CHOOSE(W$6,Assumptions!$D$110,Assumptions!$D$111,Assumptions!$D$112))))</f>
        <v>4317.09820429502</v>
      </c>
      <c r="X153" s="14" t="n">
        <f aca="false">IF(X152=0,0,IF(X$4=Assumptions!$D$108,Assumptions!$D$109,W153*(1+CHOOSE(X$6,Assumptions!$D$110,Assumptions!$D$111,Assumptions!$D$112))))</f>
        <v>4532.95311450978</v>
      </c>
      <c r="Y153" s="14" t="n">
        <f aca="false">IF(Y152=0,0,IF(Y$4=Assumptions!$D$108,Assumptions!$D$109,X153*(1+CHOOSE(Y$6,Assumptions!$D$110,Assumptions!$D$111,Assumptions!$D$112))))</f>
        <v>4759.60077023526</v>
      </c>
      <c r="Z153" s="14" t="n">
        <f aca="false">IF(Z152=0,0,IF(Z$4=Assumptions!$D$108,Assumptions!$D$109,Y153*(1+CHOOSE(Z$6,Assumptions!$D$110,Assumptions!$D$111,Assumptions!$D$112))))</f>
        <v>4997.58080874703</v>
      </c>
      <c r="AA153" s="14" t="n">
        <f aca="false">IF(AA152=0,0,IF(AA$4=Assumptions!$D$108,Assumptions!$D$109,Z153*(1+CHOOSE(AA$6,Assumptions!$D$110,Assumptions!$D$111,Assumptions!$D$112))))</f>
        <v>5097.53242492197</v>
      </c>
      <c r="AB153" s="14" t="n">
        <f aca="false">IF(AB152=0,0,IF(AB$4=Assumptions!$D$108,Assumptions!$D$109,AA153*(1+CHOOSE(AB$6,Assumptions!$D$110,Assumptions!$D$111,Assumptions!$D$112))))</f>
        <v>5199.48307342041</v>
      </c>
      <c r="AC153" s="14" t="n">
        <f aca="false">IF(AC152=0,0,IF(AC$4=Assumptions!$D$108,Assumptions!$D$109,AB153*(1+CHOOSE(AC$6,Assumptions!$D$110,Assumptions!$D$111,Assumptions!$D$112))))</f>
        <v>5303.47273488882</v>
      </c>
      <c r="AD153" s="14" t="n">
        <f aca="false">IF(AD152=0,0,IF(AD$4=Assumptions!$D$108,Assumptions!$D$109,AC153*(1+CHOOSE(AD$6,Assumptions!$D$110,Assumptions!$D$111,Assumptions!$D$112))))</f>
        <v>5409.54218958659</v>
      </c>
      <c r="AE153" s="14" t="n">
        <f aca="false">IF(AE152=0,0,IF(AE$4=Assumptions!$D$108,Assumptions!$D$109,AD153*(1+CHOOSE(AE$6,Assumptions!$D$110,Assumptions!$D$111,Assumptions!$D$112))))</f>
        <v>5517.73303337833</v>
      </c>
      <c r="AF153" s="14" t="n">
        <f aca="false">IF(AF152=0,0,IF(AF$4=Assumptions!$D$108,Assumptions!$D$109,AE153*(1+CHOOSE(AF$6,Assumptions!$D$110,Assumptions!$D$111,Assumptions!$D$112))))</f>
        <v>5628.08769404589</v>
      </c>
      <c r="AG153" s="14" t="n">
        <f aca="false">IF(AG152=0,0,IF(AG$4=Assumptions!$D$108,Assumptions!$D$109,AF153*(1+CHOOSE(AG$6,Assumptions!$D$110,Assumptions!$D$111,Assumptions!$D$112))))</f>
        <v>5740.64944792681</v>
      </c>
      <c r="AH153" s="14" t="n">
        <f aca="false">IF(AH152=0,0,IF(AH$4=Assumptions!$D$108,Assumptions!$D$109,AG153*(1+CHOOSE(AH$6,Assumptions!$D$110,Assumptions!$D$111,Assumptions!$D$112))))</f>
        <v>5855.46243688535</v>
      </c>
      <c r="AI153" s="14" t="n">
        <f aca="false">IF(AI152=0,0,IF(AI$4=Assumptions!$D$108,Assumptions!$D$109,AH153*(1+CHOOSE(AI$6,Assumptions!$D$110,Assumptions!$D$111,Assumptions!$D$112))))</f>
        <v>5972.57168562305</v>
      </c>
      <c r="AJ153" s="14" t="n">
        <f aca="false">IF(AJ152=0,0,IF(AJ$4=Assumptions!$D$108,Assumptions!$D$109,AI153*(1+CHOOSE(AJ$6,Assumptions!$D$110,Assumptions!$D$111,Assumptions!$D$112))))</f>
        <v>6092.02311933551</v>
      </c>
      <c r="AK153" s="14" t="n">
        <f aca="false">IF(AK152=0,0,IF(AK$4=Assumptions!$D$108,Assumptions!$D$109,AJ153*(1+CHOOSE(AK$6,Assumptions!$D$110,Assumptions!$D$111,Assumptions!$D$112))))</f>
        <v>6213.86358172222</v>
      </c>
      <c r="AL153" s="14" t="n">
        <f aca="false">IF(AL152=0,0,IF(AL$4=Assumptions!$D$108,Assumptions!$D$109,AK153*(1+CHOOSE(AL$6,Assumptions!$D$110,Assumptions!$D$111,Assumptions!$D$112))))</f>
        <v>6338.14085335667</v>
      </c>
    </row>
    <row r="154" customFormat="false" ht="15" hidden="false" customHeight="false" outlineLevel="0" collapsed="false">
      <c r="A154" s="7" t="s">
        <v>756</v>
      </c>
      <c r="B154" s="9" t="s">
        <v>316</v>
      </c>
      <c r="C154" s="52" t="n">
        <f aca="false">C153*C$7</f>
        <v>760</v>
      </c>
      <c r="D154" s="52" t="n">
        <f aca="false">D153*D$7</f>
        <v>1164.8</v>
      </c>
      <c r="E154" s="52" t="n">
        <f aca="false">E153*E$7</f>
        <v>1354.752</v>
      </c>
      <c r="F154" s="52" t="n">
        <f aca="false">F153*F$7</f>
        <v>1404.928</v>
      </c>
      <c r="G154" s="52" t="n">
        <f aca="false">G153*G$7</f>
        <v>1132.9339392</v>
      </c>
      <c r="H154" s="52" t="n">
        <f aca="false">H153*H$7</f>
        <v>1409.87334656</v>
      </c>
      <c r="I154" s="52" t="n">
        <f aca="false">I153*I$7</f>
        <v>1658.01105555456</v>
      </c>
      <c r="J154" s="52" t="n">
        <f aca="false">J153*J$7</f>
        <v>1680.11786962862</v>
      </c>
      <c r="K154" s="52" t="n">
        <f aca="false">K153*K$7</f>
        <v>1980.77054103585</v>
      </c>
      <c r="L154" s="52" t="n">
        <f aca="false">L153*L$7</f>
        <v>2107.53985566214</v>
      </c>
      <c r="M154" s="52" t="n">
        <f aca="false">M153*M$7</f>
        <v>2111.97678167406</v>
      </c>
      <c r="N154" s="52" t="n">
        <f aca="false">N153*N$7</f>
        <v>2365.41399547495</v>
      </c>
      <c r="O154" s="52" t="n">
        <f aca="false">O153*O$7</f>
        <v>2775.88289468972</v>
      </c>
      <c r="P154" s="52" t="n">
        <f aca="false">P153*P$7</f>
        <v>3988.50542236997</v>
      </c>
      <c r="Q154" s="52" t="n">
        <f aca="false">Q153*Q$7</f>
        <v>4349.00495093033</v>
      </c>
      <c r="R154" s="52" t="n">
        <f aca="false">R153*R$7</f>
        <v>4228.19925784894</v>
      </c>
      <c r="S154" s="52" t="n">
        <f aca="false">S153*S$7</f>
        <v>3196.5186389338</v>
      </c>
      <c r="T154" s="52" t="n">
        <f aca="false">T153*T$7</f>
        <v>3729.27174542276</v>
      </c>
      <c r="U154" s="52" t="n">
        <f aca="false">U153*U$7</f>
        <v>4111.52209932859</v>
      </c>
      <c r="V154" s="52" t="n">
        <f aca="false">V153*V$7</f>
        <v>3905.94599436216</v>
      </c>
      <c r="W154" s="52" t="n">
        <f aca="false">W153*W$7</f>
        <v>4317.09820429502</v>
      </c>
      <c r="X154" s="52" t="n">
        <f aca="false">X153*X$7</f>
        <v>4306.30545878429</v>
      </c>
      <c r="Y154" s="52" t="n">
        <f aca="false">Y153*Y$7</f>
        <v>4045.66065469997</v>
      </c>
      <c r="Z154" s="52" t="n">
        <f aca="false">Z153*Z$7</f>
        <v>4247.94368743497</v>
      </c>
      <c r="AA154" s="52" t="n">
        <f aca="false">AA153*AA$7</f>
        <v>4842.65580367587</v>
      </c>
      <c r="AB154" s="52" t="n">
        <f aca="false">AB153*AB$7</f>
        <v>6759.32799544653</v>
      </c>
      <c r="AC154" s="52" t="n">
        <f aca="false">AC153*AC$7</f>
        <v>7159.6881920999</v>
      </c>
      <c r="AD154" s="52" t="n">
        <f aca="false">AD153*AD$7</f>
        <v>6761.92773698324</v>
      </c>
      <c r="AE154" s="52" t="n">
        <f aca="false">AE153*AE$7</f>
        <v>4965.95973004049</v>
      </c>
      <c r="AF154" s="52" t="n">
        <f aca="false">AF153*AF$7</f>
        <v>5628.08769404589</v>
      </c>
      <c r="AG154" s="52" t="n">
        <f aca="false">AG153*AG$7</f>
        <v>6027.68192032315</v>
      </c>
      <c r="AH154" s="52" t="n">
        <f aca="false">AH153*AH$7</f>
        <v>5562.68931504108</v>
      </c>
      <c r="AI154" s="52" t="n">
        <f aca="false">AI153*AI$7</f>
        <v>5972.57168562305</v>
      </c>
      <c r="AJ154" s="52" t="n">
        <f aca="false">AJ153*AJ$7</f>
        <v>5787.42196336874</v>
      </c>
      <c r="AK154" s="52" t="n">
        <f aca="false">AK153*AK$7</f>
        <v>5281.78404446389</v>
      </c>
      <c r="AL154" s="52" t="n">
        <f aca="false">AL153*AL$7</f>
        <v>5387.41972535317</v>
      </c>
      <c r="AM154" s="53" t="n">
        <f aca="false">SUMIF($C$6:$AL$6,1,C154:AL154)</f>
        <v>19131.1173847902</v>
      </c>
      <c r="AN154" s="53" t="n">
        <f aca="false">SUMIF($C$6:$AL$6,2,C154:AL154)</f>
        <v>47201.8590091005</v>
      </c>
      <c r="AO154" s="53" t="n">
        <f aca="false">SUMIF($C$6:$AL$6,3,C154:AL154)</f>
        <v>70137.215806465</v>
      </c>
      <c r="AP154" s="53" t="n">
        <f aca="false">SUM(C154:AL154)</f>
        <v>136470.192200356</v>
      </c>
    </row>
    <row r="155" customFormat="false" ht="15" hidden="false" customHeight="false" outlineLevel="0" collapsed="false">
      <c r="A155" s="7" t="s">
        <v>749</v>
      </c>
      <c r="B155" s="9" t="s">
        <v>88</v>
      </c>
      <c r="C155" s="54" t="n">
        <f aca="false">Assumptions!$D$113*MIN(1,(C$4-Assumptions!$D$108+1)/Assumptions!$C$10)*C152</f>
        <v>0.00333333333333333</v>
      </c>
      <c r="D155" s="54" t="n">
        <f aca="false">Assumptions!$D$113*MIN(1,(D$4-Assumptions!$D$108+1)/Assumptions!$C$10)*D152</f>
        <v>0.00666666666666667</v>
      </c>
      <c r="E155" s="54" t="n">
        <f aca="false">Assumptions!$D$113*MIN(1,(E$4-Assumptions!$D$108+1)/Assumptions!$C$10)*E152</f>
        <v>0.01</v>
      </c>
      <c r="F155" s="54" t="n">
        <f aca="false">Assumptions!$D$113*MIN(1,(F$4-Assumptions!$D$108+1)/Assumptions!$C$10)*F152</f>
        <v>0.0133333333333333</v>
      </c>
      <c r="G155" s="54" t="n">
        <f aca="false">Assumptions!$D$113*MIN(1,(G$4-Assumptions!$D$108+1)/Assumptions!$C$10)*G152</f>
        <v>0.0166666666666667</v>
      </c>
      <c r="H155" s="54" t="n">
        <f aca="false">Assumptions!$D$113*MIN(1,(H$4-Assumptions!$D$108+1)/Assumptions!$C$10)*H152</f>
        <v>0.02</v>
      </c>
      <c r="I155" s="54" t="n">
        <f aca="false">Assumptions!$D$113*MIN(1,(I$4-Assumptions!$D$108+1)/Assumptions!$C$10)*I152</f>
        <v>0.02</v>
      </c>
      <c r="J155" s="54" t="n">
        <f aca="false">Assumptions!$D$113*MIN(1,(J$4-Assumptions!$D$108+1)/Assumptions!$C$10)*J152</f>
        <v>0.02</v>
      </c>
      <c r="K155" s="54" t="n">
        <f aca="false">Assumptions!$D$113*MIN(1,(K$4-Assumptions!$D$108+1)/Assumptions!$C$10)*K152</f>
        <v>0.02</v>
      </c>
      <c r="L155" s="54" t="n">
        <f aca="false">Assumptions!$D$113*MIN(1,(L$4-Assumptions!$D$108+1)/Assumptions!$C$10)*L152</f>
        <v>0.02</v>
      </c>
      <c r="M155" s="54" t="n">
        <f aca="false">Assumptions!$D$113*MIN(1,(M$4-Assumptions!$D$108+1)/Assumptions!$C$10)*M152</f>
        <v>0.02</v>
      </c>
      <c r="N155" s="54" t="n">
        <f aca="false">Assumptions!$D$113*MIN(1,(N$4-Assumptions!$D$108+1)/Assumptions!$C$10)*N152</f>
        <v>0.02</v>
      </c>
      <c r="O155" s="54" t="n">
        <f aca="false">Assumptions!$D$113*MIN(1,(O$4-Assumptions!$D$108+1)/Assumptions!$C$10)*O152</f>
        <v>0.02</v>
      </c>
      <c r="P155" s="54" t="n">
        <f aca="false">Assumptions!$D$113*MIN(1,(P$4-Assumptions!$D$108+1)/Assumptions!$C$10)*P152</f>
        <v>0.02</v>
      </c>
      <c r="Q155" s="54" t="n">
        <f aca="false">Assumptions!$D$113*MIN(1,(Q$4-Assumptions!$D$108+1)/Assumptions!$C$10)*Q152</f>
        <v>0.02</v>
      </c>
      <c r="R155" s="54" t="n">
        <f aca="false">Assumptions!$D$113*MIN(1,(R$4-Assumptions!$D$108+1)/Assumptions!$C$10)*R152</f>
        <v>0.02</v>
      </c>
      <c r="S155" s="54" t="n">
        <f aca="false">Assumptions!$D$113*MIN(1,(S$4-Assumptions!$D$108+1)/Assumptions!$C$10)*S152</f>
        <v>0.02</v>
      </c>
      <c r="T155" s="54" t="n">
        <f aca="false">Assumptions!$D$113*MIN(1,(T$4-Assumptions!$D$108+1)/Assumptions!$C$10)*T152</f>
        <v>0.02</v>
      </c>
      <c r="U155" s="54" t="n">
        <f aca="false">Assumptions!$D$113*MIN(1,(U$4-Assumptions!$D$108+1)/Assumptions!$C$10)*U152</f>
        <v>0.02</v>
      </c>
      <c r="V155" s="54" t="n">
        <f aca="false">Assumptions!$D$113*MIN(1,(V$4-Assumptions!$D$108+1)/Assumptions!$C$10)*V152</f>
        <v>0.02</v>
      </c>
      <c r="W155" s="54" t="n">
        <f aca="false">Assumptions!$D$113*MIN(1,(W$4-Assumptions!$D$108+1)/Assumptions!$C$10)*W152</f>
        <v>0.02</v>
      </c>
      <c r="X155" s="54" t="n">
        <f aca="false">Assumptions!$D$113*MIN(1,(X$4-Assumptions!$D$108+1)/Assumptions!$C$10)*X152</f>
        <v>0.02</v>
      </c>
      <c r="Y155" s="54" t="n">
        <f aca="false">Assumptions!$D$113*MIN(1,(Y$4-Assumptions!$D$108+1)/Assumptions!$C$10)*Y152</f>
        <v>0.02</v>
      </c>
      <c r="Z155" s="54" t="n">
        <f aca="false">Assumptions!$D$113*MIN(1,(Z$4-Assumptions!$D$108+1)/Assumptions!$C$10)*Z152</f>
        <v>0.02</v>
      </c>
      <c r="AA155" s="54" t="n">
        <f aca="false">Assumptions!$D$113*MIN(1,(AA$4-Assumptions!$D$108+1)/Assumptions!$C$10)*AA152</f>
        <v>0.02</v>
      </c>
      <c r="AB155" s="54" t="n">
        <f aca="false">Assumptions!$D$113*MIN(1,(AB$4-Assumptions!$D$108+1)/Assumptions!$C$10)*AB152</f>
        <v>0.02</v>
      </c>
      <c r="AC155" s="54" t="n">
        <f aca="false">Assumptions!$D$113*MIN(1,(AC$4-Assumptions!$D$108+1)/Assumptions!$C$10)*AC152</f>
        <v>0.02</v>
      </c>
      <c r="AD155" s="54" t="n">
        <f aca="false">Assumptions!$D$113*MIN(1,(AD$4-Assumptions!$D$108+1)/Assumptions!$C$10)*AD152</f>
        <v>0.02</v>
      </c>
      <c r="AE155" s="54" t="n">
        <f aca="false">Assumptions!$D$113*MIN(1,(AE$4-Assumptions!$D$108+1)/Assumptions!$C$10)*AE152</f>
        <v>0.02</v>
      </c>
      <c r="AF155" s="54" t="n">
        <f aca="false">Assumptions!$D$113*MIN(1,(AF$4-Assumptions!$D$108+1)/Assumptions!$C$10)*AF152</f>
        <v>0.02</v>
      </c>
      <c r="AG155" s="54" t="n">
        <f aca="false">Assumptions!$D$113*MIN(1,(AG$4-Assumptions!$D$108+1)/Assumptions!$C$10)*AG152</f>
        <v>0.02</v>
      </c>
      <c r="AH155" s="54" t="n">
        <f aca="false">Assumptions!$D$113*MIN(1,(AH$4-Assumptions!$D$108+1)/Assumptions!$C$10)*AH152</f>
        <v>0.02</v>
      </c>
      <c r="AI155" s="54" t="n">
        <f aca="false">Assumptions!$D$113*MIN(1,(AI$4-Assumptions!$D$108+1)/Assumptions!$C$10)*AI152</f>
        <v>0.02</v>
      </c>
      <c r="AJ155" s="54" t="n">
        <f aca="false">Assumptions!$D$113*MIN(1,(AJ$4-Assumptions!$D$108+1)/Assumptions!$C$10)*AJ152</f>
        <v>0.02</v>
      </c>
      <c r="AK155" s="54" t="n">
        <f aca="false">Assumptions!$D$113*MIN(1,(AK$4-Assumptions!$D$108+1)/Assumptions!$C$10)*AK152</f>
        <v>0.02</v>
      </c>
      <c r="AL155" s="54" t="n">
        <f aca="false">Assumptions!$D$113*MIN(1,(AL$4-Assumptions!$D$108+1)/Assumptions!$C$10)*AL152</f>
        <v>0.02</v>
      </c>
    </row>
    <row r="156" customFormat="false" ht="15" hidden="false" customHeight="false" outlineLevel="0" collapsed="false">
      <c r="A156" s="7" t="s">
        <v>757</v>
      </c>
      <c r="B156" s="9" t="s">
        <v>751</v>
      </c>
      <c r="C156" s="55" t="n">
        <f aca="false">C154*C155</f>
        <v>2.53333333333333</v>
      </c>
      <c r="D156" s="55" t="n">
        <f aca="false">D154*D155</f>
        <v>7.76533333333333</v>
      </c>
      <c r="E156" s="55" t="n">
        <f aca="false">E154*E155</f>
        <v>13.54752</v>
      </c>
      <c r="F156" s="55" t="n">
        <f aca="false">F154*F155</f>
        <v>18.7323733333333</v>
      </c>
      <c r="G156" s="55" t="n">
        <f aca="false">G154*G155</f>
        <v>18.88223232</v>
      </c>
      <c r="H156" s="55" t="n">
        <f aca="false">H154*H155</f>
        <v>28.1974669312</v>
      </c>
      <c r="I156" s="55" t="n">
        <f aca="false">I154*I155</f>
        <v>33.1602211110912</v>
      </c>
      <c r="J156" s="55" t="n">
        <f aca="false">J154*J155</f>
        <v>33.6023573925724</v>
      </c>
      <c r="K156" s="55" t="n">
        <f aca="false">K154*K155</f>
        <v>39.615410820717</v>
      </c>
      <c r="L156" s="55" t="n">
        <f aca="false">L154*L155</f>
        <v>42.1507971132429</v>
      </c>
      <c r="M156" s="55" t="n">
        <f aca="false">M154*M155</f>
        <v>42.2395356334813</v>
      </c>
      <c r="N156" s="55" t="n">
        <f aca="false">N154*N155</f>
        <v>47.308279909499</v>
      </c>
      <c r="O156" s="55" t="n">
        <f aca="false">O154*O155</f>
        <v>55.5176578937945</v>
      </c>
      <c r="P156" s="55" t="n">
        <f aca="false">P154*P155</f>
        <v>79.7701084473994</v>
      </c>
      <c r="Q156" s="55" t="n">
        <f aca="false">Q154*Q155</f>
        <v>86.9800990186067</v>
      </c>
      <c r="R156" s="55" t="n">
        <f aca="false">R154*R155</f>
        <v>84.5639851569787</v>
      </c>
      <c r="S156" s="55" t="n">
        <f aca="false">S154*S155</f>
        <v>63.9303727786759</v>
      </c>
      <c r="T156" s="55" t="n">
        <f aca="false">T154*T155</f>
        <v>74.5854349084552</v>
      </c>
      <c r="U156" s="55" t="n">
        <f aca="false">U154*U155</f>
        <v>82.2304419865719</v>
      </c>
      <c r="V156" s="55" t="n">
        <f aca="false">V154*V155</f>
        <v>78.1189198872433</v>
      </c>
      <c r="W156" s="55" t="n">
        <f aca="false">W154*W155</f>
        <v>86.3419640859005</v>
      </c>
      <c r="X156" s="55" t="n">
        <f aca="false">X154*X155</f>
        <v>86.1261091756857</v>
      </c>
      <c r="Y156" s="55" t="n">
        <f aca="false">Y154*Y155</f>
        <v>80.9132130939995</v>
      </c>
      <c r="Z156" s="55" t="n">
        <f aca="false">Z154*Z155</f>
        <v>84.9588737486995</v>
      </c>
      <c r="AA156" s="55" t="n">
        <f aca="false">AA154*AA155</f>
        <v>96.8531160735174</v>
      </c>
      <c r="AB156" s="55" t="n">
        <f aca="false">AB154*AB155</f>
        <v>135.186559908931</v>
      </c>
      <c r="AC156" s="55" t="n">
        <f aca="false">AC154*AC155</f>
        <v>143.193763841998</v>
      </c>
      <c r="AD156" s="55" t="n">
        <f aca="false">AD154*AD155</f>
        <v>135.238554739665</v>
      </c>
      <c r="AE156" s="55" t="n">
        <f aca="false">AE154*AE155</f>
        <v>99.3191946008099</v>
      </c>
      <c r="AF156" s="55" t="n">
        <f aca="false">AF154*AF155</f>
        <v>112.561753880918</v>
      </c>
      <c r="AG156" s="55" t="n">
        <f aca="false">AG154*AG155</f>
        <v>120.553638406463</v>
      </c>
      <c r="AH156" s="55" t="n">
        <f aca="false">AH154*AH155</f>
        <v>111.253786300822</v>
      </c>
      <c r="AI156" s="55" t="n">
        <f aca="false">AI154*AI155</f>
        <v>119.451433712461</v>
      </c>
      <c r="AJ156" s="55" t="n">
        <f aca="false">AJ154*AJ155</f>
        <v>115.748439267375</v>
      </c>
      <c r="AK156" s="55" t="n">
        <f aca="false">AK154*AK155</f>
        <v>105.635680889278</v>
      </c>
      <c r="AL156" s="55" t="n">
        <f aca="false">AL154*AL155</f>
        <v>107.748394507063</v>
      </c>
      <c r="AM156" s="53" t="n">
        <f aca="false">SUMIF($C$6:$AL$6,1,C156:AL156)</f>
        <v>327.734861231804</v>
      </c>
      <c r="AN156" s="53" t="n">
        <f aca="false">SUMIF($C$6:$AL$6,2,C156:AL156)</f>
        <v>944.037180182011</v>
      </c>
      <c r="AO156" s="53" t="n">
        <f aca="false">SUMIF($C$6:$AL$6,3,C156:AL156)</f>
        <v>1402.7443161293</v>
      </c>
      <c r="AP156" s="53" t="n">
        <f aca="false">SUM(C156:AL156)</f>
        <v>2674.51635754311</v>
      </c>
    </row>
    <row r="157" customFormat="false" ht="15" hidden="false" customHeight="false" outlineLevel="0" collapsed="false">
      <c r="A157" s="7" t="s">
        <v>752</v>
      </c>
      <c r="B157" s="9" t="s">
        <v>331</v>
      </c>
      <c r="C157" s="56" t="n">
        <f aca="false">C156*Assumptions!$D$114</f>
        <v>3.04</v>
      </c>
      <c r="D157" s="56" t="n">
        <f aca="false">D156*Assumptions!$D$114</f>
        <v>9.3184</v>
      </c>
      <c r="E157" s="56" t="n">
        <f aca="false">E156*Assumptions!$D$114</f>
        <v>16.257024</v>
      </c>
      <c r="F157" s="56" t="n">
        <f aca="false">F156*Assumptions!$D$114</f>
        <v>22.478848</v>
      </c>
      <c r="G157" s="56" t="n">
        <f aca="false">G156*Assumptions!$D$114</f>
        <v>22.658678784</v>
      </c>
      <c r="H157" s="56" t="n">
        <f aca="false">H156*Assumptions!$D$114</f>
        <v>33.83696031744</v>
      </c>
      <c r="I157" s="56" t="n">
        <f aca="false">I156*Assumptions!$D$114</f>
        <v>39.7922653333095</v>
      </c>
      <c r="J157" s="56" t="n">
        <f aca="false">J156*Assumptions!$D$114</f>
        <v>40.3228288710869</v>
      </c>
      <c r="K157" s="56" t="n">
        <f aca="false">K156*Assumptions!$D$114</f>
        <v>47.5384929848604</v>
      </c>
      <c r="L157" s="56" t="n">
        <f aca="false">L156*Assumptions!$D$114</f>
        <v>50.5809565358914</v>
      </c>
      <c r="M157" s="56" t="n">
        <f aca="false">M156*Assumptions!$D$114</f>
        <v>50.6874427601775</v>
      </c>
      <c r="N157" s="56" t="n">
        <f aca="false">N156*Assumptions!$D$114</f>
        <v>56.7699358913988</v>
      </c>
      <c r="O157" s="56" t="n">
        <f aca="false">O156*Assumptions!$D$114</f>
        <v>66.6211894725533</v>
      </c>
      <c r="P157" s="56" t="n">
        <f aca="false">P156*Assumptions!$D$114</f>
        <v>95.7241301368793</v>
      </c>
      <c r="Q157" s="56" t="n">
        <f aca="false">Q156*Assumptions!$D$114</f>
        <v>104.376118822328</v>
      </c>
      <c r="R157" s="56" t="n">
        <f aca="false">R156*Assumptions!$D$114</f>
        <v>101.476782188374</v>
      </c>
      <c r="S157" s="56" t="n">
        <f aca="false">S156*Assumptions!$D$114</f>
        <v>76.7164473344111</v>
      </c>
      <c r="T157" s="56" t="n">
        <f aca="false">T156*Assumptions!$D$114</f>
        <v>89.5025218901463</v>
      </c>
      <c r="U157" s="56" t="n">
        <f aca="false">U156*Assumptions!$D$114</f>
        <v>98.6765303838863</v>
      </c>
      <c r="V157" s="56" t="n">
        <f aca="false">V156*Assumptions!$D$114</f>
        <v>93.7427038646919</v>
      </c>
      <c r="W157" s="56" t="n">
        <f aca="false">W156*Assumptions!$D$114</f>
        <v>103.610356903081</v>
      </c>
      <c r="X157" s="56" t="n">
        <f aca="false">X156*Assumptions!$D$114</f>
        <v>103.351331010823</v>
      </c>
      <c r="Y157" s="56" t="n">
        <f aca="false">Y156*Assumptions!$D$114</f>
        <v>97.0958557127994</v>
      </c>
      <c r="Z157" s="56" t="n">
        <f aca="false">Z156*Assumptions!$D$114</f>
        <v>101.950648498439</v>
      </c>
      <c r="AA157" s="56" t="n">
        <f aca="false">AA156*Assumptions!$D$114</f>
        <v>116.223739288221</v>
      </c>
      <c r="AB157" s="56" t="n">
        <f aca="false">AB156*Assumptions!$D$114</f>
        <v>162.223871890717</v>
      </c>
      <c r="AC157" s="56" t="n">
        <f aca="false">AC156*Assumptions!$D$114</f>
        <v>171.832516610398</v>
      </c>
      <c r="AD157" s="56" t="n">
        <f aca="false">AD156*Assumptions!$D$114</f>
        <v>162.286265687598</v>
      </c>
      <c r="AE157" s="56" t="n">
        <f aca="false">AE156*Assumptions!$D$114</f>
        <v>119.183033520972</v>
      </c>
      <c r="AF157" s="56" t="n">
        <f aca="false">AF156*Assumptions!$D$114</f>
        <v>135.074104657101</v>
      </c>
      <c r="AG157" s="56" t="n">
        <f aca="false">AG156*Assumptions!$D$114</f>
        <v>144.664366087756</v>
      </c>
      <c r="AH157" s="56" t="n">
        <f aca="false">AH156*Assumptions!$D$114</f>
        <v>133.504543560986</v>
      </c>
      <c r="AI157" s="56" t="n">
        <f aca="false">AI156*Assumptions!$D$114</f>
        <v>143.341720454953</v>
      </c>
      <c r="AJ157" s="56" t="n">
        <f aca="false">AJ156*Assumptions!$D$114</f>
        <v>138.89812712085</v>
      </c>
      <c r="AK157" s="56" t="n">
        <f aca="false">AK156*Assumptions!$D$114</f>
        <v>126.762817067133</v>
      </c>
      <c r="AL157" s="56" t="n">
        <f aca="false">AL156*Assumptions!$D$114</f>
        <v>129.298073408476</v>
      </c>
      <c r="AM157" s="53" t="n">
        <f aca="false">SUMIF($C$6:$AL$6,1,C157:AL157)</f>
        <v>393.281833478165</v>
      </c>
      <c r="AN157" s="53" t="n">
        <f aca="false">SUMIF($C$6:$AL$6,2,C157:AL157)</f>
        <v>1132.84461621841</v>
      </c>
      <c r="AO157" s="53" t="n">
        <f aca="false">SUMIF($C$6:$AL$6,3,C157:AL157)</f>
        <v>1683.29317935516</v>
      </c>
      <c r="AP157" s="53" t="n">
        <f aca="false">SUM(C157:AL157)</f>
        <v>3209.41962905174</v>
      </c>
    </row>
    <row r="158" customFormat="false" ht="15" hidden="false" customHeight="false" outlineLevel="0" collapsed="false">
      <c r="A158" s="7" t="s">
        <v>753</v>
      </c>
      <c r="B158" s="9" t="s">
        <v>93</v>
      </c>
      <c r="C158" s="15" t="n">
        <f aca="false">'Unit Economics'!$E$51*Assumptions!$D$114*C152</f>
        <v>10.5145714285714</v>
      </c>
      <c r="D158" s="15" t="n">
        <f aca="false">'Unit Economics'!$E$51*Assumptions!$D$114*D152</f>
        <v>10.5145714285714</v>
      </c>
      <c r="E158" s="15" t="n">
        <f aca="false">'Unit Economics'!$E$51*Assumptions!$D$114*E152</f>
        <v>10.5145714285714</v>
      </c>
      <c r="F158" s="15" t="n">
        <f aca="false">'Unit Economics'!$E$51*Assumptions!$D$114*F152</f>
        <v>10.5145714285714</v>
      </c>
      <c r="G158" s="15" t="n">
        <f aca="false">'Unit Economics'!$E$51*Assumptions!$D$114*G152</f>
        <v>10.5145714285714</v>
      </c>
      <c r="H158" s="15" t="n">
        <f aca="false">'Unit Economics'!$E$51*Assumptions!$D$114*H152</f>
        <v>10.5145714285714</v>
      </c>
      <c r="I158" s="15" t="n">
        <f aca="false">'Unit Economics'!$E$51*Assumptions!$D$114*I152</f>
        <v>10.5145714285714</v>
      </c>
      <c r="J158" s="15" t="n">
        <f aca="false">'Unit Economics'!$E$51*Assumptions!$D$114*J152</f>
        <v>10.5145714285714</v>
      </c>
      <c r="K158" s="15" t="n">
        <f aca="false">'Unit Economics'!$E$51*Assumptions!$D$114*K152</f>
        <v>10.5145714285714</v>
      </c>
      <c r="L158" s="15" t="n">
        <f aca="false">'Unit Economics'!$E$51*Assumptions!$D$114*L152</f>
        <v>10.5145714285714</v>
      </c>
      <c r="M158" s="15" t="n">
        <f aca="false">'Unit Economics'!$E$51*Assumptions!$D$114*M152</f>
        <v>10.5145714285714</v>
      </c>
      <c r="N158" s="15" t="n">
        <f aca="false">'Unit Economics'!$E$51*Assumptions!$D$114*N152</f>
        <v>10.5145714285714</v>
      </c>
      <c r="O158" s="15" t="n">
        <f aca="false">'Unit Economics'!$E$51*Assumptions!$D$114*O152</f>
        <v>10.5145714285714</v>
      </c>
      <c r="P158" s="15" t="n">
        <f aca="false">'Unit Economics'!$E$51*Assumptions!$D$114*P152</f>
        <v>10.5145714285714</v>
      </c>
      <c r="Q158" s="15" t="n">
        <f aca="false">'Unit Economics'!$E$51*Assumptions!$D$114*Q152</f>
        <v>10.5145714285714</v>
      </c>
      <c r="R158" s="15" t="n">
        <f aca="false">'Unit Economics'!$E$51*Assumptions!$D$114*R152</f>
        <v>10.5145714285714</v>
      </c>
      <c r="S158" s="15" t="n">
        <f aca="false">'Unit Economics'!$E$51*Assumptions!$D$114*S152</f>
        <v>10.5145714285714</v>
      </c>
      <c r="T158" s="15" t="n">
        <f aca="false">'Unit Economics'!$E$51*Assumptions!$D$114*T152</f>
        <v>10.5145714285714</v>
      </c>
      <c r="U158" s="15" t="n">
        <f aca="false">'Unit Economics'!$E$51*Assumptions!$D$114*U152</f>
        <v>10.5145714285714</v>
      </c>
      <c r="V158" s="15" t="n">
        <f aca="false">'Unit Economics'!$E$51*Assumptions!$D$114*V152</f>
        <v>10.5145714285714</v>
      </c>
      <c r="W158" s="15" t="n">
        <f aca="false">'Unit Economics'!$E$51*Assumptions!$D$114*W152</f>
        <v>10.5145714285714</v>
      </c>
      <c r="X158" s="15" t="n">
        <f aca="false">'Unit Economics'!$E$51*Assumptions!$D$114*X152</f>
        <v>10.5145714285714</v>
      </c>
      <c r="Y158" s="15" t="n">
        <f aca="false">'Unit Economics'!$E$51*Assumptions!$D$114*Y152</f>
        <v>10.5145714285714</v>
      </c>
      <c r="Z158" s="15" t="n">
        <f aca="false">'Unit Economics'!$E$51*Assumptions!$D$114*Z152</f>
        <v>10.5145714285714</v>
      </c>
      <c r="AA158" s="15" t="n">
        <f aca="false">'Unit Economics'!$E$51*Assumptions!$D$114*AA152</f>
        <v>10.5145714285714</v>
      </c>
      <c r="AB158" s="15" t="n">
        <f aca="false">'Unit Economics'!$E$51*Assumptions!$D$114*AB152</f>
        <v>10.5145714285714</v>
      </c>
      <c r="AC158" s="15" t="n">
        <f aca="false">'Unit Economics'!$E$51*Assumptions!$D$114*AC152</f>
        <v>10.5145714285714</v>
      </c>
      <c r="AD158" s="15" t="n">
        <f aca="false">'Unit Economics'!$E$51*Assumptions!$D$114*AD152</f>
        <v>10.5145714285714</v>
      </c>
      <c r="AE158" s="15" t="n">
        <f aca="false">'Unit Economics'!$E$51*Assumptions!$D$114*AE152</f>
        <v>10.5145714285714</v>
      </c>
      <c r="AF158" s="15" t="n">
        <f aca="false">'Unit Economics'!$E$51*Assumptions!$D$114*AF152</f>
        <v>10.5145714285714</v>
      </c>
      <c r="AG158" s="15" t="n">
        <f aca="false">'Unit Economics'!$E$51*Assumptions!$D$114*AG152</f>
        <v>10.5145714285714</v>
      </c>
      <c r="AH158" s="15" t="n">
        <f aca="false">'Unit Economics'!$E$51*Assumptions!$D$114*AH152</f>
        <v>10.5145714285714</v>
      </c>
      <c r="AI158" s="15" t="n">
        <f aca="false">'Unit Economics'!$E$51*Assumptions!$D$114*AI152</f>
        <v>10.5145714285714</v>
      </c>
      <c r="AJ158" s="15" t="n">
        <f aca="false">'Unit Economics'!$E$51*Assumptions!$D$114*AJ152</f>
        <v>10.5145714285714</v>
      </c>
      <c r="AK158" s="15" t="n">
        <f aca="false">'Unit Economics'!$E$51*Assumptions!$D$114*AK152</f>
        <v>10.5145714285714</v>
      </c>
      <c r="AL158" s="15" t="n">
        <f aca="false">'Unit Economics'!$E$51*Assumptions!$D$114*AL152</f>
        <v>10.5145714285714</v>
      </c>
    </row>
    <row r="159" customFormat="false" ht="15" hidden="false" customHeight="false" outlineLevel="0" collapsed="false">
      <c r="A159" s="7" t="s">
        <v>754</v>
      </c>
      <c r="B159" s="9" t="s">
        <v>93</v>
      </c>
      <c r="C159" s="8" t="n">
        <f aca="false">C157*'Unit Economics'!$E$51</f>
        <v>26.6369142857143</v>
      </c>
      <c r="D159" s="8" t="n">
        <f aca="false">D157*'Unit Economics'!$E$51</f>
        <v>81.649152</v>
      </c>
      <c r="E159" s="8" t="n">
        <f aca="false">E157*'Unit Economics'!$E$51</f>
        <v>142.44636672</v>
      </c>
      <c r="F159" s="8" t="n">
        <f aca="false">F157*'Unit Economics'!$E$51</f>
        <v>196.96287744</v>
      </c>
      <c r="G159" s="8" t="n">
        <f aca="false">G157*'Unit Economics'!$E$51</f>
        <v>198.53858045952</v>
      </c>
      <c r="H159" s="8" t="n">
        <f aca="false">H157*'Unit Economics'!$E$51</f>
        <v>296.484280152883</v>
      </c>
      <c r="I159" s="8" t="n">
        <f aca="false">I157*'Unit Economics'!$E$51</f>
        <v>348.665513459791</v>
      </c>
      <c r="J159" s="8" t="n">
        <f aca="false">J157*'Unit Economics'!$E$51</f>
        <v>353.314386972588</v>
      </c>
      <c r="K159" s="8" t="n">
        <f aca="false">K157*'Unit Economics'!$E$51</f>
        <v>416.53906674663</v>
      </c>
      <c r="L159" s="8" t="n">
        <f aca="false">L157*'Unit Economics'!$E$51</f>
        <v>443.197567018414</v>
      </c>
      <c r="M159" s="8" t="n">
        <f aca="false">M157*'Unit Economics'!$E$51</f>
        <v>444.130614527927</v>
      </c>
      <c r="N159" s="8" t="n">
        <f aca="false">N157*'Unit Economics'!$E$51</f>
        <v>497.426288271278</v>
      </c>
      <c r="O159" s="8" t="n">
        <f aca="false">O157*'Unit Economics'!$E$51</f>
        <v>583.744379471294</v>
      </c>
      <c r="P159" s="8" t="n">
        <f aca="false">P157*'Unit Economics'!$E$51</f>
        <v>838.74850313507</v>
      </c>
      <c r="Q159" s="8" t="n">
        <f aca="false">Q157*'Unit Economics'!$E$51</f>
        <v>914.558463995355</v>
      </c>
      <c r="R159" s="8" t="n">
        <f aca="false">R157*'Unit Economics'!$E$51</f>
        <v>889.154062217707</v>
      </c>
      <c r="S159" s="8" t="n">
        <f aca="false">S157*'Unit Economics'!$E$51</f>
        <v>672.200471036586</v>
      </c>
      <c r="T159" s="8" t="n">
        <f aca="false">T157*'Unit Economics'!$E$51</f>
        <v>784.233882876017</v>
      </c>
      <c r="U159" s="8" t="n">
        <f aca="false">U157*'Unit Economics'!$E$51</f>
        <v>864.617855870809</v>
      </c>
      <c r="V159" s="8" t="n">
        <f aca="false">V157*'Unit Economics'!$E$51</f>
        <v>821.386963077269</v>
      </c>
      <c r="W159" s="8" t="n">
        <f aca="false">W157*'Unit Economics'!$E$51</f>
        <v>907.848748664349</v>
      </c>
      <c r="X159" s="8" t="n">
        <f aca="false">X157*'Unit Economics'!$E$51</f>
        <v>905.579126792689</v>
      </c>
      <c r="Y159" s="8" t="n">
        <f aca="false">Y157*'Unit Economics'!$E$51</f>
        <v>850.767758592079</v>
      </c>
      <c r="Z159" s="8" t="n">
        <f aca="false">Z157*'Unit Economics'!$E$51</f>
        <v>893.306146521683</v>
      </c>
      <c r="AA159" s="8" t="n">
        <f aca="false">AA157*'Unit Economics'!$E$51</f>
        <v>1018.36900703472</v>
      </c>
      <c r="AB159" s="8" t="n">
        <f aca="false">AB157*'Unit Economics'!$E$51</f>
        <v>1421.4287403453</v>
      </c>
      <c r="AC159" s="8" t="n">
        <f aca="false">AC157*'Unit Economics'!$E$51</f>
        <v>1505.62105804268</v>
      </c>
      <c r="AD159" s="8" t="n">
        <f aca="false">AD157*'Unit Economics'!$E$51</f>
        <v>1421.97544370697</v>
      </c>
      <c r="AE159" s="8" t="n">
        <f aca="false">AE157*'Unit Economics'!$E$51</f>
        <v>1044.2987658584</v>
      </c>
      <c r="AF159" s="8" t="n">
        <f aca="false">AF157*'Unit Economics'!$E$51</f>
        <v>1183.53860130619</v>
      </c>
      <c r="AG159" s="8" t="n">
        <f aca="false">AG157*'Unit Economics'!$E$51</f>
        <v>1267.56984199893</v>
      </c>
      <c r="AH159" s="8" t="n">
        <f aca="false">AH157*'Unit Economics'!$E$51</f>
        <v>1169.78588275901</v>
      </c>
      <c r="AI159" s="8" t="n">
        <f aca="false">AI157*'Unit Economics'!$E$51</f>
        <v>1255.98063201494</v>
      </c>
      <c r="AJ159" s="8" t="n">
        <f aca="false">AJ157*'Unit Economics'!$E$51</f>
        <v>1217.04523242247</v>
      </c>
      <c r="AK159" s="8" t="n">
        <f aca="false">AK157*'Unit Economics'!$E$51</f>
        <v>1110.71391211609</v>
      </c>
      <c r="AL159" s="8" t="n">
        <f aca="false">AL157*'Unit Economics'!$E$51</f>
        <v>1132.92819035841</v>
      </c>
      <c r="AM159" s="45" t="n">
        <f aca="false">SUMIF($C$6:$AL$6,1,C159:AL159)</f>
        <v>3445.99160805475</v>
      </c>
      <c r="AN159" s="45" t="n">
        <f aca="false">SUMIF($C$6:$AL$6,2,C159:AL159)</f>
        <v>9926.14636225091</v>
      </c>
      <c r="AO159" s="45" t="n">
        <f aca="false">SUMIF($C$6:$AL$6,3,C159:AL159)</f>
        <v>14749.2553079641</v>
      </c>
      <c r="AP159" s="45" t="n">
        <f aca="false">SUM(C159:AL159)</f>
        <v>28121.3932782698</v>
      </c>
    </row>
    <row r="160" customFormat="false" ht="15" hidden="false" customHeight="false" outlineLevel="0" collapsed="false">
      <c r="A160" s="7" t="s">
        <v>755</v>
      </c>
      <c r="B160" s="9" t="s">
        <v>93</v>
      </c>
      <c r="C160" s="8" t="n">
        <f aca="false">C157*'Unit Economics'!$F$51</f>
        <v>21.8061154285714</v>
      </c>
      <c r="D160" s="8" t="n">
        <f aca="false">D157*'Unit Economics'!$F$51</f>
        <v>66.84148224</v>
      </c>
      <c r="E160" s="8" t="n">
        <f aca="false">E157*'Unit Economics'!$F$51</f>
        <v>116.6126782464</v>
      </c>
      <c r="F160" s="8" t="n">
        <f aca="false">F157*'Unit Economics'!$F$51</f>
        <v>161.2422217728</v>
      </c>
      <c r="G160" s="8" t="n">
        <f aca="false">G157*'Unit Economics'!$F$51</f>
        <v>162.532159546982</v>
      </c>
      <c r="H160" s="8" t="n">
        <f aca="false">H157*'Unit Economics'!$F$51</f>
        <v>242.71469159016</v>
      </c>
      <c r="I160" s="8" t="n">
        <f aca="false">I157*'Unit Economics'!$F$51</f>
        <v>285.432477310029</v>
      </c>
      <c r="J160" s="8" t="n">
        <f aca="false">J157*'Unit Economics'!$F$51</f>
        <v>289.238243674162</v>
      </c>
      <c r="K160" s="8" t="n">
        <f aca="false">K157*'Unit Economics'!$F$51</f>
        <v>340.996666226381</v>
      </c>
      <c r="L160" s="8" t="n">
        <f aca="false">L157*'Unit Economics'!$F$51</f>
        <v>362.820452864869</v>
      </c>
      <c r="M160" s="8" t="n">
        <f aca="false">M157*'Unit Economics'!$F$51</f>
        <v>363.584285397217</v>
      </c>
      <c r="N160" s="8" t="n">
        <f aca="false">N157*'Unit Economics'!$F$51</f>
        <v>407.214399644883</v>
      </c>
      <c r="O160" s="8" t="n">
        <f aca="false">O157*'Unit Economics'!$F$51</f>
        <v>477.878074877377</v>
      </c>
      <c r="P160" s="8" t="n">
        <f aca="false">P157*'Unit Economics'!$F$51</f>
        <v>686.635339165915</v>
      </c>
      <c r="Q160" s="8" t="n">
        <f aca="false">Q157*'Unit Economics'!$F$51</f>
        <v>748.696610205912</v>
      </c>
      <c r="R160" s="8" t="n">
        <f aca="false">R157*'Unit Economics'!$F$51</f>
        <v>727.899482144636</v>
      </c>
      <c r="S160" s="8" t="n">
        <f aca="false">S157*'Unit Economics'!$F$51</f>
        <v>550.292008501345</v>
      </c>
      <c r="T160" s="8" t="n">
        <f aca="false">T157*'Unit Economics'!$F$51</f>
        <v>642.007343251569</v>
      </c>
      <c r="U160" s="8" t="n">
        <f aca="false">U157*'Unit Economics'!$F$51</f>
        <v>707.813095934855</v>
      </c>
      <c r="V160" s="8" t="n">
        <f aca="false">V157*'Unit Economics'!$F$51</f>
        <v>672.422441138112</v>
      </c>
      <c r="W160" s="8" t="n">
        <f aca="false">W157*'Unit Economics'!$F$51</f>
        <v>743.203750731598</v>
      </c>
      <c r="X160" s="8" t="n">
        <f aca="false">X157*'Unit Economics'!$F$51</f>
        <v>741.345741354769</v>
      </c>
      <c r="Y160" s="8" t="n">
        <f aca="false">Y157*'Unit Economics'!$F$51</f>
        <v>696.474814904349</v>
      </c>
      <c r="Z160" s="8" t="n">
        <f aca="false">Z157*'Unit Economics'!$F$51</f>
        <v>731.298555649566</v>
      </c>
      <c r="AA160" s="8" t="n">
        <f aca="false">AA157*'Unit Economics'!$F$51</f>
        <v>833.680353440505</v>
      </c>
      <c r="AB160" s="8" t="n">
        <f aca="false">AB157*'Unit Economics'!$F$51</f>
        <v>1163.64226174959</v>
      </c>
      <c r="AC160" s="8" t="n">
        <f aca="false">AC157*'Unit Economics'!$F$51</f>
        <v>1232.56568802245</v>
      </c>
      <c r="AD160" s="8" t="n">
        <f aca="false">AD157*'Unit Economics'!$F$51</f>
        <v>1164.08981646565</v>
      </c>
      <c r="AE160" s="8" t="n">
        <f aca="false">AE157*'Unit Economics'!$F$51</f>
        <v>854.907561212372</v>
      </c>
      <c r="AF160" s="8" t="n">
        <f aca="false">AF157*'Unit Economics'!$F$51</f>
        <v>968.895236040688</v>
      </c>
      <c r="AG160" s="8" t="n">
        <f aca="false">AG157*'Unit Economics'!$F$51</f>
        <v>1037.68679779958</v>
      </c>
      <c r="AH160" s="8" t="n">
        <f aca="false">AH157*'Unit Economics'!$F$51</f>
        <v>957.636673397895</v>
      </c>
      <c r="AI160" s="8" t="n">
        <f aca="false">AI157*'Unit Economics'!$F$51</f>
        <v>1028.19937564827</v>
      </c>
      <c r="AJ160" s="8" t="n">
        <f aca="false">AJ157*'Unit Economics'!$F$51</f>
        <v>996.32519500317</v>
      </c>
      <c r="AK160" s="8" t="n">
        <f aca="false">AK157*'Unit Economics'!$F$51</f>
        <v>909.277835860788</v>
      </c>
      <c r="AL160" s="8" t="n">
        <f aca="false">AL157*'Unit Economics'!$F$51</f>
        <v>927.463392578003</v>
      </c>
      <c r="AM160" s="45" t="n">
        <f aca="false">SUMIF($C$6:$AL$6,1,C160:AL160)</f>
        <v>2821.03587394246</v>
      </c>
      <c r="AN160" s="45" t="n">
        <f aca="false">SUMIF($C$6:$AL$6,2,C160:AL160)</f>
        <v>8125.96725786</v>
      </c>
      <c r="AO160" s="45" t="n">
        <f aca="false">SUMIF($C$6:$AL$6,3,C160:AL160)</f>
        <v>12074.370187219</v>
      </c>
      <c r="AP160" s="45" t="n">
        <f aca="false">SUM(C160:AL160)</f>
        <v>23021.3733190214</v>
      </c>
    </row>
    <row r="161" customFormat="false" ht="15" hidden="false" customHeight="false" outlineLevel="0" collapsed="false">
      <c r="A161" s="5" t="s">
        <v>562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</row>
    <row r="162" customFormat="false" ht="15" hidden="false" customHeight="false" outlineLevel="0" collapsed="false">
      <c r="A162" s="7" t="s">
        <v>746</v>
      </c>
      <c r="B162" s="9" t="s">
        <v>308</v>
      </c>
      <c r="C162" s="37" t="n">
        <f aca="false">IF(AND(Assumptions!$D$116=1,C$4&gt;=Assumptions!$D$117),1,0)</f>
        <v>0</v>
      </c>
      <c r="D162" s="37" t="n">
        <f aca="false">IF(AND(Assumptions!$D$116=1,D$4&gt;=Assumptions!$D$117),1,0)</f>
        <v>1</v>
      </c>
      <c r="E162" s="37" t="n">
        <f aca="false">IF(AND(Assumptions!$D$116=1,E$4&gt;=Assumptions!$D$117),1,0)</f>
        <v>1</v>
      </c>
      <c r="F162" s="37" t="n">
        <f aca="false">IF(AND(Assumptions!$D$116=1,F$4&gt;=Assumptions!$D$117),1,0)</f>
        <v>1</v>
      </c>
      <c r="G162" s="37" t="n">
        <f aca="false">IF(AND(Assumptions!$D$116=1,G$4&gt;=Assumptions!$D$117),1,0)</f>
        <v>1</v>
      </c>
      <c r="H162" s="37" t="n">
        <f aca="false">IF(AND(Assumptions!$D$116=1,H$4&gt;=Assumptions!$D$117),1,0)</f>
        <v>1</v>
      </c>
      <c r="I162" s="37" t="n">
        <f aca="false">IF(AND(Assumptions!$D$116=1,I$4&gt;=Assumptions!$D$117),1,0)</f>
        <v>1</v>
      </c>
      <c r="J162" s="37" t="n">
        <f aca="false">IF(AND(Assumptions!$D$116=1,J$4&gt;=Assumptions!$D$117),1,0)</f>
        <v>1</v>
      </c>
      <c r="K162" s="37" t="n">
        <f aca="false">IF(AND(Assumptions!$D$116=1,K$4&gt;=Assumptions!$D$117),1,0)</f>
        <v>1</v>
      </c>
      <c r="L162" s="37" t="n">
        <f aca="false">IF(AND(Assumptions!$D$116=1,L$4&gt;=Assumptions!$D$117),1,0)</f>
        <v>1</v>
      </c>
      <c r="M162" s="37" t="n">
        <f aca="false">IF(AND(Assumptions!$D$116=1,M$4&gt;=Assumptions!$D$117),1,0)</f>
        <v>1</v>
      </c>
      <c r="N162" s="37" t="n">
        <f aca="false">IF(AND(Assumptions!$D$116=1,N$4&gt;=Assumptions!$D$117),1,0)</f>
        <v>1</v>
      </c>
      <c r="O162" s="37" t="n">
        <f aca="false">IF(AND(Assumptions!$D$116=1,O$4&gt;=Assumptions!$D$117),1,0)</f>
        <v>1</v>
      </c>
      <c r="P162" s="37" t="n">
        <f aca="false">IF(AND(Assumptions!$D$116=1,P$4&gt;=Assumptions!$D$117),1,0)</f>
        <v>1</v>
      </c>
      <c r="Q162" s="37" t="n">
        <f aca="false">IF(AND(Assumptions!$D$116=1,Q$4&gt;=Assumptions!$D$117),1,0)</f>
        <v>1</v>
      </c>
      <c r="R162" s="37" t="n">
        <f aca="false">IF(AND(Assumptions!$D$116=1,R$4&gt;=Assumptions!$D$117),1,0)</f>
        <v>1</v>
      </c>
      <c r="S162" s="37" t="n">
        <f aca="false">IF(AND(Assumptions!$D$116=1,S$4&gt;=Assumptions!$D$117),1,0)</f>
        <v>1</v>
      </c>
      <c r="T162" s="37" t="n">
        <f aca="false">IF(AND(Assumptions!$D$116=1,T$4&gt;=Assumptions!$D$117),1,0)</f>
        <v>1</v>
      </c>
      <c r="U162" s="37" t="n">
        <f aca="false">IF(AND(Assumptions!$D$116=1,U$4&gt;=Assumptions!$D$117),1,0)</f>
        <v>1</v>
      </c>
      <c r="V162" s="37" t="n">
        <f aca="false">IF(AND(Assumptions!$D$116=1,V$4&gt;=Assumptions!$D$117),1,0)</f>
        <v>1</v>
      </c>
      <c r="W162" s="37" t="n">
        <f aca="false">IF(AND(Assumptions!$D$116=1,W$4&gt;=Assumptions!$D$117),1,0)</f>
        <v>1</v>
      </c>
      <c r="X162" s="37" t="n">
        <f aca="false">IF(AND(Assumptions!$D$116=1,X$4&gt;=Assumptions!$D$117),1,0)</f>
        <v>1</v>
      </c>
      <c r="Y162" s="37" t="n">
        <f aca="false">IF(AND(Assumptions!$D$116=1,Y$4&gt;=Assumptions!$D$117),1,0)</f>
        <v>1</v>
      </c>
      <c r="Z162" s="37" t="n">
        <f aca="false">IF(AND(Assumptions!$D$116=1,Z$4&gt;=Assumptions!$D$117),1,0)</f>
        <v>1</v>
      </c>
      <c r="AA162" s="37" t="n">
        <f aca="false">IF(AND(Assumptions!$D$116=1,AA$4&gt;=Assumptions!$D$117),1,0)</f>
        <v>1</v>
      </c>
      <c r="AB162" s="37" t="n">
        <f aca="false">IF(AND(Assumptions!$D$116=1,AB$4&gt;=Assumptions!$D$117),1,0)</f>
        <v>1</v>
      </c>
      <c r="AC162" s="37" t="n">
        <f aca="false">IF(AND(Assumptions!$D$116=1,AC$4&gt;=Assumptions!$D$117),1,0)</f>
        <v>1</v>
      </c>
      <c r="AD162" s="37" t="n">
        <f aca="false">IF(AND(Assumptions!$D$116=1,AD$4&gt;=Assumptions!$D$117),1,0)</f>
        <v>1</v>
      </c>
      <c r="AE162" s="37" t="n">
        <f aca="false">IF(AND(Assumptions!$D$116=1,AE$4&gt;=Assumptions!$D$117),1,0)</f>
        <v>1</v>
      </c>
      <c r="AF162" s="37" t="n">
        <f aca="false">IF(AND(Assumptions!$D$116=1,AF$4&gt;=Assumptions!$D$117),1,0)</f>
        <v>1</v>
      </c>
      <c r="AG162" s="37" t="n">
        <f aca="false">IF(AND(Assumptions!$D$116=1,AG$4&gt;=Assumptions!$D$117),1,0)</f>
        <v>1</v>
      </c>
      <c r="AH162" s="37" t="n">
        <f aca="false">IF(AND(Assumptions!$D$116=1,AH$4&gt;=Assumptions!$D$117),1,0)</f>
        <v>1</v>
      </c>
      <c r="AI162" s="37" t="n">
        <f aca="false">IF(AND(Assumptions!$D$116=1,AI$4&gt;=Assumptions!$D$117),1,0)</f>
        <v>1</v>
      </c>
      <c r="AJ162" s="37" t="n">
        <f aca="false">IF(AND(Assumptions!$D$116=1,AJ$4&gt;=Assumptions!$D$117),1,0)</f>
        <v>1</v>
      </c>
      <c r="AK162" s="37" t="n">
        <f aca="false">IF(AND(Assumptions!$D$116=1,AK$4&gt;=Assumptions!$D$117),1,0)</f>
        <v>1</v>
      </c>
      <c r="AL162" s="37" t="n">
        <f aca="false">IF(AND(Assumptions!$D$116=1,AL$4&gt;=Assumptions!$D$117),1,0)</f>
        <v>1</v>
      </c>
    </row>
    <row r="163" customFormat="false" ht="15" hidden="false" customHeight="false" outlineLevel="0" collapsed="false">
      <c r="A163" s="7" t="s">
        <v>747</v>
      </c>
      <c r="B163" s="9" t="s">
        <v>316</v>
      </c>
      <c r="C163" s="14" t="n">
        <f aca="false">IF(C162=0,0,Assumptions!$D$118)</f>
        <v>0</v>
      </c>
      <c r="D163" s="14" t="n">
        <f aca="false">IF(D162=0,0,IF(D$4=Assumptions!$D$117,Assumptions!$D$118,C163*(1+CHOOSE(D$6,Assumptions!$D$119,Assumptions!$D$120,Assumptions!$D$121))))</f>
        <v>600</v>
      </c>
      <c r="E163" s="14" t="n">
        <f aca="false">IF(E162=0,0,IF(E$4=Assumptions!$D$117,Assumptions!$D$118,D163*(1+CHOOSE(E$6,Assumptions!$D$119,Assumptions!$D$120,Assumptions!$D$121))))</f>
        <v>660</v>
      </c>
      <c r="F163" s="14" t="n">
        <f aca="false">IF(F162=0,0,IF(F$4=Assumptions!$D$117,Assumptions!$D$118,E163*(1+CHOOSE(F$6,Assumptions!$D$119,Assumptions!$D$120,Assumptions!$D$121))))</f>
        <v>726</v>
      </c>
      <c r="G163" s="14" t="n">
        <f aca="false">IF(G162=0,0,IF(G$4=Assumptions!$D$117,Assumptions!$D$118,F163*(1+CHOOSE(G$6,Assumptions!$D$119,Assumptions!$D$120,Assumptions!$D$121))))</f>
        <v>798.6</v>
      </c>
      <c r="H163" s="14" t="n">
        <f aca="false">IF(H162=0,0,IF(H$4=Assumptions!$D$117,Assumptions!$D$118,G163*(1+CHOOSE(H$6,Assumptions!$D$119,Assumptions!$D$120,Assumptions!$D$121))))</f>
        <v>878.46</v>
      </c>
      <c r="I163" s="14" t="n">
        <f aca="false">IF(I162=0,0,IF(I$4=Assumptions!$D$117,Assumptions!$D$118,H163*(1+CHOOSE(I$6,Assumptions!$D$119,Assumptions!$D$120,Assumptions!$D$121))))</f>
        <v>966.306</v>
      </c>
      <c r="J163" s="14" t="n">
        <f aca="false">IF(J162=0,0,IF(J$4=Assumptions!$D$117,Assumptions!$D$118,I163*(1+CHOOSE(J$6,Assumptions!$D$119,Assumptions!$D$120,Assumptions!$D$121))))</f>
        <v>1062.9366</v>
      </c>
      <c r="K163" s="14" t="n">
        <f aca="false">IF(K162=0,0,IF(K$4=Assumptions!$D$117,Assumptions!$D$118,J163*(1+CHOOSE(K$6,Assumptions!$D$119,Assumptions!$D$120,Assumptions!$D$121))))</f>
        <v>1169.23026</v>
      </c>
      <c r="L163" s="14" t="n">
        <f aca="false">IF(L162=0,0,IF(L$4=Assumptions!$D$117,Assumptions!$D$118,K163*(1+CHOOSE(L$6,Assumptions!$D$119,Assumptions!$D$120,Assumptions!$D$121))))</f>
        <v>1286.153286</v>
      </c>
      <c r="M163" s="14" t="n">
        <f aca="false">IF(M162=0,0,IF(M$4=Assumptions!$D$117,Assumptions!$D$118,L163*(1+CHOOSE(M$6,Assumptions!$D$119,Assumptions!$D$120,Assumptions!$D$121))))</f>
        <v>1414.7686146</v>
      </c>
      <c r="N163" s="14" t="n">
        <f aca="false">IF(N162=0,0,IF(N$4=Assumptions!$D$117,Assumptions!$D$118,M163*(1+CHOOSE(N$6,Assumptions!$D$119,Assumptions!$D$120,Assumptions!$D$121))))</f>
        <v>1556.24547606</v>
      </c>
      <c r="O163" s="14" t="n">
        <f aca="false">IF(O162=0,0,IF(O$4=Assumptions!$D$117,Assumptions!$D$118,N163*(1+CHOOSE(O$6,Assumptions!$D$119,Assumptions!$D$120,Assumptions!$D$121))))</f>
        <v>1618.4952951024</v>
      </c>
      <c r="P163" s="14" t="n">
        <f aca="false">IF(P162=0,0,IF(P$4=Assumptions!$D$117,Assumptions!$D$118,O163*(1+CHOOSE(P$6,Assumptions!$D$119,Assumptions!$D$120,Assumptions!$D$121))))</f>
        <v>1683.2351069065</v>
      </c>
      <c r="Q163" s="14" t="n">
        <f aca="false">IF(Q162=0,0,IF(Q$4=Assumptions!$D$117,Assumptions!$D$118,P163*(1+CHOOSE(Q$6,Assumptions!$D$119,Assumptions!$D$120,Assumptions!$D$121))))</f>
        <v>1750.56451118276</v>
      </c>
      <c r="R163" s="14" t="n">
        <f aca="false">IF(R162=0,0,IF(R$4=Assumptions!$D$117,Assumptions!$D$118,Q163*(1+CHOOSE(R$6,Assumptions!$D$119,Assumptions!$D$120,Assumptions!$D$121))))</f>
        <v>1820.58709163007</v>
      </c>
      <c r="S163" s="14" t="n">
        <f aca="false">IF(S162=0,0,IF(S$4=Assumptions!$D$117,Assumptions!$D$118,R163*(1+CHOOSE(S$6,Assumptions!$D$119,Assumptions!$D$120,Assumptions!$D$121))))</f>
        <v>1893.41057529527</v>
      </c>
      <c r="T163" s="14" t="n">
        <f aca="false">IF(T162=0,0,IF(T$4=Assumptions!$D$117,Assumptions!$D$118,S163*(1+CHOOSE(T$6,Assumptions!$D$119,Assumptions!$D$120,Assumptions!$D$121))))</f>
        <v>1969.14699830708</v>
      </c>
      <c r="U163" s="14" t="n">
        <f aca="false">IF(U162=0,0,IF(U$4=Assumptions!$D$117,Assumptions!$D$118,T163*(1+CHOOSE(U$6,Assumptions!$D$119,Assumptions!$D$120,Assumptions!$D$121))))</f>
        <v>2047.91287823936</v>
      </c>
      <c r="V163" s="14" t="n">
        <f aca="false">IF(V162=0,0,IF(V$4=Assumptions!$D$117,Assumptions!$D$118,U163*(1+CHOOSE(V$6,Assumptions!$D$119,Assumptions!$D$120,Assumptions!$D$121))))</f>
        <v>2129.82939336894</v>
      </c>
      <c r="W163" s="14" t="n">
        <f aca="false">IF(W162=0,0,IF(W$4=Assumptions!$D$117,Assumptions!$D$118,V163*(1+CHOOSE(W$6,Assumptions!$D$119,Assumptions!$D$120,Assumptions!$D$121))))</f>
        <v>2215.0225691037</v>
      </c>
      <c r="X163" s="14" t="n">
        <f aca="false">IF(X162=0,0,IF(X$4=Assumptions!$D$117,Assumptions!$D$118,W163*(1+CHOOSE(X$6,Assumptions!$D$119,Assumptions!$D$120,Assumptions!$D$121))))</f>
        <v>2303.62347186784</v>
      </c>
      <c r="Y163" s="14" t="n">
        <f aca="false">IF(Y162=0,0,IF(Y$4=Assumptions!$D$117,Assumptions!$D$118,X163*(1+CHOOSE(Y$6,Assumptions!$D$119,Assumptions!$D$120,Assumptions!$D$121))))</f>
        <v>2395.76841074256</v>
      </c>
      <c r="Z163" s="14" t="n">
        <f aca="false">IF(Z162=0,0,IF(Z$4=Assumptions!$D$117,Assumptions!$D$118,Y163*(1+CHOOSE(Z$6,Assumptions!$D$119,Assumptions!$D$120,Assumptions!$D$121))))</f>
        <v>2491.59914717226</v>
      </c>
      <c r="AA163" s="14" t="n">
        <f aca="false">IF(AA162=0,0,IF(AA$4=Assumptions!$D$117,Assumptions!$D$118,Z163*(1+CHOOSE(AA$6,Assumptions!$D$119,Assumptions!$D$120,Assumptions!$D$121))))</f>
        <v>2541.43113011571</v>
      </c>
      <c r="AB163" s="14" t="n">
        <f aca="false">IF(AB162=0,0,IF(AB$4=Assumptions!$D$117,Assumptions!$D$118,AA163*(1+CHOOSE(AB$6,Assumptions!$D$119,Assumptions!$D$120,Assumptions!$D$121))))</f>
        <v>2592.25975271802</v>
      </c>
      <c r="AC163" s="14" t="n">
        <f aca="false">IF(AC162=0,0,IF(AC$4=Assumptions!$D$117,Assumptions!$D$118,AB163*(1+CHOOSE(AC$6,Assumptions!$D$119,Assumptions!$D$120,Assumptions!$D$121))))</f>
        <v>2644.10494777238</v>
      </c>
      <c r="AD163" s="14" t="n">
        <f aca="false">IF(AD162=0,0,IF(AD$4=Assumptions!$D$117,Assumptions!$D$118,AC163*(1+CHOOSE(AD$6,Assumptions!$D$119,Assumptions!$D$120,Assumptions!$D$121))))</f>
        <v>2696.98704672783</v>
      </c>
      <c r="AE163" s="14" t="n">
        <f aca="false">IF(AE162=0,0,IF(AE$4=Assumptions!$D$117,Assumptions!$D$118,AD163*(1+CHOOSE(AE$6,Assumptions!$D$119,Assumptions!$D$120,Assumptions!$D$121))))</f>
        <v>2750.92678766239</v>
      </c>
      <c r="AF163" s="14" t="n">
        <f aca="false">IF(AF162=0,0,IF(AF$4=Assumptions!$D$117,Assumptions!$D$118,AE163*(1+CHOOSE(AF$6,Assumptions!$D$119,Assumptions!$D$120,Assumptions!$D$121))))</f>
        <v>2805.94532341563</v>
      </c>
      <c r="AG163" s="14" t="n">
        <f aca="false">IF(AG162=0,0,IF(AG$4=Assumptions!$D$117,Assumptions!$D$118,AF163*(1+CHOOSE(AG$6,Assumptions!$D$119,Assumptions!$D$120,Assumptions!$D$121))))</f>
        <v>2862.06422988395</v>
      </c>
      <c r="AH163" s="14" t="n">
        <f aca="false">IF(AH162=0,0,IF(AH$4=Assumptions!$D$117,Assumptions!$D$118,AG163*(1+CHOOSE(AH$6,Assumptions!$D$119,Assumptions!$D$120,Assumptions!$D$121))))</f>
        <v>2919.30551448162</v>
      </c>
      <c r="AI163" s="14" t="n">
        <f aca="false">IF(AI162=0,0,IF(AI$4=Assumptions!$D$117,Assumptions!$D$118,AH163*(1+CHOOSE(AI$6,Assumptions!$D$119,Assumptions!$D$120,Assumptions!$D$121))))</f>
        <v>2977.69162477126</v>
      </c>
      <c r="AJ163" s="14" t="n">
        <f aca="false">IF(AJ162=0,0,IF(AJ$4=Assumptions!$D$117,Assumptions!$D$118,AI163*(1+CHOOSE(AJ$6,Assumptions!$D$119,Assumptions!$D$120,Assumptions!$D$121))))</f>
        <v>3037.24545726668</v>
      </c>
      <c r="AK163" s="14" t="n">
        <f aca="false">IF(AK162=0,0,IF(AK$4=Assumptions!$D$117,Assumptions!$D$118,AJ163*(1+CHOOSE(AK$6,Assumptions!$D$119,Assumptions!$D$120,Assumptions!$D$121))))</f>
        <v>3097.99036641202</v>
      </c>
      <c r="AL163" s="14" t="n">
        <f aca="false">IF(AL162=0,0,IF(AL$4=Assumptions!$D$117,Assumptions!$D$118,AK163*(1+CHOOSE(AL$6,Assumptions!$D$119,Assumptions!$D$120,Assumptions!$D$121))))</f>
        <v>3159.95017374026</v>
      </c>
    </row>
    <row r="164" customFormat="false" ht="15" hidden="false" customHeight="false" outlineLevel="0" collapsed="false">
      <c r="A164" s="7" t="s">
        <v>758</v>
      </c>
      <c r="B164" s="9" t="s">
        <v>316</v>
      </c>
      <c r="C164" s="52" t="n">
        <f aca="false">C163*C$7</f>
        <v>0</v>
      </c>
      <c r="D164" s="52" t="n">
        <f aca="false">D163*D$7</f>
        <v>780</v>
      </c>
      <c r="E164" s="52" t="n">
        <f aca="false">E163*E$7</f>
        <v>891</v>
      </c>
      <c r="F164" s="52" t="n">
        <f aca="false">F163*F$7</f>
        <v>907.5</v>
      </c>
      <c r="G164" s="52" t="n">
        <f aca="false">G163*G$7</f>
        <v>718.74</v>
      </c>
      <c r="H164" s="52" t="n">
        <f aca="false">H163*H$7</f>
        <v>878.46</v>
      </c>
      <c r="I164" s="52" t="n">
        <f aca="false">I163*I$7</f>
        <v>1014.6213</v>
      </c>
      <c r="J164" s="52" t="n">
        <f aca="false">J163*J$7</f>
        <v>1009.78977</v>
      </c>
      <c r="K164" s="52" t="n">
        <f aca="false">K163*K$7</f>
        <v>1169.23026</v>
      </c>
      <c r="L164" s="52" t="n">
        <f aca="false">L163*L$7</f>
        <v>1221.8456217</v>
      </c>
      <c r="M164" s="52" t="n">
        <f aca="false">M163*M$7</f>
        <v>1202.55332241</v>
      </c>
      <c r="N164" s="52" t="n">
        <f aca="false">N163*N$7</f>
        <v>1322.808654651</v>
      </c>
      <c r="O164" s="52" t="n">
        <f aca="false">O163*O$7</f>
        <v>1537.57053034728</v>
      </c>
      <c r="P164" s="52" t="n">
        <f aca="false">P163*P$7</f>
        <v>2188.20563897845</v>
      </c>
      <c r="Q164" s="52" t="n">
        <f aca="false">Q163*Q$7</f>
        <v>2363.26209009672</v>
      </c>
      <c r="R164" s="52" t="n">
        <f aca="false">R163*R$7</f>
        <v>2275.73386453758</v>
      </c>
      <c r="S164" s="52" t="n">
        <f aca="false">S163*S$7</f>
        <v>1704.06951776574</v>
      </c>
      <c r="T164" s="52" t="n">
        <f aca="false">T163*T$7</f>
        <v>1969.14699830708</v>
      </c>
      <c r="U164" s="52" t="n">
        <f aca="false">U163*U$7</f>
        <v>2150.30852215133</v>
      </c>
      <c r="V164" s="52" t="n">
        <f aca="false">V163*V$7</f>
        <v>2023.33792370049</v>
      </c>
      <c r="W164" s="52" t="n">
        <f aca="false">W163*W$7</f>
        <v>2215.0225691037</v>
      </c>
      <c r="X164" s="52" t="n">
        <f aca="false">X163*X$7</f>
        <v>2188.44229827445</v>
      </c>
      <c r="Y164" s="52" t="n">
        <f aca="false">Y163*Y$7</f>
        <v>2036.40314913117</v>
      </c>
      <c r="Z164" s="52" t="n">
        <f aca="false">Z163*Z$7</f>
        <v>2117.85927509642</v>
      </c>
      <c r="AA164" s="52" t="n">
        <f aca="false">AA163*AA$7</f>
        <v>2414.35957360992</v>
      </c>
      <c r="AB164" s="52" t="n">
        <f aca="false">AB163*AB$7</f>
        <v>3369.93767853343</v>
      </c>
      <c r="AC164" s="52" t="n">
        <f aca="false">AC163*AC$7</f>
        <v>3569.54167949271</v>
      </c>
      <c r="AD164" s="52" t="n">
        <f aca="false">AD163*AD$7</f>
        <v>3371.23380840979</v>
      </c>
      <c r="AE164" s="52" t="n">
        <f aca="false">AE163*AE$7</f>
        <v>2475.83410889615</v>
      </c>
      <c r="AF164" s="52" t="n">
        <f aca="false">AF163*AF$7</f>
        <v>2805.94532341563</v>
      </c>
      <c r="AG164" s="52" t="n">
        <f aca="false">AG163*AG$7</f>
        <v>3005.16744137814</v>
      </c>
      <c r="AH164" s="52" t="n">
        <f aca="false">AH163*AH$7</f>
        <v>2773.34023875754</v>
      </c>
      <c r="AI164" s="52" t="n">
        <f aca="false">AI163*AI$7</f>
        <v>2977.69162477126</v>
      </c>
      <c r="AJ164" s="52" t="n">
        <f aca="false">AJ163*AJ$7</f>
        <v>2885.38318440335</v>
      </c>
      <c r="AK164" s="52" t="n">
        <f aca="false">AK163*AK$7</f>
        <v>2633.29181145021</v>
      </c>
      <c r="AL164" s="52" t="n">
        <f aca="false">AL163*AL$7</f>
        <v>2685.95764767922</v>
      </c>
      <c r="AM164" s="53" t="n">
        <f aca="false">SUMIF($C$6:$AL$6,1,C164:AL164)</f>
        <v>11116.548928761</v>
      </c>
      <c r="AN164" s="53" t="n">
        <f aca="false">SUMIF($C$6:$AL$6,2,C164:AL164)</f>
        <v>24769.3623774904</v>
      </c>
      <c r="AO164" s="53" t="n">
        <f aca="false">SUMIF($C$6:$AL$6,3,C164:AL164)</f>
        <v>34967.6841207974</v>
      </c>
      <c r="AP164" s="53" t="n">
        <f aca="false">SUM(C164:AL164)</f>
        <v>70853.5954270488</v>
      </c>
    </row>
    <row r="165" customFormat="false" ht="15" hidden="false" customHeight="false" outlineLevel="0" collapsed="false">
      <c r="A165" s="7" t="s">
        <v>749</v>
      </c>
      <c r="B165" s="9" t="s">
        <v>88</v>
      </c>
      <c r="C165" s="54" t="n">
        <f aca="false">Assumptions!$D$122*MIN(1,(C$4-Assumptions!$D$117+1)/Assumptions!$C$10)*C162</f>
        <v>0</v>
      </c>
      <c r="D165" s="54" t="n">
        <f aca="false">Assumptions!$D$122*MIN(1,(D$4-Assumptions!$D$117+1)/Assumptions!$C$10)*D162</f>
        <v>0.00833333333333333</v>
      </c>
      <c r="E165" s="54" t="n">
        <f aca="false">Assumptions!$D$122*MIN(1,(E$4-Assumptions!$D$117+1)/Assumptions!$C$10)*E162</f>
        <v>0.0166666666666667</v>
      </c>
      <c r="F165" s="54" t="n">
        <f aca="false">Assumptions!$D$122*MIN(1,(F$4-Assumptions!$D$117+1)/Assumptions!$C$10)*F162</f>
        <v>0.025</v>
      </c>
      <c r="G165" s="54" t="n">
        <f aca="false">Assumptions!$D$122*MIN(1,(G$4-Assumptions!$D$117+1)/Assumptions!$C$10)*G162</f>
        <v>0.0333333333333333</v>
      </c>
      <c r="H165" s="54" t="n">
        <f aca="false">Assumptions!$D$122*MIN(1,(H$4-Assumptions!$D$117+1)/Assumptions!$C$10)*H162</f>
        <v>0.0416666666666667</v>
      </c>
      <c r="I165" s="54" t="n">
        <f aca="false">Assumptions!$D$122*MIN(1,(I$4-Assumptions!$D$117+1)/Assumptions!$C$10)*I162</f>
        <v>0.05</v>
      </c>
      <c r="J165" s="54" t="n">
        <f aca="false">Assumptions!$D$122*MIN(1,(J$4-Assumptions!$D$117+1)/Assumptions!$C$10)*J162</f>
        <v>0.05</v>
      </c>
      <c r="K165" s="54" t="n">
        <f aca="false">Assumptions!$D$122*MIN(1,(K$4-Assumptions!$D$117+1)/Assumptions!$C$10)*K162</f>
        <v>0.05</v>
      </c>
      <c r="L165" s="54" t="n">
        <f aca="false">Assumptions!$D$122*MIN(1,(L$4-Assumptions!$D$117+1)/Assumptions!$C$10)*L162</f>
        <v>0.05</v>
      </c>
      <c r="M165" s="54" t="n">
        <f aca="false">Assumptions!$D$122*MIN(1,(M$4-Assumptions!$D$117+1)/Assumptions!$C$10)*M162</f>
        <v>0.05</v>
      </c>
      <c r="N165" s="54" t="n">
        <f aca="false">Assumptions!$D$122*MIN(1,(N$4-Assumptions!$D$117+1)/Assumptions!$C$10)*N162</f>
        <v>0.05</v>
      </c>
      <c r="O165" s="54" t="n">
        <f aca="false">Assumptions!$D$122*MIN(1,(O$4-Assumptions!$D$117+1)/Assumptions!$C$10)*O162</f>
        <v>0.05</v>
      </c>
      <c r="P165" s="54" t="n">
        <f aca="false">Assumptions!$D$122*MIN(1,(P$4-Assumptions!$D$117+1)/Assumptions!$C$10)*P162</f>
        <v>0.05</v>
      </c>
      <c r="Q165" s="54" t="n">
        <f aca="false">Assumptions!$D$122*MIN(1,(Q$4-Assumptions!$D$117+1)/Assumptions!$C$10)*Q162</f>
        <v>0.05</v>
      </c>
      <c r="R165" s="54" t="n">
        <f aca="false">Assumptions!$D$122*MIN(1,(R$4-Assumptions!$D$117+1)/Assumptions!$C$10)*R162</f>
        <v>0.05</v>
      </c>
      <c r="S165" s="54" t="n">
        <f aca="false">Assumptions!$D$122*MIN(1,(S$4-Assumptions!$D$117+1)/Assumptions!$C$10)*S162</f>
        <v>0.05</v>
      </c>
      <c r="T165" s="54" t="n">
        <f aca="false">Assumptions!$D$122*MIN(1,(T$4-Assumptions!$D$117+1)/Assumptions!$C$10)*T162</f>
        <v>0.05</v>
      </c>
      <c r="U165" s="54" t="n">
        <f aca="false">Assumptions!$D$122*MIN(1,(U$4-Assumptions!$D$117+1)/Assumptions!$C$10)*U162</f>
        <v>0.05</v>
      </c>
      <c r="V165" s="54" t="n">
        <f aca="false">Assumptions!$D$122*MIN(1,(V$4-Assumptions!$D$117+1)/Assumptions!$C$10)*V162</f>
        <v>0.05</v>
      </c>
      <c r="W165" s="54" t="n">
        <f aca="false">Assumptions!$D$122*MIN(1,(W$4-Assumptions!$D$117+1)/Assumptions!$C$10)*W162</f>
        <v>0.05</v>
      </c>
      <c r="X165" s="54" t="n">
        <f aca="false">Assumptions!$D$122*MIN(1,(X$4-Assumptions!$D$117+1)/Assumptions!$C$10)*X162</f>
        <v>0.05</v>
      </c>
      <c r="Y165" s="54" t="n">
        <f aca="false">Assumptions!$D$122*MIN(1,(Y$4-Assumptions!$D$117+1)/Assumptions!$C$10)*Y162</f>
        <v>0.05</v>
      </c>
      <c r="Z165" s="54" t="n">
        <f aca="false">Assumptions!$D$122*MIN(1,(Z$4-Assumptions!$D$117+1)/Assumptions!$C$10)*Z162</f>
        <v>0.05</v>
      </c>
      <c r="AA165" s="54" t="n">
        <f aca="false">Assumptions!$D$122*MIN(1,(AA$4-Assumptions!$D$117+1)/Assumptions!$C$10)*AA162</f>
        <v>0.05</v>
      </c>
      <c r="AB165" s="54" t="n">
        <f aca="false">Assumptions!$D$122*MIN(1,(AB$4-Assumptions!$D$117+1)/Assumptions!$C$10)*AB162</f>
        <v>0.05</v>
      </c>
      <c r="AC165" s="54" t="n">
        <f aca="false">Assumptions!$D$122*MIN(1,(AC$4-Assumptions!$D$117+1)/Assumptions!$C$10)*AC162</f>
        <v>0.05</v>
      </c>
      <c r="AD165" s="54" t="n">
        <f aca="false">Assumptions!$D$122*MIN(1,(AD$4-Assumptions!$D$117+1)/Assumptions!$C$10)*AD162</f>
        <v>0.05</v>
      </c>
      <c r="AE165" s="54" t="n">
        <f aca="false">Assumptions!$D$122*MIN(1,(AE$4-Assumptions!$D$117+1)/Assumptions!$C$10)*AE162</f>
        <v>0.05</v>
      </c>
      <c r="AF165" s="54" t="n">
        <f aca="false">Assumptions!$D$122*MIN(1,(AF$4-Assumptions!$D$117+1)/Assumptions!$C$10)*AF162</f>
        <v>0.05</v>
      </c>
      <c r="AG165" s="54" t="n">
        <f aca="false">Assumptions!$D$122*MIN(1,(AG$4-Assumptions!$D$117+1)/Assumptions!$C$10)*AG162</f>
        <v>0.05</v>
      </c>
      <c r="AH165" s="54" t="n">
        <f aca="false">Assumptions!$D$122*MIN(1,(AH$4-Assumptions!$D$117+1)/Assumptions!$C$10)*AH162</f>
        <v>0.05</v>
      </c>
      <c r="AI165" s="54" t="n">
        <f aca="false">Assumptions!$D$122*MIN(1,(AI$4-Assumptions!$D$117+1)/Assumptions!$C$10)*AI162</f>
        <v>0.05</v>
      </c>
      <c r="AJ165" s="54" t="n">
        <f aca="false">Assumptions!$D$122*MIN(1,(AJ$4-Assumptions!$D$117+1)/Assumptions!$C$10)*AJ162</f>
        <v>0.05</v>
      </c>
      <c r="AK165" s="54" t="n">
        <f aca="false">Assumptions!$D$122*MIN(1,(AK$4-Assumptions!$D$117+1)/Assumptions!$C$10)*AK162</f>
        <v>0.05</v>
      </c>
      <c r="AL165" s="54" t="n">
        <f aca="false">Assumptions!$D$122*MIN(1,(AL$4-Assumptions!$D$117+1)/Assumptions!$C$10)*AL162</f>
        <v>0.05</v>
      </c>
    </row>
    <row r="166" customFormat="false" ht="15" hidden="false" customHeight="false" outlineLevel="0" collapsed="false">
      <c r="A166" s="7" t="s">
        <v>757</v>
      </c>
      <c r="B166" s="9" t="s">
        <v>751</v>
      </c>
      <c r="C166" s="55" t="n">
        <f aca="false">C164*C165</f>
        <v>0</v>
      </c>
      <c r="D166" s="55" t="n">
        <f aca="false">D164*D165</f>
        <v>6.5</v>
      </c>
      <c r="E166" s="55" t="n">
        <f aca="false">E164*E165</f>
        <v>14.85</v>
      </c>
      <c r="F166" s="55" t="n">
        <f aca="false">F164*F165</f>
        <v>22.6875</v>
      </c>
      <c r="G166" s="55" t="n">
        <f aca="false">G164*G165</f>
        <v>23.958</v>
      </c>
      <c r="H166" s="55" t="n">
        <f aca="false">H164*H165</f>
        <v>36.6025</v>
      </c>
      <c r="I166" s="55" t="n">
        <f aca="false">I164*I165</f>
        <v>50.731065</v>
      </c>
      <c r="J166" s="55" t="n">
        <f aca="false">J164*J165</f>
        <v>50.4894885</v>
      </c>
      <c r="K166" s="55" t="n">
        <f aca="false">K164*K165</f>
        <v>58.461513</v>
      </c>
      <c r="L166" s="55" t="n">
        <f aca="false">L164*L165</f>
        <v>61.092281085</v>
      </c>
      <c r="M166" s="55" t="n">
        <f aca="false">M164*M165</f>
        <v>60.1276661205</v>
      </c>
      <c r="N166" s="55" t="n">
        <f aca="false">N164*N165</f>
        <v>66.14043273255</v>
      </c>
      <c r="O166" s="55" t="n">
        <f aca="false">O164*O165</f>
        <v>76.8785265173641</v>
      </c>
      <c r="P166" s="55" t="n">
        <f aca="false">P164*P165</f>
        <v>109.410281948922</v>
      </c>
      <c r="Q166" s="55" t="n">
        <f aca="false">Q164*Q165</f>
        <v>118.163104504836</v>
      </c>
      <c r="R166" s="55" t="n">
        <f aca="false">R164*R165</f>
        <v>113.786693226879</v>
      </c>
      <c r="S166" s="55" t="n">
        <f aca="false">S164*S165</f>
        <v>85.2034758882872</v>
      </c>
      <c r="T166" s="55" t="n">
        <f aca="false">T164*T165</f>
        <v>98.457349915354</v>
      </c>
      <c r="U166" s="55" t="n">
        <f aca="false">U164*U165</f>
        <v>107.515426107567</v>
      </c>
      <c r="V166" s="55" t="n">
        <f aca="false">V164*V165</f>
        <v>101.166896185025</v>
      </c>
      <c r="W166" s="55" t="n">
        <f aca="false">W164*W165</f>
        <v>110.751128455185</v>
      </c>
      <c r="X166" s="55" t="n">
        <f aca="false">X164*X165</f>
        <v>109.422114913723</v>
      </c>
      <c r="Y166" s="55" t="n">
        <f aca="false">Y164*Y165</f>
        <v>101.820157456559</v>
      </c>
      <c r="Z166" s="55" t="n">
        <f aca="false">Z164*Z165</f>
        <v>105.892963754821</v>
      </c>
      <c r="AA166" s="55" t="n">
        <f aca="false">AA164*AA165</f>
        <v>120.717978680496</v>
      </c>
      <c r="AB166" s="55" t="n">
        <f aca="false">AB164*AB165</f>
        <v>168.496883926671</v>
      </c>
      <c r="AC166" s="55" t="n">
        <f aca="false">AC164*AC165</f>
        <v>178.477083974636</v>
      </c>
      <c r="AD166" s="55" t="n">
        <f aca="false">AD164*AD165</f>
        <v>168.561690420489</v>
      </c>
      <c r="AE166" s="55" t="n">
        <f aca="false">AE164*AE165</f>
        <v>123.791705444807</v>
      </c>
      <c r="AF166" s="55" t="n">
        <f aca="false">AF164*AF165</f>
        <v>140.297266170782</v>
      </c>
      <c r="AG166" s="55" t="n">
        <f aca="false">AG164*AG165</f>
        <v>150.258372068907</v>
      </c>
      <c r="AH166" s="55" t="n">
        <f aca="false">AH164*AH165</f>
        <v>138.667011937877</v>
      </c>
      <c r="AI166" s="55" t="n">
        <f aca="false">AI164*AI165</f>
        <v>148.884581238563</v>
      </c>
      <c r="AJ166" s="55" t="n">
        <f aca="false">AJ164*AJ165</f>
        <v>144.269159220167</v>
      </c>
      <c r="AK166" s="55" t="n">
        <f aca="false">AK164*AK165</f>
        <v>131.664590572511</v>
      </c>
      <c r="AL166" s="55" t="n">
        <f aca="false">AL164*AL165</f>
        <v>134.297882383961</v>
      </c>
      <c r="AM166" s="53" t="n">
        <f aca="false">SUMIF($C$6:$AL$6,1,C166:AL166)</f>
        <v>451.64044643805</v>
      </c>
      <c r="AN166" s="53" t="n">
        <f aca="false">SUMIF($C$6:$AL$6,2,C166:AL166)</f>
        <v>1238.46811887452</v>
      </c>
      <c r="AO166" s="53" t="n">
        <f aca="false">SUMIF($C$6:$AL$6,3,C166:AL166)</f>
        <v>1748.38420603987</v>
      </c>
      <c r="AP166" s="53" t="n">
        <f aca="false">SUM(C166:AL166)</f>
        <v>3438.49277135244</v>
      </c>
    </row>
    <row r="167" customFormat="false" ht="15" hidden="false" customHeight="false" outlineLevel="0" collapsed="false">
      <c r="A167" s="7" t="s">
        <v>752</v>
      </c>
      <c r="B167" s="9" t="s">
        <v>331</v>
      </c>
      <c r="C167" s="56" t="n">
        <f aca="false">C166*Assumptions!$D$123</f>
        <v>0</v>
      </c>
      <c r="D167" s="56" t="n">
        <f aca="false">D166*Assumptions!$D$123</f>
        <v>6.825</v>
      </c>
      <c r="E167" s="56" t="n">
        <f aca="false">E166*Assumptions!$D$123</f>
        <v>15.5925</v>
      </c>
      <c r="F167" s="56" t="n">
        <f aca="false">F166*Assumptions!$D$123</f>
        <v>23.821875</v>
      </c>
      <c r="G167" s="56" t="n">
        <f aca="false">G166*Assumptions!$D$123</f>
        <v>25.1559</v>
      </c>
      <c r="H167" s="56" t="n">
        <f aca="false">H166*Assumptions!$D$123</f>
        <v>38.432625</v>
      </c>
      <c r="I167" s="56" t="n">
        <f aca="false">I166*Assumptions!$D$123</f>
        <v>53.26761825</v>
      </c>
      <c r="J167" s="56" t="n">
        <f aca="false">J166*Assumptions!$D$123</f>
        <v>53.013962925</v>
      </c>
      <c r="K167" s="56" t="n">
        <f aca="false">K166*Assumptions!$D$123</f>
        <v>61.38458865</v>
      </c>
      <c r="L167" s="56" t="n">
        <f aca="false">L166*Assumptions!$D$123</f>
        <v>64.14689513925</v>
      </c>
      <c r="M167" s="56" t="n">
        <f aca="false">M166*Assumptions!$D$123</f>
        <v>63.134049426525</v>
      </c>
      <c r="N167" s="56" t="n">
        <f aca="false">N166*Assumptions!$D$123</f>
        <v>69.4474543691776</v>
      </c>
      <c r="O167" s="56" t="n">
        <f aca="false">O166*Assumptions!$D$123</f>
        <v>80.7224528432323</v>
      </c>
      <c r="P167" s="56" t="n">
        <f aca="false">P166*Assumptions!$D$123</f>
        <v>114.880796046368</v>
      </c>
      <c r="Q167" s="56" t="n">
        <f aca="false">Q166*Assumptions!$D$123</f>
        <v>124.071259730078</v>
      </c>
      <c r="R167" s="56" t="n">
        <f aca="false">R166*Assumptions!$D$123</f>
        <v>119.476027888223</v>
      </c>
      <c r="S167" s="56" t="n">
        <f aca="false">S166*Assumptions!$D$123</f>
        <v>89.4636496827015</v>
      </c>
      <c r="T167" s="56" t="n">
        <f aca="false">T166*Assumptions!$D$123</f>
        <v>103.380217411122</v>
      </c>
      <c r="U167" s="56" t="n">
        <f aca="false">U166*Assumptions!$D$123</f>
        <v>112.891197412945</v>
      </c>
      <c r="V167" s="56" t="n">
        <f aca="false">V166*Assumptions!$D$123</f>
        <v>106.225240994276</v>
      </c>
      <c r="W167" s="56" t="n">
        <f aca="false">W166*Assumptions!$D$123</f>
        <v>116.288684877944</v>
      </c>
      <c r="X167" s="56" t="n">
        <f aca="false">X166*Assumptions!$D$123</f>
        <v>114.893220659409</v>
      </c>
      <c r="Y167" s="56" t="n">
        <f aca="false">Y166*Assumptions!$D$123</f>
        <v>106.911165329387</v>
      </c>
      <c r="Z167" s="56" t="n">
        <f aca="false">Z166*Assumptions!$D$123</f>
        <v>111.187611942562</v>
      </c>
      <c r="AA167" s="56" t="n">
        <f aca="false">AA166*Assumptions!$D$123</f>
        <v>126.753877614521</v>
      </c>
      <c r="AB167" s="56" t="n">
        <f aca="false">AB166*Assumptions!$D$123</f>
        <v>176.921728123005</v>
      </c>
      <c r="AC167" s="56" t="n">
        <f aca="false">AC166*Assumptions!$D$123</f>
        <v>187.400938173367</v>
      </c>
      <c r="AD167" s="56" t="n">
        <f aca="false">AD166*Assumptions!$D$123</f>
        <v>176.989774941514</v>
      </c>
      <c r="AE167" s="56" t="n">
        <f aca="false">AE166*Assumptions!$D$123</f>
        <v>129.981290717048</v>
      </c>
      <c r="AF167" s="56" t="n">
        <f aca="false">AF166*Assumptions!$D$123</f>
        <v>147.312129479321</v>
      </c>
      <c r="AG167" s="56" t="n">
        <f aca="false">AG166*Assumptions!$D$123</f>
        <v>157.771290672353</v>
      </c>
      <c r="AH167" s="56" t="n">
        <f aca="false">AH166*Assumptions!$D$123</f>
        <v>145.600362534771</v>
      </c>
      <c r="AI167" s="56" t="n">
        <f aca="false">AI166*Assumptions!$D$123</f>
        <v>156.328810300491</v>
      </c>
      <c r="AJ167" s="56" t="n">
        <f aca="false">AJ166*Assumptions!$D$123</f>
        <v>151.482617181176</v>
      </c>
      <c r="AK167" s="56" t="n">
        <f aca="false">AK166*Assumptions!$D$123</f>
        <v>138.247820101136</v>
      </c>
      <c r="AL167" s="56" t="n">
        <f aca="false">AL166*Assumptions!$D$123</f>
        <v>141.012776503159</v>
      </c>
      <c r="AM167" s="53" t="n">
        <f aca="false">SUMIF($C$6:$AL$6,1,C167:AL167)</f>
        <v>474.222468759953</v>
      </c>
      <c r="AN167" s="53" t="n">
        <f aca="false">SUMIF($C$6:$AL$6,2,C167:AL167)</f>
        <v>1300.39152481825</v>
      </c>
      <c r="AO167" s="53" t="n">
        <f aca="false">SUMIF($C$6:$AL$6,3,C167:AL167)</f>
        <v>1835.80341634186</v>
      </c>
      <c r="AP167" s="53" t="n">
        <f aca="false">SUM(C167:AL167)</f>
        <v>3610.41740992006</v>
      </c>
    </row>
    <row r="168" customFormat="false" ht="15" hidden="false" customHeight="false" outlineLevel="0" collapsed="false">
      <c r="A168" s="7" t="s">
        <v>753</v>
      </c>
      <c r="B168" s="9" t="s">
        <v>93</v>
      </c>
      <c r="C168" s="15" t="n">
        <f aca="false">'Unit Economics'!$E$52*Assumptions!$D$123*C162</f>
        <v>0</v>
      </c>
      <c r="D168" s="15" t="n">
        <f aca="false">'Unit Economics'!$E$52*Assumptions!$D$123*D162</f>
        <v>15.2145</v>
      </c>
      <c r="E168" s="15" t="n">
        <f aca="false">'Unit Economics'!$E$52*Assumptions!$D$123*E162</f>
        <v>15.2145</v>
      </c>
      <c r="F168" s="15" t="n">
        <f aca="false">'Unit Economics'!$E$52*Assumptions!$D$123*F162</f>
        <v>15.2145</v>
      </c>
      <c r="G168" s="15" t="n">
        <f aca="false">'Unit Economics'!$E$52*Assumptions!$D$123*G162</f>
        <v>15.2145</v>
      </c>
      <c r="H168" s="15" t="n">
        <f aca="false">'Unit Economics'!$E$52*Assumptions!$D$123*H162</f>
        <v>15.2145</v>
      </c>
      <c r="I168" s="15" t="n">
        <f aca="false">'Unit Economics'!$E$52*Assumptions!$D$123*I162</f>
        <v>15.2145</v>
      </c>
      <c r="J168" s="15" t="n">
        <f aca="false">'Unit Economics'!$E$52*Assumptions!$D$123*J162</f>
        <v>15.2145</v>
      </c>
      <c r="K168" s="15" t="n">
        <f aca="false">'Unit Economics'!$E$52*Assumptions!$D$123*K162</f>
        <v>15.2145</v>
      </c>
      <c r="L168" s="15" t="n">
        <f aca="false">'Unit Economics'!$E$52*Assumptions!$D$123*L162</f>
        <v>15.2145</v>
      </c>
      <c r="M168" s="15" t="n">
        <f aca="false">'Unit Economics'!$E$52*Assumptions!$D$123*M162</f>
        <v>15.2145</v>
      </c>
      <c r="N168" s="15" t="n">
        <f aca="false">'Unit Economics'!$E$52*Assumptions!$D$123*N162</f>
        <v>15.2145</v>
      </c>
      <c r="O168" s="15" t="n">
        <f aca="false">'Unit Economics'!$E$52*Assumptions!$D$123*O162</f>
        <v>15.2145</v>
      </c>
      <c r="P168" s="15" t="n">
        <f aca="false">'Unit Economics'!$E$52*Assumptions!$D$123*P162</f>
        <v>15.2145</v>
      </c>
      <c r="Q168" s="15" t="n">
        <f aca="false">'Unit Economics'!$E$52*Assumptions!$D$123*Q162</f>
        <v>15.2145</v>
      </c>
      <c r="R168" s="15" t="n">
        <f aca="false">'Unit Economics'!$E$52*Assumptions!$D$123*R162</f>
        <v>15.2145</v>
      </c>
      <c r="S168" s="15" t="n">
        <f aca="false">'Unit Economics'!$E$52*Assumptions!$D$123*S162</f>
        <v>15.2145</v>
      </c>
      <c r="T168" s="15" t="n">
        <f aca="false">'Unit Economics'!$E$52*Assumptions!$D$123*T162</f>
        <v>15.2145</v>
      </c>
      <c r="U168" s="15" t="n">
        <f aca="false">'Unit Economics'!$E$52*Assumptions!$D$123*U162</f>
        <v>15.2145</v>
      </c>
      <c r="V168" s="15" t="n">
        <f aca="false">'Unit Economics'!$E$52*Assumptions!$D$123*V162</f>
        <v>15.2145</v>
      </c>
      <c r="W168" s="15" t="n">
        <f aca="false">'Unit Economics'!$E$52*Assumptions!$D$123*W162</f>
        <v>15.2145</v>
      </c>
      <c r="X168" s="15" t="n">
        <f aca="false">'Unit Economics'!$E$52*Assumptions!$D$123*X162</f>
        <v>15.2145</v>
      </c>
      <c r="Y168" s="15" t="n">
        <f aca="false">'Unit Economics'!$E$52*Assumptions!$D$123*Y162</f>
        <v>15.2145</v>
      </c>
      <c r="Z168" s="15" t="n">
        <f aca="false">'Unit Economics'!$E$52*Assumptions!$D$123*Z162</f>
        <v>15.2145</v>
      </c>
      <c r="AA168" s="15" t="n">
        <f aca="false">'Unit Economics'!$E$52*Assumptions!$D$123*AA162</f>
        <v>15.2145</v>
      </c>
      <c r="AB168" s="15" t="n">
        <f aca="false">'Unit Economics'!$E$52*Assumptions!$D$123*AB162</f>
        <v>15.2145</v>
      </c>
      <c r="AC168" s="15" t="n">
        <f aca="false">'Unit Economics'!$E$52*Assumptions!$D$123*AC162</f>
        <v>15.2145</v>
      </c>
      <c r="AD168" s="15" t="n">
        <f aca="false">'Unit Economics'!$E$52*Assumptions!$D$123*AD162</f>
        <v>15.2145</v>
      </c>
      <c r="AE168" s="15" t="n">
        <f aca="false">'Unit Economics'!$E$52*Assumptions!$D$123*AE162</f>
        <v>15.2145</v>
      </c>
      <c r="AF168" s="15" t="n">
        <f aca="false">'Unit Economics'!$E$52*Assumptions!$D$123*AF162</f>
        <v>15.2145</v>
      </c>
      <c r="AG168" s="15" t="n">
        <f aca="false">'Unit Economics'!$E$52*Assumptions!$D$123*AG162</f>
        <v>15.2145</v>
      </c>
      <c r="AH168" s="15" t="n">
        <f aca="false">'Unit Economics'!$E$52*Assumptions!$D$123*AH162</f>
        <v>15.2145</v>
      </c>
      <c r="AI168" s="15" t="n">
        <f aca="false">'Unit Economics'!$E$52*Assumptions!$D$123*AI162</f>
        <v>15.2145</v>
      </c>
      <c r="AJ168" s="15" t="n">
        <f aca="false">'Unit Economics'!$E$52*Assumptions!$D$123*AJ162</f>
        <v>15.2145</v>
      </c>
      <c r="AK168" s="15" t="n">
        <f aca="false">'Unit Economics'!$E$52*Assumptions!$D$123*AK162</f>
        <v>15.2145</v>
      </c>
      <c r="AL168" s="15" t="n">
        <f aca="false">'Unit Economics'!$E$52*Assumptions!$D$123*AL162</f>
        <v>15.2145</v>
      </c>
    </row>
    <row r="169" customFormat="false" ht="15" hidden="false" customHeight="false" outlineLevel="0" collapsed="false">
      <c r="A169" s="7" t="s">
        <v>754</v>
      </c>
      <c r="B169" s="9" t="s">
        <v>93</v>
      </c>
      <c r="C169" s="8" t="n">
        <f aca="false">C167*'Unit Economics'!$E$52</f>
        <v>0</v>
      </c>
      <c r="D169" s="8" t="n">
        <f aca="false">D167*'Unit Economics'!$E$52</f>
        <v>98.89425</v>
      </c>
      <c r="E169" s="8" t="n">
        <f aca="false">E167*'Unit Economics'!$E$52</f>
        <v>225.935325</v>
      </c>
      <c r="F169" s="8" t="n">
        <f aca="false">F167*'Unit Economics'!$E$52</f>
        <v>345.17896875</v>
      </c>
      <c r="G169" s="8" t="n">
        <f aca="false">G167*'Unit Economics'!$E$52</f>
        <v>364.508991</v>
      </c>
      <c r="H169" s="8" t="n">
        <f aca="false">H167*'Unit Economics'!$E$52</f>
        <v>556.88873625</v>
      </c>
      <c r="I169" s="8" t="n">
        <f aca="false">I167*'Unit Economics'!$E$52</f>
        <v>771.847788442501</v>
      </c>
      <c r="J169" s="8" t="n">
        <f aca="false">J167*'Unit Economics'!$E$52</f>
        <v>768.17232278325</v>
      </c>
      <c r="K169" s="8" t="n">
        <f aca="false">K167*'Unit Economics'!$E$52</f>
        <v>889.4626895385</v>
      </c>
      <c r="L169" s="8" t="n">
        <f aca="false">L167*'Unit Economics'!$E$52</f>
        <v>929.488510567733</v>
      </c>
      <c r="M169" s="8" t="n">
        <f aca="false">M167*'Unit Economics'!$E$52</f>
        <v>914.812376190348</v>
      </c>
      <c r="N169" s="8" t="n">
        <f aca="false">N167*'Unit Economics'!$E$52</f>
        <v>1006.29361380938</v>
      </c>
      <c r="O169" s="8" t="n">
        <f aca="false">O167*'Unit Economics'!$E$52</f>
        <v>1169.66834169844</v>
      </c>
      <c r="P169" s="8" t="n">
        <f aca="false">P167*'Unit Economics'!$E$52</f>
        <v>1664.62273471188</v>
      </c>
      <c r="Q169" s="8" t="n">
        <f aca="false">Q167*'Unit Economics'!$E$52</f>
        <v>1797.79255348883</v>
      </c>
      <c r="R169" s="8" t="n">
        <f aca="false">R167*'Unit Economics'!$E$52</f>
        <v>1731.20764410035</v>
      </c>
      <c r="S169" s="8" t="n">
        <f aca="false">S167*'Unit Economics'!$E$52</f>
        <v>1296.32828390235</v>
      </c>
      <c r="T169" s="8" t="n">
        <f aca="false">T167*'Unit Economics'!$E$52</f>
        <v>1497.97935028715</v>
      </c>
      <c r="U169" s="8" t="n">
        <f aca="false">U167*'Unit Economics'!$E$52</f>
        <v>1635.79345051357</v>
      </c>
      <c r="V169" s="8" t="n">
        <f aca="false">V167*'Unit Economics'!$E$52</f>
        <v>1539.20374200706</v>
      </c>
      <c r="W169" s="8" t="n">
        <f aca="false">W167*'Unit Economics'!$E$52</f>
        <v>1685.02304388141</v>
      </c>
      <c r="X169" s="8" t="n">
        <f aca="false">X167*'Unit Economics'!$E$52</f>
        <v>1664.80276735483</v>
      </c>
      <c r="Y169" s="8" t="n">
        <f aca="false">Y167*'Unit Economics'!$E$52</f>
        <v>1549.14278562281</v>
      </c>
      <c r="Z169" s="8" t="n">
        <f aca="false">Z167*'Unit Economics'!$E$52</f>
        <v>1611.10849704773</v>
      </c>
      <c r="AA169" s="8" t="n">
        <f aca="false">AA167*'Unit Economics'!$E$52</f>
        <v>1836.66368663441</v>
      </c>
      <c r="AB169" s="8" t="n">
        <f aca="false">AB167*'Unit Economics'!$E$52</f>
        <v>2563.59584050234</v>
      </c>
      <c r="AC169" s="8" t="n">
        <f aca="false">AC167*'Unit Economics'!$E$52</f>
        <v>2715.4395941321</v>
      </c>
      <c r="AD169" s="8" t="n">
        <f aca="false">AD167*'Unit Economics'!$E$52</f>
        <v>2564.58183890253</v>
      </c>
      <c r="AE169" s="8" t="n">
        <f aca="false">AE167*'Unit Economics'!$E$52</f>
        <v>1883.42890249002</v>
      </c>
      <c r="AF169" s="8" t="n">
        <f aca="false">AF167*'Unit Economics'!$E$52</f>
        <v>2134.55275615536</v>
      </c>
      <c r="AG169" s="8" t="n">
        <f aca="false">AG167*'Unit Economics'!$E$52</f>
        <v>2286.10600184239</v>
      </c>
      <c r="AH169" s="8" t="n">
        <f aca="false">AH167*'Unit Economics'!$E$52</f>
        <v>2109.74925312883</v>
      </c>
      <c r="AI169" s="8" t="n">
        <f aca="false">AI167*'Unit Economics'!$E$52</f>
        <v>2265.20446125411</v>
      </c>
      <c r="AJ169" s="8" t="n">
        <f aca="false">AJ167*'Unit Economics'!$E$52</f>
        <v>2194.98312295524</v>
      </c>
      <c r="AK169" s="8" t="n">
        <f aca="false">AK167*'Unit Economics'!$E$52</f>
        <v>2003.21091326546</v>
      </c>
      <c r="AL169" s="8" t="n">
        <f aca="false">AL167*'Unit Economics'!$E$52</f>
        <v>2043.27513153077</v>
      </c>
      <c r="AM169" s="45" t="n">
        <f aca="false">SUMIF($C$6:$AL$6,1,C169:AL169)</f>
        <v>6871.48357233172</v>
      </c>
      <c r="AN169" s="45" t="n">
        <f aca="false">SUMIF($C$6:$AL$6,2,C169:AL169)</f>
        <v>18842.6731946164</v>
      </c>
      <c r="AO169" s="45" t="n">
        <f aca="false">SUMIF($C$6:$AL$6,3,C169:AL169)</f>
        <v>26600.7915027936</v>
      </c>
      <c r="AP169" s="45" t="n">
        <f aca="false">SUM(C169:AL169)</f>
        <v>52314.9482697417</v>
      </c>
    </row>
    <row r="170" customFormat="false" ht="15" hidden="false" customHeight="false" outlineLevel="0" collapsed="false">
      <c r="A170" s="7" t="s">
        <v>755</v>
      </c>
      <c r="B170" s="9" t="s">
        <v>93</v>
      </c>
      <c r="C170" s="8" t="n">
        <f aca="false">C167*'Unit Economics'!$F$52</f>
        <v>0</v>
      </c>
      <c r="D170" s="8" t="n">
        <f aca="false">D167*'Unit Economics'!$F$52</f>
        <v>41.50965</v>
      </c>
      <c r="E170" s="8" t="n">
        <f aca="false">E167*'Unit Economics'!$F$52</f>
        <v>94.833585</v>
      </c>
      <c r="F170" s="8" t="n">
        <f aca="false">F167*'Unit Economics'!$F$52</f>
        <v>144.88464375</v>
      </c>
      <c r="G170" s="8" t="n">
        <f aca="false">G167*'Unit Economics'!$F$52</f>
        <v>152.9981838</v>
      </c>
      <c r="H170" s="8" t="n">
        <f aca="false">H167*'Unit Economics'!$F$52</f>
        <v>233.74722525</v>
      </c>
      <c r="I170" s="8" t="n">
        <f aca="false">I167*'Unit Economics'!$F$52</f>
        <v>323.9736541965</v>
      </c>
      <c r="J170" s="8" t="n">
        <f aca="false">J167*'Unit Economics'!$F$52</f>
        <v>322.43092250985</v>
      </c>
      <c r="K170" s="8" t="n">
        <f aca="false">K167*'Unit Economics'!$F$52</f>
        <v>373.3410681693</v>
      </c>
      <c r="L170" s="8" t="n">
        <f aca="false">L167*'Unit Economics'!$F$52</f>
        <v>390.141416236919</v>
      </c>
      <c r="M170" s="8" t="n">
        <f aca="false">M167*'Unit Economics'!$F$52</f>
        <v>383.981288612125</v>
      </c>
      <c r="N170" s="8" t="n">
        <f aca="false">N167*'Unit Economics'!$F$52</f>
        <v>422.379417473338</v>
      </c>
      <c r="O170" s="8" t="n">
        <f aca="false">O167*'Unit Economics'!$F$52</f>
        <v>490.953958192539</v>
      </c>
      <c r="P170" s="8" t="n">
        <f aca="false">P167*'Unit Economics'!$F$52</f>
        <v>698.705001554013</v>
      </c>
      <c r="Q170" s="8" t="n">
        <f aca="false">Q167*'Unit Economics'!$F$52</f>
        <v>754.601401678334</v>
      </c>
      <c r="R170" s="8" t="n">
        <f aca="false">R167*'Unit Economics'!$F$52</f>
        <v>726.653201616173</v>
      </c>
      <c r="S170" s="8" t="n">
        <f aca="false">S167*'Unit Economics'!$F$52</f>
        <v>544.117917370191</v>
      </c>
      <c r="T170" s="8" t="n">
        <f aca="false">T167*'Unit Economics'!$F$52</f>
        <v>628.758482294442</v>
      </c>
      <c r="U170" s="8" t="n">
        <f aca="false">U167*'Unit Economics'!$F$52</f>
        <v>686.604262665531</v>
      </c>
      <c r="V170" s="8" t="n">
        <f aca="false">V167*'Unit Economics'!$F$52</f>
        <v>646.061915727186</v>
      </c>
      <c r="W170" s="8" t="n">
        <f aca="false">W167*'Unit Economics'!$F$52</f>
        <v>707.267781427656</v>
      </c>
      <c r="X170" s="8" t="n">
        <f aca="false">X167*'Unit Economics'!$F$52</f>
        <v>698.780568050524</v>
      </c>
      <c r="Y170" s="8" t="n">
        <f aca="false">Y167*'Unit Economics'!$F$52</f>
        <v>650.23370753333</v>
      </c>
      <c r="Z170" s="8" t="n">
        <f aca="false">Z167*'Unit Economics'!$F$52</f>
        <v>676.243055834663</v>
      </c>
      <c r="AA170" s="8" t="n">
        <f aca="false">AA167*'Unit Economics'!$F$52</f>
        <v>770.917083651516</v>
      </c>
      <c r="AB170" s="8" t="n">
        <f aca="false">AB167*'Unit Economics'!$F$52</f>
        <v>1076.03795044412</v>
      </c>
      <c r="AC170" s="8" t="n">
        <f aca="false">AC167*'Unit Economics'!$F$52</f>
        <v>1139.77250597042</v>
      </c>
      <c r="AD170" s="8" t="n">
        <f aca="false">AD167*'Unit Economics'!$F$52</f>
        <v>1076.45181119429</v>
      </c>
      <c r="AE170" s="8" t="n">
        <f aca="false">AE167*'Unit Economics'!$F$52</f>
        <v>790.546210141084</v>
      </c>
      <c r="AF170" s="8" t="n">
        <f aca="false">AF167*'Unit Economics'!$F$52</f>
        <v>895.952371493228</v>
      </c>
      <c r="AG170" s="8" t="n">
        <f aca="false">AG167*'Unit Economics'!$F$52</f>
        <v>959.564989869248</v>
      </c>
      <c r="AH170" s="8" t="n">
        <f aca="false">AH167*'Unit Economics'!$F$52</f>
        <v>885.541404936477</v>
      </c>
      <c r="AI170" s="8" t="n">
        <f aca="false">AI167*'Unit Economics'!$F$52</f>
        <v>950.791824247586</v>
      </c>
      <c r="AJ170" s="8" t="n">
        <f aca="false">AJ167*'Unit Economics'!$F$52</f>
        <v>921.317277695911</v>
      </c>
      <c r="AK170" s="8" t="n">
        <f aca="false">AK167*'Unit Economics'!$F$52</f>
        <v>840.82324185511</v>
      </c>
      <c r="AL170" s="8" t="n">
        <f aca="false">AL167*'Unit Economics'!$F$52</f>
        <v>857.639706692213</v>
      </c>
      <c r="AM170" s="45" t="n">
        <f aca="false">SUMIF($C$6:$AL$6,1,C170:AL170)</f>
        <v>2884.22105499803</v>
      </c>
      <c r="AN170" s="45" t="n">
        <f aca="false">SUMIF($C$6:$AL$6,2,C170:AL170)</f>
        <v>7908.98125394458</v>
      </c>
      <c r="AO170" s="45" t="n">
        <f aca="false">SUMIF($C$6:$AL$6,3,C170:AL170)</f>
        <v>11165.3563781912</v>
      </c>
      <c r="AP170" s="45" t="n">
        <f aca="false">SUM(C170:AL170)</f>
        <v>21958.5586871338</v>
      </c>
    </row>
    <row r="171" customFormat="false" ht="15" hidden="false" customHeight="false" outlineLevel="0" collapsed="false">
      <c r="A171" s="5" t="s">
        <v>563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</row>
    <row r="172" customFormat="false" ht="15" hidden="false" customHeight="false" outlineLevel="0" collapsed="false">
      <c r="A172" s="7" t="s">
        <v>746</v>
      </c>
      <c r="B172" s="9" t="s">
        <v>308</v>
      </c>
      <c r="C172" s="37" t="n">
        <f aca="false">IF(AND(Assumptions!$D$125=1,C$4&gt;=Assumptions!$D$126),1,0)</f>
        <v>0</v>
      </c>
      <c r="D172" s="37" t="n">
        <f aca="false">IF(AND(Assumptions!$D$125=1,D$4&gt;=Assumptions!$D$126),1,0)</f>
        <v>0</v>
      </c>
      <c r="E172" s="37" t="n">
        <f aca="false">IF(AND(Assumptions!$D$125=1,E$4&gt;=Assumptions!$D$126),1,0)</f>
        <v>1</v>
      </c>
      <c r="F172" s="37" t="n">
        <f aca="false">IF(AND(Assumptions!$D$125=1,F$4&gt;=Assumptions!$D$126),1,0)</f>
        <v>1</v>
      </c>
      <c r="G172" s="37" t="n">
        <f aca="false">IF(AND(Assumptions!$D$125=1,G$4&gt;=Assumptions!$D$126),1,0)</f>
        <v>1</v>
      </c>
      <c r="H172" s="37" t="n">
        <f aca="false">IF(AND(Assumptions!$D$125=1,H$4&gt;=Assumptions!$D$126),1,0)</f>
        <v>1</v>
      </c>
      <c r="I172" s="37" t="n">
        <f aca="false">IF(AND(Assumptions!$D$125=1,I$4&gt;=Assumptions!$D$126),1,0)</f>
        <v>1</v>
      </c>
      <c r="J172" s="37" t="n">
        <f aca="false">IF(AND(Assumptions!$D$125=1,J$4&gt;=Assumptions!$D$126),1,0)</f>
        <v>1</v>
      </c>
      <c r="K172" s="37" t="n">
        <f aca="false">IF(AND(Assumptions!$D$125=1,K$4&gt;=Assumptions!$D$126),1,0)</f>
        <v>1</v>
      </c>
      <c r="L172" s="37" t="n">
        <f aca="false">IF(AND(Assumptions!$D$125=1,L$4&gt;=Assumptions!$D$126),1,0)</f>
        <v>1</v>
      </c>
      <c r="M172" s="37" t="n">
        <f aca="false">IF(AND(Assumptions!$D$125=1,M$4&gt;=Assumptions!$D$126),1,0)</f>
        <v>1</v>
      </c>
      <c r="N172" s="37" t="n">
        <f aca="false">IF(AND(Assumptions!$D$125=1,N$4&gt;=Assumptions!$D$126),1,0)</f>
        <v>1</v>
      </c>
      <c r="O172" s="37" t="n">
        <f aca="false">IF(AND(Assumptions!$D$125=1,O$4&gt;=Assumptions!$D$126),1,0)</f>
        <v>1</v>
      </c>
      <c r="P172" s="37" t="n">
        <f aca="false">IF(AND(Assumptions!$D$125=1,P$4&gt;=Assumptions!$D$126),1,0)</f>
        <v>1</v>
      </c>
      <c r="Q172" s="37" t="n">
        <f aca="false">IF(AND(Assumptions!$D$125=1,Q$4&gt;=Assumptions!$D$126),1,0)</f>
        <v>1</v>
      </c>
      <c r="R172" s="37" t="n">
        <f aca="false">IF(AND(Assumptions!$D$125=1,R$4&gt;=Assumptions!$D$126),1,0)</f>
        <v>1</v>
      </c>
      <c r="S172" s="37" t="n">
        <f aca="false">IF(AND(Assumptions!$D$125=1,S$4&gt;=Assumptions!$D$126),1,0)</f>
        <v>1</v>
      </c>
      <c r="T172" s="37" t="n">
        <f aca="false">IF(AND(Assumptions!$D$125=1,T$4&gt;=Assumptions!$D$126),1,0)</f>
        <v>1</v>
      </c>
      <c r="U172" s="37" t="n">
        <f aca="false">IF(AND(Assumptions!$D$125=1,U$4&gt;=Assumptions!$D$126),1,0)</f>
        <v>1</v>
      </c>
      <c r="V172" s="37" t="n">
        <f aca="false">IF(AND(Assumptions!$D$125=1,V$4&gt;=Assumptions!$D$126),1,0)</f>
        <v>1</v>
      </c>
      <c r="W172" s="37" t="n">
        <f aca="false">IF(AND(Assumptions!$D$125=1,W$4&gt;=Assumptions!$D$126),1,0)</f>
        <v>1</v>
      </c>
      <c r="X172" s="37" t="n">
        <f aca="false">IF(AND(Assumptions!$D$125=1,X$4&gt;=Assumptions!$D$126),1,0)</f>
        <v>1</v>
      </c>
      <c r="Y172" s="37" t="n">
        <f aca="false">IF(AND(Assumptions!$D$125=1,Y$4&gt;=Assumptions!$D$126),1,0)</f>
        <v>1</v>
      </c>
      <c r="Z172" s="37" t="n">
        <f aca="false">IF(AND(Assumptions!$D$125=1,Z$4&gt;=Assumptions!$D$126),1,0)</f>
        <v>1</v>
      </c>
      <c r="AA172" s="37" t="n">
        <f aca="false">IF(AND(Assumptions!$D$125=1,AA$4&gt;=Assumptions!$D$126),1,0)</f>
        <v>1</v>
      </c>
      <c r="AB172" s="37" t="n">
        <f aca="false">IF(AND(Assumptions!$D$125=1,AB$4&gt;=Assumptions!$D$126),1,0)</f>
        <v>1</v>
      </c>
      <c r="AC172" s="37" t="n">
        <f aca="false">IF(AND(Assumptions!$D$125=1,AC$4&gt;=Assumptions!$D$126),1,0)</f>
        <v>1</v>
      </c>
      <c r="AD172" s="37" t="n">
        <f aca="false">IF(AND(Assumptions!$D$125=1,AD$4&gt;=Assumptions!$D$126),1,0)</f>
        <v>1</v>
      </c>
      <c r="AE172" s="37" t="n">
        <f aca="false">IF(AND(Assumptions!$D$125=1,AE$4&gt;=Assumptions!$D$126),1,0)</f>
        <v>1</v>
      </c>
      <c r="AF172" s="37" t="n">
        <f aca="false">IF(AND(Assumptions!$D$125=1,AF$4&gt;=Assumptions!$D$126),1,0)</f>
        <v>1</v>
      </c>
      <c r="AG172" s="37" t="n">
        <f aca="false">IF(AND(Assumptions!$D$125=1,AG$4&gt;=Assumptions!$D$126),1,0)</f>
        <v>1</v>
      </c>
      <c r="AH172" s="37" t="n">
        <f aca="false">IF(AND(Assumptions!$D$125=1,AH$4&gt;=Assumptions!$D$126),1,0)</f>
        <v>1</v>
      </c>
      <c r="AI172" s="37" t="n">
        <f aca="false">IF(AND(Assumptions!$D$125=1,AI$4&gt;=Assumptions!$D$126),1,0)</f>
        <v>1</v>
      </c>
      <c r="AJ172" s="37" t="n">
        <f aca="false">IF(AND(Assumptions!$D$125=1,AJ$4&gt;=Assumptions!$D$126),1,0)</f>
        <v>1</v>
      </c>
      <c r="AK172" s="37" t="n">
        <f aca="false">IF(AND(Assumptions!$D$125=1,AK$4&gt;=Assumptions!$D$126),1,0)</f>
        <v>1</v>
      </c>
      <c r="AL172" s="37" t="n">
        <f aca="false">IF(AND(Assumptions!$D$125=1,AL$4&gt;=Assumptions!$D$126),1,0)</f>
        <v>1</v>
      </c>
    </row>
    <row r="173" customFormat="false" ht="15" hidden="false" customHeight="false" outlineLevel="0" collapsed="false">
      <c r="A173" s="7" t="s">
        <v>747</v>
      </c>
      <c r="B173" s="9" t="s">
        <v>316</v>
      </c>
      <c r="C173" s="14" t="n">
        <f aca="false">IF(C172=0,0,Assumptions!$D$127)</f>
        <v>0</v>
      </c>
      <c r="D173" s="14" t="n">
        <f aca="false">IF(D172=0,0,IF(D$4=Assumptions!$D$126,Assumptions!$D$127,C173*(1+CHOOSE(D$6,Assumptions!$D$128,Assumptions!$D$129,Assumptions!$D$130))))</f>
        <v>0</v>
      </c>
      <c r="E173" s="14" t="n">
        <f aca="false">IF(E172=0,0,IF(E$4=Assumptions!$D$126,Assumptions!$D$127,D173*(1+CHOOSE(E$6,Assumptions!$D$128,Assumptions!$D$129,Assumptions!$D$130))))</f>
        <v>200</v>
      </c>
      <c r="F173" s="14" t="n">
        <f aca="false">IF(F172=0,0,IF(F$4=Assumptions!$D$126,Assumptions!$D$127,E173*(1+CHOOSE(F$6,Assumptions!$D$128,Assumptions!$D$129,Assumptions!$D$130))))</f>
        <v>212</v>
      </c>
      <c r="G173" s="14" t="n">
        <f aca="false">IF(G172=0,0,IF(G$4=Assumptions!$D$126,Assumptions!$D$127,F173*(1+CHOOSE(G$6,Assumptions!$D$128,Assumptions!$D$129,Assumptions!$D$130))))</f>
        <v>224.72</v>
      </c>
      <c r="H173" s="14" t="n">
        <f aca="false">IF(H172=0,0,IF(H$4=Assumptions!$D$126,Assumptions!$D$127,G173*(1+CHOOSE(H$6,Assumptions!$D$128,Assumptions!$D$129,Assumptions!$D$130))))</f>
        <v>238.2032</v>
      </c>
      <c r="I173" s="14" t="n">
        <f aca="false">IF(I172=0,0,IF(I$4=Assumptions!$D$126,Assumptions!$D$127,H173*(1+CHOOSE(I$6,Assumptions!$D$128,Assumptions!$D$129,Assumptions!$D$130))))</f>
        <v>252.495392</v>
      </c>
      <c r="J173" s="14" t="n">
        <f aca="false">IF(J172=0,0,IF(J$4=Assumptions!$D$126,Assumptions!$D$127,I173*(1+CHOOSE(J$6,Assumptions!$D$128,Assumptions!$D$129,Assumptions!$D$130))))</f>
        <v>267.64511552</v>
      </c>
      <c r="K173" s="14" t="n">
        <f aca="false">IF(K172=0,0,IF(K$4=Assumptions!$D$126,Assumptions!$D$127,J173*(1+CHOOSE(K$6,Assumptions!$D$128,Assumptions!$D$129,Assumptions!$D$130))))</f>
        <v>283.7038224512</v>
      </c>
      <c r="L173" s="14" t="n">
        <f aca="false">IF(L172=0,0,IF(L$4=Assumptions!$D$126,Assumptions!$D$127,K173*(1+CHOOSE(L$6,Assumptions!$D$128,Assumptions!$D$129,Assumptions!$D$130))))</f>
        <v>300.726051798272</v>
      </c>
      <c r="M173" s="14" t="n">
        <f aca="false">IF(M172=0,0,IF(M$4=Assumptions!$D$126,Assumptions!$D$127,L173*(1+CHOOSE(M$6,Assumptions!$D$128,Assumptions!$D$129,Assumptions!$D$130))))</f>
        <v>318.769614906168</v>
      </c>
      <c r="N173" s="14" t="n">
        <f aca="false">IF(N172=0,0,IF(N$4=Assumptions!$D$126,Assumptions!$D$127,M173*(1+CHOOSE(N$6,Assumptions!$D$128,Assumptions!$D$129,Assumptions!$D$130))))</f>
        <v>337.895791800539</v>
      </c>
      <c r="O173" s="14" t="n">
        <f aca="false">IF(O172=0,0,IF(O$4=Assumptions!$D$126,Assumptions!$D$127,N173*(1+CHOOSE(O$6,Assumptions!$D$128,Assumptions!$D$129,Assumptions!$D$130))))</f>
        <v>348.032665554555</v>
      </c>
      <c r="P173" s="14" t="n">
        <f aca="false">IF(P172=0,0,IF(P$4=Assumptions!$D$126,Assumptions!$D$127,O173*(1+CHOOSE(P$6,Assumptions!$D$128,Assumptions!$D$129,Assumptions!$D$130))))</f>
        <v>358.473645521191</v>
      </c>
      <c r="Q173" s="14" t="n">
        <f aca="false">IF(Q172=0,0,IF(Q$4=Assumptions!$D$126,Assumptions!$D$127,P173*(1+CHOOSE(Q$6,Assumptions!$D$128,Assumptions!$D$129,Assumptions!$D$130))))</f>
        <v>369.227854886827</v>
      </c>
      <c r="R173" s="14" t="n">
        <f aca="false">IF(R172=0,0,IF(R$4=Assumptions!$D$126,Assumptions!$D$127,Q173*(1+CHOOSE(R$6,Assumptions!$D$128,Assumptions!$D$129,Assumptions!$D$130))))</f>
        <v>380.304690533432</v>
      </c>
      <c r="S173" s="14" t="n">
        <f aca="false">IF(S172=0,0,IF(S$4=Assumptions!$D$126,Assumptions!$D$127,R173*(1+CHOOSE(S$6,Assumptions!$D$128,Assumptions!$D$129,Assumptions!$D$130))))</f>
        <v>391.713831249435</v>
      </c>
      <c r="T173" s="14" t="n">
        <f aca="false">IF(T172=0,0,IF(T$4=Assumptions!$D$126,Assumptions!$D$127,S173*(1+CHOOSE(T$6,Assumptions!$D$128,Assumptions!$D$129,Assumptions!$D$130))))</f>
        <v>403.465246186918</v>
      </c>
      <c r="U173" s="14" t="n">
        <f aca="false">IF(U172=0,0,IF(U$4=Assumptions!$D$126,Assumptions!$D$127,T173*(1+CHOOSE(U$6,Assumptions!$D$128,Assumptions!$D$129,Assumptions!$D$130))))</f>
        <v>415.569203572525</v>
      </c>
      <c r="V173" s="14" t="n">
        <f aca="false">IF(V172=0,0,IF(V$4=Assumptions!$D$126,Assumptions!$D$127,U173*(1+CHOOSE(V$6,Assumptions!$D$128,Assumptions!$D$129,Assumptions!$D$130))))</f>
        <v>428.036279679701</v>
      </c>
      <c r="W173" s="14" t="n">
        <f aca="false">IF(W172=0,0,IF(W$4=Assumptions!$D$126,Assumptions!$D$127,V173*(1+CHOOSE(W$6,Assumptions!$D$128,Assumptions!$D$129,Assumptions!$D$130))))</f>
        <v>440.877368070092</v>
      </c>
      <c r="X173" s="14" t="n">
        <f aca="false">IF(X172=0,0,IF(X$4=Assumptions!$D$126,Assumptions!$D$127,W173*(1+CHOOSE(X$6,Assumptions!$D$128,Assumptions!$D$129,Assumptions!$D$130))))</f>
        <v>454.103689112195</v>
      </c>
      <c r="Y173" s="14" t="n">
        <f aca="false">IF(Y172=0,0,IF(Y$4=Assumptions!$D$126,Assumptions!$D$127,X173*(1+CHOOSE(Y$6,Assumptions!$D$128,Assumptions!$D$129,Assumptions!$D$130))))</f>
        <v>467.726799785561</v>
      </c>
      <c r="Z173" s="14" t="n">
        <f aca="false">IF(Z172=0,0,IF(Z$4=Assumptions!$D$126,Assumptions!$D$127,Y173*(1+CHOOSE(Z$6,Assumptions!$D$128,Assumptions!$D$129,Assumptions!$D$130))))</f>
        <v>481.758603779128</v>
      </c>
      <c r="AA173" s="14" t="n">
        <f aca="false">IF(AA172=0,0,IF(AA$4=Assumptions!$D$126,Assumptions!$D$127,Z173*(1+CHOOSE(AA$6,Assumptions!$D$128,Assumptions!$D$129,Assumptions!$D$130))))</f>
        <v>491.39377585471</v>
      </c>
      <c r="AB173" s="14" t="n">
        <f aca="false">IF(AB172=0,0,IF(AB$4=Assumptions!$D$126,Assumptions!$D$127,AA173*(1+CHOOSE(AB$6,Assumptions!$D$128,Assumptions!$D$129,Assumptions!$D$130))))</f>
        <v>501.221651371805</v>
      </c>
      <c r="AC173" s="14" t="n">
        <f aca="false">IF(AC172=0,0,IF(AC$4=Assumptions!$D$126,Assumptions!$D$127,AB173*(1+CHOOSE(AC$6,Assumptions!$D$128,Assumptions!$D$129,Assumptions!$D$130))))</f>
        <v>511.246084399241</v>
      </c>
      <c r="AD173" s="14" t="n">
        <f aca="false">IF(AD172=0,0,IF(AD$4=Assumptions!$D$126,Assumptions!$D$127,AC173*(1+CHOOSE(AD$6,Assumptions!$D$128,Assumptions!$D$129,Assumptions!$D$130))))</f>
        <v>521.471006087226</v>
      </c>
      <c r="AE173" s="14" t="n">
        <f aca="false">IF(AE172=0,0,IF(AE$4=Assumptions!$D$126,Assumptions!$D$127,AD173*(1+CHOOSE(AE$6,Assumptions!$D$128,Assumptions!$D$129,Assumptions!$D$130))))</f>
        <v>531.90042620897</v>
      </c>
      <c r="AF173" s="14" t="n">
        <f aca="false">IF(AF172=0,0,IF(AF$4=Assumptions!$D$126,Assumptions!$D$127,AE173*(1+CHOOSE(AF$6,Assumptions!$D$128,Assumptions!$D$129,Assumptions!$D$130))))</f>
        <v>542.53843473315</v>
      </c>
      <c r="AG173" s="14" t="n">
        <f aca="false">IF(AG172=0,0,IF(AG$4=Assumptions!$D$126,Assumptions!$D$127,AF173*(1+CHOOSE(AG$6,Assumptions!$D$128,Assumptions!$D$129,Assumptions!$D$130))))</f>
        <v>553.389203427813</v>
      </c>
      <c r="AH173" s="14" t="n">
        <f aca="false">IF(AH172=0,0,IF(AH$4=Assumptions!$D$126,Assumptions!$D$127,AG173*(1+CHOOSE(AH$6,Assumptions!$D$128,Assumptions!$D$129,Assumptions!$D$130))))</f>
        <v>564.456987496369</v>
      </c>
      <c r="AI173" s="14" t="n">
        <f aca="false">IF(AI172=0,0,IF(AI$4=Assumptions!$D$126,Assumptions!$D$127,AH173*(1+CHOOSE(AI$6,Assumptions!$D$128,Assumptions!$D$129,Assumptions!$D$130))))</f>
        <v>575.746127246296</v>
      </c>
      <c r="AJ173" s="14" t="n">
        <f aca="false">IF(AJ172=0,0,IF(AJ$4=Assumptions!$D$126,Assumptions!$D$127,AI173*(1+CHOOSE(AJ$6,Assumptions!$D$128,Assumptions!$D$129,Assumptions!$D$130))))</f>
        <v>587.261049791222</v>
      </c>
      <c r="AK173" s="14" t="n">
        <f aca="false">IF(AK172=0,0,IF(AK$4=Assumptions!$D$126,Assumptions!$D$127,AJ173*(1+CHOOSE(AK$6,Assumptions!$D$128,Assumptions!$D$129,Assumptions!$D$130))))</f>
        <v>599.006270787047</v>
      </c>
      <c r="AL173" s="14" t="n">
        <f aca="false">IF(AL172=0,0,IF(AL$4=Assumptions!$D$126,Assumptions!$D$127,AK173*(1+CHOOSE(AL$6,Assumptions!$D$128,Assumptions!$D$129,Assumptions!$D$130))))</f>
        <v>610.986396202788</v>
      </c>
    </row>
    <row r="174" customFormat="false" ht="15" hidden="false" customHeight="false" outlineLevel="0" collapsed="false">
      <c r="A174" s="7" t="s">
        <v>759</v>
      </c>
      <c r="B174" s="9" t="s">
        <v>316</v>
      </c>
      <c r="C174" s="52" t="n">
        <f aca="false">C173*C$7</f>
        <v>0</v>
      </c>
      <c r="D174" s="52" t="n">
        <f aca="false">D173*D$7</f>
        <v>0</v>
      </c>
      <c r="E174" s="52" t="n">
        <f aca="false">E173*E$7</f>
        <v>270</v>
      </c>
      <c r="F174" s="52" t="n">
        <f aca="false">F173*F$7</f>
        <v>265</v>
      </c>
      <c r="G174" s="52" t="n">
        <f aca="false">G173*G$7</f>
        <v>202.248</v>
      </c>
      <c r="H174" s="52" t="n">
        <f aca="false">H173*H$7</f>
        <v>238.2032</v>
      </c>
      <c r="I174" s="52" t="n">
        <f aca="false">I173*I$7</f>
        <v>265.1201616</v>
      </c>
      <c r="J174" s="52" t="n">
        <f aca="false">J173*J$7</f>
        <v>254.262859744</v>
      </c>
      <c r="K174" s="52" t="n">
        <f aca="false">K173*K$7</f>
        <v>283.7038224512</v>
      </c>
      <c r="L174" s="52" t="n">
        <f aca="false">L173*L$7</f>
        <v>285.689749208359</v>
      </c>
      <c r="M174" s="52" t="n">
        <f aca="false">M173*M$7</f>
        <v>270.954172670243</v>
      </c>
      <c r="N174" s="52" t="n">
        <f aca="false">N173*N$7</f>
        <v>287.211423030458</v>
      </c>
      <c r="O174" s="52" t="n">
        <f aca="false">O173*O$7</f>
        <v>330.631032276827</v>
      </c>
      <c r="P174" s="52" t="n">
        <f aca="false">P173*P$7</f>
        <v>466.015739177549</v>
      </c>
      <c r="Q174" s="52" t="n">
        <f aca="false">Q173*Q$7</f>
        <v>498.457604097217</v>
      </c>
      <c r="R174" s="52" t="n">
        <f aca="false">R173*R$7</f>
        <v>475.38086316679</v>
      </c>
      <c r="S174" s="52" t="n">
        <f aca="false">S173*S$7</f>
        <v>352.542448124491</v>
      </c>
      <c r="T174" s="52" t="n">
        <f aca="false">T173*T$7</f>
        <v>403.465246186918</v>
      </c>
      <c r="U174" s="52" t="n">
        <f aca="false">U173*U$7</f>
        <v>436.347663751152</v>
      </c>
      <c r="V174" s="52" t="n">
        <f aca="false">V173*V$7</f>
        <v>406.634465695716</v>
      </c>
      <c r="W174" s="52" t="n">
        <f aca="false">W173*W$7</f>
        <v>440.877368070092</v>
      </c>
      <c r="X174" s="52" t="n">
        <f aca="false">X173*X$7</f>
        <v>431.398504656585</v>
      </c>
      <c r="Y174" s="52" t="n">
        <f aca="false">Y173*Y$7</f>
        <v>397.567779817727</v>
      </c>
      <c r="Z174" s="52" t="n">
        <f aca="false">Z173*Z$7</f>
        <v>409.494813212259</v>
      </c>
      <c r="AA174" s="52" t="n">
        <f aca="false">AA173*AA$7</f>
        <v>466.824087061975</v>
      </c>
      <c r="AB174" s="52" t="n">
        <f aca="false">AB173*AB$7</f>
        <v>651.588146783346</v>
      </c>
      <c r="AC174" s="52" t="n">
        <f aca="false">AC173*AC$7</f>
        <v>690.182213938975</v>
      </c>
      <c r="AD174" s="52" t="n">
        <f aca="false">AD173*AD$7</f>
        <v>651.838757609032</v>
      </c>
      <c r="AE174" s="52" t="n">
        <f aca="false">AE173*AE$7</f>
        <v>478.710383588073</v>
      </c>
      <c r="AF174" s="52" t="n">
        <f aca="false">AF173*AF$7</f>
        <v>542.53843473315</v>
      </c>
      <c r="AG174" s="52" t="n">
        <f aca="false">AG173*AG$7</f>
        <v>581.058663599203</v>
      </c>
      <c r="AH174" s="52" t="n">
        <f aca="false">AH173*AH$7</f>
        <v>536.23413812155</v>
      </c>
      <c r="AI174" s="52" t="n">
        <f aca="false">AI173*AI$7</f>
        <v>575.746127246296</v>
      </c>
      <c r="AJ174" s="52" t="n">
        <f aca="false">AJ173*AJ$7</f>
        <v>557.897997301661</v>
      </c>
      <c r="AK174" s="52" t="n">
        <f aca="false">AK173*AK$7</f>
        <v>509.15533016899</v>
      </c>
      <c r="AL174" s="52" t="n">
        <f aca="false">AL173*AL$7</f>
        <v>519.338436772369</v>
      </c>
      <c r="AM174" s="53" t="n">
        <f aca="false">SUMIF($C$6:$AL$6,1,C174:AL174)</f>
        <v>2622.39338870426</v>
      </c>
      <c r="AN174" s="53" t="n">
        <f aca="false">SUMIF($C$6:$AL$6,2,C174:AL174)</f>
        <v>5048.81352823332</v>
      </c>
      <c r="AO174" s="53" t="n">
        <f aca="false">SUMIF($C$6:$AL$6,3,C174:AL174)</f>
        <v>6761.11271692462</v>
      </c>
      <c r="AP174" s="53" t="n">
        <f aca="false">SUM(C174:AL174)</f>
        <v>14432.3196338622</v>
      </c>
    </row>
    <row r="175" customFormat="false" ht="15" hidden="false" customHeight="false" outlineLevel="0" collapsed="false">
      <c r="A175" s="7" t="s">
        <v>749</v>
      </c>
      <c r="B175" s="9" t="s">
        <v>88</v>
      </c>
      <c r="C175" s="54" t="n">
        <f aca="false">Assumptions!$D$131*MIN(1,(C$4-Assumptions!$D$126+1)/Assumptions!$C$10)*C172</f>
        <v>-0</v>
      </c>
      <c r="D175" s="54" t="n">
        <f aca="false">Assumptions!$D$131*MIN(1,(D$4-Assumptions!$D$126+1)/Assumptions!$C$10)*D172</f>
        <v>0</v>
      </c>
      <c r="E175" s="54" t="n">
        <f aca="false">Assumptions!$D$131*MIN(1,(E$4-Assumptions!$D$126+1)/Assumptions!$C$10)*E172</f>
        <v>0.005</v>
      </c>
      <c r="F175" s="54" t="n">
        <f aca="false">Assumptions!$D$131*MIN(1,(F$4-Assumptions!$D$126+1)/Assumptions!$C$10)*F172</f>
        <v>0.01</v>
      </c>
      <c r="G175" s="54" t="n">
        <f aca="false">Assumptions!$D$131*MIN(1,(G$4-Assumptions!$D$126+1)/Assumptions!$C$10)*G172</f>
        <v>0.015</v>
      </c>
      <c r="H175" s="54" t="n">
        <f aca="false">Assumptions!$D$131*MIN(1,(H$4-Assumptions!$D$126+1)/Assumptions!$C$10)*H172</f>
        <v>0.02</v>
      </c>
      <c r="I175" s="54" t="n">
        <f aca="false">Assumptions!$D$131*MIN(1,(I$4-Assumptions!$D$126+1)/Assumptions!$C$10)*I172</f>
        <v>0.025</v>
      </c>
      <c r="J175" s="54" t="n">
        <f aca="false">Assumptions!$D$131*MIN(1,(J$4-Assumptions!$D$126+1)/Assumptions!$C$10)*J172</f>
        <v>0.03</v>
      </c>
      <c r="K175" s="54" t="n">
        <f aca="false">Assumptions!$D$131*MIN(1,(K$4-Assumptions!$D$126+1)/Assumptions!$C$10)*K172</f>
        <v>0.03</v>
      </c>
      <c r="L175" s="54" t="n">
        <f aca="false">Assumptions!$D$131*MIN(1,(L$4-Assumptions!$D$126+1)/Assumptions!$C$10)*L172</f>
        <v>0.03</v>
      </c>
      <c r="M175" s="54" t="n">
        <f aca="false">Assumptions!$D$131*MIN(1,(M$4-Assumptions!$D$126+1)/Assumptions!$C$10)*M172</f>
        <v>0.03</v>
      </c>
      <c r="N175" s="54" t="n">
        <f aca="false">Assumptions!$D$131*MIN(1,(N$4-Assumptions!$D$126+1)/Assumptions!$C$10)*N172</f>
        <v>0.03</v>
      </c>
      <c r="O175" s="54" t="n">
        <f aca="false">Assumptions!$D$131*MIN(1,(O$4-Assumptions!$D$126+1)/Assumptions!$C$10)*O172</f>
        <v>0.03</v>
      </c>
      <c r="P175" s="54" t="n">
        <f aca="false">Assumptions!$D$131*MIN(1,(P$4-Assumptions!$D$126+1)/Assumptions!$C$10)*P172</f>
        <v>0.03</v>
      </c>
      <c r="Q175" s="54" t="n">
        <f aca="false">Assumptions!$D$131*MIN(1,(Q$4-Assumptions!$D$126+1)/Assumptions!$C$10)*Q172</f>
        <v>0.03</v>
      </c>
      <c r="R175" s="54" t="n">
        <f aca="false">Assumptions!$D$131*MIN(1,(R$4-Assumptions!$D$126+1)/Assumptions!$C$10)*R172</f>
        <v>0.03</v>
      </c>
      <c r="S175" s="54" t="n">
        <f aca="false">Assumptions!$D$131*MIN(1,(S$4-Assumptions!$D$126+1)/Assumptions!$C$10)*S172</f>
        <v>0.03</v>
      </c>
      <c r="T175" s="54" t="n">
        <f aca="false">Assumptions!$D$131*MIN(1,(T$4-Assumptions!$D$126+1)/Assumptions!$C$10)*T172</f>
        <v>0.03</v>
      </c>
      <c r="U175" s="54" t="n">
        <f aca="false">Assumptions!$D$131*MIN(1,(U$4-Assumptions!$D$126+1)/Assumptions!$C$10)*U172</f>
        <v>0.03</v>
      </c>
      <c r="V175" s="54" t="n">
        <f aca="false">Assumptions!$D$131*MIN(1,(V$4-Assumptions!$D$126+1)/Assumptions!$C$10)*V172</f>
        <v>0.03</v>
      </c>
      <c r="W175" s="54" t="n">
        <f aca="false">Assumptions!$D$131*MIN(1,(W$4-Assumptions!$D$126+1)/Assumptions!$C$10)*W172</f>
        <v>0.03</v>
      </c>
      <c r="X175" s="54" t="n">
        <f aca="false">Assumptions!$D$131*MIN(1,(X$4-Assumptions!$D$126+1)/Assumptions!$C$10)*X172</f>
        <v>0.03</v>
      </c>
      <c r="Y175" s="54" t="n">
        <f aca="false">Assumptions!$D$131*MIN(1,(Y$4-Assumptions!$D$126+1)/Assumptions!$C$10)*Y172</f>
        <v>0.03</v>
      </c>
      <c r="Z175" s="54" t="n">
        <f aca="false">Assumptions!$D$131*MIN(1,(Z$4-Assumptions!$D$126+1)/Assumptions!$C$10)*Z172</f>
        <v>0.03</v>
      </c>
      <c r="AA175" s="54" t="n">
        <f aca="false">Assumptions!$D$131*MIN(1,(AA$4-Assumptions!$D$126+1)/Assumptions!$C$10)*AA172</f>
        <v>0.03</v>
      </c>
      <c r="AB175" s="54" t="n">
        <f aca="false">Assumptions!$D$131*MIN(1,(AB$4-Assumptions!$D$126+1)/Assumptions!$C$10)*AB172</f>
        <v>0.03</v>
      </c>
      <c r="AC175" s="54" t="n">
        <f aca="false">Assumptions!$D$131*MIN(1,(AC$4-Assumptions!$D$126+1)/Assumptions!$C$10)*AC172</f>
        <v>0.03</v>
      </c>
      <c r="AD175" s="54" t="n">
        <f aca="false">Assumptions!$D$131*MIN(1,(AD$4-Assumptions!$D$126+1)/Assumptions!$C$10)*AD172</f>
        <v>0.03</v>
      </c>
      <c r="AE175" s="54" t="n">
        <f aca="false">Assumptions!$D$131*MIN(1,(AE$4-Assumptions!$D$126+1)/Assumptions!$C$10)*AE172</f>
        <v>0.03</v>
      </c>
      <c r="AF175" s="54" t="n">
        <f aca="false">Assumptions!$D$131*MIN(1,(AF$4-Assumptions!$D$126+1)/Assumptions!$C$10)*AF172</f>
        <v>0.03</v>
      </c>
      <c r="AG175" s="54" t="n">
        <f aca="false">Assumptions!$D$131*MIN(1,(AG$4-Assumptions!$D$126+1)/Assumptions!$C$10)*AG172</f>
        <v>0.03</v>
      </c>
      <c r="AH175" s="54" t="n">
        <f aca="false">Assumptions!$D$131*MIN(1,(AH$4-Assumptions!$D$126+1)/Assumptions!$C$10)*AH172</f>
        <v>0.03</v>
      </c>
      <c r="AI175" s="54" t="n">
        <f aca="false">Assumptions!$D$131*MIN(1,(AI$4-Assumptions!$D$126+1)/Assumptions!$C$10)*AI172</f>
        <v>0.03</v>
      </c>
      <c r="AJ175" s="54" t="n">
        <f aca="false">Assumptions!$D$131*MIN(1,(AJ$4-Assumptions!$D$126+1)/Assumptions!$C$10)*AJ172</f>
        <v>0.03</v>
      </c>
      <c r="AK175" s="54" t="n">
        <f aca="false">Assumptions!$D$131*MIN(1,(AK$4-Assumptions!$D$126+1)/Assumptions!$C$10)*AK172</f>
        <v>0.03</v>
      </c>
      <c r="AL175" s="54" t="n">
        <f aca="false">Assumptions!$D$131*MIN(1,(AL$4-Assumptions!$D$126+1)/Assumptions!$C$10)*AL172</f>
        <v>0.03</v>
      </c>
    </row>
    <row r="176" customFormat="false" ht="15" hidden="false" customHeight="false" outlineLevel="0" collapsed="false">
      <c r="A176" s="7" t="s">
        <v>757</v>
      </c>
      <c r="B176" s="9" t="s">
        <v>751</v>
      </c>
      <c r="C176" s="55" t="n">
        <f aca="false">C174*C175</f>
        <v>-0</v>
      </c>
      <c r="D176" s="55" t="n">
        <f aca="false">D174*D175</f>
        <v>0</v>
      </c>
      <c r="E176" s="55" t="n">
        <f aca="false">E174*E175</f>
        <v>1.35</v>
      </c>
      <c r="F176" s="55" t="n">
        <f aca="false">F174*F175</f>
        <v>2.65</v>
      </c>
      <c r="G176" s="55" t="n">
        <f aca="false">G174*G175</f>
        <v>3.03372</v>
      </c>
      <c r="H176" s="55" t="n">
        <f aca="false">H174*H175</f>
        <v>4.764064</v>
      </c>
      <c r="I176" s="55" t="n">
        <f aca="false">I174*I175</f>
        <v>6.62800404</v>
      </c>
      <c r="J176" s="55" t="n">
        <f aca="false">J174*J175</f>
        <v>7.62788579232</v>
      </c>
      <c r="K176" s="55" t="n">
        <f aca="false">K174*K175</f>
        <v>8.511114673536</v>
      </c>
      <c r="L176" s="55" t="n">
        <f aca="false">L174*L175</f>
        <v>8.57069247625075</v>
      </c>
      <c r="M176" s="55" t="n">
        <f aca="false">M174*M175</f>
        <v>8.12862518010729</v>
      </c>
      <c r="N176" s="55" t="n">
        <f aca="false">N174*N175</f>
        <v>8.61634269091373</v>
      </c>
      <c r="O176" s="55" t="n">
        <f aca="false">O174*O175</f>
        <v>9.91893096830481</v>
      </c>
      <c r="P176" s="55" t="n">
        <f aca="false">P174*P175</f>
        <v>13.9804721753265</v>
      </c>
      <c r="Q176" s="55" t="n">
        <f aca="false">Q174*Q175</f>
        <v>14.9537281229165</v>
      </c>
      <c r="R176" s="55" t="n">
        <f aca="false">R174*R175</f>
        <v>14.2614258950037</v>
      </c>
      <c r="S176" s="55" t="n">
        <f aca="false">S174*S175</f>
        <v>10.5762734437347</v>
      </c>
      <c r="T176" s="55" t="n">
        <f aca="false">T174*T175</f>
        <v>12.1039573856075</v>
      </c>
      <c r="U176" s="55" t="n">
        <f aca="false">U174*U175</f>
        <v>13.0904299125346</v>
      </c>
      <c r="V176" s="55" t="n">
        <f aca="false">V174*V175</f>
        <v>12.1990339708715</v>
      </c>
      <c r="W176" s="55" t="n">
        <f aca="false">W174*W175</f>
        <v>13.2263210421028</v>
      </c>
      <c r="X176" s="55" t="n">
        <f aca="false">X174*X175</f>
        <v>12.9419551396976</v>
      </c>
      <c r="Y176" s="55" t="n">
        <f aca="false">Y174*Y175</f>
        <v>11.9270333945318</v>
      </c>
      <c r="Z176" s="55" t="n">
        <f aca="false">Z174*Z175</f>
        <v>12.2848443963678</v>
      </c>
      <c r="AA176" s="55" t="n">
        <f aca="false">AA174*AA175</f>
        <v>14.0047226118592</v>
      </c>
      <c r="AB176" s="55" t="n">
        <f aca="false">AB174*AB175</f>
        <v>19.5476444035004</v>
      </c>
      <c r="AC176" s="55" t="n">
        <f aca="false">AC174*AC175</f>
        <v>20.7054664181692</v>
      </c>
      <c r="AD176" s="55" t="n">
        <f aca="false">AD174*AD175</f>
        <v>19.555162728271</v>
      </c>
      <c r="AE176" s="55" t="n">
        <f aca="false">AE174*AE175</f>
        <v>14.3613115076422</v>
      </c>
      <c r="AF176" s="55" t="n">
        <f aca="false">AF174*AF175</f>
        <v>16.2761530419945</v>
      </c>
      <c r="AG176" s="55" t="n">
        <f aca="false">AG174*AG175</f>
        <v>17.4317599079761</v>
      </c>
      <c r="AH176" s="55" t="n">
        <f aca="false">AH174*AH175</f>
        <v>16.0870241436465</v>
      </c>
      <c r="AI176" s="55" t="n">
        <f aca="false">AI174*AI175</f>
        <v>17.2723838173889</v>
      </c>
      <c r="AJ176" s="55" t="n">
        <f aca="false">AJ174*AJ175</f>
        <v>16.7369399190498</v>
      </c>
      <c r="AK176" s="55" t="n">
        <f aca="false">AK174*AK175</f>
        <v>15.2746599050697</v>
      </c>
      <c r="AL176" s="55" t="n">
        <f aca="false">AL174*AL175</f>
        <v>15.5801531031711</v>
      </c>
      <c r="AM176" s="53" t="n">
        <f aca="false">SUMIF($C$6:$AL$6,1,C176:AL176)</f>
        <v>59.8804488531278</v>
      </c>
      <c r="AN176" s="53" t="n">
        <f aca="false">SUMIF($C$6:$AL$6,2,C176:AL176)</f>
        <v>151.464405847</v>
      </c>
      <c r="AO176" s="53" t="n">
        <f aca="false">SUMIF($C$6:$AL$6,3,C176:AL176)</f>
        <v>202.833381507739</v>
      </c>
      <c r="AP176" s="53" t="n">
        <f aca="false">SUM(C176:AL176)</f>
        <v>414.178236207866</v>
      </c>
    </row>
    <row r="177" customFormat="false" ht="15" hidden="false" customHeight="false" outlineLevel="0" collapsed="false">
      <c r="A177" s="7" t="s">
        <v>752</v>
      </c>
      <c r="B177" s="9" t="s">
        <v>331</v>
      </c>
      <c r="C177" s="56" t="n">
        <f aca="false">C176*Assumptions!$D$132</f>
        <v>-0</v>
      </c>
      <c r="D177" s="56" t="n">
        <f aca="false">D176*Assumptions!$D$132</f>
        <v>0</v>
      </c>
      <c r="E177" s="56" t="n">
        <f aca="false">E176*Assumptions!$D$132</f>
        <v>1.35</v>
      </c>
      <c r="F177" s="56" t="n">
        <f aca="false">F176*Assumptions!$D$132</f>
        <v>2.65</v>
      </c>
      <c r="G177" s="56" t="n">
        <f aca="false">G176*Assumptions!$D$132</f>
        <v>3.03372</v>
      </c>
      <c r="H177" s="56" t="n">
        <f aca="false">H176*Assumptions!$D$132</f>
        <v>4.764064</v>
      </c>
      <c r="I177" s="56" t="n">
        <f aca="false">I176*Assumptions!$D$132</f>
        <v>6.62800404</v>
      </c>
      <c r="J177" s="56" t="n">
        <f aca="false">J176*Assumptions!$D$132</f>
        <v>7.62788579232</v>
      </c>
      <c r="K177" s="56" t="n">
        <f aca="false">K176*Assumptions!$D$132</f>
        <v>8.511114673536</v>
      </c>
      <c r="L177" s="56" t="n">
        <f aca="false">L176*Assumptions!$D$132</f>
        <v>8.57069247625075</v>
      </c>
      <c r="M177" s="56" t="n">
        <f aca="false">M176*Assumptions!$D$132</f>
        <v>8.12862518010729</v>
      </c>
      <c r="N177" s="56" t="n">
        <f aca="false">N176*Assumptions!$D$132</f>
        <v>8.61634269091373</v>
      </c>
      <c r="O177" s="56" t="n">
        <f aca="false">O176*Assumptions!$D$132</f>
        <v>9.91893096830481</v>
      </c>
      <c r="P177" s="56" t="n">
        <f aca="false">P176*Assumptions!$D$132</f>
        <v>13.9804721753265</v>
      </c>
      <c r="Q177" s="56" t="n">
        <f aca="false">Q176*Assumptions!$D$132</f>
        <v>14.9537281229165</v>
      </c>
      <c r="R177" s="56" t="n">
        <f aca="false">R176*Assumptions!$D$132</f>
        <v>14.2614258950037</v>
      </c>
      <c r="S177" s="56" t="n">
        <f aca="false">S176*Assumptions!$D$132</f>
        <v>10.5762734437347</v>
      </c>
      <c r="T177" s="56" t="n">
        <f aca="false">T176*Assumptions!$D$132</f>
        <v>12.1039573856075</v>
      </c>
      <c r="U177" s="56" t="n">
        <f aca="false">U176*Assumptions!$D$132</f>
        <v>13.0904299125346</v>
      </c>
      <c r="V177" s="56" t="n">
        <f aca="false">V176*Assumptions!$D$132</f>
        <v>12.1990339708715</v>
      </c>
      <c r="W177" s="56" t="n">
        <f aca="false">W176*Assumptions!$D$132</f>
        <v>13.2263210421028</v>
      </c>
      <c r="X177" s="56" t="n">
        <f aca="false">X176*Assumptions!$D$132</f>
        <v>12.9419551396976</v>
      </c>
      <c r="Y177" s="56" t="n">
        <f aca="false">Y176*Assumptions!$D$132</f>
        <v>11.9270333945318</v>
      </c>
      <c r="Z177" s="56" t="n">
        <f aca="false">Z176*Assumptions!$D$132</f>
        <v>12.2848443963678</v>
      </c>
      <c r="AA177" s="56" t="n">
        <f aca="false">AA176*Assumptions!$D$132</f>
        <v>14.0047226118592</v>
      </c>
      <c r="AB177" s="56" t="n">
        <f aca="false">AB176*Assumptions!$D$132</f>
        <v>19.5476444035004</v>
      </c>
      <c r="AC177" s="56" t="n">
        <f aca="false">AC176*Assumptions!$D$132</f>
        <v>20.7054664181692</v>
      </c>
      <c r="AD177" s="56" t="n">
        <f aca="false">AD176*Assumptions!$D$132</f>
        <v>19.555162728271</v>
      </c>
      <c r="AE177" s="56" t="n">
        <f aca="false">AE176*Assumptions!$D$132</f>
        <v>14.3613115076422</v>
      </c>
      <c r="AF177" s="56" t="n">
        <f aca="false">AF176*Assumptions!$D$132</f>
        <v>16.2761530419945</v>
      </c>
      <c r="AG177" s="56" t="n">
        <f aca="false">AG176*Assumptions!$D$132</f>
        <v>17.4317599079761</v>
      </c>
      <c r="AH177" s="56" t="n">
        <f aca="false">AH176*Assumptions!$D$132</f>
        <v>16.0870241436465</v>
      </c>
      <c r="AI177" s="56" t="n">
        <f aca="false">AI176*Assumptions!$D$132</f>
        <v>17.2723838173889</v>
      </c>
      <c r="AJ177" s="56" t="n">
        <f aca="false">AJ176*Assumptions!$D$132</f>
        <v>16.7369399190498</v>
      </c>
      <c r="AK177" s="56" t="n">
        <f aca="false">AK176*Assumptions!$D$132</f>
        <v>15.2746599050697</v>
      </c>
      <c r="AL177" s="56" t="n">
        <f aca="false">AL176*Assumptions!$D$132</f>
        <v>15.5801531031711</v>
      </c>
      <c r="AM177" s="53" t="n">
        <f aca="false">SUMIF($C$6:$AL$6,1,C177:AL177)</f>
        <v>59.8804488531278</v>
      </c>
      <c r="AN177" s="53" t="n">
        <f aca="false">SUMIF($C$6:$AL$6,2,C177:AL177)</f>
        <v>151.464405847</v>
      </c>
      <c r="AO177" s="53" t="n">
        <f aca="false">SUMIF($C$6:$AL$6,3,C177:AL177)</f>
        <v>202.833381507739</v>
      </c>
      <c r="AP177" s="53" t="n">
        <f aca="false">SUM(C177:AL177)</f>
        <v>414.178236207866</v>
      </c>
    </row>
    <row r="178" customFormat="false" ht="15" hidden="false" customHeight="false" outlineLevel="0" collapsed="false">
      <c r="A178" s="7" t="s">
        <v>753</v>
      </c>
      <c r="B178" s="9" t="s">
        <v>93</v>
      </c>
      <c r="C178" s="15" t="n">
        <f aca="false">'Unit Economics'!$E$53*Assumptions!$D$132*C172</f>
        <v>0</v>
      </c>
      <c r="D178" s="15" t="n">
        <f aca="false">'Unit Economics'!$E$53*Assumptions!$D$132*D172</f>
        <v>0</v>
      </c>
      <c r="E178" s="15" t="n">
        <f aca="false">'Unit Economics'!$E$53*Assumptions!$D$132*E172</f>
        <v>17.79</v>
      </c>
      <c r="F178" s="15" t="n">
        <f aca="false">'Unit Economics'!$E$53*Assumptions!$D$132*F172</f>
        <v>17.79</v>
      </c>
      <c r="G178" s="15" t="n">
        <f aca="false">'Unit Economics'!$E$53*Assumptions!$D$132*G172</f>
        <v>17.79</v>
      </c>
      <c r="H178" s="15" t="n">
        <f aca="false">'Unit Economics'!$E$53*Assumptions!$D$132*H172</f>
        <v>17.79</v>
      </c>
      <c r="I178" s="15" t="n">
        <f aca="false">'Unit Economics'!$E$53*Assumptions!$D$132*I172</f>
        <v>17.79</v>
      </c>
      <c r="J178" s="15" t="n">
        <f aca="false">'Unit Economics'!$E$53*Assumptions!$D$132*J172</f>
        <v>17.79</v>
      </c>
      <c r="K178" s="15" t="n">
        <f aca="false">'Unit Economics'!$E$53*Assumptions!$D$132*K172</f>
        <v>17.79</v>
      </c>
      <c r="L178" s="15" t="n">
        <f aca="false">'Unit Economics'!$E$53*Assumptions!$D$132*L172</f>
        <v>17.79</v>
      </c>
      <c r="M178" s="15" t="n">
        <f aca="false">'Unit Economics'!$E$53*Assumptions!$D$132*M172</f>
        <v>17.79</v>
      </c>
      <c r="N178" s="15" t="n">
        <f aca="false">'Unit Economics'!$E$53*Assumptions!$D$132*N172</f>
        <v>17.79</v>
      </c>
      <c r="O178" s="15" t="n">
        <f aca="false">'Unit Economics'!$E$53*Assumptions!$D$132*O172</f>
        <v>17.79</v>
      </c>
      <c r="P178" s="15" t="n">
        <f aca="false">'Unit Economics'!$E$53*Assumptions!$D$132*P172</f>
        <v>17.79</v>
      </c>
      <c r="Q178" s="15" t="n">
        <f aca="false">'Unit Economics'!$E$53*Assumptions!$D$132*Q172</f>
        <v>17.79</v>
      </c>
      <c r="R178" s="15" t="n">
        <f aca="false">'Unit Economics'!$E$53*Assumptions!$D$132*R172</f>
        <v>17.79</v>
      </c>
      <c r="S178" s="15" t="n">
        <f aca="false">'Unit Economics'!$E$53*Assumptions!$D$132*S172</f>
        <v>17.79</v>
      </c>
      <c r="T178" s="15" t="n">
        <f aca="false">'Unit Economics'!$E$53*Assumptions!$D$132*T172</f>
        <v>17.79</v>
      </c>
      <c r="U178" s="15" t="n">
        <f aca="false">'Unit Economics'!$E$53*Assumptions!$D$132*U172</f>
        <v>17.79</v>
      </c>
      <c r="V178" s="15" t="n">
        <f aca="false">'Unit Economics'!$E$53*Assumptions!$D$132*V172</f>
        <v>17.79</v>
      </c>
      <c r="W178" s="15" t="n">
        <f aca="false">'Unit Economics'!$E$53*Assumptions!$D$132*W172</f>
        <v>17.79</v>
      </c>
      <c r="X178" s="15" t="n">
        <f aca="false">'Unit Economics'!$E$53*Assumptions!$D$132*X172</f>
        <v>17.79</v>
      </c>
      <c r="Y178" s="15" t="n">
        <f aca="false">'Unit Economics'!$E$53*Assumptions!$D$132*Y172</f>
        <v>17.79</v>
      </c>
      <c r="Z178" s="15" t="n">
        <f aca="false">'Unit Economics'!$E$53*Assumptions!$D$132*Z172</f>
        <v>17.79</v>
      </c>
      <c r="AA178" s="15" t="n">
        <f aca="false">'Unit Economics'!$E$53*Assumptions!$D$132*AA172</f>
        <v>17.79</v>
      </c>
      <c r="AB178" s="15" t="n">
        <f aca="false">'Unit Economics'!$E$53*Assumptions!$D$132*AB172</f>
        <v>17.79</v>
      </c>
      <c r="AC178" s="15" t="n">
        <f aca="false">'Unit Economics'!$E$53*Assumptions!$D$132*AC172</f>
        <v>17.79</v>
      </c>
      <c r="AD178" s="15" t="n">
        <f aca="false">'Unit Economics'!$E$53*Assumptions!$D$132*AD172</f>
        <v>17.79</v>
      </c>
      <c r="AE178" s="15" t="n">
        <f aca="false">'Unit Economics'!$E$53*Assumptions!$D$132*AE172</f>
        <v>17.79</v>
      </c>
      <c r="AF178" s="15" t="n">
        <f aca="false">'Unit Economics'!$E$53*Assumptions!$D$132*AF172</f>
        <v>17.79</v>
      </c>
      <c r="AG178" s="15" t="n">
        <f aca="false">'Unit Economics'!$E$53*Assumptions!$D$132*AG172</f>
        <v>17.79</v>
      </c>
      <c r="AH178" s="15" t="n">
        <f aca="false">'Unit Economics'!$E$53*Assumptions!$D$132*AH172</f>
        <v>17.79</v>
      </c>
      <c r="AI178" s="15" t="n">
        <f aca="false">'Unit Economics'!$E$53*Assumptions!$D$132*AI172</f>
        <v>17.79</v>
      </c>
      <c r="AJ178" s="15" t="n">
        <f aca="false">'Unit Economics'!$E$53*Assumptions!$D$132*AJ172</f>
        <v>17.79</v>
      </c>
      <c r="AK178" s="15" t="n">
        <f aca="false">'Unit Economics'!$E$53*Assumptions!$D$132*AK172</f>
        <v>17.79</v>
      </c>
      <c r="AL178" s="15" t="n">
        <f aca="false">'Unit Economics'!$E$53*Assumptions!$D$132*AL172</f>
        <v>17.79</v>
      </c>
    </row>
    <row r="179" customFormat="false" ht="15" hidden="false" customHeight="false" outlineLevel="0" collapsed="false">
      <c r="A179" s="7" t="s">
        <v>754</v>
      </c>
      <c r="B179" s="9" t="s">
        <v>93</v>
      </c>
      <c r="C179" s="8" t="n">
        <f aca="false">C177*'Unit Economics'!$E$53</f>
        <v>-0</v>
      </c>
      <c r="D179" s="8" t="n">
        <f aca="false">D177*'Unit Economics'!$E$53</f>
        <v>0</v>
      </c>
      <c r="E179" s="8" t="n">
        <f aca="false">E177*'Unit Economics'!$E$53</f>
        <v>24.0165</v>
      </c>
      <c r="F179" s="8" t="n">
        <f aca="false">F177*'Unit Economics'!$E$53</f>
        <v>47.1435</v>
      </c>
      <c r="G179" s="8" t="n">
        <f aca="false">G177*'Unit Economics'!$E$53</f>
        <v>53.9698788</v>
      </c>
      <c r="H179" s="8" t="n">
        <f aca="false">H177*'Unit Economics'!$E$53</f>
        <v>84.75269856</v>
      </c>
      <c r="I179" s="8" t="n">
        <f aca="false">I177*'Unit Economics'!$E$53</f>
        <v>117.9121918716</v>
      </c>
      <c r="J179" s="8" t="n">
        <f aca="false">J177*'Unit Economics'!$E$53</f>
        <v>135.700088245373</v>
      </c>
      <c r="K179" s="8" t="n">
        <f aca="false">K177*'Unit Economics'!$E$53</f>
        <v>151.412730042205</v>
      </c>
      <c r="L179" s="8" t="n">
        <f aca="false">L177*'Unit Economics'!$E$53</f>
        <v>152.472619152501</v>
      </c>
      <c r="M179" s="8" t="n">
        <f aca="false">M177*'Unit Economics'!$E$53</f>
        <v>144.608241954109</v>
      </c>
      <c r="N179" s="8" t="n">
        <f aca="false">N177*'Unit Economics'!$E$53</f>
        <v>153.284736471355</v>
      </c>
      <c r="O179" s="8" t="n">
        <f aca="false">O177*'Unit Economics'!$E$53</f>
        <v>176.457781926143</v>
      </c>
      <c r="P179" s="8" t="n">
        <f aca="false">P177*'Unit Economics'!$E$53</f>
        <v>248.712599999058</v>
      </c>
      <c r="Q179" s="8" t="n">
        <f aca="false">Q177*'Unit Economics'!$E$53</f>
        <v>266.026823306684</v>
      </c>
      <c r="R179" s="8" t="n">
        <f aca="false">R177*'Unit Economics'!$E$53</f>
        <v>253.710766672116</v>
      </c>
      <c r="S179" s="8" t="n">
        <f aca="false">S177*'Unit Economics'!$E$53</f>
        <v>188.151904564041</v>
      </c>
      <c r="T179" s="8" t="n">
        <f aca="false">T177*'Unit Economics'!$E$53</f>
        <v>215.329401889958</v>
      </c>
      <c r="U179" s="8" t="n">
        <f aca="false">U177*'Unit Economics'!$E$53</f>
        <v>232.87874814399</v>
      </c>
      <c r="V179" s="8" t="n">
        <f aca="false">V177*'Unit Economics'!$E$53</f>
        <v>217.020814341804</v>
      </c>
      <c r="W179" s="8" t="n">
        <f aca="false">W177*'Unit Economics'!$E$53</f>
        <v>235.296251339008</v>
      </c>
      <c r="X179" s="8" t="n">
        <f aca="false">X177*'Unit Economics'!$E$53</f>
        <v>230.23738193522</v>
      </c>
      <c r="Y179" s="8" t="n">
        <f aca="false">Y177*'Unit Economics'!$E$53</f>
        <v>212.181924088721</v>
      </c>
      <c r="Z179" s="8" t="n">
        <f aca="false">Z177*'Unit Economics'!$E$53</f>
        <v>218.547381811382</v>
      </c>
      <c r="AA179" s="8" t="n">
        <f aca="false">AA177*'Unit Economics'!$E$53</f>
        <v>249.144015264976</v>
      </c>
      <c r="AB179" s="8" t="n">
        <f aca="false">AB177*'Unit Economics'!$E$53</f>
        <v>347.752593938272</v>
      </c>
      <c r="AC179" s="8" t="n">
        <f aca="false">AC177*'Unit Economics'!$E$53</f>
        <v>368.350247579231</v>
      </c>
      <c r="AD179" s="8" t="n">
        <f aca="false">AD177*'Unit Economics'!$E$53</f>
        <v>347.88634493594</v>
      </c>
      <c r="AE179" s="8" t="n">
        <f aca="false">AE177*'Unit Economics'!$E$53</f>
        <v>255.487731720955</v>
      </c>
      <c r="AF179" s="8" t="n">
        <f aca="false">AF177*'Unit Economics'!$E$53</f>
        <v>289.552762617082</v>
      </c>
      <c r="AG179" s="8" t="n">
        <f aca="false">AG177*'Unit Economics'!$E$53</f>
        <v>310.111008762895</v>
      </c>
      <c r="AH179" s="8" t="n">
        <f aca="false">AH177*'Unit Economics'!$E$53</f>
        <v>286.188159515471</v>
      </c>
      <c r="AI179" s="8" t="n">
        <f aca="false">AI177*'Unit Economics'!$E$53</f>
        <v>307.275708111348</v>
      </c>
      <c r="AJ179" s="8" t="n">
        <f aca="false">AJ177*'Unit Economics'!$E$53</f>
        <v>297.750161159897</v>
      </c>
      <c r="AK179" s="8" t="n">
        <f aca="false">AK177*'Unit Economics'!$E$53</f>
        <v>271.73619971119</v>
      </c>
      <c r="AL179" s="8" t="n">
        <f aca="false">AL177*'Unit Economics'!$E$53</f>
        <v>277.170923705414</v>
      </c>
      <c r="AM179" s="45" t="n">
        <f aca="false">SUMIF($C$6:$AL$6,1,C179:AL179)</f>
        <v>1065.27318509714</v>
      </c>
      <c r="AN179" s="45" t="n">
        <f aca="false">SUMIF($C$6:$AL$6,2,C179:AL179)</f>
        <v>2694.55178001812</v>
      </c>
      <c r="AO179" s="45" t="n">
        <f aca="false">SUMIF($C$6:$AL$6,3,C179:AL179)</f>
        <v>3608.40585702267</v>
      </c>
      <c r="AP179" s="45" t="n">
        <f aca="false">SUM(C179:AL179)</f>
        <v>7368.23082213794</v>
      </c>
    </row>
    <row r="180" customFormat="false" ht="15" hidden="false" customHeight="false" outlineLevel="0" collapsed="false">
      <c r="A180" s="7" t="s">
        <v>755</v>
      </c>
      <c r="B180" s="9" t="s">
        <v>93</v>
      </c>
      <c r="C180" s="8" t="n">
        <f aca="false">C177*'Unit Economics'!$F$53</f>
        <v>-0</v>
      </c>
      <c r="D180" s="8" t="n">
        <f aca="false">D177*'Unit Economics'!$F$53</f>
        <v>0</v>
      </c>
      <c r="E180" s="8" t="n">
        <f aca="false">E177*'Unit Economics'!$F$53</f>
        <v>2.511945</v>
      </c>
      <c r="F180" s="8" t="n">
        <f aca="false">F177*'Unit Economics'!$F$53</f>
        <v>4.93085499999999</v>
      </c>
      <c r="G180" s="8" t="n">
        <f aca="false">G177*'Unit Economics'!$F$53</f>
        <v>5.64484280399999</v>
      </c>
      <c r="H180" s="8" t="n">
        <f aca="false">H177*'Unit Economics'!$F$53</f>
        <v>8.86449388479999</v>
      </c>
      <c r="I180" s="8" t="n">
        <f aca="false">I177*'Unit Economics'!$F$53</f>
        <v>12.332727117228</v>
      </c>
      <c r="J180" s="8" t="n">
        <f aca="false">J177*'Unit Economics'!$F$53</f>
        <v>14.1932070937698</v>
      </c>
      <c r="K180" s="8" t="n">
        <f aca="false">K177*'Unit Economics'!$F$53</f>
        <v>15.8366310730484</v>
      </c>
      <c r="L180" s="8" t="n">
        <f aca="false">L177*'Unit Economics'!$F$53</f>
        <v>15.9474874905598</v>
      </c>
      <c r="M180" s="8" t="n">
        <f aca="false">M177*'Unit Economics'!$F$53</f>
        <v>15.1249328726256</v>
      </c>
      <c r="N180" s="8" t="n">
        <f aca="false">N177*'Unit Economics'!$F$53</f>
        <v>16.0324288449832</v>
      </c>
      <c r="O180" s="8" t="n">
        <f aca="false">O177*'Unit Economics'!$F$53</f>
        <v>18.4561548527247</v>
      </c>
      <c r="P180" s="8" t="n">
        <f aca="false">P177*'Unit Economics'!$F$53</f>
        <v>26.0134645766299</v>
      </c>
      <c r="Q180" s="8" t="n">
        <f aca="false">Q177*'Unit Economics'!$F$53</f>
        <v>27.8244019183107</v>
      </c>
      <c r="R180" s="8" t="n">
        <f aca="false">R177*'Unit Economics'!$F$53</f>
        <v>26.5362351628333</v>
      </c>
      <c r="S180" s="8" t="n">
        <f aca="false">S177*'Unit Economics'!$F$53</f>
        <v>19.6792719967572</v>
      </c>
      <c r="T180" s="8" t="n">
        <f aca="false">T177*'Unit Economics'!$F$53</f>
        <v>22.5218335073999</v>
      </c>
      <c r="U180" s="8" t="n">
        <f aca="false">U177*'Unit Economics'!$F$53</f>
        <v>24.357362938253</v>
      </c>
      <c r="V180" s="8" t="n">
        <f aca="false">V177*'Unit Economics'!$F$53</f>
        <v>22.6987425096005</v>
      </c>
      <c r="W180" s="8" t="n">
        <f aca="false">W177*'Unit Economics'!$F$53</f>
        <v>24.6102155630406</v>
      </c>
      <c r="X180" s="8" t="n">
        <f aca="false">X177*'Unit Economics'!$F$53</f>
        <v>24.0810959284352</v>
      </c>
      <c r="Y180" s="8" t="n">
        <f aca="false">Y177*'Unit Economics'!$F$53</f>
        <v>22.1926310372053</v>
      </c>
      <c r="Z180" s="8" t="n">
        <f aca="false">Z177*'Unit Economics'!$F$53</f>
        <v>22.8584099683215</v>
      </c>
      <c r="AA180" s="8" t="n">
        <f aca="false">AA177*'Unit Economics'!$F$53</f>
        <v>26.0585873638865</v>
      </c>
      <c r="AB180" s="8" t="n">
        <f aca="false">AB177*'Unit Economics'!$F$53</f>
        <v>36.3723019415931</v>
      </c>
      <c r="AC180" s="8" t="n">
        <f aca="false">AC177*'Unit Economics'!$F$53</f>
        <v>38.5266613642875</v>
      </c>
      <c r="AD180" s="8" t="n">
        <f aca="false">AD177*'Unit Economics'!$F$53</f>
        <v>36.3862912884937</v>
      </c>
      <c r="AE180" s="8" t="n">
        <f aca="false">AE177*'Unit Economics'!$F$53</f>
        <v>26.7220923222698</v>
      </c>
      <c r="AF180" s="8" t="n">
        <f aca="false">AF177*'Unit Economics'!$F$53</f>
        <v>30.2850379652391</v>
      </c>
      <c r="AG180" s="8" t="n">
        <f aca="false">AG177*'Unit Economics'!$F$53</f>
        <v>32.4352756607711</v>
      </c>
      <c r="AH180" s="8" t="n">
        <f aca="false">AH177*'Unit Economics'!$F$53</f>
        <v>29.933125824083</v>
      </c>
      <c r="AI180" s="8" t="n">
        <f aca="false">AI177*'Unit Economics'!$F$53</f>
        <v>32.1387245690155</v>
      </c>
      <c r="AJ180" s="8" t="n">
        <f aca="false">AJ177*'Unit Economics'!$F$53</f>
        <v>31.142424107376</v>
      </c>
      <c r="AK180" s="8" t="n">
        <f aca="false">AK177*'Unit Economics'!$F$53</f>
        <v>28.4215596853631</v>
      </c>
      <c r="AL180" s="8" t="n">
        <f aca="false">AL177*'Unit Economics'!$F$53</f>
        <v>28.9899908790704</v>
      </c>
      <c r="AM180" s="45" t="n">
        <f aca="false">SUMIF($C$6:$AL$6,1,C180:AL180)</f>
        <v>111.419551181015</v>
      </c>
      <c r="AN180" s="45" t="n">
        <f aca="false">SUMIF($C$6:$AL$6,2,C180:AL180)</f>
        <v>281.829819959512</v>
      </c>
      <c r="AO180" s="45" t="n">
        <f aca="false">SUMIF($C$6:$AL$6,3,C180:AL180)</f>
        <v>377.412072971449</v>
      </c>
      <c r="AP180" s="45" t="n">
        <f aca="false">SUM(C180:AL180)</f>
        <v>770.661444111976</v>
      </c>
    </row>
    <row r="181" customFormat="false" ht="15" hidden="false" customHeight="false" outlineLevel="0" collapsed="false">
      <c r="A181" s="5" t="s">
        <v>564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</row>
    <row r="182" customFormat="false" ht="15" hidden="false" customHeight="false" outlineLevel="0" collapsed="false">
      <c r="A182" s="7" t="s">
        <v>746</v>
      </c>
      <c r="B182" s="9" t="s">
        <v>308</v>
      </c>
      <c r="C182" s="37" t="n">
        <f aca="false">IF(AND(Assumptions!$D$134=1,C$4&gt;=Assumptions!$D$135),1,0)</f>
        <v>0</v>
      </c>
      <c r="D182" s="37" t="n">
        <f aca="false">IF(AND(Assumptions!$D$134=1,D$4&gt;=Assumptions!$D$135),1,0)</f>
        <v>0</v>
      </c>
      <c r="E182" s="37" t="n">
        <f aca="false">IF(AND(Assumptions!$D$134=1,E$4&gt;=Assumptions!$D$135),1,0)</f>
        <v>0</v>
      </c>
      <c r="F182" s="37" t="n">
        <f aca="false">IF(AND(Assumptions!$D$134=1,F$4&gt;=Assumptions!$D$135),1,0)</f>
        <v>1</v>
      </c>
      <c r="G182" s="37" t="n">
        <f aca="false">IF(AND(Assumptions!$D$134=1,G$4&gt;=Assumptions!$D$135),1,0)</f>
        <v>1</v>
      </c>
      <c r="H182" s="37" t="n">
        <f aca="false">IF(AND(Assumptions!$D$134=1,H$4&gt;=Assumptions!$D$135),1,0)</f>
        <v>1</v>
      </c>
      <c r="I182" s="37" t="n">
        <f aca="false">IF(AND(Assumptions!$D$134=1,I$4&gt;=Assumptions!$D$135),1,0)</f>
        <v>1</v>
      </c>
      <c r="J182" s="37" t="n">
        <f aca="false">IF(AND(Assumptions!$D$134=1,J$4&gt;=Assumptions!$D$135),1,0)</f>
        <v>1</v>
      </c>
      <c r="K182" s="37" t="n">
        <f aca="false">IF(AND(Assumptions!$D$134=1,K$4&gt;=Assumptions!$D$135),1,0)</f>
        <v>1</v>
      </c>
      <c r="L182" s="37" t="n">
        <f aca="false">IF(AND(Assumptions!$D$134=1,L$4&gt;=Assumptions!$D$135),1,0)</f>
        <v>1</v>
      </c>
      <c r="M182" s="37" t="n">
        <f aca="false">IF(AND(Assumptions!$D$134=1,M$4&gt;=Assumptions!$D$135),1,0)</f>
        <v>1</v>
      </c>
      <c r="N182" s="37" t="n">
        <f aca="false">IF(AND(Assumptions!$D$134=1,N$4&gt;=Assumptions!$D$135),1,0)</f>
        <v>1</v>
      </c>
      <c r="O182" s="37" t="n">
        <f aca="false">IF(AND(Assumptions!$D$134=1,O$4&gt;=Assumptions!$D$135),1,0)</f>
        <v>1</v>
      </c>
      <c r="P182" s="37" t="n">
        <f aca="false">IF(AND(Assumptions!$D$134=1,P$4&gt;=Assumptions!$D$135),1,0)</f>
        <v>1</v>
      </c>
      <c r="Q182" s="37" t="n">
        <f aca="false">IF(AND(Assumptions!$D$134=1,Q$4&gt;=Assumptions!$D$135),1,0)</f>
        <v>1</v>
      </c>
      <c r="R182" s="37" t="n">
        <f aca="false">IF(AND(Assumptions!$D$134=1,R$4&gt;=Assumptions!$D$135),1,0)</f>
        <v>1</v>
      </c>
      <c r="S182" s="37" t="n">
        <f aca="false">IF(AND(Assumptions!$D$134=1,S$4&gt;=Assumptions!$D$135),1,0)</f>
        <v>1</v>
      </c>
      <c r="T182" s="37" t="n">
        <f aca="false">IF(AND(Assumptions!$D$134=1,T$4&gt;=Assumptions!$D$135),1,0)</f>
        <v>1</v>
      </c>
      <c r="U182" s="37" t="n">
        <f aca="false">IF(AND(Assumptions!$D$134=1,U$4&gt;=Assumptions!$D$135),1,0)</f>
        <v>1</v>
      </c>
      <c r="V182" s="37" t="n">
        <f aca="false">IF(AND(Assumptions!$D$134=1,V$4&gt;=Assumptions!$D$135),1,0)</f>
        <v>1</v>
      </c>
      <c r="W182" s="37" t="n">
        <f aca="false">IF(AND(Assumptions!$D$134=1,W$4&gt;=Assumptions!$D$135),1,0)</f>
        <v>1</v>
      </c>
      <c r="X182" s="37" t="n">
        <f aca="false">IF(AND(Assumptions!$D$134=1,X$4&gt;=Assumptions!$D$135),1,0)</f>
        <v>1</v>
      </c>
      <c r="Y182" s="37" t="n">
        <f aca="false">IF(AND(Assumptions!$D$134=1,Y$4&gt;=Assumptions!$D$135),1,0)</f>
        <v>1</v>
      </c>
      <c r="Z182" s="37" t="n">
        <f aca="false">IF(AND(Assumptions!$D$134=1,Z$4&gt;=Assumptions!$D$135),1,0)</f>
        <v>1</v>
      </c>
      <c r="AA182" s="37" t="n">
        <f aca="false">IF(AND(Assumptions!$D$134=1,AA$4&gt;=Assumptions!$D$135),1,0)</f>
        <v>1</v>
      </c>
      <c r="AB182" s="37" t="n">
        <f aca="false">IF(AND(Assumptions!$D$134=1,AB$4&gt;=Assumptions!$D$135),1,0)</f>
        <v>1</v>
      </c>
      <c r="AC182" s="37" t="n">
        <f aca="false">IF(AND(Assumptions!$D$134=1,AC$4&gt;=Assumptions!$D$135),1,0)</f>
        <v>1</v>
      </c>
      <c r="AD182" s="37" t="n">
        <f aca="false">IF(AND(Assumptions!$D$134=1,AD$4&gt;=Assumptions!$D$135),1,0)</f>
        <v>1</v>
      </c>
      <c r="AE182" s="37" t="n">
        <f aca="false">IF(AND(Assumptions!$D$134=1,AE$4&gt;=Assumptions!$D$135),1,0)</f>
        <v>1</v>
      </c>
      <c r="AF182" s="37" t="n">
        <f aca="false">IF(AND(Assumptions!$D$134=1,AF$4&gt;=Assumptions!$D$135),1,0)</f>
        <v>1</v>
      </c>
      <c r="AG182" s="37" t="n">
        <f aca="false">IF(AND(Assumptions!$D$134=1,AG$4&gt;=Assumptions!$D$135),1,0)</f>
        <v>1</v>
      </c>
      <c r="AH182" s="37" t="n">
        <f aca="false">IF(AND(Assumptions!$D$134=1,AH$4&gt;=Assumptions!$D$135),1,0)</f>
        <v>1</v>
      </c>
      <c r="AI182" s="37" t="n">
        <f aca="false">IF(AND(Assumptions!$D$134=1,AI$4&gt;=Assumptions!$D$135),1,0)</f>
        <v>1</v>
      </c>
      <c r="AJ182" s="37" t="n">
        <f aca="false">IF(AND(Assumptions!$D$134=1,AJ$4&gt;=Assumptions!$D$135),1,0)</f>
        <v>1</v>
      </c>
      <c r="AK182" s="37" t="n">
        <f aca="false">IF(AND(Assumptions!$D$134=1,AK$4&gt;=Assumptions!$D$135),1,0)</f>
        <v>1</v>
      </c>
      <c r="AL182" s="37" t="n">
        <f aca="false">IF(AND(Assumptions!$D$134=1,AL$4&gt;=Assumptions!$D$135),1,0)</f>
        <v>1</v>
      </c>
    </row>
    <row r="183" customFormat="false" ht="15" hidden="false" customHeight="false" outlineLevel="0" collapsed="false">
      <c r="A183" s="7" t="s">
        <v>747</v>
      </c>
      <c r="B183" s="9" t="s">
        <v>316</v>
      </c>
      <c r="C183" s="14" t="n">
        <f aca="false">IF(C182=0,0,C143*Assumptions!$D$105)</f>
        <v>0</v>
      </c>
      <c r="D183" s="14" t="n">
        <f aca="false">IF(D182=0,0,D143*Assumptions!$D$105)</f>
        <v>0</v>
      </c>
      <c r="E183" s="14" t="n">
        <f aca="false">IF(E182=0,0,E143*Assumptions!$D$105)</f>
        <v>0</v>
      </c>
      <c r="F183" s="14" t="n">
        <f aca="false">IF(F182=0,0,F143*Assumptions!$D$105)</f>
        <v>168.59136</v>
      </c>
      <c r="G183" s="14" t="n">
        <f aca="false">IF(G182=0,0,G143*Assumptions!$D$105)</f>
        <v>188.8223232</v>
      </c>
      <c r="H183" s="14" t="n">
        <f aca="false">IF(H182=0,0,H143*Assumptions!$D$105)</f>
        <v>211.481001984</v>
      </c>
      <c r="I183" s="14" t="n">
        <f aca="false">IF(I182=0,0,I143*Assumptions!$D$105)</f>
        <v>236.85872222208</v>
      </c>
      <c r="J183" s="14" t="n">
        <f aca="false">IF(J182=0,0,J143*Assumptions!$D$105)</f>
        <v>265.28176888873</v>
      </c>
      <c r="K183" s="14" t="n">
        <f aca="false">IF(K182=0,0,K143*Assumptions!$D$105)</f>
        <v>297.115581155377</v>
      </c>
      <c r="L183" s="14" t="n">
        <f aca="false">IF(L182=0,0,L143*Assumptions!$D$105)</f>
        <v>332.769450894023</v>
      </c>
      <c r="M183" s="14" t="n">
        <f aca="false">IF(M182=0,0,M143*Assumptions!$D$105)</f>
        <v>372.701785001306</v>
      </c>
      <c r="N183" s="14" t="n">
        <f aca="false">IF(N182=0,0,N143*Assumptions!$D$105)</f>
        <v>417.425999201462</v>
      </c>
      <c r="O183" s="14" t="n">
        <f aca="false">IF(O182=0,0,O143*Assumptions!$D$105)</f>
        <v>442.47155915355</v>
      </c>
      <c r="P183" s="14" t="n">
        <f aca="false">IF(P182=0,0,P143*Assumptions!$D$105)</f>
        <v>469.019852702763</v>
      </c>
      <c r="Q183" s="14" t="n">
        <f aca="false">IF(Q182=0,0,Q143*Assumptions!$D$105)</f>
        <v>497.161043864929</v>
      </c>
      <c r="R183" s="14" t="n">
        <f aca="false">IF(R182=0,0,R143*Assumptions!$D$105)</f>
        <v>526.990706496825</v>
      </c>
      <c r="S183" s="14" t="n">
        <f aca="false">IF(S182=0,0,S143*Assumptions!$D$105)</f>
        <v>558.610148886634</v>
      </c>
      <c r="T183" s="14" t="n">
        <f aca="false">IF(T182=0,0,T143*Assumptions!$D$105)</f>
        <v>592.126757819832</v>
      </c>
      <c r="U183" s="14" t="n">
        <f aca="false">IF(U182=0,0,U143*Assumptions!$D$105)</f>
        <v>627.654363289022</v>
      </c>
      <c r="V183" s="14" t="n">
        <f aca="false">IF(V182=0,0,V143*Assumptions!$D$105)</f>
        <v>665.313625086363</v>
      </c>
      <c r="W183" s="14" t="n">
        <f aca="false">IF(W182=0,0,W143*Assumptions!$D$105)</f>
        <v>705.232442591545</v>
      </c>
      <c r="X183" s="14" t="n">
        <f aca="false">IF(X182=0,0,X143*Assumptions!$D$105)</f>
        <v>747.546389147038</v>
      </c>
      <c r="Y183" s="14" t="n">
        <f aca="false">IF(Y182=0,0,Y143*Assumptions!$D$105)</f>
        <v>792.39917249586</v>
      </c>
      <c r="Z183" s="14" t="n">
        <f aca="false">IF(Z182=0,0,Z143*Assumptions!$D$105)</f>
        <v>839.943122845612</v>
      </c>
      <c r="AA183" s="14" t="n">
        <f aca="false">IF(AA182=0,0,AA143*Assumptions!$D$105)</f>
        <v>865.14141653098</v>
      </c>
      <c r="AB183" s="14" t="n">
        <f aca="false">IF(AB182=0,0,AB143*Assumptions!$D$105)</f>
        <v>891.09565902691</v>
      </c>
      <c r="AC183" s="14" t="n">
        <f aca="false">IF(AC182=0,0,AC143*Assumptions!$D$105)</f>
        <v>917.828528797717</v>
      </c>
      <c r="AD183" s="14" t="n">
        <f aca="false">IF(AD182=0,0,AD143*Assumptions!$D$105)</f>
        <v>945.363384661648</v>
      </c>
      <c r="AE183" s="14" t="n">
        <f aca="false">IF(AE182=0,0,AE143*Assumptions!$D$105)</f>
        <v>973.724286201498</v>
      </c>
      <c r="AF183" s="14" t="n">
        <f aca="false">IF(AF182=0,0,AF143*Assumptions!$D$105)</f>
        <v>1002.93601478754</v>
      </c>
      <c r="AG183" s="14" t="n">
        <f aca="false">IF(AG182=0,0,AG143*Assumptions!$D$105)</f>
        <v>1033.02409523117</v>
      </c>
      <c r="AH183" s="14" t="n">
        <f aca="false">IF(AH182=0,0,AH143*Assumptions!$D$105)</f>
        <v>1064.0148180881</v>
      </c>
      <c r="AI183" s="14" t="n">
        <f aca="false">IF(AI182=0,0,AI143*Assumptions!$D$105)</f>
        <v>1095.93526263075</v>
      </c>
      <c r="AJ183" s="14" t="n">
        <f aca="false">IF(AJ182=0,0,AJ143*Assumptions!$D$105)</f>
        <v>1128.81332050967</v>
      </c>
      <c r="AK183" s="14" t="n">
        <f aca="false">IF(AK182=0,0,AK143*Assumptions!$D$105)</f>
        <v>1162.67772012496</v>
      </c>
      <c r="AL183" s="14" t="n">
        <f aca="false">IF(AL182=0,0,AL143*Assumptions!$D$105)</f>
        <v>1197.55805172871</v>
      </c>
    </row>
    <row r="184" customFormat="false" ht="15" hidden="false" customHeight="false" outlineLevel="0" collapsed="false">
      <c r="A184" s="7" t="s">
        <v>760</v>
      </c>
      <c r="B184" s="9" t="s">
        <v>316</v>
      </c>
      <c r="C184" s="52" t="n">
        <f aca="false">C183*C$7</f>
        <v>0</v>
      </c>
      <c r="D184" s="52" t="n">
        <f aca="false">D183*D$7</f>
        <v>0</v>
      </c>
      <c r="E184" s="52" t="n">
        <f aca="false">E183*E$7</f>
        <v>0</v>
      </c>
      <c r="F184" s="52" t="n">
        <f aca="false">F183*F$7</f>
        <v>210.7392</v>
      </c>
      <c r="G184" s="52" t="n">
        <f aca="false">G183*G$7</f>
        <v>169.94009088</v>
      </c>
      <c r="H184" s="52" t="n">
        <f aca="false">H183*H$7</f>
        <v>211.481001984</v>
      </c>
      <c r="I184" s="52" t="n">
        <f aca="false">I183*I$7</f>
        <v>248.701658333184</v>
      </c>
      <c r="J184" s="52" t="n">
        <f aca="false">J183*J$7</f>
        <v>252.017680444293</v>
      </c>
      <c r="K184" s="52" t="n">
        <f aca="false">K183*K$7</f>
        <v>297.115581155377</v>
      </c>
      <c r="L184" s="52" t="n">
        <f aca="false">L183*L$7</f>
        <v>316.130978349322</v>
      </c>
      <c r="M184" s="52" t="n">
        <f aca="false">M183*M$7</f>
        <v>316.79651725111</v>
      </c>
      <c r="N184" s="52" t="n">
        <f aca="false">N183*N$7</f>
        <v>354.812099321243</v>
      </c>
      <c r="O184" s="52" t="n">
        <f aca="false">O183*O$7</f>
        <v>420.347981195872</v>
      </c>
      <c r="P184" s="52" t="n">
        <f aca="false">P183*P$7</f>
        <v>609.725808513592</v>
      </c>
      <c r="Q184" s="52" t="n">
        <f aca="false">Q183*Q$7</f>
        <v>671.167409217654</v>
      </c>
      <c r="R184" s="52" t="n">
        <f aca="false">R183*R$7</f>
        <v>658.738383121031</v>
      </c>
      <c r="S184" s="52" t="n">
        <f aca="false">S183*S$7</f>
        <v>502.749133997971</v>
      </c>
      <c r="T184" s="52" t="n">
        <f aca="false">T183*T$7</f>
        <v>592.126757819832</v>
      </c>
      <c r="U184" s="52" t="n">
        <f aca="false">U183*U$7</f>
        <v>659.037081453473</v>
      </c>
      <c r="V184" s="52" t="n">
        <f aca="false">V183*V$7</f>
        <v>632.047943832045</v>
      </c>
      <c r="W184" s="52" t="n">
        <f aca="false">W183*W$7</f>
        <v>705.232442591545</v>
      </c>
      <c r="X184" s="52" t="n">
        <f aca="false">X183*X$7</f>
        <v>710.169069689686</v>
      </c>
      <c r="Y184" s="52" t="n">
        <f aca="false">Y183*Y$7</f>
        <v>673.539296621481</v>
      </c>
      <c r="Z184" s="52" t="n">
        <f aca="false">Z183*Z$7</f>
        <v>713.95165441877</v>
      </c>
      <c r="AA184" s="52" t="n">
        <f aca="false">AA183*AA$7</f>
        <v>821.884345704431</v>
      </c>
      <c r="AB184" s="52" t="n">
        <f aca="false">AB183*AB$7</f>
        <v>1158.42435673498</v>
      </c>
      <c r="AC184" s="52" t="n">
        <f aca="false">AC183*AC$7</f>
        <v>1239.06851387692</v>
      </c>
      <c r="AD184" s="52" t="n">
        <f aca="false">AD183*AD$7</f>
        <v>1181.70423082706</v>
      </c>
      <c r="AE184" s="52" t="n">
        <f aca="false">AE183*AE$7</f>
        <v>876.351857581348</v>
      </c>
      <c r="AF184" s="52" t="n">
        <f aca="false">AF183*AF$7</f>
        <v>1002.93601478754</v>
      </c>
      <c r="AG184" s="52" t="n">
        <f aca="false">AG183*AG$7</f>
        <v>1084.67529999273</v>
      </c>
      <c r="AH184" s="52" t="n">
        <f aca="false">AH183*AH$7</f>
        <v>1010.8140771837</v>
      </c>
      <c r="AI184" s="52" t="n">
        <f aca="false">AI183*AI$7</f>
        <v>1095.93526263075</v>
      </c>
      <c r="AJ184" s="52" t="n">
        <f aca="false">AJ183*AJ$7</f>
        <v>1072.37265448419</v>
      </c>
      <c r="AK184" s="52" t="n">
        <f aca="false">AK183*AK$7</f>
        <v>988.276062106216</v>
      </c>
      <c r="AL184" s="52" t="n">
        <f aca="false">AL183*AL$7</f>
        <v>1017.9243439694</v>
      </c>
      <c r="AM184" s="53" t="n">
        <f aca="false">SUMIF($C$6:$AL$6,1,C184:AL184)</f>
        <v>2377.73480771853</v>
      </c>
      <c r="AN184" s="53" t="n">
        <f aca="false">SUMIF($C$6:$AL$6,2,C184:AL184)</f>
        <v>7548.83296247295</v>
      </c>
      <c r="AO184" s="53" t="n">
        <f aca="false">SUMIF($C$6:$AL$6,3,C184:AL184)</f>
        <v>12550.3670198793</v>
      </c>
      <c r="AP184" s="53" t="n">
        <f aca="false">SUM(C184:AL184)</f>
        <v>22476.9347900707</v>
      </c>
    </row>
    <row r="185" customFormat="false" ht="15" hidden="false" customHeight="false" outlineLevel="0" collapsed="false">
      <c r="A185" s="7" t="s">
        <v>749</v>
      </c>
      <c r="B185" s="9" t="s">
        <v>88</v>
      </c>
      <c r="C185" s="54" t="n">
        <f aca="false">Assumptions!$D$136*MIN(1,(C$4-Assumptions!$D$135+1)/Assumptions!$C$10)*C182</f>
        <v>-0</v>
      </c>
      <c r="D185" s="54" t="n">
        <f aca="false">Assumptions!$D$136*MIN(1,(D$4-Assumptions!$D$135+1)/Assumptions!$C$10)*D182</f>
        <v>-0</v>
      </c>
      <c r="E185" s="54" t="n">
        <f aca="false">Assumptions!$D$136*MIN(1,(E$4-Assumptions!$D$135+1)/Assumptions!$C$10)*E182</f>
        <v>0</v>
      </c>
      <c r="F185" s="54" t="n">
        <f aca="false">Assumptions!$D$136*MIN(1,(F$4-Assumptions!$D$135+1)/Assumptions!$C$10)*F182</f>
        <v>0.002</v>
      </c>
      <c r="G185" s="54" t="n">
        <f aca="false">Assumptions!$D$136*MIN(1,(G$4-Assumptions!$D$135+1)/Assumptions!$C$10)*G182</f>
        <v>0.004</v>
      </c>
      <c r="H185" s="54" t="n">
        <f aca="false">Assumptions!$D$136*MIN(1,(H$4-Assumptions!$D$135+1)/Assumptions!$C$10)*H182</f>
        <v>0.006</v>
      </c>
      <c r="I185" s="54" t="n">
        <f aca="false">Assumptions!$D$136*MIN(1,(I$4-Assumptions!$D$135+1)/Assumptions!$C$10)*I182</f>
        <v>0.008</v>
      </c>
      <c r="J185" s="54" t="n">
        <f aca="false">Assumptions!$D$136*MIN(1,(J$4-Assumptions!$D$135+1)/Assumptions!$C$10)*J182</f>
        <v>0.01</v>
      </c>
      <c r="K185" s="54" t="n">
        <f aca="false">Assumptions!$D$136*MIN(1,(K$4-Assumptions!$D$135+1)/Assumptions!$C$10)*K182</f>
        <v>0.012</v>
      </c>
      <c r="L185" s="54" t="n">
        <f aca="false">Assumptions!$D$136*MIN(1,(L$4-Assumptions!$D$135+1)/Assumptions!$C$10)*L182</f>
        <v>0.012</v>
      </c>
      <c r="M185" s="54" t="n">
        <f aca="false">Assumptions!$D$136*MIN(1,(M$4-Assumptions!$D$135+1)/Assumptions!$C$10)*M182</f>
        <v>0.012</v>
      </c>
      <c r="N185" s="54" t="n">
        <f aca="false">Assumptions!$D$136*MIN(1,(N$4-Assumptions!$D$135+1)/Assumptions!$C$10)*N182</f>
        <v>0.012</v>
      </c>
      <c r="O185" s="54" t="n">
        <f aca="false">Assumptions!$D$136*MIN(1,(O$4-Assumptions!$D$135+1)/Assumptions!$C$10)*O182</f>
        <v>0.012</v>
      </c>
      <c r="P185" s="54" t="n">
        <f aca="false">Assumptions!$D$136*MIN(1,(P$4-Assumptions!$D$135+1)/Assumptions!$C$10)*P182</f>
        <v>0.012</v>
      </c>
      <c r="Q185" s="54" t="n">
        <f aca="false">Assumptions!$D$136*MIN(1,(Q$4-Assumptions!$D$135+1)/Assumptions!$C$10)*Q182</f>
        <v>0.012</v>
      </c>
      <c r="R185" s="54" t="n">
        <f aca="false">Assumptions!$D$136*MIN(1,(R$4-Assumptions!$D$135+1)/Assumptions!$C$10)*R182</f>
        <v>0.012</v>
      </c>
      <c r="S185" s="54" t="n">
        <f aca="false">Assumptions!$D$136*MIN(1,(S$4-Assumptions!$D$135+1)/Assumptions!$C$10)*S182</f>
        <v>0.012</v>
      </c>
      <c r="T185" s="54" t="n">
        <f aca="false">Assumptions!$D$136*MIN(1,(T$4-Assumptions!$D$135+1)/Assumptions!$C$10)*T182</f>
        <v>0.012</v>
      </c>
      <c r="U185" s="54" t="n">
        <f aca="false">Assumptions!$D$136*MIN(1,(U$4-Assumptions!$D$135+1)/Assumptions!$C$10)*U182</f>
        <v>0.012</v>
      </c>
      <c r="V185" s="54" t="n">
        <f aca="false">Assumptions!$D$136*MIN(1,(V$4-Assumptions!$D$135+1)/Assumptions!$C$10)*V182</f>
        <v>0.012</v>
      </c>
      <c r="W185" s="54" t="n">
        <f aca="false">Assumptions!$D$136*MIN(1,(W$4-Assumptions!$D$135+1)/Assumptions!$C$10)*W182</f>
        <v>0.012</v>
      </c>
      <c r="X185" s="54" t="n">
        <f aca="false">Assumptions!$D$136*MIN(1,(X$4-Assumptions!$D$135+1)/Assumptions!$C$10)*X182</f>
        <v>0.012</v>
      </c>
      <c r="Y185" s="54" t="n">
        <f aca="false">Assumptions!$D$136*MIN(1,(Y$4-Assumptions!$D$135+1)/Assumptions!$C$10)*Y182</f>
        <v>0.012</v>
      </c>
      <c r="Z185" s="54" t="n">
        <f aca="false">Assumptions!$D$136*MIN(1,(Z$4-Assumptions!$D$135+1)/Assumptions!$C$10)*Z182</f>
        <v>0.012</v>
      </c>
      <c r="AA185" s="54" t="n">
        <f aca="false">Assumptions!$D$136*MIN(1,(AA$4-Assumptions!$D$135+1)/Assumptions!$C$10)*AA182</f>
        <v>0.012</v>
      </c>
      <c r="AB185" s="54" t="n">
        <f aca="false">Assumptions!$D$136*MIN(1,(AB$4-Assumptions!$D$135+1)/Assumptions!$C$10)*AB182</f>
        <v>0.012</v>
      </c>
      <c r="AC185" s="54" t="n">
        <f aca="false">Assumptions!$D$136*MIN(1,(AC$4-Assumptions!$D$135+1)/Assumptions!$C$10)*AC182</f>
        <v>0.012</v>
      </c>
      <c r="AD185" s="54" t="n">
        <f aca="false">Assumptions!$D$136*MIN(1,(AD$4-Assumptions!$D$135+1)/Assumptions!$C$10)*AD182</f>
        <v>0.012</v>
      </c>
      <c r="AE185" s="54" t="n">
        <f aca="false">Assumptions!$D$136*MIN(1,(AE$4-Assumptions!$D$135+1)/Assumptions!$C$10)*AE182</f>
        <v>0.012</v>
      </c>
      <c r="AF185" s="54" t="n">
        <f aca="false">Assumptions!$D$136*MIN(1,(AF$4-Assumptions!$D$135+1)/Assumptions!$C$10)*AF182</f>
        <v>0.012</v>
      </c>
      <c r="AG185" s="54" t="n">
        <f aca="false">Assumptions!$D$136*MIN(1,(AG$4-Assumptions!$D$135+1)/Assumptions!$C$10)*AG182</f>
        <v>0.012</v>
      </c>
      <c r="AH185" s="54" t="n">
        <f aca="false">Assumptions!$D$136*MIN(1,(AH$4-Assumptions!$D$135+1)/Assumptions!$C$10)*AH182</f>
        <v>0.012</v>
      </c>
      <c r="AI185" s="54" t="n">
        <f aca="false">Assumptions!$D$136*MIN(1,(AI$4-Assumptions!$D$135+1)/Assumptions!$C$10)*AI182</f>
        <v>0.012</v>
      </c>
      <c r="AJ185" s="54" t="n">
        <f aca="false">Assumptions!$D$136*MIN(1,(AJ$4-Assumptions!$D$135+1)/Assumptions!$C$10)*AJ182</f>
        <v>0.012</v>
      </c>
      <c r="AK185" s="54" t="n">
        <f aca="false">Assumptions!$D$136*MIN(1,(AK$4-Assumptions!$D$135+1)/Assumptions!$C$10)*AK182</f>
        <v>0.012</v>
      </c>
      <c r="AL185" s="54" t="n">
        <f aca="false">Assumptions!$D$136*MIN(1,(AL$4-Assumptions!$D$135+1)/Assumptions!$C$10)*AL182</f>
        <v>0.012</v>
      </c>
    </row>
    <row r="186" customFormat="false" ht="15" hidden="false" customHeight="false" outlineLevel="0" collapsed="false">
      <c r="A186" s="7" t="s">
        <v>757</v>
      </c>
      <c r="B186" s="9" t="s">
        <v>751</v>
      </c>
      <c r="C186" s="55" t="n">
        <f aca="false">C184*C185</f>
        <v>-0</v>
      </c>
      <c r="D186" s="55" t="n">
        <f aca="false">D184*D185</f>
        <v>-0</v>
      </c>
      <c r="E186" s="55" t="n">
        <f aca="false">E184*E185</f>
        <v>0</v>
      </c>
      <c r="F186" s="55" t="n">
        <f aca="false">F184*F185</f>
        <v>0.4214784</v>
      </c>
      <c r="G186" s="55" t="n">
        <f aca="false">G184*G185</f>
        <v>0.67976036352</v>
      </c>
      <c r="H186" s="55" t="n">
        <f aca="false">H184*H185</f>
        <v>1.268886011904</v>
      </c>
      <c r="I186" s="55" t="n">
        <f aca="false">I184*I185</f>
        <v>1.98961326666547</v>
      </c>
      <c r="J186" s="55" t="n">
        <f aca="false">J184*J185</f>
        <v>2.52017680444293</v>
      </c>
      <c r="K186" s="55" t="n">
        <f aca="false">K184*K185</f>
        <v>3.56538697386453</v>
      </c>
      <c r="L186" s="55" t="n">
        <f aca="false">L184*L185</f>
        <v>3.79357174019186</v>
      </c>
      <c r="M186" s="55" t="n">
        <f aca="false">M184*M185</f>
        <v>3.80155820701332</v>
      </c>
      <c r="N186" s="55" t="n">
        <f aca="false">N184*N185</f>
        <v>4.25774519185491</v>
      </c>
      <c r="O186" s="55" t="n">
        <f aca="false">O184*O185</f>
        <v>5.04417577435047</v>
      </c>
      <c r="P186" s="55" t="n">
        <f aca="false">P184*P185</f>
        <v>7.3167097021631</v>
      </c>
      <c r="Q186" s="55" t="n">
        <f aca="false">Q184*Q185</f>
        <v>8.05400891061185</v>
      </c>
      <c r="R186" s="55" t="n">
        <f aca="false">R184*R185</f>
        <v>7.90486059745237</v>
      </c>
      <c r="S186" s="55" t="n">
        <f aca="false">S184*S185</f>
        <v>6.03298960797565</v>
      </c>
      <c r="T186" s="55" t="n">
        <f aca="false">T184*T185</f>
        <v>7.10552109383799</v>
      </c>
      <c r="U186" s="55" t="n">
        <f aca="false">U184*U185</f>
        <v>7.90844497744168</v>
      </c>
      <c r="V186" s="55" t="n">
        <f aca="false">V184*V185</f>
        <v>7.58457532598454</v>
      </c>
      <c r="W186" s="55" t="n">
        <f aca="false">W184*W185</f>
        <v>8.46278931109854</v>
      </c>
      <c r="X186" s="55" t="n">
        <f aca="false">X184*X185</f>
        <v>8.52202883627623</v>
      </c>
      <c r="Y186" s="55" t="n">
        <f aca="false">Y184*Y185</f>
        <v>8.08247155945777</v>
      </c>
      <c r="Z186" s="55" t="n">
        <f aca="false">Z184*Z185</f>
        <v>8.56741985302524</v>
      </c>
      <c r="AA186" s="55" t="n">
        <f aca="false">AA184*AA185</f>
        <v>9.86261214845318</v>
      </c>
      <c r="AB186" s="55" t="n">
        <f aca="false">AB184*AB185</f>
        <v>13.9010922808198</v>
      </c>
      <c r="AC186" s="55" t="n">
        <f aca="false">AC184*AC185</f>
        <v>14.868822166523</v>
      </c>
      <c r="AD186" s="55" t="n">
        <f aca="false">AD184*AD185</f>
        <v>14.1804507699247</v>
      </c>
      <c r="AE186" s="55" t="n">
        <f aca="false">AE184*AE185</f>
        <v>10.5162222909762</v>
      </c>
      <c r="AF186" s="55" t="n">
        <f aca="false">AF184*AF185</f>
        <v>12.0352321774505</v>
      </c>
      <c r="AG186" s="55" t="n">
        <f aca="false">AG184*AG185</f>
        <v>13.0161035999127</v>
      </c>
      <c r="AH186" s="55" t="n">
        <f aca="false">AH184*AH185</f>
        <v>12.1297689262044</v>
      </c>
      <c r="AI186" s="55" t="n">
        <f aca="false">AI184*AI185</f>
        <v>13.151223151569</v>
      </c>
      <c r="AJ186" s="55" t="n">
        <f aca="false">AJ184*AJ185</f>
        <v>12.8684718538102</v>
      </c>
      <c r="AK186" s="55" t="n">
        <f aca="false">AK184*AK185</f>
        <v>11.8593127452746</v>
      </c>
      <c r="AL186" s="55" t="n">
        <f aca="false">AL184*AL185</f>
        <v>12.2150921276328</v>
      </c>
      <c r="AM186" s="53" t="n">
        <f aca="false">SUMIF($C$6:$AL$6,1,C186:AL186)</f>
        <v>22.298176959457</v>
      </c>
      <c r="AN186" s="53" t="n">
        <f aca="false">SUMIF($C$6:$AL$6,2,C186:AL186)</f>
        <v>90.5859955496754</v>
      </c>
      <c r="AO186" s="53" t="n">
        <f aca="false">SUMIF($C$6:$AL$6,3,C186:AL186)</f>
        <v>150.604404238551</v>
      </c>
      <c r="AP186" s="53" t="n">
        <f aca="false">SUM(C186:AL186)</f>
        <v>263.488576747684</v>
      </c>
    </row>
    <row r="187" customFormat="false" ht="15" hidden="false" customHeight="false" outlineLevel="0" collapsed="false">
      <c r="A187" s="7" t="s">
        <v>752</v>
      </c>
      <c r="B187" s="9" t="s">
        <v>331</v>
      </c>
      <c r="C187" s="56" t="n">
        <f aca="false">C186*Assumptions!$D$137</f>
        <v>-0</v>
      </c>
      <c r="D187" s="56" t="n">
        <f aca="false">D186*Assumptions!$D$137</f>
        <v>-0</v>
      </c>
      <c r="E187" s="56" t="n">
        <f aca="false">E186*Assumptions!$D$137</f>
        <v>0</v>
      </c>
      <c r="F187" s="56" t="n">
        <f aca="false">F186*Assumptions!$D$137</f>
        <v>0.50577408</v>
      </c>
      <c r="G187" s="56" t="n">
        <f aca="false">G186*Assumptions!$D$137</f>
        <v>0.815712436224</v>
      </c>
      <c r="H187" s="56" t="n">
        <f aca="false">H186*Assumptions!$D$137</f>
        <v>1.5226632142848</v>
      </c>
      <c r="I187" s="56" t="n">
        <f aca="false">I186*Assumptions!$D$137</f>
        <v>2.38753591999857</v>
      </c>
      <c r="J187" s="56" t="n">
        <f aca="false">J186*Assumptions!$D$137</f>
        <v>3.02421216533152</v>
      </c>
      <c r="K187" s="56" t="n">
        <f aca="false">K186*Assumptions!$D$137</f>
        <v>4.27846436863743</v>
      </c>
      <c r="L187" s="56" t="n">
        <f aca="false">L186*Assumptions!$D$137</f>
        <v>4.55228608823023</v>
      </c>
      <c r="M187" s="56" t="n">
        <f aca="false">M186*Assumptions!$D$137</f>
        <v>4.56186984841598</v>
      </c>
      <c r="N187" s="56" t="n">
        <f aca="false">N186*Assumptions!$D$137</f>
        <v>5.1092942302259</v>
      </c>
      <c r="O187" s="56" t="n">
        <f aca="false">O186*Assumptions!$D$137</f>
        <v>6.05301092922056</v>
      </c>
      <c r="P187" s="56" t="n">
        <f aca="false">P186*Assumptions!$D$137</f>
        <v>8.78005164259572</v>
      </c>
      <c r="Q187" s="56" t="n">
        <f aca="false">Q186*Assumptions!$D$137</f>
        <v>9.66481069273421</v>
      </c>
      <c r="R187" s="56" t="n">
        <f aca="false">R186*Assumptions!$D$137</f>
        <v>9.48583271694284</v>
      </c>
      <c r="S187" s="56" t="n">
        <f aca="false">S186*Assumptions!$D$137</f>
        <v>7.23958752957078</v>
      </c>
      <c r="T187" s="56" t="n">
        <f aca="false">T186*Assumptions!$D$137</f>
        <v>8.52662531260558</v>
      </c>
      <c r="U187" s="56" t="n">
        <f aca="false">U186*Assumptions!$D$137</f>
        <v>9.49013397293001</v>
      </c>
      <c r="V187" s="56" t="n">
        <f aca="false">V186*Assumptions!$D$137</f>
        <v>9.10149039118145</v>
      </c>
      <c r="W187" s="56" t="n">
        <f aca="false">W186*Assumptions!$D$137</f>
        <v>10.1553471733183</v>
      </c>
      <c r="X187" s="56" t="n">
        <f aca="false">X186*Assumptions!$D$137</f>
        <v>10.2264346035315</v>
      </c>
      <c r="Y187" s="56" t="n">
        <f aca="false">Y186*Assumptions!$D$137</f>
        <v>9.69896587134933</v>
      </c>
      <c r="Z187" s="56" t="n">
        <f aca="false">Z186*Assumptions!$D$137</f>
        <v>10.2809038236303</v>
      </c>
      <c r="AA187" s="56" t="n">
        <f aca="false">AA186*Assumptions!$D$137</f>
        <v>11.8351345781438</v>
      </c>
      <c r="AB187" s="56" t="n">
        <f aca="false">AB186*Assumptions!$D$137</f>
        <v>16.6813107369838</v>
      </c>
      <c r="AC187" s="56" t="n">
        <f aca="false">AC186*Assumptions!$D$137</f>
        <v>17.8425865998276</v>
      </c>
      <c r="AD187" s="56" t="n">
        <f aca="false">AD186*Assumptions!$D$137</f>
        <v>17.0165409239097</v>
      </c>
      <c r="AE187" s="56" t="n">
        <f aca="false">AE186*Assumptions!$D$137</f>
        <v>12.6194667491714</v>
      </c>
      <c r="AF187" s="56" t="n">
        <f aca="false">AF186*Assumptions!$D$137</f>
        <v>14.4422786129406</v>
      </c>
      <c r="AG187" s="56" t="n">
        <f aca="false">AG186*Assumptions!$D$137</f>
        <v>15.6193243198953</v>
      </c>
      <c r="AH187" s="56" t="n">
        <f aca="false">AH186*Assumptions!$D$137</f>
        <v>14.5557227114453</v>
      </c>
      <c r="AI187" s="56" t="n">
        <f aca="false">AI186*Assumptions!$D$137</f>
        <v>15.7814677818828</v>
      </c>
      <c r="AJ187" s="56" t="n">
        <f aca="false">AJ186*Assumptions!$D$137</f>
        <v>15.4421662245723</v>
      </c>
      <c r="AK187" s="56" t="n">
        <f aca="false">AK186*Assumptions!$D$137</f>
        <v>14.2311752943295</v>
      </c>
      <c r="AL187" s="56" t="n">
        <f aca="false">AL186*Assumptions!$D$137</f>
        <v>14.6581105531594</v>
      </c>
      <c r="AM187" s="53" t="n">
        <f aca="false">SUMIF($C$6:$AL$6,1,C187:AL187)</f>
        <v>26.7578123513484</v>
      </c>
      <c r="AN187" s="53" t="n">
        <f aca="false">SUMIF($C$6:$AL$6,2,C187:AL187)</f>
        <v>108.703194659611</v>
      </c>
      <c r="AO187" s="53" t="n">
        <f aca="false">SUMIF($C$6:$AL$6,3,C187:AL187)</f>
        <v>180.725285086261</v>
      </c>
      <c r="AP187" s="53" t="n">
        <f aca="false">SUM(C187:AL187)</f>
        <v>316.18629209722</v>
      </c>
    </row>
    <row r="188" customFormat="false" ht="15" hidden="false" customHeight="false" outlineLevel="0" collapsed="false">
      <c r="A188" s="7" t="s">
        <v>753</v>
      </c>
      <c r="B188" s="9" t="s">
        <v>93</v>
      </c>
      <c r="C188" s="15" t="n">
        <f aca="false">'Unit Economics'!$E$54*Assumptions!$D$137*C182</f>
        <v>0</v>
      </c>
      <c r="D188" s="15" t="n">
        <f aca="false">'Unit Economics'!$E$54*Assumptions!$D$137*D182</f>
        <v>0</v>
      </c>
      <c r="E188" s="15" t="n">
        <f aca="false">'Unit Economics'!$E$54*Assumptions!$D$137*E182</f>
        <v>0</v>
      </c>
      <c r="F188" s="15" t="n">
        <f aca="false">'Unit Economics'!$E$54*Assumptions!$D$137*F182</f>
        <v>10.8507272727273</v>
      </c>
      <c r="G188" s="15" t="n">
        <f aca="false">'Unit Economics'!$E$54*Assumptions!$D$137*G182</f>
        <v>10.8507272727273</v>
      </c>
      <c r="H188" s="15" t="n">
        <f aca="false">'Unit Economics'!$E$54*Assumptions!$D$137*H182</f>
        <v>10.8507272727273</v>
      </c>
      <c r="I188" s="15" t="n">
        <f aca="false">'Unit Economics'!$E$54*Assumptions!$D$137*I182</f>
        <v>10.8507272727273</v>
      </c>
      <c r="J188" s="15" t="n">
        <f aca="false">'Unit Economics'!$E$54*Assumptions!$D$137*J182</f>
        <v>10.8507272727273</v>
      </c>
      <c r="K188" s="15" t="n">
        <f aca="false">'Unit Economics'!$E$54*Assumptions!$D$137*K182</f>
        <v>10.8507272727273</v>
      </c>
      <c r="L188" s="15" t="n">
        <f aca="false">'Unit Economics'!$E$54*Assumptions!$D$137*L182</f>
        <v>10.8507272727273</v>
      </c>
      <c r="M188" s="15" t="n">
        <f aca="false">'Unit Economics'!$E$54*Assumptions!$D$137*M182</f>
        <v>10.8507272727273</v>
      </c>
      <c r="N188" s="15" t="n">
        <f aca="false">'Unit Economics'!$E$54*Assumptions!$D$137*N182</f>
        <v>10.8507272727273</v>
      </c>
      <c r="O188" s="15" t="n">
        <f aca="false">'Unit Economics'!$E$54*Assumptions!$D$137*O182</f>
        <v>10.8507272727273</v>
      </c>
      <c r="P188" s="15" t="n">
        <f aca="false">'Unit Economics'!$E$54*Assumptions!$D$137*P182</f>
        <v>10.8507272727273</v>
      </c>
      <c r="Q188" s="15" t="n">
        <f aca="false">'Unit Economics'!$E$54*Assumptions!$D$137*Q182</f>
        <v>10.8507272727273</v>
      </c>
      <c r="R188" s="15" t="n">
        <f aca="false">'Unit Economics'!$E$54*Assumptions!$D$137*R182</f>
        <v>10.8507272727273</v>
      </c>
      <c r="S188" s="15" t="n">
        <f aca="false">'Unit Economics'!$E$54*Assumptions!$D$137*S182</f>
        <v>10.8507272727273</v>
      </c>
      <c r="T188" s="15" t="n">
        <f aca="false">'Unit Economics'!$E$54*Assumptions!$D$137*T182</f>
        <v>10.8507272727273</v>
      </c>
      <c r="U188" s="15" t="n">
        <f aca="false">'Unit Economics'!$E$54*Assumptions!$D$137*U182</f>
        <v>10.8507272727273</v>
      </c>
      <c r="V188" s="15" t="n">
        <f aca="false">'Unit Economics'!$E$54*Assumptions!$D$137*V182</f>
        <v>10.8507272727273</v>
      </c>
      <c r="W188" s="15" t="n">
        <f aca="false">'Unit Economics'!$E$54*Assumptions!$D$137*W182</f>
        <v>10.8507272727273</v>
      </c>
      <c r="X188" s="15" t="n">
        <f aca="false">'Unit Economics'!$E$54*Assumptions!$D$137*X182</f>
        <v>10.8507272727273</v>
      </c>
      <c r="Y188" s="15" t="n">
        <f aca="false">'Unit Economics'!$E$54*Assumptions!$D$137*Y182</f>
        <v>10.8507272727273</v>
      </c>
      <c r="Z188" s="15" t="n">
        <f aca="false">'Unit Economics'!$E$54*Assumptions!$D$137*Z182</f>
        <v>10.8507272727273</v>
      </c>
      <c r="AA188" s="15" t="n">
        <f aca="false">'Unit Economics'!$E$54*Assumptions!$D$137*AA182</f>
        <v>10.8507272727273</v>
      </c>
      <c r="AB188" s="15" t="n">
        <f aca="false">'Unit Economics'!$E$54*Assumptions!$D$137*AB182</f>
        <v>10.8507272727273</v>
      </c>
      <c r="AC188" s="15" t="n">
        <f aca="false">'Unit Economics'!$E$54*Assumptions!$D$137*AC182</f>
        <v>10.8507272727273</v>
      </c>
      <c r="AD188" s="15" t="n">
        <f aca="false">'Unit Economics'!$E$54*Assumptions!$D$137*AD182</f>
        <v>10.8507272727273</v>
      </c>
      <c r="AE188" s="15" t="n">
        <f aca="false">'Unit Economics'!$E$54*Assumptions!$D$137*AE182</f>
        <v>10.8507272727273</v>
      </c>
      <c r="AF188" s="15" t="n">
        <f aca="false">'Unit Economics'!$E$54*Assumptions!$D$137*AF182</f>
        <v>10.8507272727273</v>
      </c>
      <c r="AG188" s="15" t="n">
        <f aca="false">'Unit Economics'!$E$54*Assumptions!$D$137*AG182</f>
        <v>10.8507272727273</v>
      </c>
      <c r="AH188" s="15" t="n">
        <f aca="false">'Unit Economics'!$E$54*Assumptions!$D$137*AH182</f>
        <v>10.8507272727273</v>
      </c>
      <c r="AI188" s="15" t="n">
        <f aca="false">'Unit Economics'!$E$54*Assumptions!$D$137*AI182</f>
        <v>10.8507272727273</v>
      </c>
      <c r="AJ188" s="15" t="n">
        <f aca="false">'Unit Economics'!$E$54*Assumptions!$D$137*AJ182</f>
        <v>10.8507272727273</v>
      </c>
      <c r="AK188" s="15" t="n">
        <f aca="false">'Unit Economics'!$E$54*Assumptions!$D$137*AK182</f>
        <v>10.8507272727273</v>
      </c>
      <c r="AL188" s="15" t="n">
        <f aca="false">'Unit Economics'!$E$54*Assumptions!$D$137*AL182</f>
        <v>10.8507272727273</v>
      </c>
    </row>
    <row r="189" customFormat="false" ht="15" hidden="false" customHeight="false" outlineLevel="0" collapsed="false">
      <c r="A189" s="7" t="s">
        <v>754</v>
      </c>
      <c r="B189" s="9" t="s">
        <v>93</v>
      </c>
      <c r="C189" s="8" t="n">
        <f aca="false">C187*'Unit Economics'!$E$54</f>
        <v>-0</v>
      </c>
      <c r="D189" s="8" t="n">
        <f aca="false">D187*'Unit Economics'!$E$54</f>
        <v>-0</v>
      </c>
      <c r="E189" s="8" t="n">
        <f aca="false">E187*'Unit Economics'!$E$54</f>
        <v>0</v>
      </c>
      <c r="F189" s="8" t="n">
        <f aca="false">F187*'Unit Economics'!$E$54</f>
        <v>4.57334716974546</v>
      </c>
      <c r="G189" s="8" t="n">
        <f aca="false">G187*'Unit Economics'!$E$54</f>
        <v>7.37589431536547</v>
      </c>
      <c r="H189" s="8" t="n">
        <f aca="false">H187*'Unit Economics'!$E$54</f>
        <v>13.7683360553489</v>
      </c>
      <c r="I189" s="8" t="n">
        <f aca="false">I187*'Unit Economics'!$E$54</f>
        <v>21.5887509347871</v>
      </c>
      <c r="J189" s="8" t="n">
        <f aca="false">J187*'Unit Economics'!$E$54</f>
        <v>27.3457511840636</v>
      </c>
      <c r="K189" s="8" t="n">
        <f aca="false">K187*'Unit Economics'!$E$54</f>
        <v>38.6870416751384</v>
      </c>
      <c r="L189" s="8" t="n">
        <f aca="false">L187*'Unit Economics'!$E$54</f>
        <v>41.1630123423473</v>
      </c>
      <c r="M189" s="8" t="n">
        <f aca="false">M187*'Unit Economics'!$E$54</f>
        <v>41.2496713156996</v>
      </c>
      <c r="N189" s="8" t="n">
        <f aca="false">N187*'Unit Economics'!$E$54</f>
        <v>46.1996318735835</v>
      </c>
      <c r="O189" s="8" t="n">
        <f aca="false">O187*'Unit Economics'!$E$54</f>
        <v>54.7329756431748</v>
      </c>
      <c r="P189" s="8" t="n">
        <f aca="false">P187*'Unit Economics'!$E$54</f>
        <v>79.3916215118894</v>
      </c>
      <c r="Q189" s="8" t="n">
        <f aca="false">Q187*'Unit Economics'!$E$54</f>
        <v>87.3918541411644</v>
      </c>
      <c r="R189" s="8" t="n">
        <f aca="false">R187*'Unit Economics'!$E$54</f>
        <v>85.7734864718836</v>
      </c>
      <c r="S189" s="8" t="n">
        <f aca="false">S187*'Unit Economics'!$E$54</f>
        <v>65.4623248753416</v>
      </c>
      <c r="T189" s="8" t="n">
        <f aca="false">T187*'Unit Economics'!$E$54</f>
        <v>77.1000715198468</v>
      </c>
      <c r="U189" s="8" t="n">
        <f aca="false">U187*'Unit Economics'!$E$54</f>
        <v>85.8123796015894</v>
      </c>
      <c r="V189" s="8" t="n">
        <f aca="false">V187*'Unit Economics'!$E$54</f>
        <v>82.2981583417148</v>
      </c>
      <c r="W189" s="8" t="n">
        <f aca="false">W187*'Unit Economics'!$E$54</f>
        <v>91.8274187812818</v>
      </c>
      <c r="X189" s="8" t="n">
        <f aca="false">X187*'Unit Economics'!$E$54</f>
        <v>92.4702107127508</v>
      </c>
      <c r="Y189" s="8" t="n">
        <f aca="false">Y187*'Unit Economics'!$E$54</f>
        <v>87.700694581251</v>
      </c>
      <c r="Z189" s="8" t="n">
        <f aca="false">Z187*'Unit Economics'!$E$54</f>
        <v>92.9627362561261</v>
      </c>
      <c r="AA189" s="8" t="n">
        <f aca="false">AA187*'Unit Economics'!$E$54</f>
        <v>107.016514619552</v>
      </c>
      <c r="AB189" s="8" t="n">
        <f aca="false">AB187*'Unit Economics'!$E$54</f>
        <v>150.83696113219</v>
      </c>
      <c r="AC189" s="8" t="n">
        <f aca="false">AC187*'Unit Economics'!$E$54</f>
        <v>161.337534195623</v>
      </c>
      <c r="AD189" s="8" t="n">
        <f aca="false">AD187*'Unit Economics'!$E$54</f>
        <v>153.868203908789</v>
      </c>
      <c r="AE189" s="8" t="n">
        <f aca="false">AE187*'Unit Economics'!$E$54</f>
        <v>114.108660018758</v>
      </c>
      <c r="AF189" s="8" t="n">
        <f aca="false">AF187*'Unit Economics'!$E$54</f>
        <v>130.591022021467</v>
      </c>
      <c r="AG189" s="8" t="n">
        <f aca="false">AG187*'Unit Economics'!$E$54</f>
        <v>141.234190316217</v>
      </c>
      <c r="AH189" s="8" t="n">
        <f aca="false">AH187*'Unit Economics'!$E$54</f>
        <v>131.616814499446</v>
      </c>
      <c r="AI189" s="8" t="n">
        <f aca="false">AI187*'Unit Economics'!$E$54</f>
        <v>142.700335720452</v>
      </c>
      <c r="AJ189" s="8" t="n">
        <f aca="false">AJ187*'Unit Economics'!$E$54</f>
        <v>139.632278502462</v>
      </c>
      <c r="AK189" s="8" t="n">
        <f aca="false">AK187*'Unit Economics'!$E$54</f>
        <v>128.682168240953</v>
      </c>
      <c r="AL189" s="8" t="n">
        <f aca="false">AL187*'Unit Economics'!$E$54</f>
        <v>132.542633288182</v>
      </c>
      <c r="AM189" s="45" t="n">
        <f aca="false">SUMIF($C$6:$AL$6,1,C189:AL189)</f>
        <v>241.951436866079</v>
      </c>
      <c r="AN189" s="45" t="n">
        <f aca="false">SUMIF($C$6:$AL$6,2,C189:AL189)</f>
        <v>982.923932438015</v>
      </c>
      <c r="AO189" s="45" t="n">
        <f aca="false">SUMIF($C$6:$AL$6,3,C189:AL189)</f>
        <v>1634.16731646409</v>
      </c>
      <c r="AP189" s="45" t="n">
        <f aca="false">SUM(C189:AL189)</f>
        <v>2859.04268576818</v>
      </c>
    </row>
    <row r="190" customFormat="false" ht="15" hidden="false" customHeight="false" outlineLevel="0" collapsed="false">
      <c r="A190" s="7" t="s">
        <v>755</v>
      </c>
      <c r="B190" s="9" t="s">
        <v>93</v>
      </c>
      <c r="C190" s="8" t="n">
        <f aca="false">C187*'Unit Economics'!$F$54</f>
        <v>-0</v>
      </c>
      <c r="D190" s="8" t="n">
        <f aca="false">D187*'Unit Economics'!$F$54</f>
        <v>-0</v>
      </c>
      <c r="E190" s="8" t="n">
        <f aca="false">E187*'Unit Economics'!$F$54</f>
        <v>0</v>
      </c>
      <c r="F190" s="8" t="n">
        <f aca="false">F187*'Unit Economics'!$F$54</f>
        <v>3.771658469376</v>
      </c>
      <c r="G190" s="8" t="n">
        <f aca="false">G187*'Unit Economics'!$F$54</f>
        <v>6.08293077940962</v>
      </c>
      <c r="H190" s="8" t="n">
        <f aca="false">H187*'Unit Economics'!$F$54</f>
        <v>11.3548041215646</v>
      </c>
      <c r="I190" s="8" t="n">
        <f aca="false">I187*'Unit Economics'!$F$54</f>
        <v>17.8043328626133</v>
      </c>
      <c r="J190" s="8" t="n">
        <f aca="false">J187*'Unit Economics'!$F$54</f>
        <v>22.5521549593102</v>
      </c>
      <c r="K190" s="8" t="n">
        <f aca="false">K187*'Unit Economics'!$F$54</f>
        <v>31.9053644898031</v>
      </c>
      <c r="L190" s="8" t="n">
        <f aca="false">L187*'Unit Economics'!$F$54</f>
        <v>33.9473078171505</v>
      </c>
      <c r="M190" s="8" t="n">
        <f aca="false">M187*'Unit Economics'!$F$54</f>
        <v>34.0187758336076</v>
      </c>
      <c r="N190" s="8" t="n">
        <f aca="false">N187*'Unit Economics'!$F$54</f>
        <v>38.1010289336406</v>
      </c>
      <c r="O190" s="8" t="n">
        <f aca="false">O187*'Unit Economics'!$F$54</f>
        <v>45.1385131013836</v>
      </c>
      <c r="P190" s="8" t="n">
        <f aca="false">P187*'Unit Economics'!$F$54</f>
        <v>65.4746011091648</v>
      </c>
      <c r="Q190" s="8" t="n">
        <f aca="false">Q187*'Unit Economics'!$F$54</f>
        <v>72.0724262978576</v>
      </c>
      <c r="R190" s="8" t="n">
        <f aca="false">R187*'Unit Economics'!$F$54</f>
        <v>70.7377517367862</v>
      </c>
      <c r="S190" s="8" t="n">
        <f aca="false">S187*'Unit Economics'!$F$54</f>
        <v>53.9870521255152</v>
      </c>
      <c r="T190" s="8" t="n">
        <f aca="false">T187*'Unit Economics'!$F$54</f>
        <v>63.5847502811623</v>
      </c>
      <c r="U190" s="8" t="n">
        <f aca="false">U187*'Unit Economics'!$F$54</f>
        <v>70.7698270629337</v>
      </c>
      <c r="V190" s="8" t="n">
        <f aca="false">V187*'Unit Economics'!$F$54</f>
        <v>67.8716341451183</v>
      </c>
      <c r="W190" s="8" t="n">
        <f aca="false">W187*'Unit Economics'!$F$54</f>
        <v>75.7304549408689</v>
      </c>
      <c r="X190" s="8" t="n">
        <f aca="false">X187*'Unit Economics'!$F$54</f>
        <v>76.2605681254549</v>
      </c>
      <c r="Y190" s="8" t="n">
        <f aca="false">Y187*'Unit Economics'!$F$54</f>
        <v>72.3271282958262</v>
      </c>
      <c r="Z190" s="8" t="n">
        <f aca="false">Z187*'Unit Economics'!$F$54</f>
        <v>76.6667559935758</v>
      </c>
      <c r="AA190" s="8" t="n">
        <f aca="false">AA187*'Unit Economics'!$F$54</f>
        <v>88.256965576134</v>
      </c>
      <c r="AB190" s="8" t="n">
        <f aca="false">AB187*'Unit Economics'!$F$54</f>
        <v>124.395870427835</v>
      </c>
      <c r="AC190" s="8" t="n">
        <f aca="false">AC187*'Unit Economics'!$F$54</f>
        <v>133.055736792235</v>
      </c>
      <c r="AD190" s="8" t="n">
        <f aca="false">AD187*'Unit Economics'!$F$54</f>
        <v>126.895748977779</v>
      </c>
      <c r="AE190" s="8" t="n">
        <f aca="false">AE187*'Unit Economics'!$F$54</f>
        <v>94.1058874419211</v>
      </c>
      <c r="AF190" s="8" t="n">
        <f aca="false">AF187*'Unit Economics'!$F$54</f>
        <v>107.698960072421</v>
      </c>
      <c r="AG190" s="8" t="n">
        <f aca="false">AG187*'Unit Economics'!$F$54</f>
        <v>116.476425318323</v>
      </c>
      <c r="AH190" s="8" t="n">
        <f aca="false">AH187*'Unit Economics'!$F$54</f>
        <v>108.54493540379</v>
      </c>
      <c r="AI190" s="8" t="n">
        <f aca="false">AI187*'Unit Economics'!$F$54</f>
        <v>117.685561543056</v>
      </c>
      <c r="AJ190" s="8" t="n">
        <f aca="false">AJ187*'Unit Economics'!$F$54</f>
        <v>115.15532196988</v>
      </c>
      <c r="AK190" s="8" t="n">
        <f aca="false">AK187*'Unit Economics'!$F$54</f>
        <v>106.124720404874</v>
      </c>
      <c r="AL190" s="8" t="n">
        <f aca="false">AL187*'Unit Economics'!$F$54</f>
        <v>109.30846201702</v>
      </c>
      <c r="AM190" s="45" t="n">
        <f aca="false">SUMIF($C$6:$AL$6,1,C190:AL190)</f>
        <v>199.538358266476</v>
      </c>
      <c r="AN190" s="45" t="n">
        <f aca="false">SUMIF($C$6:$AL$6,2,C190:AL190)</f>
        <v>810.621463215648</v>
      </c>
      <c r="AO190" s="45" t="n">
        <f aca="false">SUMIF($C$6:$AL$6,3,C190:AL190)</f>
        <v>1347.70459594527</v>
      </c>
      <c r="AP190" s="45" t="n">
        <f aca="false">SUM(C190:AL190)</f>
        <v>2357.86441742739</v>
      </c>
    </row>
    <row r="191" customFormat="false" ht="15" hidden="false" customHeight="false" outlineLevel="0" collapsed="false">
      <c r="A191" s="5" t="s">
        <v>565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</row>
    <row r="192" customFormat="false" ht="15" hidden="false" customHeight="false" outlineLevel="0" collapsed="false">
      <c r="A192" s="7" t="s">
        <v>746</v>
      </c>
      <c r="B192" s="9" t="s">
        <v>308</v>
      </c>
      <c r="C192" s="37" t="n">
        <f aca="false">IF(AND(Assumptions!$D$139=1,C$4&gt;=Assumptions!$D$140),1,0)</f>
        <v>0</v>
      </c>
      <c r="D192" s="37" t="n">
        <f aca="false">IF(AND(Assumptions!$D$139=1,D$4&gt;=Assumptions!$D$140),1,0)</f>
        <v>0</v>
      </c>
      <c r="E192" s="37" t="n">
        <f aca="false">IF(AND(Assumptions!$D$139=1,E$4&gt;=Assumptions!$D$140),1,0)</f>
        <v>0</v>
      </c>
      <c r="F192" s="37" t="n">
        <f aca="false">IF(AND(Assumptions!$D$139=1,F$4&gt;=Assumptions!$D$140),1,0)</f>
        <v>1</v>
      </c>
      <c r="G192" s="37" t="n">
        <f aca="false">IF(AND(Assumptions!$D$139=1,G$4&gt;=Assumptions!$D$140),1,0)</f>
        <v>1</v>
      </c>
      <c r="H192" s="37" t="n">
        <f aca="false">IF(AND(Assumptions!$D$139=1,H$4&gt;=Assumptions!$D$140),1,0)</f>
        <v>1</v>
      </c>
      <c r="I192" s="37" t="n">
        <f aca="false">IF(AND(Assumptions!$D$139=1,I$4&gt;=Assumptions!$D$140),1,0)</f>
        <v>1</v>
      </c>
      <c r="J192" s="37" t="n">
        <f aca="false">IF(AND(Assumptions!$D$139=1,J$4&gt;=Assumptions!$D$140),1,0)</f>
        <v>1</v>
      </c>
      <c r="K192" s="37" t="n">
        <f aca="false">IF(AND(Assumptions!$D$139=1,K$4&gt;=Assumptions!$D$140),1,0)</f>
        <v>1</v>
      </c>
      <c r="L192" s="37" t="n">
        <f aca="false">IF(AND(Assumptions!$D$139=1,L$4&gt;=Assumptions!$D$140),1,0)</f>
        <v>1</v>
      </c>
      <c r="M192" s="37" t="n">
        <f aca="false">IF(AND(Assumptions!$D$139=1,M$4&gt;=Assumptions!$D$140),1,0)</f>
        <v>1</v>
      </c>
      <c r="N192" s="37" t="n">
        <f aca="false">IF(AND(Assumptions!$D$139=1,N$4&gt;=Assumptions!$D$140),1,0)</f>
        <v>1</v>
      </c>
      <c r="O192" s="37" t="n">
        <f aca="false">IF(AND(Assumptions!$D$139=1,O$4&gt;=Assumptions!$D$140),1,0)</f>
        <v>1</v>
      </c>
      <c r="P192" s="37" t="n">
        <f aca="false">IF(AND(Assumptions!$D$139=1,P$4&gt;=Assumptions!$D$140),1,0)</f>
        <v>1</v>
      </c>
      <c r="Q192" s="37" t="n">
        <f aca="false">IF(AND(Assumptions!$D$139=1,Q$4&gt;=Assumptions!$D$140),1,0)</f>
        <v>1</v>
      </c>
      <c r="R192" s="37" t="n">
        <f aca="false">IF(AND(Assumptions!$D$139=1,R$4&gt;=Assumptions!$D$140),1,0)</f>
        <v>1</v>
      </c>
      <c r="S192" s="37" t="n">
        <f aca="false">IF(AND(Assumptions!$D$139=1,S$4&gt;=Assumptions!$D$140),1,0)</f>
        <v>1</v>
      </c>
      <c r="T192" s="37" t="n">
        <f aca="false">IF(AND(Assumptions!$D$139=1,T$4&gt;=Assumptions!$D$140),1,0)</f>
        <v>1</v>
      </c>
      <c r="U192" s="37" t="n">
        <f aca="false">IF(AND(Assumptions!$D$139=1,U$4&gt;=Assumptions!$D$140),1,0)</f>
        <v>1</v>
      </c>
      <c r="V192" s="37" t="n">
        <f aca="false">IF(AND(Assumptions!$D$139=1,V$4&gt;=Assumptions!$D$140),1,0)</f>
        <v>1</v>
      </c>
      <c r="W192" s="37" t="n">
        <f aca="false">IF(AND(Assumptions!$D$139=1,W$4&gt;=Assumptions!$D$140),1,0)</f>
        <v>1</v>
      </c>
      <c r="X192" s="37" t="n">
        <f aca="false">IF(AND(Assumptions!$D$139=1,X$4&gt;=Assumptions!$D$140),1,0)</f>
        <v>1</v>
      </c>
      <c r="Y192" s="37" t="n">
        <f aca="false">IF(AND(Assumptions!$D$139=1,Y$4&gt;=Assumptions!$D$140),1,0)</f>
        <v>1</v>
      </c>
      <c r="Z192" s="37" t="n">
        <f aca="false">IF(AND(Assumptions!$D$139=1,Z$4&gt;=Assumptions!$D$140),1,0)</f>
        <v>1</v>
      </c>
      <c r="AA192" s="37" t="n">
        <f aca="false">IF(AND(Assumptions!$D$139=1,AA$4&gt;=Assumptions!$D$140),1,0)</f>
        <v>1</v>
      </c>
      <c r="AB192" s="37" t="n">
        <f aca="false">IF(AND(Assumptions!$D$139=1,AB$4&gt;=Assumptions!$D$140),1,0)</f>
        <v>1</v>
      </c>
      <c r="AC192" s="37" t="n">
        <f aca="false">IF(AND(Assumptions!$D$139=1,AC$4&gt;=Assumptions!$D$140),1,0)</f>
        <v>1</v>
      </c>
      <c r="AD192" s="37" t="n">
        <f aca="false">IF(AND(Assumptions!$D$139=1,AD$4&gt;=Assumptions!$D$140),1,0)</f>
        <v>1</v>
      </c>
      <c r="AE192" s="37" t="n">
        <f aca="false">IF(AND(Assumptions!$D$139=1,AE$4&gt;=Assumptions!$D$140),1,0)</f>
        <v>1</v>
      </c>
      <c r="AF192" s="37" t="n">
        <f aca="false">IF(AND(Assumptions!$D$139=1,AF$4&gt;=Assumptions!$D$140),1,0)</f>
        <v>1</v>
      </c>
      <c r="AG192" s="37" t="n">
        <f aca="false">IF(AND(Assumptions!$D$139=1,AG$4&gt;=Assumptions!$D$140),1,0)</f>
        <v>1</v>
      </c>
      <c r="AH192" s="37" t="n">
        <f aca="false">IF(AND(Assumptions!$D$139=1,AH$4&gt;=Assumptions!$D$140),1,0)</f>
        <v>1</v>
      </c>
      <c r="AI192" s="37" t="n">
        <f aca="false">IF(AND(Assumptions!$D$139=1,AI$4&gt;=Assumptions!$D$140),1,0)</f>
        <v>1</v>
      </c>
      <c r="AJ192" s="37" t="n">
        <f aca="false">IF(AND(Assumptions!$D$139=1,AJ$4&gt;=Assumptions!$D$140),1,0)</f>
        <v>1</v>
      </c>
      <c r="AK192" s="37" t="n">
        <f aca="false">IF(AND(Assumptions!$D$139=1,AK$4&gt;=Assumptions!$D$140),1,0)</f>
        <v>1</v>
      </c>
      <c r="AL192" s="37" t="n">
        <f aca="false">IF(AND(Assumptions!$D$139=1,AL$4&gt;=Assumptions!$D$140),1,0)</f>
        <v>1</v>
      </c>
    </row>
    <row r="193" customFormat="false" ht="15" hidden="false" customHeight="false" outlineLevel="0" collapsed="false">
      <c r="A193" s="7" t="s">
        <v>761</v>
      </c>
      <c r="B193" s="9" t="s">
        <v>762</v>
      </c>
      <c r="C193" s="14" t="n">
        <f aca="false">IF(C192=0,0,0*Assumptions!$D$143)</f>
        <v>0</v>
      </c>
      <c r="D193" s="14" t="n">
        <f aca="false">IF(D192=0,0,C234*Assumptions!$D$143)</f>
        <v>0</v>
      </c>
      <c r="E193" s="14" t="n">
        <f aca="false">IF(E192=0,0,D234*Assumptions!$D$143)</f>
        <v>0</v>
      </c>
      <c r="F193" s="14" t="n">
        <f aca="false">IF(F192=0,0,E234*Assumptions!$D$143)</f>
        <v>12.2732990390625</v>
      </c>
      <c r="G193" s="14" t="n">
        <f aca="false">IF(G192=0,0,F234*Assumptions!$D$143)</f>
        <v>18.0215522474766</v>
      </c>
      <c r="H193" s="14" t="n">
        <f aca="false">IF(H192=0,0,G234*Assumptions!$D$143)</f>
        <v>22.8388346461836</v>
      </c>
      <c r="I193" s="14" t="n">
        <f aca="false">IF(I192=0,0,H234*Assumptions!$D$143)</f>
        <v>29.1934396550291</v>
      </c>
      <c r="J193" s="14" t="n">
        <f aca="false">IF(J192=0,0,I234*Assumptions!$D$143)</f>
        <v>36.8680668758496</v>
      </c>
      <c r="K193" s="14" t="n">
        <f aca="false">IF(K192=0,0,J234*Assumptions!$D$143)</f>
        <v>44.5733553273183</v>
      </c>
      <c r="L193" s="14" t="n">
        <f aca="false">IF(L192=0,0,K234*Assumptions!$D$143)</f>
        <v>53.646949503497</v>
      </c>
      <c r="M193" s="14" t="n">
        <f aca="false">IF(M192=0,0,L234*Assumptions!$D$143)</f>
        <v>63.1976685868153</v>
      </c>
      <c r="N193" s="14" t="n">
        <f aca="false">IF(N192=0,0,M234*Assumptions!$D$143)</f>
        <v>72.580460495291</v>
      </c>
      <c r="O193" s="14" t="n">
        <f aca="false">IF(O192=0,0,N234*Assumptions!$D$143)</f>
        <v>83.0119621337557</v>
      </c>
      <c r="P193" s="14" t="n">
        <f aca="false">IF(P192=0,0,O234*Assumptions!$D$143)</f>
        <v>95.3583588591621</v>
      </c>
      <c r="Q193" s="14" t="n">
        <f aca="false">IF(Q192=0,0,P234*Assumptions!$D$143)</f>
        <v>113.562464758817</v>
      </c>
      <c r="R193" s="14" t="n">
        <f aca="false">IF(R192=0,0,Q234*Assumptions!$D$143)</f>
        <v>133.385084063007</v>
      </c>
      <c r="S193" s="14" t="n">
        <f aca="false">IF(S192=0,0,R234*Assumptions!$D$143)</f>
        <v>152.427896337481</v>
      </c>
      <c r="T193" s="14" t="n">
        <f aca="false">IF(T192=0,0,S234*Assumptions!$D$143)</f>
        <v>166.139104287474</v>
      </c>
      <c r="U193" s="14" t="n">
        <f aca="false">IF(U192=0,0,T234*Assumptions!$D$143)</f>
        <v>182.415975840327</v>
      </c>
      <c r="V193" s="14" t="n">
        <f aca="false">IF(V192=0,0,U234*Assumptions!$D$143)</f>
        <v>200.490123761101</v>
      </c>
      <c r="W193" s="14" t="n">
        <f aca="false">IF(W192=0,0,V234*Assumptions!$D$143)</f>
        <v>217.366071998921</v>
      </c>
      <c r="X193" s="14" t="n">
        <f aca="false">IF(X192=0,0,W234*Assumptions!$D$143)</f>
        <v>236.209121972034</v>
      </c>
      <c r="Y193" s="14" t="n">
        <f aca="false">IF(Y192=0,0,X234*Assumptions!$D$143)</f>
        <v>254.843106095405</v>
      </c>
      <c r="Z193" s="14" t="n">
        <f aca="false">IF(Z192=0,0,Y234*Assumptions!$D$143)</f>
        <v>271.978111206293</v>
      </c>
      <c r="AA193" s="14" t="n">
        <f aca="false">IF(AA192=0,0,Z234*Assumptions!$D$143)</f>
        <v>290.034834555734</v>
      </c>
      <c r="AB193" s="14" t="n">
        <f aca="false">IF(AB192=0,0,AA234*Assumptions!$D$143)</f>
        <v>311.112266924556</v>
      </c>
      <c r="AC193" s="14" t="n">
        <f aca="false">IF(AC192=0,0,AB234*Assumptions!$D$143)</f>
        <v>342.208928432068</v>
      </c>
      <c r="AD193" s="14" t="n">
        <f aca="false">IF(AD192=0,0,AC234*Assumptions!$D$143)</f>
        <v>375.247589050365</v>
      </c>
      <c r="AE193" s="14" t="n">
        <f aca="false">IF(AE192=0,0,AD234*Assumptions!$D$143)</f>
        <v>405.946739808332</v>
      </c>
      <c r="AF193" s="14" t="n">
        <f aca="false">IF(AF192=0,0,AE234*Assumptions!$D$143)</f>
        <v>426.741941952379</v>
      </c>
      <c r="AG193" s="14" t="n">
        <f aca="false">IF(AG192=0,0,AF234*Assumptions!$D$143)</f>
        <v>451.04466546092</v>
      </c>
      <c r="AH193" s="14" t="n">
        <f aca="false">IF(AH192=0,0,AG234*Assumptions!$D$143)</f>
        <v>477.416825229224</v>
      </c>
      <c r="AI193" s="14" t="n">
        <f aca="false">IF(AI192=0,0,AH234*Assumptions!$D$143)</f>
        <v>501.07376287574</v>
      </c>
      <c r="AJ193" s="14" t="n">
        <f aca="false">IF(AJ192=0,0,AI234*Assumptions!$D$143)</f>
        <v>526.903300833519</v>
      </c>
      <c r="AK193" s="14" t="n">
        <f aca="false">IF(AK192=0,0,AJ234*Assumptions!$D$143)</f>
        <v>551.562803351582</v>
      </c>
      <c r="AL193" s="14" t="n">
        <f aca="false">IF(AL192=0,0,AK234*Assumptions!$D$143)</f>
        <v>573.23886019828</v>
      </c>
    </row>
    <row r="194" customFormat="false" ht="15" hidden="false" customHeight="false" outlineLevel="0" collapsed="false">
      <c r="A194" s="7" t="s">
        <v>763</v>
      </c>
      <c r="B194" s="9" t="s">
        <v>316</v>
      </c>
      <c r="C194" s="52" t="n">
        <f aca="false">C193*C$7</f>
        <v>0</v>
      </c>
      <c r="D194" s="52" t="n">
        <f aca="false">D193*D$7</f>
        <v>0</v>
      </c>
      <c r="E194" s="52" t="n">
        <f aca="false">E193*E$7</f>
        <v>0</v>
      </c>
      <c r="F194" s="52" t="n">
        <f aca="false">F193*F$7</f>
        <v>15.3416237988281</v>
      </c>
      <c r="G194" s="52" t="n">
        <f aca="false">G193*G$7</f>
        <v>16.2193970227289</v>
      </c>
      <c r="H194" s="52" t="n">
        <f aca="false">H193*H$7</f>
        <v>22.8388346461836</v>
      </c>
      <c r="I194" s="52" t="n">
        <f aca="false">I193*I$7</f>
        <v>30.6531116377806</v>
      </c>
      <c r="J194" s="52" t="n">
        <f aca="false">J193*J$7</f>
        <v>35.0246635320572</v>
      </c>
      <c r="K194" s="52" t="n">
        <f aca="false">K193*K$7</f>
        <v>44.5733553273183</v>
      </c>
      <c r="L194" s="52" t="n">
        <f aca="false">L193*L$7</f>
        <v>50.9646020283221</v>
      </c>
      <c r="M194" s="52" t="n">
        <f aca="false">M193*M$7</f>
        <v>53.718018298793</v>
      </c>
      <c r="N194" s="52" t="n">
        <f aca="false">N193*N$7</f>
        <v>61.6933914209973</v>
      </c>
      <c r="O194" s="52" t="n">
        <f aca="false">O193*O$7</f>
        <v>78.861364027068</v>
      </c>
      <c r="P194" s="52" t="n">
        <f aca="false">P193*P$7</f>
        <v>123.965866516911</v>
      </c>
      <c r="Q194" s="52" t="n">
        <f aca="false">Q193*Q$7</f>
        <v>153.309327424403</v>
      </c>
      <c r="R194" s="52" t="n">
        <f aca="false">R193*R$7</f>
        <v>166.731355078758</v>
      </c>
      <c r="S194" s="52" t="n">
        <f aca="false">S193*S$7</f>
        <v>137.185106703733</v>
      </c>
      <c r="T194" s="52" t="n">
        <f aca="false">T193*T$7</f>
        <v>166.139104287474</v>
      </c>
      <c r="U194" s="52" t="n">
        <f aca="false">U193*U$7</f>
        <v>191.536774632343</v>
      </c>
      <c r="V194" s="52" t="n">
        <f aca="false">V193*V$7</f>
        <v>190.465617573046</v>
      </c>
      <c r="W194" s="52" t="n">
        <f aca="false">W193*W$7</f>
        <v>217.366071998921</v>
      </c>
      <c r="X194" s="52" t="n">
        <f aca="false">X193*X$7</f>
        <v>224.398665873432</v>
      </c>
      <c r="Y194" s="52" t="n">
        <f aca="false">Y193*Y$7</f>
        <v>216.616640181094</v>
      </c>
      <c r="Z194" s="52" t="n">
        <f aca="false">Z193*Z$7</f>
        <v>231.181394525349</v>
      </c>
      <c r="AA194" s="52" t="n">
        <f aca="false">AA193*AA$7</f>
        <v>275.533092827947</v>
      </c>
      <c r="AB194" s="52" t="n">
        <f aca="false">AB193*AB$7</f>
        <v>404.445947001923</v>
      </c>
      <c r="AC194" s="52" t="n">
        <f aca="false">AC193*AC$7</f>
        <v>461.982053383292</v>
      </c>
      <c r="AD194" s="52" t="n">
        <f aca="false">AD193*AD$7</f>
        <v>469.059486312956</v>
      </c>
      <c r="AE194" s="52" t="n">
        <f aca="false">AE193*AE$7</f>
        <v>365.352065827499</v>
      </c>
      <c r="AF194" s="52" t="n">
        <f aca="false">AF193*AF$7</f>
        <v>426.741941952379</v>
      </c>
      <c r="AG194" s="52" t="n">
        <f aca="false">AG193*AG$7</f>
        <v>473.596898733966</v>
      </c>
      <c r="AH194" s="52" t="n">
        <f aca="false">AH193*AH$7</f>
        <v>453.545983967763</v>
      </c>
      <c r="AI194" s="52" t="n">
        <f aca="false">AI193*AI$7</f>
        <v>501.07376287574</v>
      </c>
      <c r="AJ194" s="52" t="n">
        <f aca="false">AJ193*AJ$7</f>
        <v>500.558135791843</v>
      </c>
      <c r="AK194" s="52" t="n">
        <f aca="false">AK193*AK$7</f>
        <v>468.828382848845</v>
      </c>
      <c r="AL194" s="52" t="n">
        <f aca="false">AL193*AL$7</f>
        <v>487.253031168538</v>
      </c>
      <c r="AM194" s="53" t="n">
        <f aca="false">SUMIF($C$6:$AL$6,1,C194:AL194)</f>
        <v>331.026997713009</v>
      </c>
      <c r="AN194" s="53" t="n">
        <f aca="false">SUMIF($C$6:$AL$6,2,C194:AL194)</f>
        <v>2097.75728882253</v>
      </c>
      <c r="AO194" s="53" t="n">
        <f aca="false">SUMIF($C$6:$AL$6,3,C194:AL194)</f>
        <v>5287.97078269269</v>
      </c>
      <c r="AP194" s="53" t="n">
        <f aca="false">SUM(C194:AL194)</f>
        <v>7716.75506922823</v>
      </c>
    </row>
    <row r="195" customFormat="false" ht="15" hidden="false" customHeight="false" outlineLevel="0" collapsed="false">
      <c r="A195" s="7" t="s">
        <v>749</v>
      </c>
      <c r="B195" s="9" t="s">
        <v>88</v>
      </c>
      <c r="C195" s="54" t="n">
        <f aca="false">Assumptions!$D$141*MIN(1,(C$4-Assumptions!$D$140+1)/Assumptions!$C$10)*C192</f>
        <v>-0</v>
      </c>
      <c r="D195" s="54" t="n">
        <f aca="false">Assumptions!$D$141*MIN(1,(D$4-Assumptions!$D$140+1)/Assumptions!$C$10)*D192</f>
        <v>-0</v>
      </c>
      <c r="E195" s="54" t="n">
        <f aca="false">Assumptions!$D$141*MIN(1,(E$4-Assumptions!$D$140+1)/Assumptions!$C$10)*E192</f>
        <v>0</v>
      </c>
      <c r="F195" s="54" t="n">
        <f aca="false">Assumptions!$D$141*MIN(1,(F$4-Assumptions!$D$140+1)/Assumptions!$C$10)*F192</f>
        <v>0.0025</v>
      </c>
      <c r="G195" s="54" t="n">
        <f aca="false">Assumptions!$D$141*MIN(1,(G$4-Assumptions!$D$140+1)/Assumptions!$C$10)*G192</f>
        <v>0.005</v>
      </c>
      <c r="H195" s="54" t="n">
        <f aca="false">Assumptions!$D$141*MIN(1,(H$4-Assumptions!$D$140+1)/Assumptions!$C$10)*H192</f>
        <v>0.0075</v>
      </c>
      <c r="I195" s="54" t="n">
        <f aca="false">Assumptions!$D$141*MIN(1,(I$4-Assumptions!$D$140+1)/Assumptions!$C$10)*I192</f>
        <v>0.01</v>
      </c>
      <c r="J195" s="54" t="n">
        <f aca="false">Assumptions!$D$141*MIN(1,(J$4-Assumptions!$D$140+1)/Assumptions!$C$10)*J192</f>
        <v>0.0125</v>
      </c>
      <c r="K195" s="54" t="n">
        <f aca="false">Assumptions!$D$141*MIN(1,(K$4-Assumptions!$D$140+1)/Assumptions!$C$10)*K192</f>
        <v>0.015</v>
      </c>
      <c r="L195" s="54" t="n">
        <f aca="false">Assumptions!$D$141*MIN(1,(L$4-Assumptions!$D$140+1)/Assumptions!$C$10)*L192</f>
        <v>0.015</v>
      </c>
      <c r="M195" s="54" t="n">
        <f aca="false">Assumptions!$D$141*MIN(1,(M$4-Assumptions!$D$140+1)/Assumptions!$C$10)*M192</f>
        <v>0.015</v>
      </c>
      <c r="N195" s="54" t="n">
        <f aca="false">Assumptions!$D$141*MIN(1,(N$4-Assumptions!$D$140+1)/Assumptions!$C$10)*N192</f>
        <v>0.015</v>
      </c>
      <c r="O195" s="54" t="n">
        <f aca="false">Assumptions!$D$141*MIN(1,(O$4-Assumptions!$D$140+1)/Assumptions!$C$10)*O192</f>
        <v>0.015</v>
      </c>
      <c r="P195" s="54" t="n">
        <f aca="false">Assumptions!$D$141*MIN(1,(P$4-Assumptions!$D$140+1)/Assumptions!$C$10)*P192</f>
        <v>0.015</v>
      </c>
      <c r="Q195" s="54" t="n">
        <f aca="false">Assumptions!$D$141*MIN(1,(Q$4-Assumptions!$D$140+1)/Assumptions!$C$10)*Q192</f>
        <v>0.015</v>
      </c>
      <c r="R195" s="54" t="n">
        <f aca="false">Assumptions!$D$141*MIN(1,(R$4-Assumptions!$D$140+1)/Assumptions!$C$10)*R192</f>
        <v>0.015</v>
      </c>
      <c r="S195" s="54" t="n">
        <f aca="false">Assumptions!$D$141*MIN(1,(S$4-Assumptions!$D$140+1)/Assumptions!$C$10)*S192</f>
        <v>0.015</v>
      </c>
      <c r="T195" s="54" t="n">
        <f aca="false">Assumptions!$D$141*MIN(1,(T$4-Assumptions!$D$140+1)/Assumptions!$C$10)*T192</f>
        <v>0.015</v>
      </c>
      <c r="U195" s="54" t="n">
        <f aca="false">Assumptions!$D$141*MIN(1,(U$4-Assumptions!$D$140+1)/Assumptions!$C$10)*U192</f>
        <v>0.015</v>
      </c>
      <c r="V195" s="54" t="n">
        <f aca="false">Assumptions!$D$141*MIN(1,(V$4-Assumptions!$D$140+1)/Assumptions!$C$10)*V192</f>
        <v>0.015</v>
      </c>
      <c r="W195" s="54" t="n">
        <f aca="false">Assumptions!$D$141*MIN(1,(W$4-Assumptions!$D$140+1)/Assumptions!$C$10)*W192</f>
        <v>0.015</v>
      </c>
      <c r="X195" s="54" t="n">
        <f aca="false">Assumptions!$D$141*MIN(1,(X$4-Assumptions!$D$140+1)/Assumptions!$C$10)*X192</f>
        <v>0.015</v>
      </c>
      <c r="Y195" s="54" t="n">
        <f aca="false">Assumptions!$D$141*MIN(1,(Y$4-Assumptions!$D$140+1)/Assumptions!$C$10)*Y192</f>
        <v>0.015</v>
      </c>
      <c r="Z195" s="54" t="n">
        <f aca="false">Assumptions!$D$141*MIN(1,(Z$4-Assumptions!$D$140+1)/Assumptions!$C$10)*Z192</f>
        <v>0.015</v>
      </c>
      <c r="AA195" s="54" t="n">
        <f aca="false">Assumptions!$D$141*MIN(1,(AA$4-Assumptions!$D$140+1)/Assumptions!$C$10)*AA192</f>
        <v>0.015</v>
      </c>
      <c r="AB195" s="54" t="n">
        <f aca="false">Assumptions!$D$141*MIN(1,(AB$4-Assumptions!$D$140+1)/Assumptions!$C$10)*AB192</f>
        <v>0.015</v>
      </c>
      <c r="AC195" s="54" t="n">
        <f aca="false">Assumptions!$D$141*MIN(1,(AC$4-Assumptions!$D$140+1)/Assumptions!$C$10)*AC192</f>
        <v>0.015</v>
      </c>
      <c r="AD195" s="54" t="n">
        <f aca="false">Assumptions!$D$141*MIN(1,(AD$4-Assumptions!$D$140+1)/Assumptions!$C$10)*AD192</f>
        <v>0.015</v>
      </c>
      <c r="AE195" s="54" t="n">
        <f aca="false">Assumptions!$D$141*MIN(1,(AE$4-Assumptions!$D$140+1)/Assumptions!$C$10)*AE192</f>
        <v>0.015</v>
      </c>
      <c r="AF195" s="54" t="n">
        <f aca="false">Assumptions!$D$141*MIN(1,(AF$4-Assumptions!$D$140+1)/Assumptions!$C$10)*AF192</f>
        <v>0.015</v>
      </c>
      <c r="AG195" s="54" t="n">
        <f aca="false">Assumptions!$D$141*MIN(1,(AG$4-Assumptions!$D$140+1)/Assumptions!$C$10)*AG192</f>
        <v>0.015</v>
      </c>
      <c r="AH195" s="54" t="n">
        <f aca="false">Assumptions!$D$141*MIN(1,(AH$4-Assumptions!$D$140+1)/Assumptions!$C$10)*AH192</f>
        <v>0.015</v>
      </c>
      <c r="AI195" s="54" t="n">
        <f aca="false">Assumptions!$D$141*MIN(1,(AI$4-Assumptions!$D$140+1)/Assumptions!$C$10)*AI192</f>
        <v>0.015</v>
      </c>
      <c r="AJ195" s="54" t="n">
        <f aca="false">Assumptions!$D$141*MIN(1,(AJ$4-Assumptions!$D$140+1)/Assumptions!$C$10)*AJ192</f>
        <v>0.015</v>
      </c>
      <c r="AK195" s="54" t="n">
        <f aca="false">Assumptions!$D$141*MIN(1,(AK$4-Assumptions!$D$140+1)/Assumptions!$C$10)*AK192</f>
        <v>0.015</v>
      </c>
      <c r="AL195" s="54" t="n">
        <f aca="false">Assumptions!$D$141*MIN(1,(AL$4-Assumptions!$D$140+1)/Assumptions!$C$10)*AL192</f>
        <v>0.015</v>
      </c>
    </row>
    <row r="196" customFormat="false" ht="15" hidden="false" customHeight="false" outlineLevel="0" collapsed="false">
      <c r="A196" s="7" t="s">
        <v>757</v>
      </c>
      <c r="B196" s="9" t="s">
        <v>751</v>
      </c>
      <c r="C196" s="55" t="n">
        <f aca="false">C194*C195</f>
        <v>-0</v>
      </c>
      <c r="D196" s="55" t="n">
        <f aca="false">D194*D195</f>
        <v>-0</v>
      </c>
      <c r="E196" s="55" t="n">
        <f aca="false">E194*E195</f>
        <v>0</v>
      </c>
      <c r="F196" s="55" t="n">
        <f aca="false">F194*F195</f>
        <v>0.0383540594970703</v>
      </c>
      <c r="G196" s="55" t="n">
        <f aca="false">G194*G195</f>
        <v>0.0810969851136445</v>
      </c>
      <c r="H196" s="55" t="n">
        <f aca="false">H194*H195</f>
        <v>0.171291259846377</v>
      </c>
      <c r="I196" s="55" t="n">
        <f aca="false">I194*I195</f>
        <v>0.306531116377806</v>
      </c>
      <c r="J196" s="55" t="n">
        <f aca="false">J194*J195</f>
        <v>0.437808294150714</v>
      </c>
      <c r="K196" s="55" t="n">
        <f aca="false">K194*K195</f>
        <v>0.668600329909775</v>
      </c>
      <c r="L196" s="55" t="n">
        <f aca="false">L194*L195</f>
        <v>0.764469030424832</v>
      </c>
      <c r="M196" s="55" t="n">
        <f aca="false">M194*M195</f>
        <v>0.805770274481894</v>
      </c>
      <c r="N196" s="55" t="n">
        <f aca="false">N194*N195</f>
        <v>0.92540087131496</v>
      </c>
      <c r="O196" s="55" t="n">
        <f aca="false">O194*O195</f>
        <v>1.18292046040602</v>
      </c>
      <c r="P196" s="55" t="n">
        <f aca="false">P194*P195</f>
        <v>1.85948799775366</v>
      </c>
      <c r="Q196" s="55" t="n">
        <f aca="false">Q194*Q195</f>
        <v>2.29963991136605</v>
      </c>
      <c r="R196" s="55" t="n">
        <f aca="false">R194*R195</f>
        <v>2.50097032618138</v>
      </c>
      <c r="S196" s="55" t="n">
        <f aca="false">S194*S195</f>
        <v>2.05777660055599</v>
      </c>
      <c r="T196" s="55" t="n">
        <f aca="false">T194*T195</f>
        <v>2.49208656431211</v>
      </c>
      <c r="U196" s="55" t="n">
        <f aca="false">U194*U195</f>
        <v>2.87305161948514</v>
      </c>
      <c r="V196" s="55" t="n">
        <f aca="false">V194*V195</f>
        <v>2.85698426359569</v>
      </c>
      <c r="W196" s="55" t="n">
        <f aca="false">W194*W195</f>
        <v>3.26049107998382</v>
      </c>
      <c r="X196" s="55" t="n">
        <f aca="false">X194*X195</f>
        <v>3.36597998810149</v>
      </c>
      <c r="Y196" s="55" t="n">
        <f aca="false">Y194*Y195</f>
        <v>3.24924960271641</v>
      </c>
      <c r="Z196" s="55" t="n">
        <f aca="false">Z194*Z195</f>
        <v>3.46772091788024</v>
      </c>
      <c r="AA196" s="55" t="n">
        <f aca="false">AA194*AA195</f>
        <v>4.1329963924192</v>
      </c>
      <c r="AB196" s="55" t="n">
        <f aca="false">AB194*AB195</f>
        <v>6.06668920502885</v>
      </c>
      <c r="AC196" s="55" t="n">
        <f aca="false">AC194*AC195</f>
        <v>6.92973080074938</v>
      </c>
      <c r="AD196" s="55" t="n">
        <f aca="false">AD194*AD195</f>
        <v>7.03589229469434</v>
      </c>
      <c r="AE196" s="55" t="n">
        <f aca="false">AE194*AE195</f>
        <v>5.48028098741248</v>
      </c>
      <c r="AF196" s="55" t="n">
        <f aca="false">AF194*AF195</f>
        <v>6.40112912928569</v>
      </c>
      <c r="AG196" s="55" t="n">
        <f aca="false">AG194*AG195</f>
        <v>7.1039534810095</v>
      </c>
      <c r="AH196" s="55" t="n">
        <f aca="false">AH194*AH195</f>
        <v>6.80318975951645</v>
      </c>
      <c r="AI196" s="55" t="n">
        <f aca="false">AI194*AI195</f>
        <v>7.51610644313609</v>
      </c>
      <c r="AJ196" s="55" t="n">
        <f aca="false">AJ194*AJ195</f>
        <v>7.50837203687764</v>
      </c>
      <c r="AK196" s="55" t="n">
        <f aca="false">AK194*AK195</f>
        <v>7.03242574273267</v>
      </c>
      <c r="AL196" s="55" t="n">
        <f aca="false">AL194*AL195</f>
        <v>7.30879546752807</v>
      </c>
      <c r="AM196" s="53" t="n">
        <f aca="false">SUMIF($C$6:$AL$6,1,C196:AL196)</f>
        <v>4.19932222111707</v>
      </c>
      <c r="AN196" s="53" t="n">
        <f aca="false">SUMIF($C$6:$AL$6,2,C196:AL196)</f>
        <v>31.466359332338</v>
      </c>
      <c r="AO196" s="53" t="n">
        <f aca="false">SUMIF($C$6:$AL$6,3,C196:AL196)</f>
        <v>79.3195617403904</v>
      </c>
      <c r="AP196" s="53" t="n">
        <f aca="false">SUM(C196:AL196)</f>
        <v>114.985243293845</v>
      </c>
    </row>
    <row r="197" customFormat="false" ht="15" hidden="false" customHeight="false" outlineLevel="0" collapsed="false">
      <c r="A197" s="7" t="s">
        <v>752</v>
      </c>
      <c r="B197" s="9" t="s">
        <v>331</v>
      </c>
      <c r="C197" s="56" t="n">
        <f aca="false">C196*Assumptions!$D$142</f>
        <v>-0</v>
      </c>
      <c r="D197" s="56" t="n">
        <f aca="false">D196*Assumptions!$D$142</f>
        <v>-0</v>
      </c>
      <c r="E197" s="56" t="n">
        <f aca="false">E196*Assumptions!$D$142</f>
        <v>0</v>
      </c>
      <c r="F197" s="56" t="n">
        <f aca="false">F196*Assumptions!$D$142</f>
        <v>0.0383540594970703</v>
      </c>
      <c r="G197" s="56" t="n">
        <f aca="false">G196*Assumptions!$D$142</f>
        <v>0.0810969851136445</v>
      </c>
      <c r="H197" s="56" t="n">
        <f aca="false">H196*Assumptions!$D$142</f>
        <v>0.171291259846377</v>
      </c>
      <c r="I197" s="56" t="n">
        <f aca="false">I196*Assumptions!$D$142</f>
        <v>0.306531116377806</v>
      </c>
      <c r="J197" s="56" t="n">
        <f aca="false">J196*Assumptions!$D$142</f>
        <v>0.437808294150714</v>
      </c>
      <c r="K197" s="56" t="n">
        <f aca="false">K196*Assumptions!$D$142</f>
        <v>0.668600329909775</v>
      </c>
      <c r="L197" s="56" t="n">
        <f aca="false">L196*Assumptions!$D$142</f>
        <v>0.764469030424832</v>
      </c>
      <c r="M197" s="56" t="n">
        <f aca="false">M196*Assumptions!$D$142</f>
        <v>0.805770274481894</v>
      </c>
      <c r="N197" s="56" t="n">
        <f aca="false">N196*Assumptions!$D$142</f>
        <v>0.92540087131496</v>
      </c>
      <c r="O197" s="56" t="n">
        <f aca="false">O196*Assumptions!$D$142</f>
        <v>1.18292046040602</v>
      </c>
      <c r="P197" s="56" t="n">
        <f aca="false">P196*Assumptions!$D$142</f>
        <v>1.85948799775366</v>
      </c>
      <c r="Q197" s="56" t="n">
        <f aca="false">Q196*Assumptions!$D$142</f>
        <v>2.29963991136605</v>
      </c>
      <c r="R197" s="56" t="n">
        <f aca="false">R196*Assumptions!$D$142</f>
        <v>2.50097032618138</v>
      </c>
      <c r="S197" s="56" t="n">
        <f aca="false">S196*Assumptions!$D$142</f>
        <v>2.05777660055599</v>
      </c>
      <c r="T197" s="56" t="n">
        <f aca="false">T196*Assumptions!$D$142</f>
        <v>2.49208656431211</v>
      </c>
      <c r="U197" s="56" t="n">
        <f aca="false">U196*Assumptions!$D$142</f>
        <v>2.87305161948514</v>
      </c>
      <c r="V197" s="56" t="n">
        <f aca="false">V196*Assumptions!$D$142</f>
        <v>2.85698426359569</v>
      </c>
      <c r="W197" s="56" t="n">
        <f aca="false">W196*Assumptions!$D$142</f>
        <v>3.26049107998382</v>
      </c>
      <c r="X197" s="56" t="n">
        <f aca="false">X196*Assumptions!$D$142</f>
        <v>3.36597998810149</v>
      </c>
      <c r="Y197" s="56" t="n">
        <f aca="false">Y196*Assumptions!$D$142</f>
        <v>3.24924960271641</v>
      </c>
      <c r="Z197" s="56" t="n">
        <f aca="false">Z196*Assumptions!$D$142</f>
        <v>3.46772091788024</v>
      </c>
      <c r="AA197" s="56" t="n">
        <f aca="false">AA196*Assumptions!$D$142</f>
        <v>4.1329963924192</v>
      </c>
      <c r="AB197" s="56" t="n">
        <f aca="false">AB196*Assumptions!$D$142</f>
        <v>6.06668920502885</v>
      </c>
      <c r="AC197" s="56" t="n">
        <f aca="false">AC196*Assumptions!$D$142</f>
        <v>6.92973080074938</v>
      </c>
      <c r="AD197" s="56" t="n">
        <f aca="false">AD196*Assumptions!$D$142</f>
        <v>7.03589229469434</v>
      </c>
      <c r="AE197" s="56" t="n">
        <f aca="false">AE196*Assumptions!$D$142</f>
        <v>5.48028098741248</v>
      </c>
      <c r="AF197" s="56" t="n">
        <f aca="false">AF196*Assumptions!$D$142</f>
        <v>6.40112912928569</v>
      </c>
      <c r="AG197" s="56" t="n">
        <f aca="false">AG196*Assumptions!$D$142</f>
        <v>7.1039534810095</v>
      </c>
      <c r="AH197" s="56" t="n">
        <f aca="false">AH196*Assumptions!$D$142</f>
        <v>6.80318975951645</v>
      </c>
      <c r="AI197" s="56" t="n">
        <f aca="false">AI196*Assumptions!$D$142</f>
        <v>7.51610644313609</v>
      </c>
      <c r="AJ197" s="56" t="n">
        <f aca="false">AJ196*Assumptions!$D$142</f>
        <v>7.50837203687764</v>
      </c>
      <c r="AK197" s="56" t="n">
        <f aca="false">AK196*Assumptions!$D$142</f>
        <v>7.03242574273267</v>
      </c>
      <c r="AL197" s="56" t="n">
        <f aca="false">AL196*Assumptions!$D$142</f>
        <v>7.30879546752807</v>
      </c>
      <c r="AM197" s="53" t="n">
        <f aca="false">SUMIF($C$6:$AL$6,1,C197:AL197)</f>
        <v>4.19932222111707</v>
      </c>
      <c r="AN197" s="53" t="n">
        <f aca="false">SUMIF($C$6:$AL$6,2,C197:AL197)</f>
        <v>31.466359332338</v>
      </c>
      <c r="AO197" s="53" t="n">
        <f aca="false">SUMIF($C$6:$AL$6,3,C197:AL197)</f>
        <v>79.3195617403904</v>
      </c>
      <c r="AP197" s="53" t="n">
        <f aca="false">SUM(C197:AL197)</f>
        <v>114.985243293845</v>
      </c>
    </row>
    <row r="198" customFormat="false" ht="15" hidden="false" customHeight="false" outlineLevel="0" collapsed="false">
      <c r="A198" s="7" t="s">
        <v>753</v>
      </c>
      <c r="B198" s="9" t="s">
        <v>93</v>
      </c>
      <c r="C198" s="15" t="n">
        <f aca="false">'Unit Economics'!$E$55*Assumptions!$D$142*C192</f>
        <v>0</v>
      </c>
      <c r="D198" s="15" t="n">
        <f aca="false">'Unit Economics'!$E$55*Assumptions!$D$142*D192</f>
        <v>0</v>
      </c>
      <c r="E198" s="15" t="n">
        <f aca="false">'Unit Economics'!$E$55*Assumptions!$D$142*E192</f>
        <v>0</v>
      </c>
      <c r="F198" s="15" t="n">
        <f aca="false">'Unit Economics'!$E$55*Assumptions!$D$142*F192</f>
        <v>33.6</v>
      </c>
      <c r="G198" s="15" t="n">
        <f aca="false">'Unit Economics'!$E$55*Assumptions!$D$142*G192</f>
        <v>33.6</v>
      </c>
      <c r="H198" s="15" t="n">
        <f aca="false">'Unit Economics'!$E$55*Assumptions!$D$142*H192</f>
        <v>33.6</v>
      </c>
      <c r="I198" s="15" t="n">
        <f aca="false">'Unit Economics'!$E$55*Assumptions!$D$142*I192</f>
        <v>33.6</v>
      </c>
      <c r="J198" s="15" t="n">
        <f aca="false">'Unit Economics'!$E$55*Assumptions!$D$142*J192</f>
        <v>33.6</v>
      </c>
      <c r="K198" s="15" t="n">
        <f aca="false">'Unit Economics'!$E$55*Assumptions!$D$142*K192</f>
        <v>33.6</v>
      </c>
      <c r="L198" s="15" t="n">
        <f aca="false">'Unit Economics'!$E$55*Assumptions!$D$142*L192</f>
        <v>33.6</v>
      </c>
      <c r="M198" s="15" t="n">
        <f aca="false">'Unit Economics'!$E$55*Assumptions!$D$142*M192</f>
        <v>33.6</v>
      </c>
      <c r="N198" s="15" t="n">
        <f aca="false">'Unit Economics'!$E$55*Assumptions!$D$142*N192</f>
        <v>33.6</v>
      </c>
      <c r="O198" s="15" t="n">
        <f aca="false">'Unit Economics'!$E$55*Assumptions!$D$142*O192</f>
        <v>33.6</v>
      </c>
      <c r="P198" s="15" t="n">
        <f aca="false">'Unit Economics'!$E$55*Assumptions!$D$142*P192</f>
        <v>33.6</v>
      </c>
      <c r="Q198" s="15" t="n">
        <f aca="false">'Unit Economics'!$E$55*Assumptions!$D$142*Q192</f>
        <v>33.6</v>
      </c>
      <c r="R198" s="15" t="n">
        <f aca="false">'Unit Economics'!$E$55*Assumptions!$D$142*R192</f>
        <v>33.6</v>
      </c>
      <c r="S198" s="15" t="n">
        <f aca="false">'Unit Economics'!$E$55*Assumptions!$D$142*S192</f>
        <v>33.6</v>
      </c>
      <c r="T198" s="15" t="n">
        <f aca="false">'Unit Economics'!$E$55*Assumptions!$D$142*T192</f>
        <v>33.6</v>
      </c>
      <c r="U198" s="15" t="n">
        <f aca="false">'Unit Economics'!$E$55*Assumptions!$D$142*U192</f>
        <v>33.6</v>
      </c>
      <c r="V198" s="15" t="n">
        <f aca="false">'Unit Economics'!$E$55*Assumptions!$D$142*V192</f>
        <v>33.6</v>
      </c>
      <c r="W198" s="15" t="n">
        <f aca="false">'Unit Economics'!$E$55*Assumptions!$D$142*W192</f>
        <v>33.6</v>
      </c>
      <c r="X198" s="15" t="n">
        <f aca="false">'Unit Economics'!$E$55*Assumptions!$D$142*X192</f>
        <v>33.6</v>
      </c>
      <c r="Y198" s="15" t="n">
        <f aca="false">'Unit Economics'!$E$55*Assumptions!$D$142*Y192</f>
        <v>33.6</v>
      </c>
      <c r="Z198" s="15" t="n">
        <f aca="false">'Unit Economics'!$E$55*Assumptions!$D$142*Z192</f>
        <v>33.6</v>
      </c>
      <c r="AA198" s="15" t="n">
        <f aca="false">'Unit Economics'!$E$55*Assumptions!$D$142*AA192</f>
        <v>33.6</v>
      </c>
      <c r="AB198" s="15" t="n">
        <f aca="false">'Unit Economics'!$E$55*Assumptions!$D$142*AB192</f>
        <v>33.6</v>
      </c>
      <c r="AC198" s="15" t="n">
        <f aca="false">'Unit Economics'!$E$55*Assumptions!$D$142*AC192</f>
        <v>33.6</v>
      </c>
      <c r="AD198" s="15" t="n">
        <f aca="false">'Unit Economics'!$E$55*Assumptions!$D$142*AD192</f>
        <v>33.6</v>
      </c>
      <c r="AE198" s="15" t="n">
        <f aca="false">'Unit Economics'!$E$55*Assumptions!$D$142*AE192</f>
        <v>33.6</v>
      </c>
      <c r="AF198" s="15" t="n">
        <f aca="false">'Unit Economics'!$E$55*Assumptions!$D$142*AF192</f>
        <v>33.6</v>
      </c>
      <c r="AG198" s="15" t="n">
        <f aca="false">'Unit Economics'!$E$55*Assumptions!$D$142*AG192</f>
        <v>33.6</v>
      </c>
      <c r="AH198" s="15" t="n">
        <f aca="false">'Unit Economics'!$E$55*Assumptions!$D$142*AH192</f>
        <v>33.6</v>
      </c>
      <c r="AI198" s="15" t="n">
        <f aca="false">'Unit Economics'!$E$55*Assumptions!$D$142*AI192</f>
        <v>33.6</v>
      </c>
      <c r="AJ198" s="15" t="n">
        <f aca="false">'Unit Economics'!$E$55*Assumptions!$D$142*AJ192</f>
        <v>33.6</v>
      </c>
      <c r="AK198" s="15" t="n">
        <f aca="false">'Unit Economics'!$E$55*Assumptions!$D$142*AK192</f>
        <v>33.6</v>
      </c>
      <c r="AL198" s="15" t="n">
        <f aca="false">'Unit Economics'!$E$55*Assumptions!$D$142*AL192</f>
        <v>33.6</v>
      </c>
    </row>
    <row r="199" customFormat="false" ht="15" hidden="false" customHeight="false" outlineLevel="0" collapsed="false">
      <c r="A199" s="7" t="s">
        <v>754</v>
      </c>
      <c r="B199" s="9" t="s">
        <v>93</v>
      </c>
      <c r="C199" s="8" t="n">
        <f aca="false">C197*'Unit Economics'!$E$55</f>
        <v>-0</v>
      </c>
      <c r="D199" s="8" t="n">
        <f aca="false">D197*'Unit Economics'!$E$55</f>
        <v>-0</v>
      </c>
      <c r="E199" s="8" t="n">
        <f aca="false">E197*'Unit Economics'!$E$55</f>
        <v>0</v>
      </c>
      <c r="F199" s="8" t="n">
        <f aca="false">F197*'Unit Economics'!$E$55</f>
        <v>1.28869639910156</v>
      </c>
      <c r="G199" s="8" t="n">
        <f aca="false">G197*'Unit Economics'!$E$55</f>
        <v>2.72485869981846</v>
      </c>
      <c r="H199" s="8" t="n">
        <f aca="false">H197*'Unit Economics'!$E$55</f>
        <v>5.75538633083827</v>
      </c>
      <c r="I199" s="8" t="n">
        <f aca="false">I197*'Unit Economics'!$E$55</f>
        <v>10.2994455102943</v>
      </c>
      <c r="J199" s="8" t="n">
        <f aca="false">J197*'Unit Economics'!$E$55</f>
        <v>14.710358683464</v>
      </c>
      <c r="K199" s="8" t="n">
        <f aca="false">K197*'Unit Economics'!$E$55</f>
        <v>22.4649710849684</v>
      </c>
      <c r="L199" s="8" t="n">
        <f aca="false">L197*'Unit Economics'!$E$55</f>
        <v>25.6861594222743</v>
      </c>
      <c r="M199" s="8" t="n">
        <f aca="false">M197*'Unit Economics'!$E$55</f>
        <v>27.0738812225917</v>
      </c>
      <c r="N199" s="8" t="n">
        <f aca="false">N197*'Unit Economics'!$E$55</f>
        <v>31.0934692761827</v>
      </c>
      <c r="O199" s="8" t="n">
        <f aca="false">O197*'Unit Economics'!$E$55</f>
        <v>39.7461274696422</v>
      </c>
      <c r="P199" s="8" t="n">
        <f aca="false">P197*'Unit Economics'!$E$55</f>
        <v>62.478796724523</v>
      </c>
      <c r="Q199" s="8" t="n">
        <f aca="false">Q197*'Unit Economics'!$E$55</f>
        <v>77.2679010218991</v>
      </c>
      <c r="R199" s="8" t="n">
        <f aca="false">R197*'Unit Economics'!$E$55</f>
        <v>84.0326029596942</v>
      </c>
      <c r="S199" s="8" t="n">
        <f aca="false">S197*'Unit Economics'!$E$55</f>
        <v>69.1412937786814</v>
      </c>
      <c r="T199" s="8" t="n">
        <f aca="false">T197*'Unit Economics'!$E$55</f>
        <v>83.7341085608868</v>
      </c>
      <c r="U199" s="8" t="n">
        <f aca="false">U197*'Unit Economics'!$E$55</f>
        <v>96.5345344147008</v>
      </c>
      <c r="V199" s="8" t="n">
        <f aca="false">V197*'Unit Economics'!$E$55</f>
        <v>95.9946712568153</v>
      </c>
      <c r="W199" s="8" t="n">
        <f aca="false">W197*'Unit Economics'!$E$55</f>
        <v>109.552500287456</v>
      </c>
      <c r="X199" s="8" t="n">
        <f aca="false">X197*'Unit Economics'!$E$55</f>
        <v>113.09692760021</v>
      </c>
      <c r="Y199" s="8" t="n">
        <f aca="false">Y197*'Unit Economics'!$E$55</f>
        <v>109.174786651271</v>
      </c>
      <c r="Z199" s="8" t="n">
        <f aca="false">Z197*'Unit Economics'!$E$55</f>
        <v>116.515422840776</v>
      </c>
      <c r="AA199" s="8" t="n">
        <f aca="false">AA197*'Unit Economics'!$E$55</f>
        <v>138.868678785285</v>
      </c>
      <c r="AB199" s="8" t="n">
        <f aca="false">AB197*'Unit Economics'!$E$55</f>
        <v>203.840757288969</v>
      </c>
      <c r="AC199" s="8" t="n">
        <f aca="false">AC197*'Unit Economics'!$E$55</f>
        <v>232.838954905179</v>
      </c>
      <c r="AD199" s="8" t="n">
        <f aca="false">AD197*'Unit Economics'!$E$55</f>
        <v>236.40598110173</v>
      </c>
      <c r="AE199" s="8" t="n">
        <f aca="false">AE197*'Unit Economics'!$E$55</f>
        <v>184.137441177059</v>
      </c>
      <c r="AF199" s="8" t="n">
        <f aca="false">AF197*'Unit Economics'!$E$55</f>
        <v>215.077938743999</v>
      </c>
      <c r="AG199" s="8" t="n">
        <f aca="false">AG197*'Unit Economics'!$E$55</f>
        <v>238.692836961919</v>
      </c>
      <c r="AH199" s="8" t="n">
        <f aca="false">AH197*'Unit Economics'!$E$55</f>
        <v>228.587175919753</v>
      </c>
      <c r="AI199" s="8" t="n">
        <f aca="false">AI197*'Unit Economics'!$E$55</f>
        <v>252.541176489373</v>
      </c>
      <c r="AJ199" s="8" t="n">
        <f aca="false">AJ197*'Unit Economics'!$E$55</f>
        <v>252.281300439089</v>
      </c>
      <c r="AK199" s="8" t="n">
        <f aca="false">AK197*'Unit Economics'!$E$55</f>
        <v>236.289504955818</v>
      </c>
      <c r="AL199" s="8" t="n">
        <f aca="false">AL197*'Unit Economics'!$E$55</f>
        <v>245.575527708943</v>
      </c>
      <c r="AM199" s="45" t="n">
        <f aca="false">SUMIF($C$6:$AL$6,1,C199:AL199)</f>
        <v>141.097226629534</v>
      </c>
      <c r="AN199" s="45" t="n">
        <f aca="false">SUMIF($C$6:$AL$6,2,C199:AL199)</f>
        <v>1057.26967356656</v>
      </c>
      <c r="AO199" s="45" t="n">
        <f aca="false">SUMIF($C$6:$AL$6,3,C199:AL199)</f>
        <v>2665.13727447712</v>
      </c>
      <c r="AP199" s="45" t="n">
        <f aca="false">SUM(C199:AL199)</f>
        <v>3863.50417467321</v>
      </c>
    </row>
    <row r="200" customFormat="false" ht="15" hidden="false" customHeight="false" outlineLevel="0" collapsed="false">
      <c r="A200" s="7" t="s">
        <v>755</v>
      </c>
      <c r="B200" s="9" t="s">
        <v>93</v>
      </c>
      <c r="C200" s="8" t="n">
        <f aca="false">C197*'Unit Economics'!$F$55</f>
        <v>-0</v>
      </c>
      <c r="D200" s="8" t="n">
        <f aca="false">D197*'Unit Economics'!$F$55</f>
        <v>-0</v>
      </c>
      <c r="E200" s="8" t="n">
        <f aca="false">E197*'Unit Economics'!$F$55</f>
        <v>0</v>
      </c>
      <c r="F200" s="8" t="n">
        <f aca="false">F197*'Unit Economics'!$F$55</f>
        <v>1.17538316572342</v>
      </c>
      <c r="G200" s="8" t="n">
        <f aca="false">G197*'Unit Economics'!$F$55</f>
        <v>2.4852657669987</v>
      </c>
      <c r="H200" s="8" t="n">
        <f aca="false">H197*'Unit Economics'!$F$55</f>
        <v>5.24932343274813</v>
      </c>
      <c r="I200" s="8" t="n">
        <f aca="false">I197*'Unit Economics'!$F$55</f>
        <v>9.39382998006768</v>
      </c>
      <c r="J200" s="8" t="n">
        <f aca="false">J197*'Unit Economics'!$F$55</f>
        <v>13.4168978592251</v>
      </c>
      <c r="K200" s="8" t="n">
        <f aca="false">K197*'Unit Economics'!$F$55</f>
        <v>20.489658270283</v>
      </c>
      <c r="L200" s="8" t="n">
        <f aca="false">L197*'Unit Economics'!$F$55</f>
        <v>23.4276121187872</v>
      </c>
      <c r="M200" s="8" t="n">
        <f aca="false">M197*'Unit Economics'!$F$55</f>
        <v>24.6933135236623</v>
      </c>
      <c r="N200" s="8" t="n">
        <f aca="false">N197*'Unit Economics'!$F$55</f>
        <v>28.3594649419697</v>
      </c>
      <c r="O200" s="8" t="n">
        <f aca="false">O197*'Unit Economics'!$F$55</f>
        <v>36.2513072614187</v>
      </c>
      <c r="P200" s="8" t="n">
        <f aca="false">P197*'Unit Economics'!$F$55</f>
        <v>56.9851253839596</v>
      </c>
      <c r="Q200" s="8" t="n">
        <f aca="false">Q197*'Unit Economics'!$F$55</f>
        <v>70.4738448677593</v>
      </c>
      <c r="R200" s="8" t="n">
        <f aca="false">R197*'Unit Economics'!$F$55</f>
        <v>76.643736228024</v>
      </c>
      <c r="S200" s="8" t="n">
        <f aca="false">S197*'Unit Economics'!$F$55</f>
        <v>63.0617985899987</v>
      </c>
      <c r="T200" s="8" t="n">
        <f aca="false">T197*'Unit Economics'!$F$55</f>
        <v>76.3714880152831</v>
      </c>
      <c r="U200" s="8" t="n">
        <f aca="false">U197*'Unit Economics'!$F$55</f>
        <v>88.0463907100939</v>
      </c>
      <c r="V200" s="8" t="n">
        <f aca="false">V197*'Unit Economics'!$F$55</f>
        <v>87.5539969484482</v>
      </c>
      <c r="W200" s="8" t="n">
        <f aca="false">W197*'Unit Economics'!$F$55</f>
        <v>99.9197054407522</v>
      </c>
      <c r="X200" s="8" t="n">
        <f aca="false">X197*'Unit Economics'!$F$55</f>
        <v>103.152476323363</v>
      </c>
      <c r="Y200" s="8" t="n">
        <f aca="false">Y197*'Unit Economics'!$F$55</f>
        <v>99.575203625006</v>
      </c>
      <c r="Z200" s="8" t="n">
        <f aca="false">Z197*'Unit Economics'!$F$55</f>
        <v>106.270388160991</v>
      </c>
      <c r="AA200" s="8" t="n">
        <f aca="false">AA197*'Unit Economics'!$F$55</f>
        <v>126.658154243522</v>
      </c>
      <c r="AB200" s="8" t="n">
        <f aca="false">AB197*'Unit Economics'!$F$55</f>
        <v>185.917330701632</v>
      </c>
      <c r="AC200" s="8" t="n">
        <f aca="false">AC197*'Unit Economics'!$F$55</f>
        <v>212.365758227445</v>
      </c>
      <c r="AD200" s="8" t="n">
        <f aca="false">AD197*'Unit Economics'!$F$55</f>
        <v>215.619140906285</v>
      </c>
      <c r="AE200" s="8" t="n">
        <f aca="false">AE197*'Unit Economics'!$F$55</f>
        <v>167.946499027848</v>
      </c>
      <c r="AF200" s="8" t="n">
        <f aca="false">AF197*'Unit Economics'!$F$55</f>
        <v>196.166442844437</v>
      </c>
      <c r="AG200" s="8" t="n">
        <f aca="false">AG197*'Unit Economics'!$F$55</f>
        <v>217.704916797625</v>
      </c>
      <c r="AH200" s="8" t="n">
        <f aca="false">AH197*'Unit Economics'!$F$55</f>
        <v>208.487832094237</v>
      </c>
      <c r="AI200" s="8" t="n">
        <f aca="false">AI197*'Unit Economics'!$F$55</f>
        <v>230.335591613771</v>
      </c>
      <c r="AJ200" s="8" t="n">
        <f aca="false">AJ197*'Unit Economics'!$F$55</f>
        <v>230.098566093337</v>
      </c>
      <c r="AK200" s="8" t="n">
        <f aca="false">AK197*'Unit Economics'!$F$55</f>
        <v>215.512906341488</v>
      </c>
      <c r="AL200" s="8" t="n">
        <f aca="false">AL197*'Unit Economics'!$F$55</f>
        <v>223.982422379678</v>
      </c>
      <c r="AM200" s="45" t="n">
        <f aca="false">SUMIF($C$6:$AL$6,1,C200:AL200)</f>
        <v>128.690749059465</v>
      </c>
      <c r="AN200" s="45" t="n">
        <f aca="false">SUMIF($C$6:$AL$6,2,C200:AL200)</f>
        <v>964.305461555097</v>
      </c>
      <c r="AO200" s="45" t="n">
        <f aca="false">SUMIF($C$6:$AL$6,3,C200:AL200)</f>
        <v>2430.79556127131</v>
      </c>
      <c r="AP200" s="45" t="n">
        <f aca="false">SUM(C200:AL200)</f>
        <v>3523.79177188587</v>
      </c>
    </row>
    <row r="201" customFormat="false" ht="15" hidden="false" customHeight="false" outlineLevel="0" collapsed="false">
      <c r="A201" s="5" t="s">
        <v>566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</row>
    <row r="202" customFormat="false" ht="15" hidden="false" customHeight="false" outlineLevel="0" collapsed="false">
      <c r="A202" s="7" t="s">
        <v>746</v>
      </c>
      <c r="B202" s="9" t="s">
        <v>308</v>
      </c>
      <c r="C202" s="37" t="n">
        <f aca="false">IF(AND(Assumptions!$D$145=1,C$4&gt;=Assumptions!$D$146),1,0)</f>
        <v>0</v>
      </c>
      <c r="D202" s="37" t="n">
        <f aca="false">IF(AND(Assumptions!$D$145=1,D$4&gt;=Assumptions!$D$146),1,0)</f>
        <v>0</v>
      </c>
      <c r="E202" s="37" t="n">
        <f aca="false">IF(AND(Assumptions!$D$145=1,E$4&gt;=Assumptions!$D$146),1,0)</f>
        <v>0</v>
      </c>
      <c r="F202" s="37" t="n">
        <f aca="false">IF(AND(Assumptions!$D$145=1,F$4&gt;=Assumptions!$D$146),1,0)</f>
        <v>0</v>
      </c>
      <c r="G202" s="37" t="n">
        <f aca="false">IF(AND(Assumptions!$D$145=1,G$4&gt;=Assumptions!$D$146),1,0)</f>
        <v>1</v>
      </c>
      <c r="H202" s="37" t="n">
        <f aca="false">IF(AND(Assumptions!$D$145=1,H$4&gt;=Assumptions!$D$146),1,0)</f>
        <v>1</v>
      </c>
      <c r="I202" s="37" t="n">
        <f aca="false">IF(AND(Assumptions!$D$145=1,I$4&gt;=Assumptions!$D$146),1,0)</f>
        <v>1</v>
      </c>
      <c r="J202" s="37" t="n">
        <f aca="false">IF(AND(Assumptions!$D$145=1,J$4&gt;=Assumptions!$D$146),1,0)</f>
        <v>1</v>
      </c>
      <c r="K202" s="37" t="n">
        <f aca="false">IF(AND(Assumptions!$D$145=1,K$4&gt;=Assumptions!$D$146),1,0)</f>
        <v>1</v>
      </c>
      <c r="L202" s="37" t="n">
        <f aca="false">IF(AND(Assumptions!$D$145=1,L$4&gt;=Assumptions!$D$146),1,0)</f>
        <v>1</v>
      </c>
      <c r="M202" s="37" t="n">
        <f aca="false">IF(AND(Assumptions!$D$145=1,M$4&gt;=Assumptions!$D$146),1,0)</f>
        <v>1</v>
      </c>
      <c r="N202" s="37" t="n">
        <f aca="false">IF(AND(Assumptions!$D$145=1,N$4&gt;=Assumptions!$D$146),1,0)</f>
        <v>1</v>
      </c>
      <c r="O202" s="37" t="n">
        <f aca="false">IF(AND(Assumptions!$D$145=1,O$4&gt;=Assumptions!$D$146),1,0)</f>
        <v>1</v>
      </c>
      <c r="P202" s="37" t="n">
        <f aca="false">IF(AND(Assumptions!$D$145=1,P$4&gt;=Assumptions!$D$146),1,0)</f>
        <v>1</v>
      </c>
      <c r="Q202" s="37" t="n">
        <f aca="false">IF(AND(Assumptions!$D$145=1,Q$4&gt;=Assumptions!$D$146),1,0)</f>
        <v>1</v>
      </c>
      <c r="R202" s="37" t="n">
        <f aca="false">IF(AND(Assumptions!$D$145=1,R$4&gt;=Assumptions!$D$146),1,0)</f>
        <v>1</v>
      </c>
      <c r="S202" s="37" t="n">
        <f aca="false">IF(AND(Assumptions!$D$145=1,S$4&gt;=Assumptions!$D$146),1,0)</f>
        <v>1</v>
      </c>
      <c r="T202" s="37" t="n">
        <f aca="false">IF(AND(Assumptions!$D$145=1,T$4&gt;=Assumptions!$D$146),1,0)</f>
        <v>1</v>
      </c>
      <c r="U202" s="37" t="n">
        <f aca="false">IF(AND(Assumptions!$D$145=1,U$4&gt;=Assumptions!$D$146),1,0)</f>
        <v>1</v>
      </c>
      <c r="V202" s="37" t="n">
        <f aca="false">IF(AND(Assumptions!$D$145=1,V$4&gt;=Assumptions!$D$146),1,0)</f>
        <v>1</v>
      </c>
      <c r="W202" s="37" t="n">
        <f aca="false">IF(AND(Assumptions!$D$145=1,W$4&gt;=Assumptions!$D$146),1,0)</f>
        <v>1</v>
      </c>
      <c r="X202" s="37" t="n">
        <f aca="false">IF(AND(Assumptions!$D$145=1,X$4&gt;=Assumptions!$D$146),1,0)</f>
        <v>1</v>
      </c>
      <c r="Y202" s="37" t="n">
        <f aca="false">IF(AND(Assumptions!$D$145=1,Y$4&gt;=Assumptions!$D$146),1,0)</f>
        <v>1</v>
      </c>
      <c r="Z202" s="37" t="n">
        <f aca="false">IF(AND(Assumptions!$D$145=1,Z$4&gt;=Assumptions!$D$146),1,0)</f>
        <v>1</v>
      </c>
      <c r="AA202" s="37" t="n">
        <f aca="false">IF(AND(Assumptions!$D$145=1,AA$4&gt;=Assumptions!$D$146),1,0)</f>
        <v>1</v>
      </c>
      <c r="AB202" s="37" t="n">
        <f aca="false">IF(AND(Assumptions!$D$145=1,AB$4&gt;=Assumptions!$D$146),1,0)</f>
        <v>1</v>
      </c>
      <c r="AC202" s="37" t="n">
        <f aca="false">IF(AND(Assumptions!$D$145=1,AC$4&gt;=Assumptions!$D$146),1,0)</f>
        <v>1</v>
      </c>
      <c r="AD202" s="37" t="n">
        <f aca="false">IF(AND(Assumptions!$D$145=1,AD$4&gt;=Assumptions!$D$146),1,0)</f>
        <v>1</v>
      </c>
      <c r="AE202" s="37" t="n">
        <f aca="false">IF(AND(Assumptions!$D$145=1,AE$4&gt;=Assumptions!$D$146),1,0)</f>
        <v>1</v>
      </c>
      <c r="AF202" s="37" t="n">
        <f aca="false">IF(AND(Assumptions!$D$145=1,AF$4&gt;=Assumptions!$D$146),1,0)</f>
        <v>1</v>
      </c>
      <c r="AG202" s="37" t="n">
        <f aca="false">IF(AND(Assumptions!$D$145=1,AG$4&gt;=Assumptions!$D$146),1,0)</f>
        <v>1</v>
      </c>
      <c r="AH202" s="37" t="n">
        <f aca="false">IF(AND(Assumptions!$D$145=1,AH$4&gt;=Assumptions!$D$146),1,0)</f>
        <v>1</v>
      </c>
      <c r="AI202" s="37" t="n">
        <f aca="false">IF(AND(Assumptions!$D$145=1,AI$4&gt;=Assumptions!$D$146),1,0)</f>
        <v>1</v>
      </c>
      <c r="AJ202" s="37" t="n">
        <f aca="false">IF(AND(Assumptions!$D$145=1,AJ$4&gt;=Assumptions!$D$146),1,0)</f>
        <v>1</v>
      </c>
      <c r="AK202" s="37" t="n">
        <f aca="false">IF(AND(Assumptions!$D$145=1,AK$4&gt;=Assumptions!$D$146),1,0)</f>
        <v>1</v>
      </c>
      <c r="AL202" s="37" t="n">
        <f aca="false">IF(AND(Assumptions!$D$145=1,AL$4&gt;=Assumptions!$D$146),1,0)</f>
        <v>1</v>
      </c>
    </row>
    <row r="203" customFormat="false" ht="15" hidden="false" customHeight="false" outlineLevel="0" collapsed="false">
      <c r="A203" s="7" t="s">
        <v>747</v>
      </c>
      <c r="B203" s="9" t="s">
        <v>316</v>
      </c>
      <c r="C203" s="14" t="n">
        <f aca="false">IF(C202=0,0,Assumptions!$D$147)</f>
        <v>0</v>
      </c>
      <c r="D203" s="14" t="n">
        <f aca="false">IF(D202=0,0,IF(D$4=Assumptions!$D$146,Assumptions!$D$147,C203*(1+CHOOSE(D$6,Assumptions!$D$148,Assumptions!$D$149,Assumptions!$D$150))))</f>
        <v>0</v>
      </c>
      <c r="E203" s="14" t="n">
        <f aca="false">IF(E202=0,0,IF(E$4=Assumptions!$D$146,Assumptions!$D$147,D203*(1+CHOOSE(E$6,Assumptions!$D$148,Assumptions!$D$149,Assumptions!$D$150))))</f>
        <v>0</v>
      </c>
      <c r="F203" s="14" t="n">
        <f aca="false">IF(F202=0,0,IF(F$4=Assumptions!$D$146,Assumptions!$D$147,E203*(1+CHOOSE(F$6,Assumptions!$D$148,Assumptions!$D$149,Assumptions!$D$150))))</f>
        <v>0</v>
      </c>
      <c r="G203" s="14" t="n">
        <f aca="false">IF(G202=0,0,IF(G$4=Assumptions!$D$146,Assumptions!$D$147,F203*(1+CHOOSE(G$6,Assumptions!$D$148,Assumptions!$D$149,Assumptions!$D$150))))</f>
        <v>300</v>
      </c>
      <c r="H203" s="14" t="n">
        <f aca="false">IF(H202=0,0,IF(H$4=Assumptions!$D$146,Assumptions!$D$147,G203*(1+CHOOSE(H$6,Assumptions!$D$148,Assumptions!$D$149,Assumptions!$D$150))))</f>
        <v>318</v>
      </c>
      <c r="I203" s="14" t="n">
        <f aca="false">IF(I202=0,0,IF(I$4=Assumptions!$D$146,Assumptions!$D$147,H203*(1+CHOOSE(I$6,Assumptions!$D$148,Assumptions!$D$149,Assumptions!$D$150))))</f>
        <v>337.08</v>
      </c>
      <c r="J203" s="14" t="n">
        <f aca="false">IF(J202=0,0,IF(J$4=Assumptions!$D$146,Assumptions!$D$147,I203*(1+CHOOSE(J$6,Assumptions!$D$148,Assumptions!$D$149,Assumptions!$D$150))))</f>
        <v>357.3048</v>
      </c>
      <c r="K203" s="14" t="n">
        <f aca="false">IF(K202=0,0,IF(K$4=Assumptions!$D$146,Assumptions!$D$147,J203*(1+CHOOSE(K$6,Assumptions!$D$148,Assumptions!$D$149,Assumptions!$D$150))))</f>
        <v>378.743088</v>
      </c>
      <c r="L203" s="14" t="n">
        <f aca="false">IF(L202=0,0,IF(L$4=Assumptions!$D$146,Assumptions!$D$147,K203*(1+CHOOSE(L$6,Assumptions!$D$148,Assumptions!$D$149,Assumptions!$D$150))))</f>
        <v>401.46767328</v>
      </c>
      <c r="M203" s="14" t="n">
        <f aca="false">IF(M202=0,0,IF(M$4=Assumptions!$D$146,Assumptions!$D$147,L203*(1+CHOOSE(M$6,Assumptions!$D$148,Assumptions!$D$149,Assumptions!$D$150))))</f>
        <v>425.5557336768</v>
      </c>
      <c r="N203" s="14" t="n">
        <f aca="false">IF(N202=0,0,IF(N$4=Assumptions!$D$146,Assumptions!$D$147,M203*(1+CHOOSE(N$6,Assumptions!$D$148,Assumptions!$D$149,Assumptions!$D$150))))</f>
        <v>451.089077697408</v>
      </c>
      <c r="O203" s="14" t="n">
        <f aca="false">IF(O202=0,0,IF(O$4=Assumptions!$D$146,Assumptions!$D$147,N203*(1+CHOOSE(O$6,Assumptions!$D$148,Assumptions!$D$149,Assumptions!$D$150))))</f>
        <v>469.132640805304</v>
      </c>
      <c r="P203" s="14" t="n">
        <f aca="false">IF(P202=0,0,IF(P$4=Assumptions!$D$146,Assumptions!$D$147,O203*(1+CHOOSE(P$6,Assumptions!$D$148,Assumptions!$D$149,Assumptions!$D$150))))</f>
        <v>487.897946437517</v>
      </c>
      <c r="Q203" s="14" t="n">
        <f aca="false">IF(Q202=0,0,IF(Q$4=Assumptions!$D$146,Assumptions!$D$147,P203*(1+CHOOSE(Q$6,Assumptions!$D$148,Assumptions!$D$149,Assumptions!$D$150))))</f>
        <v>507.413864295017</v>
      </c>
      <c r="R203" s="14" t="n">
        <f aca="false">IF(R202=0,0,IF(R$4=Assumptions!$D$146,Assumptions!$D$147,Q203*(1+CHOOSE(R$6,Assumptions!$D$148,Assumptions!$D$149,Assumptions!$D$150))))</f>
        <v>527.710418866818</v>
      </c>
      <c r="S203" s="14" t="n">
        <f aca="false">IF(S202=0,0,IF(S$4=Assumptions!$D$146,Assumptions!$D$147,R203*(1+CHOOSE(S$6,Assumptions!$D$148,Assumptions!$D$149,Assumptions!$D$150))))</f>
        <v>548.818835621491</v>
      </c>
      <c r="T203" s="14" t="n">
        <f aca="false">IF(T202=0,0,IF(T$4=Assumptions!$D$146,Assumptions!$D$147,S203*(1+CHOOSE(T$6,Assumptions!$D$148,Assumptions!$D$149,Assumptions!$D$150))))</f>
        <v>570.77158904635</v>
      </c>
      <c r="U203" s="14" t="n">
        <f aca="false">IF(U202=0,0,IF(U$4=Assumptions!$D$146,Assumptions!$D$147,T203*(1+CHOOSE(U$6,Assumptions!$D$148,Assumptions!$D$149,Assumptions!$D$150))))</f>
        <v>593.602452608204</v>
      </c>
      <c r="V203" s="14" t="n">
        <f aca="false">IF(V202=0,0,IF(V$4=Assumptions!$D$146,Assumptions!$D$147,U203*(1+CHOOSE(V$6,Assumptions!$D$148,Assumptions!$D$149,Assumptions!$D$150))))</f>
        <v>617.346550712533</v>
      </c>
      <c r="W203" s="14" t="n">
        <f aca="false">IF(W202=0,0,IF(W$4=Assumptions!$D$146,Assumptions!$D$147,V203*(1+CHOOSE(W$6,Assumptions!$D$148,Assumptions!$D$149,Assumptions!$D$150))))</f>
        <v>642.040412741034</v>
      </c>
      <c r="X203" s="14" t="n">
        <f aca="false">IF(X202=0,0,IF(X$4=Assumptions!$D$146,Assumptions!$D$147,W203*(1+CHOOSE(X$6,Assumptions!$D$148,Assumptions!$D$149,Assumptions!$D$150))))</f>
        <v>667.722029250675</v>
      </c>
      <c r="Y203" s="14" t="n">
        <f aca="false">IF(Y202=0,0,IF(Y$4=Assumptions!$D$146,Assumptions!$D$147,X203*(1+CHOOSE(Y$6,Assumptions!$D$148,Assumptions!$D$149,Assumptions!$D$150))))</f>
        <v>694.430910420702</v>
      </c>
      <c r="Z203" s="14" t="n">
        <f aca="false">IF(Z202=0,0,IF(Z$4=Assumptions!$D$146,Assumptions!$D$147,Y203*(1+CHOOSE(Z$6,Assumptions!$D$148,Assumptions!$D$149,Assumptions!$D$150))))</f>
        <v>722.20814683753</v>
      </c>
      <c r="AA203" s="14" t="n">
        <f aca="false">IF(AA202=0,0,IF(AA$4=Assumptions!$D$146,Assumptions!$D$147,Z203*(1+CHOOSE(AA$6,Assumptions!$D$148,Assumptions!$D$149,Assumptions!$D$150))))</f>
        <v>736.652309774281</v>
      </c>
      <c r="AB203" s="14" t="n">
        <f aca="false">IF(AB202=0,0,IF(AB$4=Assumptions!$D$146,Assumptions!$D$147,AA203*(1+CHOOSE(AB$6,Assumptions!$D$148,Assumptions!$D$149,Assumptions!$D$150))))</f>
        <v>751.385355969767</v>
      </c>
      <c r="AC203" s="14" t="n">
        <f aca="false">IF(AC202=0,0,IF(AC$4=Assumptions!$D$146,Assumptions!$D$147,AB203*(1+CHOOSE(AC$6,Assumptions!$D$148,Assumptions!$D$149,Assumptions!$D$150))))</f>
        <v>766.413063089162</v>
      </c>
      <c r="AD203" s="14" t="n">
        <f aca="false">IF(AD202=0,0,IF(AD$4=Assumptions!$D$146,Assumptions!$D$147,AC203*(1+CHOOSE(AD$6,Assumptions!$D$148,Assumptions!$D$149,Assumptions!$D$150))))</f>
        <v>781.741324350945</v>
      </c>
      <c r="AE203" s="14" t="n">
        <f aca="false">IF(AE202=0,0,IF(AE$4=Assumptions!$D$146,Assumptions!$D$147,AD203*(1+CHOOSE(AE$6,Assumptions!$D$148,Assumptions!$D$149,Assumptions!$D$150))))</f>
        <v>797.376150837964</v>
      </c>
      <c r="AF203" s="14" t="n">
        <f aca="false">IF(AF202=0,0,IF(AF$4=Assumptions!$D$146,Assumptions!$D$147,AE203*(1+CHOOSE(AF$6,Assumptions!$D$148,Assumptions!$D$149,Assumptions!$D$150))))</f>
        <v>813.323673854724</v>
      </c>
      <c r="AG203" s="14" t="n">
        <f aca="false">IF(AG202=0,0,IF(AG$4=Assumptions!$D$146,Assumptions!$D$147,AF203*(1+CHOOSE(AG$6,Assumptions!$D$148,Assumptions!$D$149,Assumptions!$D$150))))</f>
        <v>829.590147331818</v>
      </c>
      <c r="AH203" s="14" t="n">
        <f aca="false">IF(AH202=0,0,IF(AH$4=Assumptions!$D$146,Assumptions!$D$147,AG203*(1+CHOOSE(AH$6,Assumptions!$D$148,Assumptions!$D$149,Assumptions!$D$150))))</f>
        <v>846.181950278454</v>
      </c>
      <c r="AI203" s="14" t="n">
        <f aca="false">IF(AI202=0,0,IF(AI$4=Assumptions!$D$146,Assumptions!$D$147,AH203*(1+CHOOSE(AI$6,Assumptions!$D$148,Assumptions!$D$149,Assumptions!$D$150))))</f>
        <v>863.105589284024</v>
      </c>
      <c r="AJ203" s="14" t="n">
        <f aca="false">IF(AJ202=0,0,IF(AJ$4=Assumptions!$D$146,Assumptions!$D$147,AI203*(1+CHOOSE(AJ$6,Assumptions!$D$148,Assumptions!$D$149,Assumptions!$D$150))))</f>
        <v>880.367701069704</v>
      </c>
      <c r="AK203" s="14" t="n">
        <f aca="false">IF(AK202=0,0,IF(AK$4=Assumptions!$D$146,Assumptions!$D$147,AJ203*(1+CHOOSE(AK$6,Assumptions!$D$148,Assumptions!$D$149,Assumptions!$D$150))))</f>
        <v>897.975055091098</v>
      </c>
      <c r="AL203" s="14" t="n">
        <f aca="false">IF(AL202=0,0,IF(AL$4=Assumptions!$D$146,Assumptions!$D$147,AK203*(1+CHOOSE(AL$6,Assumptions!$D$148,Assumptions!$D$149,Assumptions!$D$150))))</f>
        <v>915.93455619292</v>
      </c>
    </row>
    <row r="204" customFormat="false" ht="15" hidden="false" customHeight="false" outlineLevel="0" collapsed="false">
      <c r="A204" s="7" t="s">
        <v>764</v>
      </c>
      <c r="B204" s="9" t="s">
        <v>316</v>
      </c>
      <c r="C204" s="52" t="n">
        <f aca="false">C203*C$7</f>
        <v>0</v>
      </c>
      <c r="D204" s="52" t="n">
        <f aca="false">D203*D$7</f>
        <v>0</v>
      </c>
      <c r="E204" s="52" t="n">
        <f aca="false">E203*E$7</f>
        <v>0</v>
      </c>
      <c r="F204" s="52" t="n">
        <f aca="false">F203*F$7</f>
        <v>0</v>
      </c>
      <c r="G204" s="52" t="n">
        <f aca="false">G203*G$7</f>
        <v>270</v>
      </c>
      <c r="H204" s="52" t="n">
        <f aca="false">H203*H$7</f>
        <v>318</v>
      </c>
      <c r="I204" s="52" t="n">
        <f aca="false">I203*I$7</f>
        <v>353.934</v>
      </c>
      <c r="J204" s="52" t="n">
        <f aca="false">J203*J$7</f>
        <v>339.43956</v>
      </c>
      <c r="K204" s="52" t="n">
        <f aca="false">K203*K$7</f>
        <v>378.743088</v>
      </c>
      <c r="L204" s="52" t="n">
        <f aca="false">L203*L$7</f>
        <v>381.394289616</v>
      </c>
      <c r="M204" s="52" t="n">
        <f aca="false">M203*M$7</f>
        <v>361.72237362528</v>
      </c>
      <c r="N204" s="52" t="n">
        <f aca="false">N203*N$7</f>
        <v>383.425716042797</v>
      </c>
      <c r="O204" s="52" t="n">
        <f aca="false">O203*O$7</f>
        <v>445.676008765039</v>
      </c>
      <c r="P204" s="52" t="n">
        <f aca="false">P203*P$7</f>
        <v>634.267330368772</v>
      </c>
      <c r="Q204" s="52" t="n">
        <f aca="false">Q203*Q$7</f>
        <v>685.008716798273</v>
      </c>
      <c r="R204" s="52" t="n">
        <f aca="false">R203*R$7</f>
        <v>659.638023583523</v>
      </c>
      <c r="S204" s="52" t="n">
        <f aca="false">S203*S$7</f>
        <v>493.936952059342</v>
      </c>
      <c r="T204" s="52" t="n">
        <f aca="false">T203*T$7</f>
        <v>570.77158904635</v>
      </c>
      <c r="U204" s="52" t="n">
        <f aca="false">U203*U$7</f>
        <v>623.282575238615</v>
      </c>
      <c r="V204" s="52" t="n">
        <f aca="false">V203*V$7</f>
        <v>586.479223176906</v>
      </c>
      <c r="W204" s="52" t="n">
        <f aca="false">W203*W$7</f>
        <v>642.040412741034</v>
      </c>
      <c r="X204" s="52" t="n">
        <f aca="false">X203*X$7</f>
        <v>634.335927788142</v>
      </c>
      <c r="Y204" s="52" t="n">
        <f aca="false">Y203*Y$7</f>
        <v>590.266273857597</v>
      </c>
      <c r="Z204" s="52" t="n">
        <f aca="false">Z203*Z$7</f>
        <v>613.876924811901</v>
      </c>
      <c r="AA204" s="52" t="n">
        <f aca="false">AA203*AA$7</f>
        <v>699.819694285567</v>
      </c>
      <c r="AB204" s="52" t="n">
        <f aca="false">AB203*AB$7</f>
        <v>976.800962760697</v>
      </c>
      <c r="AC204" s="52" t="n">
        <f aca="false">AC203*AC$7</f>
        <v>1034.65763517037</v>
      </c>
      <c r="AD204" s="52" t="n">
        <f aca="false">AD203*AD$7</f>
        <v>977.176655438682</v>
      </c>
      <c r="AE204" s="52" t="n">
        <f aca="false">AE203*AE$7</f>
        <v>717.638535754168</v>
      </c>
      <c r="AF204" s="52" t="n">
        <f aca="false">AF203*AF$7</f>
        <v>813.323673854724</v>
      </c>
      <c r="AG204" s="52" t="n">
        <f aca="false">AG203*AG$7</f>
        <v>871.069654698409</v>
      </c>
      <c r="AH204" s="52" t="n">
        <f aca="false">AH203*AH$7</f>
        <v>803.872852764532</v>
      </c>
      <c r="AI204" s="52" t="n">
        <f aca="false">AI203*AI$7</f>
        <v>863.105589284024</v>
      </c>
      <c r="AJ204" s="52" t="n">
        <f aca="false">AJ203*AJ$7</f>
        <v>836.349316016219</v>
      </c>
      <c r="AK204" s="52" t="n">
        <f aca="false">AK203*AK$7</f>
        <v>763.278796827433</v>
      </c>
      <c r="AL204" s="52" t="n">
        <f aca="false">AL203*AL$7</f>
        <v>778.544372763982</v>
      </c>
      <c r="AM204" s="53" t="n">
        <f aca="false">SUMIF($C$6:$AL$6,1,C204:AL204)</f>
        <v>2786.65902728408</v>
      </c>
      <c r="AN204" s="53" t="n">
        <f aca="false">SUMIF($C$6:$AL$6,2,C204:AL204)</f>
        <v>7179.57995823549</v>
      </c>
      <c r="AO204" s="53" t="n">
        <f aca="false">SUMIF($C$6:$AL$6,3,C204:AL204)</f>
        <v>10135.6377396188</v>
      </c>
      <c r="AP204" s="53" t="n">
        <f aca="false">SUM(C204:AL204)</f>
        <v>20101.8767251384</v>
      </c>
    </row>
    <row r="205" customFormat="false" ht="15" hidden="false" customHeight="false" outlineLevel="0" collapsed="false">
      <c r="A205" s="7" t="s">
        <v>749</v>
      </c>
      <c r="B205" s="9" t="s">
        <v>88</v>
      </c>
      <c r="C205" s="54" t="n">
        <f aca="false">Assumptions!$D$151*MIN(1,(C$4-Assumptions!$D$146+1)/Assumptions!$C$10)*C202</f>
        <v>-0</v>
      </c>
      <c r="D205" s="54" t="n">
        <f aca="false">Assumptions!$D$151*MIN(1,(D$4-Assumptions!$D$146+1)/Assumptions!$C$10)*D202</f>
        <v>-0</v>
      </c>
      <c r="E205" s="54" t="n">
        <f aca="false">Assumptions!$D$151*MIN(1,(E$4-Assumptions!$D$146+1)/Assumptions!$C$10)*E202</f>
        <v>-0</v>
      </c>
      <c r="F205" s="54" t="n">
        <f aca="false">Assumptions!$D$151*MIN(1,(F$4-Assumptions!$D$146+1)/Assumptions!$C$10)*F202</f>
        <v>0</v>
      </c>
      <c r="G205" s="54" t="n">
        <f aca="false">Assumptions!$D$151*MIN(1,(G$4-Assumptions!$D$146+1)/Assumptions!$C$10)*G202</f>
        <v>0.00416666666666667</v>
      </c>
      <c r="H205" s="54" t="n">
        <f aca="false">Assumptions!$D$151*MIN(1,(H$4-Assumptions!$D$146+1)/Assumptions!$C$10)*H202</f>
        <v>0.00833333333333333</v>
      </c>
      <c r="I205" s="54" t="n">
        <f aca="false">Assumptions!$D$151*MIN(1,(I$4-Assumptions!$D$146+1)/Assumptions!$C$10)*I202</f>
        <v>0.0125</v>
      </c>
      <c r="J205" s="54" t="n">
        <f aca="false">Assumptions!$D$151*MIN(1,(J$4-Assumptions!$D$146+1)/Assumptions!$C$10)*J202</f>
        <v>0.0166666666666667</v>
      </c>
      <c r="K205" s="54" t="n">
        <f aca="false">Assumptions!$D$151*MIN(1,(K$4-Assumptions!$D$146+1)/Assumptions!$C$10)*K202</f>
        <v>0.0208333333333333</v>
      </c>
      <c r="L205" s="54" t="n">
        <f aca="false">Assumptions!$D$151*MIN(1,(L$4-Assumptions!$D$146+1)/Assumptions!$C$10)*L202</f>
        <v>0.025</v>
      </c>
      <c r="M205" s="54" t="n">
        <f aca="false">Assumptions!$D$151*MIN(1,(M$4-Assumptions!$D$146+1)/Assumptions!$C$10)*M202</f>
        <v>0.025</v>
      </c>
      <c r="N205" s="54" t="n">
        <f aca="false">Assumptions!$D$151*MIN(1,(N$4-Assumptions!$D$146+1)/Assumptions!$C$10)*N202</f>
        <v>0.025</v>
      </c>
      <c r="O205" s="54" t="n">
        <f aca="false">Assumptions!$D$151*MIN(1,(O$4-Assumptions!$D$146+1)/Assumptions!$C$10)*O202</f>
        <v>0.025</v>
      </c>
      <c r="P205" s="54" t="n">
        <f aca="false">Assumptions!$D$151*MIN(1,(P$4-Assumptions!$D$146+1)/Assumptions!$C$10)*P202</f>
        <v>0.025</v>
      </c>
      <c r="Q205" s="54" t="n">
        <f aca="false">Assumptions!$D$151*MIN(1,(Q$4-Assumptions!$D$146+1)/Assumptions!$C$10)*Q202</f>
        <v>0.025</v>
      </c>
      <c r="R205" s="54" t="n">
        <f aca="false">Assumptions!$D$151*MIN(1,(R$4-Assumptions!$D$146+1)/Assumptions!$C$10)*R202</f>
        <v>0.025</v>
      </c>
      <c r="S205" s="54" t="n">
        <f aca="false">Assumptions!$D$151*MIN(1,(S$4-Assumptions!$D$146+1)/Assumptions!$C$10)*S202</f>
        <v>0.025</v>
      </c>
      <c r="T205" s="54" t="n">
        <f aca="false">Assumptions!$D$151*MIN(1,(T$4-Assumptions!$D$146+1)/Assumptions!$C$10)*T202</f>
        <v>0.025</v>
      </c>
      <c r="U205" s="54" t="n">
        <f aca="false">Assumptions!$D$151*MIN(1,(U$4-Assumptions!$D$146+1)/Assumptions!$C$10)*U202</f>
        <v>0.025</v>
      </c>
      <c r="V205" s="54" t="n">
        <f aca="false">Assumptions!$D$151*MIN(1,(V$4-Assumptions!$D$146+1)/Assumptions!$C$10)*V202</f>
        <v>0.025</v>
      </c>
      <c r="W205" s="54" t="n">
        <f aca="false">Assumptions!$D$151*MIN(1,(W$4-Assumptions!$D$146+1)/Assumptions!$C$10)*W202</f>
        <v>0.025</v>
      </c>
      <c r="X205" s="54" t="n">
        <f aca="false">Assumptions!$D$151*MIN(1,(X$4-Assumptions!$D$146+1)/Assumptions!$C$10)*X202</f>
        <v>0.025</v>
      </c>
      <c r="Y205" s="54" t="n">
        <f aca="false">Assumptions!$D$151*MIN(1,(Y$4-Assumptions!$D$146+1)/Assumptions!$C$10)*Y202</f>
        <v>0.025</v>
      </c>
      <c r="Z205" s="54" t="n">
        <f aca="false">Assumptions!$D$151*MIN(1,(Z$4-Assumptions!$D$146+1)/Assumptions!$C$10)*Z202</f>
        <v>0.025</v>
      </c>
      <c r="AA205" s="54" t="n">
        <f aca="false">Assumptions!$D$151*MIN(1,(AA$4-Assumptions!$D$146+1)/Assumptions!$C$10)*AA202</f>
        <v>0.025</v>
      </c>
      <c r="AB205" s="54" t="n">
        <f aca="false">Assumptions!$D$151*MIN(1,(AB$4-Assumptions!$D$146+1)/Assumptions!$C$10)*AB202</f>
        <v>0.025</v>
      </c>
      <c r="AC205" s="54" t="n">
        <f aca="false">Assumptions!$D$151*MIN(1,(AC$4-Assumptions!$D$146+1)/Assumptions!$C$10)*AC202</f>
        <v>0.025</v>
      </c>
      <c r="AD205" s="54" t="n">
        <f aca="false">Assumptions!$D$151*MIN(1,(AD$4-Assumptions!$D$146+1)/Assumptions!$C$10)*AD202</f>
        <v>0.025</v>
      </c>
      <c r="AE205" s="54" t="n">
        <f aca="false">Assumptions!$D$151*MIN(1,(AE$4-Assumptions!$D$146+1)/Assumptions!$C$10)*AE202</f>
        <v>0.025</v>
      </c>
      <c r="AF205" s="54" t="n">
        <f aca="false">Assumptions!$D$151*MIN(1,(AF$4-Assumptions!$D$146+1)/Assumptions!$C$10)*AF202</f>
        <v>0.025</v>
      </c>
      <c r="AG205" s="54" t="n">
        <f aca="false">Assumptions!$D$151*MIN(1,(AG$4-Assumptions!$D$146+1)/Assumptions!$C$10)*AG202</f>
        <v>0.025</v>
      </c>
      <c r="AH205" s="54" t="n">
        <f aca="false">Assumptions!$D$151*MIN(1,(AH$4-Assumptions!$D$146+1)/Assumptions!$C$10)*AH202</f>
        <v>0.025</v>
      </c>
      <c r="AI205" s="54" t="n">
        <f aca="false">Assumptions!$D$151*MIN(1,(AI$4-Assumptions!$D$146+1)/Assumptions!$C$10)*AI202</f>
        <v>0.025</v>
      </c>
      <c r="AJ205" s="54" t="n">
        <f aca="false">Assumptions!$D$151*MIN(1,(AJ$4-Assumptions!$D$146+1)/Assumptions!$C$10)*AJ202</f>
        <v>0.025</v>
      </c>
      <c r="AK205" s="54" t="n">
        <f aca="false">Assumptions!$D$151*MIN(1,(AK$4-Assumptions!$D$146+1)/Assumptions!$C$10)*AK202</f>
        <v>0.025</v>
      </c>
      <c r="AL205" s="54" t="n">
        <f aca="false">Assumptions!$D$151*MIN(1,(AL$4-Assumptions!$D$146+1)/Assumptions!$C$10)*AL202</f>
        <v>0.025</v>
      </c>
    </row>
    <row r="206" customFormat="false" ht="15" hidden="false" customHeight="false" outlineLevel="0" collapsed="false">
      <c r="A206" s="7" t="s">
        <v>757</v>
      </c>
      <c r="B206" s="9" t="s">
        <v>751</v>
      </c>
      <c r="C206" s="55" t="n">
        <f aca="false">C204*C205</f>
        <v>-0</v>
      </c>
      <c r="D206" s="55" t="n">
        <f aca="false">D204*D205</f>
        <v>-0</v>
      </c>
      <c r="E206" s="55" t="n">
        <f aca="false">E204*E205</f>
        <v>-0</v>
      </c>
      <c r="F206" s="55" t="n">
        <f aca="false">F204*F205</f>
        <v>0</v>
      </c>
      <c r="G206" s="55" t="n">
        <f aca="false">G204*G205</f>
        <v>1.125</v>
      </c>
      <c r="H206" s="55" t="n">
        <f aca="false">H204*H205</f>
        <v>2.65</v>
      </c>
      <c r="I206" s="55" t="n">
        <f aca="false">I204*I205</f>
        <v>4.424175</v>
      </c>
      <c r="J206" s="55" t="n">
        <f aca="false">J204*J205</f>
        <v>5.657326</v>
      </c>
      <c r="K206" s="55" t="n">
        <f aca="false">K204*K205</f>
        <v>7.890481</v>
      </c>
      <c r="L206" s="55" t="n">
        <f aca="false">L204*L205</f>
        <v>9.5348572404</v>
      </c>
      <c r="M206" s="55" t="n">
        <f aca="false">M204*M205</f>
        <v>9.043059340632</v>
      </c>
      <c r="N206" s="55" t="n">
        <f aca="false">N204*N205</f>
        <v>9.58564290106992</v>
      </c>
      <c r="O206" s="55" t="n">
        <f aca="false">O204*O205</f>
        <v>11.141900219126</v>
      </c>
      <c r="P206" s="55" t="n">
        <f aca="false">P204*P205</f>
        <v>15.8566832592193</v>
      </c>
      <c r="Q206" s="55" t="n">
        <f aca="false">Q204*Q205</f>
        <v>17.1252179199568</v>
      </c>
      <c r="R206" s="55" t="n">
        <f aca="false">R204*R205</f>
        <v>16.4909505895881</v>
      </c>
      <c r="S206" s="55" t="n">
        <f aca="false">S204*S205</f>
        <v>12.3484238014835</v>
      </c>
      <c r="T206" s="55" t="n">
        <f aca="false">T204*T205</f>
        <v>14.2692897261588</v>
      </c>
      <c r="U206" s="55" t="n">
        <f aca="false">U204*U205</f>
        <v>15.5820643809654</v>
      </c>
      <c r="V206" s="55" t="n">
        <f aca="false">V204*V205</f>
        <v>14.6619805794227</v>
      </c>
      <c r="W206" s="55" t="n">
        <f aca="false">W204*W205</f>
        <v>16.0510103185259</v>
      </c>
      <c r="X206" s="55" t="n">
        <f aca="false">X204*X205</f>
        <v>15.8583981947035</v>
      </c>
      <c r="Y206" s="55" t="n">
        <f aca="false">Y204*Y205</f>
        <v>14.7566568464399</v>
      </c>
      <c r="Z206" s="55" t="n">
        <f aca="false">Z204*Z205</f>
        <v>15.3469231202975</v>
      </c>
      <c r="AA206" s="55" t="n">
        <f aca="false">AA204*AA205</f>
        <v>17.4954923571392</v>
      </c>
      <c r="AB206" s="55" t="n">
        <f aca="false">AB204*AB205</f>
        <v>24.4200240690174</v>
      </c>
      <c r="AC206" s="55" t="n">
        <f aca="false">AC204*AC205</f>
        <v>25.8664408792592</v>
      </c>
      <c r="AD206" s="55" t="n">
        <f aca="false">AD204*AD205</f>
        <v>24.429416385967</v>
      </c>
      <c r="AE206" s="55" t="n">
        <f aca="false">AE204*AE205</f>
        <v>17.9409633938542</v>
      </c>
      <c r="AF206" s="55" t="n">
        <f aca="false">AF204*AF205</f>
        <v>20.3330918463681</v>
      </c>
      <c r="AG206" s="55" t="n">
        <f aca="false">AG204*AG205</f>
        <v>21.7767413674602</v>
      </c>
      <c r="AH206" s="55" t="n">
        <f aca="false">AH204*AH205</f>
        <v>20.0968213191133</v>
      </c>
      <c r="AI206" s="55" t="n">
        <f aca="false">AI204*AI205</f>
        <v>21.5776397321006</v>
      </c>
      <c r="AJ206" s="55" t="n">
        <f aca="false">AJ204*AJ205</f>
        <v>20.9087329004055</v>
      </c>
      <c r="AK206" s="55" t="n">
        <f aca="false">AK204*AK205</f>
        <v>19.0819699206858</v>
      </c>
      <c r="AL206" s="55" t="n">
        <f aca="false">AL204*AL205</f>
        <v>19.4636093190996</v>
      </c>
      <c r="AM206" s="53" t="n">
        <f aca="false">SUMIF($C$6:$AL$6,1,C206:AL206)</f>
        <v>49.9105414821019</v>
      </c>
      <c r="AN206" s="53" t="n">
        <f aca="false">SUMIF($C$6:$AL$6,2,C206:AL206)</f>
        <v>179.489498955887</v>
      </c>
      <c r="AO206" s="53" t="n">
        <f aca="false">SUMIF($C$6:$AL$6,3,C206:AL206)</f>
        <v>253.39094349047</v>
      </c>
      <c r="AP206" s="53" t="n">
        <f aca="false">SUM(C206:AL206)</f>
        <v>482.790983928459</v>
      </c>
    </row>
    <row r="207" customFormat="false" ht="15" hidden="false" customHeight="false" outlineLevel="0" collapsed="false">
      <c r="A207" s="7" t="s">
        <v>752</v>
      </c>
      <c r="B207" s="9" t="s">
        <v>331</v>
      </c>
      <c r="C207" s="56" t="n">
        <f aca="false">C206*Assumptions!$D$152</f>
        <v>-0</v>
      </c>
      <c r="D207" s="56" t="n">
        <f aca="false">D206*Assumptions!$D$152</f>
        <v>-0</v>
      </c>
      <c r="E207" s="56" t="n">
        <f aca="false">E206*Assumptions!$D$152</f>
        <v>-0</v>
      </c>
      <c r="F207" s="56" t="n">
        <f aca="false">F206*Assumptions!$D$152</f>
        <v>0</v>
      </c>
      <c r="G207" s="56" t="n">
        <f aca="false">G206*Assumptions!$D$152</f>
        <v>1.35</v>
      </c>
      <c r="H207" s="56" t="n">
        <f aca="false">H206*Assumptions!$D$152</f>
        <v>3.18</v>
      </c>
      <c r="I207" s="56" t="n">
        <f aca="false">I206*Assumptions!$D$152</f>
        <v>5.30901</v>
      </c>
      <c r="J207" s="56" t="n">
        <f aca="false">J206*Assumptions!$D$152</f>
        <v>6.7887912</v>
      </c>
      <c r="K207" s="56" t="n">
        <f aca="false">K206*Assumptions!$D$152</f>
        <v>9.4685772</v>
      </c>
      <c r="L207" s="56" t="n">
        <f aca="false">L206*Assumptions!$D$152</f>
        <v>11.44182868848</v>
      </c>
      <c r="M207" s="56" t="n">
        <f aca="false">M206*Assumptions!$D$152</f>
        <v>10.8516712087584</v>
      </c>
      <c r="N207" s="56" t="n">
        <f aca="false">N206*Assumptions!$D$152</f>
        <v>11.5027714812839</v>
      </c>
      <c r="O207" s="56" t="n">
        <f aca="false">O206*Assumptions!$D$152</f>
        <v>13.3702802629512</v>
      </c>
      <c r="P207" s="56" t="n">
        <f aca="false">P206*Assumptions!$D$152</f>
        <v>19.0280199110631</v>
      </c>
      <c r="Q207" s="56" t="n">
        <f aca="false">Q206*Assumptions!$D$152</f>
        <v>20.5502615039482</v>
      </c>
      <c r="R207" s="56" t="n">
        <f aca="false">R206*Assumptions!$D$152</f>
        <v>19.7891407075057</v>
      </c>
      <c r="S207" s="56" t="n">
        <f aca="false">S206*Assumptions!$D$152</f>
        <v>14.8181085617803</v>
      </c>
      <c r="T207" s="56" t="n">
        <f aca="false">T206*Assumptions!$D$152</f>
        <v>17.1231476713905</v>
      </c>
      <c r="U207" s="56" t="n">
        <f aca="false">U206*Assumptions!$D$152</f>
        <v>18.6984772571584</v>
      </c>
      <c r="V207" s="56" t="n">
        <f aca="false">V206*Assumptions!$D$152</f>
        <v>17.5943766953072</v>
      </c>
      <c r="W207" s="56" t="n">
        <f aca="false">W206*Assumptions!$D$152</f>
        <v>19.261212382231</v>
      </c>
      <c r="X207" s="56" t="n">
        <f aca="false">X206*Assumptions!$D$152</f>
        <v>19.0300778336442</v>
      </c>
      <c r="Y207" s="56" t="n">
        <f aca="false">Y206*Assumptions!$D$152</f>
        <v>17.7079882157279</v>
      </c>
      <c r="Z207" s="56" t="n">
        <f aca="false">Z206*Assumptions!$D$152</f>
        <v>18.416307744357</v>
      </c>
      <c r="AA207" s="56" t="n">
        <f aca="false">AA206*Assumptions!$D$152</f>
        <v>20.994590828567</v>
      </c>
      <c r="AB207" s="56" t="n">
        <f aca="false">AB206*Assumptions!$D$152</f>
        <v>29.3040288828209</v>
      </c>
      <c r="AC207" s="56" t="n">
        <f aca="false">AC206*Assumptions!$D$152</f>
        <v>31.0397290551111</v>
      </c>
      <c r="AD207" s="56" t="n">
        <f aca="false">AD206*Assumptions!$D$152</f>
        <v>29.3152996631605</v>
      </c>
      <c r="AE207" s="56" t="n">
        <f aca="false">AE206*Assumptions!$D$152</f>
        <v>21.529156072625</v>
      </c>
      <c r="AF207" s="56" t="n">
        <f aca="false">AF206*Assumptions!$D$152</f>
        <v>24.3997102156417</v>
      </c>
      <c r="AG207" s="56" t="n">
        <f aca="false">AG206*Assumptions!$D$152</f>
        <v>26.1320896409523</v>
      </c>
      <c r="AH207" s="56" t="n">
        <f aca="false">AH206*Assumptions!$D$152</f>
        <v>24.1161855829359</v>
      </c>
      <c r="AI207" s="56" t="n">
        <f aca="false">AI206*Assumptions!$D$152</f>
        <v>25.8931676785207</v>
      </c>
      <c r="AJ207" s="56" t="n">
        <f aca="false">AJ206*Assumptions!$D$152</f>
        <v>25.0904794804866</v>
      </c>
      <c r="AK207" s="56" t="n">
        <f aca="false">AK206*Assumptions!$D$152</f>
        <v>22.898363904823</v>
      </c>
      <c r="AL207" s="56" t="n">
        <f aca="false">AL206*Assumptions!$D$152</f>
        <v>23.3563311829195</v>
      </c>
      <c r="AM207" s="53" t="n">
        <f aca="false">SUMIF($C$6:$AL$6,1,C207:AL207)</f>
        <v>59.8926497785223</v>
      </c>
      <c r="AN207" s="53" t="n">
        <f aca="false">SUMIF($C$6:$AL$6,2,C207:AL207)</f>
        <v>215.387398747065</v>
      </c>
      <c r="AO207" s="53" t="n">
        <f aca="false">SUMIF($C$6:$AL$6,3,C207:AL207)</f>
        <v>304.069132188564</v>
      </c>
      <c r="AP207" s="53" t="n">
        <f aca="false">SUM(C207:AL207)</f>
        <v>579.349180714151</v>
      </c>
    </row>
    <row r="208" customFormat="false" ht="15" hidden="false" customHeight="false" outlineLevel="0" collapsed="false">
      <c r="A208" s="7" t="s">
        <v>753</v>
      </c>
      <c r="B208" s="9" t="s">
        <v>93</v>
      </c>
      <c r="C208" s="15" t="n">
        <f aca="false">'Unit Economics'!$E$56*Assumptions!$D$152*C202</f>
        <v>0</v>
      </c>
      <c r="D208" s="15" t="n">
        <f aca="false">'Unit Economics'!$E$56*Assumptions!$D$152*D202</f>
        <v>0</v>
      </c>
      <c r="E208" s="15" t="n">
        <f aca="false">'Unit Economics'!$E$56*Assumptions!$D$152*E202</f>
        <v>0</v>
      </c>
      <c r="F208" s="15" t="n">
        <f aca="false">'Unit Economics'!$E$56*Assumptions!$D$152*F202</f>
        <v>0</v>
      </c>
      <c r="G208" s="15" t="n">
        <f aca="false">'Unit Economics'!$E$56*Assumptions!$D$152*G202</f>
        <v>15.588</v>
      </c>
      <c r="H208" s="15" t="n">
        <f aca="false">'Unit Economics'!$E$56*Assumptions!$D$152*H202</f>
        <v>15.588</v>
      </c>
      <c r="I208" s="15" t="n">
        <f aca="false">'Unit Economics'!$E$56*Assumptions!$D$152*I202</f>
        <v>15.588</v>
      </c>
      <c r="J208" s="15" t="n">
        <f aca="false">'Unit Economics'!$E$56*Assumptions!$D$152*J202</f>
        <v>15.588</v>
      </c>
      <c r="K208" s="15" t="n">
        <f aca="false">'Unit Economics'!$E$56*Assumptions!$D$152*K202</f>
        <v>15.588</v>
      </c>
      <c r="L208" s="15" t="n">
        <f aca="false">'Unit Economics'!$E$56*Assumptions!$D$152*L202</f>
        <v>15.588</v>
      </c>
      <c r="M208" s="15" t="n">
        <f aca="false">'Unit Economics'!$E$56*Assumptions!$D$152*M202</f>
        <v>15.588</v>
      </c>
      <c r="N208" s="15" t="n">
        <f aca="false">'Unit Economics'!$E$56*Assumptions!$D$152*N202</f>
        <v>15.588</v>
      </c>
      <c r="O208" s="15" t="n">
        <f aca="false">'Unit Economics'!$E$56*Assumptions!$D$152*O202</f>
        <v>15.588</v>
      </c>
      <c r="P208" s="15" t="n">
        <f aca="false">'Unit Economics'!$E$56*Assumptions!$D$152*P202</f>
        <v>15.588</v>
      </c>
      <c r="Q208" s="15" t="n">
        <f aca="false">'Unit Economics'!$E$56*Assumptions!$D$152*Q202</f>
        <v>15.588</v>
      </c>
      <c r="R208" s="15" t="n">
        <f aca="false">'Unit Economics'!$E$56*Assumptions!$D$152*R202</f>
        <v>15.588</v>
      </c>
      <c r="S208" s="15" t="n">
        <f aca="false">'Unit Economics'!$E$56*Assumptions!$D$152*S202</f>
        <v>15.588</v>
      </c>
      <c r="T208" s="15" t="n">
        <f aca="false">'Unit Economics'!$E$56*Assumptions!$D$152*T202</f>
        <v>15.588</v>
      </c>
      <c r="U208" s="15" t="n">
        <f aca="false">'Unit Economics'!$E$56*Assumptions!$D$152*U202</f>
        <v>15.588</v>
      </c>
      <c r="V208" s="15" t="n">
        <f aca="false">'Unit Economics'!$E$56*Assumptions!$D$152*V202</f>
        <v>15.588</v>
      </c>
      <c r="W208" s="15" t="n">
        <f aca="false">'Unit Economics'!$E$56*Assumptions!$D$152*W202</f>
        <v>15.588</v>
      </c>
      <c r="X208" s="15" t="n">
        <f aca="false">'Unit Economics'!$E$56*Assumptions!$D$152*X202</f>
        <v>15.588</v>
      </c>
      <c r="Y208" s="15" t="n">
        <f aca="false">'Unit Economics'!$E$56*Assumptions!$D$152*Y202</f>
        <v>15.588</v>
      </c>
      <c r="Z208" s="15" t="n">
        <f aca="false">'Unit Economics'!$E$56*Assumptions!$D$152*Z202</f>
        <v>15.588</v>
      </c>
      <c r="AA208" s="15" t="n">
        <f aca="false">'Unit Economics'!$E$56*Assumptions!$D$152*AA202</f>
        <v>15.588</v>
      </c>
      <c r="AB208" s="15" t="n">
        <f aca="false">'Unit Economics'!$E$56*Assumptions!$D$152*AB202</f>
        <v>15.588</v>
      </c>
      <c r="AC208" s="15" t="n">
        <f aca="false">'Unit Economics'!$E$56*Assumptions!$D$152*AC202</f>
        <v>15.588</v>
      </c>
      <c r="AD208" s="15" t="n">
        <f aca="false">'Unit Economics'!$E$56*Assumptions!$D$152*AD202</f>
        <v>15.588</v>
      </c>
      <c r="AE208" s="15" t="n">
        <f aca="false">'Unit Economics'!$E$56*Assumptions!$D$152*AE202</f>
        <v>15.588</v>
      </c>
      <c r="AF208" s="15" t="n">
        <f aca="false">'Unit Economics'!$E$56*Assumptions!$D$152*AF202</f>
        <v>15.588</v>
      </c>
      <c r="AG208" s="15" t="n">
        <f aca="false">'Unit Economics'!$E$56*Assumptions!$D$152*AG202</f>
        <v>15.588</v>
      </c>
      <c r="AH208" s="15" t="n">
        <f aca="false">'Unit Economics'!$E$56*Assumptions!$D$152*AH202</f>
        <v>15.588</v>
      </c>
      <c r="AI208" s="15" t="n">
        <f aca="false">'Unit Economics'!$E$56*Assumptions!$D$152*AI202</f>
        <v>15.588</v>
      </c>
      <c r="AJ208" s="15" t="n">
        <f aca="false">'Unit Economics'!$E$56*Assumptions!$D$152*AJ202</f>
        <v>15.588</v>
      </c>
      <c r="AK208" s="15" t="n">
        <f aca="false">'Unit Economics'!$E$56*Assumptions!$D$152*AK202</f>
        <v>15.588</v>
      </c>
      <c r="AL208" s="15" t="n">
        <f aca="false">'Unit Economics'!$E$56*Assumptions!$D$152*AL202</f>
        <v>15.588</v>
      </c>
    </row>
    <row r="209" customFormat="false" ht="15" hidden="false" customHeight="false" outlineLevel="0" collapsed="false">
      <c r="A209" s="7" t="s">
        <v>754</v>
      </c>
      <c r="B209" s="9" t="s">
        <v>93</v>
      </c>
      <c r="C209" s="8" t="n">
        <f aca="false">C207*'Unit Economics'!$E$56</f>
        <v>-0</v>
      </c>
      <c r="D209" s="8" t="n">
        <f aca="false">D207*'Unit Economics'!$E$56</f>
        <v>-0</v>
      </c>
      <c r="E209" s="8" t="n">
        <f aca="false">E207*'Unit Economics'!$E$56</f>
        <v>-0</v>
      </c>
      <c r="F209" s="8" t="n">
        <f aca="false">F207*'Unit Economics'!$E$56</f>
        <v>0</v>
      </c>
      <c r="G209" s="8" t="n">
        <f aca="false">G207*'Unit Economics'!$E$56</f>
        <v>17.5365</v>
      </c>
      <c r="H209" s="8" t="n">
        <f aca="false">H207*'Unit Economics'!$E$56</f>
        <v>41.3082</v>
      </c>
      <c r="I209" s="8" t="n">
        <f aca="false">I207*'Unit Economics'!$E$56</f>
        <v>68.9640399</v>
      </c>
      <c r="J209" s="8" t="n">
        <f aca="false">J207*'Unit Economics'!$E$56</f>
        <v>88.186397688</v>
      </c>
      <c r="K209" s="8" t="n">
        <f aca="false">K207*'Unit Economics'!$E$56</f>
        <v>122.996817828</v>
      </c>
      <c r="L209" s="8" t="n">
        <f aca="false">L207*'Unit Economics'!$E$56</f>
        <v>148.629354663355</v>
      </c>
      <c r="M209" s="8" t="n">
        <f aca="false">M207*'Unit Economics'!$E$56</f>
        <v>140.963209001772</v>
      </c>
      <c r="N209" s="8" t="n">
        <f aca="false">N207*'Unit Economics'!$E$56</f>
        <v>149.421001541878</v>
      </c>
      <c r="O209" s="8" t="n">
        <f aca="false">O207*'Unit Economics'!$E$56</f>
        <v>173.679940615736</v>
      </c>
      <c r="P209" s="8" t="n">
        <f aca="false">P207*'Unit Economics'!$E$56</f>
        <v>247.17397864471</v>
      </c>
      <c r="Q209" s="8" t="n">
        <f aca="false">Q207*'Unit Economics'!$E$56</f>
        <v>266.947896936287</v>
      </c>
      <c r="R209" s="8" t="n">
        <f aca="false">R207*'Unit Economics'!$E$56</f>
        <v>257.060937790499</v>
      </c>
      <c r="S209" s="8" t="n">
        <f aca="false">S207*'Unit Economics'!$E$56</f>
        <v>192.487230217525</v>
      </c>
      <c r="T209" s="8" t="n">
        <f aca="false">T207*'Unit Economics'!$E$56</f>
        <v>222.429688251363</v>
      </c>
      <c r="U209" s="8" t="n">
        <f aca="false">U207*'Unit Economics'!$E$56</f>
        <v>242.893219570488</v>
      </c>
      <c r="V209" s="8" t="n">
        <f aca="false">V207*'Unit Economics'!$E$56</f>
        <v>228.55095327204</v>
      </c>
      <c r="W209" s="8" t="n">
        <f aca="false">W207*'Unit Economics'!$E$56</f>
        <v>250.203148845181</v>
      </c>
      <c r="X209" s="8" t="n">
        <f aca="false">X207*'Unit Economics'!$E$56</f>
        <v>247.200711059039</v>
      </c>
      <c r="Y209" s="8" t="n">
        <f aca="false">Y207*'Unit Economics'!$E$56</f>
        <v>230.026766922306</v>
      </c>
      <c r="Z209" s="8" t="n">
        <f aca="false">Z207*'Unit Economics'!$E$56</f>
        <v>239.227837599198</v>
      </c>
      <c r="AA209" s="8" t="n">
        <f aca="false">AA207*'Unit Economics'!$E$56</f>
        <v>272.719734863086</v>
      </c>
      <c r="AB209" s="8" t="n">
        <f aca="false">AB207*'Unit Economics'!$E$56</f>
        <v>380.659335187844</v>
      </c>
      <c r="AC209" s="8" t="n">
        <f aca="false">AC207*'Unit Economics'!$E$56</f>
        <v>403.206080425893</v>
      </c>
      <c r="AD209" s="8" t="n">
        <f aca="false">AD207*'Unit Economics'!$E$56</f>
        <v>380.805742624454</v>
      </c>
      <c r="AE209" s="8" t="n">
        <f aca="false">AE207*'Unit Economics'!$E$56</f>
        <v>279.663737383399</v>
      </c>
      <c r="AF209" s="8" t="n">
        <f aca="false">AF207*'Unit Economics'!$E$56</f>
        <v>316.952235701186</v>
      </c>
      <c r="AG209" s="8" t="n">
        <f aca="false">AG207*'Unit Economics'!$E$56</f>
        <v>339.45584443597</v>
      </c>
      <c r="AH209" s="8" t="n">
        <f aca="false">AH207*'Unit Economics'!$E$56</f>
        <v>313.269250722338</v>
      </c>
      <c r="AI209" s="8" t="n">
        <f aca="false">AI207*'Unit Economics'!$E$56</f>
        <v>336.352248143984</v>
      </c>
      <c r="AJ209" s="8" t="n">
        <f aca="false">AJ207*'Unit Economics'!$E$56</f>
        <v>325.925328451521</v>
      </c>
      <c r="AK209" s="8" t="n">
        <f aca="false">AK207*'Unit Economics'!$E$56</f>
        <v>297.449747123651</v>
      </c>
      <c r="AL209" s="8" t="n">
        <f aca="false">AL207*'Unit Economics'!$E$56</f>
        <v>303.398742066124</v>
      </c>
      <c r="AM209" s="45" t="n">
        <f aca="false">SUMIF($C$6:$AL$6,1,C209:AL209)</f>
        <v>778.005520623005</v>
      </c>
      <c r="AN209" s="45" t="n">
        <f aca="false">SUMIF($C$6:$AL$6,2,C209:AL209)</f>
        <v>2797.88230972437</v>
      </c>
      <c r="AO209" s="45" t="n">
        <f aca="false">SUMIF($C$6:$AL$6,3,C209:AL209)</f>
        <v>3949.85802712945</v>
      </c>
      <c r="AP209" s="45" t="n">
        <f aca="false">SUM(C209:AL209)</f>
        <v>7525.74585747683</v>
      </c>
    </row>
    <row r="210" customFormat="false" ht="15" hidden="false" customHeight="false" outlineLevel="0" collapsed="false">
      <c r="A210" s="7" t="s">
        <v>755</v>
      </c>
      <c r="B210" s="9" t="s">
        <v>93</v>
      </c>
      <c r="C210" s="8" t="n">
        <f aca="false">C207*'Unit Economics'!$F$56</f>
        <v>-0</v>
      </c>
      <c r="D210" s="8" t="n">
        <f aca="false">D207*'Unit Economics'!$F$56</f>
        <v>-0</v>
      </c>
      <c r="E210" s="8" t="n">
        <f aca="false">E207*'Unit Economics'!$F$56</f>
        <v>-0</v>
      </c>
      <c r="F210" s="8" t="n">
        <f aca="false">F207*'Unit Economics'!$F$56</f>
        <v>0</v>
      </c>
      <c r="G210" s="8" t="n">
        <f aca="false">G207*'Unit Economics'!$F$56</f>
        <v>6.1069869</v>
      </c>
      <c r="H210" s="8" t="n">
        <f aca="false">H207*'Unit Economics'!$F$56</f>
        <v>14.38534692</v>
      </c>
      <c r="I210" s="8" t="n">
        <f aca="false">I207*'Unit Economics'!$F$56</f>
        <v>24.01633668294</v>
      </c>
      <c r="J210" s="8" t="n">
        <f aca="false">J207*'Unit Economics'!$F$56</f>
        <v>30.7104140186928</v>
      </c>
      <c r="K210" s="8" t="n">
        <f aca="false">K207*'Unit Economics'!$F$56</f>
        <v>42.8329458681768</v>
      </c>
      <c r="L210" s="8" t="n">
        <f aca="false">L207*'Unit Economics'!$F$56</f>
        <v>51.7593317871049</v>
      </c>
      <c r="M210" s="8" t="n">
        <f aca="false">M207*'Unit Economics'!$F$56</f>
        <v>49.0896399370331</v>
      </c>
      <c r="N210" s="8" t="n">
        <f aca="false">N207*'Unit Economics'!$F$56</f>
        <v>52.0350183332551</v>
      </c>
      <c r="O210" s="8" t="n">
        <f aca="false">O207*'Unit Economics'!$F$56</f>
        <v>60.4830566038307</v>
      </c>
      <c r="P210" s="8" t="n">
        <f aca="false">P207*'Unit Economics'!$F$56</f>
        <v>86.0769395035569</v>
      </c>
      <c r="Q210" s="8" t="n">
        <f aca="false">Q207*'Unit Economics'!$F$56</f>
        <v>92.9630946638415</v>
      </c>
      <c r="R210" s="8" t="n">
        <f aca="false">R207*'Unit Economics'!$F$56</f>
        <v>89.5200170836992</v>
      </c>
      <c r="S210" s="8" t="n">
        <f aca="false">S207*'Unit Economics'!$F$56</f>
        <v>67.0325887922739</v>
      </c>
      <c r="T210" s="8" t="n">
        <f aca="false">T207*'Unit Economics'!$F$56</f>
        <v>77.4598803821832</v>
      </c>
      <c r="U210" s="8" t="n">
        <f aca="false">U207*'Unit Economics'!$F$56</f>
        <v>84.5861893773441</v>
      </c>
      <c r="V210" s="8" t="n">
        <f aca="false">V207*'Unit Economics'!$F$56</f>
        <v>79.5915762903009</v>
      </c>
      <c r="W210" s="8" t="n">
        <f aca="false">W207*'Unit Economics'!$F$56</f>
        <v>87.1318308862242</v>
      </c>
      <c r="X210" s="8" t="n">
        <f aca="false">X207*'Unit Economics'!$F$56</f>
        <v>86.0862489155895</v>
      </c>
      <c r="Y210" s="8" t="n">
        <f aca="false">Y207*'Unit Economics'!$F$56</f>
        <v>80.105520043559</v>
      </c>
      <c r="Z210" s="8" t="n">
        <f aca="false">Z207*'Unit Economics'!$F$56</f>
        <v>83.3097408453014</v>
      </c>
      <c r="AA210" s="8" t="n">
        <f aca="false">AA207*'Unit Economics'!$F$56</f>
        <v>94.9731045636436</v>
      </c>
      <c r="AB210" s="8" t="n">
        <f aca="false">AB207*'Unit Economics'!$F$56</f>
        <v>132.562459633044</v>
      </c>
      <c r="AC210" s="8" t="n">
        <f aca="false">AC207*'Unit Economics'!$F$56</f>
        <v>140.414236088232</v>
      </c>
      <c r="AD210" s="8" t="n">
        <f aca="false">AD207*'Unit Economics'!$F$56</f>
        <v>132.613445194441</v>
      </c>
      <c r="AE210" s="8" t="n">
        <f aca="false">AE207*'Unit Economics'!$F$56</f>
        <v>97.3913141507974</v>
      </c>
      <c r="AF210" s="8" t="n">
        <f aca="false">AF207*'Unit Economics'!$F$56</f>
        <v>110.376822704237</v>
      </c>
      <c r="AG210" s="8" t="n">
        <f aca="false">AG207*'Unit Economics'!$F$56</f>
        <v>118.213577116238</v>
      </c>
      <c r="AH210" s="8" t="n">
        <f aca="false">AH207*'Unit Economics'!$F$56</f>
        <v>109.094244024414</v>
      </c>
      <c r="AI210" s="8" t="n">
        <f aca="false">AI207*'Unit Economics'!$F$56</f>
        <v>117.132767268318</v>
      </c>
      <c r="AJ210" s="8" t="n">
        <f aca="false">AJ207*'Unit Economics'!$F$56</f>
        <v>113.501651483</v>
      </c>
      <c r="AK210" s="8" t="n">
        <f aca="false">AK207*'Unit Economics'!$F$56</f>
        <v>103.585191406064</v>
      </c>
      <c r="AL210" s="8" t="n">
        <f aca="false">AL207*'Unit Economics'!$F$56</f>
        <v>105.656895234186</v>
      </c>
      <c r="AM210" s="45" t="n">
        <f aca="false">SUMIF($C$6:$AL$6,1,C210:AL210)</f>
        <v>270.936020447203</v>
      </c>
      <c r="AN210" s="45" t="n">
        <f aca="false">SUMIF($C$6:$AL$6,2,C210:AL210)</f>
        <v>974.346683387704</v>
      </c>
      <c r="AO210" s="45" t="n">
        <f aca="false">SUMIF($C$6:$AL$6,3,C210:AL210)</f>
        <v>1375.51570886661</v>
      </c>
      <c r="AP210" s="45" t="n">
        <f aca="false">SUM(C210:AL210)</f>
        <v>2620.79841270152</v>
      </c>
    </row>
    <row r="211" customFormat="false" ht="15" hidden="false" customHeight="false" outlineLevel="0" collapsed="false">
      <c r="A211" s="5" t="s">
        <v>567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</row>
    <row r="212" customFormat="false" ht="15" hidden="false" customHeight="false" outlineLevel="0" collapsed="false">
      <c r="A212" s="7" t="s">
        <v>746</v>
      </c>
      <c r="B212" s="9" t="s">
        <v>308</v>
      </c>
      <c r="C212" s="37" t="n">
        <f aca="false">IF(AND(Assumptions!$D$154=1,C$4&gt;=Assumptions!$D$155),1,0)</f>
        <v>0</v>
      </c>
      <c r="D212" s="37" t="n">
        <f aca="false">IF(AND(Assumptions!$D$154=1,D$4&gt;=Assumptions!$D$155),1,0)</f>
        <v>0</v>
      </c>
      <c r="E212" s="37" t="n">
        <f aca="false">IF(AND(Assumptions!$D$154=1,E$4&gt;=Assumptions!$D$155),1,0)</f>
        <v>0</v>
      </c>
      <c r="F212" s="37" t="n">
        <f aca="false">IF(AND(Assumptions!$D$154=1,F$4&gt;=Assumptions!$D$155),1,0)</f>
        <v>0</v>
      </c>
      <c r="G212" s="37" t="n">
        <f aca="false">IF(AND(Assumptions!$D$154=1,G$4&gt;=Assumptions!$D$155),1,0)</f>
        <v>0</v>
      </c>
      <c r="H212" s="37" t="n">
        <f aca="false">IF(AND(Assumptions!$D$154=1,H$4&gt;=Assumptions!$D$155),1,0)</f>
        <v>0</v>
      </c>
      <c r="I212" s="37" t="n">
        <f aca="false">IF(AND(Assumptions!$D$154=1,I$4&gt;=Assumptions!$D$155),1,0)</f>
        <v>0</v>
      </c>
      <c r="J212" s="37" t="n">
        <f aca="false">IF(AND(Assumptions!$D$154=1,J$4&gt;=Assumptions!$D$155),1,0)</f>
        <v>0</v>
      </c>
      <c r="K212" s="37" t="n">
        <f aca="false">IF(AND(Assumptions!$D$154=1,K$4&gt;=Assumptions!$D$155),1,0)</f>
        <v>0</v>
      </c>
      <c r="L212" s="37" t="n">
        <f aca="false">IF(AND(Assumptions!$D$154=1,L$4&gt;=Assumptions!$D$155),1,0)</f>
        <v>0</v>
      </c>
      <c r="M212" s="37" t="n">
        <f aca="false">IF(AND(Assumptions!$D$154=1,M$4&gt;=Assumptions!$D$155),1,0)</f>
        <v>0</v>
      </c>
      <c r="N212" s="37" t="n">
        <f aca="false">IF(AND(Assumptions!$D$154=1,N$4&gt;=Assumptions!$D$155),1,0)</f>
        <v>0</v>
      </c>
      <c r="O212" s="37" t="n">
        <f aca="false">IF(AND(Assumptions!$D$154=1,O$4&gt;=Assumptions!$D$155),1,0)</f>
        <v>1</v>
      </c>
      <c r="P212" s="37" t="n">
        <f aca="false">IF(AND(Assumptions!$D$154=1,P$4&gt;=Assumptions!$D$155),1,0)</f>
        <v>1</v>
      </c>
      <c r="Q212" s="37" t="n">
        <f aca="false">IF(AND(Assumptions!$D$154=1,Q$4&gt;=Assumptions!$D$155),1,0)</f>
        <v>1</v>
      </c>
      <c r="R212" s="37" t="n">
        <f aca="false">IF(AND(Assumptions!$D$154=1,R$4&gt;=Assumptions!$D$155),1,0)</f>
        <v>1</v>
      </c>
      <c r="S212" s="37" t="n">
        <f aca="false">IF(AND(Assumptions!$D$154=1,S$4&gt;=Assumptions!$D$155),1,0)</f>
        <v>1</v>
      </c>
      <c r="T212" s="37" t="n">
        <f aca="false">IF(AND(Assumptions!$D$154=1,T$4&gt;=Assumptions!$D$155),1,0)</f>
        <v>1</v>
      </c>
      <c r="U212" s="37" t="n">
        <f aca="false">IF(AND(Assumptions!$D$154=1,U$4&gt;=Assumptions!$D$155),1,0)</f>
        <v>1</v>
      </c>
      <c r="V212" s="37" t="n">
        <f aca="false">IF(AND(Assumptions!$D$154=1,V$4&gt;=Assumptions!$D$155),1,0)</f>
        <v>1</v>
      </c>
      <c r="W212" s="37" t="n">
        <f aca="false">IF(AND(Assumptions!$D$154=1,W$4&gt;=Assumptions!$D$155),1,0)</f>
        <v>1</v>
      </c>
      <c r="X212" s="37" t="n">
        <f aca="false">IF(AND(Assumptions!$D$154=1,X$4&gt;=Assumptions!$D$155),1,0)</f>
        <v>1</v>
      </c>
      <c r="Y212" s="37" t="n">
        <f aca="false">IF(AND(Assumptions!$D$154=1,Y$4&gt;=Assumptions!$D$155),1,0)</f>
        <v>1</v>
      </c>
      <c r="Z212" s="37" t="n">
        <f aca="false">IF(AND(Assumptions!$D$154=1,Z$4&gt;=Assumptions!$D$155),1,0)</f>
        <v>1</v>
      </c>
      <c r="AA212" s="37" t="n">
        <f aca="false">IF(AND(Assumptions!$D$154=1,AA$4&gt;=Assumptions!$D$155),1,0)</f>
        <v>1</v>
      </c>
      <c r="AB212" s="37" t="n">
        <f aca="false">IF(AND(Assumptions!$D$154=1,AB$4&gt;=Assumptions!$D$155),1,0)</f>
        <v>1</v>
      </c>
      <c r="AC212" s="37" t="n">
        <f aca="false">IF(AND(Assumptions!$D$154=1,AC$4&gt;=Assumptions!$D$155),1,0)</f>
        <v>1</v>
      </c>
      <c r="AD212" s="37" t="n">
        <f aca="false">IF(AND(Assumptions!$D$154=1,AD$4&gt;=Assumptions!$D$155),1,0)</f>
        <v>1</v>
      </c>
      <c r="AE212" s="37" t="n">
        <f aca="false">IF(AND(Assumptions!$D$154=1,AE$4&gt;=Assumptions!$D$155),1,0)</f>
        <v>1</v>
      </c>
      <c r="AF212" s="37" t="n">
        <f aca="false">IF(AND(Assumptions!$D$154=1,AF$4&gt;=Assumptions!$D$155),1,0)</f>
        <v>1</v>
      </c>
      <c r="AG212" s="37" t="n">
        <f aca="false">IF(AND(Assumptions!$D$154=1,AG$4&gt;=Assumptions!$D$155),1,0)</f>
        <v>1</v>
      </c>
      <c r="AH212" s="37" t="n">
        <f aca="false">IF(AND(Assumptions!$D$154=1,AH$4&gt;=Assumptions!$D$155),1,0)</f>
        <v>1</v>
      </c>
      <c r="AI212" s="37" t="n">
        <f aca="false">IF(AND(Assumptions!$D$154=1,AI$4&gt;=Assumptions!$D$155),1,0)</f>
        <v>1</v>
      </c>
      <c r="AJ212" s="37" t="n">
        <f aca="false">IF(AND(Assumptions!$D$154=1,AJ$4&gt;=Assumptions!$D$155),1,0)</f>
        <v>1</v>
      </c>
      <c r="AK212" s="37" t="n">
        <f aca="false">IF(AND(Assumptions!$D$154=1,AK$4&gt;=Assumptions!$D$155),1,0)</f>
        <v>1</v>
      </c>
      <c r="AL212" s="37" t="n">
        <f aca="false">IF(AND(Assumptions!$D$154=1,AL$4&gt;=Assumptions!$D$155),1,0)</f>
        <v>1</v>
      </c>
    </row>
    <row r="213" customFormat="false" ht="15" hidden="false" customHeight="false" outlineLevel="0" collapsed="false">
      <c r="A213" s="7" t="s">
        <v>747</v>
      </c>
      <c r="B213" s="9" t="s">
        <v>316</v>
      </c>
      <c r="C213" s="14" t="n">
        <f aca="false">IF(C212=0,0,Assumptions!$D$156)</f>
        <v>0</v>
      </c>
      <c r="D213" s="14" t="n">
        <f aca="false">IF(D212=0,0,IF(D$4=Assumptions!$D$155,Assumptions!$D$156,C213*(1+CHOOSE(D$6,Assumptions!$D$157,Assumptions!$D$158,Assumptions!$D$159))))</f>
        <v>0</v>
      </c>
      <c r="E213" s="14" t="n">
        <f aca="false">IF(E212=0,0,IF(E$4=Assumptions!$D$155,Assumptions!$D$156,D213*(1+CHOOSE(E$6,Assumptions!$D$157,Assumptions!$D$158,Assumptions!$D$159))))</f>
        <v>0</v>
      </c>
      <c r="F213" s="14" t="n">
        <f aca="false">IF(F212=0,0,IF(F$4=Assumptions!$D$155,Assumptions!$D$156,E213*(1+CHOOSE(F$6,Assumptions!$D$157,Assumptions!$D$158,Assumptions!$D$159))))</f>
        <v>0</v>
      </c>
      <c r="G213" s="14" t="n">
        <f aca="false">IF(G212=0,0,IF(G$4=Assumptions!$D$155,Assumptions!$D$156,F213*(1+CHOOSE(G$6,Assumptions!$D$157,Assumptions!$D$158,Assumptions!$D$159))))</f>
        <v>0</v>
      </c>
      <c r="H213" s="14" t="n">
        <f aca="false">IF(H212=0,0,IF(H$4=Assumptions!$D$155,Assumptions!$D$156,G213*(1+CHOOSE(H$6,Assumptions!$D$157,Assumptions!$D$158,Assumptions!$D$159))))</f>
        <v>0</v>
      </c>
      <c r="I213" s="14" t="n">
        <f aca="false">IF(I212=0,0,IF(I$4=Assumptions!$D$155,Assumptions!$D$156,H213*(1+CHOOSE(I$6,Assumptions!$D$157,Assumptions!$D$158,Assumptions!$D$159))))</f>
        <v>0</v>
      </c>
      <c r="J213" s="14" t="n">
        <f aca="false">IF(J212=0,0,IF(J$4=Assumptions!$D$155,Assumptions!$D$156,I213*(1+CHOOSE(J$6,Assumptions!$D$157,Assumptions!$D$158,Assumptions!$D$159))))</f>
        <v>0</v>
      </c>
      <c r="K213" s="14" t="n">
        <f aca="false">IF(K212=0,0,IF(K$4=Assumptions!$D$155,Assumptions!$D$156,J213*(1+CHOOSE(K$6,Assumptions!$D$157,Assumptions!$D$158,Assumptions!$D$159))))</f>
        <v>0</v>
      </c>
      <c r="L213" s="14" t="n">
        <f aca="false">IF(L212=0,0,IF(L$4=Assumptions!$D$155,Assumptions!$D$156,K213*(1+CHOOSE(L$6,Assumptions!$D$157,Assumptions!$D$158,Assumptions!$D$159))))</f>
        <v>0</v>
      </c>
      <c r="M213" s="14" t="n">
        <f aca="false">IF(M212=0,0,IF(M$4=Assumptions!$D$155,Assumptions!$D$156,L213*(1+CHOOSE(M$6,Assumptions!$D$157,Assumptions!$D$158,Assumptions!$D$159))))</f>
        <v>0</v>
      </c>
      <c r="N213" s="14" t="n">
        <f aca="false">IF(N212=0,0,IF(N$4=Assumptions!$D$155,Assumptions!$D$156,M213*(1+CHOOSE(N$6,Assumptions!$D$157,Assumptions!$D$158,Assumptions!$D$159))))</f>
        <v>0</v>
      </c>
      <c r="O213" s="14" t="n">
        <f aca="false">IF(O212=0,0,IF(O$4=Assumptions!$D$155,Assumptions!$D$156,N213*(1+CHOOSE(O$6,Assumptions!$D$157,Assumptions!$D$158,Assumptions!$D$159))))</f>
        <v>300</v>
      </c>
      <c r="P213" s="14" t="n">
        <f aca="false">IF(P212=0,0,IF(P$4=Assumptions!$D$155,Assumptions!$D$156,O213*(1+CHOOSE(P$6,Assumptions!$D$157,Assumptions!$D$158,Assumptions!$D$159))))</f>
        <v>318</v>
      </c>
      <c r="Q213" s="14" t="n">
        <f aca="false">IF(Q212=0,0,IF(Q$4=Assumptions!$D$155,Assumptions!$D$156,P213*(1+CHOOSE(Q$6,Assumptions!$D$157,Assumptions!$D$158,Assumptions!$D$159))))</f>
        <v>337.08</v>
      </c>
      <c r="R213" s="14" t="n">
        <f aca="false">IF(R212=0,0,IF(R$4=Assumptions!$D$155,Assumptions!$D$156,Q213*(1+CHOOSE(R$6,Assumptions!$D$157,Assumptions!$D$158,Assumptions!$D$159))))</f>
        <v>357.3048</v>
      </c>
      <c r="S213" s="14" t="n">
        <f aca="false">IF(S212=0,0,IF(S$4=Assumptions!$D$155,Assumptions!$D$156,R213*(1+CHOOSE(S$6,Assumptions!$D$157,Assumptions!$D$158,Assumptions!$D$159))))</f>
        <v>378.743088</v>
      </c>
      <c r="T213" s="14" t="n">
        <f aca="false">IF(T212=0,0,IF(T$4=Assumptions!$D$155,Assumptions!$D$156,S213*(1+CHOOSE(T$6,Assumptions!$D$157,Assumptions!$D$158,Assumptions!$D$159))))</f>
        <v>401.46767328</v>
      </c>
      <c r="U213" s="14" t="n">
        <f aca="false">IF(U212=0,0,IF(U$4=Assumptions!$D$155,Assumptions!$D$156,T213*(1+CHOOSE(U$6,Assumptions!$D$157,Assumptions!$D$158,Assumptions!$D$159))))</f>
        <v>425.5557336768</v>
      </c>
      <c r="V213" s="14" t="n">
        <f aca="false">IF(V212=0,0,IF(V$4=Assumptions!$D$155,Assumptions!$D$156,U213*(1+CHOOSE(V$6,Assumptions!$D$157,Assumptions!$D$158,Assumptions!$D$159))))</f>
        <v>451.089077697408</v>
      </c>
      <c r="W213" s="14" t="n">
        <f aca="false">IF(W212=0,0,IF(W$4=Assumptions!$D$155,Assumptions!$D$156,V213*(1+CHOOSE(W$6,Assumptions!$D$157,Assumptions!$D$158,Assumptions!$D$159))))</f>
        <v>478.154422359253</v>
      </c>
      <c r="X213" s="14" t="n">
        <f aca="false">IF(X212=0,0,IF(X$4=Assumptions!$D$155,Assumptions!$D$156,W213*(1+CHOOSE(X$6,Assumptions!$D$157,Assumptions!$D$158,Assumptions!$D$159))))</f>
        <v>506.843687700808</v>
      </c>
      <c r="Y213" s="14" t="n">
        <f aca="false">IF(Y212=0,0,IF(Y$4=Assumptions!$D$155,Assumptions!$D$156,X213*(1+CHOOSE(Y$6,Assumptions!$D$157,Assumptions!$D$158,Assumptions!$D$159))))</f>
        <v>537.254308962856</v>
      </c>
      <c r="Z213" s="14" t="n">
        <f aca="false">IF(Z212=0,0,IF(Z$4=Assumptions!$D$155,Assumptions!$D$156,Y213*(1+CHOOSE(Z$6,Assumptions!$D$157,Assumptions!$D$158,Assumptions!$D$159))))</f>
        <v>569.489567500628</v>
      </c>
      <c r="AA213" s="14" t="n">
        <f aca="false">IF(AA212=0,0,IF(AA$4=Assumptions!$D$155,Assumptions!$D$156,Z213*(1+CHOOSE(AA$6,Assumptions!$D$157,Assumptions!$D$158,Assumptions!$D$159))))</f>
        <v>586.574254525647</v>
      </c>
      <c r="AB213" s="14" t="n">
        <f aca="false">IF(AB212=0,0,IF(AB$4=Assumptions!$D$155,Assumptions!$D$156,AA213*(1+CHOOSE(AB$6,Assumptions!$D$157,Assumptions!$D$158,Assumptions!$D$159))))</f>
        <v>604.171482161416</v>
      </c>
      <c r="AC213" s="14" t="n">
        <f aca="false">IF(AC212=0,0,IF(AC$4=Assumptions!$D$155,Assumptions!$D$156,AB213*(1+CHOOSE(AC$6,Assumptions!$D$157,Assumptions!$D$158,Assumptions!$D$159))))</f>
        <v>622.296626626259</v>
      </c>
      <c r="AD213" s="14" t="n">
        <f aca="false">IF(AD212=0,0,IF(AD$4=Assumptions!$D$155,Assumptions!$D$156,AC213*(1+CHOOSE(AD$6,Assumptions!$D$157,Assumptions!$D$158,Assumptions!$D$159))))</f>
        <v>640.965525425046</v>
      </c>
      <c r="AE213" s="14" t="n">
        <f aca="false">IF(AE212=0,0,IF(AE$4=Assumptions!$D$155,Assumptions!$D$156,AD213*(1+CHOOSE(AE$6,Assumptions!$D$157,Assumptions!$D$158,Assumptions!$D$159))))</f>
        <v>660.194491187798</v>
      </c>
      <c r="AF213" s="14" t="n">
        <f aca="false">IF(AF212=0,0,IF(AF$4=Assumptions!$D$155,Assumptions!$D$156,AE213*(1+CHOOSE(AF$6,Assumptions!$D$157,Assumptions!$D$158,Assumptions!$D$159))))</f>
        <v>680.000325923432</v>
      </c>
      <c r="AG213" s="14" t="n">
        <f aca="false">IF(AG212=0,0,IF(AG$4=Assumptions!$D$155,Assumptions!$D$156,AF213*(1+CHOOSE(AG$6,Assumptions!$D$157,Assumptions!$D$158,Assumptions!$D$159))))</f>
        <v>700.400335701135</v>
      </c>
      <c r="AH213" s="14" t="n">
        <f aca="false">IF(AH212=0,0,IF(AH$4=Assumptions!$D$155,Assumptions!$D$156,AG213*(1+CHOOSE(AH$6,Assumptions!$D$157,Assumptions!$D$158,Assumptions!$D$159))))</f>
        <v>721.412345772169</v>
      </c>
      <c r="AI213" s="14" t="n">
        <f aca="false">IF(AI212=0,0,IF(AI$4=Assumptions!$D$155,Assumptions!$D$156,AH213*(1+CHOOSE(AI$6,Assumptions!$D$157,Assumptions!$D$158,Assumptions!$D$159))))</f>
        <v>743.054716145334</v>
      </c>
      <c r="AJ213" s="14" t="n">
        <f aca="false">IF(AJ212=0,0,IF(AJ$4=Assumptions!$D$155,Assumptions!$D$156,AI213*(1+CHOOSE(AJ$6,Assumptions!$D$157,Assumptions!$D$158,Assumptions!$D$159))))</f>
        <v>765.346357629694</v>
      </c>
      <c r="AK213" s="14" t="n">
        <f aca="false">IF(AK212=0,0,IF(AK$4=Assumptions!$D$155,Assumptions!$D$156,AJ213*(1+CHOOSE(AK$6,Assumptions!$D$157,Assumptions!$D$158,Assumptions!$D$159))))</f>
        <v>788.306748358585</v>
      </c>
      <c r="AL213" s="14" t="n">
        <f aca="false">IF(AL212=0,0,IF(AL$4=Assumptions!$D$155,Assumptions!$D$156,AK213*(1+CHOOSE(AL$6,Assumptions!$D$157,Assumptions!$D$158,Assumptions!$D$159))))</f>
        <v>811.955950809342</v>
      </c>
    </row>
    <row r="214" customFormat="false" ht="15" hidden="false" customHeight="false" outlineLevel="0" collapsed="false">
      <c r="A214" s="7" t="s">
        <v>765</v>
      </c>
      <c r="B214" s="9" t="s">
        <v>316</v>
      </c>
      <c r="C214" s="52" t="n">
        <f aca="false">C213*C$8</f>
        <v>0</v>
      </c>
      <c r="D214" s="52" t="n">
        <f aca="false">D213*D$8</f>
        <v>0</v>
      </c>
      <c r="E214" s="52" t="n">
        <f aca="false">E213*E$8</f>
        <v>0</v>
      </c>
      <c r="F214" s="52" t="n">
        <f aca="false">F213*F$8</f>
        <v>0</v>
      </c>
      <c r="G214" s="52" t="n">
        <f aca="false">G213*G$8</f>
        <v>0</v>
      </c>
      <c r="H214" s="52" t="n">
        <f aca="false">H213*H$8</f>
        <v>0</v>
      </c>
      <c r="I214" s="52" t="n">
        <f aca="false">I213*I$8</f>
        <v>0</v>
      </c>
      <c r="J214" s="52" t="n">
        <f aca="false">J213*J$8</f>
        <v>0</v>
      </c>
      <c r="K214" s="52" t="n">
        <f aca="false">K213*K$8</f>
        <v>0</v>
      </c>
      <c r="L214" s="52" t="n">
        <f aca="false">L213*L$8</f>
        <v>0</v>
      </c>
      <c r="M214" s="52" t="n">
        <f aca="false">M213*M$8</f>
        <v>0</v>
      </c>
      <c r="N214" s="52" t="n">
        <f aca="false">N213*N$8</f>
        <v>0</v>
      </c>
      <c r="O214" s="52" t="n">
        <f aca="false">O213*O$8</f>
        <v>360</v>
      </c>
      <c r="P214" s="52" t="n">
        <f aca="false">P213*P$8</f>
        <v>318</v>
      </c>
      <c r="Q214" s="52" t="n">
        <f aca="false">Q213*Q$8</f>
        <v>235.956</v>
      </c>
      <c r="R214" s="52" t="n">
        <f aca="false">R213*R$8</f>
        <v>393.03528</v>
      </c>
      <c r="S214" s="52" t="n">
        <f aca="false">S213*S$8</f>
        <v>378.743088</v>
      </c>
      <c r="T214" s="52" t="n">
        <f aca="false">T213*T$8</f>
        <v>401.46767328</v>
      </c>
      <c r="U214" s="52" t="n">
        <f aca="false">U213*U$8</f>
        <v>383.00016030912</v>
      </c>
      <c r="V214" s="52" t="n">
        <f aca="false">V213*V$8</f>
        <v>315.762354388186</v>
      </c>
      <c r="W214" s="52" t="n">
        <f aca="false">W213*W$8</f>
        <v>191.261768943701</v>
      </c>
      <c r="X214" s="52" t="n">
        <f aca="false">X213*X$8</f>
        <v>304.106212620485</v>
      </c>
      <c r="Y214" s="52" t="n">
        <f aca="false">Y213*Y$8</f>
        <v>698.430601651713</v>
      </c>
      <c r="Z214" s="52" t="n">
        <f aca="false">Z213*Z$8</f>
        <v>797.285394500879</v>
      </c>
      <c r="AA214" s="52" t="n">
        <f aca="false">AA213*AA$8</f>
        <v>703.889105430776</v>
      </c>
      <c r="AB214" s="52" t="n">
        <f aca="false">AB213*AB$8</f>
        <v>604.171482161416</v>
      </c>
      <c r="AC214" s="52" t="n">
        <f aca="false">AC213*AC$8</f>
        <v>435.607638638381</v>
      </c>
      <c r="AD214" s="52" t="n">
        <f aca="false">AD213*AD$8</f>
        <v>705.062077967551</v>
      </c>
      <c r="AE214" s="52" t="n">
        <f aca="false">AE213*AE$8</f>
        <v>660.194491187798</v>
      </c>
      <c r="AF214" s="52" t="n">
        <f aca="false">AF213*AF$8</f>
        <v>680.000325923432</v>
      </c>
      <c r="AG214" s="52" t="n">
        <f aca="false">AG213*AG$8</f>
        <v>630.360302131021</v>
      </c>
      <c r="AH214" s="52" t="n">
        <f aca="false">AH213*AH$8</f>
        <v>504.988642040518</v>
      </c>
      <c r="AI214" s="52" t="n">
        <f aca="false">AI213*AI$8</f>
        <v>297.221886458134</v>
      </c>
      <c r="AJ214" s="52" t="n">
        <f aca="false">AJ213*AJ$8</f>
        <v>459.207814577816</v>
      </c>
      <c r="AK214" s="52" t="n">
        <f aca="false">AK213*AK$8</f>
        <v>1024.79877286616</v>
      </c>
      <c r="AL214" s="52" t="n">
        <f aca="false">AL213*AL$8</f>
        <v>1136.73833113308</v>
      </c>
      <c r="AM214" s="53" t="n">
        <f aca="false">SUMIF($C$6:$AL$6,1,C214:AL214)</f>
        <v>0</v>
      </c>
      <c r="AN214" s="53" t="n">
        <f aca="false">SUMIF($C$6:$AL$6,2,C214:AL214)</f>
        <v>4777.04853369408</v>
      </c>
      <c r="AO214" s="53" t="n">
        <f aca="false">SUMIF($C$6:$AL$6,3,C214:AL214)</f>
        <v>7842.24087051608</v>
      </c>
      <c r="AP214" s="53" t="n">
        <f aca="false">SUM(C214:AL214)</f>
        <v>12619.2894042102</v>
      </c>
    </row>
    <row r="215" customFormat="false" ht="15" hidden="false" customHeight="false" outlineLevel="0" collapsed="false">
      <c r="A215" s="7" t="s">
        <v>749</v>
      </c>
      <c r="B215" s="9" t="s">
        <v>88</v>
      </c>
      <c r="C215" s="54" t="n">
        <f aca="false">Assumptions!$D$160*MIN(1,(C$4-Assumptions!$D$155+1)/Assumptions!$C$10)*C212</f>
        <v>-0</v>
      </c>
      <c r="D215" s="54" t="n">
        <f aca="false">Assumptions!$D$160*MIN(1,(D$4-Assumptions!$D$155+1)/Assumptions!$C$10)*D212</f>
        <v>-0</v>
      </c>
      <c r="E215" s="54" t="n">
        <f aca="false">Assumptions!$D$160*MIN(1,(E$4-Assumptions!$D$155+1)/Assumptions!$C$10)*E212</f>
        <v>-0</v>
      </c>
      <c r="F215" s="54" t="n">
        <f aca="false">Assumptions!$D$160*MIN(1,(F$4-Assumptions!$D$155+1)/Assumptions!$C$10)*F212</f>
        <v>-0</v>
      </c>
      <c r="G215" s="54" t="n">
        <f aca="false">Assumptions!$D$160*MIN(1,(G$4-Assumptions!$D$155+1)/Assumptions!$C$10)*G212</f>
        <v>-0</v>
      </c>
      <c r="H215" s="54" t="n">
        <f aca="false">Assumptions!$D$160*MIN(1,(H$4-Assumptions!$D$155+1)/Assumptions!$C$10)*H212</f>
        <v>-0</v>
      </c>
      <c r="I215" s="54" t="n">
        <f aca="false">Assumptions!$D$160*MIN(1,(I$4-Assumptions!$D$155+1)/Assumptions!$C$10)*I212</f>
        <v>-0</v>
      </c>
      <c r="J215" s="54" t="n">
        <f aca="false">Assumptions!$D$160*MIN(1,(J$4-Assumptions!$D$155+1)/Assumptions!$C$10)*J212</f>
        <v>-0</v>
      </c>
      <c r="K215" s="54" t="n">
        <f aca="false">Assumptions!$D$160*MIN(1,(K$4-Assumptions!$D$155+1)/Assumptions!$C$10)*K212</f>
        <v>-0</v>
      </c>
      <c r="L215" s="54" t="n">
        <f aca="false">Assumptions!$D$160*MIN(1,(L$4-Assumptions!$D$155+1)/Assumptions!$C$10)*L212</f>
        <v>-0</v>
      </c>
      <c r="M215" s="54" t="n">
        <f aca="false">Assumptions!$D$160*MIN(1,(M$4-Assumptions!$D$155+1)/Assumptions!$C$10)*M212</f>
        <v>-0</v>
      </c>
      <c r="N215" s="54" t="n">
        <f aca="false">Assumptions!$D$160*MIN(1,(N$4-Assumptions!$D$155+1)/Assumptions!$C$10)*N212</f>
        <v>0</v>
      </c>
      <c r="O215" s="54" t="n">
        <f aca="false">Assumptions!$D$160*MIN(1,(O$4-Assumptions!$D$155+1)/Assumptions!$C$10)*O212</f>
        <v>0.0025</v>
      </c>
      <c r="P215" s="54" t="n">
        <f aca="false">Assumptions!$D$160*MIN(1,(P$4-Assumptions!$D$155+1)/Assumptions!$C$10)*P212</f>
        <v>0.005</v>
      </c>
      <c r="Q215" s="54" t="n">
        <f aca="false">Assumptions!$D$160*MIN(1,(Q$4-Assumptions!$D$155+1)/Assumptions!$C$10)*Q212</f>
        <v>0.0075</v>
      </c>
      <c r="R215" s="54" t="n">
        <f aca="false">Assumptions!$D$160*MIN(1,(R$4-Assumptions!$D$155+1)/Assumptions!$C$10)*R212</f>
        <v>0.01</v>
      </c>
      <c r="S215" s="54" t="n">
        <f aca="false">Assumptions!$D$160*MIN(1,(S$4-Assumptions!$D$155+1)/Assumptions!$C$10)*S212</f>
        <v>0.0125</v>
      </c>
      <c r="T215" s="54" t="n">
        <f aca="false">Assumptions!$D$160*MIN(1,(T$4-Assumptions!$D$155+1)/Assumptions!$C$10)*T212</f>
        <v>0.015</v>
      </c>
      <c r="U215" s="54" t="n">
        <f aca="false">Assumptions!$D$160*MIN(1,(U$4-Assumptions!$D$155+1)/Assumptions!$C$10)*U212</f>
        <v>0.015</v>
      </c>
      <c r="V215" s="54" t="n">
        <f aca="false">Assumptions!$D$160*MIN(1,(V$4-Assumptions!$D$155+1)/Assumptions!$C$10)*V212</f>
        <v>0.015</v>
      </c>
      <c r="W215" s="54" t="n">
        <f aca="false">Assumptions!$D$160*MIN(1,(W$4-Assumptions!$D$155+1)/Assumptions!$C$10)*W212</f>
        <v>0.015</v>
      </c>
      <c r="X215" s="54" t="n">
        <f aca="false">Assumptions!$D$160*MIN(1,(X$4-Assumptions!$D$155+1)/Assumptions!$C$10)*X212</f>
        <v>0.015</v>
      </c>
      <c r="Y215" s="54" t="n">
        <f aca="false">Assumptions!$D$160*MIN(1,(Y$4-Assumptions!$D$155+1)/Assumptions!$C$10)*Y212</f>
        <v>0.015</v>
      </c>
      <c r="Z215" s="54" t="n">
        <f aca="false">Assumptions!$D$160*MIN(1,(Z$4-Assumptions!$D$155+1)/Assumptions!$C$10)*Z212</f>
        <v>0.015</v>
      </c>
      <c r="AA215" s="54" t="n">
        <f aca="false">Assumptions!$D$160*MIN(1,(AA$4-Assumptions!$D$155+1)/Assumptions!$C$10)*AA212</f>
        <v>0.015</v>
      </c>
      <c r="AB215" s="54" t="n">
        <f aca="false">Assumptions!$D$160*MIN(1,(AB$4-Assumptions!$D$155+1)/Assumptions!$C$10)*AB212</f>
        <v>0.015</v>
      </c>
      <c r="AC215" s="54" t="n">
        <f aca="false">Assumptions!$D$160*MIN(1,(AC$4-Assumptions!$D$155+1)/Assumptions!$C$10)*AC212</f>
        <v>0.015</v>
      </c>
      <c r="AD215" s="54" t="n">
        <f aca="false">Assumptions!$D$160*MIN(1,(AD$4-Assumptions!$D$155+1)/Assumptions!$C$10)*AD212</f>
        <v>0.015</v>
      </c>
      <c r="AE215" s="54" t="n">
        <f aca="false">Assumptions!$D$160*MIN(1,(AE$4-Assumptions!$D$155+1)/Assumptions!$C$10)*AE212</f>
        <v>0.015</v>
      </c>
      <c r="AF215" s="54" t="n">
        <f aca="false">Assumptions!$D$160*MIN(1,(AF$4-Assumptions!$D$155+1)/Assumptions!$C$10)*AF212</f>
        <v>0.015</v>
      </c>
      <c r="AG215" s="54" t="n">
        <f aca="false">Assumptions!$D$160*MIN(1,(AG$4-Assumptions!$D$155+1)/Assumptions!$C$10)*AG212</f>
        <v>0.015</v>
      </c>
      <c r="AH215" s="54" t="n">
        <f aca="false">Assumptions!$D$160*MIN(1,(AH$4-Assumptions!$D$155+1)/Assumptions!$C$10)*AH212</f>
        <v>0.015</v>
      </c>
      <c r="AI215" s="54" t="n">
        <f aca="false">Assumptions!$D$160*MIN(1,(AI$4-Assumptions!$D$155+1)/Assumptions!$C$10)*AI212</f>
        <v>0.015</v>
      </c>
      <c r="AJ215" s="54" t="n">
        <f aca="false">Assumptions!$D$160*MIN(1,(AJ$4-Assumptions!$D$155+1)/Assumptions!$C$10)*AJ212</f>
        <v>0.015</v>
      </c>
      <c r="AK215" s="54" t="n">
        <f aca="false">Assumptions!$D$160*MIN(1,(AK$4-Assumptions!$D$155+1)/Assumptions!$C$10)*AK212</f>
        <v>0.015</v>
      </c>
      <c r="AL215" s="54" t="n">
        <f aca="false">Assumptions!$D$160*MIN(1,(AL$4-Assumptions!$D$155+1)/Assumptions!$C$10)*AL212</f>
        <v>0.015</v>
      </c>
    </row>
    <row r="216" customFormat="false" ht="15" hidden="false" customHeight="false" outlineLevel="0" collapsed="false">
      <c r="A216" s="7" t="s">
        <v>757</v>
      </c>
      <c r="B216" s="9" t="s">
        <v>751</v>
      </c>
      <c r="C216" s="55" t="n">
        <f aca="false">C214*C215</f>
        <v>-0</v>
      </c>
      <c r="D216" s="55" t="n">
        <f aca="false">D214*D215</f>
        <v>-0</v>
      </c>
      <c r="E216" s="55" t="n">
        <f aca="false">E214*E215</f>
        <v>-0</v>
      </c>
      <c r="F216" s="55" t="n">
        <f aca="false">F214*F215</f>
        <v>-0</v>
      </c>
      <c r="G216" s="55" t="n">
        <f aca="false">G214*G215</f>
        <v>-0</v>
      </c>
      <c r="H216" s="55" t="n">
        <f aca="false">H214*H215</f>
        <v>-0</v>
      </c>
      <c r="I216" s="55" t="n">
        <f aca="false">I214*I215</f>
        <v>-0</v>
      </c>
      <c r="J216" s="55" t="n">
        <f aca="false">J214*J215</f>
        <v>-0</v>
      </c>
      <c r="K216" s="55" t="n">
        <f aca="false">K214*K215</f>
        <v>-0</v>
      </c>
      <c r="L216" s="55" t="n">
        <f aca="false">L214*L215</f>
        <v>-0</v>
      </c>
      <c r="M216" s="55" t="n">
        <f aca="false">M214*M215</f>
        <v>-0</v>
      </c>
      <c r="N216" s="55" t="n">
        <f aca="false">N214*N215</f>
        <v>0</v>
      </c>
      <c r="O216" s="55" t="n">
        <f aca="false">O214*O215</f>
        <v>0.9</v>
      </c>
      <c r="P216" s="55" t="n">
        <f aca="false">P214*P215</f>
        <v>1.59</v>
      </c>
      <c r="Q216" s="55" t="n">
        <f aca="false">Q214*Q215</f>
        <v>1.76967</v>
      </c>
      <c r="R216" s="55" t="n">
        <f aca="false">R214*R215</f>
        <v>3.9303528</v>
      </c>
      <c r="S216" s="55" t="n">
        <f aca="false">S214*S215</f>
        <v>4.7342886</v>
      </c>
      <c r="T216" s="55" t="n">
        <f aca="false">T214*T215</f>
        <v>6.0220150992</v>
      </c>
      <c r="U216" s="55" t="n">
        <f aca="false">U214*U215</f>
        <v>5.7450024046368</v>
      </c>
      <c r="V216" s="55" t="n">
        <f aca="false">V214*V215</f>
        <v>4.73643531582279</v>
      </c>
      <c r="W216" s="55" t="n">
        <f aca="false">W214*W215</f>
        <v>2.86892653415552</v>
      </c>
      <c r="X216" s="55" t="n">
        <f aca="false">X214*X215</f>
        <v>4.56159318930727</v>
      </c>
      <c r="Y216" s="55" t="n">
        <f aca="false">Y214*Y215</f>
        <v>10.4764590247757</v>
      </c>
      <c r="Z216" s="55" t="n">
        <f aca="false">Z214*Z215</f>
        <v>11.9592809175132</v>
      </c>
      <c r="AA216" s="55" t="n">
        <f aca="false">AA214*AA215</f>
        <v>10.5583365814616</v>
      </c>
      <c r="AB216" s="55" t="n">
        <f aca="false">AB214*AB215</f>
        <v>9.06257223242124</v>
      </c>
      <c r="AC216" s="55" t="n">
        <f aca="false">AC214*AC215</f>
        <v>6.53411457957571</v>
      </c>
      <c r="AD216" s="55" t="n">
        <f aca="false">AD214*AD215</f>
        <v>10.5759311695133</v>
      </c>
      <c r="AE216" s="55" t="n">
        <f aca="false">AE214*AE215</f>
        <v>9.90291736781697</v>
      </c>
      <c r="AF216" s="55" t="n">
        <f aca="false">AF214*AF215</f>
        <v>10.2000048888515</v>
      </c>
      <c r="AG216" s="55" t="n">
        <f aca="false">AG214*AG215</f>
        <v>9.45540453196532</v>
      </c>
      <c r="AH216" s="55" t="n">
        <f aca="false">AH214*AH215</f>
        <v>7.57482963060777</v>
      </c>
      <c r="AI216" s="55" t="n">
        <f aca="false">AI214*AI215</f>
        <v>4.458328296872</v>
      </c>
      <c r="AJ216" s="55" t="n">
        <f aca="false">AJ214*AJ215</f>
        <v>6.88811721866725</v>
      </c>
      <c r="AK216" s="55" t="n">
        <f aca="false">AK214*AK215</f>
        <v>15.3719815929924</v>
      </c>
      <c r="AL216" s="55" t="n">
        <f aca="false">AL214*AL215</f>
        <v>17.0510749669962</v>
      </c>
      <c r="AM216" s="53" t="n">
        <f aca="false">SUMIF($C$6:$AL$6,1,C216:AL216)</f>
        <v>0</v>
      </c>
      <c r="AN216" s="53" t="n">
        <f aca="false">SUMIF($C$6:$AL$6,2,C216:AL216)</f>
        <v>59.2940238854113</v>
      </c>
      <c r="AO216" s="53" t="n">
        <f aca="false">SUMIF($C$6:$AL$6,3,C216:AL216)</f>
        <v>117.633613057741</v>
      </c>
      <c r="AP216" s="53" t="n">
        <f aca="false">SUM(C216:AL216)</f>
        <v>176.927636943153</v>
      </c>
    </row>
    <row r="217" customFormat="false" ht="15" hidden="false" customHeight="false" outlineLevel="0" collapsed="false">
      <c r="A217" s="7" t="s">
        <v>752</v>
      </c>
      <c r="B217" s="9" t="s">
        <v>331</v>
      </c>
      <c r="C217" s="56" t="n">
        <f aca="false">C216*Assumptions!$D$161</f>
        <v>-0</v>
      </c>
      <c r="D217" s="56" t="n">
        <f aca="false">D216*Assumptions!$D$161</f>
        <v>-0</v>
      </c>
      <c r="E217" s="56" t="n">
        <f aca="false">E216*Assumptions!$D$161</f>
        <v>-0</v>
      </c>
      <c r="F217" s="56" t="n">
        <f aca="false">F216*Assumptions!$D$161</f>
        <v>-0</v>
      </c>
      <c r="G217" s="56" t="n">
        <f aca="false">G216*Assumptions!$D$161</f>
        <v>-0</v>
      </c>
      <c r="H217" s="56" t="n">
        <f aca="false">H216*Assumptions!$D$161</f>
        <v>-0</v>
      </c>
      <c r="I217" s="56" t="n">
        <f aca="false">I216*Assumptions!$D$161</f>
        <v>-0</v>
      </c>
      <c r="J217" s="56" t="n">
        <f aca="false">J216*Assumptions!$D$161</f>
        <v>-0</v>
      </c>
      <c r="K217" s="56" t="n">
        <f aca="false">K216*Assumptions!$D$161</f>
        <v>-0</v>
      </c>
      <c r="L217" s="56" t="n">
        <f aca="false">L216*Assumptions!$D$161</f>
        <v>-0</v>
      </c>
      <c r="M217" s="56" t="n">
        <f aca="false">M216*Assumptions!$D$161</f>
        <v>-0</v>
      </c>
      <c r="N217" s="56" t="n">
        <f aca="false">N216*Assumptions!$D$161</f>
        <v>0</v>
      </c>
      <c r="O217" s="56" t="n">
        <f aca="false">O216*Assumptions!$D$161</f>
        <v>0.99</v>
      </c>
      <c r="P217" s="56" t="n">
        <f aca="false">P216*Assumptions!$D$161</f>
        <v>1.749</v>
      </c>
      <c r="Q217" s="56" t="n">
        <f aca="false">Q216*Assumptions!$D$161</f>
        <v>1.946637</v>
      </c>
      <c r="R217" s="56" t="n">
        <f aca="false">R216*Assumptions!$D$161</f>
        <v>4.32338808</v>
      </c>
      <c r="S217" s="56" t="n">
        <f aca="false">S216*Assumptions!$D$161</f>
        <v>5.20771746</v>
      </c>
      <c r="T217" s="56" t="n">
        <f aca="false">T216*Assumptions!$D$161</f>
        <v>6.62421660912</v>
      </c>
      <c r="U217" s="56" t="n">
        <f aca="false">U216*Assumptions!$D$161</f>
        <v>6.31950264510048</v>
      </c>
      <c r="V217" s="56" t="n">
        <f aca="false">V216*Assumptions!$D$161</f>
        <v>5.21007884740506</v>
      </c>
      <c r="W217" s="56" t="n">
        <f aca="false">W216*Assumptions!$D$161</f>
        <v>3.15581918757107</v>
      </c>
      <c r="X217" s="56" t="n">
        <f aca="false">X216*Assumptions!$D$161</f>
        <v>5.017752508238</v>
      </c>
      <c r="Y217" s="56" t="n">
        <f aca="false">Y216*Assumptions!$D$161</f>
        <v>11.5241049272533</v>
      </c>
      <c r="Z217" s="56" t="n">
        <f aca="false">Z216*Assumptions!$D$161</f>
        <v>13.1552090092645</v>
      </c>
      <c r="AA217" s="56" t="n">
        <f aca="false">AA216*Assumptions!$D$161</f>
        <v>11.6141702396078</v>
      </c>
      <c r="AB217" s="56" t="n">
        <f aca="false">AB216*Assumptions!$D$161</f>
        <v>9.96882945566337</v>
      </c>
      <c r="AC217" s="56" t="n">
        <f aca="false">AC216*Assumptions!$D$161</f>
        <v>7.18752603753329</v>
      </c>
      <c r="AD217" s="56" t="n">
        <f aca="false">AD216*Assumptions!$D$161</f>
        <v>11.6335242864646</v>
      </c>
      <c r="AE217" s="56" t="n">
        <f aca="false">AE216*Assumptions!$D$161</f>
        <v>10.8932091045987</v>
      </c>
      <c r="AF217" s="56" t="n">
        <f aca="false">AF216*Assumptions!$D$161</f>
        <v>11.2200053777366</v>
      </c>
      <c r="AG217" s="56" t="n">
        <f aca="false">AG216*Assumptions!$D$161</f>
        <v>10.4009449851619</v>
      </c>
      <c r="AH217" s="56" t="n">
        <f aca="false">AH216*Assumptions!$D$161</f>
        <v>8.33231259366855</v>
      </c>
      <c r="AI217" s="56" t="n">
        <f aca="false">AI216*Assumptions!$D$161</f>
        <v>4.9041611265592</v>
      </c>
      <c r="AJ217" s="56" t="n">
        <f aca="false">AJ216*Assumptions!$D$161</f>
        <v>7.57692894053397</v>
      </c>
      <c r="AK217" s="56" t="n">
        <f aca="false">AK216*Assumptions!$D$161</f>
        <v>16.9091797522916</v>
      </c>
      <c r="AL217" s="56" t="n">
        <f aca="false">AL216*Assumptions!$D$161</f>
        <v>18.7561824636958</v>
      </c>
      <c r="AM217" s="53" t="n">
        <f aca="false">SUMIF($C$6:$AL$6,1,C217:AL217)</f>
        <v>0</v>
      </c>
      <c r="AN217" s="53" t="n">
        <f aca="false">SUMIF($C$6:$AL$6,2,C217:AL217)</f>
        <v>65.2234262739524</v>
      </c>
      <c r="AO217" s="53" t="n">
        <f aca="false">SUMIF($C$6:$AL$6,3,C217:AL217)</f>
        <v>129.396974363515</v>
      </c>
      <c r="AP217" s="53" t="n">
        <f aca="false">SUM(C217:AL217)</f>
        <v>194.620400637468</v>
      </c>
    </row>
    <row r="218" customFormat="false" ht="15" hidden="false" customHeight="false" outlineLevel="0" collapsed="false">
      <c r="A218" s="7" t="s">
        <v>753</v>
      </c>
      <c r="B218" s="9" t="s">
        <v>93</v>
      </c>
      <c r="C218" s="15" t="n">
        <f aca="false">'Unit Economics'!$E$57*Assumptions!$D$161*C212</f>
        <v>0</v>
      </c>
      <c r="D218" s="15" t="n">
        <f aca="false">'Unit Economics'!$E$57*Assumptions!$D$161*D212</f>
        <v>0</v>
      </c>
      <c r="E218" s="15" t="n">
        <f aca="false">'Unit Economics'!$E$57*Assumptions!$D$161*E212</f>
        <v>0</v>
      </c>
      <c r="F218" s="15" t="n">
        <f aca="false">'Unit Economics'!$E$57*Assumptions!$D$161*F212</f>
        <v>0</v>
      </c>
      <c r="G218" s="15" t="n">
        <f aca="false">'Unit Economics'!$E$57*Assumptions!$D$161*G212</f>
        <v>0</v>
      </c>
      <c r="H218" s="15" t="n">
        <f aca="false">'Unit Economics'!$E$57*Assumptions!$D$161*H212</f>
        <v>0</v>
      </c>
      <c r="I218" s="15" t="n">
        <f aca="false">'Unit Economics'!$E$57*Assumptions!$D$161*I212</f>
        <v>0</v>
      </c>
      <c r="J218" s="15" t="n">
        <f aca="false">'Unit Economics'!$E$57*Assumptions!$D$161*J212</f>
        <v>0</v>
      </c>
      <c r="K218" s="15" t="n">
        <f aca="false">'Unit Economics'!$E$57*Assumptions!$D$161*K212</f>
        <v>0</v>
      </c>
      <c r="L218" s="15" t="n">
        <f aca="false">'Unit Economics'!$E$57*Assumptions!$D$161*L212</f>
        <v>0</v>
      </c>
      <c r="M218" s="15" t="n">
        <f aca="false">'Unit Economics'!$E$57*Assumptions!$D$161*M212</f>
        <v>0</v>
      </c>
      <c r="N218" s="15" t="n">
        <f aca="false">'Unit Economics'!$E$57*Assumptions!$D$161*N212</f>
        <v>0</v>
      </c>
      <c r="O218" s="15" t="n">
        <f aca="false">'Unit Economics'!$E$57*Assumptions!$D$161*O212</f>
        <v>48.4</v>
      </c>
      <c r="P218" s="15" t="n">
        <f aca="false">'Unit Economics'!$E$57*Assumptions!$D$161*P212</f>
        <v>48.4</v>
      </c>
      <c r="Q218" s="15" t="n">
        <f aca="false">'Unit Economics'!$E$57*Assumptions!$D$161*Q212</f>
        <v>48.4</v>
      </c>
      <c r="R218" s="15" t="n">
        <f aca="false">'Unit Economics'!$E$57*Assumptions!$D$161*R212</f>
        <v>48.4</v>
      </c>
      <c r="S218" s="15" t="n">
        <f aca="false">'Unit Economics'!$E$57*Assumptions!$D$161*S212</f>
        <v>48.4</v>
      </c>
      <c r="T218" s="15" t="n">
        <f aca="false">'Unit Economics'!$E$57*Assumptions!$D$161*T212</f>
        <v>48.4</v>
      </c>
      <c r="U218" s="15" t="n">
        <f aca="false">'Unit Economics'!$E$57*Assumptions!$D$161*U212</f>
        <v>48.4</v>
      </c>
      <c r="V218" s="15" t="n">
        <f aca="false">'Unit Economics'!$E$57*Assumptions!$D$161*V212</f>
        <v>48.4</v>
      </c>
      <c r="W218" s="15" t="n">
        <f aca="false">'Unit Economics'!$E$57*Assumptions!$D$161*W212</f>
        <v>48.4</v>
      </c>
      <c r="X218" s="15" t="n">
        <f aca="false">'Unit Economics'!$E$57*Assumptions!$D$161*X212</f>
        <v>48.4</v>
      </c>
      <c r="Y218" s="15" t="n">
        <f aca="false">'Unit Economics'!$E$57*Assumptions!$D$161*Y212</f>
        <v>48.4</v>
      </c>
      <c r="Z218" s="15" t="n">
        <f aca="false">'Unit Economics'!$E$57*Assumptions!$D$161*Z212</f>
        <v>48.4</v>
      </c>
      <c r="AA218" s="15" t="n">
        <f aca="false">'Unit Economics'!$E$57*Assumptions!$D$161*AA212</f>
        <v>48.4</v>
      </c>
      <c r="AB218" s="15" t="n">
        <f aca="false">'Unit Economics'!$E$57*Assumptions!$D$161*AB212</f>
        <v>48.4</v>
      </c>
      <c r="AC218" s="15" t="n">
        <f aca="false">'Unit Economics'!$E$57*Assumptions!$D$161*AC212</f>
        <v>48.4</v>
      </c>
      <c r="AD218" s="15" t="n">
        <f aca="false">'Unit Economics'!$E$57*Assumptions!$D$161*AD212</f>
        <v>48.4</v>
      </c>
      <c r="AE218" s="15" t="n">
        <f aca="false">'Unit Economics'!$E$57*Assumptions!$D$161*AE212</f>
        <v>48.4</v>
      </c>
      <c r="AF218" s="15" t="n">
        <f aca="false">'Unit Economics'!$E$57*Assumptions!$D$161*AF212</f>
        <v>48.4</v>
      </c>
      <c r="AG218" s="15" t="n">
        <f aca="false">'Unit Economics'!$E$57*Assumptions!$D$161*AG212</f>
        <v>48.4</v>
      </c>
      <c r="AH218" s="15" t="n">
        <f aca="false">'Unit Economics'!$E$57*Assumptions!$D$161*AH212</f>
        <v>48.4</v>
      </c>
      <c r="AI218" s="15" t="n">
        <f aca="false">'Unit Economics'!$E$57*Assumptions!$D$161*AI212</f>
        <v>48.4</v>
      </c>
      <c r="AJ218" s="15" t="n">
        <f aca="false">'Unit Economics'!$E$57*Assumptions!$D$161*AJ212</f>
        <v>48.4</v>
      </c>
      <c r="AK218" s="15" t="n">
        <f aca="false">'Unit Economics'!$E$57*Assumptions!$D$161*AK212</f>
        <v>48.4</v>
      </c>
      <c r="AL218" s="15" t="n">
        <f aca="false">'Unit Economics'!$E$57*Assumptions!$D$161*AL212</f>
        <v>48.4</v>
      </c>
    </row>
    <row r="219" customFormat="false" ht="15" hidden="false" customHeight="false" outlineLevel="0" collapsed="false">
      <c r="A219" s="7" t="s">
        <v>754</v>
      </c>
      <c r="B219" s="9" t="s">
        <v>93</v>
      </c>
      <c r="C219" s="8" t="n">
        <f aca="false">C217*'Unit Economics'!$E$57</f>
        <v>-0</v>
      </c>
      <c r="D219" s="8" t="n">
        <f aca="false">D217*'Unit Economics'!$E$57</f>
        <v>-0</v>
      </c>
      <c r="E219" s="8" t="n">
        <f aca="false">E217*'Unit Economics'!$E$57</f>
        <v>-0</v>
      </c>
      <c r="F219" s="8" t="n">
        <f aca="false">F217*'Unit Economics'!$E$57</f>
        <v>-0</v>
      </c>
      <c r="G219" s="8" t="n">
        <f aca="false">G217*'Unit Economics'!$E$57</f>
        <v>-0</v>
      </c>
      <c r="H219" s="8" t="n">
        <f aca="false">H217*'Unit Economics'!$E$57</f>
        <v>-0</v>
      </c>
      <c r="I219" s="8" t="n">
        <f aca="false">I217*'Unit Economics'!$E$57</f>
        <v>-0</v>
      </c>
      <c r="J219" s="8" t="n">
        <f aca="false">J217*'Unit Economics'!$E$57</f>
        <v>-0</v>
      </c>
      <c r="K219" s="8" t="n">
        <f aca="false">K217*'Unit Economics'!$E$57</f>
        <v>-0</v>
      </c>
      <c r="L219" s="8" t="n">
        <f aca="false">L217*'Unit Economics'!$E$57</f>
        <v>-0</v>
      </c>
      <c r="M219" s="8" t="n">
        <f aca="false">M217*'Unit Economics'!$E$57</f>
        <v>-0</v>
      </c>
      <c r="N219" s="8" t="n">
        <f aca="false">N217*'Unit Economics'!$E$57</f>
        <v>0</v>
      </c>
      <c r="O219" s="8" t="n">
        <f aca="false">O217*'Unit Economics'!$E$57</f>
        <v>43.56</v>
      </c>
      <c r="P219" s="8" t="n">
        <f aca="false">P217*'Unit Economics'!$E$57</f>
        <v>76.956</v>
      </c>
      <c r="Q219" s="8" t="n">
        <f aca="false">Q217*'Unit Economics'!$E$57</f>
        <v>85.652028</v>
      </c>
      <c r="R219" s="8" t="n">
        <f aca="false">R217*'Unit Economics'!$E$57</f>
        <v>190.22907552</v>
      </c>
      <c r="S219" s="8" t="n">
        <f aca="false">S217*'Unit Economics'!$E$57</f>
        <v>229.13956824</v>
      </c>
      <c r="T219" s="8" t="n">
        <f aca="false">T217*'Unit Economics'!$E$57</f>
        <v>291.46553080128</v>
      </c>
      <c r="U219" s="8" t="n">
        <f aca="false">U217*'Unit Economics'!$E$57</f>
        <v>278.058116384421</v>
      </c>
      <c r="V219" s="8" t="n">
        <f aca="false">V217*'Unit Economics'!$E$57</f>
        <v>229.243469285823</v>
      </c>
      <c r="W219" s="8" t="n">
        <f aca="false">W217*'Unit Economics'!$E$57</f>
        <v>138.856044253127</v>
      </c>
      <c r="X219" s="8" t="n">
        <f aca="false">X217*'Unit Economics'!$E$57</f>
        <v>220.781110362472</v>
      </c>
      <c r="Y219" s="8" t="n">
        <f aca="false">Y217*'Unit Economics'!$E$57</f>
        <v>507.060616799144</v>
      </c>
      <c r="Z219" s="8" t="n">
        <f aca="false">Z217*'Unit Economics'!$E$57</f>
        <v>578.829196407638</v>
      </c>
      <c r="AA219" s="8" t="n">
        <f aca="false">AA217*'Unit Economics'!$E$57</f>
        <v>511.023490542743</v>
      </c>
      <c r="AB219" s="8" t="n">
        <f aca="false">AB217*'Unit Economics'!$E$57</f>
        <v>438.628496049188</v>
      </c>
      <c r="AC219" s="8" t="n">
        <f aca="false">AC217*'Unit Economics'!$E$57</f>
        <v>316.251145651465</v>
      </c>
      <c r="AD219" s="8" t="n">
        <f aca="false">AD217*'Unit Economics'!$E$57</f>
        <v>511.875068604442</v>
      </c>
      <c r="AE219" s="8" t="n">
        <f aca="false">AE217*'Unit Economics'!$E$57</f>
        <v>479.301200602341</v>
      </c>
      <c r="AF219" s="8" t="n">
        <f aca="false">AF217*'Unit Economics'!$E$57</f>
        <v>493.680236620411</v>
      </c>
      <c r="AG219" s="8" t="n">
        <f aca="false">AG217*'Unit Economics'!$E$57</f>
        <v>457.641579347121</v>
      </c>
      <c r="AH219" s="8" t="n">
        <f aca="false">AH217*'Unit Economics'!$E$57</f>
        <v>366.621754121416</v>
      </c>
      <c r="AI219" s="8" t="n">
        <f aca="false">AI217*'Unit Economics'!$E$57</f>
        <v>215.783089568605</v>
      </c>
      <c r="AJ219" s="8" t="n">
        <f aca="false">AJ217*'Unit Economics'!$E$57</f>
        <v>333.384873383495</v>
      </c>
      <c r="AK219" s="8" t="n">
        <f aca="false">AK217*'Unit Economics'!$E$57</f>
        <v>744.003909100832</v>
      </c>
      <c r="AL219" s="8" t="n">
        <f aca="false">AL217*'Unit Economics'!$E$57</f>
        <v>825.272028402616</v>
      </c>
      <c r="AM219" s="45" t="n">
        <f aca="false">SUMIF($C$6:$AL$6,1,C219:AL219)</f>
        <v>0</v>
      </c>
      <c r="AN219" s="45" t="n">
        <f aca="false">SUMIF($C$6:$AL$6,2,C219:AL219)</f>
        <v>2869.83075605391</v>
      </c>
      <c r="AO219" s="45" t="n">
        <f aca="false">SUMIF($C$6:$AL$6,3,C219:AL219)</f>
        <v>5693.46687199468</v>
      </c>
      <c r="AP219" s="45" t="n">
        <f aca="false">SUM(C219:AL219)</f>
        <v>8563.29762804858</v>
      </c>
    </row>
    <row r="220" customFormat="false" ht="15" hidden="false" customHeight="false" outlineLevel="0" collapsed="false">
      <c r="A220" s="7" t="s">
        <v>755</v>
      </c>
      <c r="B220" s="9" t="s">
        <v>93</v>
      </c>
      <c r="C220" s="8" t="n">
        <f aca="false">C217*'Unit Economics'!$F$57</f>
        <v>-0</v>
      </c>
      <c r="D220" s="8" t="n">
        <f aca="false">D217*'Unit Economics'!$F$57</f>
        <v>-0</v>
      </c>
      <c r="E220" s="8" t="n">
        <f aca="false">E217*'Unit Economics'!$F$57</f>
        <v>-0</v>
      </c>
      <c r="F220" s="8" t="n">
        <f aca="false">F217*'Unit Economics'!$F$57</f>
        <v>-0</v>
      </c>
      <c r="G220" s="8" t="n">
        <f aca="false">G217*'Unit Economics'!$F$57</f>
        <v>-0</v>
      </c>
      <c r="H220" s="8" t="n">
        <f aca="false">H217*'Unit Economics'!$F$57</f>
        <v>-0</v>
      </c>
      <c r="I220" s="8" t="n">
        <f aca="false">I217*'Unit Economics'!$F$57</f>
        <v>-0</v>
      </c>
      <c r="J220" s="8" t="n">
        <f aca="false">J217*'Unit Economics'!$F$57</f>
        <v>-0</v>
      </c>
      <c r="K220" s="8" t="n">
        <f aca="false">K217*'Unit Economics'!$F$57</f>
        <v>-0</v>
      </c>
      <c r="L220" s="8" t="n">
        <f aca="false">L217*'Unit Economics'!$F$57</f>
        <v>-0</v>
      </c>
      <c r="M220" s="8" t="n">
        <f aca="false">M217*'Unit Economics'!$F$57</f>
        <v>-0</v>
      </c>
      <c r="N220" s="8" t="n">
        <f aca="false">N217*'Unit Economics'!$F$57</f>
        <v>0</v>
      </c>
      <c r="O220" s="8" t="n">
        <f aca="false">O217*'Unit Economics'!$F$57</f>
        <v>39.332304</v>
      </c>
      <c r="P220" s="8" t="n">
        <f aca="false">P217*'Unit Economics'!$F$57</f>
        <v>69.4870704</v>
      </c>
      <c r="Q220" s="8" t="n">
        <f aca="false">Q217*'Unit Economics'!$F$57</f>
        <v>77.3391093552</v>
      </c>
      <c r="R220" s="8" t="n">
        <f aca="false">R217*'Unit Economics'!$F$57</f>
        <v>171.766479063168</v>
      </c>
      <c r="S220" s="8" t="n">
        <f aca="false">S217*'Unit Economics'!$F$57</f>
        <v>206.900531598816</v>
      </c>
      <c r="T220" s="8" t="n">
        <f aca="false">T217*'Unit Economics'!$F$57</f>
        <v>263.177476193694</v>
      </c>
      <c r="U220" s="8" t="n">
        <f aca="false">U217*'Unit Economics'!$F$57</f>
        <v>251.071312288784</v>
      </c>
      <c r="V220" s="8" t="n">
        <f aca="false">V217*'Unit Economics'!$F$57</f>
        <v>206.994348575864</v>
      </c>
      <c r="W220" s="8" t="n">
        <f aca="false">W217*'Unit Economics'!$F$57</f>
        <v>125.379433994523</v>
      </c>
      <c r="X220" s="8" t="n">
        <f aca="false">X217*'Unit Economics'!$F$57</f>
        <v>199.353300051292</v>
      </c>
      <c r="Y220" s="8" t="n">
        <f aca="false">Y217*'Unit Economics'!$F$57</f>
        <v>457.848079117802</v>
      </c>
      <c r="Z220" s="8" t="n">
        <f aca="false">Z217*'Unit Economics'!$F$57</f>
        <v>522.651191854475</v>
      </c>
      <c r="AA220" s="8" t="n">
        <f aca="false">AA217*'Unit Economics'!$F$57</f>
        <v>461.426337951522</v>
      </c>
      <c r="AB220" s="8" t="n">
        <f aca="false">AB217*'Unit Economics'!$F$57</f>
        <v>396.057606741723</v>
      </c>
      <c r="AC220" s="8" t="n">
        <f aca="false">AC217*'Unit Economics'!$F$57</f>
        <v>285.557534460782</v>
      </c>
      <c r="AD220" s="8" t="n">
        <f aca="false">AD217*'Unit Economics'!$F$57</f>
        <v>462.195266491524</v>
      </c>
      <c r="AE220" s="8" t="n">
        <f aca="false">AE217*'Unit Economics'!$F$57</f>
        <v>432.782840442063</v>
      </c>
      <c r="AF220" s="8" t="n">
        <f aca="false">AF217*'Unit Economics'!$F$57</f>
        <v>445.766325655325</v>
      </c>
      <c r="AG220" s="8" t="n">
        <f aca="false">AG217*'Unit Economics'!$F$57</f>
        <v>413.225383882486</v>
      </c>
      <c r="AH220" s="8" t="n">
        <f aca="false">AH217*'Unit Economics'!$F$57</f>
        <v>331.039446421414</v>
      </c>
      <c r="AI220" s="8" t="n">
        <f aca="false">AI217*'Unit Economics'!$F$57</f>
        <v>194.840359893747</v>
      </c>
      <c r="AJ220" s="8" t="n">
        <f aca="false">AJ217*'Unit Economics'!$F$57</f>
        <v>301.028356035838</v>
      </c>
      <c r="AK220" s="8" t="n">
        <f aca="false">AK217*'Unit Economics'!$F$57</f>
        <v>671.794947886646</v>
      </c>
      <c r="AL220" s="8" t="n">
        <f aca="false">AL217*'Unit Economics'!$F$57</f>
        <v>745.175626809649</v>
      </c>
      <c r="AM220" s="45" t="n">
        <f aca="false">SUMIF($C$6:$AL$6,1,C220:AL220)</f>
        <v>0</v>
      </c>
      <c r="AN220" s="45" t="n">
        <f aca="false">SUMIF($C$6:$AL$6,2,C220:AL220)</f>
        <v>2591.30063649362</v>
      </c>
      <c r="AO220" s="45" t="n">
        <f aca="false">SUMIF($C$6:$AL$6,3,C220:AL220)</f>
        <v>5140.89003267272</v>
      </c>
      <c r="AP220" s="45" t="n">
        <f aca="false">SUM(C220:AL220)</f>
        <v>7732.19066916634</v>
      </c>
    </row>
    <row r="221" customFormat="false" ht="15" hidden="false" customHeight="false" outlineLevel="0" collapsed="false">
      <c r="A221" s="5" t="s">
        <v>568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</row>
    <row r="222" customFormat="false" ht="15" hidden="false" customHeight="false" outlineLevel="0" collapsed="false">
      <c r="A222" s="7" t="s">
        <v>746</v>
      </c>
      <c r="B222" s="9" t="s">
        <v>308</v>
      </c>
      <c r="C222" s="37" t="n">
        <f aca="false">IF(AND(Assumptions!$D$163=1,C$4&gt;=Assumptions!$D$164),1,0)</f>
        <v>0</v>
      </c>
      <c r="D222" s="37" t="n">
        <f aca="false">IF(AND(Assumptions!$D$163=1,D$4&gt;=Assumptions!$D$164),1,0)</f>
        <v>0</v>
      </c>
      <c r="E222" s="37" t="n">
        <f aca="false">IF(AND(Assumptions!$D$163=1,E$4&gt;=Assumptions!$D$164),1,0)</f>
        <v>0</v>
      </c>
      <c r="F222" s="37" t="n">
        <f aca="false">IF(AND(Assumptions!$D$163=1,F$4&gt;=Assumptions!$D$164),1,0)</f>
        <v>0</v>
      </c>
      <c r="G222" s="37" t="n">
        <f aca="false">IF(AND(Assumptions!$D$163=1,G$4&gt;=Assumptions!$D$164),1,0)</f>
        <v>0</v>
      </c>
      <c r="H222" s="37" t="n">
        <f aca="false">IF(AND(Assumptions!$D$163=1,H$4&gt;=Assumptions!$D$164),1,0)</f>
        <v>0</v>
      </c>
      <c r="I222" s="37" t="n">
        <f aca="false">IF(AND(Assumptions!$D$163=1,I$4&gt;=Assumptions!$D$164),1,0)</f>
        <v>0</v>
      </c>
      <c r="J222" s="37" t="n">
        <f aca="false">IF(AND(Assumptions!$D$163=1,J$4&gt;=Assumptions!$D$164),1,0)</f>
        <v>0</v>
      </c>
      <c r="K222" s="37" t="n">
        <f aca="false">IF(AND(Assumptions!$D$163=1,K$4&gt;=Assumptions!$D$164),1,0)</f>
        <v>0</v>
      </c>
      <c r="L222" s="37" t="n">
        <f aca="false">IF(AND(Assumptions!$D$163=1,L$4&gt;=Assumptions!$D$164),1,0)</f>
        <v>0</v>
      </c>
      <c r="M222" s="37" t="n">
        <f aca="false">IF(AND(Assumptions!$D$163=1,M$4&gt;=Assumptions!$D$164),1,0)</f>
        <v>0</v>
      </c>
      <c r="N222" s="37" t="n">
        <f aca="false">IF(AND(Assumptions!$D$163=1,N$4&gt;=Assumptions!$D$164),1,0)</f>
        <v>0</v>
      </c>
      <c r="O222" s="37" t="n">
        <f aca="false">IF(AND(Assumptions!$D$163=1,O$4&gt;=Assumptions!$D$164),1,0)</f>
        <v>0</v>
      </c>
      <c r="P222" s="37" t="n">
        <f aca="false">IF(AND(Assumptions!$D$163=1,P$4&gt;=Assumptions!$D$164),1,0)</f>
        <v>0</v>
      </c>
      <c r="Q222" s="37" t="n">
        <f aca="false">IF(AND(Assumptions!$D$163=1,Q$4&gt;=Assumptions!$D$164),1,0)</f>
        <v>0</v>
      </c>
      <c r="R222" s="37" t="n">
        <f aca="false">IF(AND(Assumptions!$D$163=1,R$4&gt;=Assumptions!$D$164),1,0)</f>
        <v>0</v>
      </c>
      <c r="S222" s="37" t="n">
        <f aca="false">IF(AND(Assumptions!$D$163=1,S$4&gt;=Assumptions!$D$164),1,0)</f>
        <v>0</v>
      </c>
      <c r="T222" s="37" t="n">
        <f aca="false">IF(AND(Assumptions!$D$163=1,T$4&gt;=Assumptions!$D$164),1,0)</f>
        <v>0</v>
      </c>
      <c r="U222" s="37" t="n">
        <f aca="false">IF(AND(Assumptions!$D$163=1,U$4&gt;=Assumptions!$D$164),1,0)</f>
        <v>0</v>
      </c>
      <c r="V222" s="37" t="n">
        <f aca="false">IF(AND(Assumptions!$D$163=1,V$4&gt;=Assumptions!$D$164),1,0)</f>
        <v>0</v>
      </c>
      <c r="W222" s="37" t="n">
        <f aca="false">IF(AND(Assumptions!$D$163=1,W$4&gt;=Assumptions!$D$164),1,0)</f>
        <v>0</v>
      </c>
      <c r="X222" s="37" t="n">
        <f aca="false">IF(AND(Assumptions!$D$163=1,X$4&gt;=Assumptions!$D$164),1,0)</f>
        <v>0</v>
      </c>
      <c r="Y222" s="37" t="n">
        <f aca="false">IF(AND(Assumptions!$D$163=1,Y$4&gt;=Assumptions!$D$164),1,0)</f>
        <v>0</v>
      </c>
      <c r="Z222" s="37" t="n">
        <f aca="false">IF(AND(Assumptions!$D$163=1,Z$4&gt;=Assumptions!$D$164),1,0)</f>
        <v>0</v>
      </c>
      <c r="AA222" s="37" t="n">
        <f aca="false">IF(AND(Assumptions!$D$163=1,AA$4&gt;=Assumptions!$D$164),1,0)</f>
        <v>1</v>
      </c>
      <c r="AB222" s="37" t="n">
        <f aca="false">IF(AND(Assumptions!$D$163=1,AB$4&gt;=Assumptions!$D$164),1,0)</f>
        <v>1</v>
      </c>
      <c r="AC222" s="37" t="n">
        <f aca="false">IF(AND(Assumptions!$D$163=1,AC$4&gt;=Assumptions!$D$164),1,0)</f>
        <v>1</v>
      </c>
      <c r="AD222" s="37" t="n">
        <f aca="false">IF(AND(Assumptions!$D$163=1,AD$4&gt;=Assumptions!$D$164),1,0)</f>
        <v>1</v>
      </c>
      <c r="AE222" s="37" t="n">
        <f aca="false">IF(AND(Assumptions!$D$163=1,AE$4&gt;=Assumptions!$D$164),1,0)</f>
        <v>1</v>
      </c>
      <c r="AF222" s="37" t="n">
        <f aca="false">IF(AND(Assumptions!$D$163=1,AF$4&gt;=Assumptions!$D$164),1,0)</f>
        <v>1</v>
      </c>
      <c r="AG222" s="37" t="n">
        <f aca="false">IF(AND(Assumptions!$D$163=1,AG$4&gt;=Assumptions!$D$164),1,0)</f>
        <v>1</v>
      </c>
      <c r="AH222" s="37" t="n">
        <f aca="false">IF(AND(Assumptions!$D$163=1,AH$4&gt;=Assumptions!$D$164),1,0)</f>
        <v>1</v>
      </c>
      <c r="AI222" s="37" t="n">
        <f aca="false">IF(AND(Assumptions!$D$163=1,AI$4&gt;=Assumptions!$D$164),1,0)</f>
        <v>1</v>
      </c>
      <c r="AJ222" s="37" t="n">
        <f aca="false">IF(AND(Assumptions!$D$163=1,AJ$4&gt;=Assumptions!$D$164),1,0)</f>
        <v>1</v>
      </c>
      <c r="AK222" s="37" t="n">
        <f aca="false">IF(AND(Assumptions!$D$163=1,AK$4&gt;=Assumptions!$D$164),1,0)</f>
        <v>1</v>
      </c>
      <c r="AL222" s="37" t="n">
        <f aca="false">IF(AND(Assumptions!$D$163=1,AL$4&gt;=Assumptions!$D$164),1,0)</f>
        <v>1</v>
      </c>
    </row>
    <row r="223" customFormat="false" ht="15" hidden="false" customHeight="false" outlineLevel="0" collapsed="false">
      <c r="A223" s="7" t="s">
        <v>747</v>
      </c>
      <c r="B223" s="9" t="s">
        <v>316</v>
      </c>
      <c r="C223" s="14" t="n">
        <f aca="false">IF(C222=0,0,Assumptions!$D$165)</f>
        <v>0</v>
      </c>
      <c r="D223" s="14" t="n">
        <f aca="false">IF(D222=0,0,IF(D$4=Assumptions!$D$164,Assumptions!$D$165,C223*(1+CHOOSE(D$6,Assumptions!$D$166,Assumptions!$D$167,Assumptions!$D$168))))</f>
        <v>0</v>
      </c>
      <c r="E223" s="14" t="n">
        <f aca="false">IF(E222=0,0,IF(E$4=Assumptions!$D$164,Assumptions!$D$165,D223*(1+CHOOSE(E$6,Assumptions!$D$166,Assumptions!$D$167,Assumptions!$D$168))))</f>
        <v>0</v>
      </c>
      <c r="F223" s="14" t="n">
        <f aca="false">IF(F222=0,0,IF(F$4=Assumptions!$D$164,Assumptions!$D$165,E223*(1+CHOOSE(F$6,Assumptions!$D$166,Assumptions!$D$167,Assumptions!$D$168))))</f>
        <v>0</v>
      </c>
      <c r="G223" s="14" t="n">
        <f aca="false">IF(G222=0,0,IF(G$4=Assumptions!$D$164,Assumptions!$D$165,F223*(1+CHOOSE(G$6,Assumptions!$D$166,Assumptions!$D$167,Assumptions!$D$168))))</f>
        <v>0</v>
      </c>
      <c r="H223" s="14" t="n">
        <f aca="false">IF(H222=0,0,IF(H$4=Assumptions!$D$164,Assumptions!$D$165,G223*(1+CHOOSE(H$6,Assumptions!$D$166,Assumptions!$D$167,Assumptions!$D$168))))</f>
        <v>0</v>
      </c>
      <c r="I223" s="14" t="n">
        <f aca="false">IF(I222=0,0,IF(I$4=Assumptions!$D$164,Assumptions!$D$165,H223*(1+CHOOSE(I$6,Assumptions!$D$166,Assumptions!$D$167,Assumptions!$D$168))))</f>
        <v>0</v>
      </c>
      <c r="J223" s="14" t="n">
        <f aca="false">IF(J222=0,0,IF(J$4=Assumptions!$D$164,Assumptions!$D$165,I223*(1+CHOOSE(J$6,Assumptions!$D$166,Assumptions!$D$167,Assumptions!$D$168))))</f>
        <v>0</v>
      </c>
      <c r="K223" s="14" t="n">
        <f aca="false">IF(K222=0,0,IF(K$4=Assumptions!$D$164,Assumptions!$D$165,J223*(1+CHOOSE(K$6,Assumptions!$D$166,Assumptions!$D$167,Assumptions!$D$168))))</f>
        <v>0</v>
      </c>
      <c r="L223" s="14" t="n">
        <f aca="false">IF(L222=0,0,IF(L$4=Assumptions!$D$164,Assumptions!$D$165,K223*(1+CHOOSE(L$6,Assumptions!$D$166,Assumptions!$D$167,Assumptions!$D$168))))</f>
        <v>0</v>
      </c>
      <c r="M223" s="14" t="n">
        <f aca="false">IF(M222=0,0,IF(M$4=Assumptions!$D$164,Assumptions!$D$165,L223*(1+CHOOSE(M$6,Assumptions!$D$166,Assumptions!$D$167,Assumptions!$D$168))))</f>
        <v>0</v>
      </c>
      <c r="N223" s="14" t="n">
        <f aca="false">IF(N222=0,0,IF(N$4=Assumptions!$D$164,Assumptions!$D$165,M223*(1+CHOOSE(N$6,Assumptions!$D$166,Assumptions!$D$167,Assumptions!$D$168))))</f>
        <v>0</v>
      </c>
      <c r="O223" s="14" t="n">
        <f aca="false">IF(O222=0,0,IF(O$4=Assumptions!$D$164,Assumptions!$D$165,N223*(1+CHOOSE(O$6,Assumptions!$D$166,Assumptions!$D$167,Assumptions!$D$168))))</f>
        <v>0</v>
      </c>
      <c r="P223" s="14" t="n">
        <f aca="false">IF(P222=0,0,IF(P$4=Assumptions!$D$164,Assumptions!$D$165,O223*(1+CHOOSE(P$6,Assumptions!$D$166,Assumptions!$D$167,Assumptions!$D$168))))</f>
        <v>0</v>
      </c>
      <c r="Q223" s="14" t="n">
        <f aca="false">IF(Q222=0,0,IF(Q$4=Assumptions!$D$164,Assumptions!$D$165,P223*(1+CHOOSE(Q$6,Assumptions!$D$166,Assumptions!$D$167,Assumptions!$D$168))))</f>
        <v>0</v>
      </c>
      <c r="R223" s="14" t="n">
        <f aca="false">IF(R222=0,0,IF(R$4=Assumptions!$D$164,Assumptions!$D$165,Q223*(1+CHOOSE(R$6,Assumptions!$D$166,Assumptions!$D$167,Assumptions!$D$168))))</f>
        <v>0</v>
      </c>
      <c r="S223" s="14" t="n">
        <f aca="false">IF(S222=0,0,IF(S$4=Assumptions!$D$164,Assumptions!$D$165,R223*(1+CHOOSE(S$6,Assumptions!$D$166,Assumptions!$D$167,Assumptions!$D$168))))</f>
        <v>0</v>
      </c>
      <c r="T223" s="14" t="n">
        <f aca="false">IF(T222=0,0,IF(T$4=Assumptions!$D$164,Assumptions!$D$165,S223*(1+CHOOSE(T$6,Assumptions!$D$166,Assumptions!$D$167,Assumptions!$D$168))))</f>
        <v>0</v>
      </c>
      <c r="U223" s="14" t="n">
        <f aca="false">IF(U222=0,0,IF(U$4=Assumptions!$D$164,Assumptions!$D$165,T223*(1+CHOOSE(U$6,Assumptions!$D$166,Assumptions!$D$167,Assumptions!$D$168))))</f>
        <v>0</v>
      </c>
      <c r="V223" s="14" t="n">
        <f aca="false">IF(V222=0,0,IF(V$4=Assumptions!$D$164,Assumptions!$D$165,U223*(1+CHOOSE(V$6,Assumptions!$D$166,Assumptions!$D$167,Assumptions!$D$168))))</f>
        <v>0</v>
      </c>
      <c r="W223" s="14" t="n">
        <f aca="false">IF(W222=0,0,IF(W$4=Assumptions!$D$164,Assumptions!$D$165,V223*(1+CHOOSE(W$6,Assumptions!$D$166,Assumptions!$D$167,Assumptions!$D$168))))</f>
        <v>0</v>
      </c>
      <c r="X223" s="14" t="n">
        <f aca="false">IF(X222=0,0,IF(X$4=Assumptions!$D$164,Assumptions!$D$165,W223*(1+CHOOSE(X$6,Assumptions!$D$166,Assumptions!$D$167,Assumptions!$D$168))))</f>
        <v>0</v>
      </c>
      <c r="Y223" s="14" t="n">
        <f aca="false">IF(Y222=0,0,IF(Y$4=Assumptions!$D$164,Assumptions!$D$165,X223*(1+CHOOSE(Y$6,Assumptions!$D$166,Assumptions!$D$167,Assumptions!$D$168))))</f>
        <v>0</v>
      </c>
      <c r="Z223" s="14" t="n">
        <f aca="false">IF(Z222=0,0,IF(Z$4=Assumptions!$D$164,Assumptions!$D$165,Y223*(1+CHOOSE(Z$6,Assumptions!$D$166,Assumptions!$D$167,Assumptions!$D$168))))</f>
        <v>0</v>
      </c>
      <c r="AA223" s="14" t="n">
        <f aca="false">IF(AA222=0,0,IF(AA$4=Assumptions!$D$164,Assumptions!$D$165,Z223*(1+CHOOSE(AA$6,Assumptions!$D$166,Assumptions!$D$167,Assumptions!$D$168))))</f>
        <v>600</v>
      </c>
      <c r="AB223" s="14" t="n">
        <f aca="false">IF(AB222=0,0,IF(AB$4=Assumptions!$D$164,Assumptions!$D$165,AA223*(1+CHOOSE(AB$6,Assumptions!$D$166,Assumptions!$D$167,Assumptions!$D$168))))</f>
        <v>630</v>
      </c>
      <c r="AC223" s="14" t="n">
        <f aca="false">IF(AC222=0,0,IF(AC$4=Assumptions!$D$164,Assumptions!$D$165,AB223*(1+CHOOSE(AC$6,Assumptions!$D$166,Assumptions!$D$167,Assumptions!$D$168))))</f>
        <v>661.5</v>
      </c>
      <c r="AD223" s="14" t="n">
        <f aca="false">IF(AD222=0,0,IF(AD$4=Assumptions!$D$164,Assumptions!$D$165,AC223*(1+CHOOSE(AD$6,Assumptions!$D$166,Assumptions!$D$167,Assumptions!$D$168))))</f>
        <v>694.575</v>
      </c>
      <c r="AE223" s="14" t="n">
        <f aca="false">IF(AE222=0,0,IF(AE$4=Assumptions!$D$164,Assumptions!$D$165,AD223*(1+CHOOSE(AE$6,Assumptions!$D$166,Assumptions!$D$167,Assumptions!$D$168))))</f>
        <v>729.30375</v>
      </c>
      <c r="AF223" s="14" t="n">
        <f aca="false">IF(AF222=0,0,IF(AF$4=Assumptions!$D$164,Assumptions!$D$165,AE223*(1+CHOOSE(AF$6,Assumptions!$D$166,Assumptions!$D$167,Assumptions!$D$168))))</f>
        <v>765.7689375</v>
      </c>
      <c r="AG223" s="14" t="n">
        <f aca="false">IF(AG222=0,0,IF(AG$4=Assumptions!$D$164,Assumptions!$D$165,AF223*(1+CHOOSE(AG$6,Assumptions!$D$166,Assumptions!$D$167,Assumptions!$D$168))))</f>
        <v>804.057384375</v>
      </c>
      <c r="AH223" s="14" t="n">
        <f aca="false">IF(AH222=0,0,IF(AH$4=Assumptions!$D$164,Assumptions!$D$165,AG223*(1+CHOOSE(AH$6,Assumptions!$D$166,Assumptions!$D$167,Assumptions!$D$168))))</f>
        <v>844.26025359375</v>
      </c>
      <c r="AI223" s="14" t="n">
        <f aca="false">IF(AI222=0,0,IF(AI$4=Assumptions!$D$164,Assumptions!$D$165,AH223*(1+CHOOSE(AI$6,Assumptions!$D$166,Assumptions!$D$167,Assumptions!$D$168))))</f>
        <v>886.473266273438</v>
      </c>
      <c r="AJ223" s="14" t="n">
        <f aca="false">IF(AJ222=0,0,IF(AJ$4=Assumptions!$D$164,Assumptions!$D$165,AI223*(1+CHOOSE(AJ$6,Assumptions!$D$166,Assumptions!$D$167,Assumptions!$D$168))))</f>
        <v>930.79692958711</v>
      </c>
      <c r="AK223" s="14" t="n">
        <f aca="false">IF(AK222=0,0,IF(AK$4=Assumptions!$D$164,Assumptions!$D$165,AJ223*(1+CHOOSE(AK$6,Assumptions!$D$166,Assumptions!$D$167,Assumptions!$D$168))))</f>
        <v>977.336776066465</v>
      </c>
      <c r="AL223" s="14" t="n">
        <f aca="false">IF(AL222=0,0,IF(AL$4=Assumptions!$D$164,Assumptions!$D$165,AK223*(1+CHOOSE(AL$6,Assumptions!$D$166,Assumptions!$D$167,Assumptions!$D$168))))</f>
        <v>1026.20361486979</v>
      </c>
    </row>
    <row r="224" customFormat="false" ht="15" hidden="false" customHeight="false" outlineLevel="0" collapsed="false">
      <c r="A224" s="7" t="s">
        <v>766</v>
      </c>
      <c r="B224" s="9" t="s">
        <v>316</v>
      </c>
      <c r="C224" s="52" t="n">
        <f aca="false">C223*C$7</f>
        <v>0</v>
      </c>
      <c r="D224" s="52" t="n">
        <f aca="false">D223*D$7</f>
        <v>0</v>
      </c>
      <c r="E224" s="52" t="n">
        <f aca="false">E223*E$7</f>
        <v>0</v>
      </c>
      <c r="F224" s="52" t="n">
        <f aca="false">F223*F$7</f>
        <v>0</v>
      </c>
      <c r="G224" s="52" t="n">
        <f aca="false">G223*G$7</f>
        <v>0</v>
      </c>
      <c r="H224" s="52" t="n">
        <f aca="false">H223*H$7</f>
        <v>0</v>
      </c>
      <c r="I224" s="52" t="n">
        <f aca="false">I223*I$7</f>
        <v>0</v>
      </c>
      <c r="J224" s="52" t="n">
        <f aca="false">J223*J$7</f>
        <v>0</v>
      </c>
      <c r="K224" s="52" t="n">
        <f aca="false">K223*K$7</f>
        <v>0</v>
      </c>
      <c r="L224" s="52" t="n">
        <f aca="false">L223*L$7</f>
        <v>0</v>
      </c>
      <c r="M224" s="52" t="n">
        <f aca="false">M223*M$7</f>
        <v>0</v>
      </c>
      <c r="N224" s="52" t="n">
        <f aca="false">N223*N$7</f>
        <v>0</v>
      </c>
      <c r="O224" s="52" t="n">
        <f aca="false">O223*O$7</f>
        <v>0</v>
      </c>
      <c r="P224" s="52" t="n">
        <f aca="false">P223*P$7</f>
        <v>0</v>
      </c>
      <c r="Q224" s="52" t="n">
        <f aca="false">Q223*Q$7</f>
        <v>0</v>
      </c>
      <c r="R224" s="52" t="n">
        <f aca="false">R223*R$7</f>
        <v>0</v>
      </c>
      <c r="S224" s="52" t="n">
        <f aca="false">S223*S$7</f>
        <v>0</v>
      </c>
      <c r="T224" s="52" t="n">
        <f aca="false">T223*T$7</f>
        <v>0</v>
      </c>
      <c r="U224" s="52" t="n">
        <f aca="false">U223*U$7</f>
        <v>0</v>
      </c>
      <c r="V224" s="52" t="n">
        <f aca="false">V223*V$7</f>
        <v>0</v>
      </c>
      <c r="W224" s="52" t="n">
        <f aca="false">W223*W$7</f>
        <v>0</v>
      </c>
      <c r="X224" s="52" t="n">
        <f aca="false">X223*X$7</f>
        <v>0</v>
      </c>
      <c r="Y224" s="52" t="n">
        <f aca="false">Y223*Y$7</f>
        <v>0</v>
      </c>
      <c r="Z224" s="52" t="n">
        <f aca="false">Z223*Z$7</f>
        <v>0</v>
      </c>
      <c r="AA224" s="52" t="n">
        <f aca="false">AA223*AA$7</f>
        <v>570</v>
      </c>
      <c r="AB224" s="52" t="n">
        <f aca="false">AB223*AB$7</f>
        <v>819</v>
      </c>
      <c r="AC224" s="52" t="n">
        <f aca="false">AC223*AC$7</f>
        <v>893.025</v>
      </c>
      <c r="AD224" s="52" t="n">
        <f aca="false">AD223*AD$7</f>
        <v>868.21875</v>
      </c>
      <c r="AE224" s="52" t="n">
        <f aca="false">AE223*AE$7</f>
        <v>656.373375</v>
      </c>
      <c r="AF224" s="52" t="n">
        <f aca="false">AF223*AF$7</f>
        <v>765.7689375</v>
      </c>
      <c r="AG224" s="52" t="n">
        <f aca="false">AG223*AG$7</f>
        <v>844.26025359375</v>
      </c>
      <c r="AH224" s="52" t="n">
        <f aca="false">AH223*AH$7</f>
        <v>802.047240914063</v>
      </c>
      <c r="AI224" s="52" t="n">
        <f aca="false">AI223*AI$7</f>
        <v>886.473266273438</v>
      </c>
      <c r="AJ224" s="52" t="n">
        <f aca="false">AJ223*AJ$7</f>
        <v>884.257083107754</v>
      </c>
      <c r="AK224" s="52" t="n">
        <f aca="false">AK223*AK$7</f>
        <v>830.736259656495</v>
      </c>
      <c r="AL224" s="52" t="n">
        <f aca="false">AL223*AL$7</f>
        <v>872.27307263932</v>
      </c>
      <c r="AM224" s="53" t="n">
        <f aca="false">SUMIF($C$6:$AL$6,1,C224:AL224)</f>
        <v>0</v>
      </c>
      <c r="AN224" s="53" t="n">
        <f aca="false">SUMIF($C$6:$AL$6,2,C224:AL224)</f>
        <v>0</v>
      </c>
      <c r="AO224" s="53" t="n">
        <f aca="false">SUMIF($C$6:$AL$6,3,C224:AL224)</f>
        <v>9692.43323868482</v>
      </c>
      <c r="AP224" s="53" t="n">
        <f aca="false">SUM(C224:AL224)</f>
        <v>9692.43323868482</v>
      </c>
    </row>
    <row r="225" customFormat="false" ht="15" hidden="false" customHeight="false" outlineLevel="0" collapsed="false">
      <c r="A225" s="7" t="s">
        <v>749</v>
      </c>
      <c r="B225" s="9" t="s">
        <v>88</v>
      </c>
      <c r="C225" s="54" t="n">
        <f aca="false">Assumptions!$D$169*MIN(1,(C$4-Assumptions!$D$164+1)/Assumptions!$C$10)*C222</f>
        <v>-0</v>
      </c>
      <c r="D225" s="54" t="n">
        <f aca="false">Assumptions!$D$169*MIN(1,(D$4-Assumptions!$D$164+1)/Assumptions!$C$10)*D222</f>
        <v>-0</v>
      </c>
      <c r="E225" s="54" t="n">
        <f aca="false">Assumptions!$D$169*MIN(1,(E$4-Assumptions!$D$164+1)/Assumptions!$C$10)*E222</f>
        <v>-0</v>
      </c>
      <c r="F225" s="54" t="n">
        <f aca="false">Assumptions!$D$169*MIN(1,(F$4-Assumptions!$D$164+1)/Assumptions!$C$10)*F222</f>
        <v>-0</v>
      </c>
      <c r="G225" s="54" t="n">
        <f aca="false">Assumptions!$D$169*MIN(1,(G$4-Assumptions!$D$164+1)/Assumptions!$C$10)*G222</f>
        <v>-0</v>
      </c>
      <c r="H225" s="54" t="n">
        <f aca="false">Assumptions!$D$169*MIN(1,(H$4-Assumptions!$D$164+1)/Assumptions!$C$10)*H222</f>
        <v>-0</v>
      </c>
      <c r="I225" s="54" t="n">
        <f aca="false">Assumptions!$D$169*MIN(1,(I$4-Assumptions!$D$164+1)/Assumptions!$C$10)*I222</f>
        <v>-0</v>
      </c>
      <c r="J225" s="54" t="n">
        <f aca="false">Assumptions!$D$169*MIN(1,(J$4-Assumptions!$D$164+1)/Assumptions!$C$10)*J222</f>
        <v>-0</v>
      </c>
      <c r="K225" s="54" t="n">
        <f aca="false">Assumptions!$D$169*MIN(1,(K$4-Assumptions!$D$164+1)/Assumptions!$C$10)*K222</f>
        <v>-0</v>
      </c>
      <c r="L225" s="54" t="n">
        <f aca="false">Assumptions!$D$169*MIN(1,(L$4-Assumptions!$D$164+1)/Assumptions!$C$10)*L222</f>
        <v>-0</v>
      </c>
      <c r="M225" s="54" t="n">
        <f aca="false">Assumptions!$D$169*MIN(1,(M$4-Assumptions!$D$164+1)/Assumptions!$C$10)*M222</f>
        <v>-0</v>
      </c>
      <c r="N225" s="54" t="n">
        <f aca="false">Assumptions!$D$169*MIN(1,(N$4-Assumptions!$D$164+1)/Assumptions!$C$10)*N222</f>
        <v>-0</v>
      </c>
      <c r="O225" s="54" t="n">
        <f aca="false">Assumptions!$D$169*MIN(1,(O$4-Assumptions!$D$164+1)/Assumptions!$C$10)*O222</f>
        <v>-0</v>
      </c>
      <c r="P225" s="54" t="n">
        <f aca="false">Assumptions!$D$169*MIN(1,(P$4-Assumptions!$D$164+1)/Assumptions!$C$10)*P222</f>
        <v>-0</v>
      </c>
      <c r="Q225" s="54" t="n">
        <f aca="false">Assumptions!$D$169*MIN(1,(Q$4-Assumptions!$D$164+1)/Assumptions!$C$10)*Q222</f>
        <v>-0</v>
      </c>
      <c r="R225" s="54" t="n">
        <f aca="false">Assumptions!$D$169*MIN(1,(R$4-Assumptions!$D$164+1)/Assumptions!$C$10)*R222</f>
        <v>-0</v>
      </c>
      <c r="S225" s="54" t="n">
        <f aca="false">Assumptions!$D$169*MIN(1,(S$4-Assumptions!$D$164+1)/Assumptions!$C$10)*S222</f>
        <v>-0</v>
      </c>
      <c r="T225" s="54" t="n">
        <f aca="false">Assumptions!$D$169*MIN(1,(T$4-Assumptions!$D$164+1)/Assumptions!$C$10)*T222</f>
        <v>-0</v>
      </c>
      <c r="U225" s="54" t="n">
        <f aca="false">Assumptions!$D$169*MIN(1,(U$4-Assumptions!$D$164+1)/Assumptions!$C$10)*U222</f>
        <v>-0</v>
      </c>
      <c r="V225" s="54" t="n">
        <f aca="false">Assumptions!$D$169*MIN(1,(V$4-Assumptions!$D$164+1)/Assumptions!$C$10)*V222</f>
        <v>-0</v>
      </c>
      <c r="W225" s="54" t="n">
        <f aca="false">Assumptions!$D$169*MIN(1,(W$4-Assumptions!$D$164+1)/Assumptions!$C$10)*W222</f>
        <v>-0</v>
      </c>
      <c r="X225" s="54" t="n">
        <f aca="false">Assumptions!$D$169*MIN(1,(X$4-Assumptions!$D$164+1)/Assumptions!$C$10)*X222</f>
        <v>-0</v>
      </c>
      <c r="Y225" s="54" t="n">
        <f aca="false">Assumptions!$D$169*MIN(1,(Y$4-Assumptions!$D$164+1)/Assumptions!$C$10)*Y222</f>
        <v>-0</v>
      </c>
      <c r="Z225" s="54" t="n">
        <f aca="false">Assumptions!$D$169*MIN(1,(Z$4-Assumptions!$D$164+1)/Assumptions!$C$10)*Z222</f>
        <v>0</v>
      </c>
      <c r="AA225" s="54" t="n">
        <f aca="false">Assumptions!$D$169*MIN(1,(AA$4-Assumptions!$D$164+1)/Assumptions!$C$10)*AA222</f>
        <v>0.00166666666666667</v>
      </c>
      <c r="AB225" s="54" t="n">
        <f aca="false">Assumptions!$D$169*MIN(1,(AB$4-Assumptions!$D$164+1)/Assumptions!$C$10)*AB222</f>
        <v>0.00333333333333333</v>
      </c>
      <c r="AC225" s="54" t="n">
        <f aca="false">Assumptions!$D$169*MIN(1,(AC$4-Assumptions!$D$164+1)/Assumptions!$C$10)*AC222</f>
        <v>0.005</v>
      </c>
      <c r="AD225" s="54" t="n">
        <f aca="false">Assumptions!$D$169*MIN(1,(AD$4-Assumptions!$D$164+1)/Assumptions!$C$10)*AD222</f>
        <v>0.00666666666666667</v>
      </c>
      <c r="AE225" s="54" t="n">
        <f aca="false">Assumptions!$D$169*MIN(1,(AE$4-Assumptions!$D$164+1)/Assumptions!$C$10)*AE222</f>
        <v>0.00833333333333333</v>
      </c>
      <c r="AF225" s="54" t="n">
        <f aca="false">Assumptions!$D$169*MIN(1,(AF$4-Assumptions!$D$164+1)/Assumptions!$C$10)*AF222</f>
        <v>0.01</v>
      </c>
      <c r="AG225" s="54" t="n">
        <f aca="false">Assumptions!$D$169*MIN(1,(AG$4-Assumptions!$D$164+1)/Assumptions!$C$10)*AG222</f>
        <v>0.01</v>
      </c>
      <c r="AH225" s="54" t="n">
        <f aca="false">Assumptions!$D$169*MIN(1,(AH$4-Assumptions!$D$164+1)/Assumptions!$C$10)*AH222</f>
        <v>0.01</v>
      </c>
      <c r="AI225" s="54" t="n">
        <f aca="false">Assumptions!$D$169*MIN(1,(AI$4-Assumptions!$D$164+1)/Assumptions!$C$10)*AI222</f>
        <v>0.01</v>
      </c>
      <c r="AJ225" s="54" t="n">
        <f aca="false">Assumptions!$D$169*MIN(1,(AJ$4-Assumptions!$D$164+1)/Assumptions!$C$10)*AJ222</f>
        <v>0.01</v>
      </c>
      <c r="AK225" s="54" t="n">
        <f aca="false">Assumptions!$D$169*MIN(1,(AK$4-Assumptions!$D$164+1)/Assumptions!$C$10)*AK222</f>
        <v>0.01</v>
      </c>
      <c r="AL225" s="54" t="n">
        <f aca="false">Assumptions!$D$169*MIN(1,(AL$4-Assumptions!$D$164+1)/Assumptions!$C$10)*AL222</f>
        <v>0.01</v>
      </c>
    </row>
    <row r="226" customFormat="false" ht="15" hidden="false" customHeight="false" outlineLevel="0" collapsed="false">
      <c r="A226" s="7" t="s">
        <v>757</v>
      </c>
      <c r="B226" s="9" t="s">
        <v>751</v>
      </c>
      <c r="C226" s="55" t="n">
        <f aca="false">C224*C225</f>
        <v>-0</v>
      </c>
      <c r="D226" s="55" t="n">
        <f aca="false">D224*D225</f>
        <v>-0</v>
      </c>
      <c r="E226" s="55" t="n">
        <f aca="false">E224*E225</f>
        <v>-0</v>
      </c>
      <c r="F226" s="55" t="n">
        <f aca="false">F224*F225</f>
        <v>-0</v>
      </c>
      <c r="G226" s="55" t="n">
        <f aca="false">G224*G225</f>
        <v>-0</v>
      </c>
      <c r="H226" s="55" t="n">
        <f aca="false">H224*H225</f>
        <v>-0</v>
      </c>
      <c r="I226" s="55" t="n">
        <f aca="false">I224*I225</f>
        <v>-0</v>
      </c>
      <c r="J226" s="55" t="n">
        <f aca="false">J224*J225</f>
        <v>-0</v>
      </c>
      <c r="K226" s="55" t="n">
        <f aca="false">K224*K225</f>
        <v>-0</v>
      </c>
      <c r="L226" s="55" t="n">
        <f aca="false">L224*L225</f>
        <v>-0</v>
      </c>
      <c r="M226" s="55" t="n">
        <f aca="false">M224*M225</f>
        <v>-0</v>
      </c>
      <c r="N226" s="55" t="n">
        <f aca="false">N224*N225</f>
        <v>-0</v>
      </c>
      <c r="O226" s="55" t="n">
        <f aca="false">O224*O225</f>
        <v>-0</v>
      </c>
      <c r="P226" s="55" t="n">
        <f aca="false">P224*P225</f>
        <v>-0</v>
      </c>
      <c r="Q226" s="55" t="n">
        <f aca="false">Q224*Q225</f>
        <v>-0</v>
      </c>
      <c r="R226" s="55" t="n">
        <f aca="false">R224*R225</f>
        <v>-0</v>
      </c>
      <c r="S226" s="55" t="n">
        <f aca="false">S224*S225</f>
        <v>-0</v>
      </c>
      <c r="T226" s="55" t="n">
        <f aca="false">T224*T225</f>
        <v>-0</v>
      </c>
      <c r="U226" s="55" t="n">
        <f aca="false">U224*U225</f>
        <v>-0</v>
      </c>
      <c r="V226" s="55" t="n">
        <f aca="false">V224*V225</f>
        <v>-0</v>
      </c>
      <c r="W226" s="55" t="n">
        <f aca="false">W224*W225</f>
        <v>-0</v>
      </c>
      <c r="X226" s="55" t="n">
        <f aca="false">X224*X225</f>
        <v>-0</v>
      </c>
      <c r="Y226" s="55" t="n">
        <f aca="false">Y224*Y225</f>
        <v>-0</v>
      </c>
      <c r="Z226" s="55" t="n">
        <f aca="false">Z224*Z225</f>
        <v>0</v>
      </c>
      <c r="AA226" s="55" t="n">
        <f aca="false">AA224*AA225</f>
        <v>0.95</v>
      </c>
      <c r="AB226" s="55" t="n">
        <f aca="false">AB224*AB225</f>
        <v>2.73</v>
      </c>
      <c r="AC226" s="55" t="n">
        <f aca="false">AC224*AC225</f>
        <v>4.465125</v>
      </c>
      <c r="AD226" s="55" t="n">
        <f aca="false">AD224*AD225</f>
        <v>5.788125</v>
      </c>
      <c r="AE226" s="55" t="n">
        <f aca="false">AE224*AE225</f>
        <v>5.469778125</v>
      </c>
      <c r="AF226" s="55" t="n">
        <f aca="false">AF224*AF225</f>
        <v>7.657689375</v>
      </c>
      <c r="AG226" s="55" t="n">
        <f aca="false">AG224*AG225</f>
        <v>8.4426025359375</v>
      </c>
      <c r="AH226" s="55" t="n">
        <f aca="false">AH224*AH225</f>
        <v>8.02047240914063</v>
      </c>
      <c r="AI226" s="55" t="n">
        <f aca="false">AI224*AI225</f>
        <v>8.86473266273438</v>
      </c>
      <c r="AJ226" s="55" t="n">
        <f aca="false">AJ224*AJ225</f>
        <v>8.84257083107754</v>
      </c>
      <c r="AK226" s="55" t="n">
        <f aca="false">AK224*AK225</f>
        <v>8.30736259656495</v>
      </c>
      <c r="AL226" s="55" t="n">
        <f aca="false">AL224*AL225</f>
        <v>8.7227307263932</v>
      </c>
      <c r="AM226" s="53" t="n">
        <f aca="false">SUMIF($C$6:$AL$6,1,C226:AL226)</f>
        <v>0</v>
      </c>
      <c r="AN226" s="53" t="n">
        <f aca="false">SUMIF($C$6:$AL$6,2,C226:AL226)</f>
        <v>0</v>
      </c>
      <c r="AO226" s="53" t="n">
        <f aca="false">SUMIF($C$6:$AL$6,3,C226:AL226)</f>
        <v>78.2611892618482</v>
      </c>
      <c r="AP226" s="53" t="n">
        <f aca="false">SUM(C226:AL226)</f>
        <v>78.2611892618482</v>
      </c>
    </row>
    <row r="227" customFormat="false" ht="15" hidden="false" customHeight="false" outlineLevel="0" collapsed="false">
      <c r="A227" s="7" t="s">
        <v>752</v>
      </c>
      <c r="B227" s="9" t="s">
        <v>331</v>
      </c>
      <c r="C227" s="56" t="n">
        <f aca="false">C226*Assumptions!$D$170</f>
        <v>-0</v>
      </c>
      <c r="D227" s="56" t="n">
        <f aca="false">D226*Assumptions!$D$170</f>
        <v>-0</v>
      </c>
      <c r="E227" s="56" t="n">
        <f aca="false">E226*Assumptions!$D$170</f>
        <v>-0</v>
      </c>
      <c r="F227" s="56" t="n">
        <f aca="false">F226*Assumptions!$D$170</f>
        <v>-0</v>
      </c>
      <c r="G227" s="56" t="n">
        <f aca="false">G226*Assumptions!$D$170</f>
        <v>-0</v>
      </c>
      <c r="H227" s="56" t="n">
        <f aca="false">H226*Assumptions!$D$170</f>
        <v>-0</v>
      </c>
      <c r="I227" s="56" t="n">
        <f aca="false">I226*Assumptions!$D$170</f>
        <v>-0</v>
      </c>
      <c r="J227" s="56" t="n">
        <f aca="false">J226*Assumptions!$D$170</f>
        <v>-0</v>
      </c>
      <c r="K227" s="56" t="n">
        <f aca="false">K226*Assumptions!$D$170</f>
        <v>-0</v>
      </c>
      <c r="L227" s="56" t="n">
        <f aca="false">L226*Assumptions!$D$170</f>
        <v>-0</v>
      </c>
      <c r="M227" s="56" t="n">
        <f aca="false">M226*Assumptions!$D$170</f>
        <v>-0</v>
      </c>
      <c r="N227" s="56" t="n">
        <f aca="false">N226*Assumptions!$D$170</f>
        <v>-0</v>
      </c>
      <c r="O227" s="56" t="n">
        <f aca="false">O226*Assumptions!$D$170</f>
        <v>-0</v>
      </c>
      <c r="P227" s="56" t="n">
        <f aca="false">P226*Assumptions!$D$170</f>
        <v>-0</v>
      </c>
      <c r="Q227" s="56" t="n">
        <f aca="false">Q226*Assumptions!$D$170</f>
        <v>-0</v>
      </c>
      <c r="R227" s="56" t="n">
        <f aca="false">R226*Assumptions!$D$170</f>
        <v>-0</v>
      </c>
      <c r="S227" s="56" t="n">
        <f aca="false">S226*Assumptions!$D$170</f>
        <v>-0</v>
      </c>
      <c r="T227" s="56" t="n">
        <f aca="false">T226*Assumptions!$D$170</f>
        <v>-0</v>
      </c>
      <c r="U227" s="56" t="n">
        <f aca="false">U226*Assumptions!$D$170</f>
        <v>-0</v>
      </c>
      <c r="V227" s="56" t="n">
        <f aca="false">V226*Assumptions!$D$170</f>
        <v>-0</v>
      </c>
      <c r="W227" s="56" t="n">
        <f aca="false">W226*Assumptions!$D$170</f>
        <v>-0</v>
      </c>
      <c r="X227" s="56" t="n">
        <f aca="false">X226*Assumptions!$D$170</f>
        <v>-0</v>
      </c>
      <c r="Y227" s="56" t="n">
        <f aca="false">Y226*Assumptions!$D$170</f>
        <v>-0</v>
      </c>
      <c r="Z227" s="56" t="n">
        <f aca="false">Z226*Assumptions!$D$170</f>
        <v>0</v>
      </c>
      <c r="AA227" s="56" t="n">
        <f aca="false">AA226*Assumptions!$D$170</f>
        <v>3.8</v>
      </c>
      <c r="AB227" s="56" t="n">
        <f aca="false">AB226*Assumptions!$D$170</f>
        <v>10.92</v>
      </c>
      <c r="AC227" s="56" t="n">
        <f aca="false">AC226*Assumptions!$D$170</f>
        <v>17.8605</v>
      </c>
      <c r="AD227" s="56" t="n">
        <f aca="false">AD226*Assumptions!$D$170</f>
        <v>23.1525</v>
      </c>
      <c r="AE227" s="56" t="n">
        <f aca="false">AE226*Assumptions!$D$170</f>
        <v>21.8791125</v>
      </c>
      <c r="AF227" s="56" t="n">
        <f aca="false">AF226*Assumptions!$D$170</f>
        <v>30.6307575</v>
      </c>
      <c r="AG227" s="56" t="n">
        <f aca="false">AG226*Assumptions!$D$170</f>
        <v>33.77041014375</v>
      </c>
      <c r="AH227" s="56" t="n">
        <f aca="false">AH226*Assumptions!$D$170</f>
        <v>32.0818896365625</v>
      </c>
      <c r="AI227" s="56" t="n">
        <f aca="false">AI226*Assumptions!$D$170</f>
        <v>35.4589306509375</v>
      </c>
      <c r="AJ227" s="56" t="n">
        <f aca="false">AJ226*Assumptions!$D$170</f>
        <v>35.3702833243102</v>
      </c>
      <c r="AK227" s="56" t="n">
        <f aca="false">AK226*Assumptions!$D$170</f>
        <v>33.2294503862598</v>
      </c>
      <c r="AL227" s="56" t="n">
        <f aca="false">AL226*Assumptions!$D$170</f>
        <v>34.8909229055728</v>
      </c>
      <c r="AM227" s="53" t="n">
        <f aca="false">SUMIF($C$6:$AL$6,1,C227:AL227)</f>
        <v>0</v>
      </c>
      <c r="AN227" s="53" t="n">
        <f aca="false">SUMIF($C$6:$AL$6,2,C227:AL227)</f>
        <v>0</v>
      </c>
      <c r="AO227" s="53" t="n">
        <f aca="false">SUMIF($C$6:$AL$6,3,C227:AL227)</f>
        <v>313.044757047393</v>
      </c>
      <c r="AP227" s="53" t="n">
        <f aca="false">SUM(C227:AL227)</f>
        <v>313.044757047393</v>
      </c>
    </row>
    <row r="228" customFormat="false" ht="15" hidden="false" customHeight="false" outlineLevel="0" collapsed="false">
      <c r="A228" s="7" t="s">
        <v>753</v>
      </c>
      <c r="B228" s="9" t="s">
        <v>93</v>
      </c>
      <c r="C228" s="15" t="n">
        <f aca="false">'Unit Economics'!$E$58*Assumptions!$D$170*C222</f>
        <v>0</v>
      </c>
      <c r="D228" s="15" t="n">
        <f aca="false">'Unit Economics'!$E$58*Assumptions!$D$170*D222</f>
        <v>0</v>
      </c>
      <c r="E228" s="15" t="n">
        <f aca="false">'Unit Economics'!$E$58*Assumptions!$D$170*E222</f>
        <v>0</v>
      </c>
      <c r="F228" s="15" t="n">
        <f aca="false">'Unit Economics'!$E$58*Assumptions!$D$170*F222</f>
        <v>0</v>
      </c>
      <c r="G228" s="15" t="n">
        <f aca="false">'Unit Economics'!$E$58*Assumptions!$D$170*G222</f>
        <v>0</v>
      </c>
      <c r="H228" s="15" t="n">
        <f aca="false">'Unit Economics'!$E$58*Assumptions!$D$170*H222</f>
        <v>0</v>
      </c>
      <c r="I228" s="15" t="n">
        <f aca="false">'Unit Economics'!$E$58*Assumptions!$D$170*I222</f>
        <v>0</v>
      </c>
      <c r="J228" s="15" t="n">
        <f aca="false">'Unit Economics'!$E$58*Assumptions!$D$170*J222</f>
        <v>0</v>
      </c>
      <c r="K228" s="15" t="n">
        <f aca="false">'Unit Economics'!$E$58*Assumptions!$D$170*K222</f>
        <v>0</v>
      </c>
      <c r="L228" s="15" t="n">
        <f aca="false">'Unit Economics'!$E$58*Assumptions!$D$170*L222</f>
        <v>0</v>
      </c>
      <c r="M228" s="15" t="n">
        <f aca="false">'Unit Economics'!$E$58*Assumptions!$D$170*M222</f>
        <v>0</v>
      </c>
      <c r="N228" s="15" t="n">
        <f aca="false">'Unit Economics'!$E$58*Assumptions!$D$170*N222</f>
        <v>0</v>
      </c>
      <c r="O228" s="15" t="n">
        <f aca="false">'Unit Economics'!$E$58*Assumptions!$D$170*O222</f>
        <v>0</v>
      </c>
      <c r="P228" s="15" t="n">
        <f aca="false">'Unit Economics'!$E$58*Assumptions!$D$170*P222</f>
        <v>0</v>
      </c>
      <c r="Q228" s="15" t="n">
        <f aca="false">'Unit Economics'!$E$58*Assumptions!$D$170*Q222</f>
        <v>0</v>
      </c>
      <c r="R228" s="15" t="n">
        <f aca="false">'Unit Economics'!$E$58*Assumptions!$D$170*R222</f>
        <v>0</v>
      </c>
      <c r="S228" s="15" t="n">
        <f aca="false">'Unit Economics'!$E$58*Assumptions!$D$170*S222</f>
        <v>0</v>
      </c>
      <c r="T228" s="15" t="n">
        <f aca="false">'Unit Economics'!$E$58*Assumptions!$D$170*T222</f>
        <v>0</v>
      </c>
      <c r="U228" s="15" t="n">
        <f aca="false">'Unit Economics'!$E$58*Assumptions!$D$170*U222</f>
        <v>0</v>
      </c>
      <c r="V228" s="15" t="n">
        <f aca="false">'Unit Economics'!$E$58*Assumptions!$D$170*V222</f>
        <v>0</v>
      </c>
      <c r="W228" s="15" t="n">
        <f aca="false">'Unit Economics'!$E$58*Assumptions!$D$170*W222</f>
        <v>0</v>
      </c>
      <c r="X228" s="15" t="n">
        <f aca="false">'Unit Economics'!$E$58*Assumptions!$D$170*X222</f>
        <v>0</v>
      </c>
      <c r="Y228" s="15" t="n">
        <f aca="false">'Unit Economics'!$E$58*Assumptions!$D$170*Y222</f>
        <v>0</v>
      </c>
      <c r="Z228" s="15" t="n">
        <f aca="false">'Unit Economics'!$E$58*Assumptions!$D$170*Z222</f>
        <v>0</v>
      </c>
      <c r="AA228" s="15" t="n">
        <f aca="false">'Unit Economics'!$E$58*Assumptions!$D$170*AA222</f>
        <v>38.97</v>
      </c>
      <c r="AB228" s="15" t="n">
        <f aca="false">'Unit Economics'!$E$58*Assumptions!$D$170*AB222</f>
        <v>38.97</v>
      </c>
      <c r="AC228" s="15" t="n">
        <f aca="false">'Unit Economics'!$E$58*Assumptions!$D$170*AC222</f>
        <v>38.97</v>
      </c>
      <c r="AD228" s="15" t="n">
        <f aca="false">'Unit Economics'!$E$58*Assumptions!$D$170*AD222</f>
        <v>38.97</v>
      </c>
      <c r="AE228" s="15" t="n">
        <f aca="false">'Unit Economics'!$E$58*Assumptions!$D$170*AE222</f>
        <v>38.97</v>
      </c>
      <c r="AF228" s="15" t="n">
        <f aca="false">'Unit Economics'!$E$58*Assumptions!$D$170*AF222</f>
        <v>38.97</v>
      </c>
      <c r="AG228" s="15" t="n">
        <f aca="false">'Unit Economics'!$E$58*Assumptions!$D$170*AG222</f>
        <v>38.97</v>
      </c>
      <c r="AH228" s="15" t="n">
        <f aca="false">'Unit Economics'!$E$58*Assumptions!$D$170*AH222</f>
        <v>38.97</v>
      </c>
      <c r="AI228" s="15" t="n">
        <f aca="false">'Unit Economics'!$E$58*Assumptions!$D$170*AI222</f>
        <v>38.97</v>
      </c>
      <c r="AJ228" s="15" t="n">
        <f aca="false">'Unit Economics'!$E$58*Assumptions!$D$170*AJ222</f>
        <v>38.97</v>
      </c>
      <c r="AK228" s="15" t="n">
        <f aca="false">'Unit Economics'!$E$58*Assumptions!$D$170*AK222</f>
        <v>38.97</v>
      </c>
      <c r="AL228" s="15" t="n">
        <f aca="false">'Unit Economics'!$E$58*Assumptions!$D$170*AL222</f>
        <v>38.97</v>
      </c>
    </row>
    <row r="229" customFormat="false" ht="15" hidden="false" customHeight="false" outlineLevel="0" collapsed="false">
      <c r="A229" s="7" t="s">
        <v>754</v>
      </c>
      <c r="B229" s="9" t="s">
        <v>93</v>
      </c>
      <c r="C229" s="8" t="n">
        <f aca="false">C227*'Unit Economics'!$E$58</f>
        <v>-0</v>
      </c>
      <c r="D229" s="8" t="n">
        <f aca="false">D227*'Unit Economics'!$E$58</f>
        <v>-0</v>
      </c>
      <c r="E229" s="8" t="n">
        <f aca="false">E227*'Unit Economics'!$E$58</f>
        <v>-0</v>
      </c>
      <c r="F229" s="8" t="n">
        <f aca="false">F227*'Unit Economics'!$E$58</f>
        <v>-0</v>
      </c>
      <c r="G229" s="8" t="n">
        <f aca="false">G227*'Unit Economics'!$E$58</f>
        <v>-0</v>
      </c>
      <c r="H229" s="8" t="n">
        <f aca="false">H227*'Unit Economics'!$E$58</f>
        <v>-0</v>
      </c>
      <c r="I229" s="8" t="n">
        <f aca="false">I227*'Unit Economics'!$E$58</f>
        <v>-0</v>
      </c>
      <c r="J229" s="8" t="n">
        <f aca="false">J227*'Unit Economics'!$E$58</f>
        <v>-0</v>
      </c>
      <c r="K229" s="8" t="n">
        <f aca="false">K227*'Unit Economics'!$E$58</f>
        <v>-0</v>
      </c>
      <c r="L229" s="8" t="n">
        <f aca="false">L227*'Unit Economics'!$E$58</f>
        <v>-0</v>
      </c>
      <c r="M229" s="8" t="n">
        <f aca="false">M227*'Unit Economics'!$E$58</f>
        <v>-0</v>
      </c>
      <c r="N229" s="8" t="n">
        <f aca="false">N227*'Unit Economics'!$E$58</f>
        <v>-0</v>
      </c>
      <c r="O229" s="8" t="n">
        <f aca="false">O227*'Unit Economics'!$E$58</f>
        <v>-0</v>
      </c>
      <c r="P229" s="8" t="n">
        <f aca="false">P227*'Unit Economics'!$E$58</f>
        <v>-0</v>
      </c>
      <c r="Q229" s="8" t="n">
        <f aca="false">Q227*'Unit Economics'!$E$58</f>
        <v>-0</v>
      </c>
      <c r="R229" s="8" t="n">
        <f aca="false">R227*'Unit Economics'!$E$58</f>
        <v>-0</v>
      </c>
      <c r="S229" s="8" t="n">
        <f aca="false">S227*'Unit Economics'!$E$58</f>
        <v>-0</v>
      </c>
      <c r="T229" s="8" t="n">
        <f aca="false">T227*'Unit Economics'!$E$58</f>
        <v>-0</v>
      </c>
      <c r="U229" s="8" t="n">
        <f aca="false">U227*'Unit Economics'!$E$58</f>
        <v>-0</v>
      </c>
      <c r="V229" s="8" t="n">
        <f aca="false">V227*'Unit Economics'!$E$58</f>
        <v>-0</v>
      </c>
      <c r="W229" s="8" t="n">
        <f aca="false">W227*'Unit Economics'!$E$58</f>
        <v>-0</v>
      </c>
      <c r="X229" s="8" t="n">
        <f aca="false">X227*'Unit Economics'!$E$58</f>
        <v>-0</v>
      </c>
      <c r="Y229" s="8" t="n">
        <f aca="false">Y227*'Unit Economics'!$E$58</f>
        <v>-0</v>
      </c>
      <c r="Z229" s="8" t="n">
        <f aca="false">Z227*'Unit Economics'!$E$58</f>
        <v>0</v>
      </c>
      <c r="AA229" s="8" t="n">
        <f aca="false">AA227*'Unit Economics'!$E$58</f>
        <v>37.0215</v>
      </c>
      <c r="AB229" s="8" t="n">
        <f aca="false">AB227*'Unit Economics'!$E$58</f>
        <v>106.3881</v>
      </c>
      <c r="AC229" s="8" t="n">
        <f aca="false">AC227*'Unit Economics'!$E$58</f>
        <v>174.00592125</v>
      </c>
      <c r="AD229" s="8" t="n">
        <f aca="false">AD227*'Unit Economics'!$E$58</f>
        <v>225.56323125</v>
      </c>
      <c r="AE229" s="8" t="n">
        <f aca="false">AE227*'Unit Economics'!$E$58</f>
        <v>213.15725353125</v>
      </c>
      <c r="AF229" s="8" t="n">
        <f aca="false">AF227*'Unit Economics'!$E$58</f>
        <v>298.42015494375</v>
      </c>
      <c r="AG229" s="8" t="n">
        <f aca="false">AG227*'Unit Economics'!$E$58</f>
        <v>329.008220825485</v>
      </c>
      <c r="AH229" s="8" t="n">
        <f aca="false">AH227*'Unit Economics'!$E$58</f>
        <v>312.55780978421</v>
      </c>
      <c r="AI229" s="8" t="n">
        <f aca="false">AI227*'Unit Economics'!$E$58</f>
        <v>345.458631866759</v>
      </c>
      <c r="AJ229" s="8" t="n">
        <f aca="false">AJ227*'Unit Economics'!$E$58</f>
        <v>344.594985287092</v>
      </c>
      <c r="AK229" s="8" t="n">
        <f aca="false">AK227*'Unit Economics'!$E$58</f>
        <v>323.737920388136</v>
      </c>
      <c r="AL229" s="8" t="n">
        <f aca="false">AL227*'Unit Economics'!$E$58</f>
        <v>339.924816407543</v>
      </c>
      <c r="AM229" s="45" t="n">
        <f aca="false">SUMIF($C$6:$AL$6,1,C229:AL229)</f>
        <v>0</v>
      </c>
      <c r="AN229" s="45" t="n">
        <f aca="false">SUMIF($C$6:$AL$6,2,C229:AL229)</f>
        <v>0</v>
      </c>
      <c r="AO229" s="45" t="n">
        <f aca="false">SUMIF($C$6:$AL$6,3,C229:AL229)</f>
        <v>3049.83854553422</v>
      </c>
      <c r="AP229" s="45" t="n">
        <f aca="false">SUM(C229:AL229)</f>
        <v>3049.83854553422</v>
      </c>
    </row>
    <row r="230" customFormat="false" ht="15" hidden="false" customHeight="false" outlineLevel="0" collapsed="false">
      <c r="A230" s="7" t="s">
        <v>755</v>
      </c>
      <c r="B230" s="9" t="s">
        <v>93</v>
      </c>
      <c r="C230" s="8" t="n">
        <f aca="false">C227*'Unit Economics'!$F$58</f>
        <v>-0</v>
      </c>
      <c r="D230" s="8" t="n">
        <f aca="false">D227*'Unit Economics'!$F$58</f>
        <v>-0</v>
      </c>
      <c r="E230" s="8" t="n">
        <f aca="false">E227*'Unit Economics'!$F$58</f>
        <v>-0</v>
      </c>
      <c r="F230" s="8" t="n">
        <f aca="false">F227*'Unit Economics'!$F$58</f>
        <v>-0</v>
      </c>
      <c r="G230" s="8" t="n">
        <f aca="false">G227*'Unit Economics'!$F$58</f>
        <v>-0</v>
      </c>
      <c r="H230" s="8" t="n">
        <f aca="false">H227*'Unit Economics'!$F$58</f>
        <v>-0</v>
      </c>
      <c r="I230" s="8" t="n">
        <f aca="false">I227*'Unit Economics'!$F$58</f>
        <v>-0</v>
      </c>
      <c r="J230" s="8" t="n">
        <f aca="false">J227*'Unit Economics'!$F$58</f>
        <v>-0</v>
      </c>
      <c r="K230" s="8" t="n">
        <f aca="false">K227*'Unit Economics'!$F$58</f>
        <v>-0</v>
      </c>
      <c r="L230" s="8" t="n">
        <f aca="false">L227*'Unit Economics'!$F$58</f>
        <v>-0</v>
      </c>
      <c r="M230" s="8" t="n">
        <f aca="false">M227*'Unit Economics'!$F$58</f>
        <v>-0</v>
      </c>
      <c r="N230" s="8" t="n">
        <f aca="false">N227*'Unit Economics'!$F$58</f>
        <v>-0</v>
      </c>
      <c r="O230" s="8" t="n">
        <f aca="false">O227*'Unit Economics'!$F$58</f>
        <v>-0</v>
      </c>
      <c r="P230" s="8" t="n">
        <f aca="false">P227*'Unit Economics'!$F$58</f>
        <v>-0</v>
      </c>
      <c r="Q230" s="8" t="n">
        <f aca="false">Q227*'Unit Economics'!$F$58</f>
        <v>-0</v>
      </c>
      <c r="R230" s="8" t="n">
        <f aca="false">R227*'Unit Economics'!$F$58</f>
        <v>-0</v>
      </c>
      <c r="S230" s="8" t="n">
        <f aca="false">S227*'Unit Economics'!$F$58</f>
        <v>-0</v>
      </c>
      <c r="T230" s="8" t="n">
        <f aca="false">T227*'Unit Economics'!$F$58</f>
        <v>-0</v>
      </c>
      <c r="U230" s="8" t="n">
        <f aca="false">U227*'Unit Economics'!$F$58</f>
        <v>-0</v>
      </c>
      <c r="V230" s="8" t="n">
        <f aca="false">V227*'Unit Economics'!$F$58</f>
        <v>-0</v>
      </c>
      <c r="W230" s="8" t="n">
        <f aca="false">W227*'Unit Economics'!$F$58</f>
        <v>-0</v>
      </c>
      <c r="X230" s="8" t="n">
        <f aca="false">X227*'Unit Economics'!$F$58</f>
        <v>-0</v>
      </c>
      <c r="Y230" s="8" t="n">
        <f aca="false">Y227*'Unit Economics'!$F$58</f>
        <v>-0</v>
      </c>
      <c r="Z230" s="8" t="n">
        <f aca="false">Z227*'Unit Economics'!$F$58</f>
        <v>0</v>
      </c>
      <c r="AA230" s="8" t="n">
        <f aca="false">AA227*'Unit Economics'!$F$58</f>
        <v>6.921985</v>
      </c>
      <c r="AB230" s="8" t="n">
        <f aca="false">AB227*'Unit Economics'!$F$58</f>
        <v>19.891599</v>
      </c>
      <c r="AC230" s="8" t="n">
        <f aca="false">AC227*'Unit Economics'!$F$58</f>
        <v>32.5342402875</v>
      </c>
      <c r="AD230" s="8" t="n">
        <f aca="false">AD227*'Unit Economics'!$F$58</f>
        <v>42.1740151875</v>
      </c>
      <c r="AE230" s="8" t="n">
        <f aca="false">AE227*'Unit Economics'!$F$58</f>
        <v>39.8544443521875</v>
      </c>
      <c r="AF230" s="8" t="n">
        <f aca="false">AF227*'Unit Economics'!$F$58</f>
        <v>55.7962220930625</v>
      </c>
      <c r="AG230" s="8" t="n">
        <f aca="false">AG227*'Unit Economics'!$F$58</f>
        <v>61.5153348576014</v>
      </c>
      <c r="AH230" s="8" t="n">
        <f aca="false">AH227*'Unit Economics'!$F$58</f>
        <v>58.4395681147213</v>
      </c>
      <c r="AI230" s="8" t="n">
        <f aca="false">AI227*'Unit Economics'!$F$58</f>
        <v>64.5911016004815</v>
      </c>
      <c r="AJ230" s="8" t="n">
        <f aca="false">AJ227*'Unit Economics'!$F$58</f>
        <v>64.4296238464803</v>
      </c>
      <c r="AK230" s="8" t="n">
        <f aca="false">AK227*'Unit Economics'!$F$58</f>
        <v>60.5299360873512</v>
      </c>
      <c r="AL230" s="8" t="n">
        <f aca="false">AL227*'Unit Economics'!$F$58</f>
        <v>63.5564328917188</v>
      </c>
      <c r="AM230" s="45" t="n">
        <f aca="false">SUMIF($C$6:$AL$6,1,C230:AL230)</f>
        <v>0</v>
      </c>
      <c r="AN230" s="45" t="n">
        <f aca="false">SUMIF($C$6:$AL$6,2,C230:AL230)</f>
        <v>0</v>
      </c>
      <c r="AO230" s="45" t="n">
        <f aca="false">SUMIF($C$6:$AL$6,3,C230:AL230)</f>
        <v>570.234503318604</v>
      </c>
      <c r="AP230" s="45" t="n">
        <f aca="false">SUM(C230:AL230)</f>
        <v>570.234503318604</v>
      </c>
    </row>
    <row r="231" customFormat="false" ht="15" hidden="false" customHeight="false" outlineLevel="0" collapsed="false">
      <c r="A231" s="5" t="s">
        <v>767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</row>
    <row r="232" customFormat="false" ht="15" hidden="false" customHeight="false" outlineLevel="0" collapsed="false">
      <c r="A232" s="7" t="s">
        <v>768</v>
      </c>
      <c r="B232" s="9" t="s">
        <v>762</v>
      </c>
      <c r="C232" s="14" t="n">
        <f aca="false">C144*Assumptions!$D$173+(C146+C156+C166+C176+C186+C206)*Assumptions!$D$174</f>
        <v>17.69375</v>
      </c>
      <c r="D232" s="14" t="n">
        <f aca="false">D144*Assumptions!$D$173+(D146+D156+D166+D176+D186+D206)*Assumptions!$D$174</f>
        <v>29.003</v>
      </c>
      <c r="E232" s="14" t="n">
        <f aca="false">E144*Assumptions!$D$173+(E146+E156+E166+E176+E186+E206)*Assumptions!$D$174</f>
        <v>36.08712</v>
      </c>
      <c r="F232" s="14" t="n">
        <f aca="false">F144*Assumptions!$D$173+(F146+F156+F166+F176+F186+F206)*Assumptions!$D$174</f>
        <v>39.54901796</v>
      </c>
      <c r="G232" s="14" t="n">
        <f aca="false">G144*Assumptions!$D$173+(G146+G156+G166+G176+G186+G206)*Assumptions!$D$174</f>
        <v>33.917371216128</v>
      </c>
      <c r="H232" s="14" t="n">
        <f aca="false">H144*Assumptions!$D$173+(H146+H156+H166+H176+H186+H206)*Assumptions!$D$174</f>
        <v>44.6479168569216</v>
      </c>
      <c r="I232" s="14" t="n">
        <f aca="false">I144*Assumptions!$D$173+(I146+I156+I166+I176+I186+I206)*Assumptions!$D$174</f>
        <v>54.0835254376398</v>
      </c>
      <c r="J232" s="14" t="n">
        <f aca="false">J144*Assumptions!$D$173+(J146+J156+J166+J176+J186+J206)*Assumptions!$D$174</f>
        <v>55.0553963640429</v>
      </c>
      <c r="K232" s="14" t="n">
        <f aca="false">K144*Assumptions!$D$173+(K146+K156+K166+K176+K186+K206)*Assumptions!$D$174</f>
        <v>64.9479633739226</v>
      </c>
      <c r="L232" s="14" t="n">
        <f aca="false">L144*Assumptions!$D$173+(L146+L156+L166+L176+L186+L206)*Assumptions!$D$174</f>
        <v>69.0361555058049</v>
      </c>
      <c r="M232" s="14" t="n">
        <f aca="false">M144*Assumptions!$D$173+(M146+M156+M166+M176+M186+M206)*Assumptions!$D$174</f>
        <v>68.8717129151865</v>
      </c>
      <c r="N232" s="14" t="n">
        <f aca="false">N144*Assumptions!$D$173+(N146+N156+N166+N176+N186+N206)*Assumptions!$D$174</f>
        <v>76.8013903059608</v>
      </c>
      <c r="O232" s="14" t="n">
        <f aca="false">O144*Assumptions!$D$173+(O146+O156+O166+O176+O186+O206)*Assumptions!$D$174</f>
        <v>90.6105077160847</v>
      </c>
      <c r="P232" s="14" t="n">
        <f aca="false">P144*Assumptions!$D$173+(P146+P156+P166+P176+P186+P206)*Assumptions!$D$174</f>
        <v>130.896541883616</v>
      </c>
      <c r="Q232" s="14" t="n">
        <f aca="false">Q144*Assumptions!$D$173+(Q146+Q156+Q166+Q176+Q186+Q206)*Assumptions!$D$174</f>
        <v>143.507041837146</v>
      </c>
      <c r="R232" s="14" t="n">
        <f aca="false">R144*Assumptions!$D$173+(R146+R156+R166+R176+R186+R206)*Assumptions!$D$174</f>
        <v>140.290590236129</v>
      </c>
      <c r="S232" s="14" t="n">
        <f aca="false">S144*Assumptions!$D$173+(S146+S156+S166+S176+S186+S206)*Assumptions!$D$174</f>
        <v>106.650842633701</v>
      </c>
      <c r="T232" s="14" t="n">
        <f aca="false">T144*Assumptions!$D$173+(T146+T156+T166+T176+T186+T206)*Assumptions!$D$174</f>
        <v>125.126387447765</v>
      </c>
      <c r="U232" s="14" t="n">
        <f aca="false">U144*Assumptions!$D$173+(U146+U156+U166+U176+U186+U206)*Assumptions!$D$174</f>
        <v>138.735917055864</v>
      </c>
      <c r="V232" s="14" t="n">
        <f aca="false">V144*Assumptions!$D$173+(V146+V156+V166+V176+V186+V206)*Assumptions!$D$174</f>
        <v>132.555333961577</v>
      </c>
      <c r="W232" s="14" t="n">
        <f aca="false">W144*Assumptions!$D$173+(W146+W156+W166+W176+W186+W206)*Assumptions!$D$174</f>
        <v>147.356940353978</v>
      </c>
      <c r="X232" s="14" t="n">
        <f aca="false">X144*Assumptions!$D$173+(X146+X156+X166+X176+X186+X206)*Assumptions!$D$174</f>
        <v>147.847473019673</v>
      </c>
      <c r="Y232" s="14" t="n">
        <f aca="false">Y144*Assumptions!$D$173+(Y146+Y156+Y166+Y176+Y186+Y206)*Assumptions!$D$174</f>
        <v>139.717678015464</v>
      </c>
      <c r="Z232" s="14" t="n">
        <f aca="false">Z144*Assumptions!$D$173+(Z146+Z156+Z166+Z176+Z186+Z206)*Assumptions!$D$174</f>
        <v>147.575966783566</v>
      </c>
      <c r="AA232" s="14" t="n">
        <f aca="false">AA144*Assumptions!$D$173+(AA146+AA156+AA166+AA176+AA186+AA206)*Assumptions!$D$174</f>
        <v>169.519699247724</v>
      </c>
      <c r="AB232" s="14" t="n">
        <f aca="false">AB144*Assumptions!$D$173+(AB146+AB156+AB166+AB176+AB186+AB206)*Assumptions!$D$174</f>
        <v>238.422303409203</v>
      </c>
      <c r="AC232" s="14" t="n">
        <f aca="false">AC144*Assumptions!$D$173+(AC146+AC156+AC166+AC176+AC186+AC206)*Assumptions!$D$174</f>
        <v>254.478630298518</v>
      </c>
      <c r="AD232" s="14" t="n">
        <f aca="false">AD144*Assumptions!$D$173+(AD146+AD156+AD166+AD176+AD186+AD206)*Assumptions!$D$174</f>
        <v>242.18576395815</v>
      </c>
      <c r="AE232" s="14" t="n">
        <f aca="false">AE144*Assumptions!$D$173+(AE146+AE156+AE166+AE176+AE186+AE206)*Assumptions!$D$174</f>
        <v>179.229354941148</v>
      </c>
      <c r="AF232" s="14" t="n">
        <f aca="false">AF144*Assumptions!$D$173+(AF146+AF156+AF166+AF176+AF186+AF206)*Assumptions!$D$174</f>
        <v>204.692350918846</v>
      </c>
      <c r="AG232" s="14" t="n">
        <f aca="false">AG144*Assumptions!$D$173+(AG146+AG156+AG166+AG176+AG186+AG206)*Assumptions!$D$174</f>
        <v>220.918865001452</v>
      </c>
      <c r="AH232" s="14" t="n">
        <f aca="false">AH144*Assumptions!$D$173+(AH146+AH156+AH166+AH176+AH186+AH206)*Assumptions!$D$174</f>
        <v>205.454600166358</v>
      </c>
      <c r="AI232" s="14" t="n">
        <f aca="false">AI144*Assumptions!$D$173+(AI146+AI156+AI166+AI176+AI186+AI206)*Assumptions!$D$174</f>
        <v>222.304296006101</v>
      </c>
      <c r="AJ232" s="14" t="n">
        <f aca="false">AJ144*Assumptions!$D$173+(AJ146+AJ156+AJ166+AJ176+AJ186+AJ206)*Assumptions!$D$174</f>
        <v>217.087013537107</v>
      </c>
      <c r="AK232" s="14" t="n">
        <f aca="false">AK144*Assumptions!$D$173+(AK146+AK156+AK166+AK176+AK186+AK206)*Assumptions!$D$174</f>
        <v>199.663325979811</v>
      </c>
      <c r="AL232" s="14" t="n">
        <f aca="false">AL144*Assumptions!$D$173+(AL146+AL156+AL166+AL176+AL186+AL206)*Assumptions!$D$174</f>
        <v>205.245740407274</v>
      </c>
      <c r="AM232" s="53" t="n">
        <f aca="false">SUMIF($C$6:$AL$6,1,C232:AL232)</f>
        <v>589.694319935607</v>
      </c>
      <c r="AN232" s="53" t="n">
        <f aca="false">SUMIF($C$6:$AL$6,2,C232:AL232)</f>
        <v>1590.87122094456</v>
      </c>
      <c r="AO232" s="53" t="n">
        <f aca="false">SUMIF($C$6:$AL$6,3,C232:AL232)</f>
        <v>2559.20194387169</v>
      </c>
      <c r="AP232" s="53" t="n">
        <f aca="false">SUM(C232:AL232)</f>
        <v>4739.76748475186</v>
      </c>
    </row>
    <row r="233" customFormat="false" ht="15" hidden="false" customHeight="false" outlineLevel="0" collapsed="false">
      <c r="A233" s="7" t="s">
        <v>769</v>
      </c>
      <c r="B233" s="9" t="s">
        <v>762</v>
      </c>
      <c r="C233" s="52" t="n">
        <f aca="false">0</f>
        <v>0</v>
      </c>
      <c r="D233" s="14" t="n">
        <f aca="false">C234*Assumptions!$D$175</f>
        <v>0.26540625</v>
      </c>
      <c r="E233" s="14" t="n">
        <f aca="false">D234*Assumptions!$D$175</f>
        <v>0.69647015625</v>
      </c>
      <c r="F233" s="14" t="n">
        <f aca="false">E234*Assumptions!$D$175</f>
        <v>1.22732990390625</v>
      </c>
      <c r="G233" s="14" t="n">
        <f aca="false">F234*Assumptions!$D$175</f>
        <v>1.80215522474766</v>
      </c>
      <c r="H233" s="14" t="n">
        <f aca="false">G234*Assumptions!$D$175</f>
        <v>2.28388346461836</v>
      </c>
      <c r="I233" s="14" t="n">
        <f aca="false">H234*Assumptions!$D$175</f>
        <v>2.91934396550291</v>
      </c>
      <c r="J233" s="14" t="n">
        <f aca="false">I234*Assumptions!$D$175</f>
        <v>3.68680668758496</v>
      </c>
      <c r="K233" s="14" t="n">
        <f aca="false">J234*Assumptions!$D$175</f>
        <v>4.45733553273183</v>
      </c>
      <c r="L233" s="14" t="n">
        <f aca="false">K234*Assumptions!$D$175</f>
        <v>5.3646949503497</v>
      </c>
      <c r="M233" s="14" t="n">
        <f aca="false">L234*Assumptions!$D$175</f>
        <v>6.31976685868152</v>
      </c>
      <c r="N233" s="14" t="n">
        <f aca="false">M234*Assumptions!$D$175</f>
        <v>7.2580460495291</v>
      </c>
      <c r="O233" s="14" t="n">
        <f aca="false">N234*Assumptions!$D$175</f>
        <v>8.30119621337558</v>
      </c>
      <c r="P233" s="14" t="n">
        <f aca="false">O234*Assumptions!$D$175</f>
        <v>9.53583588591621</v>
      </c>
      <c r="Q233" s="14" t="n">
        <f aca="false">P234*Assumptions!$D$175</f>
        <v>11.3562464758817</v>
      </c>
      <c r="R233" s="14" t="n">
        <f aca="false">Q234*Assumptions!$D$175</f>
        <v>13.3385084063007</v>
      </c>
      <c r="S233" s="14" t="n">
        <f aca="false">R234*Assumptions!$D$175</f>
        <v>15.2427896337481</v>
      </c>
      <c r="T233" s="14" t="n">
        <f aca="false">S234*Assumptions!$D$175</f>
        <v>16.6139104287474</v>
      </c>
      <c r="U233" s="14" t="n">
        <f aca="false">T234*Assumptions!$D$175</f>
        <v>18.2415975840327</v>
      </c>
      <c r="V233" s="14" t="n">
        <f aca="false">U234*Assumptions!$D$175</f>
        <v>20.0490123761101</v>
      </c>
      <c r="W233" s="14" t="n">
        <f aca="false">V234*Assumptions!$D$175</f>
        <v>21.7366071998921</v>
      </c>
      <c r="X233" s="14" t="n">
        <f aca="false">W234*Assumptions!$D$175</f>
        <v>23.6209121972034</v>
      </c>
      <c r="Y233" s="14" t="n">
        <f aca="false">X234*Assumptions!$D$175</f>
        <v>25.4843106095405</v>
      </c>
      <c r="Z233" s="14" t="n">
        <f aca="false">Y234*Assumptions!$D$175</f>
        <v>27.1978111206293</v>
      </c>
      <c r="AA233" s="14" t="n">
        <f aca="false">Z234*Assumptions!$D$175</f>
        <v>29.0034834555734</v>
      </c>
      <c r="AB233" s="14" t="n">
        <f aca="false">AA234*Assumptions!$D$175</f>
        <v>31.1112266924556</v>
      </c>
      <c r="AC233" s="14" t="n">
        <f aca="false">AB234*Assumptions!$D$175</f>
        <v>34.2208928432068</v>
      </c>
      <c r="AD233" s="14" t="n">
        <f aca="false">AC234*Assumptions!$D$175</f>
        <v>37.5247589050365</v>
      </c>
      <c r="AE233" s="14" t="n">
        <f aca="false">AD234*Assumptions!$D$175</f>
        <v>40.5946739808332</v>
      </c>
      <c r="AF233" s="14" t="n">
        <f aca="false">AE234*Assumptions!$D$175</f>
        <v>42.6741941952379</v>
      </c>
      <c r="AG233" s="14" t="n">
        <f aca="false">AF234*Assumptions!$D$175</f>
        <v>45.104466546092</v>
      </c>
      <c r="AH233" s="14" t="n">
        <f aca="false">AG234*Assumptions!$D$175</f>
        <v>47.7416825229224</v>
      </c>
      <c r="AI233" s="14" t="n">
        <f aca="false">AH234*Assumptions!$D$175</f>
        <v>50.107376287574</v>
      </c>
      <c r="AJ233" s="14" t="n">
        <f aca="false">AI234*Assumptions!$D$175</f>
        <v>52.6903300833519</v>
      </c>
      <c r="AK233" s="14" t="n">
        <f aca="false">AJ234*Assumptions!$D$175</f>
        <v>55.1562803351582</v>
      </c>
      <c r="AL233" s="14" t="n">
        <f aca="false">AK234*Assumptions!$D$175</f>
        <v>57.323886019828</v>
      </c>
      <c r="AM233" s="53" t="n">
        <f aca="false">SUMIF($C$6:$AL$6,1,C233:AL233)</f>
        <v>36.2812390439023</v>
      </c>
      <c r="AN233" s="53" t="n">
        <f aca="false">SUMIF($C$6:$AL$6,2,C233:AL233)</f>
        <v>210.718738131378</v>
      </c>
      <c r="AO233" s="53" t="n">
        <f aca="false">SUMIF($C$6:$AL$6,3,C233:AL233)</f>
        <v>523.25325186727</v>
      </c>
      <c r="AP233" s="53" t="n">
        <f aca="false">SUM(C233:AL233)</f>
        <v>770.25322904255</v>
      </c>
    </row>
    <row r="234" customFormat="false" ht="15" hidden="false" customHeight="false" outlineLevel="0" collapsed="false">
      <c r="A234" s="7" t="s">
        <v>770</v>
      </c>
      <c r="B234" s="9" t="s">
        <v>762</v>
      </c>
      <c r="C234" s="52" t="n">
        <f aca="false">C232-C233</f>
        <v>17.69375</v>
      </c>
      <c r="D234" s="52" t="n">
        <f aca="false">D232-D233+C234</f>
        <v>46.43134375</v>
      </c>
      <c r="E234" s="52" t="n">
        <f aca="false">E232-E233+D234</f>
        <v>81.82199359375</v>
      </c>
      <c r="F234" s="52" t="n">
        <f aca="false">F232-F233+E234</f>
        <v>120.143681649844</v>
      </c>
      <c r="G234" s="52" t="n">
        <f aca="false">G232-G233+F234</f>
        <v>152.258897641224</v>
      </c>
      <c r="H234" s="52" t="n">
        <f aca="false">H232-H233+G234</f>
        <v>194.622931033527</v>
      </c>
      <c r="I234" s="52" t="n">
        <f aca="false">I232-I233+H234</f>
        <v>245.787112505664</v>
      </c>
      <c r="J234" s="52" t="n">
        <f aca="false">J232-J233+I234</f>
        <v>297.155702182122</v>
      </c>
      <c r="K234" s="52" t="n">
        <f aca="false">K232-K233+J234</f>
        <v>357.646330023313</v>
      </c>
      <c r="L234" s="52" t="n">
        <f aca="false">L232-L233+K234</f>
        <v>421.317790578768</v>
      </c>
      <c r="M234" s="52" t="n">
        <f aca="false">M232-M233+L234</f>
        <v>483.869736635273</v>
      </c>
      <c r="N234" s="52" t="n">
        <f aca="false">N232-N233+M234</f>
        <v>553.413080891705</v>
      </c>
      <c r="O234" s="52" t="n">
        <f aca="false">O232-O233+N234</f>
        <v>635.722392394414</v>
      </c>
      <c r="P234" s="52" t="n">
        <f aca="false">P232-P233+O234</f>
        <v>757.083098392114</v>
      </c>
      <c r="Q234" s="52" t="n">
        <f aca="false">Q232-Q233+P234</f>
        <v>889.233893753378</v>
      </c>
      <c r="R234" s="52" t="n">
        <f aca="false">R232-R233+Q234</f>
        <v>1016.18597558321</v>
      </c>
      <c r="S234" s="52" t="n">
        <f aca="false">S232-S233+R234</f>
        <v>1107.59402858316</v>
      </c>
      <c r="T234" s="52" t="n">
        <f aca="false">T232-T233+S234</f>
        <v>1216.10650560218</v>
      </c>
      <c r="U234" s="52" t="n">
        <f aca="false">U232-U233+T234</f>
        <v>1336.60082507401</v>
      </c>
      <c r="V234" s="52" t="n">
        <f aca="false">V232-V233+U234</f>
        <v>1449.10714665948</v>
      </c>
      <c r="W234" s="52" t="n">
        <f aca="false">W232-W233+V234</f>
        <v>1574.72747981356</v>
      </c>
      <c r="X234" s="52" t="n">
        <f aca="false">X232-X233+W234</f>
        <v>1698.95404063603</v>
      </c>
      <c r="Y234" s="52" t="n">
        <f aca="false">Y232-Y233+X234</f>
        <v>1813.18740804195</v>
      </c>
      <c r="Z234" s="52" t="n">
        <f aca="false">Z232-Z233+Y234</f>
        <v>1933.56556370489</v>
      </c>
      <c r="AA234" s="52" t="n">
        <f aca="false">AA232-AA233+Z234</f>
        <v>2074.08177949704</v>
      </c>
      <c r="AB234" s="52" t="n">
        <f aca="false">AB232-AB233+AA234</f>
        <v>2281.39285621379</v>
      </c>
      <c r="AC234" s="52" t="n">
        <f aca="false">AC232-AC233+AB234</f>
        <v>2501.6505936691</v>
      </c>
      <c r="AD234" s="52" t="n">
        <f aca="false">AD232-AD233+AC234</f>
        <v>2706.31159872221</v>
      </c>
      <c r="AE234" s="52" t="n">
        <f aca="false">AE232-AE233+AD234</f>
        <v>2844.94627968253</v>
      </c>
      <c r="AF234" s="52" t="n">
        <f aca="false">AF232-AF233+AE234</f>
        <v>3006.96443640614</v>
      </c>
      <c r="AG234" s="52" t="n">
        <f aca="false">AG232-AG233+AF234</f>
        <v>3182.7788348615</v>
      </c>
      <c r="AH234" s="52" t="n">
        <f aca="false">AH232-AH233+AG234</f>
        <v>3340.49175250493</v>
      </c>
      <c r="AI234" s="52" t="n">
        <f aca="false">AI232-AI233+AH234</f>
        <v>3512.68867222346</v>
      </c>
      <c r="AJ234" s="52" t="n">
        <f aca="false">AJ232-AJ233+AI234</f>
        <v>3677.08535567721</v>
      </c>
      <c r="AK234" s="52" t="n">
        <f aca="false">AK232-AK233+AJ234</f>
        <v>3821.59240132187</v>
      </c>
      <c r="AL234" s="52" t="n">
        <f aca="false">AL232-AL233+AK234</f>
        <v>3969.51425570931</v>
      </c>
      <c r="AM234" s="53" t="n">
        <f aca="false">N234</f>
        <v>553.413080891705</v>
      </c>
      <c r="AN234" s="53" t="n">
        <f aca="false">Z234</f>
        <v>1933.56556370489</v>
      </c>
      <c r="AO234" s="53" t="n">
        <f aca="false">AL234</f>
        <v>3969.51425570931</v>
      </c>
      <c r="AP234" s="53" t="n">
        <f aca="false">AL234</f>
        <v>3969.51425570931</v>
      </c>
    </row>
    <row r="235" customFormat="false" ht="15" hidden="false" customHeight="false" outlineLevel="0" collapsed="false">
      <c r="A235" s="5" t="s">
        <v>771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</row>
    <row r="236" customFormat="false" ht="15" hidden="false" customHeight="false" outlineLevel="0" collapsed="false">
      <c r="A236" s="7" t="s">
        <v>772</v>
      </c>
      <c r="B236" s="9" t="s">
        <v>751</v>
      </c>
      <c r="C236" s="52" t="n">
        <f aca="false">C146+C156+C166+C176+C186+C196+C206+C216+C226</f>
        <v>3.95833333333333</v>
      </c>
      <c r="D236" s="52" t="n">
        <f aca="false">D146+D156+D166+D176+D186+D196+D206+D216+D226</f>
        <v>18.6333333333333</v>
      </c>
      <c r="E236" s="52" t="n">
        <f aca="false">E146+E156+E166+E176+E186+E196+E206+E216+E226</f>
        <v>37.368</v>
      </c>
      <c r="F236" s="52" t="n">
        <f aca="false">F146+F156+F166+F176+F186+F196+F206+F216+F226</f>
        <v>52.9592737928304</v>
      </c>
      <c r="G236" s="52" t="n">
        <f aca="false">G146+G156+G166+G176+G186+G196+G206+G216+G226</f>
        <v>56.2568142126337</v>
      </c>
      <c r="H236" s="52" t="n">
        <f aca="false">H146+H156+H166+H176+H186+H196+H206+H216+H226</f>
        <v>86.3430683219904</v>
      </c>
      <c r="I236" s="52" t="n">
        <f aca="false">I146+I156+I166+I176+I186+I196+I206+I216+I226</f>
        <v>112.161709034126</v>
      </c>
      <c r="J236" s="52" t="n">
        <f aca="false">J146+J156+J166+J176+J186+J196+J206+J216+J226</f>
        <v>115.456103610144</v>
      </c>
      <c r="K236" s="52" t="n">
        <f aca="false">K146+K156+K166+K176+K186+K196+K206+K216+K226</f>
        <v>136.53944166735</v>
      </c>
      <c r="L236" s="52" t="n">
        <f aca="false">L146+L156+L166+L176+L186+L196+L206+L216+L226</f>
        <v>144.87452738647</v>
      </c>
      <c r="M236" s="52" t="n">
        <f aca="false">M146+M156+M166+M176+M186+M196+M206+M216+M226</f>
        <v>143.154005791282</v>
      </c>
      <c r="N236" s="52" t="n">
        <f aca="false">N146+N156+N166+N176+N186+N196+N206+N216+N226</f>
        <v>158.122570256477</v>
      </c>
      <c r="O236" s="52" t="n">
        <f aca="false">O146+O156+O166+O176+O186+O196+O206+O216+O226</f>
        <v>185.804990705098</v>
      </c>
      <c r="P236" s="52" t="n">
        <f aca="false">P146+P156+P166+P176+P186+P196+P206+P216+P226</f>
        <v>266.3672920416</v>
      </c>
      <c r="Q236" s="52" t="n">
        <f aca="false">Q146+Q156+Q166+Q176+Q186+Q196+Q206+Q216+Q226</f>
        <v>289.615512941353</v>
      </c>
      <c r="R236" s="52" t="n">
        <f aca="false">R146+R156+R166+R176+R186+R196+R206+R216+R226</f>
        <v>282.963541579345</v>
      </c>
      <c r="S236" s="52" t="n">
        <f aca="false">S146+S156+S166+S176+S186+S196+S206+S216+S226</f>
        <v>215.048548760591</v>
      </c>
      <c r="T236" s="52" t="n">
        <f aca="false">T146+T156+T166+T176+T186+T196+T206+T216+T226</f>
        <v>250.563260162116</v>
      </c>
      <c r="U236" s="52" t="n">
        <f aca="false">U146+U156+U166+U176+U186+U196+U206+U216+U226</f>
        <v>274.487086276411</v>
      </c>
      <c r="V236" s="52" t="n">
        <f aca="false">V146+V156+V166+V176+V186+V196+V206+V216+V226</f>
        <v>259.247702157888</v>
      </c>
      <c r="W236" s="52" t="n">
        <f aca="false">W146+W156+W166+W176+W186+W196+W206+W216+W226</f>
        <v>283.276577382445</v>
      </c>
      <c r="X236" s="52" t="n">
        <f aca="false">X146+X156+X166+X176+X186+X196+X206+X216+X226</f>
        <v>283.408323618876</v>
      </c>
      <c r="Y236" s="52" t="n">
        <f aca="false">Y146+Y156+Y166+Y176+Y186+Y196+Y206+Y216+Y226</f>
        <v>271.637598775769</v>
      </c>
      <c r="Z236" s="52" t="n">
        <f aca="false">Z146+Z156+Z166+Z176+Z186+Z196+Z206+Z216+Z226</f>
        <v>285.315125973731</v>
      </c>
      <c r="AA236" s="52" t="n">
        <f aca="false">AA146+AA156+AA166+AA176+AA186+AA196+AA206+AA216+AA226</f>
        <v>323.888315587612</v>
      </c>
      <c r="AB236" s="52" t="n">
        <f aca="false">AB146+AB156+AB166+AB176+AB186+AB196+AB206+AB216+AB226</f>
        <v>448.916927430489</v>
      </c>
      <c r="AC236" s="52" t="n">
        <f aca="false">AC146+AC156+AC166+AC176+AC186+AC196+AC206+AC216+AC226</f>
        <v>475.384658493525</v>
      </c>
      <c r="AD236" s="52" t="n">
        <f aca="false">AD146+AD156+AD166+AD176+AD186+AD196+AD206+AD216+AD226</f>
        <v>456.267477358148</v>
      </c>
      <c r="AE236" s="52" t="n">
        <f aca="false">AE146+AE156+AE166+AE176+AE186+AE196+AE206+AE216+AE226</f>
        <v>339.3634851732</v>
      </c>
      <c r="AF236" s="52" t="n">
        <f aca="false">AF146+AF156+AF166+AF176+AF186+AF196+AF206+AF216+AF226</f>
        <v>385.938481397902</v>
      </c>
      <c r="AG236" s="52" t="n">
        <f aca="false">AG146+AG156+AG166+AG176+AG186+AG196+AG206+AG216+AG226</f>
        <v>413.119093899195</v>
      </c>
      <c r="AH236" s="52" t="n">
        <f aca="false">AH146+AH156+AH166+AH176+AH186+AH196+AH206+AH216+AH226</f>
        <v>381.28174905795</v>
      </c>
      <c r="AI236" s="52" t="n">
        <f aca="false">AI146+AI156+AI166+AI176+AI186+AI196+AI206+AI216+AI226</f>
        <v>406.93254481267</v>
      </c>
      <c r="AJ236" s="52" t="n">
        <f aca="false">AJ146+AJ156+AJ166+AJ176+AJ186+AJ196+AJ206+AJ216+AJ226</f>
        <v>398.113162516481</v>
      </c>
      <c r="AK236" s="52" t="n">
        <f aca="false">AK146+AK156+AK166+AK176+AK186+AK196+AK206+AK216+AK226</f>
        <v>373.524547691482</v>
      </c>
      <c r="AL236" s="52" t="n">
        <f aca="false">AL146+AL156+AL166+AL176+AL186+AL196+AL206+AL216+AL226</f>
        <v>383.463193240009</v>
      </c>
      <c r="AM236" s="53" t="n">
        <f aca="false">SUMIF($C$6:$AL$6,1,C236:AL236)</f>
        <v>1065.82718073997</v>
      </c>
      <c r="AN236" s="53" t="n">
        <f aca="false">SUMIF($C$6:$AL$6,2,C236:AL236)</f>
        <v>3147.73556037522</v>
      </c>
      <c r="AO236" s="53" t="n">
        <f aca="false">SUMIF($C$6:$AL$6,3,C236:AL236)</f>
        <v>4786.19363665866</v>
      </c>
      <c r="AP236" s="53" t="n">
        <f aca="false">SUM(C236:AL236)</f>
        <v>8999.75637777385</v>
      </c>
    </row>
    <row r="237" customFormat="false" ht="15" hidden="false" customHeight="false" outlineLevel="0" collapsed="false">
      <c r="A237" s="7" t="s">
        <v>773</v>
      </c>
      <c r="B237" s="9" t="s">
        <v>331</v>
      </c>
      <c r="C237" s="52" t="n">
        <f aca="false">C147+C157+C167+C177+C187+C197+C207+C217+C227</f>
        <v>4.82125</v>
      </c>
      <c r="D237" s="52" t="n">
        <f aca="false">D147+D157+D167+D177+D187+D197+D207+D217+D227</f>
        <v>21.6034</v>
      </c>
      <c r="E237" s="52" t="n">
        <f aca="false">E147+E157+E167+E177+E187+E197+E207+E217+E227</f>
        <v>42.725124</v>
      </c>
      <c r="F237" s="52" t="n">
        <f aca="false">F147+F157+F167+F177+F187+F197+F207+F217+F227</f>
        <v>60.0318111394971</v>
      </c>
      <c r="G237" s="52" t="n">
        <f aca="false">G147+G157+G167+G177+G187+G197+G207+G217+G227</f>
        <v>63.7163638853377</v>
      </c>
      <c r="H237" s="52" t="n">
        <f aca="false">H147+H157+H167+H177+H187+H197+H207+H217+H227</f>
        <v>97.7686789403712</v>
      </c>
      <c r="I237" s="52" t="n">
        <f aca="false">I147+I157+I167+I177+I187+I197+I207+I217+I227</f>
        <v>126.343589034675</v>
      </c>
      <c r="J237" s="52" t="n">
        <f aca="false">J147+J157+J167+J177+J187+J197+J207+J217+J227</f>
        <v>130.116815281211</v>
      </c>
      <c r="K237" s="52" t="n">
        <f aca="false">K147+K157+K167+K177+K187+K197+K207+K217+K227</f>
        <v>154.133506793597</v>
      </c>
      <c r="L237" s="52" t="n">
        <f aca="false">L147+L157+L167+L177+L187+L197+L207+L217+L227</f>
        <v>163.766951334726</v>
      </c>
      <c r="M237" s="52" t="n">
        <f aca="false">M147+M157+M167+M177+M187+M197+M207+M217+M227</f>
        <v>161.929167492299</v>
      </c>
      <c r="N237" s="52" t="n">
        <f aca="false">N147+N157+N167+N177+N187+N197+N207+N217+N227</f>
        <v>178.982106983408</v>
      </c>
      <c r="O237" s="52" t="n">
        <f aca="false">O147+O157+O167+O177+O187+O197+O207+O217+O227</f>
        <v>210.384883526359</v>
      </c>
      <c r="P237" s="52" t="n">
        <f aca="false">P147+P157+P167+P177+P187+P197+P207+P217+P227</f>
        <v>301.731393548506</v>
      </c>
      <c r="Q237" s="52" t="n">
        <f aca="false">Q147+Q157+Q167+Q177+Q187+Q197+Q207+Q217+Q227</f>
        <v>328.200011474695</v>
      </c>
      <c r="R237" s="52" t="n">
        <f aca="false">R147+R157+R167+R177+R187+R197+R207+R217+R227</f>
        <v>320.718946536309</v>
      </c>
      <c r="S237" s="52" t="n">
        <f aca="false">S147+S157+S167+S177+S187+S197+S207+S217+S227</f>
        <v>243.785745662602</v>
      </c>
      <c r="T237" s="52" t="n">
        <f aca="false">T147+T157+T167+T177+T187+T197+T207+T217+T227</f>
        <v>284.162279680791</v>
      </c>
      <c r="U237" s="52" t="n">
        <f aca="false">U147+U157+U167+U177+U187+U197+U207+U217+U227</f>
        <v>311.46710431305</v>
      </c>
      <c r="V237" s="52" t="n">
        <f aca="false">V147+V157+V167+V177+V187+V197+V207+V217+V227</f>
        <v>294.333504814732</v>
      </c>
      <c r="W237" s="52" t="n">
        <f aca="false">W147+W157+W167+W177+W187+W197+W207+W217+W227</f>
        <v>321.850665840597</v>
      </c>
      <c r="X237" s="52" t="n">
        <f aca="false">X147+X157+X167+X177+X187+X197+X207+X217+X227</f>
        <v>322.089431970171</v>
      </c>
      <c r="Y237" s="52" t="n">
        <f aca="false">Y147+Y157+Y167+Y177+Y187+Y197+Y207+Y217+Y227</f>
        <v>308.629810300376</v>
      </c>
      <c r="Z237" s="52" t="n">
        <f aca="false">Z147+Z157+Z167+Z177+Z187+Z197+Z207+Z217+Z227</f>
        <v>324.289620413909</v>
      </c>
      <c r="AA237" s="52" t="n">
        <f aca="false">AA147+AA157+AA167+AA177+AA187+AA197+AA207+AA217+AA227</f>
        <v>371.000557481171</v>
      </c>
      <c r="AB237" s="52" t="n">
        <f aca="false">AB147+AB157+AB167+AB177+AB187+AB197+AB207+AB217+AB227</f>
        <v>518.515929452842</v>
      </c>
      <c r="AC237" s="52" t="n">
        <f aca="false">AC147+AC157+AC167+AC177+AC187+AC197+AC207+AC217+AC227</f>
        <v>553.729132235925</v>
      </c>
      <c r="AD237" s="52" t="n">
        <f aca="false">AD147+AD157+AD167+AD177+AD187+AD197+AD207+AD217+AD227</f>
        <v>535.612777837641</v>
      </c>
      <c r="AE237" s="52" t="n">
        <f aca="false">AE147+AE157+AE167+AE177+AE187+AE197+AE207+AE217+AE227</f>
        <v>401.65325047807</v>
      </c>
      <c r="AF237" s="52" t="n">
        <f aca="false">AF147+AF157+AF167+AF177+AF187+AF197+AF207+AF217+AF227</f>
        <v>460.976469123087</v>
      </c>
      <c r="AG237" s="52" t="n">
        <f aca="false">AG147+AG157+AG167+AG177+AG187+AG197+AG207+AG217+AG227</f>
        <v>494.244786738308</v>
      </c>
      <c r="AH237" s="52" t="n">
        <f aca="false">AH147+AH157+AH167+AH177+AH187+AH197+AH207+AH217+AH227</f>
        <v>456.89228631231</v>
      </c>
      <c r="AI237" s="52" t="n">
        <f aca="false">AI147+AI157+AI167+AI177+AI187+AI197+AI207+AI217+AI227</f>
        <v>488.691892951176</v>
      </c>
      <c r="AJ237" s="52" t="n">
        <f aca="false">AJ147+AJ157+AJ167+AJ177+AJ187+AJ197+AJ207+AJ217+AJ227</f>
        <v>478.53386331417</v>
      </c>
      <c r="AK237" s="52" t="n">
        <f aca="false">AK147+AK157+AK167+AK177+AK187+AK197+AK207+AK217+AK227</f>
        <v>448.706596811742</v>
      </c>
      <c r="AL237" s="52" t="n">
        <f aca="false">AL147+AL157+AL167+AL177+AL187+AL197+AL207+AL217+AL227</f>
        <v>461.205671385387</v>
      </c>
      <c r="AM237" s="53" t="n">
        <f aca="false">SUMIF($C$6:$AL$6,1,C237:AL237)</f>
        <v>1205.93876488512</v>
      </c>
      <c r="AN237" s="53" t="n">
        <f aca="false">SUMIF($C$6:$AL$6,2,C237:AL237)</f>
        <v>3571.6433980821</v>
      </c>
      <c r="AO237" s="53" t="n">
        <f aca="false">SUMIF($C$6:$AL$6,3,C237:AL237)</f>
        <v>5669.76321412183</v>
      </c>
      <c r="AP237" s="53" t="n">
        <f aca="false">SUM(C237:AL237)</f>
        <v>10447.345377089</v>
      </c>
    </row>
    <row r="238" customFormat="false" ht="15" hidden="false" customHeight="false" outlineLevel="0" collapsed="false">
      <c r="A238" s="7" t="s">
        <v>774</v>
      </c>
      <c r="B238" s="9" t="s">
        <v>751</v>
      </c>
      <c r="C238" s="52" t="n">
        <f aca="false">C236</f>
        <v>3.95833333333333</v>
      </c>
      <c r="D238" s="52" t="n">
        <f aca="false">D236+C238</f>
        <v>22.5916666666667</v>
      </c>
      <c r="E238" s="52" t="n">
        <f aca="false">E236+D238</f>
        <v>59.9596666666667</v>
      </c>
      <c r="F238" s="52" t="n">
        <f aca="false">F236+E238</f>
        <v>112.918940459497</v>
      </c>
      <c r="G238" s="52" t="n">
        <f aca="false">G236+F238</f>
        <v>169.175754672131</v>
      </c>
      <c r="H238" s="52" t="n">
        <f aca="false">H236+G238</f>
        <v>255.518822994121</v>
      </c>
      <c r="I238" s="52" t="n">
        <f aca="false">I236+H238</f>
        <v>367.680532028247</v>
      </c>
      <c r="J238" s="52" t="n">
        <f aca="false">J236+I238</f>
        <v>483.13663563839</v>
      </c>
      <c r="K238" s="52" t="n">
        <f aca="false">K236+J238</f>
        <v>619.67607730574</v>
      </c>
      <c r="L238" s="52" t="n">
        <f aca="false">L236+K238</f>
        <v>764.55060469221</v>
      </c>
      <c r="M238" s="52" t="n">
        <f aca="false">M236+L238</f>
        <v>907.704610483492</v>
      </c>
      <c r="N238" s="52" t="n">
        <f aca="false">N236+M238</f>
        <v>1065.82718073997</v>
      </c>
      <c r="O238" s="52" t="n">
        <f aca="false">O236+N238</f>
        <v>1251.63217144507</v>
      </c>
      <c r="P238" s="52" t="n">
        <f aca="false">P236+O238</f>
        <v>1517.99946348667</v>
      </c>
      <c r="Q238" s="52" t="n">
        <f aca="false">Q236+P238</f>
        <v>1807.61497642802</v>
      </c>
      <c r="R238" s="52" t="n">
        <f aca="false">R236+Q238</f>
        <v>2090.57851800737</v>
      </c>
      <c r="S238" s="52" t="n">
        <f aca="false">S236+R238</f>
        <v>2305.62706676796</v>
      </c>
      <c r="T238" s="52" t="n">
        <f aca="false">T236+S238</f>
        <v>2556.19032693007</v>
      </c>
      <c r="U238" s="52" t="n">
        <f aca="false">U236+T238</f>
        <v>2830.67741320648</v>
      </c>
      <c r="V238" s="52" t="n">
        <f aca="false">V236+U238</f>
        <v>3089.92511536437</v>
      </c>
      <c r="W238" s="52" t="n">
        <f aca="false">W236+V238</f>
        <v>3373.20169274682</v>
      </c>
      <c r="X238" s="52" t="n">
        <f aca="false">X236+W238</f>
        <v>3656.61001636569</v>
      </c>
      <c r="Y238" s="52" t="n">
        <f aca="false">Y236+X238</f>
        <v>3928.24761514146</v>
      </c>
      <c r="Z238" s="52" t="n">
        <f aca="false">Z236+Y238</f>
        <v>4213.56274111519</v>
      </c>
      <c r="AA238" s="52" t="n">
        <f aca="false">AA236+Z238</f>
        <v>4537.4510567028</v>
      </c>
      <c r="AB238" s="52" t="n">
        <f aca="false">AB236+AA238</f>
        <v>4986.36798413329</v>
      </c>
      <c r="AC238" s="52" t="n">
        <f aca="false">AC236+AB238</f>
        <v>5461.75264262682</v>
      </c>
      <c r="AD238" s="52" t="n">
        <f aca="false">AD236+AC238</f>
        <v>5918.02011998497</v>
      </c>
      <c r="AE238" s="52" t="n">
        <f aca="false">AE236+AD238</f>
        <v>6257.38360515817</v>
      </c>
      <c r="AF238" s="52" t="n">
        <f aca="false">AF236+AE238</f>
        <v>6643.32208655607</v>
      </c>
      <c r="AG238" s="52" t="n">
        <f aca="false">AG236+AF238</f>
        <v>7056.44118045526</v>
      </c>
      <c r="AH238" s="52" t="n">
        <f aca="false">AH236+AG238</f>
        <v>7437.72292951321</v>
      </c>
      <c r="AI238" s="52" t="n">
        <f aca="false">AI236+AH238</f>
        <v>7844.65547432588</v>
      </c>
      <c r="AJ238" s="52" t="n">
        <f aca="false">AJ236+AI238</f>
        <v>8242.76863684236</v>
      </c>
      <c r="AK238" s="52" t="n">
        <f aca="false">AK236+AJ238</f>
        <v>8616.29318453385</v>
      </c>
      <c r="AL238" s="52" t="n">
        <f aca="false">AL236+AK238</f>
        <v>8999.75637777386</v>
      </c>
      <c r="AM238" s="53" t="n">
        <f aca="false">N238</f>
        <v>1065.82718073997</v>
      </c>
      <c r="AN238" s="53" t="n">
        <f aca="false">Z238</f>
        <v>4213.56274111519</v>
      </c>
      <c r="AO238" s="53" t="n">
        <f aca="false">AL238</f>
        <v>8999.75637777386</v>
      </c>
      <c r="AP238" s="53" t="n">
        <f aca="false">AL238</f>
        <v>8999.75637777386</v>
      </c>
    </row>
    <row r="239" customFormat="false" ht="15" hidden="false" customHeight="false" outlineLevel="0" collapsed="false">
      <c r="A239" s="7" t="s">
        <v>775</v>
      </c>
      <c r="B239" s="9" t="s">
        <v>331</v>
      </c>
      <c r="C239" s="52" t="n">
        <f aca="false">C237</f>
        <v>4.82125</v>
      </c>
      <c r="D239" s="52" t="n">
        <f aca="false">D237+C239</f>
        <v>26.42465</v>
      </c>
      <c r="E239" s="52" t="n">
        <f aca="false">E237+D239</f>
        <v>69.149774</v>
      </c>
      <c r="F239" s="52" t="n">
        <f aca="false">F237+E239</f>
        <v>129.181585139497</v>
      </c>
      <c r="G239" s="52" t="n">
        <f aca="false">G237+F239</f>
        <v>192.897949024835</v>
      </c>
      <c r="H239" s="52" t="n">
        <f aca="false">H237+G239</f>
        <v>290.666627965206</v>
      </c>
      <c r="I239" s="52" t="n">
        <f aca="false">I237+H239</f>
        <v>417.010216999881</v>
      </c>
      <c r="J239" s="52" t="n">
        <f aca="false">J237+I239</f>
        <v>547.127032281092</v>
      </c>
      <c r="K239" s="52" t="n">
        <f aca="false">K237+J239</f>
        <v>701.260539074689</v>
      </c>
      <c r="L239" s="52" t="n">
        <f aca="false">L237+K239</f>
        <v>865.027490409415</v>
      </c>
      <c r="M239" s="52" t="n">
        <f aca="false">M237+L239</f>
        <v>1026.95665790171</v>
      </c>
      <c r="N239" s="52" t="n">
        <f aca="false">N237+M239</f>
        <v>1205.93876488512</v>
      </c>
      <c r="O239" s="52" t="n">
        <f aca="false">O237+N239</f>
        <v>1416.32364841148</v>
      </c>
      <c r="P239" s="52" t="n">
        <f aca="false">P237+O239</f>
        <v>1718.05504195999</v>
      </c>
      <c r="Q239" s="52" t="n">
        <f aca="false">Q237+P239</f>
        <v>2046.25505343468</v>
      </c>
      <c r="R239" s="52" t="n">
        <f aca="false">R237+Q239</f>
        <v>2366.97399997099</v>
      </c>
      <c r="S239" s="52" t="n">
        <f aca="false">S237+R239</f>
        <v>2610.75974563359</v>
      </c>
      <c r="T239" s="52" t="n">
        <f aca="false">T237+S239</f>
        <v>2894.92202531438</v>
      </c>
      <c r="U239" s="52" t="n">
        <f aca="false">U237+T239</f>
        <v>3206.38912962743</v>
      </c>
      <c r="V239" s="52" t="n">
        <f aca="false">V237+U239</f>
        <v>3500.72263444217</v>
      </c>
      <c r="W239" s="52" t="n">
        <f aca="false">W237+V239</f>
        <v>3822.57330028276</v>
      </c>
      <c r="X239" s="52" t="n">
        <f aca="false">X237+W239</f>
        <v>4144.66273225294</v>
      </c>
      <c r="Y239" s="52" t="n">
        <f aca="false">Y237+X239</f>
        <v>4453.29254255331</v>
      </c>
      <c r="Z239" s="52" t="n">
        <f aca="false">Z237+Y239</f>
        <v>4777.58216296722</v>
      </c>
      <c r="AA239" s="52" t="n">
        <f aca="false">AA237+Z239</f>
        <v>5148.58272044839</v>
      </c>
      <c r="AB239" s="52" t="n">
        <f aca="false">AB237+AA239</f>
        <v>5667.09864990123</v>
      </c>
      <c r="AC239" s="52" t="n">
        <f aca="false">AC237+AB239</f>
        <v>6220.82778213716</v>
      </c>
      <c r="AD239" s="52" t="n">
        <f aca="false">AD237+AC239</f>
        <v>6756.4405599748</v>
      </c>
      <c r="AE239" s="52" t="n">
        <f aca="false">AE237+AD239</f>
        <v>7158.09381045287</v>
      </c>
      <c r="AF239" s="52" t="n">
        <f aca="false">AF237+AE239</f>
        <v>7619.07027957596</v>
      </c>
      <c r="AG239" s="52" t="n">
        <f aca="false">AG237+AF239</f>
        <v>8113.31506631426</v>
      </c>
      <c r="AH239" s="52" t="n">
        <f aca="false">AH237+AG239</f>
        <v>8570.20735262657</v>
      </c>
      <c r="AI239" s="52" t="n">
        <f aca="false">AI237+AH239</f>
        <v>9058.89924557775</v>
      </c>
      <c r="AJ239" s="52" t="n">
        <f aca="false">AJ237+AI239</f>
        <v>9537.43310889192</v>
      </c>
      <c r="AK239" s="52" t="n">
        <f aca="false">AK237+AJ239</f>
        <v>9986.13970570366</v>
      </c>
      <c r="AL239" s="52" t="n">
        <f aca="false">AL237+AK239</f>
        <v>10447.345377089</v>
      </c>
      <c r="AM239" s="53" t="n">
        <f aca="false">N239</f>
        <v>1205.93876488512</v>
      </c>
      <c r="AN239" s="53" t="n">
        <f aca="false">Z239</f>
        <v>4777.58216296722</v>
      </c>
      <c r="AO239" s="53" t="n">
        <f aca="false">AL239</f>
        <v>10447.345377089</v>
      </c>
      <c r="AP239" s="53" t="n">
        <f aca="false">AL239</f>
        <v>10447.345377089</v>
      </c>
    </row>
    <row r="240" customFormat="false" ht="15" hidden="false" customHeight="false" outlineLevel="0" collapsed="false">
      <c r="A240" s="57" t="s">
        <v>776</v>
      </c>
      <c r="B240" s="58" t="s">
        <v>93</v>
      </c>
      <c r="C240" s="59" t="n">
        <f aca="false">C149+C159+C169+C179+C189+C199+C209+C219+C229</f>
        <v>42.8942049107143</v>
      </c>
      <c r="D240" s="59" t="n">
        <f aca="false">D149+D159+D169+D179+D189+D199+D209+D219+D229</f>
        <v>230.376276</v>
      </c>
      <c r="E240" s="59" t="n">
        <f aca="false">E149+E159+E169+E179+E189+E199+E209+E219+E229</f>
        <v>479.33739036</v>
      </c>
      <c r="F240" s="59" t="n">
        <f aca="false">F149+F159+F169+F179+F189+F199+F209+F219+F229</f>
        <v>691.317169982847</v>
      </c>
      <c r="G240" s="59" t="n">
        <f aca="false">G149+G159+G169+G179+G189+G199+G209+G219+G229</f>
        <v>741.593841740496</v>
      </c>
      <c r="H240" s="59" t="n">
        <f aca="false">H149+H159+H169+H179+H189+H199+H209+H219+H229</f>
        <v>1143.72008412465</v>
      </c>
      <c r="I240" s="59" t="n">
        <f aca="false">I149+I159+I169+I179+I189+I199+I209+I219+I229</f>
        <v>1509.51836752706</v>
      </c>
      <c r="J240" s="59" t="n">
        <f aca="false">J149+J159+J169+J179+J189+J199+J209+J219+J229</f>
        <v>1559.93981813027</v>
      </c>
      <c r="K240" s="59" t="n">
        <f aca="false">K149+K159+K169+K179+K189+K199+K209+K219+K229</f>
        <v>1844.94413173897</v>
      </c>
      <c r="L240" s="59" t="n">
        <f aca="false">L149+L159+L169+L179+L189+L199+L209+L219+L229</f>
        <v>1957.03441013886</v>
      </c>
      <c r="M240" s="59" t="n">
        <f aca="false">M149+M159+M169+M179+M189+M199+M209+M219+M229</f>
        <v>1929.69075420988</v>
      </c>
      <c r="N240" s="59" t="n">
        <f aca="false">N149+N159+N169+N179+N189+N199+N209+N219+N229</f>
        <v>2126.59383244079</v>
      </c>
      <c r="O240" s="59" t="n">
        <f aca="false">O149+O159+O169+O179+O189+O199+O209+O219+O229</f>
        <v>2529.32509604267</v>
      </c>
      <c r="P240" s="59" t="n">
        <f aca="false">P149+P159+P169+P179+P189+P199+P209+P219+P229</f>
        <v>3635.45222085633</v>
      </c>
      <c r="Q240" s="59" t="n">
        <f aca="false">Q149+Q159+Q169+Q179+Q189+Q199+Q209+Q219+Q229</f>
        <v>3955.06335792937</v>
      </c>
      <c r="R240" s="59" t="n">
        <f aca="false">R149+R159+R169+R179+R189+R199+R209+R219+R229</f>
        <v>3942.0865269003</v>
      </c>
      <c r="S240" s="59" t="n">
        <f aca="false">S149+S159+S169+S179+S189+S199+S209+S219+S229</f>
        <v>3057.05165694598</v>
      </c>
      <c r="T240" s="59" t="n">
        <f aca="false">T149+T159+T169+T179+T189+T199+T209+T219+T229</f>
        <v>3577.59316213244</v>
      </c>
      <c r="U240" s="59" t="n">
        <f aca="false">U149+U159+U169+U179+U189+U199+U209+U219+U229</f>
        <v>3887.7107199034</v>
      </c>
      <c r="V240" s="59" t="n">
        <f aca="false">V149+V159+V169+V179+V189+V199+V209+V219+V229</f>
        <v>3646.34664997457</v>
      </c>
      <c r="W240" s="59" t="n">
        <f aca="false">W149+W159+W169+W179+W189+W199+W209+W219+W229</f>
        <v>3901.35110457347</v>
      </c>
      <c r="X240" s="59" t="n">
        <f aca="false">X149+X159+X169+X179+X189+X199+X209+X219+X229</f>
        <v>3960.29139197852</v>
      </c>
      <c r="Y240" s="59" t="n">
        <f aca="false">Y149+Y159+Y169+Y179+Y189+Y199+Y209+Y219+Y229</f>
        <v>4007.10476873268</v>
      </c>
      <c r="Z240" s="59" t="n">
        <f aca="false">Z149+Z159+Z169+Z179+Z189+Z199+Z209+Z219+Z229</f>
        <v>4239.20962008813</v>
      </c>
      <c r="AA240" s="59" t="n">
        <f aca="false">AA149+AA159+AA169+AA179+AA189+AA199+AA209+AA219+AA229</f>
        <v>4733.4208453555</v>
      </c>
      <c r="AB240" s="59" t="n">
        <f aca="false">AB149+AB159+AB169+AB179+AB189+AB199+AB209+AB219+AB229</f>
        <v>6406.09256905544</v>
      </c>
      <c r="AC240" s="59" t="n">
        <f aca="false">AC149+AC159+AC169+AC179+AC189+AC199+AC209+AC219+AC229</f>
        <v>6725.21461762991</v>
      </c>
      <c r="AD240" s="59" t="n">
        <f aca="false">AD149+AD159+AD169+AD179+AD189+AD199+AD209+AD219+AD229</f>
        <v>6651.85908086003</v>
      </c>
      <c r="AE240" s="59" t="n">
        <f aca="false">AE149+AE159+AE169+AE179+AE189+AE199+AE209+AE219+AE229</f>
        <v>5053.46187545412</v>
      </c>
      <c r="AF240" s="59" t="n">
        <f aca="false">AF149+AF159+AF169+AF179+AF189+AF199+AF209+AF219+AF229</f>
        <v>5748.89296161177</v>
      </c>
      <c r="AG240" s="59" t="n">
        <f aca="false">AG149+AG159+AG169+AG179+AG189+AG199+AG209+AG219+AG229</f>
        <v>6112.29874915369</v>
      </c>
      <c r="AH240" s="59" t="n">
        <f aca="false">AH149+AH159+AH169+AH179+AH189+AH199+AH209+AH219+AH229</f>
        <v>5610.29602552907</v>
      </c>
      <c r="AI240" s="59" t="n">
        <f aca="false">AI149+AI159+AI169+AI179+AI189+AI199+AI209+AI219+AI229</f>
        <v>5871.48314930741</v>
      </c>
      <c r="AJ240" s="59" t="n">
        <f aca="false">AJ149+AJ159+AJ169+AJ179+AJ189+AJ199+AJ209+AJ219+AJ229</f>
        <v>5839.65513111715</v>
      </c>
      <c r="AK240" s="59" t="n">
        <f aca="false">AK149+AK159+AK169+AK179+AK189+AK199+AK209+AK219+AK229</f>
        <v>5792.31653424493</v>
      </c>
      <c r="AL240" s="59" t="n">
        <f aca="false">AL149+AL159+AL169+AL179+AL189+AL199+AL209+AL219+AL229</f>
        <v>5996.87502059108</v>
      </c>
      <c r="AM240" s="60" t="n">
        <f aca="false">SUMIF($C$6:$AL$6,1,C240:AL240)</f>
        <v>14256.9602813045</v>
      </c>
      <c r="AN240" s="60" t="n">
        <f aca="false">SUMIF($C$6:$AL$6,2,C240:AL240)</f>
        <v>44338.5862760579</v>
      </c>
      <c r="AO240" s="60" t="n">
        <f aca="false">SUMIF($C$6:$AL$6,3,C240:AL240)</f>
        <v>70541.8665599101</v>
      </c>
      <c r="AP240" s="60" t="n">
        <f aca="false">SUM(C240:AL240)</f>
        <v>129137.413117272</v>
      </c>
    </row>
    <row r="241" customFormat="false" ht="15" hidden="false" customHeight="false" outlineLevel="0" collapsed="false">
      <c r="A241" s="57" t="s">
        <v>777</v>
      </c>
      <c r="B241" s="58" t="s">
        <v>93</v>
      </c>
      <c r="C241" s="59" t="n">
        <f aca="false">C150+C160+C170+C180+C190+C200+C210+C220+C230</f>
        <v>36.2871113129464</v>
      </c>
      <c r="D241" s="59" t="n">
        <f aca="false">D150+D160+D170+D180+D190+D200+D210+D220+D230</f>
        <v>152.739195414</v>
      </c>
      <c r="E241" s="59" t="n">
        <f aca="false">E150+E160+E170+E180+E190+E200+E210+E220+E230</f>
        <v>291.39830615304</v>
      </c>
      <c r="F241" s="59" t="n">
        <f aca="false">F150+F160+F170+F180+F190+F200+F210+F220+F230</f>
        <v>401.666895150924</v>
      </c>
      <c r="G241" s="59" t="n">
        <f aca="false">G150+G160+G170+G180+G190+G200+G210+G220+G230</f>
        <v>422.197799654359</v>
      </c>
      <c r="H241" s="59" t="n">
        <f aca="false">H150+H160+H170+H180+H190+H200+H210+H220+H230</f>
        <v>645.261380751012</v>
      </c>
      <c r="I241" s="59" t="n">
        <f aca="false">I150+I160+I170+I180+I190+I200+I210+I220+I230</f>
        <v>824.593260918223</v>
      </c>
      <c r="J241" s="59" t="n">
        <f aca="false">J150+J160+J170+J180+J190+J200+J210+J220+J230</f>
        <v>846.203608254107</v>
      </c>
      <c r="K241" s="59" t="n">
        <f aca="false">K150+K160+K170+K180+K190+K200+K210+K220+K230</f>
        <v>1006.56147127151</v>
      </c>
      <c r="L241" s="59" t="n">
        <f aca="false">L150+L160+L170+L180+L190+L200+L210+L220+L230</f>
        <v>1070.79693026907</v>
      </c>
      <c r="M241" s="59" t="n">
        <f aca="false">M150+M160+M170+M180+M190+M200+M210+M220+M230</f>
        <v>1063.65135459722</v>
      </c>
      <c r="N241" s="59" t="n">
        <f aca="false">N150+N160+N170+N180+N190+N200+N210+N220+N230</f>
        <v>1180.45997080354</v>
      </c>
      <c r="O241" s="59" t="n">
        <f aca="false">O150+O160+O170+O180+O190+O200+O210+O220+O230</f>
        <v>1424.79052197149</v>
      </c>
      <c r="P241" s="59" t="n">
        <f aca="false">P150+P160+P170+P180+P190+P200+P210+P220+P230</f>
        <v>2061.14330690093</v>
      </c>
      <c r="Q241" s="59" t="n">
        <f aca="false">Q150+Q160+Q170+Q180+Q190+Q200+Q210+Q220+Q230</f>
        <v>2253.19920438121</v>
      </c>
      <c r="R241" s="59" t="n">
        <f aca="false">R150+R160+R170+R180+R190+R200+R210+R220+R230</f>
        <v>2291.40691629239</v>
      </c>
      <c r="S241" s="59" t="n">
        <f aca="false">S150+S160+S170+S180+S190+S200+S210+S220+S230</f>
        <v>1811.6104590927</v>
      </c>
      <c r="T241" s="59" t="n">
        <f aca="false">T150+T160+T170+T180+T190+T200+T210+T220+T230</f>
        <v>2134.91641784225</v>
      </c>
      <c r="U241" s="59" t="n">
        <f aca="false">U150+U160+U170+U180+U190+U200+U210+U220+U230</f>
        <v>2315.08057841688</v>
      </c>
      <c r="V241" s="59" t="n">
        <f aca="false">V150+V160+V170+V180+V190+V200+V210+V220+V230</f>
        <v>2168.5708100024</v>
      </c>
      <c r="W241" s="59" t="n">
        <f aca="false">W150+W160+W170+W180+W190+W200+W210+W220+W230</f>
        <v>2293.24182977186</v>
      </c>
      <c r="X241" s="59" t="n">
        <f aca="false">X150+X160+X170+X180+X190+X200+X210+X220+X230</f>
        <v>2362.06864613413</v>
      </c>
      <c r="Y241" s="59" t="n">
        <f aca="false">Y150+Y160+Y170+Y180+Y190+Y200+Y210+Y220+Y230</f>
        <v>2489.43160170826</v>
      </c>
      <c r="Z241" s="59" t="n">
        <f aca="false">Z150+Z160+Z170+Z180+Z190+Z200+Z210+Z220+Z230</f>
        <v>2654.61308648714</v>
      </c>
      <c r="AA241" s="59" t="n">
        <f aca="false">AA150+AA160+AA170+AA180+AA190+AA200+AA210+AA220+AA230</f>
        <v>2910.01694347823</v>
      </c>
      <c r="AB241" s="59" t="n">
        <f aca="false">AB150+AB160+AB170+AB180+AB190+AB200+AB210+AB220+AB230</f>
        <v>3841.1989950496</v>
      </c>
      <c r="AC241" s="59" t="n">
        <f aca="false">AC150+AC160+AC170+AC180+AC190+AC200+AC210+AC220+AC230</f>
        <v>3970.28482647273</v>
      </c>
      <c r="AD241" s="59" t="n">
        <f aca="false">AD150+AD160+AD170+AD180+AD190+AD200+AD210+AD220+AD230</f>
        <v>3976.94149794407</v>
      </c>
      <c r="AE241" s="59" t="n">
        <f aca="false">AE150+AE160+AE170+AE180+AE190+AE200+AE210+AE220+AE230</f>
        <v>3038.59148668633</v>
      </c>
      <c r="AF241" s="59" t="n">
        <f aca="false">AF150+AF160+AF170+AF180+AF190+AF200+AF210+AF220+AF230</f>
        <v>3422.45372633937</v>
      </c>
      <c r="AG241" s="59" t="n">
        <f aca="false">AG150+AG160+AG170+AG180+AG190+AG200+AG210+AG220+AG230</f>
        <v>3618.17758783146</v>
      </c>
      <c r="AH241" s="59" t="n">
        <f aca="false">AH150+AH160+AH170+AH180+AH190+AH200+AH210+AH220+AH230</f>
        <v>3305.03699828295</v>
      </c>
      <c r="AI241" s="59" t="n">
        <f aca="false">AI150+AI160+AI170+AI180+AI190+AI200+AI210+AI220+AI230</f>
        <v>3403.93568649781</v>
      </c>
      <c r="AJ241" s="59" t="n">
        <f aca="false">AJ150+AJ160+AJ170+AJ180+AJ190+AJ200+AJ210+AJ220+AJ230</f>
        <v>3426.85205817612</v>
      </c>
      <c r="AK241" s="59" t="n">
        <f aca="false">AK150+AK160+AK170+AK180+AK190+AK200+AK210+AK220+AK230</f>
        <v>3538.6480906008</v>
      </c>
      <c r="AL241" s="59" t="n">
        <f aca="false">AL150+AL160+AL170+AL180+AL190+AL200+AL210+AL220+AL230</f>
        <v>3682.42801308685</v>
      </c>
      <c r="AM241" s="60" t="n">
        <f aca="false">SUMIF($C$6:$AL$6,1,C241:AL241)</f>
        <v>7941.81728454995</v>
      </c>
      <c r="AN241" s="60" t="n">
        <f aca="false">SUMIF($C$6:$AL$6,2,C241:AL241)</f>
        <v>26260.0733790016</v>
      </c>
      <c r="AO241" s="60" t="n">
        <f aca="false">SUMIF($C$6:$AL$6,3,C241:AL241)</f>
        <v>42134.5659104463</v>
      </c>
      <c r="AP241" s="60" t="n">
        <f aca="false">SUM(C241:AL241)</f>
        <v>76336.4565739979</v>
      </c>
    </row>
    <row r="242" customFormat="false" ht="15" hidden="false" customHeight="false" outlineLevel="0" collapsed="false">
      <c r="A242" s="7" t="s">
        <v>778</v>
      </c>
      <c r="B242" s="9" t="s">
        <v>88</v>
      </c>
      <c r="C242" s="36" t="n">
        <f aca="false">IF(C240=0,0,C241/C240)</f>
        <v>0.845967686974948</v>
      </c>
      <c r="D242" s="36" t="n">
        <f aca="false">IF(D240=0,0,D241/D240)</f>
        <v>0.662998803809121</v>
      </c>
      <c r="E242" s="36" t="n">
        <f aca="false">IF(E240=0,0,E241/E240)</f>
        <v>0.607918998211654</v>
      </c>
      <c r="F242" s="36" t="n">
        <f aca="false">IF(F240=0,0,F241/F240)</f>
        <v>0.581016807612184</v>
      </c>
      <c r="G242" s="36" t="n">
        <f aca="false">IF(G240=0,0,G241/G240)</f>
        <v>0.569311361409737</v>
      </c>
      <c r="H242" s="36" t="n">
        <f aca="false">IF(H240=0,0,H241/H240)</f>
        <v>0.564177712455634</v>
      </c>
      <c r="I242" s="36" t="n">
        <f aca="false">IF(I240=0,0,I241/I240)</f>
        <v>0.5462624891866</v>
      </c>
      <c r="J242" s="36" t="n">
        <f aca="false">IF(J240=0,0,J241/J240)</f>
        <v>0.542459137473881</v>
      </c>
      <c r="K242" s="36" t="n">
        <f aca="false">IF(K240=0,0,K241/K240)</f>
        <v>0.545578293648796</v>
      </c>
      <c r="L242" s="36" t="n">
        <f aca="false">IF(L240=0,0,L241/L240)</f>
        <v>0.547152837334678</v>
      </c>
      <c r="M242" s="36" t="n">
        <f aca="false">IF(M240=0,0,M241/M240)</f>
        <v>0.551203011299466</v>
      </c>
      <c r="N242" s="36" t="n">
        <f aca="false">IF(N240=0,0,N241/N240)</f>
        <v>0.555094232286317</v>
      </c>
      <c r="O242" s="36" t="n">
        <f aca="false">IF(O240=0,0,O241/O240)</f>
        <v>0.563308577533466</v>
      </c>
      <c r="P242" s="36" t="n">
        <f aca="false">IF(P240=0,0,P241/P240)</f>
        <v>0.56695651096067</v>
      </c>
      <c r="Q242" s="36" t="n">
        <f aca="false">IF(Q240=0,0,Q241/Q240)</f>
        <v>0.569699901232645</v>
      </c>
      <c r="R242" s="36" t="n">
        <f aca="false">IF(R240=0,0,R241/R240)</f>
        <v>0.581267534503903</v>
      </c>
      <c r="S242" s="36" t="n">
        <f aca="false">IF(S240=0,0,S241/S240)</f>
        <v>0.592600538815399</v>
      </c>
      <c r="T242" s="36" t="n">
        <f aca="false">IF(T240=0,0,T241/T240)</f>
        <v>0.596746561470317</v>
      </c>
      <c r="U242" s="36" t="n">
        <f aca="false">IF(U240=0,0,U241/U240)</f>
        <v>0.595486841797325</v>
      </c>
      <c r="V242" s="36" t="n">
        <f aca="false">IF(V240=0,0,V241/V240)</f>
        <v>0.594724259147857</v>
      </c>
      <c r="W242" s="36" t="n">
        <f aca="false">IF(W240=0,0,W241/W240)</f>
        <v>0.587807087417367</v>
      </c>
      <c r="X242" s="36" t="n">
        <f aca="false">IF(X240=0,0,X241/X240)</f>
        <v>0.596438093145986</v>
      </c>
      <c r="Y242" s="36" t="n">
        <f aca="false">IF(Y240=0,0,Y241/Y240)</f>
        <v>0.621254433159127</v>
      </c>
      <c r="Z242" s="36" t="n">
        <f aca="false">IF(Z240=0,0,Z241/Z240)</f>
        <v>0.626204723141753</v>
      </c>
      <c r="AA242" s="36" t="n">
        <f aca="false">IF(AA240=0,0,AA241/AA240)</f>
        <v>0.614780945652356</v>
      </c>
      <c r="AB242" s="36" t="n">
        <f aca="false">IF(AB240=0,0,AB241/AB240)</f>
        <v>0.599616529677461</v>
      </c>
      <c r="AC242" s="36" t="n">
        <f aca="false">IF(AC240=0,0,AC241/AC240)</f>
        <v>0.590358085534516</v>
      </c>
      <c r="AD242" s="36" t="n">
        <f aca="false">IF(AD240=0,0,AD241/AD240)</f>
        <v>0.59786917455712</v>
      </c>
      <c r="AE242" s="36" t="n">
        <f aca="false">IF(AE240=0,0,AE241/AE240)</f>
        <v>0.601289088861142</v>
      </c>
      <c r="AF242" s="36" t="n">
        <f aca="false">IF(AF240=0,0,AF241/AF240)</f>
        <v>0.595323960489924</v>
      </c>
      <c r="AG242" s="36" t="n">
        <f aca="false">IF(AG240=0,0,AG241/AG240)</f>
        <v>0.591950383369667</v>
      </c>
      <c r="AH242" s="36" t="n">
        <f aca="false">IF(AH240=0,0,AH241/AH240)</f>
        <v>0.589102069346023</v>
      </c>
      <c r="AI242" s="36" t="n">
        <f aca="false">IF(AI240=0,0,AI241/AI240)</f>
        <v>0.579740348381879</v>
      </c>
      <c r="AJ242" s="36" t="n">
        <f aca="false">IF(AJ240=0,0,AJ241/AJ240)</f>
        <v>0.586824389665722</v>
      </c>
      <c r="AK242" s="36" t="n">
        <f aca="false">IF(AK240=0,0,AK241/AK240)</f>
        <v>0.610921048544197</v>
      </c>
      <c r="AL242" s="36" t="n">
        <f aca="false">IF(AL240=0,0,AL241/AL240)</f>
        <v>0.614057821856005</v>
      </c>
    </row>
    <row r="243" customFormat="false" ht="15" hidden="false" customHeight="false" outlineLevel="0" collapsed="false">
      <c r="A243" s="7" t="s">
        <v>779</v>
      </c>
      <c r="B243" s="9" t="s">
        <v>93</v>
      </c>
      <c r="C243" s="8" t="n">
        <f aca="false">IF(C$4&gt;=Assumptions!$D$178,CHOOSE(C$6,Assumptions!$D$179,Assumptions!$D$180,Assumptions!$D$181),0)</f>
        <v>0</v>
      </c>
      <c r="D243" s="8" t="n">
        <f aca="false">IF(D$4&gt;=Assumptions!$D$178,CHOOSE(D$6,Assumptions!$D$179,Assumptions!$D$180,Assumptions!$D$181),0)</f>
        <v>150</v>
      </c>
      <c r="E243" s="8" t="n">
        <f aca="false">IF(E$4&gt;=Assumptions!$D$178,CHOOSE(E$6,Assumptions!$D$179,Assumptions!$D$180,Assumptions!$D$181),0)</f>
        <v>150</v>
      </c>
      <c r="F243" s="8" t="n">
        <f aca="false">IF(F$4&gt;=Assumptions!$D$178,CHOOSE(F$6,Assumptions!$D$179,Assumptions!$D$180,Assumptions!$D$181),0)</f>
        <v>150</v>
      </c>
      <c r="G243" s="8" t="n">
        <f aca="false">IF(G$4&gt;=Assumptions!$D$178,CHOOSE(G$6,Assumptions!$D$179,Assumptions!$D$180,Assumptions!$D$181),0)</f>
        <v>150</v>
      </c>
      <c r="H243" s="8" t="n">
        <f aca="false">IF(H$4&gt;=Assumptions!$D$178,CHOOSE(H$6,Assumptions!$D$179,Assumptions!$D$180,Assumptions!$D$181),0)</f>
        <v>150</v>
      </c>
      <c r="I243" s="8" t="n">
        <f aca="false">IF(I$4&gt;=Assumptions!$D$178,CHOOSE(I$6,Assumptions!$D$179,Assumptions!$D$180,Assumptions!$D$181),0)</f>
        <v>150</v>
      </c>
      <c r="J243" s="8" t="n">
        <f aca="false">IF(J$4&gt;=Assumptions!$D$178,CHOOSE(J$6,Assumptions!$D$179,Assumptions!$D$180,Assumptions!$D$181),0)</f>
        <v>150</v>
      </c>
      <c r="K243" s="8" t="n">
        <f aca="false">IF(K$4&gt;=Assumptions!$D$178,CHOOSE(K$6,Assumptions!$D$179,Assumptions!$D$180,Assumptions!$D$181),0)</f>
        <v>150</v>
      </c>
      <c r="L243" s="8" t="n">
        <f aca="false">IF(L$4&gt;=Assumptions!$D$178,CHOOSE(L$6,Assumptions!$D$179,Assumptions!$D$180,Assumptions!$D$181),0)</f>
        <v>150</v>
      </c>
      <c r="M243" s="8" t="n">
        <f aca="false">IF(M$4&gt;=Assumptions!$D$178,CHOOSE(M$6,Assumptions!$D$179,Assumptions!$D$180,Assumptions!$D$181),0)</f>
        <v>150</v>
      </c>
      <c r="N243" s="8" t="n">
        <f aca="false">IF(N$4&gt;=Assumptions!$D$178,CHOOSE(N$6,Assumptions!$D$179,Assumptions!$D$180,Assumptions!$D$181),0)</f>
        <v>150</v>
      </c>
      <c r="O243" s="8" t="n">
        <f aca="false">IF(O$4&gt;=Assumptions!$D$178,CHOOSE(O$6,Assumptions!$D$179,Assumptions!$D$180,Assumptions!$D$181),0)</f>
        <v>300</v>
      </c>
      <c r="P243" s="8" t="n">
        <f aca="false">IF(P$4&gt;=Assumptions!$D$178,CHOOSE(P$6,Assumptions!$D$179,Assumptions!$D$180,Assumptions!$D$181),0)</f>
        <v>300</v>
      </c>
      <c r="Q243" s="8" t="n">
        <f aca="false">IF(Q$4&gt;=Assumptions!$D$178,CHOOSE(Q$6,Assumptions!$D$179,Assumptions!$D$180,Assumptions!$D$181),0)</f>
        <v>300</v>
      </c>
      <c r="R243" s="8" t="n">
        <f aca="false">IF(R$4&gt;=Assumptions!$D$178,CHOOSE(R$6,Assumptions!$D$179,Assumptions!$D$180,Assumptions!$D$181),0)</f>
        <v>300</v>
      </c>
      <c r="S243" s="8" t="n">
        <f aca="false">IF(S$4&gt;=Assumptions!$D$178,CHOOSE(S$6,Assumptions!$D$179,Assumptions!$D$180,Assumptions!$D$181),0)</f>
        <v>300</v>
      </c>
      <c r="T243" s="8" t="n">
        <f aca="false">IF(T$4&gt;=Assumptions!$D$178,CHOOSE(T$6,Assumptions!$D$179,Assumptions!$D$180,Assumptions!$D$181),0)</f>
        <v>300</v>
      </c>
      <c r="U243" s="8" t="n">
        <f aca="false">IF(U$4&gt;=Assumptions!$D$178,CHOOSE(U$6,Assumptions!$D$179,Assumptions!$D$180,Assumptions!$D$181),0)</f>
        <v>300</v>
      </c>
      <c r="V243" s="8" t="n">
        <f aca="false">IF(V$4&gt;=Assumptions!$D$178,CHOOSE(V$6,Assumptions!$D$179,Assumptions!$D$180,Assumptions!$D$181),0)</f>
        <v>300</v>
      </c>
      <c r="W243" s="8" t="n">
        <f aca="false">IF(W$4&gt;=Assumptions!$D$178,CHOOSE(W$6,Assumptions!$D$179,Assumptions!$D$180,Assumptions!$D$181),0)</f>
        <v>300</v>
      </c>
      <c r="X243" s="8" t="n">
        <f aca="false">IF(X$4&gt;=Assumptions!$D$178,CHOOSE(X$6,Assumptions!$D$179,Assumptions!$D$180,Assumptions!$D$181),0)</f>
        <v>300</v>
      </c>
      <c r="Y243" s="8" t="n">
        <f aca="false">IF(Y$4&gt;=Assumptions!$D$178,CHOOSE(Y$6,Assumptions!$D$179,Assumptions!$D$180,Assumptions!$D$181),0)</f>
        <v>300</v>
      </c>
      <c r="Z243" s="8" t="n">
        <f aca="false">IF(Z$4&gt;=Assumptions!$D$178,CHOOSE(Z$6,Assumptions!$D$179,Assumptions!$D$180,Assumptions!$D$181),0)</f>
        <v>300</v>
      </c>
      <c r="AA243" s="8" t="n">
        <f aca="false">IF(AA$4&gt;=Assumptions!$D$178,CHOOSE(AA$6,Assumptions!$D$179,Assumptions!$D$180,Assumptions!$D$181),0)</f>
        <v>450</v>
      </c>
      <c r="AB243" s="8" t="n">
        <f aca="false">IF(AB$4&gt;=Assumptions!$D$178,CHOOSE(AB$6,Assumptions!$D$179,Assumptions!$D$180,Assumptions!$D$181),0)</f>
        <v>450</v>
      </c>
      <c r="AC243" s="8" t="n">
        <f aca="false">IF(AC$4&gt;=Assumptions!$D$178,CHOOSE(AC$6,Assumptions!$D$179,Assumptions!$D$180,Assumptions!$D$181),0)</f>
        <v>450</v>
      </c>
      <c r="AD243" s="8" t="n">
        <f aca="false">IF(AD$4&gt;=Assumptions!$D$178,CHOOSE(AD$6,Assumptions!$D$179,Assumptions!$D$180,Assumptions!$D$181),0)</f>
        <v>450</v>
      </c>
      <c r="AE243" s="8" t="n">
        <f aca="false">IF(AE$4&gt;=Assumptions!$D$178,CHOOSE(AE$6,Assumptions!$D$179,Assumptions!$D$180,Assumptions!$D$181),0)</f>
        <v>450</v>
      </c>
      <c r="AF243" s="8" t="n">
        <f aca="false">IF(AF$4&gt;=Assumptions!$D$178,CHOOSE(AF$6,Assumptions!$D$179,Assumptions!$D$180,Assumptions!$D$181),0)</f>
        <v>450</v>
      </c>
      <c r="AG243" s="8" t="n">
        <f aca="false">IF(AG$4&gt;=Assumptions!$D$178,CHOOSE(AG$6,Assumptions!$D$179,Assumptions!$D$180,Assumptions!$D$181),0)</f>
        <v>450</v>
      </c>
      <c r="AH243" s="8" t="n">
        <f aca="false">IF(AH$4&gt;=Assumptions!$D$178,CHOOSE(AH$6,Assumptions!$D$179,Assumptions!$D$180,Assumptions!$D$181),0)</f>
        <v>450</v>
      </c>
      <c r="AI243" s="8" t="n">
        <f aca="false">IF(AI$4&gt;=Assumptions!$D$178,CHOOSE(AI$6,Assumptions!$D$179,Assumptions!$D$180,Assumptions!$D$181),0)</f>
        <v>450</v>
      </c>
      <c r="AJ243" s="8" t="n">
        <f aca="false">IF(AJ$4&gt;=Assumptions!$D$178,CHOOSE(AJ$6,Assumptions!$D$179,Assumptions!$D$180,Assumptions!$D$181),0)</f>
        <v>450</v>
      </c>
      <c r="AK243" s="8" t="n">
        <f aca="false">IF(AK$4&gt;=Assumptions!$D$178,CHOOSE(AK$6,Assumptions!$D$179,Assumptions!$D$180,Assumptions!$D$181),0)</f>
        <v>450</v>
      </c>
      <c r="AL243" s="8" t="n">
        <f aca="false">IF(AL$4&gt;=Assumptions!$D$178,CHOOSE(AL$6,Assumptions!$D$179,Assumptions!$D$180,Assumptions!$D$181),0)</f>
        <v>450</v>
      </c>
      <c r="AM243" s="45" t="n">
        <f aca="false">SUMIF($C$6:$AL$6,1,C243:AL243)</f>
        <v>1650</v>
      </c>
      <c r="AN243" s="45" t="n">
        <f aca="false">SUMIF($C$6:$AL$6,2,C243:AL243)</f>
        <v>3600</v>
      </c>
      <c r="AO243" s="45" t="n">
        <f aca="false">SUMIF($C$6:$AL$6,3,C243:AL243)</f>
        <v>5400</v>
      </c>
      <c r="AP243" s="45" t="n">
        <f aca="false">SUM(C243:AL243)</f>
        <v>10650</v>
      </c>
    </row>
    <row r="244" customFormat="false" ht="15" hidden="false" customHeight="false" outlineLevel="0" collapsed="false">
      <c r="A244" s="7" t="s">
        <v>780</v>
      </c>
      <c r="B244" s="9" t="s">
        <v>93</v>
      </c>
      <c r="C244" s="8" t="n">
        <f aca="false">'Monthly Operating Costs'!O$33</f>
        <v>1237.3185</v>
      </c>
      <c r="D244" s="8" t="n">
        <f aca="false">'Monthly Operating Costs'!P$33</f>
        <v>735.7185</v>
      </c>
      <c r="E244" s="8" t="n">
        <f aca="false">'Monthly Operating Costs'!Q$33</f>
        <v>814.3685</v>
      </c>
      <c r="F244" s="8" t="n">
        <f aca="false">'Monthly Operating Costs'!R$33</f>
        <v>1226.8685</v>
      </c>
      <c r="G244" s="8" t="n">
        <f aca="false">'Monthly Operating Costs'!S$33</f>
        <v>944.1685</v>
      </c>
      <c r="H244" s="8" t="n">
        <f aca="false">'Monthly Operating Costs'!T$33</f>
        <v>814.3685</v>
      </c>
      <c r="I244" s="8" t="n">
        <f aca="false">'Monthly Operating Costs'!U$33</f>
        <v>2244.3685</v>
      </c>
      <c r="J244" s="8" t="n">
        <f aca="false">'Monthly Operating Costs'!V$33</f>
        <v>814.3685</v>
      </c>
      <c r="K244" s="8" t="n">
        <f aca="false">'Monthly Operating Costs'!W$33</f>
        <v>814.3685</v>
      </c>
      <c r="L244" s="8" t="n">
        <f aca="false">'Monthly Operating Costs'!X$33</f>
        <v>814.3685</v>
      </c>
      <c r="M244" s="8" t="n">
        <f aca="false">'Monthly Operating Costs'!Y$33</f>
        <v>814.3685</v>
      </c>
      <c r="N244" s="8" t="n">
        <f aca="false">'Monthly Operating Costs'!Z$33</f>
        <v>814.3685</v>
      </c>
      <c r="O244" s="8" t="n">
        <f aca="false">'Monthly Operating Costs'!AA$33</f>
        <v>1667.4185</v>
      </c>
      <c r="P244" s="8" t="n">
        <f aca="false">'Monthly Operating Costs'!AB$33</f>
        <v>835.8185</v>
      </c>
      <c r="Q244" s="8" t="n">
        <f aca="false">'Monthly Operating Costs'!AC$33</f>
        <v>835.8185</v>
      </c>
      <c r="R244" s="8" t="n">
        <f aca="false">'Monthly Operating Costs'!AD$33</f>
        <v>1248.3185</v>
      </c>
      <c r="S244" s="8" t="n">
        <f aca="false">'Monthly Operating Costs'!AE$33</f>
        <v>965.6185</v>
      </c>
      <c r="T244" s="8" t="n">
        <f aca="false">'Monthly Operating Costs'!AF$33</f>
        <v>835.8185</v>
      </c>
      <c r="U244" s="8" t="n">
        <f aca="false">'Monthly Operating Costs'!AG$33</f>
        <v>2265.8185</v>
      </c>
      <c r="V244" s="8" t="n">
        <f aca="false">'Monthly Operating Costs'!AH$33</f>
        <v>835.8185</v>
      </c>
      <c r="W244" s="8" t="n">
        <f aca="false">'Monthly Operating Costs'!AI$33</f>
        <v>835.8185</v>
      </c>
      <c r="X244" s="8" t="n">
        <f aca="false">'Monthly Operating Costs'!AJ$33</f>
        <v>835.8185</v>
      </c>
      <c r="Y244" s="8" t="n">
        <f aca="false">'Monthly Operating Costs'!AK$33</f>
        <v>835.8185</v>
      </c>
      <c r="Z244" s="8" t="n">
        <f aca="false">'Monthly Operating Costs'!AL$33</f>
        <v>835.8185</v>
      </c>
      <c r="AA244" s="8" t="n">
        <f aca="false">'Monthly Operating Costs'!AM$33</f>
        <v>1667.4185</v>
      </c>
      <c r="AB244" s="8" t="n">
        <f aca="false">'Monthly Operating Costs'!AN$33</f>
        <v>835.8185</v>
      </c>
      <c r="AC244" s="8" t="n">
        <f aca="false">'Monthly Operating Costs'!AO$33</f>
        <v>835.8185</v>
      </c>
      <c r="AD244" s="8" t="n">
        <f aca="false">'Monthly Operating Costs'!AP$33</f>
        <v>1248.3185</v>
      </c>
      <c r="AE244" s="8" t="n">
        <f aca="false">'Monthly Operating Costs'!AQ$33</f>
        <v>965.6185</v>
      </c>
      <c r="AF244" s="8" t="n">
        <f aca="false">'Monthly Operating Costs'!AR$33</f>
        <v>835.8185</v>
      </c>
      <c r="AG244" s="8" t="n">
        <f aca="false">'Monthly Operating Costs'!AS$33</f>
        <v>2265.8185</v>
      </c>
      <c r="AH244" s="8" t="n">
        <f aca="false">'Monthly Operating Costs'!AT$33</f>
        <v>835.8185</v>
      </c>
      <c r="AI244" s="8" t="n">
        <f aca="false">'Monthly Operating Costs'!AU$33</f>
        <v>835.8185</v>
      </c>
      <c r="AJ244" s="8" t="n">
        <f aca="false">'Monthly Operating Costs'!AV$33</f>
        <v>835.8185</v>
      </c>
      <c r="AK244" s="8" t="n">
        <f aca="false">'Monthly Operating Costs'!AW$33</f>
        <v>835.8185</v>
      </c>
      <c r="AL244" s="8" t="n">
        <f aca="false">'Monthly Operating Costs'!AX$33</f>
        <v>835.8185</v>
      </c>
      <c r="AM244" s="45" t="n">
        <f aca="false">SUMIF($C$6:$AL$6,1,C244:AL244)</f>
        <v>12089.022</v>
      </c>
      <c r="AN244" s="45" t="n">
        <f aca="false">SUMIF($C$6:$AL$6,2,C244:AL244)</f>
        <v>12833.722</v>
      </c>
      <c r="AO244" s="45" t="n">
        <f aca="false">SUMIF($C$6:$AL$6,3,C244:AL244)</f>
        <v>12833.722</v>
      </c>
      <c r="AP244" s="45" t="n">
        <f aca="false">SUM(C244:AL244)</f>
        <v>37756.466</v>
      </c>
    </row>
    <row r="245" customFormat="false" ht="15" hidden="false" customHeight="false" outlineLevel="0" collapsed="false">
      <c r="A245" s="7" t="s">
        <v>781</v>
      </c>
      <c r="B245" s="9" t="s">
        <v>93</v>
      </c>
      <c r="C245" s="8" t="n">
        <f aca="false">IF(AND(Assumptions!$D$145=1,$B$137&gt;0,C$4&gt;=$B$137),Assumptions!$C$60+Assumptions!$C$61,0)+IF(C222=1,'Retail Readiness Costs'!$H$29,0)</f>
        <v>0</v>
      </c>
      <c r="D245" s="8" t="n">
        <f aca="false">IF(AND(Assumptions!$D$145=1,$B$137&gt;0,D$4&gt;=$B$137),Assumptions!$C$60+Assumptions!$C$61,0)+IF(D222=1,'Retail Readiness Costs'!$H$29,0)</f>
        <v>0</v>
      </c>
      <c r="E245" s="8" t="n">
        <f aca="false">IF(AND(Assumptions!$D$145=1,$B$137&gt;0,E$4&gt;=$B$137),Assumptions!$C$60+Assumptions!$C$61,0)+IF(E222=1,'Retail Readiness Costs'!$H$29,0)</f>
        <v>0</v>
      </c>
      <c r="F245" s="8" t="n">
        <f aca="false">IF(AND(Assumptions!$D$145=1,$B$137&gt;0,F$4&gt;=$B$137),Assumptions!$C$60+Assumptions!$C$61,0)+IF(F222=1,'Retail Readiness Costs'!$H$29,0)</f>
        <v>0</v>
      </c>
      <c r="G245" s="8" t="n">
        <f aca="false">IF(AND(Assumptions!$D$145=1,$B$137&gt;0,G$4&gt;=$B$137),Assumptions!$C$60+Assumptions!$C$61,0)+IF(G222=1,'Retail Readiness Costs'!$H$29,0)</f>
        <v>0</v>
      </c>
      <c r="H245" s="8" t="n">
        <f aca="false">IF(AND(Assumptions!$D$145=1,$B$137&gt;0,H$4&gt;=$B$137),Assumptions!$C$60+Assumptions!$C$61,0)+IF(H222=1,'Retail Readiness Costs'!$H$29,0)</f>
        <v>0</v>
      </c>
      <c r="I245" s="8" t="n">
        <f aca="false">IF(AND(Assumptions!$D$145=1,$B$137&gt;0,I$4&gt;=$B$137),Assumptions!$C$60+Assumptions!$C$61,0)+IF(I222=1,'Retail Readiness Costs'!$H$29,0)</f>
        <v>0</v>
      </c>
      <c r="J245" s="8" t="n">
        <f aca="false">IF(AND(Assumptions!$D$145=1,$B$137&gt;0,J$4&gt;=$B$137),Assumptions!$C$60+Assumptions!$C$61,0)+IF(J222=1,'Retail Readiness Costs'!$H$29,0)</f>
        <v>139.99</v>
      </c>
      <c r="K245" s="8" t="n">
        <f aca="false">IF(AND(Assumptions!$D$145=1,$B$137&gt;0,K$4&gt;=$B$137),Assumptions!$C$60+Assumptions!$C$61,0)+IF(K222=1,'Retail Readiness Costs'!$H$29,0)</f>
        <v>139.99</v>
      </c>
      <c r="L245" s="8" t="n">
        <f aca="false">IF(AND(Assumptions!$D$145=1,$B$137&gt;0,L$4&gt;=$B$137),Assumptions!$C$60+Assumptions!$C$61,0)+IF(L222=1,'Retail Readiness Costs'!$H$29,0)</f>
        <v>139.99</v>
      </c>
      <c r="M245" s="8" t="n">
        <f aca="false">IF(AND(Assumptions!$D$145=1,$B$137&gt;0,M$4&gt;=$B$137),Assumptions!$C$60+Assumptions!$C$61,0)+IF(M222=1,'Retail Readiness Costs'!$H$29,0)</f>
        <v>139.99</v>
      </c>
      <c r="N245" s="8" t="n">
        <f aca="false">IF(AND(Assumptions!$D$145=1,$B$137&gt;0,N$4&gt;=$B$137),Assumptions!$C$60+Assumptions!$C$61,0)+IF(N222=1,'Retail Readiness Costs'!$H$29,0)</f>
        <v>139.99</v>
      </c>
      <c r="O245" s="8" t="n">
        <f aca="false">IF(AND(Assumptions!$D$145=1,$B$137&gt;0,O$4&gt;=$B$137),Assumptions!$C$60+Assumptions!$C$61,0)+IF(O222=1,'Retail Readiness Costs'!$H$29,0)</f>
        <v>139.99</v>
      </c>
      <c r="P245" s="8" t="n">
        <f aca="false">IF(AND(Assumptions!$D$145=1,$B$137&gt;0,P$4&gt;=$B$137),Assumptions!$C$60+Assumptions!$C$61,0)+IF(P222=1,'Retail Readiness Costs'!$H$29,0)</f>
        <v>139.99</v>
      </c>
      <c r="Q245" s="8" t="n">
        <f aca="false">IF(AND(Assumptions!$D$145=1,$B$137&gt;0,Q$4&gt;=$B$137),Assumptions!$C$60+Assumptions!$C$61,0)+IF(Q222=1,'Retail Readiness Costs'!$H$29,0)</f>
        <v>139.99</v>
      </c>
      <c r="R245" s="8" t="n">
        <f aca="false">IF(AND(Assumptions!$D$145=1,$B$137&gt;0,R$4&gt;=$B$137),Assumptions!$C$60+Assumptions!$C$61,0)+IF(R222=1,'Retail Readiness Costs'!$H$29,0)</f>
        <v>139.99</v>
      </c>
      <c r="S245" s="8" t="n">
        <f aca="false">IF(AND(Assumptions!$D$145=1,$B$137&gt;0,S$4&gt;=$B$137),Assumptions!$C$60+Assumptions!$C$61,0)+IF(S222=1,'Retail Readiness Costs'!$H$29,0)</f>
        <v>139.99</v>
      </c>
      <c r="T245" s="8" t="n">
        <f aca="false">IF(AND(Assumptions!$D$145=1,$B$137&gt;0,T$4&gt;=$B$137),Assumptions!$C$60+Assumptions!$C$61,0)+IF(T222=1,'Retail Readiness Costs'!$H$29,0)</f>
        <v>139.99</v>
      </c>
      <c r="U245" s="8" t="n">
        <f aca="false">IF(AND(Assumptions!$D$145=1,$B$137&gt;0,U$4&gt;=$B$137),Assumptions!$C$60+Assumptions!$C$61,0)+IF(U222=1,'Retail Readiness Costs'!$H$29,0)</f>
        <v>139.99</v>
      </c>
      <c r="V245" s="8" t="n">
        <f aca="false">IF(AND(Assumptions!$D$145=1,$B$137&gt;0,V$4&gt;=$B$137),Assumptions!$C$60+Assumptions!$C$61,0)+IF(V222=1,'Retail Readiness Costs'!$H$29,0)</f>
        <v>139.99</v>
      </c>
      <c r="W245" s="8" t="n">
        <f aca="false">IF(AND(Assumptions!$D$145=1,$B$137&gt;0,W$4&gt;=$B$137),Assumptions!$C$60+Assumptions!$C$61,0)+IF(W222=1,'Retail Readiness Costs'!$H$29,0)</f>
        <v>139.99</v>
      </c>
      <c r="X245" s="8" t="n">
        <f aca="false">IF(AND(Assumptions!$D$145=1,$B$137&gt;0,X$4&gt;=$B$137),Assumptions!$C$60+Assumptions!$C$61,0)+IF(X222=1,'Retail Readiness Costs'!$H$29,0)</f>
        <v>139.99</v>
      </c>
      <c r="Y245" s="8" t="n">
        <f aca="false">IF(AND(Assumptions!$D$145=1,$B$137&gt;0,Y$4&gt;=$B$137),Assumptions!$C$60+Assumptions!$C$61,0)+IF(Y222=1,'Retail Readiness Costs'!$H$29,0)</f>
        <v>139.99</v>
      </c>
      <c r="Z245" s="8" t="n">
        <f aca="false">IF(AND(Assumptions!$D$145=1,$B$137&gt;0,Z$4&gt;=$B$137),Assumptions!$C$60+Assumptions!$C$61,0)+IF(Z222=1,'Retail Readiness Costs'!$H$29,0)</f>
        <v>139.99</v>
      </c>
      <c r="AA245" s="8" t="n">
        <f aca="false">IF(AND(Assumptions!$D$145=1,$B$137&gt;0,AA$4&gt;=$B$137),Assumptions!$C$60+Assumptions!$C$61,0)+IF(AA222=1,'Retail Readiness Costs'!$H$29,0)</f>
        <v>498.49</v>
      </c>
      <c r="AB245" s="8" t="n">
        <f aca="false">IF(AND(Assumptions!$D$145=1,$B$137&gt;0,AB$4&gt;=$B$137),Assumptions!$C$60+Assumptions!$C$61,0)+IF(AB222=1,'Retail Readiness Costs'!$H$29,0)</f>
        <v>498.49</v>
      </c>
      <c r="AC245" s="8" t="n">
        <f aca="false">IF(AND(Assumptions!$D$145=1,$B$137&gt;0,AC$4&gt;=$B$137),Assumptions!$C$60+Assumptions!$C$61,0)+IF(AC222=1,'Retail Readiness Costs'!$H$29,0)</f>
        <v>498.49</v>
      </c>
      <c r="AD245" s="8" t="n">
        <f aca="false">IF(AND(Assumptions!$D$145=1,$B$137&gt;0,AD$4&gt;=$B$137),Assumptions!$C$60+Assumptions!$C$61,0)+IF(AD222=1,'Retail Readiness Costs'!$H$29,0)</f>
        <v>498.49</v>
      </c>
      <c r="AE245" s="8" t="n">
        <f aca="false">IF(AND(Assumptions!$D$145=1,$B$137&gt;0,AE$4&gt;=$B$137),Assumptions!$C$60+Assumptions!$C$61,0)+IF(AE222=1,'Retail Readiness Costs'!$H$29,0)</f>
        <v>498.49</v>
      </c>
      <c r="AF245" s="8" t="n">
        <f aca="false">IF(AND(Assumptions!$D$145=1,$B$137&gt;0,AF$4&gt;=$B$137),Assumptions!$C$60+Assumptions!$C$61,0)+IF(AF222=1,'Retail Readiness Costs'!$H$29,0)</f>
        <v>498.49</v>
      </c>
      <c r="AG245" s="8" t="n">
        <f aca="false">IF(AND(Assumptions!$D$145=1,$B$137&gt;0,AG$4&gt;=$B$137),Assumptions!$C$60+Assumptions!$C$61,0)+IF(AG222=1,'Retail Readiness Costs'!$H$29,0)</f>
        <v>498.49</v>
      </c>
      <c r="AH245" s="8" t="n">
        <f aca="false">IF(AND(Assumptions!$D$145=1,$B$137&gt;0,AH$4&gt;=$B$137),Assumptions!$C$60+Assumptions!$C$61,0)+IF(AH222=1,'Retail Readiness Costs'!$H$29,0)</f>
        <v>498.49</v>
      </c>
      <c r="AI245" s="8" t="n">
        <f aca="false">IF(AND(Assumptions!$D$145=1,$B$137&gt;0,AI$4&gt;=$B$137),Assumptions!$C$60+Assumptions!$C$61,0)+IF(AI222=1,'Retail Readiness Costs'!$H$29,0)</f>
        <v>498.49</v>
      </c>
      <c r="AJ245" s="8" t="n">
        <f aca="false">IF(AND(Assumptions!$D$145=1,$B$137&gt;0,AJ$4&gt;=$B$137),Assumptions!$C$60+Assumptions!$C$61,0)+IF(AJ222=1,'Retail Readiness Costs'!$H$29,0)</f>
        <v>498.49</v>
      </c>
      <c r="AK245" s="8" t="n">
        <f aca="false">IF(AND(Assumptions!$D$145=1,$B$137&gt;0,AK$4&gt;=$B$137),Assumptions!$C$60+Assumptions!$C$61,0)+IF(AK222=1,'Retail Readiness Costs'!$H$29,0)</f>
        <v>498.49</v>
      </c>
      <c r="AL245" s="8" t="n">
        <f aca="false">IF(AND(Assumptions!$D$145=1,$B$137&gt;0,AL$4&gt;=$B$137),Assumptions!$C$60+Assumptions!$C$61,0)+IF(AL222=1,'Retail Readiness Costs'!$H$29,0)</f>
        <v>498.49</v>
      </c>
      <c r="AM245" s="45" t="n">
        <f aca="false">SUMIF($C$6:$AL$6,1,C245:AL245)</f>
        <v>699.95</v>
      </c>
      <c r="AN245" s="45" t="n">
        <f aca="false">SUMIF($C$6:$AL$6,2,C245:AL245)</f>
        <v>1679.88</v>
      </c>
      <c r="AO245" s="45" t="n">
        <f aca="false">SUMIF($C$6:$AL$6,3,C245:AL245)</f>
        <v>5981.88</v>
      </c>
      <c r="AP245" s="45" t="n">
        <f aca="false">SUM(C245:AL245)</f>
        <v>8361.71</v>
      </c>
    </row>
    <row r="246" customFormat="false" ht="15" hidden="false" customHeight="false" outlineLevel="0" collapsed="false">
      <c r="A246" s="57" t="s">
        <v>782</v>
      </c>
      <c r="B246" s="58" t="s">
        <v>93</v>
      </c>
      <c r="C246" s="59" t="n">
        <f aca="false">C241-C243-C244-C245</f>
        <v>-1201.03138868705</v>
      </c>
      <c r="D246" s="59" t="n">
        <f aca="false">D241-D243-D244-D245</f>
        <v>-732.979304586</v>
      </c>
      <c r="E246" s="59" t="n">
        <f aca="false">E241-E243-E244-E245</f>
        <v>-672.97019384696</v>
      </c>
      <c r="F246" s="59" t="n">
        <f aca="false">F241-F243-F244-F245</f>
        <v>-975.201604849077</v>
      </c>
      <c r="G246" s="59" t="n">
        <f aca="false">G241-G243-G244-G245</f>
        <v>-671.970700345641</v>
      </c>
      <c r="H246" s="59" t="n">
        <f aca="false">H241-H243-H244-H245</f>
        <v>-319.107119248988</v>
      </c>
      <c r="I246" s="59" t="n">
        <f aca="false">I241-I243-I244-I245</f>
        <v>-1569.77523908178</v>
      </c>
      <c r="J246" s="59" t="n">
        <f aca="false">J241-J243-J244-J245</f>
        <v>-258.154891745893</v>
      </c>
      <c r="K246" s="59" t="n">
        <f aca="false">K241-K243-K244-K245</f>
        <v>-97.7970287284936</v>
      </c>
      <c r="L246" s="59" t="n">
        <f aca="false">L241-L243-L244-L245</f>
        <v>-33.561569730927</v>
      </c>
      <c r="M246" s="59" t="n">
        <f aca="false">M241-M243-M244-M245</f>
        <v>-40.7071454027755</v>
      </c>
      <c r="N246" s="59" t="n">
        <f aca="false">N241-N243-N244-N245</f>
        <v>76.1014708035368</v>
      </c>
      <c r="O246" s="59" t="n">
        <f aca="false">O241-O243-O244-O245</f>
        <v>-682.617978028505</v>
      </c>
      <c r="P246" s="59" t="n">
        <f aca="false">P241-P243-P244-P245</f>
        <v>785.334806900925</v>
      </c>
      <c r="Q246" s="59" t="n">
        <f aca="false">Q241-Q243-Q244-Q245</f>
        <v>977.390704381213</v>
      </c>
      <c r="R246" s="59" t="n">
        <f aca="false">R241-R243-R244-R245</f>
        <v>603.098416292393</v>
      </c>
      <c r="S246" s="59" t="n">
        <f aca="false">S241-S243-S244-S245</f>
        <v>406.001959092695</v>
      </c>
      <c r="T246" s="59" t="n">
        <f aca="false">T241-T243-T244-T245</f>
        <v>859.107917842252</v>
      </c>
      <c r="U246" s="59" t="n">
        <f aca="false">U241-U243-U244-U245</f>
        <v>-390.72792158312</v>
      </c>
      <c r="V246" s="59" t="n">
        <f aca="false">V241-V243-V244-V245</f>
        <v>892.7623100024</v>
      </c>
      <c r="W246" s="59" t="n">
        <f aca="false">W241-W243-W244-W245</f>
        <v>1017.43332977186</v>
      </c>
      <c r="X246" s="59" t="n">
        <f aca="false">X241-X243-X244-X245</f>
        <v>1086.26014613413</v>
      </c>
      <c r="Y246" s="59" t="n">
        <f aca="false">Y241-Y243-Y244-Y245</f>
        <v>1213.62310170826</v>
      </c>
      <c r="Z246" s="59" t="n">
        <f aca="false">Z241-Z243-Z244-Z245</f>
        <v>1378.80458648714</v>
      </c>
      <c r="AA246" s="59" t="n">
        <f aca="false">AA241-AA243-AA244-AA245</f>
        <v>294.108443478228</v>
      </c>
      <c r="AB246" s="59" t="n">
        <f aca="false">AB241-AB243-AB244-AB245</f>
        <v>2056.8904950496</v>
      </c>
      <c r="AC246" s="59" t="n">
        <f aca="false">AC241-AC243-AC244-AC245</f>
        <v>2185.97632647273</v>
      </c>
      <c r="AD246" s="59" t="n">
        <f aca="false">AD241-AD243-AD244-AD245</f>
        <v>1780.13299794407</v>
      </c>
      <c r="AE246" s="59" t="n">
        <f aca="false">AE241-AE243-AE244-AE245</f>
        <v>1124.48298668633</v>
      </c>
      <c r="AF246" s="59" t="n">
        <f aca="false">AF241-AF243-AF244-AF245</f>
        <v>1638.14522633937</v>
      </c>
      <c r="AG246" s="59" t="n">
        <f aca="false">AG241-AG243-AG244-AG245</f>
        <v>403.869087831464</v>
      </c>
      <c r="AH246" s="59" t="n">
        <f aca="false">AH241-AH243-AH244-AH245</f>
        <v>1520.72849828295</v>
      </c>
      <c r="AI246" s="59" t="n">
        <f aca="false">AI241-AI243-AI244-AI245</f>
        <v>1619.62718649781</v>
      </c>
      <c r="AJ246" s="59" t="n">
        <f aca="false">AJ241-AJ243-AJ244-AJ245</f>
        <v>1642.54355817612</v>
      </c>
      <c r="AK246" s="59" t="n">
        <f aca="false">AK241-AK243-AK244-AK245</f>
        <v>1754.3395906008</v>
      </c>
      <c r="AL246" s="59" t="n">
        <f aca="false">AL241-AL243-AL244-AL245</f>
        <v>1898.11951308685</v>
      </c>
      <c r="AM246" s="60" t="n">
        <f aca="false">SUMIF($C$6:$AL$6,1,C246:AL246)</f>
        <v>-6497.15471545005</v>
      </c>
      <c r="AN246" s="60" t="n">
        <f aca="false">SUMIF($C$6:$AL$6,2,C246:AL246)</f>
        <v>8146.47137900164</v>
      </c>
      <c r="AO246" s="60" t="n">
        <f aca="false">SUMIF($C$6:$AL$6,3,C246:AL246)</f>
        <v>17918.9639104463</v>
      </c>
      <c r="AP246" s="60" t="n">
        <f aca="false">SUM(C246:AL246)</f>
        <v>19568.2805739979</v>
      </c>
    </row>
    <row r="247" customFormat="false" ht="15" hidden="false" customHeight="false" outlineLevel="0" collapsed="false">
      <c r="A247" s="7" t="s">
        <v>783</v>
      </c>
      <c r="B247" s="9" t="s">
        <v>93</v>
      </c>
      <c r="C247" s="8" t="n">
        <f aca="false">SUMPRODUCT(('Startup Costs'!$F$6:$F$32=C$4)*'Startup Costs'!$G$6:$G$32*'Startup Costs'!$E$6:$E$32)</f>
        <v>4253.5</v>
      </c>
      <c r="D247" s="8" t="n">
        <f aca="false">SUMPRODUCT(('Startup Costs'!$F$6:$F$32=D$4)*'Startup Costs'!$G$6:$G$32*'Startup Costs'!$E$6:$E$32)</f>
        <v>1420</v>
      </c>
      <c r="E247" s="8" t="n">
        <f aca="false">SUMPRODUCT(('Startup Costs'!$F$6:$F$32=E$4)*'Startup Costs'!$G$6:$G$32*'Startup Costs'!$E$6:$E$32)</f>
        <v>1975</v>
      </c>
      <c r="F247" s="8" t="n">
        <f aca="false">SUMPRODUCT(('Startup Costs'!$F$6:$F$32=F$4)*'Startup Costs'!$G$6:$G$32*'Startup Costs'!$E$6:$E$32)</f>
        <v>650</v>
      </c>
      <c r="G247" s="8" t="n">
        <f aca="false">SUMPRODUCT(('Startup Costs'!$F$6:$F$32=G$4)*'Startup Costs'!$G$6:$G$32*'Startup Costs'!$E$6:$E$32)</f>
        <v>1037.5</v>
      </c>
      <c r="H247" s="8" t="n">
        <f aca="false">SUMPRODUCT(('Startup Costs'!$F$6:$F$32=H$4)*'Startup Costs'!$G$6:$G$32*'Startup Costs'!$E$6:$E$32)</f>
        <v>4250</v>
      </c>
      <c r="I247" s="8" t="n">
        <f aca="false">SUMPRODUCT(('Startup Costs'!$F$6:$F$32=I$4)*'Startup Costs'!$G$6:$G$32*'Startup Costs'!$E$6:$E$32)</f>
        <v>5250</v>
      </c>
      <c r="J247" s="8" t="n">
        <f aca="false">SUMPRODUCT(('Startup Costs'!$F$6:$F$32=J$4)*'Startup Costs'!$G$6:$G$32*'Startup Costs'!$E$6:$E$32)</f>
        <v>0</v>
      </c>
      <c r="K247" s="8" t="n">
        <f aca="false">SUMPRODUCT(('Startup Costs'!$F$6:$F$32=K$4)*'Startup Costs'!$G$6:$G$32*'Startup Costs'!$E$6:$E$32)</f>
        <v>687.5</v>
      </c>
      <c r="L247" s="8" t="n">
        <f aca="false">SUMPRODUCT(('Startup Costs'!$F$6:$F$32=L$4)*'Startup Costs'!$G$6:$G$32*'Startup Costs'!$E$6:$E$32)</f>
        <v>262.5</v>
      </c>
      <c r="M247" s="8" t="n">
        <f aca="false">SUMPRODUCT(('Startup Costs'!$F$6:$F$32=M$4)*'Startup Costs'!$G$6:$G$32*'Startup Costs'!$E$6:$E$32)</f>
        <v>0</v>
      </c>
      <c r="N247" s="8" t="n">
        <f aca="false">SUMPRODUCT(('Startup Costs'!$F$6:$F$32=N$4)*'Startup Costs'!$G$6:$G$32*'Startup Costs'!$E$6:$E$32)</f>
        <v>0</v>
      </c>
      <c r="O247" s="8" t="n">
        <f aca="false">SUMPRODUCT(('Startup Costs'!$F$6:$F$32=O$4)*'Startup Costs'!$G$6:$G$32*'Startup Costs'!$E$6:$E$32)</f>
        <v>0</v>
      </c>
      <c r="P247" s="8" t="n">
        <f aca="false">SUMPRODUCT(('Startup Costs'!$F$6:$F$32=P$4)*'Startup Costs'!$G$6:$G$32*'Startup Costs'!$E$6:$E$32)</f>
        <v>0</v>
      </c>
      <c r="Q247" s="8" t="n">
        <f aca="false">SUMPRODUCT(('Startup Costs'!$F$6:$F$32=Q$4)*'Startup Costs'!$G$6:$G$32*'Startup Costs'!$E$6:$E$32)</f>
        <v>0</v>
      </c>
      <c r="R247" s="8" t="n">
        <f aca="false">SUMPRODUCT(('Startup Costs'!$F$6:$F$32=R$4)*'Startup Costs'!$G$6:$G$32*'Startup Costs'!$E$6:$E$32)</f>
        <v>0</v>
      </c>
      <c r="S247" s="8" t="n">
        <f aca="false">SUMPRODUCT(('Startup Costs'!$F$6:$F$32=S$4)*'Startup Costs'!$G$6:$G$32*'Startup Costs'!$E$6:$E$32)</f>
        <v>0</v>
      </c>
      <c r="T247" s="8" t="n">
        <f aca="false">SUMPRODUCT(('Startup Costs'!$F$6:$F$32=T$4)*'Startup Costs'!$G$6:$G$32*'Startup Costs'!$E$6:$E$32)</f>
        <v>0</v>
      </c>
      <c r="U247" s="8" t="n">
        <f aca="false">SUMPRODUCT(('Startup Costs'!$F$6:$F$32=U$4)*'Startup Costs'!$G$6:$G$32*'Startup Costs'!$E$6:$E$32)</f>
        <v>0</v>
      </c>
      <c r="V247" s="8" t="n">
        <f aca="false">SUMPRODUCT(('Startup Costs'!$F$6:$F$32=V$4)*'Startup Costs'!$G$6:$G$32*'Startup Costs'!$E$6:$E$32)</f>
        <v>0</v>
      </c>
      <c r="W247" s="8" t="n">
        <f aca="false">SUMPRODUCT(('Startup Costs'!$F$6:$F$32=W$4)*'Startup Costs'!$G$6:$G$32*'Startup Costs'!$E$6:$E$32)</f>
        <v>0</v>
      </c>
      <c r="X247" s="8" t="n">
        <f aca="false">SUMPRODUCT(('Startup Costs'!$F$6:$F$32=X$4)*'Startup Costs'!$G$6:$G$32*'Startup Costs'!$E$6:$E$32)</f>
        <v>0</v>
      </c>
      <c r="Y247" s="8" t="n">
        <f aca="false">SUMPRODUCT(('Startup Costs'!$F$6:$F$32=Y$4)*'Startup Costs'!$G$6:$G$32*'Startup Costs'!$E$6:$E$32)</f>
        <v>0</v>
      </c>
      <c r="Z247" s="8" t="n">
        <f aca="false">SUMPRODUCT(('Startup Costs'!$F$6:$F$32=Z$4)*'Startup Costs'!$G$6:$G$32*'Startup Costs'!$E$6:$E$32)</f>
        <v>0</v>
      </c>
      <c r="AA247" s="8" t="n">
        <f aca="false">SUMPRODUCT(('Startup Costs'!$F$6:$F$32=AA$4)*'Startup Costs'!$G$6:$G$32*'Startup Costs'!$E$6:$E$32)</f>
        <v>0</v>
      </c>
      <c r="AB247" s="8" t="n">
        <f aca="false">SUMPRODUCT(('Startup Costs'!$F$6:$F$32=AB$4)*'Startup Costs'!$G$6:$G$32*'Startup Costs'!$E$6:$E$32)</f>
        <v>0</v>
      </c>
      <c r="AC247" s="8" t="n">
        <f aca="false">SUMPRODUCT(('Startup Costs'!$F$6:$F$32=AC$4)*'Startup Costs'!$G$6:$G$32*'Startup Costs'!$E$6:$E$32)</f>
        <v>0</v>
      </c>
      <c r="AD247" s="8" t="n">
        <f aca="false">SUMPRODUCT(('Startup Costs'!$F$6:$F$32=AD$4)*'Startup Costs'!$G$6:$G$32*'Startup Costs'!$E$6:$E$32)</f>
        <v>0</v>
      </c>
      <c r="AE247" s="8" t="n">
        <f aca="false">SUMPRODUCT(('Startup Costs'!$F$6:$F$32=AE$4)*'Startup Costs'!$G$6:$G$32*'Startup Costs'!$E$6:$E$32)</f>
        <v>0</v>
      </c>
      <c r="AF247" s="8" t="n">
        <f aca="false">SUMPRODUCT(('Startup Costs'!$F$6:$F$32=AF$4)*'Startup Costs'!$G$6:$G$32*'Startup Costs'!$E$6:$E$32)</f>
        <v>0</v>
      </c>
      <c r="AG247" s="8" t="n">
        <f aca="false">SUMPRODUCT(('Startup Costs'!$F$6:$F$32=AG$4)*'Startup Costs'!$G$6:$G$32*'Startup Costs'!$E$6:$E$32)</f>
        <v>0</v>
      </c>
      <c r="AH247" s="8" t="n">
        <f aca="false">SUMPRODUCT(('Startup Costs'!$F$6:$F$32=AH$4)*'Startup Costs'!$G$6:$G$32*'Startup Costs'!$E$6:$E$32)</f>
        <v>0</v>
      </c>
      <c r="AI247" s="8" t="n">
        <f aca="false">SUMPRODUCT(('Startup Costs'!$F$6:$F$32=AI$4)*'Startup Costs'!$G$6:$G$32*'Startup Costs'!$E$6:$E$32)</f>
        <v>0</v>
      </c>
      <c r="AJ247" s="8" t="n">
        <f aca="false">SUMPRODUCT(('Startup Costs'!$F$6:$F$32=AJ$4)*'Startup Costs'!$G$6:$G$32*'Startup Costs'!$E$6:$E$32)</f>
        <v>0</v>
      </c>
      <c r="AK247" s="8" t="n">
        <f aca="false">SUMPRODUCT(('Startup Costs'!$F$6:$F$32=AK$4)*'Startup Costs'!$G$6:$G$32*'Startup Costs'!$E$6:$E$32)</f>
        <v>0</v>
      </c>
      <c r="AL247" s="8" t="n">
        <f aca="false">SUMPRODUCT(('Startup Costs'!$F$6:$F$32=AL$4)*'Startup Costs'!$G$6:$G$32*'Startup Costs'!$E$6:$E$32)</f>
        <v>0</v>
      </c>
      <c r="AM247" s="45" t="n">
        <f aca="false">SUMIF($C$6:$AL$6,1,C247:AL247)</f>
        <v>19786</v>
      </c>
      <c r="AN247" s="45" t="n">
        <f aca="false">SUMIF($C$6:$AL$6,2,C247:AL247)</f>
        <v>0</v>
      </c>
      <c r="AO247" s="45" t="n">
        <f aca="false">SUMIF($C$6:$AL$6,3,C247:AL247)</f>
        <v>0</v>
      </c>
      <c r="AP247" s="45" t="n">
        <f aca="false">SUM(C247:AL247)</f>
        <v>19786</v>
      </c>
    </row>
    <row r="248" customFormat="false" ht="15" hidden="false" customHeight="false" outlineLevel="0" collapsed="false">
      <c r="A248" s="7" t="s">
        <v>784</v>
      </c>
      <c r="B248" s="9" t="s">
        <v>93</v>
      </c>
      <c r="C248" s="8" t="n">
        <f aca="false">IF(AND(Assumptions!$D$145=1,C$4=$B$137),'Retail Readiness Costs'!$H$14,0)+IF(AND(Assumptions!$D$163=1,C$4=MAX(1,Assumptions!$D$164-Assumptions!$C$66)),'Retail Readiness Costs'!$H$23,0)+IF(AND(Assumptions!$D$154=1,C$4=Assumptions!$D$155),Assumptions!$C$65,0)</f>
        <v>0</v>
      </c>
      <c r="D248" s="8" t="n">
        <f aca="false">IF(AND(Assumptions!$D$145=1,D$4=$B$137),'Retail Readiness Costs'!$H$14,0)+IF(AND(Assumptions!$D$163=1,D$4=MAX(1,Assumptions!$D$164-Assumptions!$C$66)),'Retail Readiness Costs'!$H$23,0)+IF(AND(Assumptions!$D$154=1,D$4=Assumptions!$D$155),Assumptions!$C$65,0)</f>
        <v>0</v>
      </c>
      <c r="E248" s="8" t="n">
        <f aca="false">IF(AND(Assumptions!$D$145=1,E$4=$B$137),'Retail Readiness Costs'!$H$14,0)+IF(AND(Assumptions!$D$163=1,E$4=MAX(1,Assumptions!$D$164-Assumptions!$C$66)),'Retail Readiness Costs'!$H$23,0)+IF(AND(Assumptions!$D$154=1,E$4=Assumptions!$D$155),Assumptions!$C$65,0)</f>
        <v>0</v>
      </c>
      <c r="F248" s="8" t="n">
        <f aca="false">IF(AND(Assumptions!$D$145=1,F$4=$B$137),'Retail Readiness Costs'!$H$14,0)+IF(AND(Assumptions!$D$163=1,F$4=MAX(1,Assumptions!$D$164-Assumptions!$C$66)),'Retail Readiness Costs'!$H$23,0)+IF(AND(Assumptions!$D$154=1,F$4=Assumptions!$D$155),Assumptions!$C$65,0)</f>
        <v>0</v>
      </c>
      <c r="G248" s="8" t="n">
        <f aca="false">IF(AND(Assumptions!$D$145=1,G$4=$B$137),'Retail Readiness Costs'!$H$14,0)+IF(AND(Assumptions!$D$163=1,G$4=MAX(1,Assumptions!$D$164-Assumptions!$C$66)),'Retail Readiness Costs'!$H$23,0)+IF(AND(Assumptions!$D$154=1,G$4=Assumptions!$D$155),Assumptions!$C$65,0)</f>
        <v>0</v>
      </c>
      <c r="H248" s="8" t="n">
        <f aca="false">IF(AND(Assumptions!$D$145=1,H$4=$B$137),'Retail Readiness Costs'!$H$14,0)+IF(AND(Assumptions!$D$163=1,H$4=MAX(1,Assumptions!$D$164-Assumptions!$C$66)),'Retail Readiness Costs'!$H$23,0)+IF(AND(Assumptions!$D$154=1,H$4=Assumptions!$D$155),Assumptions!$C$65,0)</f>
        <v>0</v>
      </c>
      <c r="I248" s="8" t="n">
        <f aca="false">IF(AND(Assumptions!$D$145=1,I$4=$B$137),'Retail Readiness Costs'!$H$14,0)+IF(AND(Assumptions!$D$163=1,I$4=MAX(1,Assumptions!$D$164-Assumptions!$C$66)),'Retail Readiness Costs'!$H$23,0)+IF(AND(Assumptions!$D$154=1,I$4=Assumptions!$D$155),Assumptions!$C$65,0)</f>
        <v>0</v>
      </c>
      <c r="J248" s="8" t="n">
        <f aca="false">IF(AND(Assumptions!$D$145=1,J$4=$B$137),'Retail Readiness Costs'!$H$14,0)+IF(AND(Assumptions!$D$163=1,J$4=MAX(1,Assumptions!$D$164-Assumptions!$C$66)),'Retail Readiness Costs'!$H$23,0)+IF(AND(Assumptions!$D$154=1,J$4=Assumptions!$D$155),Assumptions!$C$65,0)</f>
        <v>1875</v>
      </c>
      <c r="K248" s="8" t="n">
        <f aca="false">IF(AND(Assumptions!$D$145=1,K$4=$B$137),'Retail Readiness Costs'!$H$14,0)+IF(AND(Assumptions!$D$163=1,K$4=MAX(1,Assumptions!$D$164-Assumptions!$C$66)),'Retail Readiness Costs'!$H$23,0)+IF(AND(Assumptions!$D$154=1,K$4=Assumptions!$D$155),Assumptions!$C$65,0)</f>
        <v>0</v>
      </c>
      <c r="L248" s="8" t="n">
        <f aca="false">IF(AND(Assumptions!$D$145=1,L$4=$B$137),'Retail Readiness Costs'!$H$14,0)+IF(AND(Assumptions!$D$163=1,L$4=MAX(1,Assumptions!$D$164-Assumptions!$C$66)),'Retail Readiness Costs'!$H$23,0)+IF(AND(Assumptions!$D$154=1,L$4=Assumptions!$D$155),Assumptions!$C$65,0)</f>
        <v>0</v>
      </c>
      <c r="M248" s="8" t="n">
        <f aca="false">IF(AND(Assumptions!$D$145=1,M$4=$B$137),'Retail Readiness Costs'!$H$14,0)+IF(AND(Assumptions!$D$163=1,M$4=MAX(1,Assumptions!$D$164-Assumptions!$C$66)),'Retail Readiness Costs'!$H$23,0)+IF(AND(Assumptions!$D$154=1,M$4=Assumptions!$D$155),Assumptions!$C$65,0)</f>
        <v>0</v>
      </c>
      <c r="N248" s="8" t="n">
        <f aca="false">IF(AND(Assumptions!$D$145=1,N$4=$B$137),'Retail Readiness Costs'!$H$14,0)+IF(AND(Assumptions!$D$163=1,N$4=MAX(1,Assumptions!$D$164-Assumptions!$C$66)),'Retail Readiness Costs'!$H$23,0)+IF(AND(Assumptions!$D$154=1,N$4=Assumptions!$D$155),Assumptions!$C$65,0)</f>
        <v>0</v>
      </c>
      <c r="O248" s="8" t="n">
        <f aca="false">IF(AND(Assumptions!$D$145=1,O$4=$B$137),'Retail Readiness Costs'!$H$14,0)+IF(AND(Assumptions!$D$163=1,O$4=MAX(1,Assumptions!$D$164-Assumptions!$C$66)),'Retail Readiness Costs'!$H$23,0)+IF(AND(Assumptions!$D$154=1,O$4=Assumptions!$D$155),Assumptions!$C$65,0)</f>
        <v>179</v>
      </c>
      <c r="P248" s="8" t="n">
        <f aca="false">IF(AND(Assumptions!$D$145=1,P$4=$B$137),'Retail Readiness Costs'!$H$14,0)+IF(AND(Assumptions!$D$163=1,P$4=MAX(1,Assumptions!$D$164-Assumptions!$C$66)),'Retail Readiness Costs'!$H$23,0)+IF(AND(Assumptions!$D$154=1,P$4=Assumptions!$D$155),Assumptions!$C$65,0)</f>
        <v>0</v>
      </c>
      <c r="Q248" s="8" t="n">
        <f aca="false">IF(AND(Assumptions!$D$145=1,Q$4=$B$137),'Retail Readiness Costs'!$H$14,0)+IF(AND(Assumptions!$D$163=1,Q$4=MAX(1,Assumptions!$D$164-Assumptions!$C$66)),'Retail Readiness Costs'!$H$23,0)+IF(AND(Assumptions!$D$154=1,Q$4=Assumptions!$D$155),Assumptions!$C$65,0)</f>
        <v>0</v>
      </c>
      <c r="R248" s="8" t="n">
        <f aca="false">IF(AND(Assumptions!$D$145=1,R$4=$B$137),'Retail Readiness Costs'!$H$14,0)+IF(AND(Assumptions!$D$163=1,R$4=MAX(1,Assumptions!$D$164-Assumptions!$C$66)),'Retail Readiness Costs'!$H$23,0)+IF(AND(Assumptions!$D$154=1,R$4=Assumptions!$D$155),Assumptions!$C$65,0)</f>
        <v>0</v>
      </c>
      <c r="S248" s="8" t="n">
        <f aca="false">IF(AND(Assumptions!$D$145=1,S$4=$B$137),'Retail Readiness Costs'!$H$14,0)+IF(AND(Assumptions!$D$163=1,S$4=MAX(1,Assumptions!$D$164-Assumptions!$C$66)),'Retail Readiness Costs'!$H$23,0)+IF(AND(Assumptions!$D$154=1,S$4=Assumptions!$D$155),Assumptions!$C$65,0)</f>
        <v>0</v>
      </c>
      <c r="T248" s="8" t="n">
        <f aca="false">IF(AND(Assumptions!$D$145=1,T$4=$B$137),'Retail Readiness Costs'!$H$14,0)+IF(AND(Assumptions!$D$163=1,T$4=MAX(1,Assumptions!$D$164-Assumptions!$C$66)),'Retail Readiness Costs'!$H$23,0)+IF(AND(Assumptions!$D$154=1,T$4=Assumptions!$D$155),Assumptions!$C$65,0)</f>
        <v>0</v>
      </c>
      <c r="U248" s="8" t="n">
        <f aca="false">IF(AND(Assumptions!$D$145=1,U$4=$B$137),'Retail Readiness Costs'!$H$14,0)+IF(AND(Assumptions!$D$163=1,U$4=MAX(1,Assumptions!$D$164-Assumptions!$C$66)),'Retail Readiness Costs'!$H$23,0)+IF(AND(Assumptions!$D$154=1,U$4=Assumptions!$D$155),Assumptions!$C$65,0)</f>
        <v>0</v>
      </c>
      <c r="V248" s="8" t="n">
        <f aca="false">IF(AND(Assumptions!$D$145=1,V$4=$B$137),'Retail Readiness Costs'!$H$14,0)+IF(AND(Assumptions!$D$163=1,V$4=MAX(1,Assumptions!$D$164-Assumptions!$C$66)),'Retail Readiness Costs'!$H$23,0)+IF(AND(Assumptions!$D$154=1,V$4=Assumptions!$D$155),Assumptions!$C$65,0)</f>
        <v>0</v>
      </c>
      <c r="W248" s="8" t="n">
        <f aca="false">IF(AND(Assumptions!$D$145=1,W$4=$B$137),'Retail Readiness Costs'!$H$14,0)+IF(AND(Assumptions!$D$163=1,W$4=MAX(1,Assumptions!$D$164-Assumptions!$C$66)),'Retail Readiness Costs'!$H$23,0)+IF(AND(Assumptions!$D$154=1,W$4=Assumptions!$D$155),Assumptions!$C$65,0)</f>
        <v>0</v>
      </c>
      <c r="X248" s="8" t="n">
        <f aca="false">IF(AND(Assumptions!$D$145=1,X$4=$B$137),'Retail Readiness Costs'!$H$14,0)+IF(AND(Assumptions!$D$163=1,X$4=MAX(1,Assumptions!$D$164-Assumptions!$C$66)),'Retail Readiness Costs'!$H$23,0)+IF(AND(Assumptions!$D$154=1,X$4=Assumptions!$D$155),Assumptions!$C$65,0)</f>
        <v>5100</v>
      </c>
      <c r="Y248" s="8" t="n">
        <f aca="false">IF(AND(Assumptions!$D$145=1,Y$4=$B$137),'Retail Readiness Costs'!$H$14,0)+IF(AND(Assumptions!$D$163=1,Y$4=MAX(1,Assumptions!$D$164-Assumptions!$C$66)),'Retail Readiness Costs'!$H$23,0)+IF(AND(Assumptions!$D$154=1,Y$4=Assumptions!$D$155),Assumptions!$C$65,0)</f>
        <v>0</v>
      </c>
      <c r="Z248" s="8" t="n">
        <f aca="false">IF(AND(Assumptions!$D$145=1,Z$4=$B$137),'Retail Readiness Costs'!$H$14,0)+IF(AND(Assumptions!$D$163=1,Z$4=MAX(1,Assumptions!$D$164-Assumptions!$C$66)),'Retail Readiness Costs'!$H$23,0)+IF(AND(Assumptions!$D$154=1,Z$4=Assumptions!$D$155),Assumptions!$C$65,0)</f>
        <v>0</v>
      </c>
      <c r="AA248" s="8" t="n">
        <f aca="false">IF(AND(Assumptions!$D$145=1,AA$4=$B$137),'Retail Readiness Costs'!$H$14,0)+IF(AND(Assumptions!$D$163=1,AA$4=MAX(1,Assumptions!$D$164-Assumptions!$C$66)),'Retail Readiness Costs'!$H$23,0)+IF(AND(Assumptions!$D$154=1,AA$4=Assumptions!$D$155),Assumptions!$C$65,0)</f>
        <v>0</v>
      </c>
      <c r="AB248" s="8" t="n">
        <f aca="false">IF(AND(Assumptions!$D$145=1,AB$4=$B$137),'Retail Readiness Costs'!$H$14,0)+IF(AND(Assumptions!$D$163=1,AB$4=MAX(1,Assumptions!$D$164-Assumptions!$C$66)),'Retail Readiness Costs'!$H$23,0)+IF(AND(Assumptions!$D$154=1,AB$4=Assumptions!$D$155),Assumptions!$C$65,0)</f>
        <v>0</v>
      </c>
      <c r="AC248" s="8" t="n">
        <f aca="false">IF(AND(Assumptions!$D$145=1,AC$4=$B$137),'Retail Readiness Costs'!$H$14,0)+IF(AND(Assumptions!$D$163=1,AC$4=MAX(1,Assumptions!$D$164-Assumptions!$C$66)),'Retail Readiness Costs'!$H$23,0)+IF(AND(Assumptions!$D$154=1,AC$4=Assumptions!$D$155),Assumptions!$C$65,0)</f>
        <v>0</v>
      </c>
      <c r="AD248" s="8" t="n">
        <f aca="false">IF(AND(Assumptions!$D$145=1,AD$4=$B$137),'Retail Readiness Costs'!$H$14,0)+IF(AND(Assumptions!$D$163=1,AD$4=MAX(1,Assumptions!$D$164-Assumptions!$C$66)),'Retail Readiness Costs'!$H$23,0)+IF(AND(Assumptions!$D$154=1,AD$4=Assumptions!$D$155),Assumptions!$C$65,0)</f>
        <v>0</v>
      </c>
      <c r="AE248" s="8" t="n">
        <f aca="false">IF(AND(Assumptions!$D$145=1,AE$4=$B$137),'Retail Readiness Costs'!$H$14,0)+IF(AND(Assumptions!$D$163=1,AE$4=MAX(1,Assumptions!$D$164-Assumptions!$C$66)),'Retail Readiness Costs'!$H$23,0)+IF(AND(Assumptions!$D$154=1,AE$4=Assumptions!$D$155),Assumptions!$C$65,0)</f>
        <v>0</v>
      </c>
      <c r="AF248" s="8" t="n">
        <f aca="false">IF(AND(Assumptions!$D$145=1,AF$4=$B$137),'Retail Readiness Costs'!$H$14,0)+IF(AND(Assumptions!$D$163=1,AF$4=MAX(1,Assumptions!$D$164-Assumptions!$C$66)),'Retail Readiness Costs'!$H$23,0)+IF(AND(Assumptions!$D$154=1,AF$4=Assumptions!$D$155),Assumptions!$C$65,0)</f>
        <v>0</v>
      </c>
      <c r="AG248" s="8" t="n">
        <f aca="false">IF(AND(Assumptions!$D$145=1,AG$4=$B$137),'Retail Readiness Costs'!$H$14,0)+IF(AND(Assumptions!$D$163=1,AG$4=MAX(1,Assumptions!$D$164-Assumptions!$C$66)),'Retail Readiness Costs'!$H$23,0)+IF(AND(Assumptions!$D$154=1,AG$4=Assumptions!$D$155),Assumptions!$C$65,0)</f>
        <v>0</v>
      </c>
      <c r="AH248" s="8" t="n">
        <f aca="false">IF(AND(Assumptions!$D$145=1,AH$4=$B$137),'Retail Readiness Costs'!$H$14,0)+IF(AND(Assumptions!$D$163=1,AH$4=MAX(1,Assumptions!$D$164-Assumptions!$C$66)),'Retail Readiness Costs'!$H$23,0)+IF(AND(Assumptions!$D$154=1,AH$4=Assumptions!$D$155),Assumptions!$C$65,0)</f>
        <v>0</v>
      </c>
      <c r="AI248" s="8" t="n">
        <f aca="false">IF(AND(Assumptions!$D$145=1,AI$4=$B$137),'Retail Readiness Costs'!$H$14,0)+IF(AND(Assumptions!$D$163=1,AI$4=MAX(1,Assumptions!$D$164-Assumptions!$C$66)),'Retail Readiness Costs'!$H$23,0)+IF(AND(Assumptions!$D$154=1,AI$4=Assumptions!$D$155),Assumptions!$C$65,0)</f>
        <v>0</v>
      </c>
      <c r="AJ248" s="8" t="n">
        <f aca="false">IF(AND(Assumptions!$D$145=1,AJ$4=$B$137),'Retail Readiness Costs'!$H$14,0)+IF(AND(Assumptions!$D$163=1,AJ$4=MAX(1,Assumptions!$D$164-Assumptions!$C$66)),'Retail Readiness Costs'!$H$23,0)+IF(AND(Assumptions!$D$154=1,AJ$4=Assumptions!$D$155),Assumptions!$C$65,0)</f>
        <v>0</v>
      </c>
      <c r="AK248" s="8" t="n">
        <f aca="false">IF(AND(Assumptions!$D$145=1,AK$4=$B$137),'Retail Readiness Costs'!$H$14,0)+IF(AND(Assumptions!$D$163=1,AK$4=MAX(1,Assumptions!$D$164-Assumptions!$C$66)),'Retail Readiness Costs'!$H$23,0)+IF(AND(Assumptions!$D$154=1,AK$4=Assumptions!$D$155),Assumptions!$C$65,0)</f>
        <v>0</v>
      </c>
      <c r="AL248" s="8" t="n">
        <f aca="false">IF(AND(Assumptions!$D$145=1,AL$4=$B$137),'Retail Readiness Costs'!$H$14,0)+IF(AND(Assumptions!$D$163=1,AL$4=MAX(1,Assumptions!$D$164-Assumptions!$C$66)),'Retail Readiness Costs'!$H$23,0)+IF(AND(Assumptions!$D$154=1,AL$4=Assumptions!$D$155),Assumptions!$C$65,0)</f>
        <v>0</v>
      </c>
      <c r="AM248" s="45" t="n">
        <f aca="false">SUMIF($C$6:$AL$6,1,C248:AL248)</f>
        <v>1875</v>
      </c>
      <c r="AN248" s="45" t="n">
        <f aca="false">SUMIF($C$6:$AL$6,2,C248:AL248)</f>
        <v>5279</v>
      </c>
      <c r="AO248" s="45" t="n">
        <f aca="false">SUMIF($C$6:$AL$6,3,C248:AL248)</f>
        <v>0</v>
      </c>
      <c r="AP248" s="45" t="n">
        <f aca="false">SUM(C248:AL248)</f>
        <v>7154</v>
      </c>
    </row>
    <row r="249" customFormat="false" ht="15" hidden="false" customHeight="false" outlineLevel="0" collapsed="false">
      <c r="A249" s="7" t="s">
        <v>785</v>
      </c>
      <c r="B249" s="9" t="s">
        <v>93</v>
      </c>
      <c r="C249" s="41" t="n">
        <f aca="false">C246-C247-C248</f>
        <v>-5454.53138868705</v>
      </c>
      <c r="D249" s="41" t="n">
        <f aca="false">D246-D247-D248</f>
        <v>-2152.979304586</v>
      </c>
      <c r="E249" s="41" t="n">
        <f aca="false">E246-E247-E248</f>
        <v>-2647.97019384696</v>
      </c>
      <c r="F249" s="41" t="n">
        <f aca="false">F246-F247-F248</f>
        <v>-1625.20160484908</v>
      </c>
      <c r="G249" s="41" t="n">
        <f aca="false">G246-G247-G248</f>
        <v>-1709.47070034564</v>
      </c>
      <c r="H249" s="41" t="n">
        <f aca="false">H246-H247-H248</f>
        <v>-4569.10711924899</v>
      </c>
      <c r="I249" s="41" t="n">
        <f aca="false">I246-I247-I248</f>
        <v>-6819.77523908178</v>
      </c>
      <c r="J249" s="41" t="n">
        <f aca="false">J246-J247-J248</f>
        <v>-2133.15489174589</v>
      </c>
      <c r="K249" s="41" t="n">
        <f aca="false">K246-K247-K248</f>
        <v>-785.297028728494</v>
      </c>
      <c r="L249" s="41" t="n">
        <f aca="false">L246-L247-L248</f>
        <v>-296.061569730927</v>
      </c>
      <c r="M249" s="41" t="n">
        <f aca="false">M246-M247-M248</f>
        <v>-40.7071454027755</v>
      </c>
      <c r="N249" s="41" t="n">
        <f aca="false">N246-N247-N248</f>
        <v>76.1014708035368</v>
      </c>
      <c r="O249" s="41" t="n">
        <f aca="false">O246-O247-O248</f>
        <v>-861.617978028505</v>
      </c>
      <c r="P249" s="41" t="n">
        <f aca="false">P246-P247-P248</f>
        <v>785.334806900925</v>
      </c>
      <c r="Q249" s="41" t="n">
        <f aca="false">Q246-Q247-Q248</f>
        <v>977.390704381213</v>
      </c>
      <c r="R249" s="41" t="n">
        <f aca="false">R246-R247-R248</f>
        <v>603.098416292393</v>
      </c>
      <c r="S249" s="41" t="n">
        <f aca="false">S246-S247-S248</f>
        <v>406.001959092695</v>
      </c>
      <c r="T249" s="41" t="n">
        <f aca="false">T246-T247-T248</f>
        <v>859.107917842252</v>
      </c>
      <c r="U249" s="41" t="n">
        <f aca="false">U246-U247-U248</f>
        <v>-390.72792158312</v>
      </c>
      <c r="V249" s="41" t="n">
        <f aca="false">V246-V247-V248</f>
        <v>892.7623100024</v>
      </c>
      <c r="W249" s="41" t="n">
        <f aca="false">W246-W247-W248</f>
        <v>1017.43332977186</v>
      </c>
      <c r="X249" s="41" t="n">
        <f aca="false">X246-X247-X248</f>
        <v>-4013.73985386587</v>
      </c>
      <c r="Y249" s="41" t="n">
        <f aca="false">Y246-Y247-Y248</f>
        <v>1213.62310170826</v>
      </c>
      <c r="Z249" s="41" t="n">
        <f aca="false">Z246-Z247-Z248</f>
        <v>1378.80458648714</v>
      </c>
      <c r="AA249" s="41" t="n">
        <f aca="false">AA246-AA247-AA248</f>
        <v>294.108443478228</v>
      </c>
      <c r="AB249" s="41" t="n">
        <f aca="false">AB246-AB247-AB248</f>
        <v>2056.8904950496</v>
      </c>
      <c r="AC249" s="41" t="n">
        <f aca="false">AC246-AC247-AC248</f>
        <v>2185.97632647273</v>
      </c>
      <c r="AD249" s="41" t="n">
        <f aca="false">AD246-AD247-AD248</f>
        <v>1780.13299794407</v>
      </c>
      <c r="AE249" s="41" t="n">
        <f aca="false">AE246-AE247-AE248</f>
        <v>1124.48298668633</v>
      </c>
      <c r="AF249" s="41" t="n">
        <f aca="false">AF246-AF247-AF248</f>
        <v>1638.14522633937</v>
      </c>
      <c r="AG249" s="41" t="n">
        <f aca="false">AG246-AG247-AG248</f>
        <v>403.869087831464</v>
      </c>
      <c r="AH249" s="41" t="n">
        <f aca="false">AH246-AH247-AH248</f>
        <v>1520.72849828295</v>
      </c>
      <c r="AI249" s="41" t="n">
        <f aca="false">AI246-AI247-AI248</f>
        <v>1619.62718649781</v>
      </c>
      <c r="AJ249" s="41" t="n">
        <f aca="false">AJ246-AJ247-AJ248</f>
        <v>1642.54355817612</v>
      </c>
      <c r="AK249" s="41" t="n">
        <f aca="false">AK246-AK247-AK248</f>
        <v>1754.3395906008</v>
      </c>
      <c r="AL249" s="41" t="n">
        <f aca="false">AL246-AL247-AL248</f>
        <v>1898.11951308685</v>
      </c>
      <c r="AM249" s="45" t="n">
        <f aca="false">SUMIF($C$6:$AL$6,1,C249:AL249)</f>
        <v>-28158.15471545</v>
      </c>
      <c r="AN249" s="45" t="n">
        <f aca="false">SUMIF($C$6:$AL$6,2,C249:AL249)</f>
        <v>2867.47137900164</v>
      </c>
      <c r="AO249" s="45" t="n">
        <f aca="false">SUMIF($C$6:$AL$6,3,C249:AL249)</f>
        <v>17918.9639104463</v>
      </c>
      <c r="AP249" s="45" t="n">
        <f aca="false">SUM(C249:AL249)</f>
        <v>-7371.7194260021</v>
      </c>
    </row>
    <row r="250" customFormat="false" ht="15" hidden="false" customHeight="false" outlineLevel="0" collapsed="false">
      <c r="A250" s="7" t="s">
        <v>786</v>
      </c>
      <c r="B250" s="9" t="s">
        <v>93</v>
      </c>
      <c r="C250" s="41" t="n">
        <f aca="false">C249</f>
        <v>-5454.53138868705</v>
      </c>
      <c r="D250" s="41" t="n">
        <f aca="false">D249+C250</f>
        <v>-7607.51069327305</v>
      </c>
      <c r="E250" s="41" t="n">
        <f aca="false">E249+D250</f>
        <v>-10255.48088712</v>
      </c>
      <c r="F250" s="41" t="n">
        <f aca="false">F249+E250</f>
        <v>-11880.6824919691</v>
      </c>
      <c r="G250" s="41" t="n">
        <f aca="false">G249+F250</f>
        <v>-13590.1531923147</v>
      </c>
      <c r="H250" s="41" t="n">
        <f aca="false">H249+G250</f>
        <v>-18159.2603115637</v>
      </c>
      <c r="I250" s="41" t="n">
        <f aca="false">I249+H250</f>
        <v>-24979.0355506455</v>
      </c>
      <c r="J250" s="41" t="n">
        <f aca="false">J249+I250</f>
        <v>-27112.1904423914</v>
      </c>
      <c r="K250" s="41" t="n">
        <f aca="false">K249+J250</f>
        <v>-27897.4874711199</v>
      </c>
      <c r="L250" s="41" t="n">
        <f aca="false">L249+K250</f>
        <v>-28193.5490408508</v>
      </c>
      <c r="M250" s="41" t="n">
        <f aca="false">M249+L250</f>
        <v>-28234.2561862536</v>
      </c>
      <c r="N250" s="41" t="n">
        <f aca="false">N249+M250</f>
        <v>-28158.15471545</v>
      </c>
      <c r="O250" s="41" t="n">
        <f aca="false">O249+N250</f>
        <v>-29019.7726934786</v>
      </c>
      <c r="P250" s="41" t="n">
        <f aca="false">P249+O250</f>
        <v>-28234.4378865776</v>
      </c>
      <c r="Q250" s="41" t="n">
        <f aca="false">Q249+P250</f>
        <v>-27257.0471821964</v>
      </c>
      <c r="R250" s="41" t="n">
        <f aca="false">R249+Q250</f>
        <v>-26653.948765904</v>
      </c>
      <c r="S250" s="41" t="n">
        <f aca="false">S249+R250</f>
        <v>-26247.9468068113</v>
      </c>
      <c r="T250" s="41" t="n">
        <f aca="false">T249+S250</f>
        <v>-25388.8388889691</v>
      </c>
      <c r="U250" s="41" t="n">
        <f aca="false">U249+T250</f>
        <v>-25779.5668105522</v>
      </c>
      <c r="V250" s="41" t="n">
        <f aca="false">V249+U250</f>
        <v>-24886.8045005498</v>
      </c>
      <c r="W250" s="41" t="n">
        <f aca="false">W249+V250</f>
        <v>-23869.3711707779</v>
      </c>
      <c r="X250" s="41" t="n">
        <f aca="false">X249+W250</f>
        <v>-27883.1110246438</v>
      </c>
      <c r="Y250" s="41" t="n">
        <f aca="false">Y249+X250</f>
        <v>-26669.4879229356</v>
      </c>
      <c r="Z250" s="41" t="n">
        <f aca="false">Z249+Y250</f>
        <v>-25290.6833364484</v>
      </c>
      <c r="AA250" s="41" t="n">
        <f aca="false">AA249+Z250</f>
        <v>-24996.5748929702</v>
      </c>
      <c r="AB250" s="41" t="n">
        <f aca="false">AB249+AA250</f>
        <v>-22939.6843979206</v>
      </c>
      <c r="AC250" s="41" t="n">
        <f aca="false">AC249+AB250</f>
        <v>-20753.7080714479</v>
      </c>
      <c r="AD250" s="41" t="n">
        <f aca="false">AD249+AC250</f>
        <v>-18973.5750735038</v>
      </c>
      <c r="AE250" s="41" t="n">
        <f aca="false">AE249+AD250</f>
        <v>-17849.0920868175</v>
      </c>
      <c r="AF250" s="41" t="n">
        <f aca="false">AF249+AE250</f>
        <v>-16210.9468604781</v>
      </c>
      <c r="AG250" s="41" t="n">
        <f aca="false">AG249+AF250</f>
        <v>-15807.0777726466</v>
      </c>
      <c r="AH250" s="41" t="n">
        <f aca="false">AH249+AG250</f>
        <v>-14286.3492743637</v>
      </c>
      <c r="AI250" s="41" t="n">
        <f aca="false">AI249+AH250</f>
        <v>-12666.7220878659</v>
      </c>
      <c r="AJ250" s="41" t="n">
        <f aca="false">AJ249+AI250</f>
        <v>-11024.1785296897</v>
      </c>
      <c r="AK250" s="41" t="n">
        <f aca="false">AK249+AJ250</f>
        <v>-9269.83893908895</v>
      </c>
      <c r="AL250" s="41" t="n">
        <f aca="false">AL249+AK250</f>
        <v>-7371.7194260021</v>
      </c>
      <c r="AM250" s="45" t="n">
        <f aca="false">N250</f>
        <v>-28158.15471545</v>
      </c>
      <c r="AN250" s="45" t="n">
        <f aca="false">Z250</f>
        <v>-25290.6833364484</v>
      </c>
      <c r="AO250" s="45" t="n">
        <f aca="false">AL250</f>
        <v>-7371.7194260021</v>
      </c>
      <c r="AP250" s="45" t="n">
        <f aca="false">AL250</f>
        <v>-7371.7194260021</v>
      </c>
    </row>
    <row r="251" customFormat="false" ht="15" hidden="false" customHeight="false" outlineLevel="0" collapsed="false">
      <c r="A251" s="5" t="s">
        <v>787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</row>
    <row r="252" customFormat="false" ht="15" hidden="false" customHeight="false" outlineLevel="0" collapsed="false">
      <c r="A252" s="7" t="s">
        <v>788</v>
      </c>
      <c r="B252" s="9" t="s">
        <v>331</v>
      </c>
      <c r="C252" s="52" t="n">
        <f aca="false">C207+C227</f>
        <v>-0</v>
      </c>
      <c r="D252" s="52" t="n">
        <f aca="false">D207+D227</f>
        <v>-0</v>
      </c>
      <c r="E252" s="52" t="n">
        <f aca="false">E207+E227</f>
        <v>-0</v>
      </c>
      <c r="F252" s="52" t="n">
        <f aca="false">F207+F227</f>
        <v>0</v>
      </c>
      <c r="G252" s="52" t="n">
        <f aca="false">G207+G227</f>
        <v>1.35</v>
      </c>
      <c r="H252" s="52" t="n">
        <f aca="false">H207+H227</f>
        <v>3.18</v>
      </c>
      <c r="I252" s="52" t="n">
        <f aca="false">I207+I227</f>
        <v>5.30901</v>
      </c>
      <c r="J252" s="52" t="n">
        <f aca="false">J207+J227</f>
        <v>6.7887912</v>
      </c>
      <c r="K252" s="52" t="n">
        <f aca="false">K207+K227</f>
        <v>9.4685772</v>
      </c>
      <c r="L252" s="52" t="n">
        <f aca="false">L207+L227</f>
        <v>11.44182868848</v>
      </c>
      <c r="M252" s="52" t="n">
        <f aca="false">M207+M227</f>
        <v>10.8516712087584</v>
      </c>
      <c r="N252" s="52" t="n">
        <f aca="false">N207+N227</f>
        <v>11.5027714812839</v>
      </c>
      <c r="O252" s="52" t="n">
        <f aca="false">O207+O227</f>
        <v>13.3702802629512</v>
      </c>
      <c r="P252" s="52" t="n">
        <f aca="false">P207+P227</f>
        <v>19.0280199110631</v>
      </c>
      <c r="Q252" s="52" t="n">
        <f aca="false">Q207+Q227</f>
        <v>20.5502615039482</v>
      </c>
      <c r="R252" s="52" t="n">
        <f aca="false">R207+R227</f>
        <v>19.7891407075057</v>
      </c>
      <c r="S252" s="52" t="n">
        <f aca="false">S207+S227</f>
        <v>14.8181085617803</v>
      </c>
      <c r="T252" s="52" t="n">
        <f aca="false">T207+T227</f>
        <v>17.1231476713905</v>
      </c>
      <c r="U252" s="52" t="n">
        <f aca="false">U207+U227</f>
        <v>18.6984772571584</v>
      </c>
      <c r="V252" s="52" t="n">
        <f aca="false">V207+V227</f>
        <v>17.5943766953072</v>
      </c>
      <c r="W252" s="52" t="n">
        <f aca="false">W207+W227</f>
        <v>19.261212382231</v>
      </c>
      <c r="X252" s="52" t="n">
        <f aca="false">X207+X227</f>
        <v>19.0300778336442</v>
      </c>
      <c r="Y252" s="52" t="n">
        <f aca="false">Y207+Y227</f>
        <v>17.7079882157279</v>
      </c>
      <c r="Z252" s="52" t="n">
        <f aca="false">Z207+Z227</f>
        <v>18.416307744357</v>
      </c>
      <c r="AA252" s="52" t="n">
        <f aca="false">AA207+AA227</f>
        <v>24.794590828567</v>
      </c>
      <c r="AB252" s="52" t="n">
        <f aca="false">AB207+AB227</f>
        <v>40.2240288828209</v>
      </c>
      <c r="AC252" s="52" t="n">
        <f aca="false">AC207+AC227</f>
        <v>48.9002290551111</v>
      </c>
      <c r="AD252" s="52" t="n">
        <f aca="false">AD207+AD227</f>
        <v>52.4677996631605</v>
      </c>
      <c r="AE252" s="52" t="n">
        <f aca="false">AE207+AE227</f>
        <v>43.408268572625</v>
      </c>
      <c r="AF252" s="52" t="n">
        <f aca="false">AF207+AF227</f>
        <v>55.0304677156417</v>
      </c>
      <c r="AG252" s="52" t="n">
        <f aca="false">AG207+AG227</f>
        <v>59.9024997847023</v>
      </c>
      <c r="AH252" s="52" t="n">
        <f aca="false">AH207+AH227</f>
        <v>56.1980752194985</v>
      </c>
      <c r="AI252" s="52" t="n">
        <f aca="false">AI207+AI227</f>
        <v>61.3520983294582</v>
      </c>
      <c r="AJ252" s="52" t="n">
        <f aca="false">AJ207+AJ227</f>
        <v>60.4607628047967</v>
      </c>
      <c r="AK252" s="52" t="n">
        <f aca="false">AK207+AK227</f>
        <v>56.1278142910828</v>
      </c>
      <c r="AL252" s="52" t="n">
        <f aca="false">AL207+AL227</f>
        <v>58.2472540884923</v>
      </c>
      <c r="AM252" s="53" t="n">
        <f aca="false">SUMIF($C$6:$AL$6,1,C252:AL252)</f>
        <v>59.8926497785223</v>
      </c>
      <c r="AN252" s="53" t="n">
        <f aca="false">SUMIF($C$6:$AL$6,2,C252:AL252)</f>
        <v>215.387398747065</v>
      </c>
      <c r="AO252" s="53" t="n">
        <f aca="false">SUMIF($C$6:$AL$6,3,C252:AL252)</f>
        <v>617.113889235957</v>
      </c>
      <c r="AP252" s="53" t="n">
        <f aca="false">SUM(C252:AL252)</f>
        <v>892.393937761544</v>
      </c>
    </row>
    <row r="253" customFormat="false" ht="15" hidden="false" customHeight="false" outlineLevel="0" collapsed="false">
      <c r="A253" s="7" t="s">
        <v>789</v>
      </c>
      <c r="B253" s="9" t="s">
        <v>331</v>
      </c>
      <c r="C253" s="52" t="n">
        <f aca="false">C252</f>
        <v>-0</v>
      </c>
      <c r="D253" s="52" t="n">
        <f aca="false">D252+C253</f>
        <v>-0</v>
      </c>
      <c r="E253" s="52" t="n">
        <f aca="false">E252+D253</f>
        <v>-0</v>
      </c>
      <c r="F253" s="52" t="n">
        <f aca="false">F252+E253</f>
        <v>0</v>
      </c>
      <c r="G253" s="52" t="n">
        <f aca="false">G252+F253</f>
        <v>1.35</v>
      </c>
      <c r="H253" s="52" t="n">
        <f aca="false">H252+G253</f>
        <v>4.53</v>
      </c>
      <c r="I253" s="52" t="n">
        <f aca="false">I252+H253</f>
        <v>9.83901</v>
      </c>
      <c r="J253" s="52" t="n">
        <f aca="false">J252+I253</f>
        <v>16.6278012</v>
      </c>
      <c r="K253" s="52" t="n">
        <f aca="false">K252+J253</f>
        <v>26.0963784</v>
      </c>
      <c r="L253" s="52" t="n">
        <f aca="false">L252+K253</f>
        <v>37.53820708848</v>
      </c>
      <c r="M253" s="52" t="n">
        <f aca="false">M252+L253</f>
        <v>48.3898782972384</v>
      </c>
      <c r="N253" s="52" t="n">
        <f aca="false">N252+M253</f>
        <v>59.8926497785223</v>
      </c>
      <c r="O253" s="52" t="n">
        <f aca="false">O252+N253</f>
        <v>73.2629300414735</v>
      </c>
      <c r="P253" s="52" t="n">
        <f aca="false">P252+O253</f>
        <v>92.2909499525366</v>
      </c>
      <c r="Q253" s="52" t="n">
        <f aca="false">Q252+P253</f>
        <v>112.841211456485</v>
      </c>
      <c r="R253" s="52" t="n">
        <f aca="false">R252+Q253</f>
        <v>132.630352163991</v>
      </c>
      <c r="S253" s="52" t="n">
        <f aca="false">S252+R253</f>
        <v>147.448460725771</v>
      </c>
      <c r="T253" s="52" t="n">
        <f aca="false">T252+S253</f>
        <v>164.571608397161</v>
      </c>
      <c r="U253" s="52" t="n">
        <f aca="false">U252+T253</f>
        <v>183.27008565432</v>
      </c>
      <c r="V253" s="52" t="n">
        <f aca="false">V252+U253</f>
        <v>200.864462349627</v>
      </c>
      <c r="W253" s="52" t="n">
        <f aca="false">W252+V253</f>
        <v>220.125674731858</v>
      </c>
      <c r="X253" s="52" t="n">
        <f aca="false">X252+W253</f>
        <v>239.155752565502</v>
      </c>
      <c r="Y253" s="52" t="n">
        <f aca="false">Y252+X253</f>
        <v>256.86374078123</v>
      </c>
      <c r="Z253" s="52" t="n">
        <f aca="false">Z252+Y253</f>
        <v>275.280048525587</v>
      </c>
      <c r="AA253" s="52" t="n">
        <f aca="false">AA252+Z253</f>
        <v>300.074639354154</v>
      </c>
      <c r="AB253" s="52" t="n">
        <f aca="false">AB252+AA253</f>
        <v>340.298668236975</v>
      </c>
      <c r="AC253" s="52" t="n">
        <f aca="false">AC252+AB253</f>
        <v>389.198897292086</v>
      </c>
      <c r="AD253" s="52" t="n">
        <f aca="false">AD252+AC253</f>
        <v>441.666696955247</v>
      </c>
      <c r="AE253" s="52" t="n">
        <f aca="false">AE252+AD253</f>
        <v>485.074965527872</v>
      </c>
      <c r="AF253" s="52" t="n">
        <f aca="false">AF252+AE253</f>
        <v>540.105433243513</v>
      </c>
      <c r="AG253" s="52" t="n">
        <f aca="false">AG252+AF253</f>
        <v>600.007933028216</v>
      </c>
      <c r="AH253" s="52" t="n">
        <f aca="false">AH252+AG253</f>
        <v>656.206008247714</v>
      </c>
      <c r="AI253" s="52" t="n">
        <f aca="false">AI252+AH253</f>
        <v>717.558106577172</v>
      </c>
      <c r="AJ253" s="52" t="n">
        <f aca="false">AJ252+AI253</f>
        <v>778.018869381969</v>
      </c>
      <c r="AK253" s="52" t="n">
        <f aca="false">AK252+AJ253</f>
        <v>834.146683673052</v>
      </c>
      <c r="AL253" s="52" t="n">
        <f aca="false">AL252+AK253</f>
        <v>892.393937761544</v>
      </c>
      <c r="AM253" s="53" t="n">
        <f aca="false">N253</f>
        <v>59.8926497785223</v>
      </c>
      <c r="AN253" s="53" t="n">
        <f aca="false">Z253</f>
        <v>275.280048525587</v>
      </c>
      <c r="AO253" s="53" t="n">
        <f aca="false">AL253</f>
        <v>892.393937761544</v>
      </c>
      <c r="AP253" s="53" t="n">
        <f aca="false">AL253</f>
        <v>892.393937761544</v>
      </c>
    </row>
    <row r="254" customFormat="false" ht="15" hidden="false" customHeight="false" outlineLevel="0" collapsed="false">
      <c r="A254" s="7" t="s">
        <v>790</v>
      </c>
      <c r="B254" s="9" t="s">
        <v>231</v>
      </c>
      <c r="C254" s="52" t="n">
        <f aca="false">IF($B$139=0,0,IF(C$4=$B$137,$B$139,IF(C$4&gt;$B$137,(INT(C253/$B$139)-INT(0/$B$139))*$B$139,0)))</f>
        <v>0</v>
      </c>
      <c r="D254" s="52" t="n">
        <f aca="false">IF($B$139=0,0,IF(D$4=$B$137,$B$139,IF(D$4&gt;$B$137,(INT(D253/$B$139)-INT(C253/$B$139))*$B$139,0)))</f>
        <v>0</v>
      </c>
      <c r="E254" s="52" t="n">
        <f aca="false">IF($B$139=0,0,IF(E$4=$B$137,$B$139,IF(E$4&gt;$B$137,(INT(E253/$B$139)-INT(D253/$B$139))*$B$139,0)))</f>
        <v>0</v>
      </c>
      <c r="F254" s="52" t="n">
        <f aca="false">IF($B$139=0,0,IF(F$4=$B$137,$B$139,IF(F$4&gt;$B$137,(INT(F253/$B$139)-INT(E253/$B$139))*$B$139,0)))</f>
        <v>0</v>
      </c>
      <c r="G254" s="52" t="n">
        <f aca="false">IF($B$139=0,0,IF(G$4=$B$137,$B$139,IF(G$4&gt;$B$137,(INT(G253/$B$139)-INT(F253/$B$139))*$B$139,0)))</f>
        <v>0</v>
      </c>
      <c r="H254" s="52" t="n">
        <f aca="false">IF($B$139=0,0,IF(H$4=$B$137,$B$139,IF(H$4&gt;$B$137,(INT(H253/$B$139)-INT(G253/$B$139))*$B$139,0)))</f>
        <v>0</v>
      </c>
      <c r="I254" s="52" t="n">
        <f aca="false">IF($B$139=0,0,IF(I$4=$B$137,$B$139,IF(I$4&gt;$B$137,(INT(I253/$B$139)-INT(H253/$B$139))*$B$139,0)))</f>
        <v>0</v>
      </c>
      <c r="J254" s="52" t="n">
        <f aca="false">IF($B$139=0,0,IF(J$4=$B$137,$B$139,IF(J$4&gt;$B$137,(INT(J253/$B$139)-INT(I253/$B$139))*$B$139,0)))</f>
        <v>1000</v>
      </c>
      <c r="K254" s="52" t="n">
        <f aca="false">IF($B$139=0,0,IF(K$4=$B$137,$B$139,IF(K$4&gt;$B$137,(INT(K253/$B$139)-INT(J253/$B$139))*$B$139,0)))</f>
        <v>0</v>
      </c>
      <c r="L254" s="52" t="n">
        <f aca="false">IF($B$139=0,0,IF(L$4=$B$137,$B$139,IF(L$4&gt;$B$137,(INT(L253/$B$139)-INT(K253/$B$139))*$B$139,0)))</f>
        <v>0</v>
      </c>
      <c r="M254" s="52" t="n">
        <f aca="false">IF($B$139=0,0,IF(M$4=$B$137,$B$139,IF(M$4&gt;$B$137,(INT(M253/$B$139)-INT(L253/$B$139))*$B$139,0)))</f>
        <v>0</v>
      </c>
      <c r="N254" s="52" t="n">
        <f aca="false">IF($B$139=0,0,IF(N$4=$B$137,$B$139,IF(N$4&gt;$B$137,(INT(N253/$B$139)-INT(M253/$B$139))*$B$139,0)))</f>
        <v>0</v>
      </c>
      <c r="O254" s="52" t="n">
        <f aca="false">IF($B$139=0,0,IF(O$4=$B$137,$B$139,IF(O$4&gt;$B$137,(INT(O253/$B$139)-INT(N253/$B$139))*$B$139,0)))</f>
        <v>0</v>
      </c>
      <c r="P254" s="52" t="n">
        <f aca="false">IF($B$139=0,0,IF(P$4=$B$137,$B$139,IF(P$4&gt;$B$137,(INT(P253/$B$139)-INT(O253/$B$139))*$B$139,0)))</f>
        <v>0</v>
      </c>
      <c r="Q254" s="52" t="n">
        <f aca="false">IF($B$139=0,0,IF(Q$4=$B$137,$B$139,IF(Q$4&gt;$B$137,(INT(Q253/$B$139)-INT(P253/$B$139))*$B$139,0)))</f>
        <v>0</v>
      </c>
      <c r="R254" s="52" t="n">
        <f aca="false">IF($B$139=0,0,IF(R$4=$B$137,$B$139,IF(R$4&gt;$B$137,(INT(R253/$B$139)-INT(Q253/$B$139))*$B$139,0)))</f>
        <v>0</v>
      </c>
      <c r="S254" s="52" t="n">
        <f aca="false">IF($B$139=0,0,IF(S$4=$B$137,$B$139,IF(S$4&gt;$B$137,(INT(S253/$B$139)-INT(R253/$B$139))*$B$139,0)))</f>
        <v>0</v>
      </c>
      <c r="T254" s="52" t="n">
        <f aca="false">IF($B$139=0,0,IF(T$4=$B$137,$B$139,IF(T$4&gt;$B$137,(INT(T253/$B$139)-INT(S253/$B$139))*$B$139,0)))</f>
        <v>0</v>
      </c>
      <c r="U254" s="52" t="n">
        <f aca="false">IF($B$139=0,0,IF(U$4=$B$137,$B$139,IF(U$4&gt;$B$137,(INT(U253/$B$139)-INT(T253/$B$139))*$B$139,0)))</f>
        <v>0</v>
      </c>
      <c r="V254" s="52" t="n">
        <f aca="false">IF($B$139=0,0,IF(V$4=$B$137,$B$139,IF(V$4&gt;$B$137,(INT(V253/$B$139)-INT(U253/$B$139))*$B$139,0)))</f>
        <v>0</v>
      </c>
      <c r="W254" s="52" t="n">
        <f aca="false">IF($B$139=0,0,IF(W$4=$B$137,$B$139,IF(W$4&gt;$B$137,(INT(W253/$B$139)-INT(V253/$B$139))*$B$139,0)))</f>
        <v>0</v>
      </c>
      <c r="X254" s="52" t="n">
        <f aca="false">IF($B$139=0,0,IF(X$4=$B$137,$B$139,IF(X$4&gt;$B$137,(INT(X253/$B$139)-INT(W253/$B$139))*$B$139,0)))</f>
        <v>0</v>
      </c>
      <c r="Y254" s="52" t="n">
        <f aca="false">IF($B$139=0,0,IF(Y$4=$B$137,$B$139,IF(Y$4&gt;$B$137,(INT(Y253/$B$139)-INT(X253/$B$139))*$B$139,0)))</f>
        <v>0</v>
      </c>
      <c r="Z254" s="52" t="n">
        <f aca="false">IF($B$139=0,0,IF(Z$4=$B$137,$B$139,IF(Z$4&gt;$B$137,(INT(Z253/$B$139)-INT(Y253/$B$139))*$B$139,0)))</f>
        <v>0</v>
      </c>
      <c r="AA254" s="52" t="n">
        <f aca="false">IF($B$139=0,0,IF(AA$4=$B$137,$B$139,IF(AA$4&gt;$B$137,(INT(AA253/$B$139)-INT(Z253/$B$139))*$B$139,0)))</f>
        <v>0</v>
      </c>
      <c r="AB254" s="52" t="n">
        <f aca="false">IF($B$139=0,0,IF(AB$4=$B$137,$B$139,IF(AB$4&gt;$B$137,(INT(AB253/$B$139)-INT(AA253/$B$139))*$B$139,0)))</f>
        <v>0</v>
      </c>
      <c r="AC254" s="52" t="n">
        <f aca="false">IF($B$139=0,0,IF(AC$4=$B$137,$B$139,IF(AC$4&gt;$B$137,(INT(AC253/$B$139)-INT(AB253/$B$139))*$B$139,0)))</f>
        <v>0</v>
      </c>
      <c r="AD254" s="52" t="n">
        <f aca="false">IF($B$139=0,0,IF(AD$4=$B$137,$B$139,IF(AD$4&gt;$B$137,(INT(AD253/$B$139)-INT(AC253/$B$139))*$B$139,0)))</f>
        <v>0</v>
      </c>
      <c r="AE254" s="52" t="n">
        <f aca="false">IF($B$139=0,0,IF(AE$4=$B$137,$B$139,IF(AE$4&gt;$B$137,(INT(AE253/$B$139)-INT(AD253/$B$139))*$B$139,0)))</f>
        <v>0</v>
      </c>
      <c r="AF254" s="52" t="n">
        <f aca="false">IF($B$139=0,0,IF(AF$4=$B$137,$B$139,IF(AF$4&gt;$B$137,(INT(AF253/$B$139)-INT(AE253/$B$139))*$B$139,0)))</f>
        <v>0</v>
      </c>
      <c r="AG254" s="52" t="n">
        <f aca="false">IF($B$139=0,0,IF(AG$4=$B$137,$B$139,IF(AG$4&gt;$B$137,(INT(AG253/$B$139)-INT(AF253/$B$139))*$B$139,0)))</f>
        <v>0</v>
      </c>
      <c r="AH254" s="52" t="n">
        <f aca="false">IF($B$139=0,0,IF(AH$4=$B$137,$B$139,IF(AH$4&gt;$B$137,(INT(AH253/$B$139)-INT(AG253/$B$139))*$B$139,0)))</f>
        <v>0</v>
      </c>
      <c r="AI254" s="52" t="n">
        <f aca="false">IF($B$139=0,0,IF(AI$4=$B$137,$B$139,IF(AI$4&gt;$B$137,(INT(AI253/$B$139)-INT(AH253/$B$139))*$B$139,0)))</f>
        <v>0</v>
      </c>
      <c r="AJ254" s="52" t="n">
        <f aca="false">IF($B$139=0,0,IF(AJ$4=$B$137,$B$139,IF(AJ$4&gt;$B$137,(INT(AJ253/$B$139)-INT(AI253/$B$139))*$B$139,0)))</f>
        <v>0</v>
      </c>
      <c r="AK254" s="52" t="n">
        <f aca="false">IF($B$139=0,0,IF(AK$4=$B$137,$B$139,IF(AK$4&gt;$B$137,(INT(AK253/$B$139)-INT(AJ253/$B$139))*$B$139,0)))</f>
        <v>0</v>
      </c>
      <c r="AL254" s="52" t="n">
        <f aca="false">IF($B$139=0,0,IF(AL$4=$B$137,$B$139,IF(AL$4&gt;$B$137,(INT(AL253/$B$139)-INT(AK253/$B$139))*$B$139,0)))</f>
        <v>0</v>
      </c>
      <c r="AM254" s="53" t="n">
        <f aca="false">SUMIF($C$6:$AL$6,1,C254:AL254)</f>
        <v>1000</v>
      </c>
      <c r="AN254" s="53" t="n">
        <f aca="false">SUMIF($C$6:$AL$6,2,C254:AL254)</f>
        <v>0</v>
      </c>
      <c r="AO254" s="53" t="n">
        <f aca="false">SUMIF($C$6:$AL$6,3,C254:AL254)</f>
        <v>0</v>
      </c>
      <c r="AP254" s="53" t="n">
        <f aca="false">SUM(C254:AL254)</f>
        <v>1000</v>
      </c>
    </row>
    <row r="255" customFormat="false" ht="15" hidden="false" customHeight="false" outlineLevel="0" collapsed="false">
      <c r="A255" s="7" t="s">
        <v>791</v>
      </c>
      <c r="B255" s="9" t="s">
        <v>93</v>
      </c>
      <c r="C255" s="8" t="n">
        <f aca="false">C254*Assumptions!$C$57</f>
        <v>0</v>
      </c>
      <c r="D255" s="8" t="n">
        <f aca="false">D254*Assumptions!$C$57</f>
        <v>0</v>
      </c>
      <c r="E255" s="8" t="n">
        <f aca="false">E254*Assumptions!$C$57</f>
        <v>0</v>
      </c>
      <c r="F255" s="8" t="n">
        <f aca="false">F254*Assumptions!$C$57</f>
        <v>0</v>
      </c>
      <c r="G255" s="8" t="n">
        <f aca="false">G254*Assumptions!$C$57</f>
        <v>0</v>
      </c>
      <c r="H255" s="8" t="n">
        <f aca="false">H254*Assumptions!$C$57</f>
        <v>0</v>
      </c>
      <c r="I255" s="8" t="n">
        <f aca="false">I254*Assumptions!$C$57</f>
        <v>0</v>
      </c>
      <c r="J255" s="8" t="n">
        <f aca="false">J254*Assumptions!$C$57</f>
        <v>3625</v>
      </c>
      <c r="K255" s="8" t="n">
        <f aca="false">K254*Assumptions!$C$57</f>
        <v>0</v>
      </c>
      <c r="L255" s="8" t="n">
        <f aca="false">L254*Assumptions!$C$57</f>
        <v>0</v>
      </c>
      <c r="M255" s="8" t="n">
        <f aca="false">M254*Assumptions!$C$57</f>
        <v>0</v>
      </c>
      <c r="N255" s="8" t="n">
        <f aca="false">N254*Assumptions!$C$57</f>
        <v>0</v>
      </c>
      <c r="O255" s="8" t="n">
        <f aca="false">O254*Assumptions!$C$57</f>
        <v>0</v>
      </c>
      <c r="P255" s="8" t="n">
        <f aca="false">P254*Assumptions!$C$57</f>
        <v>0</v>
      </c>
      <c r="Q255" s="8" t="n">
        <f aca="false">Q254*Assumptions!$C$57</f>
        <v>0</v>
      </c>
      <c r="R255" s="8" t="n">
        <f aca="false">R254*Assumptions!$C$57</f>
        <v>0</v>
      </c>
      <c r="S255" s="8" t="n">
        <f aca="false">S254*Assumptions!$C$57</f>
        <v>0</v>
      </c>
      <c r="T255" s="8" t="n">
        <f aca="false">T254*Assumptions!$C$57</f>
        <v>0</v>
      </c>
      <c r="U255" s="8" t="n">
        <f aca="false">U254*Assumptions!$C$57</f>
        <v>0</v>
      </c>
      <c r="V255" s="8" t="n">
        <f aca="false">V254*Assumptions!$C$57</f>
        <v>0</v>
      </c>
      <c r="W255" s="8" t="n">
        <f aca="false">W254*Assumptions!$C$57</f>
        <v>0</v>
      </c>
      <c r="X255" s="8" t="n">
        <f aca="false">X254*Assumptions!$C$57</f>
        <v>0</v>
      </c>
      <c r="Y255" s="8" t="n">
        <f aca="false">Y254*Assumptions!$C$57</f>
        <v>0</v>
      </c>
      <c r="Z255" s="8" t="n">
        <f aca="false">Z254*Assumptions!$C$57</f>
        <v>0</v>
      </c>
      <c r="AA255" s="8" t="n">
        <f aca="false">AA254*Assumptions!$C$57</f>
        <v>0</v>
      </c>
      <c r="AB255" s="8" t="n">
        <f aca="false">AB254*Assumptions!$C$57</f>
        <v>0</v>
      </c>
      <c r="AC255" s="8" t="n">
        <f aca="false">AC254*Assumptions!$C$57</f>
        <v>0</v>
      </c>
      <c r="AD255" s="8" t="n">
        <f aca="false">AD254*Assumptions!$C$57</f>
        <v>0</v>
      </c>
      <c r="AE255" s="8" t="n">
        <f aca="false">AE254*Assumptions!$C$57</f>
        <v>0</v>
      </c>
      <c r="AF255" s="8" t="n">
        <f aca="false">AF254*Assumptions!$C$57</f>
        <v>0</v>
      </c>
      <c r="AG255" s="8" t="n">
        <f aca="false">AG254*Assumptions!$C$57</f>
        <v>0</v>
      </c>
      <c r="AH255" s="8" t="n">
        <f aca="false">AH254*Assumptions!$C$57</f>
        <v>0</v>
      </c>
      <c r="AI255" s="8" t="n">
        <f aca="false">AI254*Assumptions!$C$57</f>
        <v>0</v>
      </c>
      <c r="AJ255" s="8" t="n">
        <f aca="false">AJ254*Assumptions!$C$57</f>
        <v>0</v>
      </c>
      <c r="AK255" s="8" t="n">
        <f aca="false">AK254*Assumptions!$C$57</f>
        <v>0</v>
      </c>
      <c r="AL255" s="8" t="n">
        <f aca="false">AL254*Assumptions!$C$57</f>
        <v>0</v>
      </c>
      <c r="AM255" s="45" t="n">
        <f aca="false">SUMIF($C$6:$AL$6,1,C255:AL255)</f>
        <v>3625</v>
      </c>
      <c r="AN255" s="45" t="n">
        <f aca="false">SUMIF($C$6:$AL$6,2,C255:AL255)</f>
        <v>0</v>
      </c>
      <c r="AO255" s="45" t="n">
        <f aca="false">SUMIF($C$6:$AL$6,3,C255:AL255)</f>
        <v>0</v>
      </c>
      <c r="AP255" s="45" t="n">
        <f aca="false">SUM(C255:AL255)</f>
        <v>3625</v>
      </c>
    </row>
    <row r="256" customFormat="false" ht="15" hidden="false" customHeight="false" outlineLevel="0" collapsed="false">
      <c r="A256" s="7" t="s">
        <v>792</v>
      </c>
      <c r="B256" s="9" t="s">
        <v>231</v>
      </c>
      <c r="C256" s="52" t="n">
        <f aca="false">C254</f>
        <v>0</v>
      </c>
      <c r="D256" s="52" t="n">
        <f aca="false">D254+C256</f>
        <v>0</v>
      </c>
      <c r="E256" s="52" t="n">
        <f aca="false">E254+D256</f>
        <v>0</v>
      </c>
      <c r="F256" s="52" t="n">
        <f aca="false">F254+E256</f>
        <v>0</v>
      </c>
      <c r="G256" s="52" t="n">
        <f aca="false">G254+F256</f>
        <v>0</v>
      </c>
      <c r="H256" s="52" t="n">
        <f aca="false">H254+G256</f>
        <v>0</v>
      </c>
      <c r="I256" s="52" t="n">
        <f aca="false">I254+H256</f>
        <v>0</v>
      </c>
      <c r="J256" s="52" t="n">
        <f aca="false">J254+I256</f>
        <v>1000</v>
      </c>
      <c r="K256" s="52" t="n">
        <f aca="false">K254+J256</f>
        <v>1000</v>
      </c>
      <c r="L256" s="52" t="n">
        <f aca="false">L254+K256</f>
        <v>1000</v>
      </c>
      <c r="M256" s="52" t="n">
        <f aca="false">M254+L256</f>
        <v>1000</v>
      </c>
      <c r="N256" s="52" t="n">
        <f aca="false">N254+M256</f>
        <v>1000</v>
      </c>
      <c r="O256" s="52" t="n">
        <f aca="false">O254+N256</f>
        <v>1000</v>
      </c>
      <c r="P256" s="52" t="n">
        <f aca="false">P254+O256</f>
        <v>1000</v>
      </c>
      <c r="Q256" s="52" t="n">
        <f aca="false">Q254+P256</f>
        <v>1000</v>
      </c>
      <c r="R256" s="52" t="n">
        <f aca="false">R254+Q256</f>
        <v>1000</v>
      </c>
      <c r="S256" s="52" t="n">
        <f aca="false">S254+R256</f>
        <v>1000</v>
      </c>
      <c r="T256" s="52" t="n">
        <f aca="false">T254+S256</f>
        <v>1000</v>
      </c>
      <c r="U256" s="52" t="n">
        <f aca="false">U254+T256</f>
        <v>1000</v>
      </c>
      <c r="V256" s="52" t="n">
        <f aca="false">V254+U256</f>
        <v>1000</v>
      </c>
      <c r="W256" s="52" t="n">
        <f aca="false">W254+V256</f>
        <v>1000</v>
      </c>
      <c r="X256" s="52" t="n">
        <f aca="false">X254+W256</f>
        <v>1000</v>
      </c>
      <c r="Y256" s="52" t="n">
        <f aca="false">Y254+X256</f>
        <v>1000</v>
      </c>
      <c r="Z256" s="52" t="n">
        <f aca="false">Z254+Y256</f>
        <v>1000</v>
      </c>
      <c r="AA256" s="52" t="n">
        <f aca="false">AA254+Z256</f>
        <v>1000</v>
      </c>
      <c r="AB256" s="52" t="n">
        <f aca="false">AB254+AA256</f>
        <v>1000</v>
      </c>
      <c r="AC256" s="52" t="n">
        <f aca="false">AC254+AB256</f>
        <v>1000</v>
      </c>
      <c r="AD256" s="52" t="n">
        <f aca="false">AD254+AC256</f>
        <v>1000</v>
      </c>
      <c r="AE256" s="52" t="n">
        <f aca="false">AE254+AD256</f>
        <v>1000</v>
      </c>
      <c r="AF256" s="52" t="n">
        <f aca="false">AF254+AE256</f>
        <v>1000</v>
      </c>
      <c r="AG256" s="52" t="n">
        <f aca="false">AG254+AF256</f>
        <v>1000</v>
      </c>
      <c r="AH256" s="52" t="n">
        <f aca="false">AH254+AG256</f>
        <v>1000</v>
      </c>
      <c r="AI256" s="52" t="n">
        <f aca="false">AI254+AH256</f>
        <v>1000</v>
      </c>
      <c r="AJ256" s="52" t="n">
        <f aca="false">AJ254+AI256</f>
        <v>1000</v>
      </c>
      <c r="AK256" s="52" t="n">
        <f aca="false">AK254+AJ256</f>
        <v>1000</v>
      </c>
      <c r="AL256" s="52" t="n">
        <f aca="false">AL254+AK256</f>
        <v>1000</v>
      </c>
      <c r="AM256" s="53" t="n">
        <f aca="false">N256</f>
        <v>1000</v>
      </c>
      <c r="AN256" s="53" t="n">
        <f aca="false">Z256</f>
        <v>1000</v>
      </c>
      <c r="AO256" s="53" t="n">
        <f aca="false">AL256</f>
        <v>1000</v>
      </c>
      <c r="AP256" s="53" t="n">
        <f aca="false">AL256</f>
        <v>1000</v>
      </c>
    </row>
    <row r="257" customFormat="false" ht="15" hidden="false" customHeight="false" outlineLevel="0" collapsed="false">
      <c r="A257" s="7" t="s">
        <v>793</v>
      </c>
      <c r="B257" s="9" t="s">
        <v>231</v>
      </c>
      <c r="C257" s="52" t="n">
        <f aca="false">C256-C253</f>
        <v>0</v>
      </c>
      <c r="D257" s="52" t="n">
        <f aca="false">D256-D253</f>
        <v>0</v>
      </c>
      <c r="E257" s="52" t="n">
        <f aca="false">E256-E253</f>
        <v>0</v>
      </c>
      <c r="F257" s="52" t="n">
        <f aca="false">F256-F253</f>
        <v>0</v>
      </c>
      <c r="G257" s="52" t="n">
        <f aca="false">G256-G253</f>
        <v>-1.35</v>
      </c>
      <c r="H257" s="52" t="n">
        <f aca="false">H256-H253</f>
        <v>-4.53</v>
      </c>
      <c r="I257" s="52" t="n">
        <f aca="false">I256-I253</f>
        <v>-9.83901</v>
      </c>
      <c r="J257" s="52" t="n">
        <f aca="false">J256-J253</f>
        <v>983.3721988</v>
      </c>
      <c r="K257" s="52" t="n">
        <f aca="false">K256-K253</f>
        <v>973.9036216</v>
      </c>
      <c r="L257" s="52" t="n">
        <f aca="false">L256-L253</f>
        <v>962.46179291152</v>
      </c>
      <c r="M257" s="52" t="n">
        <f aca="false">M256-M253</f>
        <v>951.610121702762</v>
      </c>
      <c r="N257" s="52" t="n">
        <f aca="false">N256-N253</f>
        <v>940.107350221478</v>
      </c>
      <c r="O257" s="52" t="n">
        <f aca="false">O256-O253</f>
        <v>926.737069958527</v>
      </c>
      <c r="P257" s="52" t="n">
        <f aca="false">P256-P253</f>
        <v>907.709050047463</v>
      </c>
      <c r="Q257" s="52" t="n">
        <f aca="false">Q256-Q253</f>
        <v>887.158788543515</v>
      </c>
      <c r="R257" s="52" t="n">
        <f aca="false">R256-R253</f>
        <v>867.369647836009</v>
      </c>
      <c r="S257" s="52" t="n">
        <f aca="false">S256-S253</f>
        <v>852.551539274229</v>
      </c>
      <c r="T257" s="52" t="n">
        <f aca="false">T256-T253</f>
        <v>835.428391602839</v>
      </c>
      <c r="U257" s="52" t="n">
        <f aca="false">U256-U253</f>
        <v>816.72991434568</v>
      </c>
      <c r="V257" s="52" t="n">
        <f aca="false">V256-V253</f>
        <v>799.135537650373</v>
      </c>
      <c r="W257" s="52" t="n">
        <f aca="false">W256-W253</f>
        <v>779.874325268142</v>
      </c>
      <c r="X257" s="52" t="n">
        <f aca="false">X256-X253</f>
        <v>760.844247434498</v>
      </c>
      <c r="Y257" s="52" t="n">
        <f aca="false">Y256-Y253</f>
        <v>743.13625921877</v>
      </c>
      <c r="Z257" s="52" t="n">
        <f aca="false">Z256-Z253</f>
        <v>724.719951474413</v>
      </c>
      <c r="AA257" s="52" t="n">
        <f aca="false">AA256-AA253</f>
        <v>699.925360645846</v>
      </c>
      <c r="AB257" s="52" t="n">
        <f aca="false">AB256-AB253</f>
        <v>659.701331763025</v>
      </c>
      <c r="AC257" s="52" t="n">
        <f aca="false">AC256-AC253</f>
        <v>610.801102707914</v>
      </c>
      <c r="AD257" s="52" t="n">
        <f aca="false">AD256-AD253</f>
        <v>558.333303044753</v>
      </c>
      <c r="AE257" s="52" t="n">
        <f aca="false">AE256-AE253</f>
        <v>514.925034472128</v>
      </c>
      <c r="AF257" s="52" t="n">
        <f aca="false">AF256-AF253</f>
        <v>459.894566756487</v>
      </c>
      <c r="AG257" s="52" t="n">
        <f aca="false">AG256-AG253</f>
        <v>399.992066971784</v>
      </c>
      <c r="AH257" s="52" t="n">
        <f aca="false">AH256-AH253</f>
        <v>343.793991752286</v>
      </c>
      <c r="AI257" s="52" t="n">
        <f aca="false">AI256-AI253</f>
        <v>282.441893422828</v>
      </c>
      <c r="AJ257" s="52" t="n">
        <f aca="false">AJ256-AJ253</f>
        <v>221.981130618031</v>
      </c>
      <c r="AK257" s="52" t="n">
        <f aca="false">AK256-AK253</f>
        <v>165.853316326948</v>
      </c>
      <c r="AL257" s="52" t="n">
        <f aca="false">AL256-AL253</f>
        <v>107.606062238456</v>
      </c>
      <c r="AM257" s="53" t="n">
        <f aca="false">N257</f>
        <v>940.107350221478</v>
      </c>
      <c r="AN257" s="53" t="n">
        <f aca="false">Z257</f>
        <v>724.719951474413</v>
      </c>
      <c r="AO257" s="53" t="n">
        <f aca="false">AL257</f>
        <v>107.606062238456</v>
      </c>
      <c r="AP257" s="53" t="n">
        <f aca="false">AL257</f>
        <v>107.606062238456</v>
      </c>
    </row>
    <row r="258" customFormat="false" ht="15" hidden="false" customHeight="false" outlineLevel="0" collapsed="false">
      <c r="A258" s="5" t="s">
        <v>794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</row>
    <row r="259" customFormat="false" ht="15" hidden="false" customHeight="false" outlineLevel="0" collapsed="false">
      <c r="A259" s="7" t="s">
        <v>795</v>
      </c>
      <c r="B259" s="9" t="s">
        <v>63</v>
      </c>
      <c r="C259" s="42" t="str">
        <f aca="false">IF(C246&gt;=0,C$4,"")</f>
        <v/>
      </c>
      <c r="D259" s="42" t="str">
        <f aca="false">IF(D246&gt;=0,D$4,"")</f>
        <v/>
      </c>
      <c r="E259" s="42" t="str">
        <f aca="false">IF(E246&gt;=0,E$4,"")</f>
        <v/>
      </c>
      <c r="F259" s="42" t="str">
        <f aca="false">IF(F246&gt;=0,F$4,"")</f>
        <v/>
      </c>
      <c r="G259" s="42" t="str">
        <f aca="false">IF(G246&gt;=0,G$4,"")</f>
        <v/>
      </c>
      <c r="H259" s="42" t="str">
        <f aca="false">IF(H246&gt;=0,H$4,"")</f>
        <v/>
      </c>
      <c r="I259" s="42" t="str">
        <f aca="false">IF(I246&gt;=0,I$4,"")</f>
        <v/>
      </c>
      <c r="J259" s="42" t="str">
        <f aca="false">IF(J246&gt;=0,J$4,"")</f>
        <v/>
      </c>
      <c r="K259" s="42" t="str">
        <f aca="false">IF(K246&gt;=0,K$4,"")</f>
        <v/>
      </c>
      <c r="L259" s="42" t="str">
        <f aca="false">IF(L246&gt;=0,L$4,"")</f>
        <v/>
      </c>
      <c r="M259" s="42" t="str">
        <f aca="false">IF(M246&gt;=0,M$4,"")</f>
        <v/>
      </c>
      <c r="N259" s="42" t="n">
        <f aca="false">IF(N246&gt;=0,N$4,"")</f>
        <v>12</v>
      </c>
      <c r="O259" s="42" t="str">
        <f aca="false">IF(O246&gt;=0,O$4,"")</f>
        <v/>
      </c>
      <c r="P259" s="42" t="n">
        <f aca="false">IF(P246&gt;=0,P$4,"")</f>
        <v>14</v>
      </c>
      <c r="Q259" s="42" t="n">
        <f aca="false">IF(Q246&gt;=0,Q$4,"")</f>
        <v>15</v>
      </c>
      <c r="R259" s="42" t="n">
        <f aca="false">IF(R246&gt;=0,R$4,"")</f>
        <v>16</v>
      </c>
      <c r="S259" s="42" t="n">
        <f aca="false">IF(S246&gt;=0,S$4,"")</f>
        <v>17</v>
      </c>
      <c r="T259" s="42" t="n">
        <f aca="false">IF(T246&gt;=0,T$4,"")</f>
        <v>18</v>
      </c>
      <c r="U259" s="42" t="str">
        <f aca="false">IF(U246&gt;=0,U$4,"")</f>
        <v/>
      </c>
      <c r="V259" s="42" t="n">
        <f aca="false">IF(V246&gt;=0,V$4,"")</f>
        <v>20</v>
      </c>
      <c r="W259" s="42" t="n">
        <f aca="false">IF(W246&gt;=0,W$4,"")</f>
        <v>21</v>
      </c>
      <c r="X259" s="42" t="n">
        <f aca="false">IF(X246&gt;=0,X$4,"")</f>
        <v>22</v>
      </c>
      <c r="Y259" s="42" t="n">
        <f aca="false">IF(Y246&gt;=0,Y$4,"")</f>
        <v>23</v>
      </c>
      <c r="Z259" s="42" t="n">
        <f aca="false">IF(Z246&gt;=0,Z$4,"")</f>
        <v>24</v>
      </c>
      <c r="AA259" s="42" t="n">
        <f aca="false">IF(AA246&gt;=0,AA$4,"")</f>
        <v>25</v>
      </c>
      <c r="AB259" s="42" t="n">
        <f aca="false">IF(AB246&gt;=0,AB$4,"")</f>
        <v>26</v>
      </c>
      <c r="AC259" s="42" t="n">
        <f aca="false">IF(AC246&gt;=0,AC$4,"")</f>
        <v>27</v>
      </c>
      <c r="AD259" s="42" t="n">
        <f aca="false">IF(AD246&gt;=0,AD$4,"")</f>
        <v>28</v>
      </c>
      <c r="AE259" s="42" t="n">
        <f aca="false">IF(AE246&gt;=0,AE$4,"")</f>
        <v>29</v>
      </c>
      <c r="AF259" s="42" t="n">
        <f aca="false">IF(AF246&gt;=0,AF$4,"")</f>
        <v>30</v>
      </c>
      <c r="AG259" s="42" t="n">
        <f aca="false">IF(AG246&gt;=0,AG$4,"")</f>
        <v>31</v>
      </c>
      <c r="AH259" s="42" t="n">
        <f aca="false">IF(AH246&gt;=0,AH$4,"")</f>
        <v>32</v>
      </c>
      <c r="AI259" s="42" t="n">
        <f aca="false">IF(AI246&gt;=0,AI$4,"")</f>
        <v>33</v>
      </c>
      <c r="AJ259" s="42" t="n">
        <f aca="false">IF(AJ246&gt;=0,AJ$4,"")</f>
        <v>34</v>
      </c>
      <c r="AK259" s="42" t="n">
        <f aca="false">IF(AK246&gt;=0,AK$4,"")</f>
        <v>35</v>
      </c>
      <c r="AL259" s="42" t="n">
        <f aca="false">IF(AL246&gt;=0,AL$4,"")</f>
        <v>36</v>
      </c>
    </row>
    <row r="260" customFormat="false" ht="15" hidden="false" customHeight="false" outlineLevel="0" collapsed="false">
      <c r="A260" s="7" t="s">
        <v>796</v>
      </c>
      <c r="B260" s="9" t="s">
        <v>63</v>
      </c>
      <c r="C260" s="42" t="str">
        <f aca="false">IF(COUNTIF(C246:$AL246,"&lt;0")=0,C$4,"")</f>
        <v/>
      </c>
      <c r="D260" s="42" t="str">
        <f aca="false">IF(COUNTIF(D246:$AL246,"&lt;0")=0,D$4,"")</f>
        <v/>
      </c>
      <c r="E260" s="42" t="str">
        <f aca="false">IF(COUNTIF(E246:$AL246,"&lt;0")=0,E$4,"")</f>
        <v/>
      </c>
      <c r="F260" s="42" t="str">
        <f aca="false">IF(COUNTIF(F246:$AL246,"&lt;0")=0,F$4,"")</f>
        <v/>
      </c>
      <c r="G260" s="42" t="str">
        <f aca="false">IF(COUNTIF(G246:$AL246,"&lt;0")=0,G$4,"")</f>
        <v/>
      </c>
      <c r="H260" s="42" t="str">
        <f aca="false">IF(COUNTIF(H246:$AL246,"&lt;0")=0,H$4,"")</f>
        <v/>
      </c>
      <c r="I260" s="42" t="str">
        <f aca="false">IF(COUNTIF(I246:$AL246,"&lt;0")=0,I$4,"")</f>
        <v/>
      </c>
      <c r="J260" s="42" t="str">
        <f aca="false">IF(COUNTIF(J246:$AL246,"&lt;0")=0,J$4,"")</f>
        <v/>
      </c>
      <c r="K260" s="42" t="str">
        <f aca="false">IF(COUNTIF(K246:$AL246,"&lt;0")=0,K$4,"")</f>
        <v/>
      </c>
      <c r="L260" s="42" t="str">
        <f aca="false">IF(COUNTIF(L246:$AL246,"&lt;0")=0,L$4,"")</f>
        <v/>
      </c>
      <c r="M260" s="42" t="str">
        <f aca="false">IF(COUNTIF(M246:$AL246,"&lt;0")=0,M$4,"")</f>
        <v/>
      </c>
      <c r="N260" s="42" t="str">
        <f aca="false">IF(COUNTIF(N246:$AL246,"&lt;0")=0,N$4,"")</f>
        <v/>
      </c>
      <c r="O260" s="42" t="str">
        <f aca="false">IF(COUNTIF(O246:$AL246,"&lt;0")=0,O$4,"")</f>
        <v/>
      </c>
      <c r="P260" s="42" t="str">
        <f aca="false">IF(COUNTIF(P246:$AL246,"&lt;0")=0,P$4,"")</f>
        <v/>
      </c>
      <c r="Q260" s="42" t="str">
        <f aca="false">IF(COUNTIF(Q246:$AL246,"&lt;0")=0,Q$4,"")</f>
        <v/>
      </c>
      <c r="R260" s="42" t="str">
        <f aca="false">IF(COUNTIF(R246:$AL246,"&lt;0")=0,R$4,"")</f>
        <v/>
      </c>
      <c r="S260" s="42" t="str">
        <f aca="false">IF(COUNTIF(S246:$AL246,"&lt;0")=0,S$4,"")</f>
        <v/>
      </c>
      <c r="T260" s="42" t="str">
        <f aca="false">IF(COUNTIF(T246:$AL246,"&lt;0")=0,T$4,"")</f>
        <v/>
      </c>
      <c r="U260" s="42" t="str">
        <f aca="false">IF(COUNTIF(U246:$AL246,"&lt;0")=0,U$4,"")</f>
        <v/>
      </c>
      <c r="V260" s="42" t="n">
        <f aca="false">IF(COUNTIF(V246:$AL246,"&lt;0")=0,V$4,"")</f>
        <v>20</v>
      </c>
      <c r="W260" s="42" t="n">
        <f aca="false">IF(COUNTIF(W246:$AL246,"&lt;0")=0,W$4,"")</f>
        <v>21</v>
      </c>
      <c r="X260" s="42" t="n">
        <f aca="false">IF(COUNTIF(X246:$AL246,"&lt;0")=0,X$4,"")</f>
        <v>22</v>
      </c>
      <c r="Y260" s="42" t="n">
        <f aca="false">IF(COUNTIF(Y246:$AL246,"&lt;0")=0,Y$4,"")</f>
        <v>23</v>
      </c>
      <c r="Z260" s="42" t="n">
        <f aca="false">IF(COUNTIF(Z246:$AL246,"&lt;0")=0,Z$4,"")</f>
        <v>24</v>
      </c>
      <c r="AA260" s="42" t="n">
        <f aca="false">IF(COUNTIF(AA246:$AL246,"&lt;0")=0,AA$4,"")</f>
        <v>25</v>
      </c>
      <c r="AB260" s="42" t="n">
        <f aca="false">IF(COUNTIF(AB246:$AL246,"&lt;0")=0,AB$4,"")</f>
        <v>26</v>
      </c>
      <c r="AC260" s="42" t="n">
        <f aca="false">IF(COUNTIF(AC246:$AL246,"&lt;0")=0,AC$4,"")</f>
        <v>27</v>
      </c>
      <c r="AD260" s="42" t="n">
        <f aca="false">IF(COUNTIF(AD246:$AL246,"&lt;0")=0,AD$4,"")</f>
        <v>28</v>
      </c>
      <c r="AE260" s="42" t="n">
        <f aca="false">IF(COUNTIF(AE246:$AL246,"&lt;0")=0,AE$4,"")</f>
        <v>29</v>
      </c>
      <c r="AF260" s="42" t="n">
        <f aca="false">IF(COUNTIF(AF246:$AL246,"&lt;0")=0,AF$4,"")</f>
        <v>30</v>
      </c>
      <c r="AG260" s="42" t="n">
        <f aca="false">IF(COUNTIF(AG246:$AL246,"&lt;0")=0,AG$4,"")</f>
        <v>31</v>
      </c>
      <c r="AH260" s="42" t="n">
        <f aca="false">IF(COUNTIF(AH246:$AL246,"&lt;0")=0,AH$4,"")</f>
        <v>32</v>
      </c>
      <c r="AI260" s="42" t="n">
        <f aca="false">IF(COUNTIF(AI246:$AL246,"&lt;0")=0,AI$4,"")</f>
        <v>33</v>
      </c>
      <c r="AJ260" s="42" t="n">
        <f aca="false">IF(COUNTIF(AJ246:$AL246,"&lt;0")=0,AJ$4,"")</f>
        <v>34</v>
      </c>
      <c r="AK260" s="42" t="n">
        <f aca="false">IF(COUNTIF(AK246:$AL246,"&lt;0")=0,AK$4,"")</f>
        <v>35</v>
      </c>
      <c r="AL260" s="42" t="n">
        <f aca="false">IF(COUNTIF(AL246:$AL246,"&lt;0")=0,AL$4,"")</f>
        <v>36</v>
      </c>
    </row>
    <row r="262" customFormat="false" ht="15" hidden="false" customHeight="false" outlineLevel="0" collapsed="false">
      <c r="A262" s="3" t="s">
        <v>798</v>
      </c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</row>
    <row r="263" customFormat="false" ht="15" hidden="false" customHeight="false" outlineLevel="0" collapsed="false">
      <c r="A263" s="7" t="s">
        <v>743</v>
      </c>
      <c r="B263" s="50" t="n">
        <f aca="false">IF(Assumptions!$E$145=1,Assumptions!$E$146+Assumptions!$C$64,0)</f>
        <v>8</v>
      </c>
    </row>
    <row r="264" customFormat="false" ht="15" hidden="false" customHeight="false" outlineLevel="0" collapsed="false">
      <c r="A264" s="7" t="s">
        <v>744</v>
      </c>
      <c r="B264" s="51" t="n">
        <f aca="false">IF($B$263=0,0,SUMPRODUCT(($C$4:$AL$4&gt;=Assumptions!$E$146)*($C$4:$AL$4&lt;$B$263)*($C$333:$AL$333)))</f>
        <v>21.317855</v>
      </c>
    </row>
    <row r="265" customFormat="false" ht="15" hidden="false" customHeight="false" outlineLevel="0" collapsed="false">
      <c r="A265" s="7" t="s">
        <v>745</v>
      </c>
      <c r="B265" s="51" t="n">
        <f aca="false">IF($B$263=0,0,MAX(Assumptions!$C$62,ROUNDUP($B$264*(1+Assumptions!$C$63)/100,0)*100))</f>
        <v>1000</v>
      </c>
    </row>
    <row r="267" customFormat="false" ht="15" hidden="false" customHeight="false" outlineLevel="0" collapsed="false">
      <c r="A267" s="5" t="s">
        <v>560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</row>
    <row r="268" customFormat="false" ht="15" hidden="false" customHeight="false" outlineLevel="0" collapsed="false">
      <c r="A268" s="7" t="s">
        <v>746</v>
      </c>
      <c r="B268" s="9" t="s">
        <v>308</v>
      </c>
      <c r="C268" s="37" t="n">
        <f aca="false">IF(AND(Assumptions!$E$97=1,C$4&gt;=Assumptions!$E$98),1,0)</f>
        <v>1</v>
      </c>
      <c r="D268" s="37" t="n">
        <f aca="false">IF(AND(Assumptions!$E$97=1,D$4&gt;=Assumptions!$E$98),1,0)</f>
        <v>1</v>
      </c>
      <c r="E268" s="37" t="n">
        <f aca="false">IF(AND(Assumptions!$E$97=1,E$4&gt;=Assumptions!$E$98),1,0)</f>
        <v>1</v>
      </c>
      <c r="F268" s="37" t="n">
        <f aca="false">IF(AND(Assumptions!$E$97=1,F$4&gt;=Assumptions!$E$98),1,0)</f>
        <v>1</v>
      </c>
      <c r="G268" s="37" t="n">
        <f aca="false">IF(AND(Assumptions!$E$97=1,G$4&gt;=Assumptions!$E$98),1,0)</f>
        <v>1</v>
      </c>
      <c r="H268" s="37" t="n">
        <f aca="false">IF(AND(Assumptions!$E$97=1,H$4&gt;=Assumptions!$E$98),1,0)</f>
        <v>1</v>
      </c>
      <c r="I268" s="37" t="n">
        <f aca="false">IF(AND(Assumptions!$E$97=1,I$4&gt;=Assumptions!$E$98),1,0)</f>
        <v>1</v>
      </c>
      <c r="J268" s="37" t="n">
        <f aca="false">IF(AND(Assumptions!$E$97=1,J$4&gt;=Assumptions!$E$98),1,0)</f>
        <v>1</v>
      </c>
      <c r="K268" s="37" t="n">
        <f aca="false">IF(AND(Assumptions!$E$97=1,K$4&gt;=Assumptions!$E$98),1,0)</f>
        <v>1</v>
      </c>
      <c r="L268" s="37" t="n">
        <f aca="false">IF(AND(Assumptions!$E$97=1,L$4&gt;=Assumptions!$E$98),1,0)</f>
        <v>1</v>
      </c>
      <c r="M268" s="37" t="n">
        <f aca="false">IF(AND(Assumptions!$E$97=1,M$4&gt;=Assumptions!$E$98),1,0)</f>
        <v>1</v>
      </c>
      <c r="N268" s="37" t="n">
        <f aca="false">IF(AND(Assumptions!$E$97=1,N$4&gt;=Assumptions!$E$98),1,0)</f>
        <v>1</v>
      </c>
      <c r="O268" s="37" t="n">
        <f aca="false">IF(AND(Assumptions!$E$97=1,O$4&gt;=Assumptions!$E$98),1,0)</f>
        <v>1</v>
      </c>
      <c r="P268" s="37" t="n">
        <f aca="false">IF(AND(Assumptions!$E$97=1,P$4&gt;=Assumptions!$E$98),1,0)</f>
        <v>1</v>
      </c>
      <c r="Q268" s="37" t="n">
        <f aca="false">IF(AND(Assumptions!$E$97=1,Q$4&gt;=Assumptions!$E$98),1,0)</f>
        <v>1</v>
      </c>
      <c r="R268" s="37" t="n">
        <f aca="false">IF(AND(Assumptions!$E$97=1,R$4&gt;=Assumptions!$E$98),1,0)</f>
        <v>1</v>
      </c>
      <c r="S268" s="37" t="n">
        <f aca="false">IF(AND(Assumptions!$E$97=1,S$4&gt;=Assumptions!$E$98),1,0)</f>
        <v>1</v>
      </c>
      <c r="T268" s="37" t="n">
        <f aca="false">IF(AND(Assumptions!$E$97=1,T$4&gt;=Assumptions!$E$98),1,0)</f>
        <v>1</v>
      </c>
      <c r="U268" s="37" t="n">
        <f aca="false">IF(AND(Assumptions!$E$97=1,U$4&gt;=Assumptions!$E$98),1,0)</f>
        <v>1</v>
      </c>
      <c r="V268" s="37" t="n">
        <f aca="false">IF(AND(Assumptions!$E$97=1,V$4&gt;=Assumptions!$E$98),1,0)</f>
        <v>1</v>
      </c>
      <c r="W268" s="37" t="n">
        <f aca="false">IF(AND(Assumptions!$E$97=1,W$4&gt;=Assumptions!$E$98),1,0)</f>
        <v>1</v>
      </c>
      <c r="X268" s="37" t="n">
        <f aca="false">IF(AND(Assumptions!$E$97=1,X$4&gt;=Assumptions!$E$98),1,0)</f>
        <v>1</v>
      </c>
      <c r="Y268" s="37" t="n">
        <f aca="false">IF(AND(Assumptions!$E$97=1,Y$4&gt;=Assumptions!$E$98),1,0)</f>
        <v>1</v>
      </c>
      <c r="Z268" s="37" t="n">
        <f aca="false">IF(AND(Assumptions!$E$97=1,Z$4&gt;=Assumptions!$E$98),1,0)</f>
        <v>1</v>
      </c>
      <c r="AA268" s="37" t="n">
        <f aca="false">IF(AND(Assumptions!$E$97=1,AA$4&gt;=Assumptions!$E$98),1,0)</f>
        <v>1</v>
      </c>
      <c r="AB268" s="37" t="n">
        <f aca="false">IF(AND(Assumptions!$E$97=1,AB$4&gt;=Assumptions!$E$98),1,0)</f>
        <v>1</v>
      </c>
      <c r="AC268" s="37" t="n">
        <f aca="false">IF(AND(Assumptions!$E$97=1,AC$4&gt;=Assumptions!$E$98),1,0)</f>
        <v>1</v>
      </c>
      <c r="AD268" s="37" t="n">
        <f aca="false">IF(AND(Assumptions!$E$97=1,AD$4&gt;=Assumptions!$E$98),1,0)</f>
        <v>1</v>
      </c>
      <c r="AE268" s="37" t="n">
        <f aca="false">IF(AND(Assumptions!$E$97=1,AE$4&gt;=Assumptions!$E$98),1,0)</f>
        <v>1</v>
      </c>
      <c r="AF268" s="37" t="n">
        <f aca="false">IF(AND(Assumptions!$E$97=1,AF$4&gt;=Assumptions!$E$98),1,0)</f>
        <v>1</v>
      </c>
      <c r="AG268" s="37" t="n">
        <f aca="false">IF(AND(Assumptions!$E$97=1,AG$4&gt;=Assumptions!$E$98),1,0)</f>
        <v>1</v>
      </c>
      <c r="AH268" s="37" t="n">
        <f aca="false">IF(AND(Assumptions!$E$97=1,AH$4&gt;=Assumptions!$E$98),1,0)</f>
        <v>1</v>
      </c>
      <c r="AI268" s="37" t="n">
        <f aca="false">IF(AND(Assumptions!$E$97=1,AI$4&gt;=Assumptions!$E$98),1,0)</f>
        <v>1</v>
      </c>
      <c r="AJ268" s="37" t="n">
        <f aca="false">IF(AND(Assumptions!$E$97=1,AJ$4&gt;=Assumptions!$E$98),1,0)</f>
        <v>1</v>
      </c>
      <c r="AK268" s="37" t="n">
        <f aca="false">IF(AND(Assumptions!$E$97=1,AK$4&gt;=Assumptions!$E$98),1,0)</f>
        <v>1</v>
      </c>
      <c r="AL268" s="37" t="n">
        <f aca="false">IF(AND(Assumptions!$E$97=1,AL$4&gt;=Assumptions!$E$98),1,0)</f>
        <v>1</v>
      </c>
    </row>
    <row r="269" customFormat="false" ht="15" hidden="false" customHeight="false" outlineLevel="0" collapsed="false">
      <c r="A269" s="7" t="s">
        <v>747</v>
      </c>
      <c r="B269" s="9" t="s">
        <v>316</v>
      </c>
      <c r="C269" s="14" t="n">
        <f aca="false">IF(C268=0,0,Assumptions!$E$99)</f>
        <v>1000</v>
      </c>
      <c r="D269" s="14" t="n">
        <f aca="false">IF(D268=0,0,IF(D$4=Assumptions!$E$98,Assumptions!$E$99,C269*(1+CHOOSE(D$6,Assumptions!$E$100,Assumptions!$E$101,Assumptions!$E$102))))</f>
        <v>1120</v>
      </c>
      <c r="E269" s="14" t="n">
        <f aca="false">IF(E268=0,0,IF(E$4=Assumptions!$E$98,Assumptions!$E$99,D269*(1+CHOOSE(E$6,Assumptions!$E$100,Assumptions!$E$101,Assumptions!$E$102))))</f>
        <v>1254.4</v>
      </c>
      <c r="F269" s="14" t="n">
        <f aca="false">IF(F268=0,0,IF(F$4=Assumptions!$E$98,Assumptions!$E$99,E269*(1+CHOOSE(F$6,Assumptions!$E$100,Assumptions!$E$101,Assumptions!$E$102))))</f>
        <v>1404.928</v>
      </c>
      <c r="G269" s="14" t="n">
        <f aca="false">IF(G268=0,0,IF(G$4=Assumptions!$E$98,Assumptions!$E$99,F269*(1+CHOOSE(G$6,Assumptions!$E$100,Assumptions!$E$101,Assumptions!$E$102))))</f>
        <v>1573.51936</v>
      </c>
      <c r="H269" s="14" t="n">
        <f aca="false">IF(H268=0,0,IF(H$4=Assumptions!$E$98,Assumptions!$E$99,G269*(1+CHOOSE(H$6,Assumptions!$E$100,Assumptions!$E$101,Assumptions!$E$102))))</f>
        <v>1762.3416832</v>
      </c>
      <c r="I269" s="14" t="n">
        <f aca="false">IF(I268=0,0,IF(I$4=Assumptions!$E$98,Assumptions!$E$99,H269*(1+CHOOSE(I$6,Assumptions!$E$100,Assumptions!$E$101,Assumptions!$E$102))))</f>
        <v>1973.822685184</v>
      </c>
      <c r="J269" s="14" t="n">
        <f aca="false">IF(J268=0,0,IF(J$4=Assumptions!$E$98,Assumptions!$E$99,I269*(1+CHOOSE(J$6,Assumptions!$E$100,Assumptions!$E$101,Assumptions!$E$102))))</f>
        <v>2210.68140740608</v>
      </c>
      <c r="K269" s="14" t="n">
        <f aca="false">IF(K268=0,0,IF(K$4=Assumptions!$E$98,Assumptions!$E$99,J269*(1+CHOOSE(K$6,Assumptions!$E$100,Assumptions!$E$101,Assumptions!$E$102))))</f>
        <v>2475.96317629481</v>
      </c>
      <c r="L269" s="14" t="n">
        <f aca="false">IF(L268=0,0,IF(L$4=Assumptions!$E$98,Assumptions!$E$99,K269*(1+CHOOSE(L$6,Assumptions!$E$100,Assumptions!$E$101,Assumptions!$E$102))))</f>
        <v>2773.07875745019</v>
      </c>
      <c r="M269" s="14" t="n">
        <f aca="false">IF(M268=0,0,IF(M$4=Assumptions!$E$98,Assumptions!$E$99,L269*(1+CHOOSE(M$6,Assumptions!$E$100,Assumptions!$E$101,Assumptions!$E$102))))</f>
        <v>3105.84820834421</v>
      </c>
      <c r="N269" s="14" t="n">
        <f aca="false">IF(N268=0,0,IF(N$4=Assumptions!$E$98,Assumptions!$E$99,M269*(1+CHOOSE(N$6,Assumptions!$E$100,Assumptions!$E$101,Assumptions!$E$102))))</f>
        <v>3478.54999334552</v>
      </c>
      <c r="O269" s="14" t="n">
        <f aca="false">IF(O268=0,0,IF(O$4=Assumptions!$E$98,Assumptions!$E$99,N269*(1+CHOOSE(O$6,Assumptions!$E$100,Assumptions!$E$101,Assumptions!$E$102))))</f>
        <v>3722.0484928797</v>
      </c>
      <c r="P269" s="14" t="n">
        <f aca="false">IF(P268=0,0,IF(P$4=Assumptions!$E$98,Assumptions!$E$99,O269*(1+CHOOSE(P$6,Assumptions!$E$100,Assumptions!$E$101,Assumptions!$E$102))))</f>
        <v>3982.59188738128</v>
      </c>
      <c r="Q269" s="14" t="n">
        <f aca="false">IF(Q268=0,0,IF(Q$4=Assumptions!$E$98,Assumptions!$E$99,P269*(1+CHOOSE(Q$6,Assumptions!$E$100,Assumptions!$E$101,Assumptions!$E$102))))</f>
        <v>4261.37331949797</v>
      </c>
      <c r="R269" s="14" t="n">
        <f aca="false">IF(R268=0,0,IF(R$4=Assumptions!$E$98,Assumptions!$E$99,Q269*(1+CHOOSE(R$6,Assumptions!$E$100,Assumptions!$E$101,Assumptions!$E$102))))</f>
        <v>4559.66945186283</v>
      </c>
      <c r="S269" s="14" t="n">
        <f aca="false">IF(S268=0,0,IF(S$4=Assumptions!$E$98,Assumptions!$E$99,R269*(1+CHOOSE(S$6,Assumptions!$E$100,Assumptions!$E$101,Assumptions!$E$102))))</f>
        <v>4878.84631349323</v>
      </c>
      <c r="T269" s="14" t="n">
        <f aca="false">IF(T268=0,0,IF(T$4=Assumptions!$E$98,Assumptions!$E$99,S269*(1+CHOOSE(T$6,Assumptions!$E$100,Assumptions!$E$101,Assumptions!$E$102))))</f>
        <v>5220.36555543776</v>
      </c>
      <c r="U269" s="14" t="n">
        <f aca="false">IF(U268=0,0,IF(U$4=Assumptions!$E$98,Assumptions!$E$99,T269*(1+CHOOSE(U$6,Assumptions!$E$100,Assumptions!$E$101,Assumptions!$E$102))))</f>
        <v>5585.7911443184</v>
      </c>
      <c r="V269" s="14" t="n">
        <f aca="false">IF(V268=0,0,IF(V$4=Assumptions!$E$98,Assumptions!$E$99,U269*(1+CHOOSE(V$6,Assumptions!$E$100,Assumptions!$E$101,Assumptions!$E$102))))</f>
        <v>5976.79652442069</v>
      </c>
      <c r="W269" s="14" t="n">
        <f aca="false">IF(W268=0,0,IF(W$4=Assumptions!$E$98,Assumptions!$E$99,V269*(1+CHOOSE(W$6,Assumptions!$E$100,Assumptions!$E$101,Assumptions!$E$102))))</f>
        <v>6395.17228113014</v>
      </c>
      <c r="X269" s="14" t="n">
        <f aca="false">IF(X268=0,0,IF(X$4=Assumptions!$E$98,Assumptions!$E$99,W269*(1+CHOOSE(X$6,Assumptions!$E$100,Assumptions!$E$101,Assumptions!$E$102))))</f>
        <v>6842.83434080925</v>
      </c>
      <c r="Y269" s="14" t="n">
        <f aca="false">IF(Y268=0,0,IF(Y$4=Assumptions!$E$98,Assumptions!$E$99,X269*(1+CHOOSE(Y$6,Assumptions!$E$100,Assumptions!$E$101,Assumptions!$E$102))))</f>
        <v>7321.8327446659</v>
      </c>
      <c r="Z269" s="14" t="n">
        <f aca="false">IF(Z268=0,0,IF(Z$4=Assumptions!$E$98,Assumptions!$E$99,Y269*(1+CHOOSE(Z$6,Assumptions!$E$100,Assumptions!$E$101,Assumptions!$E$102))))</f>
        <v>7834.36103679251</v>
      </c>
      <c r="AA269" s="14" t="n">
        <f aca="false">IF(AA268=0,0,IF(AA$4=Assumptions!$E$98,Assumptions!$E$99,Z269*(1+CHOOSE(AA$6,Assumptions!$E$100,Assumptions!$E$101,Assumptions!$E$102))))</f>
        <v>8147.73547826421</v>
      </c>
      <c r="AB269" s="14" t="n">
        <f aca="false">IF(AB268=0,0,IF(AB$4=Assumptions!$E$98,Assumptions!$E$99,AA269*(1+CHOOSE(AB$6,Assumptions!$E$100,Assumptions!$E$101,Assumptions!$E$102))))</f>
        <v>8473.64489739478</v>
      </c>
      <c r="AC269" s="14" t="n">
        <f aca="false">IF(AC268=0,0,IF(AC$4=Assumptions!$E$98,Assumptions!$E$99,AB269*(1+CHOOSE(AC$6,Assumptions!$E$100,Assumptions!$E$101,Assumptions!$E$102))))</f>
        <v>8812.59069329057</v>
      </c>
      <c r="AD269" s="14" t="n">
        <f aca="false">IF(AD268=0,0,IF(AD$4=Assumptions!$E$98,Assumptions!$E$99,AC269*(1+CHOOSE(AD$6,Assumptions!$E$100,Assumptions!$E$101,Assumptions!$E$102))))</f>
        <v>9165.09432102219</v>
      </c>
      <c r="AE269" s="14" t="n">
        <f aca="false">IF(AE268=0,0,IF(AE$4=Assumptions!$E$98,Assumptions!$E$99,AD269*(1+CHOOSE(AE$6,Assumptions!$E$100,Assumptions!$E$101,Assumptions!$E$102))))</f>
        <v>9531.69809386308</v>
      </c>
      <c r="AF269" s="14" t="n">
        <f aca="false">IF(AF268=0,0,IF(AF$4=Assumptions!$E$98,Assumptions!$E$99,AE269*(1+CHOOSE(AF$6,Assumptions!$E$100,Assumptions!$E$101,Assumptions!$E$102))))</f>
        <v>9912.96601761761</v>
      </c>
      <c r="AG269" s="14" t="n">
        <f aca="false">IF(AG268=0,0,IF(AG$4=Assumptions!$E$98,Assumptions!$E$99,AF269*(1+CHOOSE(AG$6,Assumptions!$E$100,Assumptions!$E$101,Assumptions!$E$102))))</f>
        <v>10309.4846583223</v>
      </c>
      <c r="AH269" s="14" t="n">
        <f aca="false">IF(AH268=0,0,IF(AH$4=Assumptions!$E$98,Assumptions!$E$99,AG269*(1+CHOOSE(AH$6,Assumptions!$E$100,Assumptions!$E$101,Assumptions!$E$102))))</f>
        <v>10721.8640446552</v>
      </c>
      <c r="AI269" s="14" t="n">
        <f aca="false">IF(AI268=0,0,IF(AI$4=Assumptions!$E$98,Assumptions!$E$99,AH269*(1+CHOOSE(AI$6,Assumptions!$E$100,Assumptions!$E$101,Assumptions!$E$102))))</f>
        <v>11150.7386064414</v>
      </c>
      <c r="AJ269" s="14" t="n">
        <f aca="false">IF(AJ268=0,0,IF(AJ$4=Assumptions!$E$98,Assumptions!$E$99,AI269*(1+CHOOSE(AJ$6,Assumptions!$E$100,Assumptions!$E$101,Assumptions!$E$102))))</f>
        <v>11596.7681506991</v>
      </c>
      <c r="AK269" s="14" t="n">
        <f aca="false">IF(AK268=0,0,IF(AK$4=Assumptions!$E$98,Assumptions!$E$99,AJ269*(1+CHOOSE(AK$6,Assumptions!$E$100,Assumptions!$E$101,Assumptions!$E$102))))</f>
        <v>12060.638876727</v>
      </c>
      <c r="AL269" s="14" t="n">
        <f aca="false">IF(AL268=0,0,IF(AL$4=Assumptions!$E$98,Assumptions!$E$99,AK269*(1+CHOOSE(AL$6,Assumptions!$E$100,Assumptions!$E$101,Assumptions!$E$102))))</f>
        <v>12543.0644317961</v>
      </c>
    </row>
    <row r="270" customFormat="false" ht="15" hidden="false" customHeight="false" outlineLevel="0" collapsed="false">
      <c r="A270" s="7" t="s">
        <v>748</v>
      </c>
      <c r="B270" s="9" t="s">
        <v>316</v>
      </c>
      <c r="C270" s="52" t="n">
        <f aca="false">C269*C$7</f>
        <v>950</v>
      </c>
      <c r="D270" s="52" t="n">
        <f aca="false">D269*D$7</f>
        <v>1456</v>
      </c>
      <c r="E270" s="52" t="n">
        <f aca="false">E269*E$7</f>
        <v>1693.44</v>
      </c>
      <c r="F270" s="52" t="n">
        <f aca="false">F269*F$7</f>
        <v>1756.16</v>
      </c>
      <c r="G270" s="52" t="n">
        <f aca="false">G269*G$7</f>
        <v>1416.167424</v>
      </c>
      <c r="H270" s="52" t="n">
        <f aca="false">H269*H$7</f>
        <v>1762.3416832</v>
      </c>
      <c r="I270" s="52" t="n">
        <f aca="false">I269*I$7</f>
        <v>2072.5138194432</v>
      </c>
      <c r="J270" s="52" t="n">
        <f aca="false">J269*J$7</f>
        <v>2100.14733703578</v>
      </c>
      <c r="K270" s="52" t="n">
        <f aca="false">K269*K$7</f>
        <v>2475.96317629481</v>
      </c>
      <c r="L270" s="52" t="n">
        <f aca="false">L269*L$7</f>
        <v>2634.42481957768</v>
      </c>
      <c r="M270" s="52" t="n">
        <f aca="false">M269*M$7</f>
        <v>2639.97097709258</v>
      </c>
      <c r="N270" s="52" t="n">
        <f aca="false">N269*N$7</f>
        <v>2956.76749434369</v>
      </c>
      <c r="O270" s="52" t="n">
        <f aca="false">O269*O$7</f>
        <v>3535.94606823572</v>
      </c>
      <c r="P270" s="52" t="n">
        <f aca="false">P269*P$7</f>
        <v>5177.36945359567</v>
      </c>
      <c r="Q270" s="52" t="n">
        <f aca="false">Q269*Q$7</f>
        <v>5752.85398132226</v>
      </c>
      <c r="R270" s="52" t="n">
        <f aca="false">R269*R$7</f>
        <v>5699.58681482854</v>
      </c>
      <c r="S270" s="52" t="n">
        <f aca="false">S269*S$7</f>
        <v>4390.96168214391</v>
      </c>
      <c r="T270" s="52" t="n">
        <f aca="false">T269*T$7</f>
        <v>5220.36555543776</v>
      </c>
      <c r="U270" s="52" t="n">
        <f aca="false">U269*U$7</f>
        <v>5865.08070153432</v>
      </c>
      <c r="V270" s="52" t="n">
        <f aca="false">V269*V$7</f>
        <v>5677.95669819966</v>
      </c>
      <c r="W270" s="52" t="n">
        <f aca="false">W269*W$7</f>
        <v>6395.17228113014</v>
      </c>
      <c r="X270" s="52" t="n">
        <f aca="false">X269*X$7</f>
        <v>6500.69262376879</v>
      </c>
      <c r="Y270" s="52" t="n">
        <f aca="false">Y269*Y$7</f>
        <v>6223.55783296601</v>
      </c>
      <c r="Z270" s="52" t="n">
        <f aca="false">Z269*Z$7</f>
        <v>6659.20688127363</v>
      </c>
      <c r="AA270" s="52" t="n">
        <f aca="false">AA269*AA$7</f>
        <v>7740.348704351</v>
      </c>
      <c r="AB270" s="52" t="n">
        <f aca="false">AB269*AB$7</f>
        <v>11015.7383666132</v>
      </c>
      <c r="AC270" s="52" t="n">
        <f aca="false">AC269*AC$7</f>
        <v>11896.9974359423</v>
      </c>
      <c r="AD270" s="52" t="n">
        <f aca="false">AD269*AD$7</f>
        <v>11456.3679012777</v>
      </c>
      <c r="AE270" s="52" t="n">
        <f aca="false">AE269*AE$7</f>
        <v>8578.52828447677</v>
      </c>
      <c r="AF270" s="52" t="n">
        <f aca="false">AF269*AF$7</f>
        <v>9912.96601761761</v>
      </c>
      <c r="AG270" s="52" t="n">
        <f aca="false">AG269*AG$7</f>
        <v>10824.9588912384</v>
      </c>
      <c r="AH270" s="52" t="n">
        <f aca="false">AH269*AH$7</f>
        <v>10185.7708424224</v>
      </c>
      <c r="AI270" s="52" t="n">
        <f aca="false">AI269*AI$7</f>
        <v>11150.7386064414</v>
      </c>
      <c r="AJ270" s="52" t="n">
        <f aca="false">AJ269*AJ$7</f>
        <v>11016.9297431641</v>
      </c>
      <c r="AK270" s="52" t="n">
        <f aca="false">AK269*AK$7</f>
        <v>10251.543045218</v>
      </c>
      <c r="AL270" s="52" t="n">
        <f aca="false">AL269*AL$7</f>
        <v>10661.6047670267</v>
      </c>
      <c r="AM270" s="53" t="n">
        <f aca="false">SUMIF($C$6:$AL$6,1,C270:AL270)</f>
        <v>23913.8967309877</v>
      </c>
      <c r="AN270" s="53" t="n">
        <f aca="false">SUMIF($C$6:$AL$6,2,C270:AL270)</f>
        <v>67098.7505744364</v>
      </c>
      <c r="AO270" s="53" t="n">
        <f aca="false">SUMIF($C$6:$AL$6,3,C270:AL270)</f>
        <v>124692.49260579</v>
      </c>
      <c r="AP270" s="53" t="n">
        <f aca="false">SUM(C270:AL270)</f>
        <v>215705.139911214</v>
      </c>
    </row>
    <row r="271" customFormat="false" ht="15" hidden="false" customHeight="false" outlineLevel="0" collapsed="false">
      <c r="A271" s="7" t="s">
        <v>749</v>
      </c>
      <c r="B271" s="9" t="s">
        <v>88</v>
      </c>
      <c r="C271" s="54" t="n">
        <f aca="false">Assumptions!$E$103*MIN(1,(C$4-Assumptions!$E$98+1)/Assumptions!$C$10)*C268</f>
        <v>0.00333333333333333</v>
      </c>
      <c r="D271" s="54" t="n">
        <f aca="false">Assumptions!$E$103*MIN(1,(D$4-Assumptions!$E$98+1)/Assumptions!$C$10)*D268</f>
        <v>0.00666666666666667</v>
      </c>
      <c r="E271" s="54" t="n">
        <f aca="false">Assumptions!$E$103*MIN(1,(E$4-Assumptions!$E$98+1)/Assumptions!$C$10)*E268</f>
        <v>0.01</v>
      </c>
      <c r="F271" s="54" t="n">
        <f aca="false">Assumptions!$E$103*MIN(1,(F$4-Assumptions!$E$98+1)/Assumptions!$C$10)*F268</f>
        <v>0.0133333333333333</v>
      </c>
      <c r="G271" s="54" t="n">
        <f aca="false">Assumptions!$E$103*MIN(1,(G$4-Assumptions!$E$98+1)/Assumptions!$C$10)*G268</f>
        <v>0.0166666666666667</v>
      </c>
      <c r="H271" s="54" t="n">
        <f aca="false">Assumptions!$E$103*MIN(1,(H$4-Assumptions!$E$98+1)/Assumptions!$C$10)*H268</f>
        <v>0.02</v>
      </c>
      <c r="I271" s="54" t="n">
        <f aca="false">Assumptions!$E$103*MIN(1,(I$4-Assumptions!$E$98+1)/Assumptions!$C$10)*I268</f>
        <v>0.02</v>
      </c>
      <c r="J271" s="54" t="n">
        <f aca="false">Assumptions!$E$103*MIN(1,(J$4-Assumptions!$E$98+1)/Assumptions!$C$10)*J268</f>
        <v>0.02</v>
      </c>
      <c r="K271" s="54" t="n">
        <f aca="false">Assumptions!$E$103*MIN(1,(K$4-Assumptions!$E$98+1)/Assumptions!$C$10)*K268</f>
        <v>0.02</v>
      </c>
      <c r="L271" s="54" t="n">
        <f aca="false">Assumptions!$E$103*MIN(1,(L$4-Assumptions!$E$98+1)/Assumptions!$C$10)*L268</f>
        <v>0.02</v>
      </c>
      <c r="M271" s="54" t="n">
        <f aca="false">Assumptions!$E$103*MIN(1,(M$4-Assumptions!$E$98+1)/Assumptions!$C$10)*M268</f>
        <v>0.02</v>
      </c>
      <c r="N271" s="54" t="n">
        <f aca="false">Assumptions!$E$103*MIN(1,(N$4-Assumptions!$E$98+1)/Assumptions!$C$10)*N268</f>
        <v>0.02</v>
      </c>
      <c r="O271" s="54" t="n">
        <f aca="false">Assumptions!$E$103*MIN(1,(O$4-Assumptions!$E$98+1)/Assumptions!$C$10)*O268</f>
        <v>0.02</v>
      </c>
      <c r="P271" s="54" t="n">
        <f aca="false">Assumptions!$E$103*MIN(1,(P$4-Assumptions!$E$98+1)/Assumptions!$C$10)*P268</f>
        <v>0.02</v>
      </c>
      <c r="Q271" s="54" t="n">
        <f aca="false">Assumptions!$E$103*MIN(1,(Q$4-Assumptions!$E$98+1)/Assumptions!$C$10)*Q268</f>
        <v>0.02</v>
      </c>
      <c r="R271" s="54" t="n">
        <f aca="false">Assumptions!$E$103*MIN(1,(R$4-Assumptions!$E$98+1)/Assumptions!$C$10)*R268</f>
        <v>0.02</v>
      </c>
      <c r="S271" s="54" t="n">
        <f aca="false">Assumptions!$E$103*MIN(1,(S$4-Assumptions!$E$98+1)/Assumptions!$C$10)*S268</f>
        <v>0.02</v>
      </c>
      <c r="T271" s="54" t="n">
        <f aca="false">Assumptions!$E$103*MIN(1,(T$4-Assumptions!$E$98+1)/Assumptions!$C$10)*T268</f>
        <v>0.02</v>
      </c>
      <c r="U271" s="54" t="n">
        <f aca="false">Assumptions!$E$103*MIN(1,(U$4-Assumptions!$E$98+1)/Assumptions!$C$10)*U268</f>
        <v>0.02</v>
      </c>
      <c r="V271" s="54" t="n">
        <f aca="false">Assumptions!$E$103*MIN(1,(V$4-Assumptions!$E$98+1)/Assumptions!$C$10)*V268</f>
        <v>0.02</v>
      </c>
      <c r="W271" s="54" t="n">
        <f aca="false">Assumptions!$E$103*MIN(1,(W$4-Assumptions!$E$98+1)/Assumptions!$C$10)*W268</f>
        <v>0.02</v>
      </c>
      <c r="X271" s="54" t="n">
        <f aca="false">Assumptions!$E$103*MIN(1,(X$4-Assumptions!$E$98+1)/Assumptions!$C$10)*X268</f>
        <v>0.02</v>
      </c>
      <c r="Y271" s="54" t="n">
        <f aca="false">Assumptions!$E$103*MIN(1,(Y$4-Assumptions!$E$98+1)/Assumptions!$C$10)*Y268</f>
        <v>0.02</v>
      </c>
      <c r="Z271" s="54" t="n">
        <f aca="false">Assumptions!$E$103*MIN(1,(Z$4-Assumptions!$E$98+1)/Assumptions!$C$10)*Z268</f>
        <v>0.02</v>
      </c>
      <c r="AA271" s="54" t="n">
        <f aca="false">Assumptions!$E$103*MIN(1,(AA$4-Assumptions!$E$98+1)/Assumptions!$C$10)*AA268</f>
        <v>0.02</v>
      </c>
      <c r="AB271" s="54" t="n">
        <f aca="false">Assumptions!$E$103*MIN(1,(AB$4-Assumptions!$E$98+1)/Assumptions!$C$10)*AB268</f>
        <v>0.02</v>
      </c>
      <c r="AC271" s="54" t="n">
        <f aca="false">Assumptions!$E$103*MIN(1,(AC$4-Assumptions!$E$98+1)/Assumptions!$C$10)*AC268</f>
        <v>0.02</v>
      </c>
      <c r="AD271" s="54" t="n">
        <f aca="false">Assumptions!$E$103*MIN(1,(AD$4-Assumptions!$E$98+1)/Assumptions!$C$10)*AD268</f>
        <v>0.02</v>
      </c>
      <c r="AE271" s="54" t="n">
        <f aca="false">Assumptions!$E$103*MIN(1,(AE$4-Assumptions!$E$98+1)/Assumptions!$C$10)*AE268</f>
        <v>0.02</v>
      </c>
      <c r="AF271" s="54" t="n">
        <f aca="false">Assumptions!$E$103*MIN(1,(AF$4-Assumptions!$E$98+1)/Assumptions!$C$10)*AF268</f>
        <v>0.02</v>
      </c>
      <c r="AG271" s="54" t="n">
        <f aca="false">Assumptions!$E$103*MIN(1,(AG$4-Assumptions!$E$98+1)/Assumptions!$C$10)*AG268</f>
        <v>0.02</v>
      </c>
      <c r="AH271" s="54" t="n">
        <f aca="false">Assumptions!$E$103*MIN(1,(AH$4-Assumptions!$E$98+1)/Assumptions!$C$10)*AH268</f>
        <v>0.02</v>
      </c>
      <c r="AI271" s="54" t="n">
        <f aca="false">Assumptions!$E$103*MIN(1,(AI$4-Assumptions!$E$98+1)/Assumptions!$C$10)*AI268</f>
        <v>0.02</v>
      </c>
      <c r="AJ271" s="54" t="n">
        <f aca="false">Assumptions!$E$103*MIN(1,(AJ$4-Assumptions!$E$98+1)/Assumptions!$C$10)*AJ268</f>
        <v>0.02</v>
      </c>
      <c r="AK271" s="54" t="n">
        <f aca="false">Assumptions!$E$103*MIN(1,(AK$4-Assumptions!$E$98+1)/Assumptions!$C$10)*AK268</f>
        <v>0.02</v>
      </c>
      <c r="AL271" s="54" t="n">
        <f aca="false">Assumptions!$E$103*MIN(1,(AL$4-Assumptions!$E$98+1)/Assumptions!$C$10)*AL268</f>
        <v>0.02</v>
      </c>
    </row>
    <row r="272" customFormat="false" ht="15" hidden="false" customHeight="false" outlineLevel="0" collapsed="false">
      <c r="A272" s="7" t="s">
        <v>750</v>
      </c>
      <c r="B272" s="9" t="s">
        <v>751</v>
      </c>
      <c r="C272" s="55" t="n">
        <f aca="false">(C270-C310)*C271</f>
        <v>3.16666666666667</v>
      </c>
      <c r="D272" s="55" t="n">
        <f aca="false">(D270-D310)*D271</f>
        <v>9.70666666666667</v>
      </c>
      <c r="E272" s="55" t="n">
        <f aca="false">(E270-E310)*E271</f>
        <v>16.9344</v>
      </c>
      <c r="F272" s="55" t="n">
        <f aca="false">(F270-F310)*F271</f>
        <v>17.5616</v>
      </c>
      <c r="G272" s="55" t="n">
        <f aca="false">(G270-G310)*G271</f>
        <v>17.7020928</v>
      </c>
      <c r="H272" s="55" t="n">
        <f aca="false">(H270-H310)*H271</f>
        <v>26.435125248</v>
      </c>
      <c r="I272" s="55" t="n">
        <f aca="false">(I270-I310)*I271</f>
        <v>31.087707291648</v>
      </c>
      <c r="J272" s="55" t="n">
        <f aca="false">(J270-J310)*J271</f>
        <v>31.5022100555367</v>
      </c>
      <c r="K272" s="55" t="n">
        <f aca="false">(K270-K310)*K271</f>
        <v>37.1394476444222</v>
      </c>
      <c r="L272" s="55" t="n">
        <f aca="false">(L270-L310)*L271</f>
        <v>39.5163722936652</v>
      </c>
      <c r="M272" s="55" t="n">
        <f aca="false">(M270-M310)*M271</f>
        <v>39.5995646563887</v>
      </c>
      <c r="N272" s="55" t="n">
        <f aca="false">(N270-N310)*N271</f>
        <v>44.3515124151554</v>
      </c>
      <c r="O272" s="55" t="n">
        <f aca="false">(O270-O310)*O271</f>
        <v>53.0391910235358</v>
      </c>
      <c r="P272" s="55" t="n">
        <f aca="false">(P270-P310)*P271</f>
        <v>77.660541803935</v>
      </c>
      <c r="Q272" s="55" t="n">
        <f aca="false">(Q270-Q310)*Q271</f>
        <v>86.292809719834</v>
      </c>
      <c r="R272" s="55" t="n">
        <f aca="false">(R270-R310)*R271</f>
        <v>85.4938022224281</v>
      </c>
      <c r="S272" s="55" t="n">
        <f aca="false">(S270-S310)*S271</f>
        <v>65.8644252321586</v>
      </c>
      <c r="T272" s="55" t="n">
        <f aca="false">(T270-T310)*T271</f>
        <v>78.3054833315664</v>
      </c>
      <c r="U272" s="55" t="n">
        <f aca="false">(U270-U310)*U271</f>
        <v>87.9762105230148</v>
      </c>
      <c r="V272" s="55" t="n">
        <f aca="false">(V270-V310)*V271</f>
        <v>85.1693504729948</v>
      </c>
      <c r="W272" s="55" t="n">
        <f aca="false">(W270-W310)*W271</f>
        <v>95.9275842169521</v>
      </c>
      <c r="X272" s="55" t="n">
        <f aca="false">(X270-X310)*X271</f>
        <v>97.5103893565318</v>
      </c>
      <c r="Y272" s="55" t="n">
        <f aca="false">(Y270-Y310)*Y271</f>
        <v>93.3533674944902</v>
      </c>
      <c r="Z272" s="55" t="n">
        <f aca="false">(Z270-Z310)*Z271</f>
        <v>99.8881032191045</v>
      </c>
      <c r="AA272" s="55" t="n">
        <f aca="false">(AA270-AA310)*AA271</f>
        <v>116.105230565265</v>
      </c>
      <c r="AB272" s="55" t="n">
        <f aca="false">(AB270-AB310)*AB271</f>
        <v>165.236075499198</v>
      </c>
      <c r="AC272" s="55" t="n">
        <f aca="false">(AC270-AC310)*AC271</f>
        <v>178.454961539134</v>
      </c>
      <c r="AD272" s="55" t="n">
        <f aca="false">(AD270-AD310)*AD271</f>
        <v>171.845518519166</v>
      </c>
      <c r="AE272" s="55" t="n">
        <f aca="false">(AE270-AE310)*AE271</f>
        <v>128.677924267152</v>
      </c>
      <c r="AF272" s="55" t="n">
        <f aca="false">(AF270-AF310)*AF271</f>
        <v>148.694490264264</v>
      </c>
      <c r="AG272" s="55" t="n">
        <f aca="false">(AG270-AG310)*AG271</f>
        <v>162.374383368576</v>
      </c>
      <c r="AH272" s="55" t="n">
        <f aca="false">(AH270-AH310)*AH271</f>
        <v>152.786562636337</v>
      </c>
      <c r="AI272" s="55" t="n">
        <f aca="false">(AI270-AI310)*AI271</f>
        <v>167.261079096621</v>
      </c>
      <c r="AJ272" s="55" t="n">
        <f aca="false">(AJ270-AJ310)*AJ271</f>
        <v>165.253946147462</v>
      </c>
      <c r="AK272" s="55" t="n">
        <f aca="false">(AK270-AK310)*AK271</f>
        <v>153.77314567827</v>
      </c>
      <c r="AL272" s="55" t="n">
        <f aca="false">(AL270-AL310)*AL271</f>
        <v>159.9240715054</v>
      </c>
      <c r="AM272" s="53" t="n">
        <f aca="false">SUMIF($C$6:$AL$6,1,C272:AL272)</f>
        <v>314.703365738149</v>
      </c>
      <c r="AN272" s="53" t="n">
        <f aca="false">SUMIF($C$6:$AL$6,2,C272:AL272)</f>
        <v>1006.48125861655</v>
      </c>
      <c r="AO272" s="53" t="n">
        <f aca="false">SUMIF($C$6:$AL$6,3,C272:AL272)</f>
        <v>1870.38738908685</v>
      </c>
      <c r="AP272" s="53" t="n">
        <f aca="false">SUM(C272:AL272)</f>
        <v>3191.57201344154</v>
      </c>
    </row>
    <row r="273" customFormat="false" ht="15" hidden="false" customHeight="false" outlineLevel="0" collapsed="false">
      <c r="A273" s="7" t="s">
        <v>752</v>
      </c>
      <c r="B273" s="9" t="s">
        <v>331</v>
      </c>
      <c r="C273" s="56" t="n">
        <f aca="false">C272*Assumptions!$E$104</f>
        <v>4.275</v>
      </c>
      <c r="D273" s="56" t="n">
        <f aca="false">D272*Assumptions!$E$104</f>
        <v>13.104</v>
      </c>
      <c r="E273" s="56" t="n">
        <f aca="false">E272*Assumptions!$E$104</f>
        <v>22.86144</v>
      </c>
      <c r="F273" s="56" t="n">
        <f aca="false">F272*Assumptions!$E$104</f>
        <v>23.70816</v>
      </c>
      <c r="G273" s="56" t="n">
        <f aca="false">G272*Assumptions!$E$104</f>
        <v>23.89782528</v>
      </c>
      <c r="H273" s="56" t="n">
        <f aca="false">H272*Assumptions!$E$104</f>
        <v>35.6874190848</v>
      </c>
      <c r="I273" s="56" t="n">
        <f aca="false">I272*Assumptions!$E$104</f>
        <v>41.9684048437248</v>
      </c>
      <c r="J273" s="56" t="n">
        <f aca="false">J272*Assumptions!$E$104</f>
        <v>42.5279835749745</v>
      </c>
      <c r="K273" s="56" t="n">
        <f aca="false">K272*Assumptions!$E$104</f>
        <v>50.1382543199699</v>
      </c>
      <c r="L273" s="56" t="n">
        <f aca="false">L272*Assumptions!$E$104</f>
        <v>53.347102596448</v>
      </c>
      <c r="M273" s="56" t="n">
        <f aca="false">M272*Assumptions!$E$104</f>
        <v>53.4594122861248</v>
      </c>
      <c r="N273" s="56" t="n">
        <f aca="false">N272*Assumptions!$E$104</f>
        <v>59.8745417604597</v>
      </c>
      <c r="O273" s="56" t="n">
        <f aca="false">O272*Assumptions!$E$104</f>
        <v>71.6029078817733</v>
      </c>
      <c r="P273" s="56" t="n">
        <f aca="false">P272*Assumptions!$E$104</f>
        <v>104.841731435312</v>
      </c>
      <c r="Q273" s="56" t="n">
        <f aca="false">Q272*Assumptions!$E$104</f>
        <v>116.495293121776</v>
      </c>
      <c r="R273" s="56" t="n">
        <f aca="false">R272*Assumptions!$E$104</f>
        <v>115.416633000278</v>
      </c>
      <c r="S273" s="56" t="n">
        <f aca="false">S272*Assumptions!$E$104</f>
        <v>88.9169740634141</v>
      </c>
      <c r="T273" s="56" t="n">
        <f aca="false">T272*Assumptions!$E$104</f>
        <v>105.712402497615</v>
      </c>
      <c r="U273" s="56" t="n">
        <f aca="false">U272*Assumptions!$E$104</f>
        <v>118.76788420607</v>
      </c>
      <c r="V273" s="56" t="n">
        <f aca="false">V272*Assumptions!$E$104</f>
        <v>114.978623138543</v>
      </c>
      <c r="W273" s="56" t="n">
        <f aca="false">W272*Assumptions!$E$104</f>
        <v>129.502238692885</v>
      </c>
      <c r="X273" s="56" t="n">
        <f aca="false">X272*Assumptions!$E$104</f>
        <v>131.639025631318</v>
      </c>
      <c r="Y273" s="56" t="n">
        <f aca="false">Y272*Assumptions!$E$104</f>
        <v>126.027046117562</v>
      </c>
      <c r="Z273" s="56" t="n">
        <f aca="false">Z272*Assumptions!$E$104</f>
        <v>134.848939345791</v>
      </c>
      <c r="AA273" s="56" t="n">
        <f aca="false">AA272*Assumptions!$E$104</f>
        <v>156.742061263108</v>
      </c>
      <c r="AB273" s="56" t="n">
        <f aca="false">AB272*Assumptions!$E$104</f>
        <v>223.068701923918</v>
      </c>
      <c r="AC273" s="56" t="n">
        <f aca="false">AC272*Assumptions!$E$104</f>
        <v>240.914198077831</v>
      </c>
      <c r="AD273" s="56" t="n">
        <f aca="false">AD272*Assumptions!$E$104</f>
        <v>231.991450000874</v>
      </c>
      <c r="AE273" s="56" t="n">
        <f aca="false">AE272*Assumptions!$E$104</f>
        <v>173.715197760655</v>
      </c>
      <c r="AF273" s="56" t="n">
        <f aca="false">AF272*Assumptions!$E$104</f>
        <v>200.737561856757</v>
      </c>
      <c r="AG273" s="56" t="n">
        <f aca="false">AG272*Assumptions!$E$104</f>
        <v>219.205417547578</v>
      </c>
      <c r="AH273" s="56" t="n">
        <f aca="false">AH272*Assumptions!$E$104</f>
        <v>206.261859559054</v>
      </c>
      <c r="AI273" s="56" t="n">
        <f aca="false">AI272*Assumptions!$E$104</f>
        <v>225.802456780439</v>
      </c>
      <c r="AJ273" s="56" t="n">
        <f aca="false">AJ272*Assumptions!$E$104</f>
        <v>223.092827299073</v>
      </c>
      <c r="AK273" s="56" t="n">
        <f aca="false">AK272*Assumptions!$E$104</f>
        <v>207.593746665664</v>
      </c>
      <c r="AL273" s="56" t="n">
        <f aca="false">AL272*Assumptions!$E$104</f>
        <v>215.897496532291</v>
      </c>
      <c r="AM273" s="53" t="n">
        <f aca="false">SUMIF($C$6:$AL$6,1,C273:AL273)</f>
        <v>424.849543746502</v>
      </c>
      <c r="AN273" s="53" t="n">
        <f aca="false">SUMIF($C$6:$AL$6,2,C273:AL273)</f>
        <v>1358.74969913234</v>
      </c>
      <c r="AO273" s="53" t="n">
        <f aca="false">SUMIF($C$6:$AL$6,3,C273:AL273)</f>
        <v>2525.02297526724</v>
      </c>
      <c r="AP273" s="53" t="n">
        <f aca="false">SUM(C273:AL273)</f>
        <v>4308.62221814608</v>
      </c>
    </row>
    <row r="274" customFormat="false" ht="15" hidden="false" customHeight="false" outlineLevel="0" collapsed="false">
      <c r="A274" s="7" t="s">
        <v>753</v>
      </c>
      <c r="B274" s="9" t="s">
        <v>93</v>
      </c>
      <c r="C274" s="15" t="n">
        <f aca="false">'Unit Economics'!$E$50*Assumptions!$E$104*C268</f>
        <v>12.321315</v>
      </c>
      <c r="D274" s="15" t="n">
        <f aca="false">'Unit Economics'!$E$50*Assumptions!$E$104*D268</f>
        <v>12.321315</v>
      </c>
      <c r="E274" s="15" t="n">
        <f aca="false">'Unit Economics'!$E$50*Assumptions!$E$104*E268</f>
        <v>12.321315</v>
      </c>
      <c r="F274" s="15" t="n">
        <f aca="false">'Unit Economics'!$E$50*Assumptions!$E$104*F268</f>
        <v>12.321315</v>
      </c>
      <c r="G274" s="15" t="n">
        <f aca="false">'Unit Economics'!$E$50*Assumptions!$E$104*G268</f>
        <v>12.321315</v>
      </c>
      <c r="H274" s="15" t="n">
        <f aca="false">'Unit Economics'!$E$50*Assumptions!$E$104*H268</f>
        <v>12.321315</v>
      </c>
      <c r="I274" s="15" t="n">
        <f aca="false">'Unit Economics'!$E$50*Assumptions!$E$104*I268</f>
        <v>12.321315</v>
      </c>
      <c r="J274" s="15" t="n">
        <f aca="false">'Unit Economics'!$E$50*Assumptions!$E$104*J268</f>
        <v>12.321315</v>
      </c>
      <c r="K274" s="15" t="n">
        <f aca="false">'Unit Economics'!$E$50*Assumptions!$E$104*K268</f>
        <v>12.321315</v>
      </c>
      <c r="L274" s="15" t="n">
        <f aca="false">'Unit Economics'!$E$50*Assumptions!$E$104*L268</f>
        <v>12.321315</v>
      </c>
      <c r="M274" s="15" t="n">
        <f aca="false">'Unit Economics'!$E$50*Assumptions!$E$104*M268</f>
        <v>12.321315</v>
      </c>
      <c r="N274" s="15" t="n">
        <f aca="false">'Unit Economics'!$E$50*Assumptions!$E$104*N268</f>
        <v>12.321315</v>
      </c>
      <c r="O274" s="15" t="n">
        <f aca="false">'Unit Economics'!$E$50*Assumptions!$E$104*O268</f>
        <v>12.321315</v>
      </c>
      <c r="P274" s="15" t="n">
        <f aca="false">'Unit Economics'!$E$50*Assumptions!$E$104*P268</f>
        <v>12.321315</v>
      </c>
      <c r="Q274" s="15" t="n">
        <f aca="false">'Unit Economics'!$E$50*Assumptions!$E$104*Q268</f>
        <v>12.321315</v>
      </c>
      <c r="R274" s="15" t="n">
        <f aca="false">'Unit Economics'!$E$50*Assumptions!$E$104*R268</f>
        <v>12.321315</v>
      </c>
      <c r="S274" s="15" t="n">
        <f aca="false">'Unit Economics'!$E$50*Assumptions!$E$104*S268</f>
        <v>12.321315</v>
      </c>
      <c r="T274" s="15" t="n">
        <f aca="false">'Unit Economics'!$E$50*Assumptions!$E$104*T268</f>
        <v>12.321315</v>
      </c>
      <c r="U274" s="15" t="n">
        <f aca="false">'Unit Economics'!$E$50*Assumptions!$E$104*U268</f>
        <v>12.321315</v>
      </c>
      <c r="V274" s="15" t="n">
        <f aca="false">'Unit Economics'!$E$50*Assumptions!$E$104*V268</f>
        <v>12.321315</v>
      </c>
      <c r="W274" s="15" t="n">
        <f aca="false">'Unit Economics'!$E$50*Assumptions!$E$104*W268</f>
        <v>12.321315</v>
      </c>
      <c r="X274" s="15" t="n">
        <f aca="false">'Unit Economics'!$E$50*Assumptions!$E$104*X268</f>
        <v>12.321315</v>
      </c>
      <c r="Y274" s="15" t="n">
        <f aca="false">'Unit Economics'!$E$50*Assumptions!$E$104*Y268</f>
        <v>12.321315</v>
      </c>
      <c r="Z274" s="15" t="n">
        <f aca="false">'Unit Economics'!$E$50*Assumptions!$E$104*Z268</f>
        <v>12.321315</v>
      </c>
      <c r="AA274" s="15" t="n">
        <f aca="false">'Unit Economics'!$E$50*Assumptions!$E$104*AA268</f>
        <v>12.321315</v>
      </c>
      <c r="AB274" s="15" t="n">
        <f aca="false">'Unit Economics'!$E$50*Assumptions!$E$104*AB268</f>
        <v>12.321315</v>
      </c>
      <c r="AC274" s="15" t="n">
        <f aca="false">'Unit Economics'!$E$50*Assumptions!$E$104*AC268</f>
        <v>12.321315</v>
      </c>
      <c r="AD274" s="15" t="n">
        <f aca="false">'Unit Economics'!$E$50*Assumptions!$E$104*AD268</f>
        <v>12.321315</v>
      </c>
      <c r="AE274" s="15" t="n">
        <f aca="false">'Unit Economics'!$E$50*Assumptions!$E$104*AE268</f>
        <v>12.321315</v>
      </c>
      <c r="AF274" s="15" t="n">
        <f aca="false">'Unit Economics'!$E$50*Assumptions!$E$104*AF268</f>
        <v>12.321315</v>
      </c>
      <c r="AG274" s="15" t="n">
        <f aca="false">'Unit Economics'!$E$50*Assumptions!$E$104*AG268</f>
        <v>12.321315</v>
      </c>
      <c r="AH274" s="15" t="n">
        <f aca="false">'Unit Economics'!$E$50*Assumptions!$E$104*AH268</f>
        <v>12.321315</v>
      </c>
      <c r="AI274" s="15" t="n">
        <f aca="false">'Unit Economics'!$E$50*Assumptions!$E$104*AI268</f>
        <v>12.321315</v>
      </c>
      <c r="AJ274" s="15" t="n">
        <f aca="false">'Unit Economics'!$E$50*Assumptions!$E$104*AJ268</f>
        <v>12.321315</v>
      </c>
      <c r="AK274" s="15" t="n">
        <f aca="false">'Unit Economics'!$E$50*Assumptions!$E$104*AK268</f>
        <v>12.321315</v>
      </c>
      <c r="AL274" s="15" t="n">
        <f aca="false">'Unit Economics'!$E$50*Assumptions!$E$104*AL268</f>
        <v>12.321315</v>
      </c>
    </row>
    <row r="275" customFormat="false" ht="15" hidden="false" customHeight="false" outlineLevel="0" collapsed="false">
      <c r="A275" s="7" t="s">
        <v>754</v>
      </c>
      <c r="B275" s="9" t="s">
        <v>93</v>
      </c>
      <c r="C275" s="8" t="n">
        <f aca="false">C273*'Unit Economics'!$E$50</f>
        <v>39.0174975</v>
      </c>
      <c r="D275" s="8" t="n">
        <f aca="false">D273*'Unit Economics'!$E$50</f>
        <v>119.5988976</v>
      </c>
      <c r="E275" s="8" t="n">
        <f aca="false">E273*'Unit Economics'!$E$50</f>
        <v>208.654076736</v>
      </c>
      <c r="F275" s="8" t="n">
        <f aca="false">F273*'Unit Economics'!$E$50</f>
        <v>216.382005504</v>
      </c>
      <c r="G275" s="8" t="n">
        <f aca="false">G273*'Unit Economics'!$E$50</f>
        <v>218.113061548032</v>
      </c>
      <c r="H275" s="8" t="n">
        <f aca="false">H273*'Unit Economics'!$E$50</f>
        <v>325.715505245061</v>
      </c>
      <c r="I275" s="8" t="n">
        <f aca="false">I273*'Unit Economics'!$E$50</f>
        <v>383.041434168192</v>
      </c>
      <c r="J275" s="8" t="n">
        <f aca="false">J273*'Unit Economics'!$E$50</f>
        <v>388.148653290435</v>
      </c>
      <c r="K275" s="8" t="n">
        <f aca="false">K273*'Unit Economics'!$E$50</f>
        <v>457.606833352934</v>
      </c>
      <c r="L275" s="8" t="n">
        <f aca="false">L273*'Unit Economics'!$E$50</f>
        <v>486.893670687521</v>
      </c>
      <c r="M275" s="8" t="n">
        <f aca="false">M273*'Unit Economics'!$E$50</f>
        <v>487.918709994232</v>
      </c>
      <c r="N275" s="8" t="n">
        <f aca="false">N273*'Unit Economics'!$E$50</f>
        <v>546.46895519354</v>
      </c>
      <c r="O275" s="8" t="n">
        <f aca="false">O273*'Unit Economics'!$E$50</f>
        <v>653.512579946157</v>
      </c>
      <c r="P275" s="8" t="n">
        <f aca="false">P273*'Unit Economics'!$E$50</f>
        <v>956.879998636952</v>
      </c>
      <c r="Q275" s="8" t="n">
        <f aca="false">Q273*'Unit Economics'!$E$50</f>
        <v>1063.24089079314</v>
      </c>
      <c r="R275" s="8" t="n">
        <f aca="false">R273*'Unit Economics'!$E$50</f>
        <v>1053.39606773024</v>
      </c>
      <c r="S275" s="8" t="n">
        <f aca="false">S273*'Unit Economics'!$E$50</f>
        <v>811.536330579375</v>
      </c>
      <c r="T275" s="8" t="n">
        <f aca="false">T273*'Unit Economics'!$E$50</f>
        <v>964.826526355479</v>
      </c>
      <c r="U275" s="8" t="n">
        <f aca="false">U273*'Unit Economics'!$E$50</f>
        <v>1083.98260236038</v>
      </c>
      <c r="V275" s="8" t="n">
        <f aca="false">V273*'Unit Economics'!$E$50</f>
        <v>1049.39839552317</v>
      </c>
      <c r="W275" s="8" t="n">
        <f aca="false">W273*'Unit Economics'!$E$50</f>
        <v>1181.9539823261</v>
      </c>
      <c r="X275" s="8" t="n">
        <f aca="false">X273*'Unit Economics'!$E$50</f>
        <v>1201.45622303448</v>
      </c>
      <c r="Y275" s="8" t="n">
        <f aca="false">Y273*'Unit Economics'!$E$50</f>
        <v>1150.23624721037</v>
      </c>
      <c r="Z275" s="8" t="n">
        <f aca="false">Z273*'Unit Economics'!$E$50</f>
        <v>1230.7527845151</v>
      </c>
      <c r="AA275" s="8" t="n">
        <f aca="false">AA273*'Unit Economics'!$E$50</f>
        <v>1430.56911894226</v>
      </c>
      <c r="AB275" s="8" t="n">
        <f aca="false">AB273*'Unit Economics'!$E$50</f>
        <v>2035.9257355894</v>
      </c>
      <c r="AC275" s="8" t="n">
        <f aca="false">AC273*'Unit Economics'!$E$50</f>
        <v>2198.79979443656</v>
      </c>
      <c r="AD275" s="8" t="n">
        <f aca="false">AD273*'Unit Economics'!$E$50</f>
        <v>2117.36276501298</v>
      </c>
      <c r="AE275" s="8" t="n">
        <f aca="false">AE273*'Unit Economics'!$E$50</f>
        <v>1585.48123844172</v>
      </c>
      <c r="AF275" s="8" t="n">
        <f aca="false">AF273*'Unit Economics'!$E$50</f>
        <v>1832.11165331043</v>
      </c>
      <c r="AG275" s="8" t="n">
        <f aca="false">AG273*'Unit Economics'!$E$50</f>
        <v>2000.66592541499</v>
      </c>
      <c r="AH275" s="8" t="n">
        <f aca="false">AH273*'Unit Economics'!$E$50</f>
        <v>1882.53136600953</v>
      </c>
      <c r="AI275" s="8" t="n">
        <f aca="false">AI273*'Unit Economics'!$E$50</f>
        <v>2060.87644278939</v>
      </c>
      <c r="AJ275" s="8" t="n">
        <f aca="false">AJ273*'Unit Economics'!$E$50</f>
        <v>2036.14592547591</v>
      </c>
      <c r="AK275" s="8" t="n">
        <f aca="false">AK273*'Unit Economics'!$E$50</f>
        <v>1894.68736644285</v>
      </c>
      <c r="AL275" s="8" t="n">
        <f aca="false">AL273*'Unit Economics'!$E$50</f>
        <v>1970.47486110056</v>
      </c>
      <c r="AM275" s="45" t="n">
        <f aca="false">SUMIF($C$6:$AL$6,1,C275:AL275)</f>
        <v>3877.55930081995</v>
      </c>
      <c r="AN275" s="45" t="n">
        <f aca="false">SUMIF($C$6:$AL$6,2,C275:AL275)</f>
        <v>12401.1726290109</v>
      </c>
      <c r="AO275" s="45" t="n">
        <f aca="false">SUMIF($C$6:$AL$6,3,C275:AL275)</f>
        <v>23045.6321929666</v>
      </c>
      <c r="AP275" s="45" t="n">
        <f aca="false">SUM(C275:AL275)</f>
        <v>39324.3641227975</v>
      </c>
    </row>
    <row r="276" customFormat="false" ht="15" hidden="false" customHeight="false" outlineLevel="0" collapsed="false">
      <c r="A276" s="7" t="s">
        <v>755</v>
      </c>
      <c r="B276" s="9" t="s">
        <v>93</v>
      </c>
      <c r="C276" s="8" t="n">
        <f aca="false">C273*'Unit Economics'!$F$50</f>
        <v>34.7543901225</v>
      </c>
      <c r="D276" s="8" t="n">
        <f aca="false">D273*'Unit Economics'!$F$50</f>
        <v>106.5313516176</v>
      </c>
      <c r="E276" s="8" t="n">
        <f aca="false">E273*'Unit Economics'!$F$50</f>
        <v>185.856234975936</v>
      </c>
      <c r="F276" s="8" t="n">
        <f aca="false">F273*'Unit Economics'!$F$50</f>
        <v>192.739799234304</v>
      </c>
      <c r="G276" s="8" t="n">
        <f aca="false">G273*'Unit Economics'!$F$50</f>
        <v>194.281717628179</v>
      </c>
      <c r="H276" s="8" t="n">
        <f aca="false">H273*'Unit Economics'!$F$50</f>
        <v>290.127364991413</v>
      </c>
      <c r="I276" s="8" t="n">
        <f aca="false">I273*'Unit Economics'!$F$50</f>
        <v>341.189781229902</v>
      </c>
      <c r="J276" s="8" t="n">
        <f aca="false">J273*'Unit Economics'!$F$50</f>
        <v>345.738978312967</v>
      </c>
      <c r="K276" s="8" t="n">
        <f aca="false">K273*'Unit Economics'!$F$50</f>
        <v>407.608058642656</v>
      </c>
      <c r="L276" s="8" t="n">
        <f aca="false">L273*'Unit Economics'!$F$50</f>
        <v>433.694974395786</v>
      </c>
      <c r="M276" s="8" t="n">
        <f aca="false">M273*'Unit Economics'!$F$50</f>
        <v>434.608016447146</v>
      </c>
      <c r="N276" s="8" t="n">
        <f aca="false">N273*'Unit Economics'!$F$50</f>
        <v>486.760978420804</v>
      </c>
      <c r="O276" s="8" t="n">
        <f aca="false">O273*'Unit Economics'!$F$50</f>
        <v>582.10886419382</v>
      </c>
      <c r="P276" s="8" t="n">
        <f aca="false">P273*'Unit Economics'!$F$50</f>
        <v>852.329926414319</v>
      </c>
      <c r="Q276" s="8" t="n">
        <f aca="false">Q273*'Unit Economics'!$F$50</f>
        <v>947.069675927296</v>
      </c>
      <c r="R276" s="8" t="n">
        <f aca="false">R273*'Unit Economics'!$F$50</f>
        <v>938.300512261302</v>
      </c>
      <c r="S276" s="8" t="n">
        <f aca="false">S273*'Unit Economics'!$F$50</f>
        <v>722.866714646107</v>
      </c>
      <c r="T276" s="8" t="n">
        <f aca="false">T273*'Unit Economics'!$F$50</f>
        <v>859.408205190372</v>
      </c>
      <c r="U276" s="8" t="n">
        <f aca="false">U273*'Unit Economics'!$F$50</f>
        <v>965.545118531383</v>
      </c>
      <c r="V276" s="8" t="n">
        <f aca="false">V273*'Unit Economics'!$F$50</f>
        <v>934.739631416335</v>
      </c>
      <c r="W276" s="8" t="n">
        <f aca="false">W273*'Unit Economics'!$F$50</f>
        <v>1052.81200591103</v>
      </c>
      <c r="X276" s="8" t="n">
        <f aca="false">X273*'Unit Economics'!$F$50</f>
        <v>1070.18340400856</v>
      </c>
      <c r="Y276" s="8" t="n">
        <f aca="false">Y273*'Unit Economics'!$F$50</f>
        <v>1024.55979573241</v>
      </c>
      <c r="Z276" s="8" t="n">
        <f aca="false">Z273*'Unit Economics'!$F$50</f>
        <v>1096.27898143368</v>
      </c>
      <c r="AA276" s="8" t="n">
        <f aca="false">AA273*'Unit Economics'!$F$50</f>
        <v>1274.26309841938</v>
      </c>
      <c r="AB276" s="8" t="n">
        <f aca="false">AB273*'Unit Economics'!$F$50</f>
        <v>1813.47758848737</v>
      </c>
      <c r="AC276" s="8" t="n">
        <f aca="false">AC273*'Unit Economics'!$F$50</f>
        <v>1958.55579556636</v>
      </c>
      <c r="AD276" s="8" t="n">
        <f aca="false">AD273*'Unit Economics'!$F$50</f>
        <v>1886.01669202686</v>
      </c>
      <c r="AE276" s="8" t="n">
        <f aca="false">AE273*'Unit Economics'!$F$50</f>
        <v>1412.24929898971</v>
      </c>
      <c r="AF276" s="8" t="n">
        <f aca="false">AF273*'Unit Economics'!$F$50</f>
        <v>1631.932523277</v>
      </c>
      <c r="AG276" s="8" t="n">
        <f aca="false">AG273*'Unit Economics'!$F$50</f>
        <v>1782.07031541849</v>
      </c>
      <c r="AH276" s="8" t="n">
        <f aca="false">AH273*'Unit Economics'!$F$50</f>
        <v>1676.84330631759</v>
      </c>
      <c r="AI276" s="8" t="n">
        <f aca="false">AI273*'Unit Economics'!$F$50</f>
        <v>1835.70214586346</v>
      </c>
      <c r="AJ276" s="8" t="n">
        <f aca="false">AJ273*'Unit Economics'!$F$50</f>
        <v>1813.6737201131</v>
      </c>
      <c r="AK276" s="8" t="n">
        <f aca="false">AK273*'Unit Economics'!$F$50</f>
        <v>1687.67112482103</v>
      </c>
      <c r="AL276" s="8" t="n">
        <f aca="false">AL273*'Unit Economics'!$F$50</f>
        <v>1755.17796981388</v>
      </c>
      <c r="AM276" s="45" t="n">
        <f aca="false">SUMIF($C$6:$AL$6,1,C276:AL276)</f>
        <v>3453.89164601919</v>
      </c>
      <c r="AN276" s="45" t="n">
        <f aca="false">SUMIF($C$6:$AL$6,2,C276:AL276)</f>
        <v>11046.2028356666</v>
      </c>
      <c r="AO276" s="45" t="n">
        <f aca="false">SUMIF($C$6:$AL$6,3,C276:AL276)</f>
        <v>20527.6335791142</v>
      </c>
      <c r="AP276" s="45" t="n">
        <f aca="false">SUM(C276:AL276)</f>
        <v>35027.7280608</v>
      </c>
    </row>
    <row r="277" customFormat="false" ht="15" hidden="false" customHeight="false" outlineLevel="0" collapsed="false">
      <c r="A277" s="5" t="s">
        <v>561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</row>
    <row r="278" customFormat="false" ht="15" hidden="false" customHeight="false" outlineLevel="0" collapsed="false">
      <c r="A278" s="7" t="s">
        <v>746</v>
      </c>
      <c r="B278" s="9" t="s">
        <v>308</v>
      </c>
      <c r="C278" s="37" t="n">
        <f aca="false">IF(AND(Assumptions!$E$107=1,C$4&gt;=Assumptions!$E$108),1,0)</f>
        <v>1</v>
      </c>
      <c r="D278" s="37" t="n">
        <f aca="false">IF(AND(Assumptions!$E$107=1,D$4&gt;=Assumptions!$E$108),1,0)</f>
        <v>1</v>
      </c>
      <c r="E278" s="37" t="n">
        <f aca="false">IF(AND(Assumptions!$E$107=1,E$4&gt;=Assumptions!$E$108),1,0)</f>
        <v>1</v>
      </c>
      <c r="F278" s="37" t="n">
        <f aca="false">IF(AND(Assumptions!$E$107=1,F$4&gt;=Assumptions!$E$108),1,0)</f>
        <v>1</v>
      </c>
      <c r="G278" s="37" t="n">
        <f aca="false">IF(AND(Assumptions!$E$107=1,G$4&gt;=Assumptions!$E$108),1,0)</f>
        <v>1</v>
      </c>
      <c r="H278" s="37" t="n">
        <f aca="false">IF(AND(Assumptions!$E$107=1,H$4&gt;=Assumptions!$E$108),1,0)</f>
        <v>1</v>
      </c>
      <c r="I278" s="37" t="n">
        <f aca="false">IF(AND(Assumptions!$E$107=1,I$4&gt;=Assumptions!$E$108),1,0)</f>
        <v>1</v>
      </c>
      <c r="J278" s="37" t="n">
        <f aca="false">IF(AND(Assumptions!$E$107=1,J$4&gt;=Assumptions!$E$108),1,0)</f>
        <v>1</v>
      </c>
      <c r="K278" s="37" t="n">
        <f aca="false">IF(AND(Assumptions!$E$107=1,K$4&gt;=Assumptions!$E$108),1,0)</f>
        <v>1</v>
      </c>
      <c r="L278" s="37" t="n">
        <f aca="false">IF(AND(Assumptions!$E$107=1,L$4&gt;=Assumptions!$E$108),1,0)</f>
        <v>1</v>
      </c>
      <c r="M278" s="37" t="n">
        <f aca="false">IF(AND(Assumptions!$E$107=1,M$4&gt;=Assumptions!$E$108),1,0)</f>
        <v>1</v>
      </c>
      <c r="N278" s="37" t="n">
        <f aca="false">IF(AND(Assumptions!$E$107=1,N$4&gt;=Assumptions!$E$108),1,0)</f>
        <v>1</v>
      </c>
      <c r="O278" s="37" t="n">
        <f aca="false">IF(AND(Assumptions!$E$107=1,O$4&gt;=Assumptions!$E$108),1,0)</f>
        <v>1</v>
      </c>
      <c r="P278" s="37" t="n">
        <f aca="false">IF(AND(Assumptions!$E$107=1,P$4&gt;=Assumptions!$E$108),1,0)</f>
        <v>1</v>
      </c>
      <c r="Q278" s="37" t="n">
        <f aca="false">IF(AND(Assumptions!$E$107=1,Q$4&gt;=Assumptions!$E$108),1,0)</f>
        <v>1</v>
      </c>
      <c r="R278" s="37" t="n">
        <f aca="false">IF(AND(Assumptions!$E$107=1,R$4&gt;=Assumptions!$E$108),1,0)</f>
        <v>1</v>
      </c>
      <c r="S278" s="37" t="n">
        <f aca="false">IF(AND(Assumptions!$E$107=1,S$4&gt;=Assumptions!$E$108),1,0)</f>
        <v>1</v>
      </c>
      <c r="T278" s="37" t="n">
        <f aca="false">IF(AND(Assumptions!$E$107=1,T$4&gt;=Assumptions!$E$108),1,0)</f>
        <v>1</v>
      </c>
      <c r="U278" s="37" t="n">
        <f aca="false">IF(AND(Assumptions!$E$107=1,U$4&gt;=Assumptions!$E$108),1,0)</f>
        <v>1</v>
      </c>
      <c r="V278" s="37" t="n">
        <f aca="false">IF(AND(Assumptions!$E$107=1,V$4&gt;=Assumptions!$E$108),1,0)</f>
        <v>1</v>
      </c>
      <c r="W278" s="37" t="n">
        <f aca="false">IF(AND(Assumptions!$E$107=1,W$4&gt;=Assumptions!$E$108),1,0)</f>
        <v>1</v>
      </c>
      <c r="X278" s="37" t="n">
        <f aca="false">IF(AND(Assumptions!$E$107=1,X$4&gt;=Assumptions!$E$108),1,0)</f>
        <v>1</v>
      </c>
      <c r="Y278" s="37" t="n">
        <f aca="false">IF(AND(Assumptions!$E$107=1,Y$4&gt;=Assumptions!$E$108),1,0)</f>
        <v>1</v>
      </c>
      <c r="Z278" s="37" t="n">
        <f aca="false">IF(AND(Assumptions!$E$107=1,Z$4&gt;=Assumptions!$E$108),1,0)</f>
        <v>1</v>
      </c>
      <c r="AA278" s="37" t="n">
        <f aca="false">IF(AND(Assumptions!$E$107=1,AA$4&gt;=Assumptions!$E$108),1,0)</f>
        <v>1</v>
      </c>
      <c r="AB278" s="37" t="n">
        <f aca="false">IF(AND(Assumptions!$E$107=1,AB$4&gt;=Assumptions!$E$108),1,0)</f>
        <v>1</v>
      </c>
      <c r="AC278" s="37" t="n">
        <f aca="false">IF(AND(Assumptions!$E$107=1,AC$4&gt;=Assumptions!$E$108),1,0)</f>
        <v>1</v>
      </c>
      <c r="AD278" s="37" t="n">
        <f aca="false">IF(AND(Assumptions!$E$107=1,AD$4&gt;=Assumptions!$E$108),1,0)</f>
        <v>1</v>
      </c>
      <c r="AE278" s="37" t="n">
        <f aca="false">IF(AND(Assumptions!$E$107=1,AE$4&gt;=Assumptions!$E$108),1,0)</f>
        <v>1</v>
      </c>
      <c r="AF278" s="37" t="n">
        <f aca="false">IF(AND(Assumptions!$E$107=1,AF$4&gt;=Assumptions!$E$108),1,0)</f>
        <v>1</v>
      </c>
      <c r="AG278" s="37" t="n">
        <f aca="false">IF(AND(Assumptions!$E$107=1,AG$4&gt;=Assumptions!$E$108),1,0)</f>
        <v>1</v>
      </c>
      <c r="AH278" s="37" t="n">
        <f aca="false">IF(AND(Assumptions!$E$107=1,AH$4&gt;=Assumptions!$E$108),1,0)</f>
        <v>1</v>
      </c>
      <c r="AI278" s="37" t="n">
        <f aca="false">IF(AND(Assumptions!$E$107=1,AI$4&gt;=Assumptions!$E$108),1,0)</f>
        <v>1</v>
      </c>
      <c r="AJ278" s="37" t="n">
        <f aca="false">IF(AND(Assumptions!$E$107=1,AJ$4&gt;=Assumptions!$E$108),1,0)</f>
        <v>1</v>
      </c>
      <c r="AK278" s="37" t="n">
        <f aca="false">IF(AND(Assumptions!$E$107=1,AK$4&gt;=Assumptions!$E$108),1,0)</f>
        <v>1</v>
      </c>
      <c r="AL278" s="37" t="n">
        <f aca="false">IF(AND(Assumptions!$E$107=1,AL$4&gt;=Assumptions!$E$108),1,0)</f>
        <v>1</v>
      </c>
    </row>
    <row r="279" customFormat="false" ht="15" hidden="false" customHeight="false" outlineLevel="0" collapsed="false">
      <c r="A279" s="7" t="s">
        <v>747</v>
      </c>
      <c r="B279" s="9" t="s">
        <v>316</v>
      </c>
      <c r="C279" s="14" t="n">
        <f aca="false">IF(C278=0,0,Assumptions!$E$109)</f>
        <v>1200</v>
      </c>
      <c r="D279" s="14" t="n">
        <f aca="false">IF(D278=0,0,IF(D$4=Assumptions!$E$108,Assumptions!$E$109,C279*(1+CHOOSE(D$6,Assumptions!$E$110,Assumptions!$E$111,Assumptions!$E$112))))</f>
        <v>1344</v>
      </c>
      <c r="E279" s="14" t="n">
        <f aca="false">IF(E278=0,0,IF(E$4=Assumptions!$E$108,Assumptions!$E$109,D279*(1+CHOOSE(E$6,Assumptions!$E$110,Assumptions!$E$111,Assumptions!$E$112))))</f>
        <v>1505.28</v>
      </c>
      <c r="F279" s="14" t="n">
        <f aca="false">IF(F278=0,0,IF(F$4=Assumptions!$E$108,Assumptions!$E$109,E279*(1+CHOOSE(F$6,Assumptions!$E$110,Assumptions!$E$111,Assumptions!$E$112))))</f>
        <v>1685.9136</v>
      </c>
      <c r="G279" s="14" t="n">
        <f aca="false">IF(G278=0,0,IF(G$4=Assumptions!$E$108,Assumptions!$E$109,F279*(1+CHOOSE(G$6,Assumptions!$E$110,Assumptions!$E$111,Assumptions!$E$112))))</f>
        <v>1888.223232</v>
      </c>
      <c r="H279" s="14" t="n">
        <f aca="false">IF(H278=0,0,IF(H$4=Assumptions!$E$108,Assumptions!$E$109,G279*(1+CHOOSE(H$6,Assumptions!$E$110,Assumptions!$E$111,Assumptions!$E$112))))</f>
        <v>2114.81001984</v>
      </c>
      <c r="I279" s="14" t="n">
        <f aca="false">IF(I278=0,0,IF(I$4=Assumptions!$E$108,Assumptions!$E$109,H279*(1+CHOOSE(I$6,Assumptions!$E$110,Assumptions!$E$111,Assumptions!$E$112))))</f>
        <v>2368.5872222208</v>
      </c>
      <c r="J279" s="14" t="n">
        <f aca="false">IF(J278=0,0,IF(J$4=Assumptions!$E$108,Assumptions!$E$109,I279*(1+CHOOSE(J$6,Assumptions!$E$110,Assumptions!$E$111,Assumptions!$E$112))))</f>
        <v>2652.8176888873</v>
      </c>
      <c r="K279" s="14" t="n">
        <f aca="false">IF(K278=0,0,IF(K$4=Assumptions!$E$108,Assumptions!$E$109,J279*(1+CHOOSE(K$6,Assumptions!$E$110,Assumptions!$E$111,Assumptions!$E$112))))</f>
        <v>2971.15581155377</v>
      </c>
      <c r="L279" s="14" t="n">
        <f aca="false">IF(L278=0,0,IF(L$4=Assumptions!$E$108,Assumptions!$E$109,K279*(1+CHOOSE(L$6,Assumptions!$E$110,Assumptions!$E$111,Assumptions!$E$112))))</f>
        <v>3327.69450894023</v>
      </c>
      <c r="M279" s="14" t="n">
        <f aca="false">IF(M278=0,0,IF(M$4=Assumptions!$E$108,Assumptions!$E$109,L279*(1+CHOOSE(M$6,Assumptions!$E$110,Assumptions!$E$111,Assumptions!$E$112))))</f>
        <v>3727.01785001305</v>
      </c>
      <c r="N279" s="14" t="n">
        <f aca="false">IF(N278=0,0,IF(N$4=Assumptions!$E$108,Assumptions!$E$109,M279*(1+CHOOSE(N$6,Assumptions!$E$110,Assumptions!$E$111,Assumptions!$E$112))))</f>
        <v>4174.25999201462</v>
      </c>
      <c r="O279" s="14" t="n">
        <f aca="false">IF(O278=0,0,IF(O$4=Assumptions!$E$108,Assumptions!$E$109,N279*(1+CHOOSE(O$6,Assumptions!$E$110,Assumptions!$E$111,Assumptions!$E$112))))</f>
        <v>4424.7155915355</v>
      </c>
      <c r="P279" s="14" t="n">
        <f aca="false">IF(P278=0,0,IF(P$4=Assumptions!$E$108,Assumptions!$E$109,O279*(1+CHOOSE(P$6,Assumptions!$E$110,Assumptions!$E$111,Assumptions!$E$112))))</f>
        <v>4690.19852702763</v>
      </c>
      <c r="Q279" s="14" t="n">
        <f aca="false">IF(Q278=0,0,IF(Q$4=Assumptions!$E$108,Assumptions!$E$109,P279*(1+CHOOSE(Q$6,Assumptions!$E$110,Assumptions!$E$111,Assumptions!$E$112))))</f>
        <v>4971.61043864929</v>
      </c>
      <c r="R279" s="14" t="n">
        <f aca="false">IF(R278=0,0,IF(R$4=Assumptions!$E$108,Assumptions!$E$109,Q279*(1+CHOOSE(R$6,Assumptions!$E$110,Assumptions!$E$111,Assumptions!$E$112))))</f>
        <v>5269.90706496824</v>
      </c>
      <c r="S279" s="14" t="n">
        <f aca="false">IF(S278=0,0,IF(S$4=Assumptions!$E$108,Assumptions!$E$109,R279*(1+CHOOSE(S$6,Assumptions!$E$110,Assumptions!$E$111,Assumptions!$E$112))))</f>
        <v>5586.10148886634</v>
      </c>
      <c r="T279" s="14" t="n">
        <f aca="false">IF(T278=0,0,IF(T$4=Assumptions!$E$108,Assumptions!$E$109,S279*(1+CHOOSE(T$6,Assumptions!$E$110,Assumptions!$E$111,Assumptions!$E$112))))</f>
        <v>5921.26757819832</v>
      </c>
      <c r="U279" s="14" t="n">
        <f aca="false">IF(U278=0,0,IF(U$4=Assumptions!$E$108,Assumptions!$E$109,T279*(1+CHOOSE(U$6,Assumptions!$E$110,Assumptions!$E$111,Assumptions!$E$112))))</f>
        <v>6276.54363289022</v>
      </c>
      <c r="V279" s="14" t="n">
        <f aca="false">IF(V278=0,0,IF(V$4=Assumptions!$E$108,Assumptions!$E$109,U279*(1+CHOOSE(V$6,Assumptions!$E$110,Assumptions!$E$111,Assumptions!$E$112))))</f>
        <v>6653.13625086363</v>
      </c>
      <c r="W279" s="14" t="n">
        <f aca="false">IF(W278=0,0,IF(W$4=Assumptions!$E$108,Assumptions!$E$109,V279*(1+CHOOSE(W$6,Assumptions!$E$110,Assumptions!$E$111,Assumptions!$E$112))))</f>
        <v>7052.32442591545</v>
      </c>
      <c r="X279" s="14" t="n">
        <f aca="false">IF(X278=0,0,IF(X$4=Assumptions!$E$108,Assumptions!$E$109,W279*(1+CHOOSE(X$6,Assumptions!$E$110,Assumptions!$E$111,Assumptions!$E$112))))</f>
        <v>7475.46389147038</v>
      </c>
      <c r="Y279" s="14" t="n">
        <f aca="false">IF(Y278=0,0,IF(Y$4=Assumptions!$E$108,Assumptions!$E$109,X279*(1+CHOOSE(Y$6,Assumptions!$E$110,Assumptions!$E$111,Assumptions!$E$112))))</f>
        <v>7923.9917249586</v>
      </c>
      <c r="Z279" s="14" t="n">
        <f aca="false">IF(Z278=0,0,IF(Z$4=Assumptions!$E$108,Assumptions!$E$109,Y279*(1+CHOOSE(Z$6,Assumptions!$E$110,Assumptions!$E$111,Assumptions!$E$112))))</f>
        <v>8399.43122845612</v>
      </c>
      <c r="AA279" s="14" t="n">
        <f aca="false">IF(AA278=0,0,IF(AA$4=Assumptions!$E$108,Assumptions!$E$109,Z279*(1+CHOOSE(AA$6,Assumptions!$E$110,Assumptions!$E$111,Assumptions!$E$112))))</f>
        <v>8651.4141653098</v>
      </c>
      <c r="AB279" s="14" t="n">
        <f aca="false">IF(AB278=0,0,IF(AB$4=Assumptions!$E$108,Assumptions!$E$109,AA279*(1+CHOOSE(AB$6,Assumptions!$E$110,Assumptions!$E$111,Assumptions!$E$112))))</f>
        <v>8910.9565902691</v>
      </c>
      <c r="AC279" s="14" t="n">
        <f aca="false">IF(AC278=0,0,IF(AC$4=Assumptions!$E$108,Assumptions!$E$109,AB279*(1+CHOOSE(AC$6,Assumptions!$E$110,Assumptions!$E$111,Assumptions!$E$112))))</f>
        <v>9178.28528797717</v>
      </c>
      <c r="AD279" s="14" t="n">
        <f aca="false">IF(AD278=0,0,IF(AD$4=Assumptions!$E$108,Assumptions!$E$109,AC279*(1+CHOOSE(AD$6,Assumptions!$E$110,Assumptions!$E$111,Assumptions!$E$112))))</f>
        <v>9453.63384661648</v>
      </c>
      <c r="AE279" s="14" t="n">
        <f aca="false">IF(AE278=0,0,IF(AE$4=Assumptions!$E$108,Assumptions!$E$109,AD279*(1+CHOOSE(AE$6,Assumptions!$E$110,Assumptions!$E$111,Assumptions!$E$112))))</f>
        <v>9737.24286201498</v>
      </c>
      <c r="AF279" s="14" t="n">
        <f aca="false">IF(AF278=0,0,IF(AF$4=Assumptions!$E$108,Assumptions!$E$109,AE279*(1+CHOOSE(AF$6,Assumptions!$E$110,Assumptions!$E$111,Assumptions!$E$112))))</f>
        <v>10029.3601478754</v>
      </c>
      <c r="AG279" s="14" t="n">
        <f aca="false">IF(AG278=0,0,IF(AG$4=Assumptions!$E$108,Assumptions!$E$109,AF279*(1+CHOOSE(AG$6,Assumptions!$E$110,Assumptions!$E$111,Assumptions!$E$112))))</f>
        <v>10330.2409523117</v>
      </c>
      <c r="AH279" s="14" t="n">
        <f aca="false">IF(AH278=0,0,IF(AH$4=Assumptions!$E$108,Assumptions!$E$109,AG279*(1+CHOOSE(AH$6,Assumptions!$E$110,Assumptions!$E$111,Assumptions!$E$112))))</f>
        <v>10640.148180881</v>
      </c>
      <c r="AI279" s="14" t="n">
        <f aca="false">IF(AI278=0,0,IF(AI$4=Assumptions!$E$108,Assumptions!$E$109,AH279*(1+CHOOSE(AI$6,Assumptions!$E$110,Assumptions!$E$111,Assumptions!$E$112))))</f>
        <v>10959.3526263075</v>
      </c>
      <c r="AJ279" s="14" t="n">
        <f aca="false">IF(AJ278=0,0,IF(AJ$4=Assumptions!$E$108,Assumptions!$E$109,AI279*(1+CHOOSE(AJ$6,Assumptions!$E$110,Assumptions!$E$111,Assumptions!$E$112))))</f>
        <v>11288.1332050967</v>
      </c>
      <c r="AK279" s="14" t="n">
        <f aca="false">IF(AK278=0,0,IF(AK$4=Assumptions!$E$108,Assumptions!$E$109,AJ279*(1+CHOOSE(AK$6,Assumptions!$E$110,Assumptions!$E$111,Assumptions!$E$112))))</f>
        <v>11626.7772012496</v>
      </c>
      <c r="AL279" s="14" t="n">
        <f aca="false">IF(AL278=0,0,IF(AL$4=Assumptions!$E$108,Assumptions!$E$109,AK279*(1+CHOOSE(AL$6,Assumptions!$E$110,Assumptions!$E$111,Assumptions!$E$112))))</f>
        <v>11975.5805172871</v>
      </c>
    </row>
    <row r="280" customFormat="false" ht="15" hidden="false" customHeight="false" outlineLevel="0" collapsed="false">
      <c r="A280" s="7" t="s">
        <v>756</v>
      </c>
      <c r="B280" s="9" t="s">
        <v>316</v>
      </c>
      <c r="C280" s="52" t="n">
        <f aca="false">C279*C$7</f>
        <v>1140</v>
      </c>
      <c r="D280" s="52" t="n">
        <f aca="false">D279*D$7</f>
        <v>1747.2</v>
      </c>
      <c r="E280" s="52" t="n">
        <f aca="false">E279*E$7</f>
        <v>2032.128</v>
      </c>
      <c r="F280" s="52" t="n">
        <f aca="false">F279*F$7</f>
        <v>2107.392</v>
      </c>
      <c r="G280" s="52" t="n">
        <f aca="false">G279*G$7</f>
        <v>1699.4009088</v>
      </c>
      <c r="H280" s="52" t="n">
        <f aca="false">H279*H$7</f>
        <v>2114.81001984</v>
      </c>
      <c r="I280" s="52" t="n">
        <f aca="false">I279*I$7</f>
        <v>2487.01658333184</v>
      </c>
      <c r="J280" s="52" t="n">
        <f aca="false">J279*J$7</f>
        <v>2520.17680444293</v>
      </c>
      <c r="K280" s="52" t="n">
        <f aca="false">K279*K$7</f>
        <v>2971.15581155377</v>
      </c>
      <c r="L280" s="52" t="n">
        <f aca="false">L279*L$7</f>
        <v>3161.30978349322</v>
      </c>
      <c r="M280" s="52" t="n">
        <f aca="false">M279*M$7</f>
        <v>3167.9651725111</v>
      </c>
      <c r="N280" s="52" t="n">
        <f aca="false">N279*N$7</f>
        <v>3548.12099321243</v>
      </c>
      <c r="O280" s="52" t="n">
        <f aca="false">O279*O$7</f>
        <v>4203.47981195872</v>
      </c>
      <c r="P280" s="52" t="n">
        <f aca="false">P279*P$7</f>
        <v>6097.25808513592</v>
      </c>
      <c r="Q280" s="52" t="n">
        <f aca="false">Q279*Q$7</f>
        <v>6711.67409217654</v>
      </c>
      <c r="R280" s="52" t="n">
        <f aca="false">R279*R$7</f>
        <v>6587.38383121031</v>
      </c>
      <c r="S280" s="52" t="n">
        <f aca="false">S279*S$7</f>
        <v>5027.49133997971</v>
      </c>
      <c r="T280" s="52" t="n">
        <f aca="false">T279*T$7</f>
        <v>5921.26757819832</v>
      </c>
      <c r="U280" s="52" t="n">
        <f aca="false">U279*U$7</f>
        <v>6590.37081453473</v>
      </c>
      <c r="V280" s="52" t="n">
        <f aca="false">V279*V$7</f>
        <v>6320.47943832045</v>
      </c>
      <c r="W280" s="52" t="n">
        <f aca="false">W279*W$7</f>
        <v>7052.32442591545</v>
      </c>
      <c r="X280" s="52" t="n">
        <f aca="false">X279*X$7</f>
        <v>7101.69069689686</v>
      </c>
      <c r="Y280" s="52" t="n">
        <f aca="false">Y279*Y$7</f>
        <v>6735.39296621481</v>
      </c>
      <c r="Z280" s="52" t="n">
        <f aca="false">Z279*Z$7</f>
        <v>7139.5165441877</v>
      </c>
      <c r="AA280" s="52" t="n">
        <f aca="false">AA279*AA$7</f>
        <v>8218.84345704431</v>
      </c>
      <c r="AB280" s="52" t="n">
        <f aca="false">AB279*AB$7</f>
        <v>11584.2435673498</v>
      </c>
      <c r="AC280" s="52" t="n">
        <f aca="false">AC279*AC$7</f>
        <v>12390.6851387692</v>
      </c>
      <c r="AD280" s="52" t="n">
        <f aca="false">AD279*AD$7</f>
        <v>11817.0423082706</v>
      </c>
      <c r="AE280" s="52" t="n">
        <f aca="false">AE279*AE$7</f>
        <v>8763.51857581348</v>
      </c>
      <c r="AF280" s="52" t="n">
        <f aca="false">AF279*AF$7</f>
        <v>10029.3601478754</v>
      </c>
      <c r="AG280" s="52" t="n">
        <f aca="false">AG279*AG$7</f>
        <v>10846.7529999273</v>
      </c>
      <c r="AH280" s="52" t="n">
        <f aca="false">AH279*AH$7</f>
        <v>10108.140771837</v>
      </c>
      <c r="AI280" s="52" t="n">
        <f aca="false">AI279*AI$7</f>
        <v>10959.3526263075</v>
      </c>
      <c r="AJ280" s="52" t="n">
        <f aca="false">AJ279*AJ$7</f>
        <v>10723.7265448419</v>
      </c>
      <c r="AK280" s="52" t="n">
        <f aca="false">AK279*AK$7</f>
        <v>9882.76062106216</v>
      </c>
      <c r="AL280" s="52" t="n">
        <f aca="false">AL279*AL$7</f>
        <v>10179.243439694</v>
      </c>
      <c r="AM280" s="53" t="n">
        <f aca="false">SUMIF($C$6:$AL$6,1,C280:AL280)</f>
        <v>28696.6760771853</v>
      </c>
      <c r="AN280" s="53" t="n">
        <f aca="false">SUMIF($C$6:$AL$6,2,C280:AL280)</f>
        <v>75488.3296247295</v>
      </c>
      <c r="AO280" s="53" t="n">
        <f aca="false">SUMIF($C$6:$AL$6,3,C280:AL280)</f>
        <v>125503.670198793</v>
      </c>
      <c r="AP280" s="53" t="n">
        <f aca="false">SUM(C280:AL280)</f>
        <v>229688.675900707</v>
      </c>
    </row>
    <row r="281" customFormat="false" ht="15" hidden="false" customHeight="false" outlineLevel="0" collapsed="false">
      <c r="A281" s="7" t="s">
        <v>749</v>
      </c>
      <c r="B281" s="9" t="s">
        <v>88</v>
      </c>
      <c r="C281" s="54" t="n">
        <f aca="false">Assumptions!$E$113*MIN(1,(C$4-Assumptions!$E$108+1)/Assumptions!$C$10)*C278</f>
        <v>0.00416666666666667</v>
      </c>
      <c r="D281" s="54" t="n">
        <f aca="false">Assumptions!$E$113*MIN(1,(D$4-Assumptions!$E$108+1)/Assumptions!$C$10)*D278</f>
        <v>0.00833333333333333</v>
      </c>
      <c r="E281" s="54" t="n">
        <f aca="false">Assumptions!$E$113*MIN(1,(E$4-Assumptions!$E$108+1)/Assumptions!$C$10)*E278</f>
        <v>0.0125</v>
      </c>
      <c r="F281" s="54" t="n">
        <f aca="false">Assumptions!$E$113*MIN(1,(F$4-Assumptions!$E$108+1)/Assumptions!$C$10)*F278</f>
        <v>0.0166666666666667</v>
      </c>
      <c r="G281" s="54" t="n">
        <f aca="false">Assumptions!$E$113*MIN(1,(G$4-Assumptions!$E$108+1)/Assumptions!$C$10)*G278</f>
        <v>0.0208333333333333</v>
      </c>
      <c r="H281" s="54" t="n">
        <f aca="false">Assumptions!$E$113*MIN(1,(H$4-Assumptions!$E$108+1)/Assumptions!$C$10)*H278</f>
        <v>0.025</v>
      </c>
      <c r="I281" s="54" t="n">
        <f aca="false">Assumptions!$E$113*MIN(1,(I$4-Assumptions!$E$108+1)/Assumptions!$C$10)*I278</f>
        <v>0.025</v>
      </c>
      <c r="J281" s="54" t="n">
        <f aca="false">Assumptions!$E$113*MIN(1,(J$4-Assumptions!$E$108+1)/Assumptions!$C$10)*J278</f>
        <v>0.025</v>
      </c>
      <c r="K281" s="54" t="n">
        <f aca="false">Assumptions!$E$113*MIN(1,(K$4-Assumptions!$E$108+1)/Assumptions!$C$10)*K278</f>
        <v>0.025</v>
      </c>
      <c r="L281" s="54" t="n">
        <f aca="false">Assumptions!$E$113*MIN(1,(L$4-Assumptions!$E$108+1)/Assumptions!$C$10)*L278</f>
        <v>0.025</v>
      </c>
      <c r="M281" s="54" t="n">
        <f aca="false">Assumptions!$E$113*MIN(1,(M$4-Assumptions!$E$108+1)/Assumptions!$C$10)*M278</f>
        <v>0.025</v>
      </c>
      <c r="N281" s="54" t="n">
        <f aca="false">Assumptions!$E$113*MIN(1,(N$4-Assumptions!$E$108+1)/Assumptions!$C$10)*N278</f>
        <v>0.025</v>
      </c>
      <c r="O281" s="54" t="n">
        <f aca="false">Assumptions!$E$113*MIN(1,(O$4-Assumptions!$E$108+1)/Assumptions!$C$10)*O278</f>
        <v>0.025</v>
      </c>
      <c r="P281" s="54" t="n">
        <f aca="false">Assumptions!$E$113*MIN(1,(P$4-Assumptions!$E$108+1)/Assumptions!$C$10)*P278</f>
        <v>0.025</v>
      </c>
      <c r="Q281" s="54" t="n">
        <f aca="false">Assumptions!$E$113*MIN(1,(Q$4-Assumptions!$E$108+1)/Assumptions!$C$10)*Q278</f>
        <v>0.025</v>
      </c>
      <c r="R281" s="54" t="n">
        <f aca="false">Assumptions!$E$113*MIN(1,(R$4-Assumptions!$E$108+1)/Assumptions!$C$10)*R278</f>
        <v>0.025</v>
      </c>
      <c r="S281" s="54" t="n">
        <f aca="false">Assumptions!$E$113*MIN(1,(S$4-Assumptions!$E$108+1)/Assumptions!$C$10)*S278</f>
        <v>0.025</v>
      </c>
      <c r="T281" s="54" t="n">
        <f aca="false">Assumptions!$E$113*MIN(1,(T$4-Assumptions!$E$108+1)/Assumptions!$C$10)*T278</f>
        <v>0.025</v>
      </c>
      <c r="U281" s="54" t="n">
        <f aca="false">Assumptions!$E$113*MIN(1,(U$4-Assumptions!$E$108+1)/Assumptions!$C$10)*U278</f>
        <v>0.025</v>
      </c>
      <c r="V281" s="54" t="n">
        <f aca="false">Assumptions!$E$113*MIN(1,(V$4-Assumptions!$E$108+1)/Assumptions!$C$10)*V278</f>
        <v>0.025</v>
      </c>
      <c r="W281" s="54" t="n">
        <f aca="false">Assumptions!$E$113*MIN(1,(W$4-Assumptions!$E$108+1)/Assumptions!$C$10)*W278</f>
        <v>0.025</v>
      </c>
      <c r="X281" s="54" t="n">
        <f aca="false">Assumptions!$E$113*MIN(1,(X$4-Assumptions!$E$108+1)/Assumptions!$C$10)*X278</f>
        <v>0.025</v>
      </c>
      <c r="Y281" s="54" t="n">
        <f aca="false">Assumptions!$E$113*MIN(1,(Y$4-Assumptions!$E$108+1)/Assumptions!$C$10)*Y278</f>
        <v>0.025</v>
      </c>
      <c r="Z281" s="54" t="n">
        <f aca="false">Assumptions!$E$113*MIN(1,(Z$4-Assumptions!$E$108+1)/Assumptions!$C$10)*Z278</f>
        <v>0.025</v>
      </c>
      <c r="AA281" s="54" t="n">
        <f aca="false">Assumptions!$E$113*MIN(1,(AA$4-Assumptions!$E$108+1)/Assumptions!$C$10)*AA278</f>
        <v>0.025</v>
      </c>
      <c r="AB281" s="54" t="n">
        <f aca="false">Assumptions!$E$113*MIN(1,(AB$4-Assumptions!$E$108+1)/Assumptions!$C$10)*AB278</f>
        <v>0.025</v>
      </c>
      <c r="AC281" s="54" t="n">
        <f aca="false">Assumptions!$E$113*MIN(1,(AC$4-Assumptions!$E$108+1)/Assumptions!$C$10)*AC278</f>
        <v>0.025</v>
      </c>
      <c r="AD281" s="54" t="n">
        <f aca="false">Assumptions!$E$113*MIN(1,(AD$4-Assumptions!$E$108+1)/Assumptions!$C$10)*AD278</f>
        <v>0.025</v>
      </c>
      <c r="AE281" s="54" t="n">
        <f aca="false">Assumptions!$E$113*MIN(1,(AE$4-Assumptions!$E$108+1)/Assumptions!$C$10)*AE278</f>
        <v>0.025</v>
      </c>
      <c r="AF281" s="54" t="n">
        <f aca="false">Assumptions!$E$113*MIN(1,(AF$4-Assumptions!$E$108+1)/Assumptions!$C$10)*AF278</f>
        <v>0.025</v>
      </c>
      <c r="AG281" s="54" t="n">
        <f aca="false">Assumptions!$E$113*MIN(1,(AG$4-Assumptions!$E$108+1)/Assumptions!$C$10)*AG278</f>
        <v>0.025</v>
      </c>
      <c r="AH281" s="54" t="n">
        <f aca="false">Assumptions!$E$113*MIN(1,(AH$4-Assumptions!$E$108+1)/Assumptions!$C$10)*AH278</f>
        <v>0.025</v>
      </c>
      <c r="AI281" s="54" t="n">
        <f aca="false">Assumptions!$E$113*MIN(1,(AI$4-Assumptions!$E$108+1)/Assumptions!$C$10)*AI278</f>
        <v>0.025</v>
      </c>
      <c r="AJ281" s="54" t="n">
        <f aca="false">Assumptions!$E$113*MIN(1,(AJ$4-Assumptions!$E$108+1)/Assumptions!$C$10)*AJ278</f>
        <v>0.025</v>
      </c>
      <c r="AK281" s="54" t="n">
        <f aca="false">Assumptions!$E$113*MIN(1,(AK$4-Assumptions!$E$108+1)/Assumptions!$C$10)*AK278</f>
        <v>0.025</v>
      </c>
      <c r="AL281" s="54" t="n">
        <f aca="false">Assumptions!$E$113*MIN(1,(AL$4-Assumptions!$E$108+1)/Assumptions!$C$10)*AL278</f>
        <v>0.025</v>
      </c>
    </row>
    <row r="282" customFormat="false" ht="15" hidden="false" customHeight="false" outlineLevel="0" collapsed="false">
      <c r="A282" s="7" t="s">
        <v>757</v>
      </c>
      <c r="B282" s="9" t="s">
        <v>751</v>
      </c>
      <c r="C282" s="55" t="n">
        <f aca="false">C280*C281</f>
        <v>4.75</v>
      </c>
      <c r="D282" s="55" t="n">
        <f aca="false">D280*D281</f>
        <v>14.56</v>
      </c>
      <c r="E282" s="55" t="n">
        <f aca="false">E280*E281</f>
        <v>25.4016</v>
      </c>
      <c r="F282" s="55" t="n">
        <f aca="false">F280*F281</f>
        <v>35.1232</v>
      </c>
      <c r="G282" s="55" t="n">
        <f aca="false">G280*G281</f>
        <v>35.4041856</v>
      </c>
      <c r="H282" s="55" t="n">
        <f aca="false">H280*H281</f>
        <v>52.870250496</v>
      </c>
      <c r="I282" s="55" t="n">
        <f aca="false">I280*I281</f>
        <v>62.175414583296</v>
      </c>
      <c r="J282" s="55" t="n">
        <f aca="false">J280*J281</f>
        <v>63.0044201110733</v>
      </c>
      <c r="K282" s="55" t="n">
        <f aca="false">K280*K281</f>
        <v>74.2788952888443</v>
      </c>
      <c r="L282" s="55" t="n">
        <f aca="false">L280*L281</f>
        <v>79.0327445873304</v>
      </c>
      <c r="M282" s="55" t="n">
        <f aca="false">M280*M281</f>
        <v>79.1991293127774</v>
      </c>
      <c r="N282" s="55" t="n">
        <f aca="false">N280*N281</f>
        <v>88.7030248303107</v>
      </c>
      <c r="O282" s="55" t="n">
        <f aca="false">O280*O281</f>
        <v>105.086995298968</v>
      </c>
      <c r="P282" s="55" t="n">
        <f aca="false">P280*P281</f>
        <v>152.431452128398</v>
      </c>
      <c r="Q282" s="55" t="n">
        <f aca="false">Q280*Q281</f>
        <v>167.791852304413</v>
      </c>
      <c r="R282" s="55" t="n">
        <f aca="false">R280*R281</f>
        <v>164.684595780258</v>
      </c>
      <c r="S282" s="55" t="n">
        <f aca="false">S280*S281</f>
        <v>125.687283499493</v>
      </c>
      <c r="T282" s="55" t="n">
        <f aca="false">T280*T281</f>
        <v>148.031689454958</v>
      </c>
      <c r="U282" s="55" t="n">
        <f aca="false">U280*U281</f>
        <v>164.759270363368</v>
      </c>
      <c r="V282" s="55" t="n">
        <f aca="false">V280*V281</f>
        <v>158.011985958011</v>
      </c>
      <c r="W282" s="55" t="n">
        <f aca="false">W280*W281</f>
        <v>176.308110647886</v>
      </c>
      <c r="X282" s="55" t="n">
        <f aca="false">X280*X281</f>
        <v>177.542267422422</v>
      </c>
      <c r="Y282" s="55" t="n">
        <f aca="false">Y280*Y281</f>
        <v>168.38482415537</v>
      </c>
      <c r="Z282" s="55" t="n">
        <f aca="false">Z280*Z281</f>
        <v>178.487913604693</v>
      </c>
      <c r="AA282" s="55" t="n">
        <f aca="false">AA280*AA281</f>
        <v>205.471086426108</v>
      </c>
      <c r="AB282" s="55" t="n">
        <f aca="false">AB280*AB281</f>
        <v>289.606089183746</v>
      </c>
      <c r="AC282" s="55" t="n">
        <f aca="false">AC280*AC281</f>
        <v>309.76712846923</v>
      </c>
      <c r="AD282" s="55" t="n">
        <f aca="false">AD280*AD281</f>
        <v>295.426057706765</v>
      </c>
      <c r="AE282" s="55" t="n">
        <f aca="false">AE280*AE281</f>
        <v>219.087964395337</v>
      </c>
      <c r="AF282" s="55" t="n">
        <f aca="false">AF280*AF281</f>
        <v>250.734003696886</v>
      </c>
      <c r="AG282" s="55" t="n">
        <f aca="false">AG280*AG281</f>
        <v>271.168824998182</v>
      </c>
      <c r="AH282" s="55" t="n">
        <f aca="false">AH280*AH281</f>
        <v>252.703519295925</v>
      </c>
      <c r="AI282" s="55" t="n">
        <f aca="false">AI280*AI281</f>
        <v>273.983815657687</v>
      </c>
      <c r="AJ282" s="55" t="n">
        <f aca="false">AJ280*AJ281</f>
        <v>268.093163621047</v>
      </c>
      <c r="AK282" s="55" t="n">
        <f aca="false">AK280*AK281</f>
        <v>247.069015526554</v>
      </c>
      <c r="AL282" s="55" t="n">
        <f aca="false">AL280*AL281</f>
        <v>254.481085992351</v>
      </c>
      <c r="AM282" s="53" t="n">
        <f aca="false">SUMIF($C$6:$AL$6,1,C282:AL282)</f>
        <v>614.502864809632</v>
      </c>
      <c r="AN282" s="53" t="n">
        <f aca="false">SUMIF($C$6:$AL$6,2,C282:AL282)</f>
        <v>1887.20824061824</v>
      </c>
      <c r="AO282" s="53" t="n">
        <f aca="false">SUMIF($C$6:$AL$6,3,C282:AL282)</f>
        <v>3137.59175496982</v>
      </c>
      <c r="AP282" s="53" t="n">
        <f aca="false">SUM(C282:AL282)</f>
        <v>5639.30286039769</v>
      </c>
    </row>
    <row r="283" customFormat="false" ht="15" hidden="false" customHeight="false" outlineLevel="0" collapsed="false">
      <c r="A283" s="7" t="s">
        <v>752</v>
      </c>
      <c r="B283" s="9" t="s">
        <v>331</v>
      </c>
      <c r="C283" s="56" t="n">
        <f aca="false">C282*Assumptions!$E$114</f>
        <v>6.175</v>
      </c>
      <c r="D283" s="56" t="n">
        <f aca="false">D282*Assumptions!$E$114</f>
        <v>18.928</v>
      </c>
      <c r="E283" s="56" t="n">
        <f aca="false">E282*Assumptions!$E$114</f>
        <v>33.02208</v>
      </c>
      <c r="F283" s="56" t="n">
        <f aca="false">F282*Assumptions!$E$114</f>
        <v>45.66016</v>
      </c>
      <c r="G283" s="56" t="n">
        <f aca="false">G282*Assumptions!$E$114</f>
        <v>46.02544128</v>
      </c>
      <c r="H283" s="56" t="n">
        <f aca="false">H282*Assumptions!$E$114</f>
        <v>68.7313256448001</v>
      </c>
      <c r="I283" s="56" t="n">
        <f aca="false">I282*Assumptions!$E$114</f>
        <v>80.8280389582849</v>
      </c>
      <c r="J283" s="56" t="n">
        <f aca="false">J282*Assumptions!$E$114</f>
        <v>81.9057461443953</v>
      </c>
      <c r="K283" s="56" t="n">
        <f aca="false">K282*Assumptions!$E$114</f>
        <v>96.5625638754976</v>
      </c>
      <c r="L283" s="56" t="n">
        <f aca="false">L282*Assumptions!$E$114</f>
        <v>102.74256796353</v>
      </c>
      <c r="M283" s="56" t="n">
        <f aca="false">M282*Assumptions!$E$114</f>
        <v>102.958868106611</v>
      </c>
      <c r="N283" s="56" t="n">
        <f aca="false">N282*Assumptions!$E$114</f>
        <v>115.313932279404</v>
      </c>
      <c r="O283" s="56" t="n">
        <f aca="false">O282*Assumptions!$E$114</f>
        <v>136.613093888659</v>
      </c>
      <c r="P283" s="56" t="n">
        <f aca="false">P282*Assumptions!$E$114</f>
        <v>198.160887766917</v>
      </c>
      <c r="Q283" s="56" t="n">
        <f aca="false">Q282*Assumptions!$E$114</f>
        <v>218.129407995738</v>
      </c>
      <c r="R283" s="56" t="n">
        <f aca="false">R282*Assumptions!$E$114</f>
        <v>214.089974514335</v>
      </c>
      <c r="S283" s="56" t="n">
        <f aca="false">S282*Assumptions!$E$114</f>
        <v>163.39346854934</v>
      </c>
      <c r="T283" s="56" t="n">
        <f aca="false">T282*Assumptions!$E$114</f>
        <v>192.441196291445</v>
      </c>
      <c r="U283" s="56" t="n">
        <f aca="false">U282*Assumptions!$E$114</f>
        <v>214.187051472379</v>
      </c>
      <c r="V283" s="56" t="n">
        <f aca="false">V282*Assumptions!$E$114</f>
        <v>205.415581745415</v>
      </c>
      <c r="W283" s="56" t="n">
        <f aca="false">W282*Assumptions!$E$114</f>
        <v>229.200543842252</v>
      </c>
      <c r="X283" s="56" t="n">
        <f aca="false">X282*Assumptions!$E$114</f>
        <v>230.804947649148</v>
      </c>
      <c r="Y283" s="56" t="n">
        <f aca="false">Y282*Assumptions!$E$114</f>
        <v>218.900271401981</v>
      </c>
      <c r="Z283" s="56" t="n">
        <f aca="false">Z282*Assumptions!$E$114</f>
        <v>232.0342876861</v>
      </c>
      <c r="AA283" s="56" t="n">
        <f aca="false">AA282*Assumptions!$E$114</f>
        <v>267.11241235394</v>
      </c>
      <c r="AB283" s="56" t="n">
        <f aca="false">AB282*Assumptions!$E$114</f>
        <v>376.487915938869</v>
      </c>
      <c r="AC283" s="56" t="n">
        <f aca="false">AC282*Assumptions!$E$114</f>
        <v>402.697267009998</v>
      </c>
      <c r="AD283" s="56" t="n">
        <f aca="false">AD282*Assumptions!$E$114</f>
        <v>384.053875018795</v>
      </c>
      <c r="AE283" s="56" t="n">
        <f aca="false">AE282*Assumptions!$E$114</f>
        <v>284.814353713938</v>
      </c>
      <c r="AF283" s="56" t="n">
        <f aca="false">AF282*Assumptions!$E$114</f>
        <v>325.954204805951</v>
      </c>
      <c r="AG283" s="56" t="n">
        <f aca="false">AG282*Assumptions!$E$114</f>
        <v>352.519472497636</v>
      </c>
      <c r="AH283" s="56" t="n">
        <f aca="false">AH282*Assumptions!$E$114</f>
        <v>328.514575084702</v>
      </c>
      <c r="AI283" s="56" t="n">
        <f aca="false">AI282*Assumptions!$E$114</f>
        <v>356.178960354993</v>
      </c>
      <c r="AJ283" s="56" t="n">
        <f aca="false">AJ282*Assumptions!$E$114</f>
        <v>348.521112707361</v>
      </c>
      <c r="AK283" s="56" t="n">
        <f aca="false">AK282*Assumptions!$E$114</f>
        <v>321.18972018452</v>
      </c>
      <c r="AL283" s="56" t="n">
        <f aca="false">AL282*Assumptions!$E$114</f>
        <v>330.825411790056</v>
      </c>
      <c r="AM283" s="53" t="n">
        <f aca="false">SUMIF($C$6:$AL$6,1,C283:AL283)</f>
        <v>798.853724252522</v>
      </c>
      <c r="AN283" s="53" t="n">
        <f aca="false">SUMIF($C$6:$AL$6,2,C283:AL283)</f>
        <v>2453.37071280371</v>
      </c>
      <c r="AO283" s="53" t="n">
        <f aca="false">SUMIF($C$6:$AL$6,3,C283:AL283)</f>
        <v>4078.86928146076</v>
      </c>
      <c r="AP283" s="53" t="n">
        <f aca="false">SUM(C283:AL283)</f>
        <v>7331.09371851699</v>
      </c>
    </row>
    <row r="284" customFormat="false" ht="15" hidden="false" customHeight="false" outlineLevel="0" collapsed="false">
      <c r="A284" s="7" t="s">
        <v>753</v>
      </c>
      <c r="B284" s="9" t="s">
        <v>93</v>
      </c>
      <c r="C284" s="15" t="n">
        <f aca="false">'Unit Economics'!$E$51*Assumptions!$E$114*C278</f>
        <v>11.3907857142857</v>
      </c>
      <c r="D284" s="15" t="n">
        <f aca="false">'Unit Economics'!$E$51*Assumptions!$E$114*D278</f>
        <v>11.3907857142857</v>
      </c>
      <c r="E284" s="15" t="n">
        <f aca="false">'Unit Economics'!$E$51*Assumptions!$E$114*E278</f>
        <v>11.3907857142857</v>
      </c>
      <c r="F284" s="15" t="n">
        <f aca="false">'Unit Economics'!$E$51*Assumptions!$E$114*F278</f>
        <v>11.3907857142857</v>
      </c>
      <c r="G284" s="15" t="n">
        <f aca="false">'Unit Economics'!$E$51*Assumptions!$E$114*G278</f>
        <v>11.3907857142857</v>
      </c>
      <c r="H284" s="15" t="n">
        <f aca="false">'Unit Economics'!$E$51*Assumptions!$E$114*H278</f>
        <v>11.3907857142857</v>
      </c>
      <c r="I284" s="15" t="n">
        <f aca="false">'Unit Economics'!$E$51*Assumptions!$E$114*I278</f>
        <v>11.3907857142857</v>
      </c>
      <c r="J284" s="15" t="n">
        <f aca="false">'Unit Economics'!$E$51*Assumptions!$E$114*J278</f>
        <v>11.3907857142857</v>
      </c>
      <c r="K284" s="15" t="n">
        <f aca="false">'Unit Economics'!$E$51*Assumptions!$E$114*K278</f>
        <v>11.3907857142857</v>
      </c>
      <c r="L284" s="15" t="n">
        <f aca="false">'Unit Economics'!$E$51*Assumptions!$E$114*L278</f>
        <v>11.3907857142857</v>
      </c>
      <c r="M284" s="15" t="n">
        <f aca="false">'Unit Economics'!$E$51*Assumptions!$E$114*M278</f>
        <v>11.3907857142857</v>
      </c>
      <c r="N284" s="15" t="n">
        <f aca="false">'Unit Economics'!$E$51*Assumptions!$E$114*N278</f>
        <v>11.3907857142857</v>
      </c>
      <c r="O284" s="15" t="n">
        <f aca="false">'Unit Economics'!$E$51*Assumptions!$E$114*O278</f>
        <v>11.3907857142857</v>
      </c>
      <c r="P284" s="15" t="n">
        <f aca="false">'Unit Economics'!$E$51*Assumptions!$E$114*P278</f>
        <v>11.3907857142857</v>
      </c>
      <c r="Q284" s="15" t="n">
        <f aca="false">'Unit Economics'!$E$51*Assumptions!$E$114*Q278</f>
        <v>11.3907857142857</v>
      </c>
      <c r="R284" s="15" t="n">
        <f aca="false">'Unit Economics'!$E$51*Assumptions!$E$114*R278</f>
        <v>11.3907857142857</v>
      </c>
      <c r="S284" s="15" t="n">
        <f aca="false">'Unit Economics'!$E$51*Assumptions!$E$114*S278</f>
        <v>11.3907857142857</v>
      </c>
      <c r="T284" s="15" t="n">
        <f aca="false">'Unit Economics'!$E$51*Assumptions!$E$114*T278</f>
        <v>11.3907857142857</v>
      </c>
      <c r="U284" s="15" t="n">
        <f aca="false">'Unit Economics'!$E$51*Assumptions!$E$114*U278</f>
        <v>11.3907857142857</v>
      </c>
      <c r="V284" s="15" t="n">
        <f aca="false">'Unit Economics'!$E$51*Assumptions!$E$114*V278</f>
        <v>11.3907857142857</v>
      </c>
      <c r="W284" s="15" t="n">
        <f aca="false">'Unit Economics'!$E$51*Assumptions!$E$114*W278</f>
        <v>11.3907857142857</v>
      </c>
      <c r="X284" s="15" t="n">
        <f aca="false">'Unit Economics'!$E$51*Assumptions!$E$114*X278</f>
        <v>11.3907857142857</v>
      </c>
      <c r="Y284" s="15" t="n">
        <f aca="false">'Unit Economics'!$E$51*Assumptions!$E$114*Y278</f>
        <v>11.3907857142857</v>
      </c>
      <c r="Z284" s="15" t="n">
        <f aca="false">'Unit Economics'!$E$51*Assumptions!$E$114*Z278</f>
        <v>11.3907857142857</v>
      </c>
      <c r="AA284" s="15" t="n">
        <f aca="false">'Unit Economics'!$E$51*Assumptions!$E$114*AA278</f>
        <v>11.3907857142857</v>
      </c>
      <c r="AB284" s="15" t="n">
        <f aca="false">'Unit Economics'!$E$51*Assumptions!$E$114*AB278</f>
        <v>11.3907857142857</v>
      </c>
      <c r="AC284" s="15" t="n">
        <f aca="false">'Unit Economics'!$E$51*Assumptions!$E$114*AC278</f>
        <v>11.3907857142857</v>
      </c>
      <c r="AD284" s="15" t="n">
        <f aca="false">'Unit Economics'!$E$51*Assumptions!$E$114*AD278</f>
        <v>11.3907857142857</v>
      </c>
      <c r="AE284" s="15" t="n">
        <f aca="false">'Unit Economics'!$E$51*Assumptions!$E$114*AE278</f>
        <v>11.3907857142857</v>
      </c>
      <c r="AF284" s="15" t="n">
        <f aca="false">'Unit Economics'!$E$51*Assumptions!$E$114*AF278</f>
        <v>11.3907857142857</v>
      </c>
      <c r="AG284" s="15" t="n">
        <f aca="false">'Unit Economics'!$E$51*Assumptions!$E$114*AG278</f>
        <v>11.3907857142857</v>
      </c>
      <c r="AH284" s="15" t="n">
        <f aca="false">'Unit Economics'!$E$51*Assumptions!$E$114*AH278</f>
        <v>11.3907857142857</v>
      </c>
      <c r="AI284" s="15" t="n">
        <f aca="false">'Unit Economics'!$E$51*Assumptions!$E$114*AI278</f>
        <v>11.3907857142857</v>
      </c>
      <c r="AJ284" s="15" t="n">
        <f aca="false">'Unit Economics'!$E$51*Assumptions!$E$114*AJ278</f>
        <v>11.3907857142857</v>
      </c>
      <c r="AK284" s="15" t="n">
        <f aca="false">'Unit Economics'!$E$51*Assumptions!$E$114*AK278</f>
        <v>11.3907857142857</v>
      </c>
      <c r="AL284" s="15" t="n">
        <f aca="false">'Unit Economics'!$E$51*Assumptions!$E$114*AL278</f>
        <v>11.3907857142857</v>
      </c>
    </row>
    <row r="285" customFormat="false" ht="15" hidden="false" customHeight="false" outlineLevel="0" collapsed="false">
      <c r="A285" s="7" t="s">
        <v>754</v>
      </c>
      <c r="B285" s="9" t="s">
        <v>93</v>
      </c>
      <c r="C285" s="8" t="n">
        <f aca="false">C283*'Unit Economics'!$E$51</f>
        <v>54.1062321428571</v>
      </c>
      <c r="D285" s="8" t="n">
        <f aca="false">D283*'Unit Economics'!$E$51</f>
        <v>165.84984</v>
      </c>
      <c r="E285" s="8" t="n">
        <f aca="false">E283*'Unit Economics'!$E$51</f>
        <v>289.3441824</v>
      </c>
      <c r="F285" s="8" t="n">
        <f aca="false">F283*'Unit Economics'!$E$51</f>
        <v>400.0808448</v>
      </c>
      <c r="G285" s="8" t="n">
        <f aca="false">G283*'Unit Economics'!$E$51</f>
        <v>403.2814915584</v>
      </c>
      <c r="H285" s="8" t="n">
        <f aca="false">H283*'Unit Economics'!$E$51</f>
        <v>602.233694060544</v>
      </c>
      <c r="I285" s="8" t="n">
        <f aca="false">I283*'Unit Economics'!$E$51</f>
        <v>708.2268242152</v>
      </c>
      <c r="J285" s="8" t="n">
        <f aca="false">J283*'Unit Economics'!$E$51</f>
        <v>717.66984853807</v>
      </c>
      <c r="K285" s="8" t="n">
        <f aca="false">K283*'Unit Economics'!$E$51</f>
        <v>846.094979329093</v>
      </c>
      <c r="L285" s="8" t="n">
        <f aca="false">L283*'Unit Economics'!$E$51</f>
        <v>900.245058006155</v>
      </c>
      <c r="M285" s="8" t="n">
        <f aca="false">M283*'Unit Economics'!$E$51</f>
        <v>902.140310759852</v>
      </c>
      <c r="N285" s="8" t="n">
        <f aca="false">N283*'Unit Economics'!$E$51</f>
        <v>1010.39714805103</v>
      </c>
      <c r="O285" s="8" t="n">
        <f aca="false">O283*'Unit Economics'!$E$51</f>
        <v>1197.0234448087</v>
      </c>
      <c r="P285" s="8" t="n">
        <f aca="false">P283*'Unit Economics'!$E$51</f>
        <v>1736.31400731198</v>
      </c>
      <c r="Q285" s="8" t="n">
        <f aca="false">Q283*'Unit Economics'!$E$51</f>
        <v>1911.28103420265</v>
      </c>
      <c r="R285" s="8" t="n">
        <f aca="false">R283*'Unit Economics'!$E$51</f>
        <v>1875.88694097668</v>
      </c>
      <c r="S285" s="8" t="n">
        <f aca="false">S283*'Unit Economics'!$E$51</f>
        <v>1431.6769133534</v>
      </c>
      <c r="T285" s="8" t="n">
        <f aca="false">T283*'Unit Economics'!$E$51</f>
        <v>1686.19725350512</v>
      </c>
      <c r="U285" s="8" t="n">
        <f aca="false">U283*'Unit Economics'!$E$51</f>
        <v>1876.73754315119</v>
      </c>
      <c r="V285" s="8" t="n">
        <f aca="false">V283*'Unit Economics'!$E$51</f>
        <v>1799.88067233643</v>
      </c>
      <c r="W285" s="8" t="n">
        <f aca="false">W283*'Unit Economics'!$E$51</f>
        <v>2008.28790808065</v>
      </c>
      <c r="X285" s="8" t="n">
        <f aca="false">X283*'Unit Economics'!$E$51</f>
        <v>2022.34592343721</v>
      </c>
      <c r="Y285" s="8" t="n">
        <f aca="false">Y283*'Unit Economics'!$E$51</f>
        <v>1918.0354494915</v>
      </c>
      <c r="Z285" s="8" t="n">
        <f aca="false">Z283*'Unit Economics'!$E$51</f>
        <v>2033.11757646099</v>
      </c>
      <c r="AA285" s="8" t="n">
        <f aca="false">AA283*'Unit Economics'!$E$51</f>
        <v>2340.47711596127</v>
      </c>
      <c r="AB285" s="8" t="n">
        <f aca="false">AB283*'Unit Economics'!$E$51</f>
        <v>3298.84090344436</v>
      </c>
      <c r="AC285" s="8" t="n">
        <f aca="false">AC283*'Unit Economics'!$E$51</f>
        <v>3528.49098172261</v>
      </c>
      <c r="AD285" s="8" t="n">
        <f aca="false">AD283*'Unit Economics'!$E$51</f>
        <v>3365.13491775397</v>
      </c>
      <c r="AE285" s="8" t="n">
        <f aca="false">AE283*'Unit Economics'!$E$51</f>
        <v>2495.58405500634</v>
      </c>
      <c r="AF285" s="8" t="n">
        <f aca="false">AF283*'Unit Economics'!$E$51</f>
        <v>2856.05730739615</v>
      </c>
      <c r="AG285" s="8" t="n">
        <f aca="false">AG283*'Unit Economics'!$E$51</f>
        <v>3088.82597794893</v>
      </c>
      <c r="AH285" s="8" t="n">
        <f aca="false">AH283*'Unit Economics'!$E$51</f>
        <v>2878.49163754574</v>
      </c>
      <c r="AI285" s="8" t="n">
        <f aca="false">AI283*'Unit Economics'!$E$51</f>
        <v>3120.89093333907</v>
      </c>
      <c r="AJ285" s="8" t="n">
        <f aca="false">AJ283*'Unit Economics'!$E$51</f>
        <v>3053.79177827228</v>
      </c>
      <c r="AK285" s="8" t="n">
        <f aca="false">AK283*'Unit Economics'!$E$51</f>
        <v>2814.31021250251</v>
      </c>
      <c r="AL285" s="8" t="n">
        <f aca="false">AL283*'Unit Economics'!$E$51</f>
        <v>2898.73951887758</v>
      </c>
      <c r="AM285" s="45" t="n">
        <f aca="false">SUMIF($C$6:$AL$6,1,C285:AL285)</f>
        <v>6999.67045386121</v>
      </c>
      <c r="AN285" s="45" t="n">
        <f aca="false">SUMIF($C$6:$AL$6,2,C285:AL285)</f>
        <v>21496.7846671165</v>
      </c>
      <c r="AO285" s="45" t="n">
        <f aca="false">SUMIF($C$6:$AL$6,3,C285:AL285)</f>
        <v>35739.6353397708</v>
      </c>
      <c r="AP285" s="45" t="n">
        <f aca="false">SUM(C285:AL285)</f>
        <v>64236.0904607485</v>
      </c>
    </row>
    <row r="286" customFormat="false" ht="15" hidden="false" customHeight="false" outlineLevel="0" collapsed="false">
      <c r="A286" s="7" t="s">
        <v>755</v>
      </c>
      <c r="B286" s="9" t="s">
        <v>93</v>
      </c>
      <c r="C286" s="8" t="n">
        <f aca="false">C283*'Unit Economics'!$F$51</f>
        <v>44.2936719642857</v>
      </c>
      <c r="D286" s="8" t="n">
        <f aca="false">D283*'Unit Economics'!$F$51</f>
        <v>135.7717608</v>
      </c>
      <c r="E286" s="8" t="n">
        <f aca="false">E283*'Unit Economics'!$F$51</f>
        <v>236.869502688</v>
      </c>
      <c r="F286" s="8" t="n">
        <f aca="false">F283*'Unit Economics'!$F$51</f>
        <v>327.523262976</v>
      </c>
      <c r="G286" s="8" t="n">
        <f aca="false">G283*'Unit Economics'!$F$51</f>
        <v>330.143449079808</v>
      </c>
      <c r="H286" s="8" t="n">
        <f aca="false">H283*'Unit Economics'!$F$51</f>
        <v>493.014217292514</v>
      </c>
      <c r="I286" s="8" t="n">
        <f aca="false">I283*'Unit Economics'!$F$51</f>
        <v>579.784719535996</v>
      </c>
      <c r="J286" s="8" t="n">
        <f aca="false">J283*'Unit Economics'!$F$51</f>
        <v>587.515182463143</v>
      </c>
      <c r="K286" s="8" t="n">
        <f aca="false">K283*'Unit Economics'!$F$51</f>
        <v>692.649478272337</v>
      </c>
      <c r="L286" s="8" t="n">
        <f aca="false">L283*'Unit Economics'!$F$51</f>
        <v>736.979044881766</v>
      </c>
      <c r="M286" s="8" t="n">
        <f aca="false">M283*'Unit Economics'!$F$51</f>
        <v>738.530579713097</v>
      </c>
      <c r="N286" s="8" t="n">
        <f aca="false">N283*'Unit Economics'!$F$51</f>
        <v>827.154249278668</v>
      </c>
      <c r="O286" s="8" t="n">
        <f aca="false">O283*'Unit Economics'!$F$51</f>
        <v>979.934504733669</v>
      </c>
      <c r="P286" s="8" t="n">
        <f aca="false">P283*'Unit Economics'!$F$51</f>
        <v>1421.42078686631</v>
      </c>
      <c r="Q286" s="8" t="n">
        <f aca="false">Q283*'Unit Economics'!$F$51</f>
        <v>1564.65626615822</v>
      </c>
      <c r="R286" s="8" t="n">
        <f aca="false">R283*'Unit Economics'!$F$51</f>
        <v>1535.68115011826</v>
      </c>
      <c r="S286" s="8" t="n">
        <f aca="false">S283*'Unit Economics'!$F$51</f>
        <v>1172.03185377025</v>
      </c>
      <c r="T286" s="8" t="n">
        <f aca="false">T283*'Unit Economics'!$F$51</f>
        <v>1380.3930722183</v>
      </c>
      <c r="U286" s="8" t="n">
        <f aca="false">U283*'Unit Economics'!$F$51</f>
        <v>1536.37748937897</v>
      </c>
      <c r="V286" s="8" t="n">
        <f aca="false">V283*'Unit Economics'!$F$51</f>
        <v>1473.45917314726</v>
      </c>
      <c r="W286" s="8" t="n">
        <f aca="false">W283*'Unit Economics'!$F$51</f>
        <v>1644.07023530115</v>
      </c>
      <c r="X286" s="8" t="n">
        <f aca="false">X283*'Unit Economics'!$F$51</f>
        <v>1655.57872694826</v>
      </c>
      <c r="Y286" s="8" t="n">
        <f aca="false">Y283*'Unit Economics'!$F$51</f>
        <v>1570.18571892672</v>
      </c>
      <c r="Z286" s="8" t="n">
        <f aca="false">Z283*'Unit Economics'!$F$51</f>
        <v>1664.39686206232</v>
      </c>
      <c r="AA286" s="8" t="n">
        <f aca="false">AA283*'Unit Economics'!$F$51</f>
        <v>1916.01450532704</v>
      </c>
      <c r="AB286" s="8" t="n">
        <f aca="false">AB283*'Unit Economics'!$F$51</f>
        <v>2700.57202382411</v>
      </c>
      <c r="AC286" s="8" t="n">
        <f aca="false">AC283*'Unit Economics'!$F$51</f>
        <v>2888.57338394417</v>
      </c>
      <c r="AD286" s="8" t="n">
        <f aca="false">AD283*'Unit Economics'!$F$51</f>
        <v>2754.84313468749</v>
      </c>
      <c r="AE286" s="8" t="n">
        <f aca="false">AE283*'Unit Economics'!$F$51</f>
        <v>2042.99166868425</v>
      </c>
      <c r="AF286" s="8" t="n">
        <f aca="false">AF283*'Unit Economics'!$F$51</f>
        <v>2338.09046527197</v>
      </c>
      <c r="AG286" s="8" t="n">
        <f aca="false">AG283*'Unit Economics'!$F$51</f>
        <v>2528.64483819164</v>
      </c>
      <c r="AH286" s="8" t="n">
        <f aca="false">AH283*'Unit Economics'!$F$51</f>
        <v>2356.45616587668</v>
      </c>
      <c r="AI286" s="8" t="n">
        <f aca="false">AI283*'Unit Economics'!$F$51</f>
        <v>2554.89457984524</v>
      </c>
      <c r="AJ286" s="8" t="n">
        <f aca="false">AJ283*'Unit Economics'!$F$51</f>
        <v>2499.96434637857</v>
      </c>
      <c r="AK286" s="8" t="n">
        <f aca="false">AK283*'Unit Economics'!$F$51</f>
        <v>2303.91451079415</v>
      </c>
      <c r="AL286" s="8" t="n">
        <f aca="false">AL283*'Unit Economics'!$F$51</f>
        <v>2373.03194611797</v>
      </c>
      <c r="AM286" s="45" t="n">
        <f aca="false">SUMIF($C$6:$AL$6,1,C286:AL286)</f>
        <v>5730.22911894561</v>
      </c>
      <c r="AN286" s="45" t="n">
        <f aca="false">SUMIF($C$6:$AL$6,2,C286:AL286)</f>
        <v>17598.1858396297</v>
      </c>
      <c r="AO286" s="45" t="n">
        <f aca="false">SUMIF($C$6:$AL$6,3,C286:AL286)</f>
        <v>29257.9915689433</v>
      </c>
      <c r="AP286" s="45" t="n">
        <f aca="false">SUM(C286:AL286)</f>
        <v>52586.4065275186</v>
      </c>
    </row>
    <row r="287" customFormat="false" ht="15" hidden="false" customHeight="false" outlineLevel="0" collapsed="false">
      <c r="A287" s="5" t="s">
        <v>562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</row>
    <row r="288" customFormat="false" ht="15" hidden="false" customHeight="false" outlineLevel="0" collapsed="false">
      <c r="A288" s="7" t="s">
        <v>746</v>
      </c>
      <c r="B288" s="9" t="s">
        <v>308</v>
      </c>
      <c r="C288" s="37" t="n">
        <f aca="false">IF(AND(Assumptions!$E$116=1,C$4&gt;=Assumptions!$E$117),1,0)</f>
        <v>0</v>
      </c>
      <c r="D288" s="37" t="n">
        <f aca="false">IF(AND(Assumptions!$E$116=1,D$4&gt;=Assumptions!$E$117),1,0)</f>
        <v>1</v>
      </c>
      <c r="E288" s="37" t="n">
        <f aca="false">IF(AND(Assumptions!$E$116=1,E$4&gt;=Assumptions!$E$117),1,0)</f>
        <v>1</v>
      </c>
      <c r="F288" s="37" t="n">
        <f aca="false">IF(AND(Assumptions!$E$116=1,F$4&gt;=Assumptions!$E$117),1,0)</f>
        <v>1</v>
      </c>
      <c r="G288" s="37" t="n">
        <f aca="false">IF(AND(Assumptions!$E$116=1,G$4&gt;=Assumptions!$E$117),1,0)</f>
        <v>1</v>
      </c>
      <c r="H288" s="37" t="n">
        <f aca="false">IF(AND(Assumptions!$E$116=1,H$4&gt;=Assumptions!$E$117),1,0)</f>
        <v>1</v>
      </c>
      <c r="I288" s="37" t="n">
        <f aca="false">IF(AND(Assumptions!$E$116=1,I$4&gt;=Assumptions!$E$117),1,0)</f>
        <v>1</v>
      </c>
      <c r="J288" s="37" t="n">
        <f aca="false">IF(AND(Assumptions!$E$116=1,J$4&gt;=Assumptions!$E$117),1,0)</f>
        <v>1</v>
      </c>
      <c r="K288" s="37" t="n">
        <f aca="false">IF(AND(Assumptions!$E$116=1,K$4&gt;=Assumptions!$E$117),1,0)</f>
        <v>1</v>
      </c>
      <c r="L288" s="37" t="n">
        <f aca="false">IF(AND(Assumptions!$E$116=1,L$4&gt;=Assumptions!$E$117),1,0)</f>
        <v>1</v>
      </c>
      <c r="M288" s="37" t="n">
        <f aca="false">IF(AND(Assumptions!$E$116=1,M$4&gt;=Assumptions!$E$117),1,0)</f>
        <v>1</v>
      </c>
      <c r="N288" s="37" t="n">
        <f aca="false">IF(AND(Assumptions!$E$116=1,N$4&gt;=Assumptions!$E$117),1,0)</f>
        <v>1</v>
      </c>
      <c r="O288" s="37" t="n">
        <f aca="false">IF(AND(Assumptions!$E$116=1,O$4&gt;=Assumptions!$E$117),1,0)</f>
        <v>1</v>
      </c>
      <c r="P288" s="37" t="n">
        <f aca="false">IF(AND(Assumptions!$E$116=1,P$4&gt;=Assumptions!$E$117),1,0)</f>
        <v>1</v>
      </c>
      <c r="Q288" s="37" t="n">
        <f aca="false">IF(AND(Assumptions!$E$116=1,Q$4&gt;=Assumptions!$E$117),1,0)</f>
        <v>1</v>
      </c>
      <c r="R288" s="37" t="n">
        <f aca="false">IF(AND(Assumptions!$E$116=1,R$4&gt;=Assumptions!$E$117),1,0)</f>
        <v>1</v>
      </c>
      <c r="S288" s="37" t="n">
        <f aca="false">IF(AND(Assumptions!$E$116=1,S$4&gt;=Assumptions!$E$117),1,0)</f>
        <v>1</v>
      </c>
      <c r="T288" s="37" t="n">
        <f aca="false">IF(AND(Assumptions!$E$116=1,T$4&gt;=Assumptions!$E$117),1,0)</f>
        <v>1</v>
      </c>
      <c r="U288" s="37" t="n">
        <f aca="false">IF(AND(Assumptions!$E$116=1,U$4&gt;=Assumptions!$E$117),1,0)</f>
        <v>1</v>
      </c>
      <c r="V288" s="37" t="n">
        <f aca="false">IF(AND(Assumptions!$E$116=1,V$4&gt;=Assumptions!$E$117),1,0)</f>
        <v>1</v>
      </c>
      <c r="W288" s="37" t="n">
        <f aca="false">IF(AND(Assumptions!$E$116=1,W$4&gt;=Assumptions!$E$117),1,0)</f>
        <v>1</v>
      </c>
      <c r="X288" s="37" t="n">
        <f aca="false">IF(AND(Assumptions!$E$116=1,X$4&gt;=Assumptions!$E$117),1,0)</f>
        <v>1</v>
      </c>
      <c r="Y288" s="37" t="n">
        <f aca="false">IF(AND(Assumptions!$E$116=1,Y$4&gt;=Assumptions!$E$117),1,0)</f>
        <v>1</v>
      </c>
      <c r="Z288" s="37" t="n">
        <f aca="false">IF(AND(Assumptions!$E$116=1,Z$4&gt;=Assumptions!$E$117),1,0)</f>
        <v>1</v>
      </c>
      <c r="AA288" s="37" t="n">
        <f aca="false">IF(AND(Assumptions!$E$116=1,AA$4&gt;=Assumptions!$E$117),1,0)</f>
        <v>1</v>
      </c>
      <c r="AB288" s="37" t="n">
        <f aca="false">IF(AND(Assumptions!$E$116=1,AB$4&gt;=Assumptions!$E$117),1,0)</f>
        <v>1</v>
      </c>
      <c r="AC288" s="37" t="n">
        <f aca="false">IF(AND(Assumptions!$E$116=1,AC$4&gt;=Assumptions!$E$117),1,0)</f>
        <v>1</v>
      </c>
      <c r="AD288" s="37" t="n">
        <f aca="false">IF(AND(Assumptions!$E$116=1,AD$4&gt;=Assumptions!$E$117),1,0)</f>
        <v>1</v>
      </c>
      <c r="AE288" s="37" t="n">
        <f aca="false">IF(AND(Assumptions!$E$116=1,AE$4&gt;=Assumptions!$E$117),1,0)</f>
        <v>1</v>
      </c>
      <c r="AF288" s="37" t="n">
        <f aca="false">IF(AND(Assumptions!$E$116=1,AF$4&gt;=Assumptions!$E$117),1,0)</f>
        <v>1</v>
      </c>
      <c r="AG288" s="37" t="n">
        <f aca="false">IF(AND(Assumptions!$E$116=1,AG$4&gt;=Assumptions!$E$117),1,0)</f>
        <v>1</v>
      </c>
      <c r="AH288" s="37" t="n">
        <f aca="false">IF(AND(Assumptions!$E$116=1,AH$4&gt;=Assumptions!$E$117),1,0)</f>
        <v>1</v>
      </c>
      <c r="AI288" s="37" t="n">
        <f aca="false">IF(AND(Assumptions!$E$116=1,AI$4&gt;=Assumptions!$E$117),1,0)</f>
        <v>1</v>
      </c>
      <c r="AJ288" s="37" t="n">
        <f aca="false">IF(AND(Assumptions!$E$116=1,AJ$4&gt;=Assumptions!$E$117),1,0)</f>
        <v>1</v>
      </c>
      <c r="AK288" s="37" t="n">
        <f aca="false">IF(AND(Assumptions!$E$116=1,AK$4&gt;=Assumptions!$E$117),1,0)</f>
        <v>1</v>
      </c>
      <c r="AL288" s="37" t="n">
        <f aca="false">IF(AND(Assumptions!$E$116=1,AL$4&gt;=Assumptions!$E$117),1,0)</f>
        <v>1</v>
      </c>
    </row>
    <row r="289" customFormat="false" ht="15" hidden="false" customHeight="false" outlineLevel="0" collapsed="false">
      <c r="A289" s="7" t="s">
        <v>747</v>
      </c>
      <c r="B289" s="9" t="s">
        <v>316</v>
      </c>
      <c r="C289" s="14" t="n">
        <f aca="false">IF(C288=0,0,Assumptions!$E$118)</f>
        <v>0</v>
      </c>
      <c r="D289" s="14" t="n">
        <f aca="false">IF(D288=0,0,IF(D$4=Assumptions!$E$117,Assumptions!$E$118,C289*(1+CHOOSE(D$6,Assumptions!$E$119,Assumptions!$E$120,Assumptions!$E$121))))</f>
        <v>900</v>
      </c>
      <c r="E289" s="14" t="n">
        <f aca="false">IF(E288=0,0,IF(E$4=Assumptions!$E$117,Assumptions!$E$118,D289*(1+CHOOSE(E$6,Assumptions!$E$119,Assumptions!$E$120,Assumptions!$E$121))))</f>
        <v>990</v>
      </c>
      <c r="F289" s="14" t="n">
        <f aca="false">IF(F288=0,0,IF(F$4=Assumptions!$E$117,Assumptions!$E$118,E289*(1+CHOOSE(F$6,Assumptions!$E$119,Assumptions!$E$120,Assumptions!$E$121))))</f>
        <v>1089</v>
      </c>
      <c r="G289" s="14" t="n">
        <f aca="false">IF(G288=0,0,IF(G$4=Assumptions!$E$117,Assumptions!$E$118,F289*(1+CHOOSE(G$6,Assumptions!$E$119,Assumptions!$E$120,Assumptions!$E$121))))</f>
        <v>1197.9</v>
      </c>
      <c r="H289" s="14" t="n">
        <f aca="false">IF(H288=0,0,IF(H$4=Assumptions!$E$117,Assumptions!$E$118,G289*(1+CHOOSE(H$6,Assumptions!$E$119,Assumptions!$E$120,Assumptions!$E$121))))</f>
        <v>1317.69</v>
      </c>
      <c r="I289" s="14" t="n">
        <f aca="false">IF(I288=0,0,IF(I$4=Assumptions!$E$117,Assumptions!$E$118,H289*(1+CHOOSE(I$6,Assumptions!$E$119,Assumptions!$E$120,Assumptions!$E$121))))</f>
        <v>1449.459</v>
      </c>
      <c r="J289" s="14" t="n">
        <f aca="false">IF(J288=0,0,IF(J$4=Assumptions!$E$117,Assumptions!$E$118,I289*(1+CHOOSE(J$6,Assumptions!$E$119,Assumptions!$E$120,Assumptions!$E$121))))</f>
        <v>1594.4049</v>
      </c>
      <c r="K289" s="14" t="n">
        <f aca="false">IF(K288=0,0,IF(K$4=Assumptions!$E$117,Assumptions!$E$118,J289*(1+CHOOSE(K$6,Assumptions!$E$119,Assumptions!$E$120,Assumptions!$E$121))))</f>
        <v>1753.84539</v>
      </c>
      <c r="L289" s="14" t="n">
        <f aca="false">IF(L288=0,0,IF(L$4=Assumptions!$E$117,Assumptions!$E$118,K289*(1+CHOOSE(L$6,Assumptions!$E$119,Assumptions!$E$120,Assumptions!$E$121))))</f>
        <v>1929.229929</v>
      </c>
      <c r="M289" s="14" t="n">
        <f aca="false">IF(M288=0,0,IF(M$4=Assumptions!$E$117,Assumptions!$E$118,L289*(1+CHOOSE(M$6,Assumptions!$E$119,Assumptions!$E$120,Assumptions!$E$121))))</f>
        <v>2122.1529219</v>
      </c>
      <c r="N289" s="14" t="n">
        <f aca="false">IF(N288=0,0,IF(N$4=Assumptions!$E$117,Assumptions!$E$118,M289*(1+CHOOSE(N$6,Assumptions!$E$119,Assumptions!$E$120,Assumptions!$E$121))))</f>
        <v>2334.36821409</v>
      </c>
      <c r="O289" s="14" t="n">
        <f aca="false">IF(O288=0,0,IF(O$4=Assumptions!$E$117,Assumptions!$E$118,N289*(1+CHOOSE(O$6,Assumptions!$E$119,Assumptions!$E$120,Assumptions!$E$121))))</f>
        <v>2451.0866247945</v>
      </c>
      <c r="P289" s="14" t="n">
        <f aca="false">IF(P288=0,0,IF(P$4=Assumptions!$E$117,Assumptions!$E$118,O289*(1+CHOOSE(P$6,Assumptions!$E$119,Assumptions!$E$120,Assumptions!$E$121))))</f>
        <v>2573.64095603423</v>
      </c>
      <c r="Q289" s="14" t="n">
        <f aca="false">IF(Q288=0,0,IF(Q$4=Assumptions!$E$117,Assumptions!$E$118,P289*(1+CHOOSE(Q$6,Assumptions!$E$119,Assumptions!$E$120,Assumptions!$E$121))))</f>
        <v>2702.32300383594</v>
      </c>
      <c r="R289" s="14" t="n">
        <f aca="false">IF(R288=0,0,IF(R$4=Assumptions!$E$117,Assumptions!$E$118,Q289*(1+CHOOSE(R$6,Assumptions!$E$119,Assumptions!$E$120,Assumptions!$E$121))))</f>
        <v>2837.43915402774</v>
      </c>
      <c r="S289" s="14" t="n">
        <f aca="false">IF(S288=0,0,IF(S$4=Assumptions!$E$117,Assumptions!$E$118,R289*(1+CHOOSE(S$6,Assumptions!$E$119,Assumptions!$E$120,Assumptions!$E$121))))</f>
        <v>2979.31111172912</v>
      </c>
      <c r="T289" s="14" t="n">
        <f aca="false">IF(T288=0,0,IF(T$4=Assumptions!$E$117,Assumptions!$E$118,S289*(1+CHOOSE(T$6,Assumptions!$E$119,Assumptions!$E$120,Assumptions!$E$121))))</f>
        <v>3128.27666731558</v>
      </c>
      <c r="U289" s="14" t="n">
        <f aca="false">IF(U288=0,0,IF(U$4=Assumptions!$E$117,Assumptions!$E$118,T289*(1+CHOOSE(U$6,Assumptions!$E$119,Assumptions!$E$120,Assumptions!$E$121))))</f>
        <v>3284.69050068136</v>
      </c>
      <c r="V289" s="14" t="n">
        <f aca="false">IF(V288=0,0,IF(V$4=Assumptions!$E$117,Assumptions!$E$118,U289*(1+CHOOSE(V$6,Assumptions!$E$119,Assumptions!$E$120,Assumptions!$E$121))))</f>
        <v>3448.92502571543</v>
      </c>
      <c r="W289" s="14" t="n">
        <f aca="false">IF(W288=0,0,IF(W$4=Assumptions!$E$117,Assumptions!$E$118,V289*(1+CHOOSE(W$6,Assumptions!$E$119,Assumptions!$E$120,Assumptions!$E$121))))</f>
        <v>3621.3712770012</v>
      </c>
      <c r="X289" s="14" t="n">
        <f aca="false">IF(X288=0,0,IF(X$4=Assumptions!$E$117,Assumptions!$E$118,W289*(1+CHOOSE(X$6,Assumptions!$E$119,Assumptions!$E$120,Assumptions!$E$121))))</f>
        <v>3802.43984085126</v>
      </c>
      <c r="Y289" s="14" t="n">
        <f aca="false">IF(Y288=0,0,IF(Y$4=Assumptions!$E$117,Assumptions!$E$118,X289*(1+CHOOSE(Y$6,Assumptions!$E$119,Assumptions!$E$120,Assumptions!$E$121))))</f>
        <v>3992.56183289382</v>
      </c>
      <c r="Z289" s="14" t="n">
        <f aca="false">IF(Z288=0,0,IF(Z$4=Assumptions!$E$117,Assumptions!$E$118,Y289*(1+CHOOSE(Z$6,Assumptions!$E$119,Assumptions!$E$120,Assumptions!$E$121))))</f>
        <v>4192.18992453851</v>
      </c>
      <c r="AA289" s="14" t="n">
        <f aca="false">IF(AA288=0,0,IF(AA$4=Assumptions!$E$117,Assumptions!$E$118,Z289*(1+CHOOSE(AA$6,Assumptions!$E$119,Assumptions!$E$120,Assumptions!$E$121))))</f>
        <v>4317.95562227467</v>
      </c>
      <c r="AB289" s="14" t="n">
        <f aca="false">IF(AB288=0,0,IF(AB$4=Assumptions!$E$117,Assumptions!$E$118,AA289*(1+CHOOSE(AB$6,Assumptions!$E$119,Assumptions!$E$120,Assumptions!$E$121))))</f>
        <v>4447.49429094291</v>
      </c>
      <c r="AC289" s="14" t="n">
        <f aca="false">IF(AC288=0,0,IF(AC$4=Assumptions!$E$117,Assumptions!$E$118,AB289*(1+CHOOSE(AC$6,Assumptions!$E$119,Assumptions!$E$120,Assumptions!$E$121))))</f>
        <v>4580.9191196712</v>
      </c>
      <c r="AD289" s="14" t="n">
        <f aca="false">IF(AD288=0,0,IF(AD$4=Assumptions!$E$117,Assumptions!$E$118,AC289*(1+CHOOSE(AD$6,Assumptions!$E$119,Assumptions!$E$120,Assumptions!$E$121))))</f>
        <v>4718.34669326133</v>
      </c>
      <c r="AE289" s="14" t="n">
        <f aca="false">IF(AE288=0,0,IF(AE$4=Assumptions!$E$117,Assumptions!$E$118,AD289*(1+CHOOSE(AE$6,Assumptions!$E$119,Assumptions!$E$120,Assumptions!$E$121))))</f>
        <v>4859.89709405917</v>
      </c>
      <c r="AF289" s="14" t="n">
        <f aca="false">IF(AF288=0,0,IF(AF$4=Assumptions!$E$117,Assumptions!$E$118,AE289*(1+CHOOSE(AF$6,Assumptions!$E$119,Assumptions!$E$120,Assumptions!$E$121))))</f>
        <v>5005.69400688095</v>
      </c>
      <c r="AG289" s="14" t="n">
        <f aca="false">IF(AG288=0,0,IF(AG$4=Assumptions!$E$117,Assumptions!$E$118,AF289*(1+CHOOSE(AG$6,Assumptions!$E$119,Assumptions!$E$120,Assumptions!$E$121))))</f>
        <v>5155.86482708738</v>
      </c>
      <c r="AH289" s="14" t="n">
        <f aca="false">IF(AH288=0,0,IF(AH$4=Assumptions!$E$117,Assumptions!$E$118,AG289*(1+CHOOSE(AH$6,Assumptions!$E$119,Assumptions!$E$120,Assumptions!$E$121))))</f>
        <v>5310.5407719</v>
      </c>
      <c r="AI289" s="14" t="n">
        <f aca="false">IF(AI288=0,0,IF(AI$4=Assumptions!$E$117,Assumptions!$E$118,AH289*(1+CHOOSE(AI$6,Assumptions!$E$119,Assumptions!$E$120,Assumptions!$E$121))))</f>
        <v>5469.856995057</v>
      </c>
      <c r="AJ289" s="14" t="n">
        <f aca="false">IF(AJ288=0,0,IF(AJ$4=Assumptions!$E$117,Assumptions!$E$118,AI289*(1+CHOOSE(AJ$6,Assumptions!$E$119,Assumptions!$E$120,Assumptions!$E$121))))</f>
        <v>5633.95270490871</v>
      </c>
      <c r="AK289" s="14" t="n">
        <f aca="false">IF(AK288=0,0,IF(AK$4=Assumptions!$E$117,Assumptions!$E$118,AJ289*(1+CHOOSE(AK$6,Assumptions!$E$119,Assumptions!$E$120,Assumptions!$E$121))))</f>
        <v>5802.97128605597</v>
      </c>
      <c r="AL289" s="14" t="n">
        <f aca="false">IF(AL288=0,0,IF(AL$4=Assumptions!$E$117,Assumptions!$E$118,AK289*(1+CHOOSE(AL$6,Assumptions!$E$119,Assumptions!$E$120,Assumptions!$E$121))))</f>
        <v>5977.06042463765</v>
      </c>
    </row>
    <row r="290" customFormat="false" ht="15" hidden="false" customHeight="false" outlineLevel="0" collapsed="false">
      <c r="A290" s="7" t="s">
        <v>758</v>
      </c>
      <c r="B290" s="9" t="s">
        <v>316</v>
      </c>
      <c r="C290" s="52" t="n">
        <f aca="false">C289*C$7</f>
        <v>0</v>
      </c>
      <c r="D290" s="52" t="n">
        <f aca="false">D289*D$7</f>
        <v>1170</v>
      </c>
      <c r="E290" s="52" t="n">
        <f aca="false">E289*E$7</f>
        <v>1336.5</v>
      </c>
      <c r="F290" s="52" t="n">
        <f aca="false">F289*F$7</f>
        <v>1361.25</v>
      </c>
      <c r="G290" s="52" t="n">
        <f aca="false">G289*G$7</f>
        <v>1078.11</v>
      </c>
      <c r="H290" s="52" t="n">
        <f aca="false">H289*H$7</f>
        <v>1317.69</v>
      </c>
      <c r="I290" s="52" t="n">
        <f aca="false">I289*I$7</f>
        <v>1521.93195</v>
      </c>
      <c r="J290" s="52" t="n">
        <f aca="false">J289*J$7</f>
        <v>1514.684655</v>
      </c>
      <c r="K290" s="52" t="n">
        <f aca="false">K289*K$7</f>
        <v>1753.84539</v>
      </c>
      <c r="L290" s="52" t="n">
        <f aca="false">L289*L$7</f>
        <v>1832.76843255</v>
      </c>
      <c r="M290" s="52" t="n">
        <f aca="false">M289*M$7</f>
        <v>1803.829983615</v>
      </c>
      <c r="N290" s="52" t="n">
        <f aca="false">N289*N$7</f>
        <v>1984.2129819765</v>
      </c>
      <c r="O290" s="52" t="n">
        <f aca="false">O289*O$7</f>
        <v>2328.53229355478</v>
      </c>
      <c r="P290" s="52" t="n">
        <f aca="false">P289*P$7</f>
        <v>3345.7332428445</v>
      </c>
      <c r="Q290" s="52" t="n">
        <f aca="false">Q289*Q$7</f>
        <v>3648.13605517852</v>
      </c>
      <c r="R290" s="52" t="n">
        <f aca="false">R289*R$7</f>
        <v>3546.79894253467</v>
      </c>
      <c r="S290" s="52" t="n">
        <f aca="false">S289*S$7</f>
        <v>2681.38000055621</v>
      </c>
      <c r="T290" s="52" t="n">
        <f aca="false">T289*T$7</f>
        <v>3128.27666731558</v>
      </c>
      <c r="U290" s="52" t="n">
        <f aca="false">U289*U$7</f>
        <v>3448.92502571543</v>
      </c>
      <c r="V290" s="52" t="n">
        <f aca="false">V289*V$7</f>
        <v>3276.47877442966</v>
      </c>
      <c r="W290" s="52" t="n">
        <f aca="false">W289*W$7</f>
        <v>3621.3712770012</v>
      </c>
      <c r="X290" s="52" t="n">
        <f aca="false">X289*X$7</f>
        <v>3612.3178488087</v>
      </c>
      <c r="Y290" s="52" t="n">
        <f aca="false">Y289*Y$7</f>
        <v>3393.67755795975</v>
      </c>
      <c r="Z290" s="52" t="n">
        <f aca="false">Z289*Z$7</f>
        <v>3563.36143585774</v>
      </c>
      <c r="AA290" s="52" t="n">
        <f aca="false">AA289*AA$7</f>
        <v>4102.05784116094</v>
      </c>
      <c r="AB290" s="52" t="n">
        <f aca="false">AB289*AB$7</f>
        <v>5781.74257822578</v>
      </c>
      <c r="AC290" s="52" t="n">
        <f aca="false">AC289*AC$7</f>
        <v>6184.24081155612</v>
      </c>
      <c r="AD290" s="52" t="n">
        <f aca="false">AD289*AD$7</f>
        <v>5897.93336657667</v>
      </c>
      <c r="AE290" s="52" t="n">
        <f aca="false">AE289*AE$7</f>
        <v>4373.90738465326</v>
      </c>
      <c r="AF290" s="52" t="n">
        <f aca="false">AF289*AF$7</f>
        <v>5005.69400688095</v>
      </c>
      <c r="AG290" s="52" t="n">
        <f aca="false">AG289*AG$7</f>
        <v>5413.65806844175</v>
      </c>
      <c r="AH290" s="52" t="n">
        <f aca="false">AH289*AH$7</f>
        <v>5045.013733305</v>
      </c>
      <c r="AI290" s="52" t="n">
        <f aca="false">AI289*AI$7</f>
        <v>5469.856995057</v>
      </c>
      <c r="AJ290" s="52" t="n">
        <f aca="false">AJ289*AJ$7</f>
        <v>5352.25506966327</v>
      </c>
      <c r="AK290" s="52" t="n">
        <f aca="false">AK289*AK$7</f>
        <v>4932.52559314758</v>
      </c>
      <c r="AL290" s="52" t="n">
        <f aca="false">AL289*AL$7</f>
        <v>5080.501360942</v>
      </c>
      <c r="AM290" s="53" t="n">
        <f aca="false">SUMIF($C$6:$AL$6,1,C290:AL290)</f>
        <v>16674.8233931415</v>
      </c>
      <c r="AN290" s="53" t="n">
        <f aca="false">SUMIF($C$6:$AL$6,2,C290:AL290)</f>
        <v>39594.9891217567</v>
      </c>
      <c r="AO290" s="53" t="n">
        <f aca="false">SUMIF($C$6:$AL$6,3,C290:AL290)</f>
        <v>62639.3868096103</v>
      </c>
      <c r="AP290" s="53" t="n">
        <f aca="false">SUM(C290:AL290)</f>
        <v>118909.199324509</v>
      </c>
    </row>
    <row r="291" customFormat="false" ht="15" hidden="false" customHeight="false" outlineLevel="0" collapsed="false">
      <c r="A291" s="7" t="s">
        <v>749</v>
      </c>
      <c r="B291" s="9" t="s">
        <v>88</v>
      </c>
      <c r="C291" s="54" t="n">
        <f aca="false">Assumptions!$E$122*MIN(1,(C$4-Assumptions!$E$117+1)/Assumptions!$C$10)*C288</f>
        <v>0</v>
      </c>
      <c r="D291" s="54" t="n">
        <f aca="false">Assumptions!$E$122*MIN(1,(D$4-Assumptions!$E$117+1)/Assumptions!$C$10)*D288</f>
        <v>0.01</v>
      </c>
      <c r="E291" s="54" t="n">
        <f aca="false">Assumptions!$E$122*MIN(1,(E$4-Assumptions!$E$117+1)/Assumptions!$C$10)*E288</f>
        <v>0.02</v>
      </c>
      <c r="F291" s="54" t="n">
        <f aca="false">Assumptions!$E$122*MIN(1,(F$4-Assumptions!$E$117+1)/Assumptions!$C$10)*F288</f>
        <v>0.03</v>
      </c>
      <c r="G291" s="54" t="n">
        <f aca="false">Assumptions!$E$122*MIN(1,(G$4-Assumptions!$E$117+1)/Assumptions!$C$10)*G288</f>
        <v>0.04</v>
      </c>
      <c r="H291" s="54" t="n">
        <f aca="false">Assumptions!$E$122*MIN(1,(H$4-Assumptions!$E$117+1)/Assumptions!$C$10)*H288</f>
        <v>0.05</v>
      </c>
      <c r="I291" s="54" t="n">
        <f aca="false">Assumptions!$E$122*MIN(1,(I$4-Assumptions!$E$117+1)/Assumptions!$C$10)*I288</f>
        <v>0.06</v>
      </c>
      <c r="J291" s="54" t="n">
        <f aca="false">Assumptions!$E$122*MIN(1,(J$4-Assumptions!$E$117+1)/Assumptions!$C$10)*J288</f>
        <v>0.06</v>
      </c>
      <c r="K291" s="54" t="n">
        <f aca="false">Assumptions!$E$122*MIN(1,(K$4-Assumptions!$E$117+1)/Assumptions!$C$10)*K288</f>
        <v>0.06</v>
      </c>
      <c r="L291" s="54" t="n">
        <f aca="false">Assumptions!$E$122*MIN(1,(L$4-Assumptions!$E$117+1)/Assumptions!$C$10)*L288</f>
        <v>0.06</v>
      </c>
      <c r="M291" s="54" t="n">
        <f aca="false">Assumptions!$E$122*MIN(1,(M$4-Assumptions!$E$117+1)/Assumptions!$C$10)*M288</f>
        <v>0.06</v>
      </c>
      <c r="N291" s="54" t="n">
        <f aca="false">Assumptions!$E$122*MIN(1,(N$4-Assumptions!$E$117+1)/Assumptions!$C$10)*N288</f>
        <v>0.06</v>
      </c>
      <c r="O291" s="54" t="n">
        <f aca="false">Assumptions!$E$122*MIN(1,(O$4-Assumptions!$E$117+1)/Assumptions!$C$10)*O288</f>
        <v>0.06</v>
      </c>
      <c r="P291" s="54" t="n">
        <f aca="false">Assumptions!$E$122*MIN(1,(P$4-Assumptions!$E$117+1)/Assumptions!$C$10)*P288</f>
        <v>0.06</v>
      </c>
      <c r="Q291" s="54" t="n">
        <f aca="false">Assumptions!$E$122*MIN(1,(Q$4-Assumptions!$E$117+1)/Assumptions!$C$10)*Q288</f>
        <v>0.06</v>
      </c>
      <c r="R291" s="54" t="n">
        <f aca="false">Assumptions!$E$122*MIN(1,(R$4-Assumptions!$E$117+1)/Assumptions!$C$10)*R288</f>
        <v>0.06</v>
      </c>
      <c r="S291" s="54" t="n">
        <f aca="false">Assumptions!$E$122*MIN(1,(S$4-Assumptions!$E$117+1)/Assumptions!$C$10)*S288</f>
        <v>0.06</v>
      </c>
      <c r="T291" s="54" t="n">
        <f aca="false">Assumptions!$E$122*MIN(1,(T$4-Assumptions!$E$117+1)/Assumptions!$C$10)*T288</f>
        <v>0.06</v>
      </c>
      <c r="U291" s="54" t="n">
        <f aca="false">Assumptions!$E$122*MIN(1,(U$4-Assumptions!$E$117+1)/Assumptions!$C$10)*U288</f>
        <v>0.06</v>
      </c>
      <c r="V291" s="54" t="n">
        <f aca="false">Assumptions!$E$122*MIN(1,(V$4-Assumptions!$E$117+1)/Assumptions!$C$10)*V288</f>
        <v>0.06</v>
      </c>
      <c r="W291" s="54" t="n">
        <f aca="false">Assumptions!$E$122*MIN(1,(W$4-Assumptions!$E$117+1)/Assumptions!$C$10)*W288</f>
        <v>0.06</v>
      </c>
      <c r="X291" s="54" t="n">
        <f aca="false">Assumptions!$E$122*MIN(1,(X$4-Assumptions!$E$117+1)/Assumptions!$C$10)*X288</f>
        <v>0.06</v>
      </c>
      <c r="Y291" s="54" t="n">
        <f aca="false">Assumptions!$E$122*MIN(1,(Y$4-Assumptions!$E$117+1)/Assumptions!$C$10)*Y288</f>
        <v>0.06</v>
      </c>
      <c r="Z291" s="54" t="n">
        <f aca="false">Assumptions!$E$122*MIN(1,(Z$4-Assumptions!$E$117+1)/Assumptions!$C$10)*Z288</f>
        <v>0.06</v>
      </c>
      <c r="AA291" s="54" t="n">
        <f aca="false">Assumptions!$E$122*MIN(1,(AA$4-Assumptions!$E$117+1)/Assumptions!$C$10)*AA288</f>
        <v>0.06</v>
      </c>
      <c r="AB291" s="54" t="n">
        <f aca="false">Assumptions!$E$122*MIN(1,(AB$4-Assumptions!$E$117+1)/Assumptions!$C$10)*AB288</f>
        <v>0.06</v>
      </c>
      <c r="AC291" s="54" t="n">
        <f aca="false">Assumptions!$E$122*MIN(1,(AC$4-Assumptions!$E$117+1)/Assumptions!$C$10)*AC288</f>
        <v>0.06</v>
      </c>
      <c r="AD291" s="54" t="n">
        <f aca="false">Assumptions!$E$122*MIN(1,(AD$4-Assumptions!$E$117+1)/Assumptions!$C$10)*AD288</f>
        <v>0.06</v>
      </c>
      <c r="AE291" s="54" t="n">
        <f aca="false">Assumptions!$E$122*MIN(1,(AE$4-Assumptions!$E$117+1)/Assumptions!$C$10)*AE288</f>
        <v>0.06</v>
      </c>
      <c r="AF291" s="54" t="n">
        <f aca="false">Assumptions!$E$122*MIN(1,(AF$4-Assumptions!$E$117+1)/Assumptions!$C$10)*AF288</f>
        <v>0.06</v>
      </c>
      <c r="AG291" s="54" t="n">
        <f aca="false">Assumptions!$E$122*MIN(1,(AG$4-Assumptions!$E$117+1)/Assumptions!$C$10)*AG288</f>
        <v>0.06</v>
      </c>
      <c r="AH291" s="54" t="n">
        <f aca="false">Assumptions!$E$122*MIN(1,(AH$4-Assumptions!$E$117+1)/Assumptions!$C$10)*AH288</f>
        <v>0.06</v>
      </c>
      <c r="AI291" s="54" t="n">
        <f aca="false">Assumptions!$E$122*MIN(1,(AI$4-Assumptions!$E$117+1)/Assumptions!$C$10)*AI288</f>
        <v>0.06</v>
      </c>
      <c r="AJ291" s="54" t="n">
        <f aca="false">Assumptions!$E$122*MIN(1,(AJ$4-Assumptions!$E$117+1)/Assumptions!$C$10)*AJ288</f>
        <v>0.06</v>
      </c>
      <c r="AK291" s="54" t="n">
        <f aca="false">Assumptions!$E$122*MIN(1,(AK$4-Assumptions!$E$117+1)/Assumptions!$C$10)*AK288</f>
        <v>0.06</v>
      </c>
      <c r="AL291" s="54" t="n">
        <f aca="false">Assumptions!$E$122*MIN(1,(AL$4-Assumptions!$E$117+1)/Assumptions!$C$10)*AL288</f>
        <v>0.06</v>
      </c>
    </row>
    <row r="292" customFormat="false" ht="15" hidden="false" customHeight="false" outlineLevel="0" collapsed="false">
      <c r="A292" s="7" t="s">
        <v>757</v>
      </c>
      <c r="B292" s="9" t="s">
        <v>751</v>
      </c>
      <c r="C292" s="55" t="n">
        <f aca="false">C290*C291</f>
        <v>0</v>
      </c>
      <c r="D292" s="55" t="n">
        <f aca="false">D290*D291</f>
        <v>11.7</v>
      </c>
      <c r="E292" s="55" t="n">
        <f aca="false">E290*E291</f>
        <v>26.73</v>
      </c>
      <c r="F292" s="55" t="n">
        <f aca="false">F290*F291</f>
        <v>40.8375</v>
      </c>
      <c r="G292" s="55" t="n">
        <f aca="false">G290*G291</f>
        <v>43.1244</v>
      </c>
      <c r="H292" s="55" t="n">
        <f aca="false">H290*H291</f>
        <v>65.8845</v>
      </c>
      <c r="I292" s="55" t="n">
        <f aca="false">I290*I291</f>
        <v>91.315917</v>
      </c>
      <c r="J292" s="55" t="n">
        <f aca="false">J290*J291</f>
        <v>90.8810793</v>
      </c>
      <c r="K292" s="55" t="n">
        <f aca="false">K290*K291</f>
        <v>105.2307234</v>
      </c>
      <c r="L292" s="55" t="n">
        <f aca="false">L290*L291</f>
        <v>109.966105953</v>
      </c>
      <c r="M292" s="55" t="n">
        <f aca="false">M290*M291</f>
        <v>108.2297990169</v>
      </c>
      <c r="N292" s="55" t="n">
        <f aca="false">N290*N291</f>
        <v>119.05277891859</v>
      </c>
      <c r="O292" s="55" t="n">
        <f aca="false">O290*O291</f>
        <v>139.711937613287</v>
      </c>
      <c r="P292" s="55" t="n">
        <f aca="false">P290*P291</f>
        <v>200.74399457067</v>
      </c>
      <c r="Q292" s="55" t="n">
        <f aca="false">Q290*Q291</f>
        <v>218.888163310711</v>
      </c>
      <c r="R292" s="55" t="n">
        <f aca="false">R290*R291</f>
        <v>212.80793655208</v>
      </c>
      <c r="S292" s="55" t="n">
        <f aca="false">S290*S291</f>
        <v>160.882800033373</v>
      </c>
      <c r="T292" s="55" t="n">
        <f aca="false">T290*T291</f>
        <v>187.696600038935</v>
      </c>
      <c r="U292" s="55" t="n">
        <f aca="false">U290*U291</f>
        <v>206.935501542926</v>
      </c>
      <c r="V292" s="55" t="n">
        <f aca="false">V290*V291</f>
        <v>196.588726465779</v>
      </c>
      <c r="W292" s="55" t="n">
        <f aca="false">W290*W291</f>
        <v>217.282276620072</v>
      </c>
      <c r="X292" s="55" t="n">
        <f aca="false">X290*X291</f>
        <v>216.739070928522</v>
      </c>
      <c r="Y292" s="55" t="n">
        <f aca="false">Y290*Y291</f>
        <v>203.620653477585</v>
      </c>
      <c r="Z292" s="55" t="n">
        <f aca="false">Z290*Z291</f>
        <v>213.801686151464</v>
      </c>
      <c r="AA292" s="55" t="n">
        <f aca="false">AA290*AA291</f>
        <v>246.123470469656</v>
      </c>
      <c r="AB292" s="55" t="n">
        <f aca="false">AB290*AB291</f>
        <v>346.904554693547</v>
      </c>
      <c r="AC292" s="55" t="n">
        <f aca="false">AC290*AC291</f>
        <v>371.054448693367</v>
      </c>
      <c r="AD292" s="55" t="n">
        <f aca="false">AD290*AD291</f>
        <v>353.8760019946</v>
      </c>
      <c r="AE292" s="55" t="n">
        <f aca="false">AE290*AE291</f>
        <v>262.434443079195</v>
      </c>
      <c r="AF292" s="55" t="n">
        <f aca="false">AF290*AF291</f>
        <v>300.341640412857</v>
      </c>
      <c r="AG292" s="55" t="n">
        <f aca="false">AG290*AG291</f>
        <v>324.819484106505</v>
      </c>
      <c r="AH292" s="55" t="n">
        <f aca="false">AH290*AH291</f>
        <v>302.7008239983</v>
      </c>
      <c r="AI292" s="55" t="n">
        <f aca="false">AI290*AI291</f>
        <v>328.19141970342</v>
      </c>
      <c r="AJ292" s="55" t="n">
        <f aca="false">AJ290*AJ291</f>
        <v>321.135304179796</v>
      </c>
      <c r="AK292" s="55" t="n">
        <f aca="false">AK290*AK291</f>
        <v>295.951535588855</v>
      </c>
      <c r="AL292" s="55" t="n">
        <f aca="false">AL290*AL291</f>
        <v>304.83008165652</v>
      </c>
      <c r="AM292" s="53" t="n">
        <f aca="false">SUMIF($C$6:$AL$6,1,C292:AL292)</f>
        <v>812.952803588491</v>
      </c>
      <c r="AN292" s="53" t="n">
        <f aca="false">SUMIF($C$6:$AL$6,2,C292:AL292)</f>
        <v>2375.6993473054</v>
      </c>
      <c r="AO292" s="53" t="n">
        <f aca="false">SUMIF($C$6:$AL$6,3,C292:AL292)</f>
        <v>3758.36320857662</v>
      </c>
      <c r="AP292" s="53" t="n">
        <f aca="false">SUM(C292:AL292)</f>
        <v>6947.01535947051</v>
      </c>
    </row>
    <row r="293" customFormat="false" ht="15" hidden="false" customHeight="false" outlineLevel="0" collapsed="false">
      <c r="A293" s="7" t="s">
        <v>752</v>
      </c>
      <c r="B293" s="9" t="s">
        <v>331</v>
      </c>
      <c r="C293" s="56" t="n">
        <f aca="false">C292*Assumptions!$E$123</f>
        <v>0</v>
      </c>
      <c r="D293" s="56" t="n">
        <f aca="false">D292*Assumptions!$E$123</f>
        <v>12.87</v>
      </c>
      <c r="E293" s="56" t="n">
        <f aca="false">E292*Assumptions!$E$123</f>
        <v>29.403</v>
      </c>
      <c r="F293" s="56" t="n">
        <f aca="false">F292*Assumptions!$E$123</f>
        <v>44.92125</v>
      </c>
      <c r="G293" s="56" t="n">
        <f aca="false">G292*Assumptions!$E$123</f>
        <v>47.43684</v>
      </c>
      <c r="H293" s="56" t="n">
        <f aca="false">H292*Assumptions!$E$123</f>
        <v>72.47295</v>
      </c>
      <c r="I293" s="56" t="n">
        <f aca="false">I292*Assumptions!$E$123</f>
        <v>100.4475087</v>
      </c>
      <c r="J293" s="56" t="n">
        <f aca="false">J292*Assumptions!$E$123</f>
        <v>99.9691872300001</v>
      </c>
      <c r="K293" s="56" t="n">
        <f aca="false">K292*Assumptions!$E$123</f>
        <v>115.75379574</v>
      </c>
      <c r="L293" s="56" t="n">
        <f aca="false">L292*Assumptions!$E$123</f>
        <v>120.9627165483</v>
      </c>
      <c r="M293" s="56" t="n">
        <f aca="false">M292*Assumptions!$E$123</f>
        <v>119.05277891859</v>
      </c>
      <c r="N293" s="56" t="n">
        <f aca="false">N292*Assumptions!$E$123</f>
        <v>130.958056810449</v>
      </c>
      <c r="O293" s="56" t="n">
        <f aca="false">O292*Assumptions!$E$123</f>
        <v>153.683131374615</v>
      </c>
      <c r="P293" s="56" t="n">
        <f aca="false">P292*Assumptions!$E$123</f>
        <v>220.818394027737</v>
      </c>
      <c r="Q293" s="56" t="n">
        <f aca="false">Q292*Assumptions!$E$123</f>
        <v>240.776979641782</v>
      </c>
      <c r="R293" s="56" t="n">
        <f aca="false">R292*Assumptions!$E$123</f>
        <v>234.088730207288</v>
      </c>
      <c r="S293" s="56" t="n">
        <f aca="false">S292*Assumptions!$E$123</f>
        <v>176.97108003671</v>
      </c>
      <c r="T293" s="56" t="n">
        <f aca="false">T292*Assumptions!$E$123</f>
        <v>206.466260042828</v>
      </c>
      <c r="U293" s="56" t="n">
        <f aca="false">U292*Assumptions!$E$123</f>
        <v>227.629051697218</v>
      </c>
      <c r="V293" s="56" t="n">
        <f aca="false">V292*Assumptions!$E$123</f>
        <v>216.247599112357</v>
      </c>
      <c r="W293" s="56" t="n">
        <f aca="false">W292*Assumptions!$E$123</f>
        <v>239.010504282079</v>
      </c>
      <c r="X293" s="56" t="n">
        <f aca="false">X292*Assumptions!$E$123</f>
        <v>238.412978021374</v>
      </c>
      <c r="Y293" s="56" t="n">
        <f aca="false">Y292*Assumptions!$E$123</f>
        <v>223.982718825343</v>
      </c>
      <c r="Z293" s="56" t="n">
        <f aca="false">Z292*Assumptions!$E$123</f>
        <v>235.181854766611</v>
      </c>
      <c r="AA293" s="56" t="n">
        <f aca="false">AA292*Assumptions!$E$123</f>
        <v>270.735817516622</v>
      </c>
      <c r="AB293" s="56" t="n">
        <f aca="false">AB292*Assumptions!$E$123</f>
        <v>381.595010162902</v>
      </c>
      <c r="AC293" s="56" t="n">
        <f aca="false">AC292*Assumptions!$E$123</f>
        <v>408.159893562704</v>
      </c>
      <c r="AD293" s="56" t="n">
        <f aca="false">AD292*Assumptions!$E$123</f>
        <v>389.26360219406</v>
      </c>
      <c r="AE293" s="56" t="n">
        <f aca="false">AE292*Assumptions!$E$123</f>
        <v>288.677887387115</v>
      </c>
      <c r="AF293" s="56" t="n">
        <f aca="false">AF292*Assumptions!$E$123</f>
        <v>330.375804454143</v>
      </c>
      <c r="AG293" s="56" t="n">
        <f aca="false">AG292*Assumptions!$E$123</f>
        <v>357.301432517155</v>
      </c>
      <c r="AH293" s="56" t="n">
        <f aca="false">AH292*Assumptions!$E$123</f>
        <v>332.97090639813</v>
      </c>
      <c r="AI293" s="56" t="n">
        <f aca="false">AI292*Assumptions!$E$123</f>
        <v>361.010561673762</v>
      </c>
      <c r="AJ293" s="56" t="n">
        <f aca="false">AJ292*Assumptions!$E$123</f>
        <v>353.248834597776</v>
      </c>
      <c r="AK293" s="56" t="n">
        <f aca="false">AK292*Assumptions!$E$123</f>
        <v>325.54668914774</v>
      </c>
      <c r="AL293" s="56" t="n">
        <f aca="false">AL292*Assumptions!$E$123</f>
        <v>335.313089822172</v>
      </c>
      <c r="AM293" s="53" t="n">
        <f aca="false">SUMIF($C$6:$AL$6,1,C293:AL293)</f>
        <v>894.24808394734</v>
      </c>
      <c r="AN293" s="53" t="n">
        <f aca="false">SUMIF($C$6:$AL$6,2,C293:AL293)</f>
        <v>2613.26928203594</v>
      </c>
      <c r="AO293" s="53" t="n">
        <f aca="false">SUMIF($C$6:$AL$6,3,C293:AL293)</f>
        <v>4134.19952943428</v>
      </c>
      <c r="AP293" s="53" t="n">
        <f aca="false">SUM(C293:AL293)</f>
        <v>7641.71689541756</v>
      </c>
    </row>
    <row r="294" customFormat="false" ht="15" hidden="false" customHeight="false" outlineLevel="0" collapsed="false">
      <c r="A294" s="7" t="s">
        <v>753</v>
      </c>
      <c r="B294" s="9" t="s">
        <v>93</v>
      </c>
      <c r="C294" s="15" t="n">
        <f aca="false">'Unit Economics'!$E$52*Assumptions!$E$123*C288</f>
        <v>0</v>
      </c>
      <c r="D294" s="15" t="n">
        <f aca="false">'Unit Economics'!$E$52*Assumptions!$E$123*D288</f>
        <v>15.939</v>
      </c>
      <c r="E294" s="15" t="n">
        <f aca="false">'Unit Economics'!$E$52*Assumptions!$E$123*E288</f>
        <v>15.939</v>
      </c>
      <c r="F294" s="15" t="n">
        <f aca="false">'Unit Economics'!$E$52*Assumptions!$E$123*F288</f>
        <v>15.939</v>
      </c>
      <c r="G294" s="15" t="n">
        <f aca="false">'Unit Economics'!$E$52*Assumptions!$E$123*G288</f>
        <v>15.939</v>
      </c>
      <c r="H294" s="15" t="n">
        <f aca="false">'Unit Economics'!$E$52*Assumptions!$E$123*H288</f>
        <v>15.939</v>
      </c>
      <c r="I294" s="15" t="n">
        <f aca="false">'Unit Economics'!$E$52*Assumptions!$E$123*I288</f>
        <v>15.939</v>
      </c>
      <c r="J294" s="15" t="n">
        <f aca="false">'Unit Economics'!$E$52*Assumptions!$E$123*J288</f>
        <v>15.939</v>
      </c>
      <c r="K294" s="15" t="n">
        <f aca="false">'Unit Economics'!$E$52*Assumptions!$E$123*K288</f>
        <v>15.939</v>
      </c>
      <c r="L294" s="15" t="n">
        <f aca="false">'Unit Economics'!$E$52*Assumptions!$E$123*L288</f>
        <v>15.939</v>
      </c>
      <c r="M294" s="15" t="n">
        <f aca="false">'Unit Economics'!$E$52*Assumptions!$E$123*M288</f>
        <v>15.939</v>
      </c>
      <c r="N294" s="15" t="n">
        <f aca="false">'Unit Economics'!$E$52*Assumptions!$E$123*N288</f>
        <v>15.939</v>
      </c>
      <c r="O294" s="15" t="n">
        <f aca="false">'Unit Economics'!$E$52*Assumptions!$E$123*O288</f>
        <v>15.939</v>
      </c>
      <c r="P294" s="15" t="n">
        <f aca="false">'Unit Economics'!$E$52*Assumptions!$E$123*P288</f>
        <v>15.939</v>
      </c>
      <c r="Q294" s="15" t="n">
        <f aca="false">'Unit Economics'!$E$52*Assumptions!$E$123*Q288</f>
        <v>15.939</v>
      </c>
      <c r="R294" s="15" t="n">
        <f aca="false">'Unit Economics'!$E$52*Assumptions!$E$123*R288</f>
        <v>15.939</v>
      </c>
      <c r="S294" s="15" t="n">
        <f aca="false">'Unit Economics'!$E$52*Assumptions!$E$123*S288</f>
        <v>15.939</v>
      </c>
      <c r="T294" s="15" t="n">
        <f aca="false">'Unit Economics'!$E$52*Assumptions!$E$123*T288</f>
        <v>15.939</v>
      </c>
      <c r="U294" s="15" t="n">
        <f aca="false">'Unit Economics'!$E$52*Assumptions!$E$123*U288</f>
        <v>15.939</v>
      </c>
      <c r="V294" s="15" t="n">
        <f aca="false">'Unit Economics'!$E$52*Assumptions!$E$123*V288</f>
        <v>15.939</v>
      </c>
      <c r="W294" s="15" t="n">
        <f aca="false">'Unit Economics'!$E$52*Assumptions!$E$123*W288</f>
        <v>15.939</v>
      </c>
      <c r="X294" s="15" t="n">
        <f aca="false">'Unit Economics'!$E$52*Assumptions!$E$123*X288</f>
        <v>15.939</v>
      </c>
      <c r="Y294" s="15" t="n">
        <f aca="false">'Unit Economics'!$E$52*Assumptions!$E$123*Y288</f>
        <v>15.939</v>
      </c>
      <c r="Z294" s="15" t="n">
        <f aca="false">'Unit Economics'!$E$52*Assumptions!$E$123*Z288</f>
        <v>15.939</v>
      </c>
      <c r="AA294" s="15" t="n">
        <f aca="false">'Unit Economics'!$E$52*Assumptions!$E$123*AA288</f>
        <v>15.939</v>
      </c>
      <c r="AB294" s="15" t="n">
        <f aca="false">'Unit Economics'!$E$52*Assumptions!$E$123*AB288</f>
        <v>15.939</v>
      </c>
      <c r="AC294" s="15" t="n">
        <f aca="false">'Unit Economics'!$E$52*Assumptions!$E$123*AC288</f>
        <v>15.939</v>
      </c>
      <c r="AD294" s="15" t="n">
        <f aca="false">'Unit Economics'!$E$52*Assumptions!$E$123*AD288</f>
        <v>15.939</v>
      </c>
      <c r="AE294" s="15" t="n">
        <f aca="false">'Unit Economics'!$E$52*Assumptions!$E$123*AE288</f>
        <v>15.939</v>
      </c>
      <c r="AF294" s="15" t="n">
        <f aca="false">'Unit Economics'!$E$52*Assumptions!$E$123*AF288</f>
        <v>15.939</v>
      </c>
      <c r="AG294" s="15" t="n">
        <f aca="false">'Unit Economics'!$E$52*Assumptions!$E$123*AG288</f>
        <v>15.939</v>
      </c>
      <c r="AH294" s="15" t="n">
        <f aca="false">'Unit Economics'!$E$52*Assumptions!$E$123*AH288</f>
        <v>15.939</v>
      </c>
      <c r="AI294" s="15" t="n">
        <f aca="false">'Unit Economics'!$E$52*Assumptions!$E$123*AI288</f>
        <v>15.939</v>
      </c>
      <c r="AJ294" s="15" t="n">
        <f aca="false">'Unit Economics'!$E$52*Assumptions!$E$123*AJ288</f>
        <v>15.939</v>
      </c>
      <c r="AK294" s="15" t="n">
        <f aca="false">'Unit Economics'!$E$52*Assumptions!$E$123*AK288</f>
        <v>15.939</v>
      </c>
      <c r="AL294" s="15" t="n">
        <f aca="false">'Unit Economics'!$E$52*Assumptions!$E$123*AL288</f>
        <v>15.939</v>
      </c>
    </row>
    <row r="295" customFormat="false" ht="15" hidden="false" customHeight="false" outlineLevel="0" collapsed="false">
      <c r="A295" s="7" t="s">
        <v>754</v>
      </c>
      <c r="B295" s="9" t="s">
        <v>93</v>
      </c>
      <c r="C295" s="8" t="n">
        <f aca="false">C293*'Unit Economics'!$E$52</f>
        <v>0</v>
      </c>
      <c r="D295" s="8" t="n">
        <f aca="false">D293*'Unit Economics'!$E$52</f>
        <v>186.4863</v>
      </c>
      <c r="E295" s="8" t="n">
        <f aca="false">E293*'Unit Economics'!$E$52</f>
        <v>426.04947</v>
      </c>
      <c r="F295" s="8" t="n">
        <f aca="false">F293*'Unit Economics'!$E$52</f>
        <v>650.9089125</v>
      </c>
      <c r="G295" s="8" t="n">
        <f aca="false">G293*'Unit Economics'!$E$52</f>
        <v>687.3598116</v>
      </c>
      <c r="H295" s="8" t="n">
        <f aca="false">H293*'Unit Economics'!$E$52</f>
        <v>1050.1330455</v>
      </c>
      <c r="I295" s="8" t="n">
        <f aca="false">I293*'Unit Economics'!$E$52</f>
        <v>1455.484401063</v>
      </c>
      <c r="J295" s="8" t="n">
        <f aca="false">J293*'Unit Economics'!$E$52</f>
        <v>1448.5535229627</v>
      </c>
      <c r="K295" s="8" t="n">
        <f aca="false">K293*'Unit Economics'!$E$52</f>
        <v>1677.2725002726</v>
      </c>
      <c r="L295" s="8" t="n">
        <f aca="false">L293*'Unit Economics'!$E$52</f>
        <v>1752.74976278487</v>
      </c>
      <c r="M295" s="8" t="n">
        <f aca="false">M293*'Unit Economics'!$E$52</f>
        <v>1725.07476653037</v>
      </c>
      <c r="N295" s="8" t="n">
        <f aca="false">N293*'Unit Economics'!$E$52</f>
        <v>1897.58224318341</v>
      </c>
      <c r="O295" s="8" t="n">
        <f aca="false">O293*'Unit Economics'!$E$52</f>
        <v>2226.86857361818</v>
      </c>
      <c r="P295" s="8" t="n">
        <f aca="false">P293*'Unit Economics'!$E$52</f>
        <v>3199.65852946191</v>
      </c>
      <c r="Q295" s="8" t="n">
        <f aca="false">Q293*'Unit Economics'!$E$52</f>
        <v>3488.85843500942</v>
      </c>
      <c r="R295" s="8" t="n">
        <f aca="false">R293*'Unit Economics'!$E$52</f>
        <v>3391.94570070361</v>
      </c>
      <c r="S295" s="8" t="n">
        <f aca="false">S293*'Unit Economics'!$E$52</f>
        <v>2564.31094973193</v>
      </c>
      <c r="T295" s="8" t="n">
        <f aca="false">T293*'Unit Economics'!$E$52</f>
        <v>2991.69610802058</v>
      </c>
      <c r="U295" s="8" t="n">
        <f aca="false">U293*'Unit Economics'!$E$52</f>
        <v>3298.34495909269</v>
      </c>
      <c r="V295" s="8" t="n">
        <f aca="false">V293*'Unit Economics'!$E$52</f>
        <v>3133.42771113806</v>
      </c>
      <c r="W295" s="8" t="n">
        <f aca="false">W293*'Unit Economics'!$E$52</f>
        <v>3463.26220704733</v>
      </c>
      <c r="X295" s="8" t="n">
        <f aca="false">X293*'Unit Economics'!$E$52</f>
        <v>3454.60405152971</v>
      </c>
      <c r="Y295" s="8" t="n">
        <f aca="false">Y293*'Unit Economics'!$E$52</f>
        <v>3245.50959577923</v>
      </c>
      <c r="Z295" s="8" t="n">
        <f aca="false">Z293*'Unit Economics'!$E$52</f>
        <v>3407.78507556819</v>
      </c>
      <c r="AA295" s="8" t="n">
        <f aca="false">AA293*'Unit Economics'!$E$52</f>
        <v>3922.96199581585</v>
      </c>
      <c r="AB295" s="8" t="n">
        <f aca="false">AB293*'Unit Economics'!$E$52</f>
        <v>5529.31169726045</v>
      </c>
      <c r="AC295" s="8" t="n">
        <f aca="false">AC293*'Unit Economics'!$E$52</f>
        <v>5914.23685772358</v>
      </c>
      <c r="AD295" s="8" t="n">
        <f aca="false">AD293*'Unit Economics'!$E$52</f>
        <v>5640.42959579193</v>
      </c>
      <c r="AE295" s="8" t="n">
        <f aca="false">AE293*'Unit Economics'!$E$52</f>
        <v>4182.9425882393</v>
      </c>
      <c r="AF295" s="8" t="n">
        <f aca="false">AF293*'Unit Economics'!$E$52</f>
        <v>4787.14540654053</v>
      </c>
      <c r="AG295" s="8" t="n">
        <f aca="false">AG293*'Unit Economics'!$E$52</f>
        <v>5177.29775717358</v>
      </c>
      <c r="AH295" s="8" t="n">
        <f aca="false">AH293*'Unit Economics'!$E$52</f>
        <v>4824.7484337089</v>
      </c>
      <c r="AI295" s="8" t="n">
        <f aca="false">AI293*'Unit Economics'!$E$52</f>
        <v>5231.04303865281</v>
      </c>
      <c r="AJ295" s="8" t="n">
        <f aca="false">AJ293*'Unit Economics'!$E$52</f>
        <v>5118.57561332178</v>
      </c>
      <c r="AK295" s="8" t="n">
        <f aca="false">AK293*'Unit Economics'!$E$52</f>
        <v>4717.17152575075</v>
      </c>
      <c r="AL295" s="8" t="n">
        <f aca="false">AL293*'Unit Economics'!$E$52</f>
        <v>4858.68667152327</v>
      </c>
      <c r="AM295" s="45" t="n">
        <f aca="false">SUMIF($C$6:$AL$6,1,C295:AL295)</f>
        <v>12957.654736397</v>
      </c>
      <c r="AN295" s="45" t="n">
        <f aca="false">SUMIF($C$6:$AL$6,2,C295:AL295)</f>
        <v>37866.2718967008</v>
      </c>
      <c r="AO295" s="45" t="n">
        <f aca="false">SUMIF($C$6:$AL$6,3,C295:AL295)</f>
        <v>59904.5511815027</v>
      </c>
      <c r="AP295" s="45" t="n">
        <f aca="false">SUM(C295:AL295)</f>
        <v>110728.477814601</v>
      </c>
    </row>
    <row r="296" customFormat="false" ht="15" hidden="false" customHeight="false" outlineLevel="0" collapsed="false">
      <c r="A296" s="7" t="s">
        <v>755</v>
      </c>
      <c r="B296" s="9" t="s">
        <v>93</v>
      </c>
      <c r="C296" s="8" t="n">
        <f aca="false">C293*'Unit Economics'!$F$52</f>
        <v>0</v>
      </c>
      <c r="D296" s="8" t="n">
        <f aca="false">D293*'Unit Economics'!$F$52</f>
        <v>78.27534</v>
      </c>
      <c r="E296" s="8" t="n">
        <f aca="false">E293*'Unit Economics'!$F$52</f>
        <v>178.829046</v>
      </c>
      <c r="F296" s="8" t="n">
        <f aca="false">F293*'Unit Economics'!$F$52</f>
        <v>273.2110425</v>
      </c>
      <c r="G296" s="8" t="n">
        <f aca="false">G293*'Unit Economics'!$F$52</f>
        <v>288.51086088</v>
      </c>
      <c r="H296" s="8" t="n">
        <f aca="false">H293*'Unit Economics'!$F$52</f>
        <v>440.7804819</v>
      </c>
      <c r="I296" s="8" t="n">
        <f aca="false">I293*'Unit Economics'!$F$52</f>
        <v>610.9217479134</v>
      </c>
      <c r="J296" s="8" t="n">
        <f aca="false">J293*'Unit Economics'!$F$52</f>
        <v>608.01259673286</v>
      </c>
      <c r="K296" s="8" t="n">
        <f aca="false">K293*'Unit Economics'!$F$52</f>
        <v>704.01458569068</v>
      </c>
      <c r="L296" s="8" t="n">
        <f aca="false">L293*'Unit Economics'!$F$52</f>
        <v>735.695242046761</v>
      </c>
      <c r="M296" s="8" t="n">
        <f aca="false">M293*'Unit Economics'!$F$52</f>
        <v>724.079001382865</v>
      </c>
      <c r="N296" s="8" t="n">
        <f aca="false">N293*'Unit Economics'!$F$52</f>
        <v>796.486901521152</v>
      </c>
      <c r="O296" s="8" t="n">
        <f aca="false">O293*'Unit Economics'!$F$52</f>
        <v>934.70080502041</v>
      </c>
      <c r="P296" s="8" t="n">
        <f aca="false">P293*'Unit Economics'!$F$52</f>
        <v>1343.01747247669</v>
      </c>
      <c r="Q296" s="8" t="n">
        <f aca="false">Q293*'Unit Economics'!$F$52</f>
        <v>1464.40559018132</v>
      </c>
      <c r="R296" s="8" t="n">
        <f aca="false">R293*'Unit Economics'!$F$52</f>
        <v>1423.72765712073</v>
      </c>
      <c r="S296" s="8" t="n">
        <f aca="false">S293*'Unit Economics'!$F$52</f>
        <v>1076.33810878327</v>
      </c>
      <c r="T296" s="8" t="n">
        <f aca="false">T293*'Unit Economics'!$F$52</f>
        <v>1255.72779358048</v>
      </c>
      <c r="U296" s="8" t="n">
        <f aca="false">U293*'Unit Economics'!$F$52</f>
        <v>1384.43989242248</v>
      </c>
      <c r="V296" s="8" t="n">
        <f aca="false">V293*'Unit Economics'!$F$52</f>
        <v>1315.21789780136</v>
      </c>
      <c r="W296" s="8" t="n">
        <f aca="false">W293*'Unit Economics'!$F$52</f>
        <v>1453.66188704361</v>
      </c>
      <c r="X296" s="8" t="n">
        <f aca="false">X293*'Unit Economics'!$F$52</f>
        <v>1450.027732326</v>
      </c>
      <c r="Y296" s="8" t="n">
        <f aca="false">Y293*'Unit Economics'!$F$52</f>
        <v>1362.26289589574</v>
      </c>
      <c r="Z296" s="8" t="n">
        <f aca="false">Z293*'Unit Economics'!$F$52</f>
        <v>1430.37604069053</v>
      </c>
      <c r="AA296" s="8" t="n">
        <f aca="false">AA293*'Unit Economics'!$F$52</f>
        <v>1646.61524213609</v>
      </c>
      <c r="AB296" s="8" t="n">
        <f aca="false">AB293*'Unit Economics'!$F$52</f>
        <v>2320.86085181077</v>
      </c>
      <c r="AC296" s="8" t="n">
        <f aca="false">AC293*'Unit Economics'!$F$52</f>
        <v>2482.42847264836</v>
      </c>
      <c r="AD296" s="8" t="n">
        <f aca="false">AD293*'Unit Economics'!$F$52</f>
        <v>2367.50122854427</v>
      </c>
      <c r="AE296" s="8" t="n">
        <f aca="false">AE293*'Unit Economics'!$F$52</f>
        <v>1755.73891108843</v>
      </c>
      <c r="AF296" s="8" t="n">
        <f aca="false">AF293*'Unit Economics'!$F$52</f>
        <v>2009.3456426901</v>
      </c>
      <c r="AG296" s="8" t="n">
        <f aca="false">AG293*'Unit Economics'!$F$52</f>
        <v>2173.10731256934</v>
      </c>
      <c r="AH296" s="8" t="n">
        <f aca="false">AH293*'Unit Economics'!$F$52</f>
        <v>2025.12905271343</v>
      </c>
      <c r="AI296" s="8" t="n">
        <f aca="false">AI293*'Unit Economics'!$F$52</f>
        <v>2195.66623609982</v>
      </c>
      <c r="AJ296" s="8" t="n">
        <f aca="false">AJ293*'Unit Economics'!$F$52</f>
        <v>2148.45941202367</v>
      </c>
      <c r="AK296" s="8" t="n">
        <f aca="false">AK293*'Unit Economics'!$F$52</f>
        <v>1979.97496339655</v>
      </c>
      <c r="AL296" s="8" t="n">
        <f aca="false">AL293*'Unit Economics'!$F$52</f>
        <v>2039.37421229845</v>
      </c>
      <c r="AM296" s="45" t="n">
        <f aca="false">SUMIF($C$6:$AL$6,1,C296:AL296)</f>
        <v>5438.81684656772</v>
      </c>
      <c r="AN296" s="45" t="n">
        <f aca="false">SUMIF($C$6:$AL$6,2,C296:AL296)</f>
        <v>15893.9037733426</v>
      </c>
      <c r="AO296" s="45" t="n">
        <f aca="false">SUMIF($C$6:$AL$6,3,C296:AL296)</f>
        <v>25144.2015380193</v>
      </c>
      <c r="AP296" s="45" t="n">
        <f aca="false">SUM(C296:AL296)</f>
        <v>46476.9221579296</v>
      </c>
    </row>
    <row r="297" customFormat="false" ht="15" hidden="false" customHeight="false" outlineLevel="0" collapsed="false">
      <c r="A297" s="5" t="s">
        <v>563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</row>
    <row r="298" customFormat="false" ht="15" hidden="false" customHeight="false" outlineLevel="0" collapsed="false">
      <c r="A298" s="7" t="s">
        <v>746</v>
      </c>
      <c r="B298" s="9" t="s">
        <v>308</v>
      </c>
      <c r="C298" s="37" t="n">
        <f aca="false">IF(AND(Assumptions!$E$125=1,C$4&gt;=Assumptions!$E$126),1,0)</f>
        <v>0</v>
      </c>
      <c r="D298" s="37" t="n">
        <f aca="false">IF(AND(Assumptions!$E$125=1,D$4&gt;=Assumptions!$E$126),1,0)</f>
        <v>0</v>
      </c>
      <c r="E298" s="37" t="n">
        <f aca="false">IF(AND(Assumptions!$E$125=1,E$4&gt;=Assumptions!$E$126),1,0)</f>
        <v>1</v>
      </c>
      <c r="F298" s="37" t="n">
        <f aca="false">IF(AND(Assumptions!$E$125=1,F$4&gt;=Assumptions!$E$126),1,0)</f>
        <v>1</v>
      </c>
      <c r="G298" s="37" t="n">
        <f aca="false">IF(AND(Assumptions!$E$125=1,G$4&gt;=Assumptions!$E$126),1,0)</f>
        <v>1</v>
      </c>
      <c r="H298" s="37" t="n">
        <f aca="false">IF(AND(Assumptions!$E$125=1,H$4&gt;=Assumptions!$E$126),1,0)</f>
        <v>1</v>
      </c>
      <c r="I298" s="37" t="n">
        <f aca="false">IF(AND(Assumptions!$E$125=1,I$4&gt;=Assumptions!$E$126),1,0)</f>
        <v>1</v>
      </c>
      <c r="J298" s="37" t="n">
        <f aca="false">IF(AND(Assumptions!$E$125=1,J$4&gt;=Assumptions!$E$126),1,0)</f>
        <v>1</v>
      </c>
      <c r="K298" s="37" t="n">
        <f aca="false">IF(AND(Assumptions!$E$125=1,K$4&gt;=Assumptions!$E$126),1,0)</f>
        <v>1</v>
      </c>
      <c r="L298" s="37" t="n">
        <f aca="false">IF(AND(Assumptions!$E$125=1,L$4&gt;=Assumptions!$E$126),1,0)</f>
        <v>1</v>
      </c>
      <c r="M298" s="37" t="n">
        <f aca="false">IF(AND(Assumptions!$E$125=1,M$4&gt;=Assumptions!$E$126),1,0)</f>
        <v>1</v>
      </c>
      <c r="N298" s="37" t="n">
        <f aca="false">IF(AND(Assumptions!$E$125=1,N$4&gt;=Assumptions!$E$126),1,0)</f>
        <v>1</v>
      </c>
      <c r="O298" s="37" t="n">
        <f aca="false">IF(AND(Assumptions!$E$125=1,O$4&gt;=Assumptions!$E$126),1,0)</f>
        <v>1</v>
      </c>
      <c r="P298" s="37" t="n">
        <f aca="false">IF(AND(Assumptions!$E$125=1,P$4&gt;=Assumptions!$E$126),1,0)</f>
        <v>1</v>
      </c>
      <c r="Q298" s="37" t="n">
        <f aca="false">IF(AND(Assumptions!$E$125=1,Q$4&gt;=Assumptions!$E$126),1,0)</f>
        <v>1</v>
      </c>
      <c r="R298" s="37" t="n">
        <f aca="false">IF(AND(Assumptions!$E$125=1,R$4&gt;=Assumptions!$E$126),1,0)</f>
        <v>1</v>
      </c>
      <c r="S298" s="37" t="n">
        <f aca="false">IF(AND(Assumptions!$E$125=1,S$4&gt;=Assumptions!$E$126),1,0)</f>
        <v>1</v>
      </c>
      <c r="T298" s="37" t="n">
        <f aca="false">IF(AND(Assumptions!$E$125=1,T$4&gt;=Assumptions!$E$126),1,0)</f>
        <v>1</v>
      </c>
      <c r="U298" s="37" t="n">
        <f aca="false">IF(AND(Assumptions!$E$125=1,U$4&gt;=Assumptions!$E$126),1,0)</f>
        <v>1</v>
      </c>
      <c r="V298" s="37" t="n">
        <f aca="false">IF(AND(Assumptions!$E$125=1,V$4&gt;=Assumptions!$E$126),1,0)</f>
        <v>1</v>
      </c>
      <c r="W298" s="37" t="n">
        <f aca="false">IF(AND(Assumptions!$E$125=1,W$4&gt;=Assumptions!$E$126),1,0)</f>
        <v>1</v>
      </c>
      <c r="X298" s="37" t="n">
        <f aca="false">IF(AND(Assumptions!$E$125=1,X$4&gt;=Assumptions!$E$126),1,0)</f>
        <v>1</v>
      </c>
      <c r="Y298" s="37" t="n">
        <f aca="false">IF(AND(Assumptions!$E$125=1,Y$4&gt;=Assumptions!$E$126),1,0)</f>
        <v>1</v>
      </c>
      <c r="Z298" s="37" t="n">
        <f aca="false">IF(AND(Assumptions!$E$125=1,Z$4&gt;=Assumptions!$E$126),1,0)</f>
        <v>1</v>
      </c>
      <c r="AA298" s="37" t="n">
        <f aca="false">IF(AND(Assumptions!$E$125=1,AA$4&gt;=Assumptions!$E$126),1,0)</f>
        <v>1</v>
      </c>
      <c r="AB298" s="37" t="n">
        <f aca="false">IF(AND(Assumptions!$E$125=1,AB$4&gt;=Assumptions!$E$126),1,0)</f>
        <v>1</v>
      </c>
      <c r="AC298" s="37" t="n">
        <f aca="false">IF(AND(Assumptions!$E$125=1,AC$4&gt;=Assumptions!$E$126),1,0)</f>
        <v>1</v>
      </c>
      <c r="AD298" s="37" t="n">
        <f aca="false">IF(AND(Assumptions!$E$125=1,AD$4&gt;=Assumptions!$E$126),1,0)</f>
        <v>1</v>
      </c>
      <c r="AE298" s="37" t="n">
        <f aca="false">IF(AND(Assumptions!$E$125=1,AE$4&gt;=Assumptions!$E$126),1,0)</f>
        <v>1</v>
      </c>
      <c r="AF298" s="37" t="n">
        <f aca="false">IF(AND(Assumptions!$E$125=1,AF$4&gt;=Assumptions!$E$126),1,0)</f>
        <v>1</v>
      </c>
      <c r="AG298" s="37" t="n">
        <f aca="false">IF(AND(Assumptions!$E$125=1,AG$4&gt;=Assumptions!$E$126),1,0)</f>
        <v>1</v>
      </c>
      <c r="AH298" s="37" t="n">
        <f aca="false">IF(AND(Assumptions!$E$125=1,AH$4&gt;=Assumptions!$E$126),1,0)</f>
        <v>1</v>
      </c>
      <c r="AI298" s="37" t="n">
        <f aca="false">IF(AND(Assumptions!$E$125=1,AI$4&gt;=Assumptions!$E$126),1,0)</f>
        <v>1</v>
      </c>
      <c r="AJ298" s="37" t="n">
        <f aca="false">IF(AND(Assumptions!$E$125=1,AJ$4&gt;=Assumptions!$E$126),1,0)</f>
        <v>1</v>
      </c>
      <c r="AK298" s="37" t="n">
        <f aca="false">IF(AND(Assumptions!$E$125=1,AK$4&gt;=Assumptions!$E$126),1,0)</f>
        <v>1</v>
      </c>
      <c r="AL298" s="37" t="n">
        <f aca="false">IF(AND(Assumptions!$E$125=1,AL$4&gt;=Assumptions!$E$126),1,0)</f>
        <v>1</v>
      </c>
    </row>
    <row r="299" customFormat="false" ht="15" hidden="false" customHeight="false" outlineLevel="0" collapsed="false">
      <c r="A299" s="7" t="s">
        <v>747</v>
      </c>
      <c r="B299" s="9" t="s">
        <v>316</v>
      </c>
      <c r="C299" s="14" t="n">
        <f aca="false">IF(C298=0,0,Assumptions!$E$127)</f>
        <v>0</v>
      </c>
      <c r="D299" s="14" t="n">
        <f aca="false">IF(D298=0,0,IF(D$4=Assumptions!$E$126,Assumptions!$E$127,C299*(1+CHOOSE(D$6,Assumptions!$E$128,Assumptions!$E$129,Assumptions!$E$130))))</f>
        <v>0</v>
      </c>
      <c r="E299" s="14" t="n">
        <f aca="false">IF(E298=0,0,IF(E$4=Assumptions!$E$126,Assumptions!$E$127,D299*(1+CHOOSE(E$6,Assumptions!$E$128,Assumptions!$E$129,Assumptions!$E$130))))</f>
        <v>300</v>
      </c>
      <c r="F299" s="14" t="n">
        <f aca="false">IF(F298=0,0,IF(F$4=Assumptions!$E$126,Assumptions!$E$127,E299*(1+CHOOSE(F$6,Assumptions!$E$128,Assumptions!$E$129,Assumptions!$E$130))))</f>
        <v>318</v>
      </c>
      <c r="G299" s="14" t="n">
        <f aca="false">IF(G298=0,0,IF(G$4=Assumptions!$E$126,Assumptions!$E$127,F299*(1+CHOOSE(G$6,Assumptions!$E$128,Assumptions!$E$129,Assumptions!$E$130))))</f>
        <v>337.08</v>
      </c>
      <c r="H299" s="14" t="n">
        <f aca="false">IF(H298=0,0,IF(H$4=Assumptions!$E$126,Assumptions!$E$127,G299*(1+CHOOSE(H$6,Assumptions!$E$128,Assumptions!$E$129,Assumptions!$E$130))))</f>
        <v>357.3048</v>
      </c>
      <c r="I299" s="14" t="n">
        <f aca="false">IF(I298=0,0,IF(I$4=Assumptions!$E$126,Assumptions!$E$127,H299*(1+CHOOSE(I$6,Assumptions!$E$128,Assumptions!$E$129,Assumptions!$E$130))))</f>
        <v>378.743088</v>
      </c>
      <c r="J299" s="14" t="n">
        <f aca="false">IF(J298=0,0,IF(J$4=Assumptions!$E$126,Assumptions!$E$127,I299*(1+CHOOSE(J$6,Assumptions!$E$128,Assumptions!$E$129,Assumptions!$E$130))))</f>
        <v>401.46767328</v>
      </c>
      <c r="K299" s="14" t="n">
        <f aca="false">IF(K298=0,0,IF(K$4=Assumptions!$E$126,Assumptions!$E$127,J299*(1+CHOOSE(K$6,Assumptions!$E$128,Assumptions!$E$129,Assumptions!$E$130))))</f>
        <v>425.5557336768</v>
      </c>
      <c r="L299" s="14" t="n">
        <f aca="false">IF(L298=0,0,IF(L$4=Assumptions!$E$126,Assumptions!$E$127,K299*(1+CHOOSE(L$6,Assumptions!$E$128,Assumptions!$E$129,Assumptions!$E$130))))</f>
        <v>451.089077697408</v>
      </c>
      <c r="M299" s="14" t="n">
        <f aca="false">IF(M298=0,0,IF(M$4=Assumptions!$E$126,Assumptions!$E$127,L299*(1+CHOOSE(M$6,Assumptions!$E$128,Assumptions!$E$129,Assumptions!$E$130))))</f>
        <v>478.154422359253</v>
      </c>
      <c r="N299" s="14" t="n">
        <f aca="false">IF(N298=0,0,IF(N$4=Assumptions!$E$126,Assumptions!$E$127,M299*(1+CHOOSE(N$6,Assumptions!$E$128,Assumptions!$E$129,Assumptions!$E$130))))</f>
        <v>506.843687700808</v>
      </c>
      <c r="O299" s="14" t="n">
        <f aca="false">IF(O298=0,0,IF(O$4=Assumptions!$E$126,Assumptions!$E$127,N299*(1+CHOOSE(O$6,Assumptions!$E$128,Assumptions!$E$129,Assumptions!$E$130))))</f>
        <v>527.11743520884</v>
      </c>
      <c r="P299" s="14" t="n">
        <f aca="false">IF(P298=0,0,IF(P$4=Assumptions!$E$126,Assumptions!$E$127,O299*(1+CHOOSE(P$6,Assumptions!$E$128,Assumptions!$E$129,Assumptions!$E$130))))</f>
        <v>548.202132617194</v>
      </c>
      <c r="Q299" s="14" t="n">
        <f aca="false">IF(Q298=0,0,IF(Q$4=Assumptions!$E$126,Assumptions!$E$127,P299*(1+CHOOSE(Q$6,Assumptions!$E$128,Assumptions!$E$129,Assumptions!$E$130))))</f>
        <v>570.130217921882</v>
      </c>
      <c r="R299" s="14" t="n">
        <f aca="false">IF(R298=0,0,IF(R$4=Assumptions!$E$126,Assumptions!$E$127,Q299*(1+CHOOSE(R$6,Assumptions!$E$128,Assumptions!$E$129,Assumptions!$E$130))))</f>
        <v>592.935426638757</v>
      </c>
      <c r="S299" s="14" t="n">
        <f aca="false">IF(S298=0,0,IF(S$4=Assumptions!$E$126,Assumptions!$E$127,R299*(1+CHOOSE(S$6,Assumptions!$E$128,Assumptions!$E$129,Assumptions!$E$130))))</f>
        <v>616.652843704307</v>
      </c>
      <c r="T299" s="14" t="n">
        <f aca="false">IF(T298=0,0,IF(T$4=Assumptions!$E$126,Assumptions!$E$127,S299*(1+CHOOSE(T$6,Assumptions!$E$128,Assumptions!$E$129,Assumptions!$E$130))))</f>
        <v>641.31895745248</v>
      </c>
      <c r="U299" s="14" t="n">
        <f aca="false">IF(U298=0,0,IF(U$4=Assumptions!$E$126,Assumptions!$E$127,T299*(1+CHOOSE(U$6,Assumptions!$E$128,Assumptions!$E$129,Assumptions!$E$130))))</f>
        <v>666.971715750579</v>
      </c>
      <c r="V299" s="14" t="n">
        <f aca="false">IF(V298=0,0,IF(V$4=Assumptions!$E$126,Assumptions!$E$127,U299*(1+CHOOSE(V$6,Assumptions!$E$128,Assumptions!$E$129,Assumptions!$E$130))))</f>
        <v>693.650584380602</v>
      </c>
      <c r="W299" s="14" t="n">
        <f aca="false">IF(W298=0,0,IF(W$4=Assumptions!$E$126,Assumptions!$E$127,V299*(1+CHOOSE(W$6,Assumptions!$E$128,Assumptions!$E$129,Assumptions!$E$130))))</f>
        <v>721.396607755826</v>
      </c>
      <c r="X299" s="14" t="n">
        <f aca="false">IF(X298=0,0,IF(X$4=Assumptions!$E$126,Assumptions!$E$127,W299*(1+CHOOSE(X$6,Assumptions!$E$128,Assumptions!$E$129,Assumptions!$E$130))))</f>
        <v>750.252472066059</v>
      </c>
      <c r="Y299" s="14" t="n">
        <f aca="false">IF(Y298=0,0,IF(Y$4=Assumptions!$E$126,Assumptions!$E$127,X299*(1+CHOOSE(Y$6,Assumptions!$E$128,Assumptions!$E$129,Assumptions!$E$130))))</f>
        <v>780.262570948702</v>
      </c>
      <c r="Z299" s="14" t="n">
        <f aca="false">IF(Z298=0,0,IF(Z$4=Assumptions!$E$126,Assumptions!$E$127,Y299*(1+CHOOSE(Z$6,Assumptions!$E$128,Assumptions!$E$129,Assumptions!$E$130))))</f>
        <v>811.47307378665</v>
      </c>
      <c r="AA299" s="14" t="n">
        <f aca="false">IF(AA298=0,0,IF(AA$4=Assumptions!$E$126,Assumptions!$E$127,Z299*(1+CHOOSE(AA$6,Assumptions!$E$128,Assumptions!$E$129,Assumptions!$E$130))))</f>
        <v>827.702535262383</v>
      </c>
      <c r="AB299" s="14" t="n">
        <f aca="false">IF(AB298=0,0,IF(AB$4=Assumptions!$E$126,Assumptions!$E$127,AA299*(1+CHOOSE(AB$6,Assumptions!$E$128,Assumptions!$E$129,Assumptions!$E$130))))</f>
        <v>844.25658596763</v>
      </c>
      <c r="AC299" s="14" t="n">
        <f aca="false">IF(AC298=0,0,IF(AC$4=Assumptions!$E$126,Assumptions!$E$127,AB299*(1+CHOOSE(AC$6,Assumptions!$E$128,Assumptions!$E$129,Assumptions!$E$130))))</f>
        <v>861.141717686983</v>
      </c>
      <c r="AD299" s="14" t="n">
        <f aca="false">IF(AD298=0,0,IF(AD$4=Assumptions!$E$126,Assumptions!$E$127,AC299*(1+CHOOSE(AD$6,Assumptions!$E$128,Assumptions!$E$129,Assumptions!$E$130))))</f>
        <v>878.364552040723</v>
      </c>
      <c r="AE299" s="14" t="n">
        <f aca="false">IF(AE298=0,0,IF(AE$4=Assumptions!$E$126,Assumptions!$E$127,AD299*(1+CHOOSE(AE$6,Assumptions!$E$128,Assumptions!$E$129,Assumptions!$E$130))))</f>
        <v>895.931843081537</v>
      </c>
      <c r="AF299" s="14" t="n">
        <f aca="false">IF(AF298=0,0,IF(AF$4=Assumptions!$E$126,Assumptions!$E$127,AE299*(1+CHOOSE(AF$6,Assumptions!$E$128,Assumptions!$E$129,Assumptions!$E$130))))</f>
        <v>913.850479943168</v>
      </c>
      <c r="AG299" s="14" t="n">
        <f aca="false">IF(AG298=0,0,IF(AG$4=Assumptions!$E$126,Assumptions!$E$127,AF299*(1+CHOOSE(AG$6,Assumptions!$E$128,Assumptions!$E$129,Assumptions!$E$130))))</f>
        <v>932.127489542031</v>
      </c>
      <c r="AH299" s="14" t="n">
        <f aca="false">IF(AH298=0,0,IF(AH$4=Assumptions!$E$126,Assumptions!$E$127,AG299*(1+CHOOSE(AH$6,Assumptions!$E$128,Assumptions!$E$129,Assumptions!$E$130))))</f>
        <v>950.770039332872</v>
      </c>
      <c r="AI299" s="14" t="n">
        <f aca="false">IF(AI298=0,0,IF(AI$4=Assumptions!$E$126,Assumptions!$E$127,AH299*(1+CHOOSE(AI$6,Assumptions!$E$128,Assumptions!$E$129,Assumptions!$E$130))))</f>
        <v>969.785440119529</v>
      </c>
      <c r="AJ299" s="14" t="n">
        <f aca="false">IF(AJ298=0,0,IF(AJ$4=Assumptions!$E$126,Assumptions!$E$127,AI299*(1+CHOOSE(AJ$6,Assumptions!$E$128,Assumptions!$E$129,Assumptions!$E$130))))</f>
        <v>989.18114892192</v>
      </c>
      <c r="AK299" s="14" t="n">
        <f aca="false">IF(AK298=0,0,IF(AK$4=Assumptions!$E$126,Assumptions!$E$127,AJ299*(1+CHOOSE(AK$6,Assumptions!$E$128,Assumptions!$E$129,Assumptions!$E$130))))</f>
        <v>1008.96477190036</v>
      </c>
      <c r="AL299" s="14" t="n">
        <f aca="false">IF(AL298=0,0,IF(AL$4=Assumptions!$E$126,Assumptions!$E$127,AK299*(1+CHOOSE(AL$6,Assumptions!$E$128,Assumptions!$E$129,Assumptions!$E$130))))</f>
        <v>1029.14406733837</v>
      </c>
    </row>
    <row r="300" customFormat="false" ht="15" hidden="false" customHeight="false" outlineLevel="0" collapsed="false">
      <c r="A300" s="7" t="s">
        <v>759</v>
      </c>
      <c r="B300" s="9" t="s">
        <v>316</v>
      </c>
      <c r="C300" s="52" t="n">
        <f aca="false">C299*C$7</f>
        <v>0</v>
      </c>
      <c r="D300" s="52" t="n">
        <f aca="false">D299*D$7</f>
        <v>0</v>
      </c>
      <c r="E300" s="52" t="n">
        <f aca="false">E299*E$7</f>
        <v>405</v>
      </c>
      <c r="F300" s="52" t="n">
        <f aca="false">F299*F$7</f>
        <v>397.5</v>
      </c>
      <c r="G300" s="52" t="n">
        <f aca="false">G299*G$7</f>
        <v>303.372</v>
      </c>
      <c r="H300" s="52" t="n">
        <f aca="false">H299*H$7</f>
        <v>357.3048</v>
      </c>
      <c r="I300" s="52" t="n">
        <f aca="false">I299*I$7</f>
        <v>397.6802424</v>
      </c>
      <c r="J300" s="52" t="n">
        <f aca="false">J299*J$7</f>
        <v>381.394289616</v>
      </c>
      <c r="K300" s="52" t="n">
        <f aca="false">K299*K$7</f>
        <v>425.5557336768</v>
      </c>
      <c r="L300" s="52" t="n">
        <f aca="false">L299*L$7</f>
        <v>428.534623812538</v>
      </c>
      <c r="M300" s="52" t="n">
        <f aca="false">M299*M$7</f>
        <v>406.431259005365</v>
      </c>
      <c r="N300" s="52" t="n">
        <f aca="false">N299*N$7</f>
        <v>430.817134545687</v>
      </c>
      <c r="O300" s="52" t="n">
        <f aca="false">O299*O$7</f>
        <v>500.761563448398</v>
      </c>
      <c r="P300" s="52" t="n">
        <f aca="false">P299*P$7</f>
        <v>712.662772402352</v>
      </c>
      <c r="Q300" s="52" t="n">
        <f aca="false">Q299*Q$7</f>
        <v>769.67579419454</v>
      </c>
      <c r="R300" s="52" t="n">
        <f aca="false">R299*R$7</f>
        <v>741.169283298446</v>
      </c>
      <c r="S300" s="52" t="n">
        <f aca="false">S299*S$7</f>
        <v>554.987559333876</v>
      </c>
      <c r="T300" s="52" t="n">
        <f aca="false">T299*T$7</f>
        <v>641.31895745248</v>
      </c>
      <c r="U300" s="52" t="n">
        <f aca="false">U299*U$7</f>
        <v>700.320301538108</v>
      </c>
      <c r="V300" s="52" t="n">
        <f aca="false">V299*V$7</f>
        <v>658.968055161572</v>
      </c>
      <c r="W300" s="52" t="n">
        <f aca="false">W299*W$7</f>
        <v>721.396607755826</v>
      </c>
      <c r="X300" s="52" t="n">
        <f aca="false">X299*X$7</f>
        <v>712.739848462756</v>
      </c>
      <c r="Y300" s="52" t="n">
        <f aca="false">Y299*Y$7</f>
        <v>663.223185306396</v>
      </c>
      <c r="Z300" s="52" t="n">
        <f aca="false">Z299*Z$7</f>
        <v>689.752112718652</v>
      </c>
      <c r="AA300" s="52" t="n">
        <f aca="false">AA299*AA$7</f>
        <v>786.317408499264</v>
      </c>
      <c r="AB300" s="52" t="n">
        <f aca="false">AB299*AB$7</f>
        <v>1097.53356175792</v>
      </c>
      <c r="AC300" s="52" t="n">
        <f aca="false">AC299*AC$7</f>
        <v>1162.54131887743</v>
      </c>
      <c r="AD300" s="52" t="n">
        <f aca="false">AD299*AD$7</f>
        <v>1097.9556900509</v>
      </c>
      <c r="AE300" s="52" t="n">
        <f aca="false">AE299*AE$7</f>
        <v>806.338658773383</v>
      </c>
      <c r="AF300" s="52" t="n">
        <f aca="false">AF299*AF$7</f>
        <v>913.850479943168</v>
      </c>
      <c r="AG300" s="52" t="n">
        <f aca="false">AG299*AG$7</f>
        <v>978.733864019133</v>
      </c>
      <c r="AH300" s="52" t="n">
        <f aca="false">AH299*AH$7</f>
        <v>903.231537366228</v>
      </c>
      <c r="AI300" s="52" t="n">
        <f aca="false">AI299*AI$7</f>
        <v>969.785440119529</v>
      </c>
      <c r="AJ300" s="52" t="n">
        <f aca="false">AJ299*AJ$7</f>
        <v>939.722091475824</v>
      </c>
      <c r="AK300" s="52" t="n">
        <f aca="false">AK299*AK$7</f>
        <v>857.620056115305</v>
      </c>
      <c r="AL300" s="52" t="n">
        <f aca="false">AL299*AL$7</f>
        <v>874.772457237611</v>
      </c>
      <c r="AM300" s="53" t="n">
        <f aca="false">SUMIF($C$6:$AL$6,1,C300:AL300)</f>
        <v>3933.59008305639</v>
      </c>
      <c r="AN300" s="53" t="n">
        <f aca="false">SUMIF($C$6:$AL$6,2,C300:AL300)</f>
        <v>8066.9760410734</v>
      </c>
      <c r="AO300" s="53" t="n">
        <f aca="false">SUMIF($C$6:$AL$6,3,C300:AL300)</f>
        <v>11388.4025642357</v>
      </c>
      <c r="AP300" s="53" t="n">
        <f aca="false">SUM(C300:AL300)</f>
        <v>23388.9686883655</v>
      </c>
    </row>
    <row r="301" customFormat="false" ht="15" hidden="false" customHeight="false" outlineLevel="0" collapsed="false">
      <c r="A301" s="7" t="s">
        <v>749</v>
      </c>
      <c r="B301" s="9" t="s">
        <v>88</v>
      </c>
      <c r="C301" s="54" t="n">
        <f aca="false">Assumptions!$E$131*MIN(1,(C$4-Assumptions!$E$126+1)/Assumptions!$C$10)*C298</f>
        <v>-0</v>
      </c>
      <c r="D301" s="54" t="n">
        <f aca="false">Assumptions!$E$131*MIN(1,(D$4-Assumptions!$E$126+1)/Assumptions!$C$10)*D298</f>
        <v>0</v>
      </c>
      <c r="E301" s="54" t="n">
        <f aca="false">Assumptions!$E$131*MIN(1,(E$4-Assumptions!$E$126+1)/Assumptions!$C$10)*E298</f>
        <v>0.00583333333333333</v>
      </c>
      <c r="F301" s="54" t="n">
        <f aca="false">Assumptions!$E$131*MIN(1,(F$4-Assumptions!$E$126+1)/Assumptions!$C$10)*F298</f>
        <v>0.0116666666666667</v>
      </c>
      <c r="G301" s="54" t="n">
        <f aca="false">Assumptions!$E$131*MIN(1,(G$4-Assumptions!$E$126+1)/Assumptions!$C$10)*G298</f>
        <v>0.0175</v>
      </c>
      <c r="H301" s="54" t="n">
        <f aca="false">Assumptions!$E$131*MIN(1,(H$4-Assumptions!$E$126+1)/Assumptions!$C$10)*H298</f>
        <v>0.0233333333333333</v>
      </c>
      <c r="I301" s="54" t="n">
        <f aca="false">Assumptions!$E$131*MIN(1,(I$4-Assumptions!$E$126+1)/Assumptions!$C$10)*I298</f>
        <v>0.0291666666666667</v>
      </c>
      <c r="J301" s="54" t="n">
        <f aca="false">Assumptions!$E$131*MIN(1,(J$4-Assumptions!$E$126+1)/Assumptions!$C$10)*J298</f>
        <v>0.035</v>
      </c>
      <c r="K301" s="54" t="n">
        <f aca="false">Assumptions!$E$131*MIN(1,(K$4-Assumptions!$E$126+1)/Assumptions!$C$10)*K298</f>
        <v>0.035</v>
      </c>
      <c r="L301" s="54" t="n">
        <f aca="false">Assumptions!$E$131*MIN(1,(L$4-Assumptions!$E$126+1)/Assumptions!$C$10)*L298</f>
        <v>0.035</v>
      </c>
      <c r="M301" s="54" t="n">
        <f aca="false">Assumptions!$E$131*MIN(1,(M$4-Assumptions!$E$126+1)/Assumptions!$C$10)*M298</f>
        <v>0.035</v>
      </c>
      <c r="N301" s="54" t="n">
        <f aca="false">Assumptions!$E$131*MIN(1,(N$4-Assumptions!$E$126+1)/Assumptions!$C$10)*N298</f>
        <v>0.035</v>
      </c>
      <c r="O301" s="54" t="n">
        <f aca="false">Assumptions!$E$131*MIN(1,(O$4-Assumptions!$E$126+1)/Assumptions!$C$10)*O298</f>
        <v>0.035</v>
      </c>
      <c r="P301" s="54" t="n">
        <f aca="false">Assumptions!$E$131*MIN(1,(P$4-Assumptions!$E$126+1)/Assumptions!$C$10)*P298</f>
        <v>0.035</v>
      </c>
      <c r="Q301" s="54" t="n">
        <f aca="false">Assumptions!$E$131*MIN(1,(Q$4-Assumptions!$E$126+1)/Assumptions!$C$10)*Q298</f>
        <v>0.035</v>
      </c>
      <c r="R301" s="54" t="n">
        <f aca="false">Assumptions!$E$131*MIN(1,(R$4-Assumptions!$E$126+1)/Assumptions!$C$10)*R298</f>
        <v>0.035</v>
      </c>
      <c r="S301" s="54" t="n">
        <f aca="false">Assumptions!$E$131*MIN(1,(S$4-Assumptions!$E$126+1)/Assumptions!$C$10)*S298</f>
        <v>0.035</v>
      </c>
      <c r="T301" s="54" t="n">
        <f aca="false">Assumptions!$E$131*MIN(1,(T$4-Assumptions!$E$126+1)/Assumptions!$C$10)*T298</f>
        <v>0.035</v>
      </c>
      <c r="U301" s="54" t="n">
        <f aca="false">Assumptions!$E$131*MIN(1,(U$4-Assumptions!$E$126+1)/Assumptions!$C$10)*U298</f>
        <v>0.035</v>
      </c>
      <c r="V301" s="54" t="n">
        <f aca="false">Assumptions!$E$131*MIN(1,(V$4-Assumptions!$E$126+1)/Assumptions!$C$10)*V298</f>
        <v>0.035</v>
      </c>
      <c r="W301" s="54" t="n">
        <f aca="false">Assumptions!$E$131*MIN(1,(W$4-Assumptions!$E$126+1)/Assumptions!$C$10)*W298</f>
        <v>0.035</v>
      </c>
      <c r="X301" s="54" t="n">
        <f aca="false">Assumptions!$E$131*MIN(1,(X$4-Assumptions!$E$126+1)/Assumptions!$C$10)*X298</f>
        <v>0.035</v>
      </c>
      <c r="Y301" s="54" t="n">
        <f aca="false">Assumptions!$E$131*MIN(1,(Y$4-Assumptions!$E$126+1)/Assumptions!$C$10)*Y298</f>
        <v>0.035</v>
      </c>
      <c r="Z301" s="54" t="n">
        <f aca="false">Assumptions!$E$131*MIN(1,(Z$4-Assumptions!$E$126+1)/Assumptions!$C$10)*Z298</f>
        <v>0.035</v>
      </c>
      <c r="AA301" s="54" t="n">
        <f aca="false">Assumptions!$E$131*MIN(1,(AA$4-Assumptions!$E$126+1)/Assumptions!$C$10)*AA298</f>
        <v>0.035</v>
      </c>
      <c r="AB301" s="54" t="n">
        <f aca="false">Assumptions!$E$131*MIN(1,(AB$4-Assumptions!$E$126+1)/Assumptions!$C$10)*AB298</f>
        <v>0.035</v>
      </c>
      <c r="AC301" s="54" t="n">
        <f aca="false">Assumptions!$E$131*MIN(1,(AC$4-Assumptions!$E$126+1)/Assumptions!$C$10)*AC298</f>
        <v>0.035</v>
      </c>
      <c r="AD301" s="54" t="n">
        <f aca="false">Assumptions!$E$131*MIN(1,(AD$4-Assumptions!$E$126+1)/Assumptions!$C$10)*AD298</f>
        <v>0.035</v>
      </c>
      <c r="AE301" s="54" t="n">
        <f aca="false">Assumptions!$E$131*MIN(1,(AE$4-Assumptions!$E$126+1)/Assumptions!$C$10)*AE298</f>
        <v>0.035</v>
      </c>
      <c r="AF301" s="54" t="n">
        <f aca="false">Assumptions!$E$131*MIN(1,(AF$4-Assumptions!$E$126+1)/Assumptions!$C$10)*AF298</f>
        <v>0.035</v>
      </c>
      <c r="AG301" s="54" t="n">
        <f aca="false">Assumptions!$E$131*MIN(1,(AG$4-Assumptions!$E$126+1)/Assumptions!$C$10)*AG298</f>
        <v>0.035</v>
      </c>
      <c r="AH301" s="54" t="n">
        <f aca="false">Assumptions!$E$131*MIN(1,(AH$4-Assumptions!$E$126+1)/Assumptions!$C$10)*AH298</f>
        <v>0.035</v>
      </c>
      <c r="AI301" s="54" t="n">
        <f aca="false">Assumptions!$E$131*MIN(1,(AI$4-Assumptions!$E$126+1)/Assumptions!$C$10)*AI298</f>
        <v>0.035</v>
      </c>
      <c r="AJ301" s="54" t="n">
        <f aca="false">Assumptions!$E$131*MIN(1,(AJ$4-Assumptions!$E$126+1)/Assumptions!$C$10)*AJ298</f>
        <v>0.035</v>
      </c>
      <c r="AK301" s="54" t="n">
        <f aca="false">Assumptions!$E$131*MIN(1,(AK$4-Assumptions!$E$126+1)/Assumptions!$C$10)*AK298</f>
        <v>0.035</v>
      </c>
      <c r="AL301" s="54" t="n">
        <f aca="false">Assumptions!$E$131*MIN(1,(AL$4-Assumptions!$E$126+1)/Assumptions!$C$10)*AL298</f>
        <v>0.035</v>
      </c>
    </row>
    <row r="302" customFormat="false" ht="15" hidden="false" customHeight="false" outlineLevel="0" collapsed="false">
      <c r="A302" s="7" t="s">
        <v>757</v>
      </c>
      <c r="B302" s="9" t="s">
        <v>751</v>
      </c>
      <c r="C302" s="55" t="n">
        <f aca="false">C300*C301</f>
        <v>-0</v>
      </c>
      <c r="D302" s="55" t="n">
        <f aca="false">D300*D301</f>
        <v>0</v>
      </c>
      <c r="E302" s="55" t="n">
        <f aca="false">E300*E301</f>
        <v>2.3625</v>
      </c>
      <c r="F302" s="55" t="n">
        <f aca="false">F300*F301</f>
        <v>4.6375</v>
      </c>
      <c r="G302" s="55" t="n">
        <f aca="false">G300*G301</f>
        <v>5.30901</v>
      </c>
      <c r="H302" s="55" t="n">
        <f aca="false">H300*H301</f>
        <v>8.337112</v>
      </c>
      <c r="I302" s="55" t="n">
        <f aca="false">I300*I301</f>
        <v>11.59900707</v>
      </c>
      <c r="J302" s="55" t="n">
        <f aca="false">J300*J301</f>
        <v>13.34880013656</v>
      </c>
      <c r="K302" s="55" t="n">
        <f aca="false">K300*K301</f>
        <v>14.894450678688</v>
      </c>
      <c r="L302" s="55" t="n">
        <f aca="false">L300*L301</f>
        <v>14.9987118334388</v>
      </c>
      <c r="M302" s="55" t="n">
        <f aca="false">M300*M301</f>
        <v>14.2250940651878</v>
      </c>
      <c r="N302" s="55" t="n">
        <f aca="false">N300*N301</f>
        <v>15.078599709099</v>
      </c>
      <c r="O302" s="55" t="n">
        <f aca="false">O300*O301</f>
        <v>17.5266547206939</v>
      </c>
      <c r="P302" s="55" t="n">
        <f aca="false">P300*P301</f>
        <v>24.9431970340823</v>
      </c>
      <c r="Q302" s="55" t="n">
        <f aca="false">Q300*Q301</f>
        <v>26.9386527968089</v>
      </c>
      <c r="R302" s="55" t="n">
        <f aca="false">R300*R301</f>
        <v>25.9409249154456</v>
      </c>
      <c r="S302" s="55" t="n">
        <f aca="false">S300*S301</f>
        <v>19.4245645766857</v>
      </c>
      <c r="T302" s="55" t="n">
        <f aca="false">T300*T301</f>
        <v>22.4461635108368</v>
      </c>
      <c r="U302" s="55" t="n">
        <f aca="false">U300*U301</f>
        <v>24.5112105538338</v>
      </c>
      <c r="V302" s="55" t="n">
        <f aca="false">V300*V301</f>
        <v>23.063881930655</v>
      </c>
      <c r="W302" s="55" t="n">
        <f aca="false">W300*W301</f>
        <v>25.2488812714539</v>
      </c>
      <c r="X302" s="55" t="n">
        <f aca="false">X300*X301</f>
        <v>24.9458946961965</v>
      </c>
      <c r="Y302" s="55" t="n">
        <f aca="false">Y300*Y301</f>
        <v>23.2128114857239</v>
      </c>
      <c r="Z302" s="55" t="n">
        <f aca="false">Z300*Z301</f>
        <v>24.1413239451528</v>
      </c>
      <c r="AA302" s="55" t="n">
        <f aca="false">AA300*AA301</f>
        <v>27.5211092974742</v>
      </c>
      <c r="AB302" s="55" t="n">
        <f aca="false">AB300*AB301</f>
        <v>38.4136746615272</v>
      </c>
      <c r="AC302" s="55" t="n">
        <f aca="false">AC300*AC301</f>
        <v>40.68894616071</v>
      </c>
      <c r="AD302" s="55" t="n">
        <f aca="false">AD300*AD301</f>
        <v>38.4284491517816</v>
      </c>
      <c r="AE302" s="55" t="n">
        <f aca="false">AE300*AE301</f>
        <v>28.2218530570684</v>
      </c>
      <c r="AF302" s="55" t="n">
        <f aca="false">AF300*AF301</f>
        <v>31.9847667980109</v>
      </c>
      <c r="AG302" s="55" t="n">
        <f aca="false">AG300*AG301</f>
        <v>34.2556852406697</v>
      </c>
      <c r="AH302" s="55" t="n">
        <f aca="false">AH300*AH301</f>
        <v>31.613103807818</v>
      </c>
      <c r="AI302" s="55" t="n">
        <f aca="false">AI300*AI301</f>
        <v>33.9424904041835</v>
      </c>
      <c r="AJ302" s="55" t="n">
        <f aca="false">AJ300*AJ301</f>
        <v>32.8902732016538</v>
      </c>
      <c r="AK302" s="55" t="n">
        <f aca="false">AK300*AK301</f>
        <v>30.0167019640357</v>
      </c>
      <c r="AL302" s="55" t="n">
        <f aca="false">AL300*AL301</f>
        <v>30.6170360033164</v>
      </c>
      <c r="AM302" s="53" t="n">
        <f aca="false">SUMIF($C$6:$AL$6,1,C302:AL302)</f>
        <v>104.790785492974</v>
      </c>
      <c r="AN302" s="53" t="n">
        <f aca="false">SUMIF($C$6:$AL$6,2,C302:AL302)</f>
        <v>282.344161437569</v>
      </c>
      <c r="AO302" s="53" t="n">
        <f aca="false">SUMIF($C$6:$AL$6,3,C302:AL302)</f>
        <v>398.594089748249</v>
      </c>
      <c r="AP302" s="53" t="n">
        <f aca="false">SUM(C302:AL302)</f>
        <v>785.729036678792</v>
      </c>
    </row>
    <row r="303" customFormat="false" ht="15" hidden="false" customHeight="false" outlineLevel="0" collapsed="false">
      <c r="A303" s="7" t="s">
        <v>752</v>
      </c>
      <c r="B303" s="9" t="s">
        <v>331</v>
      </c>
      <c r="C303" s="56" t="n">
        <f aca="false">C302*Assumptions!$E$132</f>
        <v>-0</v>
      </c>
      <c r="D303" s="56" t="n">
        <f aca="false">D302*Assumptions!$E$132</f>
        <v>0</v>
      </c>
      <c r="E303" s="56" t="n">
        <f aca="false">E302*Assumptions!$E$132</f>
        <v>2.480625</v>
      </c>
      <c r="F303" s="56" t="n">
        <f aca="false">F302*Assumptions!$E$132</f>
        <v>4.869375</v>
      </c>
      <c r="G303" s="56" t="n">
        <f aca="false">G302*Assumptions!$E$132</f>
        <v>5.5744605</v>
      </c>
      <c r="H303" s="56" t="n">
        <f aca="false">H302*Assumptions!$E$132</f>
        <v>8.7539676</v>
      </c>
      <c r="I303" s="56" t="n">
        <f aca="false">I302*Assumptions!$E$132</f>
        <v>12.1789574235</v>
      </c>
      <c r="J303" s="56" t="n">
        <f aca="false">J302*Assumptions!$E$132</f>
        <v>14.016240143388</v>
      </c>
      <c r="K303" s="56" t="n">
        <f aca="false">K302*Assumptions!$E$132</f>
        <v>15.6391732126224</v>
      </c>
      <c r="L303" s="56" t="n">
        <f aca="false">L302*Assumptions!$E$132</f>
        <v>15.7486474251108</v>
      </c>
      <c r="M303" s="56" t="n">
        <f aca="false">M302*Assumptions!$E$132</f>
        <v>14.9363487684472</v>
      </c>
      <c r="N303" s="56" t="n">
        <f aca="false">N302*Assumptions!$E$132</f>
        <v>15.832529694554</v>
      </c>
      <c r="O303" s="56" t="n">
        <f aca="false">O302*Assumptions!$E$132</f>
        <v>18.4029874567286</v>
      </c>
      <c r="P303" s="56" t="n">
        <f aca="false">P302*Assumptions!$E$132</f>
        <v>26.1903568857864</v>
      </c>
      <c r="Q303" s="56" t="n">
        <f aca="false">Q302*Assumptions!$E$132</f>
        <v>28.2855854366494</v>
      </c>
      <c r="R303" s="56" t="n">
        <f aca="false">R302*Assumptions!$E$132</f>
        <v>27.2379711612179</v>
      </c>
      <c r="S303" s="56" t="n">
        <f aca="false">S302*Assumptions!$E$132</f>
        <v>20.39579280552</v>
      </c>
      <c r="T303" s="56" t="n">
        <f aca="false">T302*Assumptions!$E$132</f>
        <v>23.5684716863786</v>
      </c>
      <c r="U303" s="56" t="n">
        <f aca="false">U302*Assumptions!$E$132</f>
        <v>25.7367710815255</v>
      </c>
      <c r="V303" s="56" t="n">
        <f aca="false">V302*Assumptions!$E$132</f>
        <v>24.2170760271878</v>
      </c>
      <c r="W303" s="56" t="n">
        <f aca="false">W302*Assumptions!$E$132</f>
        <v>26.5113253350266</v>
      </c>
      <c r="X303" s="56" t="n">
        <f aca="false">X302*Assumptions!$E$132</f>
        <v>26.1931894310063</v>
      </c>
      <c r="Y303" s="56" t="n">
        <f aca="false">Y302*Assumptions!$E$132</f>
        <v>24.3734520600101</v>
      </c>
      <c r="Z303" s="56" t="n">
        <f aca="false">Z302*Assumptions!$E$132</f>
        <v>25.3483901424105</v>
      </c>
      <c r="AA303" s="56" t="n">
        <f aca="false">AA302*Assumptions!$E$132</f>
        <v>28.8971647623479</v>
      </c>
      <c r="AB303" s="56" t="n">
        <f aca="false">AB302*Assumptions!$E$132</f>
        <v>40.3343583946035</v>
      </c>
      <c r="AC303" s="56" t="n">
        <f aca="false">AC302*Assumptions!$E$132</f>
        <v>42.7233934687455</v>
      </c>
      <c r="AD303" s="56" t="n">
        <f aca="false">AD302*Assumptions!$E$132</f>
        <v>40.3498716093707</v>
      </c>
      <c r="AE303" s="56" t="n">
        <f aca="false">AE302*Assumptions!$E$132</f>
        <v>29.6329457099218</v>
      </c>
      <c r="AF303" s="56" t="n">
        <f aca="false">AF302*Assumptions!$E$132</f>
        <v>33.5840051379114</v>
      </c>
      <c r="AG303" s="56" t="n">
        <f aca="false">AG302*Assumptions!$E$132</f>
        <v>35.9684695027031</v>
      </c>
      <c r="AH303" s="56" t="n">
        <f aca="false">AH302*Assumptions!$E$132</f>
        <v>33.1937589982089</v>
      </c>
      <c r="AI303" s="56" t="n">
        <f aca="false">AI302*Assumptions!$E$132</f>
        <v>35.6396149243927</v>
      </c>
      <c r="AJ303" s="56" t="n">
        <f aca="false">AJ302*Assumptions!$E$132</f>
        <v>34.5347868617365</v>
      </c>
      <c r="AK303" s="56" t="n">
        <f aca="false">AK302*Assumptions!$E$132</f>
        <v>31.5175370622374</v>
      </c>
      <c r="AL303" s="56" t="n">
        <f aca="false">AL302*Assumptions!$E$132</f>
        <v>32.1478878034822</v>
      </c>
      <c r="AM303" s="53" t="n">
        <f aca="false">SUMIF($C$6:$AL$6,1,C303:AL303)</f>
        <v>110.030324767622</v>
      </c>
      <c r="AN303" s="53" t="n">
        <f aca="false">SUMIF($C$6:$AL$6,2,C303:AL303)</f>
        <v>296.461369509448</v>
      </c>
      <c r="AO303" s="53" t="n">
        <f aca="false">SUMIF($C$6:$AL$6,3,C303:AL303)</f>
        <v>418.523794235662</v>
      </c>
      <c r="AP303" s="53" t="n">
        <f aca="false">SUM(C303:AL303)</f>
        <v>825.015488512732</v>
      </c>
    </row>
    <row r="304" customFormat="false" ht="15" hidden="false" customHeight="false" outlineLevel="0" collapsed="false">
      <c r="A304" s="7" t="s">
        <v>753</v>
      </c>
      <c r="B304" s="9" t="s">
        <v>93</v>
      </c>
      <c r="C304" s="15" t="n">
        <f aca="false">'Unit Economics'!$E$53*Assumptions!$E$132*C298</f>
        <v>0</v>
      </c>
      <c r="D304" s="15" t="n">
        <f aca="false">'Unit Economics'!$E$53*Assumptions!$E$132*D298</f>
        <v>0</v>
      </c>
      <c r="E304" s="15" t="n">
        <f aca="false">'Unit Economics'!$E$53*Assumptions!$E$132*E298</f>
        <v>18.6795</v>
      </c>
      <c r="F304" s="15" t="n">
        <f aca="false">'Unit Economics'!$E$53*Assumptions!$E$132*F298</f>
        <v>18.6795</v>
      </c>
      <c r="G304" s="15" t="n">
        <f aca="false">'Unit Economics'!$E$53*Assumptions!$E$132*G298</f>
        <v>18.6795</v>
      </c>
      <c r="H304" s="15" t="n">
        <f aca="false">'Unit Economics'!$E$53*Assumptions!$E$132*H298</f>
        <v>18.6795</v>
      </c>
      <c r="I304" s="15" t="n">
        <f aca="false">'Unit Economics'!$E$53*Assumptions!$E$132*I298</f>
        <v>18.6795</v>
      </c>
      <c r="J304" s="15" t="n">
        <f aca="false">'Unit Economics'!$E$53*Assumptions!$E$132*J298</f>
        <v>18.6795</v>
      </c>
      <c r="K304" s="15" t="n">
        <f aca="false">'Unit Economics'!$E$53*Assumptions!$E$132*K298</f>
        <v>18.6795</v>
      </c>
      <c r="L304" s="15" t="n">
        <f aca="false">'Unit Economics'!$E$53*Assumptions!$E$132*L298</f>
        <v>18.6795</v>
      </c>
      <c r="M304" s="15" t="n">
        <f aca="false">'Unit Economics'!$E$53*Assumptions!$E$132*M298</f>
        <v>18.6795</v>
      </c>
      <c r="N304" s="15" t="n">
        <f aca="false">'Unit Economics'!$E$53*Assumptions!$E$132*N298</f>
        <v>18.6795</v>
      </c>
      <c r="O304" s="15" t="n">
        <f aca="false">'Unit Economics'!$E$53*Assumptions!$E$132*O298</f>
        <v>18.6795</v>
      </c>
      <c r="P304" s="15" t="n">
        <f aca="false">'Unit Economics'!$E$53*Assumptions!$E$132*P298</f>
        <v>18.6795</v>
      </c>
      <c r="Q304" s="15" t="n">
        <f aca="false">'Unit Economics'!$E$53*Assumptions!$E$132*Q298</f>
        <v>18.6795</v>
      </c>
      <c r="R304" s="15" t="n">
        <f aca="false">'Unit Economics'!$E$53*Assumptions!$E$132*R298</f>
        <v>18.6795</v>
      </c>
      <c r="S304" s="15" t="n">
        <f aca="false">'Unit Economics'!$E$53*Assumptions!$E$132*S298</f>
        <v>18.6795</v>
      </c>
      <c r="T304" s="15" t="n">
        <f aca="false">'Unit Economics'!$E$53*Assumptions!$E$132*T298</f>
        <v>18.6795</v>
      </c>
      <c r="U304" s="15" t="n">
        <f aca="false">'Unit Economics'!$E$53*Assumptions!$E$132*U298</f>
        <v>18.6795</v>
      </c>
      <c r="V304" s="15" t="n">
        <f aca="false">'Unit Economics'!$E$53*Assumptions!$E$132*V298</f>
        <v>18.6795</v>
      </c>
      <c r="W304" s="15" t="n">
        <f aca="false">'Unit Economics'!$E$53*Assumptions!$E$132*W298</f>
        <v>18.6795</v>
      </c>
      <c r="X304" s="15" t="n">
        <f aca="false">'Unit Economics'!$E$53*Assumptions!$E$132*X298</f>
        <v>18.6795</v>
      </c>
      <c r="Y304" s="15" t="n">
        <f aca="false">'Unit Economics'!$E$53*Assumptions!$E$132*Y298</f>
        <v>18.6795</v>
      </c>
      <c r="Z304" s="15" t="n">
        <f aca="false">'Unit Economics'!$E$53*Assumptions!$E$132*Z298</f>
        <v>18.6795</v>
      </c>
      <c r="AA304" s="15" t="n">
        <f aca="false">'Unit Economics'!$E$53*Assumptions!$E$132*AA298</f>
        <v>18.6795</v>
      </c>
      <c r="AB304" s="15" t="n">
        <f aca="false">'Unit Economics'!$E$53*Assumptions!$E$132*AB298</f>
        <v>18.6795</v>
      </c>
      <c r="AC304" s="15" t="n">
        <f aca="false">'Unit Economics'!$E$53*Assumptions!$E$132*AC298</f>
        <v>18.6795</v>
      </c>
      <c r="AD304" s="15" t="n">
        <f aca="false">'Unit Economics'!$E$53*Assumptions!$E$132*AD298</f>
        <v>18.6795</v>
      </c>
      <c r="AE304" s="15" t="n">
        <f aca="false">'Unit Economics'!$E$53*Assumptions!$E$132*AE298</f>
        <v>18.6795</v>
      </c>
      <c r="AF304" s="15" t="n">
        <f aca="false">'Unit Economics'!$E$53*Assumptions!$E$132*AF298</f>
        <v>18.6795</v>
      </c>
      <c r="AG304" s="15" t="n">
        <f aca="false">'Unit Economics'!$E$53*Assumptions!$E$132*AG298</f>
        <v>18.6795</v>
      </c>
      <c r="AH304" s="15" t="n">
        <f aca="false">'Unit Economics'!$E$53*Assumptions!$E$132*AH298</f>
        <v>18.6795</v>
      </c>
      <c r="AI304" s="15" t="n">
        <f aca="false">'Unit Economics'!$E$53*Assumptions!$E$132*AI298</f>
        <v>18.6795</v>
      </c>
      <c r="AJ304" s="15" t="n">
        <f aca="false">'Unit Economics'!$E$53*Assumptions!$E$132*AJ298</f>
        <v>18.6795</v>
      </c>
      <c r="AK304" s="15" t="n">
        <f aca="false">'Unit Economics'!$E$53*Assumptions!$E$132*AK298</f>
        <v>18.6795</v>
      </c>
      <c r="AL304" s="15" t="n">
        <f aca="false">'Unit Economics'!$E$53*Assumptions!$E$132*AL298</f>
        <v>18.6795</v>
      </c>
    </row>
    <row r="305" customFormat="false" ht="15" hidden="false" customHeight="false" outlineLevel="0" collapsed="false">
      <c r="A305" s="7" t="s">
        <v>754</v>
      </c>
      <c r="B305" s="9" t="s">
        <v>93</v>
      </c>
      <c r="C305" s="8" t="n">
        <f aca="false">C303*'Unit Economics'!$E$53</f>
        <v>-0</v>
      </c>
      <c r="D305" s="8" t="n">
        <f aca="false">D303*'Unit Economics'!$E$53</f>
        <v>0</v>
      </c>
      <c r="E305" s="8" t="n">
        <f aca="false">E303*'Unit Economics'!$E$53</f>
        <v>44.13031875</v>
      </c>
      <c r="F305" s="8" t="n">
        <f aca="false">F303*'Unit Economics'!$E$53</f>
        <v>86.62618125</v>
      </c>
      <c r="G305" s="8" t="n">
        <f aca="false">G303*'Unit Economics'!$E$53</f>
        <v>99.169652295</v>
      </c>
      <c r="H305" s="8" t="n">
        <f aca="false">H303*'Unit Economics'!$E$53</f>
        <v>155.733083604</v>
      </c>
      <c r="I305" s="8" t="n">
        <f aca="false">I303*'Unit Economics'!$E$53</f>
        <v>216.663652564065</v>
      </c>
      <c r="J305" s="8" t="n">
        <f aca="false">J303*'Unit Economics'!$E$53</f>
        <v>249.348912150873</v>
      </c>
      <c r="K305" s="8" t="n">
        <f aca="false">K303*'Unit Economics'!$E$53</f>
        <v>278.220891452553</v>
      </c>
      <c r="L305" s="8" t="n">
        <f aca="false">L303*'Unit Economics'!$E$53</f>
        <v>280.16843769272</v>
      </c>
      <c r="M305" s="8" t="n">
        <f aca="false">M303*'Unit Economics'!$E$53</f>
        <v>265.717644590675</v>
      </c>
      <c r="N305" s="8" t="n">
        <f aca="false">N303*'Unit Economics'!$E$53</f>
        <v>281.660703266115</v>
      </c>
      <c r="O305" s="8" t="n">
        <f aca="false">O303*'Unit Economics'!$E$53</f>
        <v>327.389146855202</v>
      </c>
      <c r="P305" s="8" t="n">
        <f aca="false">P303*'Unit Economics'!$E$53</f>
        <v>465.926448998141</v>
      </c>
      <c r="Q305" s="8" t="n">
        <f aca="false">Q303*'Unit Economics'!$E$53</f>
        <v>503.200564917992</v>
      </c>
      <c r="R305" s="8" t="n">
        <f aca="false">R303*'Unit Economics'!$E$53</f>
        <v>484.563506958066</v>
      </c>
      <c r="S305" s="8" t="n">
        <f aca="false">S303*'Unit Economics'!$E$53</f>
        <v>362.8411540102</v>
      </c>
      <c r="T305" s="8" t="n">
        <f aca="false">T303*'Unit Economics'!$E$53</f>
        <v>419.283111300676</v>
      </c>
      <c r="U305" s="8" t="n">
        <f aca="false">U303*'Unit Economics'!$E$53</f>
        <v>457.857157540338</v>
      </c>
      <c r="V305" s="8" t="n">
        <f aca="false">V303*'Unit Economics'!$E$53</f>
        <v>430.82178252367</v>
      </c>
      <c r="W305" s="8" t="n">
        <f aca="false">W303*'Unit Economics'!$E$53</f>
        <v>471.636477710123</v>
      </c>
      <c r="X305" s="8" t="n">
        <f aca="false">X303*'Unit Economics'!$E$53</f>
        <v>465.976839977602</v>
      </c>
      <c r="Y305" s="8" t="n">
        <f aca="false">Y303*'Unit Economics'!$E$53</f>
        <v>433.603712147579</v>
      </c>
      <c r="Z305" s="8" t="n">
        <f aca="false">Z303*'Unit Economics'!$E$53</f>
        <v>450.947860633482</v>
      </c>
      <c r="AA305" s="8" t="n">
        <f aca="false">AA303*'Unit Economics'!$E$53</f>
        <v>514.08056112217</v>
      </c>
      <c r="AB305" s="8" t="n">
        <f aca="false">AB303*'Unit Economics'!$E$53</f>
        <v>717.548235839997</v>
      </c>
      <c r="AC305" s="8" t="n">
        <f aca="false">AC303*'Unit Economics'!$E$53</f>
        <v>760.049169808982</v>
      </c>
      <c r="AD305" s="8" t="n">
        <f aca="false">AD303*'Unit Economics'!$E$53</f>
        <v>717.824215930705</v>
      </c>
      <c r="AE305" s="8" t="n">
        <f aca="false">AE303*'Unit Economics'!$E$53</f>
        <v>527.17010417951</v>
      </c>
      <c r="AF305" s="8" t="n">
        <f aca="false">AF303*'Unit Economics'!$E$53</f>
        <v>597.459451403444</v>
      </c>
      <c r="AG305" s="8" t="n">
        <f aca="false">AG303*'Unit Economics'!$E$53</f>
        <v>639.879072453089</v>
      </c>
      <c r="AH305" s="8" t="n">
        <f aca="false">AH303*'Unit Economics'!$E$53</f>
        <v>590.516972578136</v>
      </c>
      <c r="AI305" s="8" t="n">
        <f aca="false">AI303*'Unit Economics'!$E$53</f>
        <v>634.028749504946</v>
      </c>
      <c r="AJ305" s="8" t="n">
        <f aca="false">AJ303*'Unit Economics'!$E$53</f>
        <v>614.373858270293</v>
      </c>
      <c r="AK305" s="8" t="n">
        <f aca="false">AK303*'Unit Economics'!$E$53</f>
        <v>560.696984337204</v>
      </c>
      <c r="AL305" s="8" t="n">
        <f aca="false">AL303*'Unit Economics'!$E$53</f>
        <v>571.910924023948</v>
      </c>
      <c r="AM305" s="45" t="n">
        <f aca="false">SUMIF($C$6:$AL$6,1,C305:AL305)</f>
        <v>1957.439477616</v>
      </c>
      <c r="AN305" s="45" t="n">
        <f aca="false">SUMIF($C$6:$AL$6,2,C305:AL305)</f>
        <v>5274.04776357307</v>
      </c>
      <c r="AO305" s="45" t="n">
        <f aca="false">SUMIF($C$6:$AL$6,3,C305:AL305)</f>
        <v>7445.53829945242</v>
      </c>
      <c r="AP305" s="45" t="n">
        <f aca="false">SUM(C305:AL305)</f>
        <v>14677.0255406415</v>
      </c>
    </row>
    <row r="306" customFormat="false" ht="15" hidden="false" customHeight="false" outlineLevel="0" collapsed="false">
      <c r="A306" s="7" t="s">
        <v>755</v>
      </c>
      <c r="B306" s="9" t="s">
        <v>93</v>
      </c>
      <c r="C306" s="8" t="n">
        <f aca="false">C303*'Unit Economics'!$F$53</f>
        <v>-0</v>
      </c>
      <c r="D306" s="8" t="n">
        <f aca="false">D303*'Unit Economics'!$F$53</f>
        <v>0</v>
      </c>
      <c r="E306" s="8" t="n">
        <f aca="false">E303*'Unit Economics'!$F$53</f>
        <v>4.6156989375</v>
      </c>
      <c r="F306" s="8" t="n">
        <f aca="false">F303*'Unit Economics'!$F$53</f>
        <v>9.06044606249999</v>
      </c>
      <c r="G306" s="8" t="n">
        <f aca="false">G303*'Unit Economics'!$F$53</f>
        <v>10.37239865235</v>
      </c>
      <c r="H306" s="8" t="n">
        <f aca="false">H303*'Unit Economics'!$F$53</f>
        <v>16.28850751332</v>
      </c>
      <c r="I306" s="8" t="n">
        <f aca="false">I303*'Unit Economics'!$F$53</f>
        <v>22.6613860779064</v>
      </c>
      <c r="J306" s="8" t="n">
        <f aca="false">J303*'Unit Economics'!$F$53</f>
        <v>26.080018034802</v>
      </c>
      <c r="K306" s="8" t="n">
        <f aca="false">K303*'Unit Economics'!$F$53</f>
        <v>29.0998095967265</v>
      </c>
      <c r="L306" s="8" t="n">
        <f aca="false">L303*'Unit Economics'!$F$53</f>
        <v>29.3035082639036</v>
      </c>
      <c r="M306" s="8" t="n">
        <f aca="false">M303*'Unit Economics'!$F$53</f>
        <v>27.7920641534496</v>
      </c>
      <c r="N306" s="8" t="n">
        <f aca="false">N303*'Unit Economics'!$F$53</f>
        <v>29.4595880026566</v>
      </c>
      <c r="O306" s="8" t="n">
        <f aca="false">O303*'Unit Economics'!$F$53</f>
        <v>34.2424387607349</v>
      </c>
      <c r="P306" s="8" t="n">
        <f aca="false">P303*'Unit Economics'!$F$53</f>
        <v>48.7323970573828</v>
      </c>
      <c r="Q306" s="8" t="n">
        <f aca="false">Q303*'Unit Economics'!$F$53</f>
        <v>52.6309888219734</v>
      </c>
      <c r="R306" s="8" t="n">
        <f aca="false">R303*'Unit Economics'!$F$53</f>
        <v>50.6816929396781</v>
      </c>
      <c r="S306" s="8" t="n">
        <f aca="false">S303*'Unit Economics'!$F$53</f>
        <v>37.950451673231</v>
      </c>
      <c r="T306" s="8" t="n">
        <f aca="false">T303*'Unit Economics'!$F$53</f>
        <v>43.8538552668447</v>
      </c>
      <c r="U306" s="8" t="n">
        <f aca="false">U303*'Unit Economics'!$F$53</f>
        <v>47.8884099513944</v>
      </c>
      <c r="V306" s="8" t="n">
        <f aca="false">V303*'Unit Economics'!$F$53</f>
        <v>45.0607133637882</v>
      </c>
      <c r="W306" s="8" t="n">
        <f aca="false">W303*'Unit Economics'!$F$53</f>
        <v>49.329623050884</v>
      </c>
      <c r="X306" s="8" t="n">
        <f aca="false">X303*'Unit Economics'!$F$53</f>
        <v>48.7376675742734</v>
      </c>
      <c r="Y306" s="8" t="n">
        <f aca="false">Y303*'Unit Economics'!$F$53</f>
        <v>45.3516822480607</v>
      </c>
      <c r="Z306" s="8" t="n">
        <f aca="false">Z303*'Unit Economics'!$F$53</f>
        <v>47.1657495379831</v>
      </c>
      <c r="AA306" s="8" t="n">
        <f aca="false">AA303*'Unit Economics'!$F$53</f>
        <v>53.7689544733008</v>
      </c>
      <c r="AB306" s="8" t="n">
        <f aca="false">AB303*'Unit Economics'!$F$53</f>
        <v>75.0501406648387</v>
      </c>
      <c r="AC306" s="8" t="n">
        <f aca="false">AC303*'Unit Economics'!$F$53</f>
        <v>79.4954182272946</v>
      </c>
      <c r="AD306" s="8" t="n">
        <f aca="false">AD303*'Unit Economics'!$F$53</f>
        <v>75.079006103556</v>
      </c>
      <c r="AE306" s="8" t="n">
        <f aca="false">AE303*'Unit Economics'!$F$53</f>
        <v>55.1380220824515</v>
      </c>
      <c r="AF306" s="8" t="n">
        <f aca="false">AF303*'Unit Economics'!$F$53</f>
        <v>62.4897583601117</v>
      </c>
      <c r="AG306" s="8" t="n">
        <f aca="false">AG303*'Unit Economics'!$F$53</f>
        <v>66.9265312036797</v>
      </c>
      <c r="AH306" s="8" t="n">
        <f aca="false">AH303*'Unit Economics'!$F$53</f>
        <v>61.7636273679672</v>
      </c>
      <c r="AI306" s="8" t="n">
        <f aca="false">AI303*'Unit Economics'!$F$53</f>
        <v>66.3146314898175</v>
      </c>
      <c r="AJ306" s="8" t="n">
        <f aca="false">AJ303*'Unit Economics'!$F$53</f>
        <v>64.2588779136331</v>
      </c>
      <c r="AK306" s="8" t="n">
        <f aca="false">AK303*'Unit Economics'!$F$53</f>
        <v>58.6446812117052</v>
      </c>
      <c r="AL306" s="8" t="n">
        <f aca="false">AL303*'Unit Economics'!$F$53</f>
        <v>59.8175748359393</v>
      </c>
      <c r="AM306" s="45" t="n">
        <f aca="false">SUMIF($C$6:$AL$6,1,C306:AL306)</f>
        <v>204.733425295115</v>
      </c>
      <c r="AN306" s="45" t="n">
        <f aca="false">SUMIF($C$6:$AL$6,2,C306:AL306)</f>
        <v>551.625670246229</v>
      </c>
      <c r="AO306" s="45" t="n">
        <f aca="false">SUMIF($C$6:$AL$6,3,C306:AL306)</f>
        <v>778.747223934295</v>
      </c>
      <c r="AP306" s="45" t="n">
        <f aca="false">SUM(C306:AL306)</f>
        <v>1535.10631947564</v>
      </c>
    </row>
    <row r="307" customFormat="false" ht="15" hidden="false" customHeight="false" outlineLevel="0" collapsed="false">
      <c r="A307" s="5" t="s">
        <v>564</v>
      </c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</row>
    <row r="308" customFormat="false" ht="15" hidden="false" customHeight="false" outlineLevel="0" collapsed="false">
      <c r="A308" s="7" t="s">
        <v>746</v>
      </c>
      <c r="B308" s="9" t="s">
        <v>308</v>
      </c>
      <c r="C308" s="37" t="n">
        <f aca="false">IF(AND(Assumptions!$E$134=1,C$4&gt;=Assumptions!$E$135),1,0)</f>
        <v>0</v>
      </c>
      <c r="D308" s="37" t="n">
        <f aca="false">IF(AND(Assumptions!$E$134=1,D$4&gt;=Assumptions!$E$135),1,0)</f>
        <v>0</v>
      </c>
      <c r="E308" s="37" t="n">
        <f aca="false">IF(AND(Assumptions!$E$134=1,E$4&gt;=Assumptions!$E$135),1,0)</f>
        <v>0</v>
      </c>
      <c r="F308" s="37" t="n">
        <f aca="false">IF(AND(Assumptions!$E$134=1,F$4&gt;=Assumptions!$E$135),1,0)</f>
        <v>1</v>
      </c>
      <c r="G308" s="37" t="n">
        <f aca="false">IF(AND(Assumptions!$E$134=1,G$4&gt;=Assumptions!$E$135),1,0)</f>
        <v>1</v>
      </c>
      <c r="H308" s="37" t="n">
        <f aca="false">IF(AND(Assumptions!$E$134=1,H$4&gt;=Assumptions!$E$135),1,0)</f>
        <v>1</v>
      </c>
      <c r="I308" s="37" t="n">
        <f aca="false">IF(AND(Assumptions!$E$134=1,I$4&gt;=Assumptions!$E$135),1,0)</f>
        <v>1</v>
      </c>
      <c r="J308" s="37" t="n">
        <f aca="false">IF(AND(Assumptions!$E$134=1,J$4&gt;=Assumptions!$E$135),1,0)</f>
        <v>1</v>
      </c>
      <c r="K308" s="37" t="n">
        <f aca="false">IF(AND(Assumptions!$E$134=1,K$4&gt;=Assumptions!$E$135),1,0)</f>
        <v>1</v>
      </c>
      <c r="L308" s="37" t="n">
        <f aca="false">IF(AND(Assumptions!$E$134=1,L$4&gt;=Assumptions!$E$135),1,0)</f>
        <v>1</v>
      </c>
      <c r="M308" s="37" t="n">
        <f aca="false">IF(AND(Assumptions!$E$134=1,M$4&gt;=Assumptions!$E$135),1,0)</f>
        <v>1</v>
      </c>
      <c r="N308" s="37" t="n">
        <f aca="false">IF(AND(Assumptions!$E$134=1,N$4&gt;=Assumptions!$E$135),1,0)</f>
        <v>1</v>
      </c>
      <c r="O308" s="37" t="n">
        <f aca="false">IF(AND(Assumptions!$E$134=1,O$4&gt;=Assumptions!$E$135),1,0)</f>
        <v>1</v>
      </c>
      <c r="P308" s="37" t="n">
        <f aca="false">IF(AND(Assumptions!$E$134=1,P$4&gt;=Assumptions!$E$135),1,0)</f>
        <v>1</v>
      </c>
      <c r="Q308" s="37" t="n">
        <f aca="false">IF(AND(Assumptions!$E$134=1,Q$4&gt;=Assumptions!$E$135),1,0)</f>
        <v>1</v>
      </c>
      <c r="R308" s="37" t="n">
        <f aca="false">IF(AND(Assumptions!$E$134=1,R$4&gt;=Assumptions!$E$135),1,0)</f>
        <v>1</v>
      </c>
      <c r="S308" s="37" t="n">
        <f aca="false">IF(AND(Assumptions!$E$134=1,S$4&gt;=Assumptions!$E$135),1,0)</f>
        <v>1</v>
      </c>
      <c r="T308" s="37" t="n">
        <f aca="false">IF(AND(Assumptions!$E$134=1,T$4&gt;=Assumptions!$E$135),1,0)</f>
        <v>1</v>
      </c>
      <c r="U308" s="37" t="n">
        <f aca="false">IF(AND(Assumptions!$E$134=1,U$4&gt;=Assumptions!$E$135),1,0)</f>
        <v>1</v>
      </c>
      <c r="V308" s="37" t="n">
        <f aca="false">IF(AND(Assumptions!$E$134=1,V$4&gt;=Assumptions!$E$135),1,0)</f>
        <v>1</v>
      </c>
      <c r="W308" s="37" t="n">
        <f aca="false">IF(AND(Assumptions!$E$134=1,W$4&gt;=Assumptions!$E$135),1,0)</f>
        <v>1</v>
      </c>
      <c r="X308" s="37" t="n">
        <f aca="false">IF(AND(Assumptions!$E$134=1,X$4&gt;=Assumptions!$E$135),1,0)</f>
        <v>1</v>
      </c>
      <c r="Y308" s="37" t="n">
        <f aca="false">IF(AND(Assumptions!$E$134=1,Y$4&gt;=Assumptions!$E$135),1,0)</f>
        <v>1</v>
      </c>
      <c r="Z308" s="37" t="n">
        <f aca="false">IF(AND(Assumptions!$E$134=1,Z$4&gt;=Assumptions!$E$135),1,0)</f>
        <v>1</v>
      </c>
      <c r="AA308" s="37" t="n">
        <f aca="false">IF(AND(Assumptions!$E$134=1,AA$4&gt;=Assumptions!$E$135),1,0)</f>
        <v>1</v>
      </c>
      <c r="AB308" s="37" t="n">
        <f aca="false">IF(AND(Assumptions!$E$134=1,AB$4&gt;=Assumptions!$E$135),1,0)</f>
        <v>1</v>
      </c>
      <c r="AC308" s="37" t="n">
        <f aca="false">IF(AND(Assumptions!$E$134=1,AC$4&gt;=Assumptions!$E$135),1,0)</f>
        <v>1</v>
      </c>
      <c r="AD308" s="37" t="n">
        <f aca="false">IF(AND(Assumptions!$E$134=1,AD$4&gt;=Assumptions!$E$135),1,0)</f>
        <v>1</v>
      </c>
      <c r="AE308" s="37" t="n">
        <f aca="false">IF(AND(Assumptions!$E$134=1,AE$4&gt;=Assumptions!$E$135),1,0)</f>
        <v>1</v>
      </c>
      <c r="AF308" s="37" t="n">
        <f aca="false">IF(AND(Assumptions!$E$134=1,AF$4&gt;=Assumptions!$E$135),1,0)</f>
        <v>1</v>
      </c>
      <c r="AG308" s="37" t="n">
        <f aca="false">IF(AND(Assumptions!$E$134=1,AG$4&gt;=Assumptions!$E$135),1,0)</f>
        <v>1</v>
      </c>
      <c r="AH308" s="37" t="n">
        <f aca="false">IF(AND(Assumptions!$E$134=1,AH$4&gt;=Assumptions!$E$135),1,0)</f>
        <v>1</v>
      </c>
      <c r="AI308" s="37" t="n">
        <f aca="false">IF(AND(Assumptions!$E$134=1,AI$4&gt;=Assumptions!$E$135),1,0)</f>
        <v>1</v>
      </c>
      <c r="AJ308" s="37" t="n">
        <f aca="false">IF(AND(Assumptions!$E$134=1,AJ$4&gt;=Assumptions!$E$135),1,0)</f>
        <v>1</v>
      </c>
      <c r="AK308" s="37" t="n">
        <f aca="false">IF(AND(Assumptions!$E$134=1,AK$4&gt;=Assumptions!$E$135),1,0)</f>
        <v>1</v>
      </c>
      <c r="AL308" s="37" t="n">
        <f aca="false">IF(AND(Assumptions!$E$134=1,AL$4&gt;=Assumptions!$E$135),1,0)</f>
        <v>1</v>
      </c>
    </row>
    <row r="309" customFormat="false" ht="15" hidden="false" customHeight="false" outlineLevel="0" collapsed="false">
      <c r="A309" s="7" t="s">
        <v>747</v>
      </c>
      <c r="B309" s="9" t="s">
        <v>316</v>
      </c>
      <c r="C309" s="14" t="n">
        <f aca="false">IF(C308=0,0,C269*Assumptions!$E$105)</f>
        <v>0</v>
      </c>
      <c r="D309" s="14" t="n">
        <f aca="false">IF(D308=0,0,D269*Assumptions!$E$105)</f>
        <v>0</v>
      </c>
      <c r="E309" s="14" t="n">
        <f aca="false">IF(E308=0,0,E269*Assumptions!$E$105)</f>
        <v>0</v>
      </c>
      <c r="F309" s="14" t="n">
        <f aca="false">IF(F308=0,0,F269*Assumptions!$E$105)</f>
        <v>351.232</v>
      </c>
      <c r="G309" s="14" t="n">
        <f aca="false">IF(G308=0,0,G269*Assumptions!$E$105)</f>
        <v>393.37984</v>
      </c>
      <c r="H309" s="14" t="n">
        <f aca="false">IF(H308=0,0,H269*Assumptions!$E$105)</f>
        <v>440.5854208</v>
      </c>
      <c r="I309" s="14" t="n">
        <f aca="false">IF(I308=0,0,I269*Assumptions!$E$105)</f>
        <v>493.455671296</v>
      </c>
      <c r="J309" s="14" t="n">
        <f aca="false">IF(J308=0,0,J269*Assumptions!$E$105)</f>
        <v>552.67035185152</v>
      </c>
      <c r="K309" s="14" t="n">
        <f aca="false">IF(K308=0,0,K269*Assumptions!$E$105)</f>
        <v>618.990794073703</v>
      </c>
      <c r="L309" s="14" t="n">
        <f aca="false">IF(L308=0,0,L269*Assumptions!$E$105)</f>
        <v>693.269689362547</v>
      </c>
      <c r="M309" s="14" t="n">
        <f aca="false">IF(M308=0,0,M269*Assumptions!$E$105)</f>
        <v>776.462052086053</v>
      </c>
      <c r="N309" s="14" t="n">
        <f aca="false">IF(N308=0,0,N269*Assumptions!$E$105)</f>
        <v>869.637498336379</v>
      </c>
      <c r="O309" s="14" t="n">
        <f aca="false">IF(O308=0,0,O269*Assumptions!$E$105)</f>
        <v>930.512123219926</v>
      </c>
      <c r="P309" s="14" t="n">
        <f aca="false">IF(P308=0,0,P269*Assumptions!$E$105)</f>
        <v>995.647971845321</v>
      </c>
      <c r="Q309" s="14" t="n">
        <f aca="false">IF(Q308=0,0,Q269*Assumptions!$E$105)</f>
        <v>1065.34332987449</v>
      </c>
      <c r="R309" s="14" t="n">
        <f aca="false">IF(R308=0,0,R269*Assumptions!$E$105)</f>
        <v>1139.91736296571</v>
      </c>
      <c r="S309" s="14" t="n">
        <f aca="false">IF(S308=0,0,S269*Assumptions!$E$105)</f>
        <v>1219.71157837331</v>
      </c>
      <c r="T309" s="14" t="n">
        <f aca="false">IF(T308=0,0,T269*Assumptions!$E$105)</f>
        <v>1305.09138885944</v>
      </c>
      <c r="U309" s="14" t="n">
        <f aca="false">IF(U308=0,0,U269*Assumptions!$E$105)</f>
        <v>1396.4477860796</v>
      </c>
      <c r="V309" s="14" t="n">
        <f aca="false">IF(V308=0,0,V269*Assumptions!$E$105)</f>
        <v>1494.19913110517</v>
      </c>
      <c r="W309" s="14" t="n">
        <f aca="false">IF(W308=0,0,W269*Assumptions!$E$105)</f>
        <v>1598.79307028253</v>
      </c>
      <c r="X309" s="14" t="n">
        <f aca="false">IF(X308=0,0,X269*Assumptions!$E$105)</f>
        <v>1710.70858520231</v>
      </c>
      <c r="Y309" s="14" t="n">
        <f aca="false">IF(Y308=0,0,Y269*Assumptions!$E$105)</f>
        <v>1830.45818616647</v>
      </c>
      <c r="Z309" s="14" t="n">
        <f aca="false">IF(Z308=0,0,Z269*Assumptions!$E$105)</f>
        <v>1958.59025919813</v>
      </c>
      <c r="AA309" s="14" t="n">
        <f aca="false">IF(AA308=0,0,AA269*Assumptions!$E$105)</f>
        <v>2036.93386956605</v>
      </c>
      <c r="AB309" s="14" t="n">
        <f aca="false">IF(AB308=0,0,AB269*Assumptions!$E$105)</f>
        <v>2118.41122434869</v>
      </c>
      <c r="AC309" s="14" t="n">
        <f aca="false">IF(AC308=0,0,AC269*Assumptions!$E$105)</f>
        <v>2203.14767332264</v>
      </c>
      <c r="AD309" s="14" t="n">
        <f aca="false">IF(AD308=0,0,AD269*Assumptions!$E$105)</f>
        <v>2291.27358025555</v>
      </c>
      <c r="AE309" s="14" t="n">
        <f aca="false">IF(AE308=0,0,AE269*Assumptions!$E$105)</f>
        <v>2382.92452346577</v>
      </c>
      <c r="AF309" s="14" t="n">
        <f aca="false">IF(AF308=0,0,AF269*Assumptions!$E$105)</f>
        <v>2478.2415044044</v>
      </c>
      <c r="AG309" s="14" t="n">
        <f aca="false">IF(AG308=0,0,AG269*Assumptions!$E$105)</f>
        <v>2577.37116458058</v>
      </c>
      <c r="AH309" s="14" t="n">
        <f aca="false">IF(AH308=0,0,AH269*Assumptions!$E$105)</f>
        <v>2680.4660111638</v>
      </c>
      <c r="AI309" s="14" t="n">
        <f aca="false">IF(AI308=0,0,AI269*Assumptions!$E$105)</f>
        <v>2787.68465161035</v>
      </c>
      <c r="AJ309" s="14" t="n">
        <f aca="false">IF(AJ308=0,0,AJ269*Assumptions!$E$105)</f>
        <v>2899.19203767477</v>
      </c>
      <c r="AK309" s="14" t="n">
        <f aca="false">IF(AK308=0,0,AK269*Assumptions!$E$105)</f>
        <v>3015.15971918176</v>
      </c>
      <c r="AL309" s="14" t="n">
        <f aca="false">IF(AL308=0,0,AL269*Assumptions!$E$105)</f>
        <v>3135.76610794903</v>
      </c>
    </row>
    <row r="310" customFormat="false" ht="15" hidden="false" customHeight="false" outlineLevel="0" collapsed="false">
      <c r="A310" s="7" t="s">
        <v>760</v>
      </c>
      <c r="B310" s="9" t="s">
        <v>316</v>
      </c>
      <c r="C310" s="52" t="n">
        <f aca="false">C309*C$7</f>
        <v>0</v>
      </c>
      <c r="D310" s="52" t="n">
        <f aca="false">D309*D$7</f>
        <v>0</v>
      </c>
      <c r="E310" s="52" t="n">
        <f aca="false">E309*E$7</f>
        <v>0</v>
      </c>
      <c r="F310" s="52" t="n">
        <f aca="false">F309*F$7</f>
        <v>439.04</v>
      </c>
      <c r="G310" s="52" t="n">
        <f aca="false">G309*G$7</f>
        <v>354.041856</v>
      </c>
      <c r="H310" s="52" t="n">
        <f aca="false">H309*H$7</f>
        <v>440.5854208</v>
      </c>
      <c r="I310" s="52" t="n">
        <f aca="false">I309*I$7</f>
        <v>518.1284548608</v>
      </c>
      <c r="J310" s="52" t="n">
        <f aca="false">J309*J$7</f>
        <v>525.036834258944</v>
      </c>
      <c r="K310" s="52" t="n">
        <f aca="false">K309*K$7</f>
        <v>618.990794073703</v>
      </c>
      <c r="L310" s="52" t="n">
        <f aca="false">L309*L$7</f>
        <v>658.60620489442</v>
      </c>
      <c r="M310" s="52" t="n">
        <f aca="false">M309*M$7</f>
        <v>659.992744273145</v>
      </c>
      <c r="N310" s="52" t="n">
        <f aca="false">N309*N$7</f>
        <v>739.191873585923</v>
      </c>
      <c r="O310" s="52" t="n">
        <f aca="false">O309*O$7</f>
        <v>883.98651705893</v>
      </c>
      <c r="P310" s="52" t="n">
        <f aca="false">P309*P$7</f>
        <v>1294.34236339892</v>
      </c>
      <c r="Q310" s="52" t="n">
        <f aca="false">Q309*Q$7</f>
        <v>1438.21349533057</v>
      </c>
      <c r="R310" s="52" t="n">
        <f aca="false">R309*R$7</f>
        <v>1424.89670370714</v>
      </c>
      <c r="S310" s="52" t="n">
        <f aca="false">S309*S$7</f>
        <v>1097.74042053598</v>
      </c>
      <c r="T310" s="52" t="n">
        <f aca="false">T309*T$7</f>
        <v>1305.09138885944</v>
      </c>
      <c r="U310" s="52" t="n">
        <f aca="false">U309*U$7</f>
        <v>1466.27017538358</v>
      </c>
      <c r="V310" s="52" t="n">
        <f aca="false">V309*V$7</f>
        <v>1419.48917454991</v>
      </c>
      <c r="W310" s="52" t="n">
        <f aca="false">W309*W$7</f>
        <v>1598.79307028253</v>
      </c>
      <c r="X310" s="52" t="n">
        <f aca="false">X309*X$7</f>
        <v>1625.1731559422</v>
      </c>
      <c r="Y310" s="52" t="n">
        <f aca="false">Y309*Y$7</f>
        <v>1555.8894582415</v>
      </c>
      <c r="Z310" s="52" t="n">
        <f aca="false">Z309*Z$7</f>
        <v>1664.80172031841</v>
      </c>
      <c r="AA310" s="52" t="n">
        <f aca="false">AA309*AA$7</f>
        <v>1935.08717608775</v>
      </c>
      <c r="AB310" s="52" t="n">
        <f aca="false">AB309*AB$7</f>
        <v>2753.9345916533</v>
      </c>
      <c r="AC310" s="52" t="n">
        <f aca="false">AC309*AC$7</f>
        <v>2974.24935898557</v>
      </c>
      <c r="AD310" s="52" t="n">
        <f aca="false">AD309*AD$7</f>
        <v>2864.09197531944</v>
      </c>
      <c r="AE310" s="52" t="n">
        <f aca="false">AE309*AE$7</f>
        <v>2144.63207111919</v>
      </c>
      <c r="AF310" s="52" t="n">
        <f aca="false">AF309*AF$7</f>
        <v>2478.2415044044</v>
      </c>
      <c r="AG310" s="52" t="n">
        <f aca="false">AG309*AG$7</f>
        <v>2706.23972280961</v>
      </c>
      <c r="AH310" s="52" t="n">
        <f aca="false">AH309*AH$7</f>
        <v>2546.44271060561</v>
      </c>
      <c r="AI310" s="52" t="n">
        <f aca="false">AI309*AI$7</f>
        <v>2787.68465161035</v>
      </c>
      <c r="AJ310" s="52" t="n">
        <f aca="false">AJ309*AJ$7</f>
        <v>2754.23243579103</v>
      </c>
      <c r="AK310" s="52" t="n">
        <f aca="false">AK309*AK$7</f>
        <v>2562.88576130449</v>
      </c>
      <c r="AL310" s="52" t="n">
        <f aca="false">AL309*AL$7</f>
        <v>2665.40119175667</v>
      </c>
      <c r="AM310" s="53" t="n">
        <f aca="false">SUMIF($C$6:$AL$6,1,C310:AL310)</f>
        <v>4953.61418274694</v>
      </c>
      <c r="AN310" s="53" t="n">
        <f aca="false">SUMIF($C$6:$AL$6,2,C310:AL310)</f>
        <v>16774.6876436091</v>
      </c>
      <c r="AO310" s="53" t="n">
        <f aca="false">SUMIF($C$6:$AL$6,3,C310:AL310)</f>
        <v>31173.1231514474</v>
      </c>
      <c r="AP310" s="53" t="n">
        <f aca="false">SUM(C310:AL310)</f>
        <v>52901.4249778035</v>
      </c>
    </row>
    <row r="311" customFormat="false" ht="15" hidden="false" customHeight="false" outlineLevel="0" collapsed="false">
      <c r="A311" s="7" t="s">
        <v>749</v>
      </c>
      <c r="B311" s="9" t="s">
        <v>88</v>
      </c>
      <c r="C311" s="54" t="n">
        <f aca="false">Assumptions!$E$136*MIN(1,(C$4-Assumptions!$E$135+1)/Assumptions!$C$10)*C308</f>
        <v>-0</v>
      </c>
      <c r="D311" s="54" t="n">
        <f aca="false">Assumptions!$E$136*MIN(1,(D$4-Assumptions!$E$135+1)/Assumptions!$C$10)*D308</f>
        <v>-0</v>
      </c>
      <c r="E311" s="54" t="n">
        <f aca="false">Assumptions!$E$136*MIN(1,(E$4-Assumptions!$E$135+1)/Assumptions!$C$10)*E308</f>
        <v>0</v>
      </c>
      <c r="F311" s="54" t="n">
        <f aca="false">Assumptions!$E$136*MIN(1,(F$4-Assumptions!$E$135+1)/Assumptions!$C$10)*F308</f>
        <v>0.00266666666666667</v>
      </c>
      <c r="G311" s="54" t="n">
        <f aca="false">Assumptions!$E$136*MIN(1,(G$4-Assumptions!$E$135+1)/Assumptions!$C$10)*G308</f>
        <v>0.00533333333333333</v>
      </c>
      <c r="H311" s="54" t="n">
        <f aca="false">Assumptions!$E$136*MIN(1,(H$4-Assumptions!$E$135+1)/Assumptions!$C$10)*H308</f>
        <v>0.008</v>
      </c>
      <c r="I311" s="54" t="n">
        <f aca="false">Assumptions!$E$136*MIN(1,(I$4-Assumptions!$E$135+1)/Assumptions!$C$10)*I308</f>
        <v>0.0106666666666667</v>
      </c>
      <c r="J311" s="54" t="n">
        <f aca="false">Assumptions!$E$136*MIN(1,(J$4-Assumptions!$E$135+1)/Assumptions!$C$10)*J308</f>
        <v>0.0133333333333333</v>
      </c>
      <c r="K311" s="54" t="n">
        <f aca="false">Assumptions!$E$136*MIN(1,(K$4-Assumptions!$E$135+1)/Assumptions!$C$10)*K308</f>
        <v>0.016</v>
      </c>
      <c r="L311" s="54" t="n">
        <f aca="false">Assumptions!$E$136*MIN(1,(L$4-Assumptions!$E$135+1)/Assumptions!$C$10)*L308</f>
        <v>0.016</v>
      </c>
      <c r="M311" s="54" t="n">
        <f aca="false">Assumptions!$E$136*MIN(1,(M$4-Assumptions!$E$135+1)/Assumptions!$C$10)*M308</f>
        <v>0.016</v>
      </c>
      <c r="N311" s="54" t="n">
        <f aca="false">Assumptions!$E$136*MIN(1,(N$4-Assumptions!$E$135+1)/Assumptions!$C$10)*N308</f>
        <v>0.016</v>
      </c>
      <c r="O311" s="54" t="n">
        <f aca="false">Assumptions!$E$136*MIN(1,(O$4-Assumptions!$E$135+1)/Assumptions!$C$10)*O308</f>
        <v>0.016</v>
      </c>
      <c r="P311" s="54" t="n">
        <f aca="false">Assumptions!$E$136*MIN(1,(P$4-Assumptions!$E$135+1)/Assumptions!$C$10)*P308</f>
        <v>0.016</v>
      </c>
      <c r="Q311" s="54" t="n">
        <f aca="false">Assumptions!$E$136*MIN(1,(Q$4-Assumptions!$E$135+1)/Assumptions!$C$10)*Q308</f>
        <v>0.016</v>
      </c>
      <c r="R311" s="54" t="n">
        <f aca="false">Assumptions!$E$136*MIN(1,(R$4-Assumptions!$E$135+1)/Assumptions!$C$10)*R308</f>
        <v>0.016</v>
      </c>
      <c r="S311" s="54" t="n">
        <f aca="false">Assumptions!$E$136*MIN(1,(S$4-Assumptions!$E$135+1)/Assumptions!$C$10)*S308</f>
        <v>0.016</v>
      </c>
      <c r="T311" s="54" t="n">
        <f aca="false">Assumptions!$E$136*MIN(1,(T$4-Assumptions!$E$135+1)/Assumptions!$C$10)*T308</f>
        <v>0.016</v>
      </c>
      <c r="U311" s="54" t="n">
        <f aca="false">Assumptions!$E$136*MIN(1,(U$4-Assumptions!$E$135+1)/Assumptions!$C$10)*U308</f>
        <v>0.016</v>
      </c>
      <c r="V311" s="54" t="n">
        <f aca="false">Assumptions!$E$136*MIN(1,(V$4-Assumptions!$E$135+1)/Assumptions!$C$10)*V308</f>
        <v>0.016</v>
      </c>
      <c r="W311" s="54" t="n">
        <f aca="false">Assumptions!$E$136*MIN(1,(W$4-Assumptions!$E$135+1)/Assumptions!$C$10)*W308</f>
        <v>0.016</v>
      </c>
      <c r="X311" s="54" t="n">
        <f aca="false">Assumptions!$E$136*MIN(1,(X$4-Assumptions!$E$135+1)/Assumptions!$C$10)*X308</f>
        <v>0.016</v>
      </c>
      <c r="Y311" s="54" t="n">
        <f aca="false">Assumptions!$E$136*MIN(1,(Y$4-Assumptions!$E$135+1)/Assumptions!$C$10)*Y308</f>
        <v>0.016</v>
      </c>
      <c r="Z311" s="54" t="n">
        <f aca="false">Assumptions!$E$136*MIN(1,(Z$4-Assumptions!$E$135+1)/Assumptions!$C$10)*Z308</f>
        <v>0.016</v>
      </c>
      <c r="AA311" s="54" t="n">
        <f aca="false">Assumptions!$E$136*MIN(1,(AA$4-Assumptions!$E$135+1)/Assumptions!$C$10)*AA308</f>
        <v>0.016</v>
      </c>
      <c r="AB311" s="54" t="n">
        <f aca="false">Assumptions!$E$136*MIN(1,(AB$4-Assumptions!$E$135+1)/Assumptions!$C$10)*AB308</f>
        <v>0.016</v>
      </c>
      <c r="AC311" s="54" t="n">
        <f aca="false">Assumptions!$E$136*MIN(1,(AC$4-Assumptions!$E$135+1)/Assumptions!$C$10)*AC308</f>
        <v>0.016</v>
      </c>
      <c r="AD311" s="54" t="n">
        <f aca="false">Assumptions!$E$136*MIN(1,(AD$4-Assumptions!$E$135+1)/Assumptions!$C$10)*AD308</f>
        <v>0.016</v>
      </c>
      <c r="AE311" s="54" t="n">
        <f aca="false">Assumptions!$E$136*MIN(1,(AE$4-Assumptions!$E$135+1)/Assumptions!$C$10)*AE308</f>
        <v>0.016</v>
      </c>
      <c r="AF311" s="54" t="n">
        <f aca="false">Assumptions!$E$136*MIN(1,(AF$4-Assumptions!$E$135+1)/Assumptions!$C$10)*AF308</f>
        <v>0.016</v>
      </c>
      <c r="AG311" s="54" t="n">
        <f aca="false">Assumptions!$E$136*MIN(1,(AG$4-Assumptions!$E$135+1)/Assumptions!$C$10)*AG308</f>
        <v>0.016</v>
      </c>
      <c r="AH311" s="54" t="n">
        <f aca="false">Assumptions!$E$136*MIN(1,(AH$4-Assumptions!$E$135+1)/Assumptions!$C$10)*AH308</f>
        <v>0.016</v>
      </c>
      <c r="AI311" s="54" t="n">
        <f aca="false">Assumptions!$E$136*MIN(1,(AI$4-Assumptions!$E$135+1)/Assumptions!$C$10)*AI308</f>
        <v>0.016</v>
      </c>
      <c r="AJ311" s="54" t="n">
        <f aca="false">Assumptions!$E$136*MIN(1,(AJ$4-Assumptions!$E$135+1)/Assumptions!$C$10)*AJ308</f>
        <v>0.016</v>
      </c>
      <c r="AK311" s="54" t="n">
        <f aca="false">Assumptions!$E$136*MIN(1,(AK$4-Assumptions!$E$135+1)/Assumptions!$C$10)*AK308</f>
        <v>0.016</v>
      </c>
      <c r="AL311" s="54" t="n">
        <f aca="false">Assumptions!$E$136*MIN(1,(AL$4-Assumptions!$E$135+1)/Assumptions!$C$10)*AL308</f>
        <v>0.016</v>
      </c>
    </row>
    <row r="312" customFormat="false" ht="15" hidden="false" customHeight="false" outlineLevel="0" collapsed="false">
      <c r="A312" s="7" t="s">
        <v>757</v>
      </c>
      <c r="B312" s="9" t="s">
        <v>751</v>
      </c>
      <c r="C312" s="55" t="n">
        <f aca="false">C310*C311</f>
        <v>-0</v>
      </c>
      <c r="D312" s="55" t="n">
        <f aca="false">D310*D311</f>
        <v>-0</v>
      </c>
      <c r="E312" s="55" t="n">
        <f aca="false">E310*E311</f>
        <v>0</v>
      </c>
      <c r="F312" s="55" t="n">
        <f aca="false">F310*F311</f>
        <v>1.17077333333333</v>
      </c>
      <c r="G312" s="55" t="n">
        <f aca="false">G310*G311</f>
        <v>1.888223232</v>
      </c>
      <c r="H312" s="55" t="n">
        <f aca="false">H310*H311</f>
        <v>3.5246833664</v>
      </c>
      <c r="I312" s="55" t="n">
        <f aca="false">I310*I311</f>
        <v>5.5267035185152</v>
      </c>
      <c r="J312" s="55" t="n">
        <f aca="false">J310*J311</f>
        <v>7.00049112345259</v>
      </c>
      <c r="K312" s="55" t="n">
        <f aca="false">K310*K311</f>
        <v>9.90385270517925</v>
      </c>
      <c r="L312" s="55" t="n">
        <f aca="false">L310*L311</f>
        <v>10.5376992783107</v>
      </c>
      <c r="M312" s="55" t="n">
        <f aca="false">M310*M311</f>
        <v>10.5598839083703</v>
      </c>
      <c r="N312" s="55" t="n">
        <f aca="false">N310*N311</f>
        <v>11.8270699773748</v>
      </c>
      <c r="O312" s="55" t="n">
        <f aca="false">O310*O311</f>
        <v>14.1437842729429</v>
      </c>
      <c r="P312" s="55" t="n">
        <f aca="false">P310*P311</f>
        <v>20.7094778143827</v>
      </c>
      <c r="Q312" s="55" t="n">
        <f aca="false">Q310*Q311</f>
        <v>23.0114159252891</v>
      </c>
      <c r="R312" s="55" t="n">
        <f aca="false">R310*R311</f>
        <v>22.7983472593142</v>
      </c>
      <c r="S312" s="55" t="n">
        <f aca="false">S310*S311</f>
        <v>17.5638467285756</v>
      </c>
      <c r="T312" s="55" t="n">
        <f aca="false">T310*T311</f>
        <v>20.881462221751</v>
      </c>
      <c r="U312" s="55" t="n">
        <f aca="false">U310*U311</f>
        <v>23.4603228061373</v>
      </c>
      <c r="V312" s="55" t="n">
        <f aca="false">V310*V311</f>
        <v>22.7118267927986</v>
      </c>
      <c r="W312" s="55" t="n">
        <f aca="false">W310*W311</f>
        <v>25.5806891245206</v>
      </c>
      <c r="X312" s="55" t="n">
        <f aca="false">X310*X311</f>
        <v>26.0027704950751</v>
      </c>
      <c r="Y312" s="55" t="n">
        <f aca="false">Y310*Y311</f>
        <v>24.8942313318641</v>
      </c>
      <c r="Z312" s="55" t="n">
        <f aca="false">Z310*Z311</f>
        <v>26.6368275250945</v>
      </c>
      <c r="AA312" s="55" t="n">
        <f aca="false">AA310*AA311</f>
        <v>30.961394817404</v>
      </c>
      <c r="AB312" s="55" t="n">
        <f aca="false">AB310*AB311</f>
        <v>44.0629534664529</v>
      </c>
      <c r="AC312" s="55" t="n">
        <f aca="false">AC310*AC311</f>
        <v>47.5879897437691</v>
      </c>
      <c r="AD312" s="55" t="n">
        <f aca="false">AD310*AD311</f>
        <v>45.825471605111</v>
      </c>
      <c r="AE312" s="55" t="n">
        <f aca="false">AE310*AE311</f>
        <v>34.3141131379071</v>
      </c>
      <c r="AF312" s="55" t="n">
        <f aca="false">AF310*AF311</f>
        <v>39.6518640704704</v>
      </c>
      <c r="AG312" s="55" t="n">
        <f aca="false">AG310*AG311</f>
        <v>43.2998355649537</v>
      </c>
      <c r="AH312" s="55" t="n">
        <f aca="false">AH310*AH311</f>
        <v>40.7430833696898</v>
      </c>
      <c r="AI312" s="55" t="n">
        <f aca="false">AI310*AI311</f>
        <v>44.6029544257656</v>
      </c>
      <c r="AJ312" s="55" t="n">
        <f aca="false">AJ310*AJ311</f>
        <v>44.0677189726565</v>
      </c>
      <c r="AK312" s="55" t="n">
        <f aca="false">AK310*AK311</f>
        <v>41.0061721808719</v>
      </c>
      <c r="AL312" s="55" t="n">
        <f aca="false">AL310*AL311</f>
        <v>42.6464190681068</v>
      </c>
      <c r="AM312" s="53" t="n">
        <f aca="false">SUMIF($C$6:$AL$6,1,C312:AL312)</f>
        <v>61.9393804429362</v>
      </c>
      <c r="AN312" s="53" t="n">
        <f aca="false">SUMIF($C$6:$AL$6,2,C312:AL312)</f>
        <v>268.395002297746</v>
      </c>
      <c r="AO312" s="53" t="n">
        <f aca="false">SUMIF($C$6:$AL$6,3,C312:AL312)</f>
        <v>498.769970423159</v>
      </c>
      <c r="AP312" s="53" t="n">
        <f aca="false">SUM(C312:AL312)</f>
        <v>829.10435316384</v>
      </c>
    </row>
    <row r="313" customFormat="false" ht="15" hidden="false" customHeight="false" outlineLevel="0" collapsed="false">
      <c r="A313" s="7" t="s">
        <v>752</v>
      </c>
      <c r="B313" s="9" t="s">
        <v>331</v>
      </c>
      <c r="C313" s="56" t="n">
        <f aca="false">C312*Assumptions!$E$137</f>
        <v>-0</v>
      </c>
      <c r="D313" s="56" t="n">
        <f aca="false">D312*Assumptions!$E$137</f>
        <v>-0</v>
      </c>
      <c r="E313" s="56" t="n">
        <f aca="false">E312*Assumptions!$E$137</f>
        <v>0</v>
      </c>
      <c r="F313" s="56" t="n">
        <f aca="false">F312*Assumptions!$E$137</f>
        <v>1.52200533333333</v>
      </c>
      <c r="G313" s="56" t="n">
        <f aca="false">G312*Assumptions!$E$137</f>
        <v>2.4546902016</v>
      </c>
      <c r="H313" s="56" t="n">
        <f aca="false">H312*Assumptions!$E$137</f>
        <v>4.58208837632</v>
      </c>
      <c r="I313" s="56" t="n">
        <f aca="false">I312*Assumptions!$E$137</f>
        <v>7.18471457406976</v>
      </c>
      <c r="J313" s="56" t="n">
        <f aca="false">J312*Assumptions!$E$137</f>
        <v>9.10063846048837</v>
      </c>
      <c r="K313" s="56" t="n">
        <f aca="false">K312*Assumptions!$E$137</f>
        <v>12.875008516733</v>
      </c>
      <c r="L313" s="56" t="n">
        <f aca="false">L312*Assumptions!$E$137</f>
        <v>13.6990090618039</v>
      </c>
      <c r="M313" s="56" t="n">
        <f aca="false">M312*Assumptions!$E$137</f>
        <v>13.7278490808814</v>
      </c>
      <c r="N313" s="56" t="n">
        <f aca="false">N312*Assumptions!$E$137</f>
        <v>15.3751909705872</v>
      </c>
      <c r="O313" s="56" t="n">
        <f aca="false">O312*Assumptions!$E$137</f>
        <v>18.3869195548257</v>
      </c>
      <c r="P313" s="56" t="n">
        <f aca="false">P312*Assumptions!$E$137</f>
        <v>26.9223211586975</v>
      </c>
      <c r="Q313" s="56" t="n">
        <f aca="false">Q312*Assumptions!$E$137</f>
        <v>29.9148407028758</v>
      </c>
      <c r="R313" s="56" t="n">
        <f aca="false">R312*Assumptions!$E$137</f>
        <v>29.6378514371084</v>
      </c>
      <c r="S313" s="56" t="n">
        <f aca="false">S312*Assumptions!$E$137</f>
        <v>22.8330007471483</v>
      </c>
      <c r="T313" s="56" t="n">
        <f aca="false">T312*Assumptions!$E$137</f>
        <v>27.1459008882763</v>
      </c>
      <c r="U313" s="56" t="n">
        <f aca="false">U312*Assumptions!$E$137</f>
        <v>30.4984196479785</v>
      </c>
      <c r="V313" s="56" t="n">
        <f aca="false">V312*Assumptions!$E$137</f>
        <v>29.5253748306382</v>
      </c>
      <c r="W313" s="56" t="n">
        <f aca="false">W312*Assumptions!$E$137</f>
        <v>33.2548958618767</v>
      </c>
      <c r="X313" s="56" t="n">
        <f aca="false">X312*Assumptions!$E$137</f>
        <v>33.8036016435977</v>
      </c>
      <c r="Y313" s="56" t="n">
        <f aca="false">Y312*Assumptions!$E$137</f>
        <v>32.3625007314233</v>
      </c>
      <c r="Z313" s="56" t="n">
        <f aca="false">Z312*Assumptions!$E$137</f>
        <v>34.6278757826229</v>
      </c>
      <c r="AA313" s="56" t="n">
        <f aca="false">AA312*Assumptions!$E$137</f>
        <v>40.2498132626252</v>
      </c>
      <c r="AB313" s="56" t="n">
        <f aca="false">AB312*Assumptions!$E$137</f>
        <v>57.2818395063887</v>
      </c>
      <c r="AC313" s="56" t="n">
        <f aca="false">AC312*Assumptions!$E$137</f>
        <v>61.8643866668998</v>
      </c>
      <c r="AD313" s="56" t="n">
        <f aca="false">AD312*Assumptions!$E$137</f>
        <v>59.5731130866443</v>
      </c>
      <c r="AE313" s="56" t="n">
        <f aca="false">AE312*Assumptions!$E$137</f>
        <v>44.6083470792792</v>
      </c>
      <c r="AF313" s="56" t="n">
        <f aca="false">AF312*Assumptions!$E$137</f>
        <v>51.5474232916116</v>
      </c>
      <c r="AG313" s="56" t="n">
        <f aca="false">AG312*Assumptions!$E$137</f>
        <v>56.2897862344398</v>
      </c>
      <c r="AH313" s="56" t="n">
        <f aca="false">AH312*Assumptions!$E$137</f>
        <v>52.9660083805967</v>
      </c>
      <c r="AI313" s="56" t="n">
        <f aca="false">AI312*Assumptions!$E$137</f>
        <v>57.9838407534953</v>
      </c>
      <c r="AJ313" s="56" t="n">
        <f aca="false">AJ312*Assumptions!$E$137</f>
        <v>57.2880346644534</v>
      </c>
      <c r="AK313" s="56" t="n">
        <f aca="false">AK312*Assumptions!$E$137</f>
        <v>53.3080238351335</v>
      </c>
      <c r="AL313" s="56" t="n">
        <f aca="false">AL312*Assumptions!$E$137</f>
        <v>55.4403447885388</v>
      </c>
      <c r="AM313" s="53" t="n">
        <f aca="false">SUMIF($C$6:$AL$6,1,C313:AL313)</f>
        <v>80.521194575817</v>
      </c>
      <c r="AN313" s="53" t="n">
        <f aca="false">SUMIF($C$6:$AL$6,2,C313:AL313)</f>
        <v>348.913502987069</v>
      </c>
      <c r="AO313" s="53" t="n">
        <f aca="false">SUMIF($C$6:$AL$6,3,C313:AL313)</f>
        <v>648.400961550106</v>
      </c>
      <c r="AP313" s="53" t="n">
        <f aca="false">SUM(C313:AL313)</f>
        <v>1077.83565911299</v>
      </c>
    </row>
    <row r="314" customFormat="false" ht="15" hidden="false" customHeight="false" outlineLevel="0" collapsed="false">
      <c r="A314" s="7" t="s">
        <v>753</v>
      </c>
      <c r="B314" s="9" t="s">
        <v>93</v>
      </c>
      <c r="C314" s="15" t="n">
        <f aca="false">'Unit Economics'!$E$54*Assumptions!$E$137*C308</f>
        <v>0</v>
      </c>
      <c r="D314" s="15" t="n">
        <f aca="false">'Unit Economics'!$E$54*Assumptions!$E$137*D308</f>
        <v>0</v>
      </c>
      <c r="E314" s="15" t="n">
        <f aca="false">'Unit Economics'!$E$54*Assumptions!$E$137*E308</f>
        <v>0</v>
      </c>
      <c r="F314" s="15" t="n">
        <f aca="false">'Unit Economics'!$E$54*Assumptions!$E$137*F308</f>
        <v>11.7549545454545</v>
      </c>
      <c r="G314" s="15" t="n">
        <f aca="false">'Unit Economics'!$E$54*Assumptions!$E$137*G308</f>
        <v>11.7549545454545</v>
      </c>
      <c r="H314" s="15" t="n">
        <f aca="false">'Unit Economics'!$E$54*Assumptions!$E$137*H308</f>
        <v>11.7549545454545</v>
      </c>
      <c r="I314" s="15" t="n">
        <f aca="false">'Unit Economics'!$E$54*Assumptions!$E$137*I308</f>
        <v>11.7549545454545</v>
      </c>
      <c r="J314" s="15" t="n">
        <f aca="false">'Unit Economics'!$E$54*Assumptions!$E$137*J308</f>
        <v>11.7549545454545</v>
      </c>
      <c r="K314" s="15" t="n">
        <f aca="false">'Unit Economics'!$E$54*Assumptions!$E$137*K308</f>
        <v>11.7549545454545</v>
      </c>
      <c r="L314" s="15" t="n">
        <f aca="false">'Unit Economics'!$E$54*Assumptions!$E$137*L308</f>
        <v>11.7549545454545</v>
      </c>
      <c r="M314" s="15" t="n">
        <f aca="false">'Unit Economics'!$E$54*Assumptions!$E$137*M308</f>
        <v>11.7549545454545</v>
      </c>
      <c r="N314" s="15" t="n">
        <f aca="false">'Unit Economics'!$E$54*Assumptions!$E$137*N308</f>
        <v>11.7549545454545</v>
      </c>
      <c r="O314" s="15" t="n">
        <f aca="false">'Unit Economics'!$E$54*Assumptions!$E$137*O308</f>
        <v>11.7549545454545</v>
      </c>
      <c r="P314" s="15" t="n">
        <f aca="false">'Unit Economics'!$E$54*Assumptions!$E$137*P308</f>
        <v>11.7549545454545</v>
      </c>
      <c r="Q314" s="15" t="n">
        <f aca="false">'Unit Economics'!$E$54*Assumptions!$E$137*Q308</f>
        <v>11.7549545454545</v>
      </c>
      <c r="R314" s="15" t="n">
        <f aca="false">'Unit Economics'!$E$54*Assumptions!$E$137*R308</f>
        <v>11.7549545454545</v>
      </c>
      <c r="S314" s="15" t="n">
        <f aca="false">'Unit Economics'!$E$54*Assumptions!$E$137*S308</f>
        <v>11.7549545454545</v>
      </c>
      <c r="T314" s="15" t="n">
        <f aca="false">'Unit Economics'!$E$54*Assumptions!$E$137*T308</f>
        <v>11.7549545454545</v>
      </c>
      <c r="U314" s="15" t="n">
        <f aca="false">'Unit Economics'!$E$54*Assumptions!$E$137*U308</f>
        <v>11.7549545454545</v>
      </c>
      <c r="V314" s="15" t="n">
        <f aca="false">'Unit Economics'!$E$54*Assumptions!$E$137*V308</f>
        <v>11.7549545454545</v>
      </c>
      <c r="W314" s="15" t="n">
        <f aca="false">'Unit Economics'!$E$54*Assumptions!$E$137*W308</f>
        <v>11.7549545454545</v>
      </c>
      <c r="X314" s="15" t="n">
        <f aca="false">'Unit Economics'!$E$54*Assumptions!$E$137*X308</f>
        <v>11.7549545454545</v>
      </c>
      <c r="Y314" s="15" t="n">
        <f aca="false">'Unit Economics'!$E$54*Assumptions!$E$137*Y308</f>
        <v>11.7549545454545</v>
      </c>
      <c r="Z314" s="15" t="n">
        <f aca="false">'Unit Economics'!$E$54*Assumptions!$E$137*Z308</f>
        <v>11.7549545454545</v>
      </c>
      <c r="AA314" s="15" t="n">
        <f aca="false">'Unit Economics'!$E$54*Assumptions!$E$137*AA308</f>
        <v>11.7549545454545</v>
      </c>
      <c r="AB314" s="15" t="n">
        <f aca="false">'Unit Economics'!$E$54*Assumptions!$E$137*AB308</f>
        <v>11.7549545454545</v>
      </c>
      <c r="AC314" s="15" t="n">
        <f aca="false">'Unit Economics'!$E$54*Assumptions!$E$137*AC308</f>
        <v>11.7549545454545</v>
      </c>
      <c r="AD314" s="15" t="n">
        <f aca="false">'Unit Economics'!$E$54*Assumptions!$E$137*AD308</f>
        <v>11.7549545454545</v>
      </c>
      <c r="AE314" s="15" t="n">
        <f aca="false">'Unit Economics'!$E$54*Assumptions!$E$137*AE308</f>
        <v>11.7549545454545</v>
      </c>
      <c r="AF314" s="15" t="n">
        <f aca="false">'Unit Economics'!$E$54*Assumptions!$E$137*AF308</f>
        <v>11.7549545454545</v>
      </c>
      <c r="AG314" s="15" t="n">
        <f aca="false">'Unit Economics'!$E$54*Assumptions!$E$137*AG308</f>
        <v>11.7549545454545</v>
      </c>
      <c r="AH314" s="15" t="n">
        <f aca="false">'Unit Economics'!$E$54*Assumptions!$E$137*AH308</f>
        <v>11.7549545454545</v>
      </c>
      <c r="AI314" s="15" t="n">
        <f aca="false">'Unit Economics'!$E$54*Assumptions!$E$137*AI308</f>
        <v>11.7549545454545</v>
      </c>
      <c r="AJ314" s="15" t="n">
        <f aca="false">'Unit Economics'!$E$54*Assumptions!$E$137*AJ308</f>
        <v>11.7549545454545</v>
      </c>
      <c r="AK314" s="15" t="n">
        <f aca="false">'Unit Economics'!$E$54*Assumptions!$E$137*AK308</f>
        <v>11.7549545454545</v>
      </c>
      <c r="AL314" s="15" t="n">
        <f aca="false">'Unit Economics'!$E$54*Assumptions!$E$137*AL308</f>
        <v>11.7549545454545</v>
      </c>
    </row>
    <row r="315" customFormat="false" ht="15" hidden="false" customHeight="false" outlineLevel="0" collapsed="false">
      <c r="A315" s="7" t="s">
        <v>754</v>
      </c>
      <c r="B315" s="9" t="s">
        <v>93</v>
      </c>
      <c r="C315" s="8" t="n">
        <f aca="false">C313*'Unit Economics'!$E$54</f>
        <v>-0</v>
      </c>
      <c r="D315" s="8" t="n">
        <f aca="false">D313*'Unit Economics'!$E$54</f>
        <v>-0</v>
      </c>
      <c r="E315" s="8" t="n">
        <f aca="false">E313*'Unit Economics'!$E$54</f>
        <v>0</v>
      </c>
      <c r="F315" s="8" t="n">
        <f aca="false">F313*'Unit Economics'!$E$54</f>
        <v>13.7623873163636</v>
      </c>
      <c r="G315" s="8" t="n">
        <f aca="false">G313*'Unit Economics'!$E$54</f>
        <v>22.1959782638313</v>
      </c>
      <c r="H315" s="8" t="n">
        <f aca="false">H313*'Unit Economics'!$E$54</f>
        <v>41.4324927591517</v>
      </c>
      <c r="I315" s="8" t="n">
        <f aca="false">I313*'Unit Economics'!$E$54</f>
        <v>64.9661486463499</v>
      </c>
      <c r="J315" s="8" t="n">
        <f aca="false">J313*'Unit Economics'!$E$54</f>
        <v>82.2904549520432</v>
      </c>
      <c r="K315" s="8" t="n">
        <f aca="false">K313*'Unit Economics'!$E$54</f>
        <v>116.419338374259</v>
      </c>
      <c r="L315" s="8" t="n">
        <f aca="false">L313*'Unit Economics'!$E$54</f>
        <v>123.870176030212</v>
      </c>
      <c r="M315" s="8" t="n">
        <f aca="false">M313*'Unit Economics'!$E$54</f>
        <v>124.13095534817</v>
      </c>
      <c r="N315" s="8" t="n">
        <f aca="false">N313*'Unit Economics'!$E$54</f>
        <v>139.02666998995</v>
      </c>
      <c r="O315" s="8" t="n">
        <f aca="false">O313*'Unit Economics'!$E$54</f>
        <v>166.259541229158</v>
      </c>
      <c r="P315" s="8" t="n">
        <f aca="false">P313*'Unit Economics'!$E$54</f>
        <v>243.438970368168</v>
      </c>
      <c r="Q315" s="8" t="n">
        <f aca="false">Q313*'Unit Economics'!$E$54</f>
        <v>270.498148228322</v>
      </c>
      <c r="R315" s="8" t="n">
        <f aca="false">R313*'Unit Economics'!$E$54</f>
        <v>267.993535744726</v>
      </c>
      <c r="S315" s="8" t="n">
        <f aca="false">S313*'Unit Economics'!$E$54</f>
        <v>206.462219937737</v>
      </c>
      <c r="T315" s="8" t="n">
        <f aca="false">T313*'Unit Economics'!$E$54</f>
        <v>245.46063925931</v>
      </c>
      <c r="U315" s="8" t="n">
        <f aca="false">U313*'Unit Economics'!$E$54</f>
        <v>275.775028207835</v>
      </c>
      <c r="V315" s="8" t="n">
        <f aca="false">V313*'Unit Economics'!$E$54</f>
        <v>266.976491593585</v>
      </c>
      <c r="W315" s="8" t="n">
        <f aca="false">W313*'Unit Economics'!$E$54</f>
        <v>300.699837900143</v>
      </c>
      <c r="X315" s="8" t="n">
        <f aca="false">X313*'Unit Economics'!$E$54</f>
        <v>305.661385225495</v>
      </c>
      <c r="Y315" s="8" t="n">
        <f aca="false">Y313*'Unit Economics'!$E$54</f>
        <v>292.630557750092</v>
      </c>
      <c r="Z315" s="8" t="n">
        <f aca="false">Z313*'Unit Economics'!$E$54</f>
        <v>313.114696792599</v>
      </c>
      <c r="AA315" s="8" t="n">
        <f aca="false">AA313*'Unit Economics'!$E$54</f>
        <v>363.949788742456</v>
      </c>
      <c r="AB315" s="8" t="n">
        <f aca="false">AB313*'Unit Economics'!$E$54</f>
        <v>517.958015136632</v>
      </c>
      <c r="AC315" s="8" t="n">
        <f aca="false">AC313*'Unit Economics'!$E$54</f>
        <v>559.394656347563</v>
      </c>
      <c r="AD315" s="8" t="n">
        <f aca="false">AD313*'Unit Economics'!$E$54</f>
        <v>538.676335742097</v>
      </c>
      <c r="AE315" s="8" t="n">
        <f aca="false">AE313*'Unit Economics'!$E$54</f>
        <v>403.360840203683</v>
      </c>
      <c r="AF315" s="8" t="n">
        <f aca="false">AF313*'Unit Economics'!$E$54</f>
        <v>466.105859790922</v>
      </c>
      <c r="AG315" s="8" t="n">
        <f aca="false">AG313*'Unit Economics'!$E$54</f>
        <v>508.987598891687</v>
      </c>
      <c r="AH315" s="8" t="n">
        <f aca="false">AH313*'Unit Economics'!$E$54</f>
        <v>478.933093052368</v>
      </c>
      <c r="AI315" s="8" t="n">
        <f aca="false">AI313*'Unit Economics'!$E$54</f>
        <v>524.305701867856</v>
      </c>
      <c r="AJ315" s="8" t="n">
        <f aca="false">AJ313*'Unit Economics'!$E$54</f>
        <v>518.014033445442</v>
      </c>
      <c r="AK315" s="8" t="n">
        <f aca="false">AK313*'Unit Economics'!$E$54</f>
        <v>482.025690069232</v>
      </c>
      <c r="AL315" s="8" t="n">
        <f aca="false">AL313*'Unit Economics'!$E$54</f>
        <v>501.306717672001</v>
      </c>
      <c r="AM315" s="45" t="n">
        <f aca="false">SUMIF($C$6:$AL$6,1,C315:AL315)</f>
        <v>728.094601680331</v>
      </c>
      <c r="AN315" s="45" t="n">
        <f aca="false">SUMIF($C$6:$AL$6,2,C315:AL315)</f>
        <v>3154.97105223717</v>
      </c>
      <c r="AO315" s="45" t="n">
        <f aca="false">SUMIF($C$6:$AL$6,3,C315:AL315)</f>
        <v>5863.01833096194</v>
      </c>
      <c r="AP315" s="45" t="n">
        <f aca="false">SUM(C315:AL315)</f>
        <v>9746.08398487944</v>
      </c>
    </row>
    <row r="316" customFormat="false" ht="15" hidden="false" customHeight="false" outlineLevel="0" collapsed="false">
      <c r="A316" s="7" t="s">
        <v>755</v>
      </c>
      <c r="B316" s="9" t="s">
        <v>93</v>
      </c>
      <c r="C316" s="8" t="n">
        <f aca="false">C313*'Unit Economics'!$F$54</f>
        <v>-0</v>
      </c>
      <c r="D316" s="8" t="n">
        <f aca="false">D313*'Unit Economics'!$F$54</f>
        <v>-0</v>
      </c>
      <c r="E316" s="8" t="n">
        <f aca="false">E313*'Unit Economics'!$F$54</f>
        <v>0</v>
      </c>
      <c r="F316" s="8" t="n">
        <f aca="false">F313*'Unit Economics'!$F$54</f>
        <v>11.3498981717333</v>
      </c>
      <c r="G316" s="8" t="n">
        <f aca="false">G313*'Unit Economics'!$F$54</f>
        <v>18.3051157713715</v>
      </c>
      <c r="H316" s="8" t="n">
        <f aca="false">H313*'Unit Economics'!$F$54</f>
        <v>34.1695494398935</v>
      </c>
      <c r="I316" s="8" t="n">
        <f aca="false">I313*'Unit Economics'!$F$54</f>
        <v>53.577853521753</v>
      </c>
      <c r="J316" s="8" t="n">
        <f aca="false">J313*'Unit Economics'!$F$54</f>
        <v>67.8652811275539</v>
      </c>
      <c r="K316" s="8" t="n">
        <f aca="false">K313*'Unit Economics'!$F$54</f>
        <v>96.0115135109815</v>
      </c>
      <c r="L316" s="8" t="n">
        <f aca="false">L313*'Unit Economics'!$F$54</f>
        <v>102.156250375684</v>
      </c>
      <c r="M316" s="8" t="n">
        <f aca="false">M313*'Unit Economics'!$F$54</f>
        <v>102.371316165949</v>
      </c>
      <c r="N316" s="8" t="n">
        <f aca="false">N313*'Unit Economics'!$F$54</f>
        <v>114.655874105863</v>
      </c>
      <c r="O316" s="8" t="n">
        <f aca="false">O313*'Unit Economics'!$F$54</f>
        <v>137.114936504247</v>
      </c>
      <c r="P316" s="8" t="n">
        <f aca="false">P313*'Unit Economics'!$F$54</f>
        <v>200.765133344639</v>
      </c>
      <c r="Q316" s="8" t="n">
        <f aca="false">Q313*'Unit Economics'!$F$54</f>
        <v>223.080950089485</v>
      </c>
      <c r="R316" s="8" t="n">
        <f aca="false">R313*'Unit Economics'!$F$54</f>
        <v>221.015385736805</v>
      </c>
      <c r="S316" s="8" t="n">
        <f aca="false">S313*'Unit Economics'!$F$54</f>
        <v>170.270253171634</v>
      </c>
      <c r="T316" s="8" t="n">
        <f aca="false">T313*'Unit Economics'!$F$54</f>
        <v>202.432412104054</v>
      </c>
      <c r="U316" s="8" t="n">
        <f aca="false">U313*'Unit Economics'!$F$54</f>
        <v>227.432814998905</v>
      </c>
      <c r="V316" s="8" t="n">
        <f aca="false">V313*'Unit Economics'!$F$54</f>
        <v>220.176625187035</v>
      </c>
      <c r="W316" s="8" t="n">
        <f aca="false">W313*'Unit Economics'!$F$54</f>
        <v>247.988409421187</v>
      </c>
      <c r="X316" s="8" t="n">
        <f aca="false">X313*'Unit Economics'!$F$54</f>
        <v>252.080218176637</v>
      </c>
      <c r="Y316" s="8" t="n">
        <f aca="false">Y313*'Unit Economics'!$F$54</f>
        <v>241.33364045437</v>
      </c>
      <c r="Z316" s="8" t="n">
        <f aca="false">Z313*'Unit Economics'!$F$54</f>
        <v>258.226995286175</v>
      </c>
      <c r="AA316" s="8" t="n">
        <f aca="false">AA313*'Unit Economics'!$F$54</f>
        <v>300.150907462049</v>
      </c>
      <c r="AB316" s="8" t="n">
        <f aca="false">AB313*'Unit Economics'!$F$54</f>
        <v>427.162133567042</v>
      </c>
      <c r="AC316" s="8" t="n">
        <f aca="false">AC313*'Unit Economics'!$F$54</f>
        <v>461.335104252405</v>
      </c>
      <c r="AD316" s="8" t="n">
        <f aca="false">AD313*'Unit Economics'!$F$54</f>
        <v>444.248618909724</v>
      </c>
      <c r="AE316" s="8" t="n">
        <f aca="false">AE313*'Unit Economics'!$F$54</f>
        <v>332.653365839601</v>
      </c>
      <c r="AF316" s="8" t="n">
        <f aca="false">AF313*'Unit Economics'!$F$54</f>
        <v>384.399444970206</v>
      </c>
      <c r="AG316" s="8" t="n">
        <f aca="false">AG313*'Unit Economics'!$F$54</f>
        <v>419.764193907465</v>
      </c>
      <c r="AH316" s="8" t="n">
        <f aca="false">AH313*'Unit Economics'!$F$54</f>
        <v>394.978117695786</v>
      </c>
      <c r="AI316" s="8" t="n">
        <f aca="false">AI313*'Unit Economics'!$F$54</f>
        <v>432.397097266965</v>
      </c>
      <c r="AJ316" s="8" t="n">
        <f aca="false">AJ313*'Unit Economics'!$F$54</f>
        <v>427.208332099762</v>
      </c>
      <c r="AK316" s="8" t="n">
        <f aca="false">AK313*'Unit Economics'!$F$54</f>
        <v>397.528595343357</v>
      </c>
      <c r="AL316" s="8" t="n">
        <f aca="false">AL313*'Unit Economics'!$F$54</f>
        <v>413.429739157092</v>
      </c>
      <c r="AM316" s="45" t="n">
        <f aca="false">SUMIF($C$6:$AL$6,1,C316:AL316)</f>
        <v>600.462652190783</v>
      </c>
      <c r="AN316" s="45" t="n">
        <f aca="false">SUMIF($C$6:$AL$6,2,C316:AL316)</f>
        <v>2601.91777447517</v>
      </c>
      <c r="AO316" s="45" t="n">
        <f aca="false">SUMIF($C$6:$AL$6,3,C316:AL316)</f>
        <v>4835.25565047145</v>
      </c>
      <c r="AP316" s="45" t="n">
        <f aca="false">SUM(C316:AL316)</f>
        <v>8037.63607713741</v>
      </c>
    </row>
    <row r="317" customFormat="false" ht="15" hidden="false" customHeight="false" outlineLevel="0" collapsed="false">
      <c r="A317" s="5" t="s">
        <v>565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</row>
    <row r="318" customFormat="false" ht="15" hidden="false" customHeight="false" outlineLevel="0" collapsed="false">
      <c r="A318" s="7" t="s">
        <v>746</v>
      </c>
      <c r="B318" s="9" t="s">
        <v>308</v>
      </c>
      <c r="C318" s="37" t="n">
        <f aca="false">IF(AND(Assumptions!$E$139=1,C$4&gt;=Assumptions!$E$140),1,0)</f>
        <v>0</v>
      </c>
      <c r="D318" s="37" t="n">
        <f aca="false">IF(AND(Assumptions!$E$139=1,D$4&gt;=Assumptions!$E$140),1,0)</f>
        <v>0</v>
      </c>
      <c r="E318" s="37" t="n">
        <f aca="false">IF(AND(Assumptions!$E$139=1,E$4&gt;=Assumptions!$E$140),1,0)</f>
        <v>0</v>
      </c>
      <c r="F318" s="37" t="n">
        <f aca="false">IF(AND(Assumptions!$E$139=1,F$4&gt;=Assumptions!$E$140),1,0)</f>
        <v>1</v>
      </c>
      <c r="G318" s="37" t="n">
        <f aca="false">IF(AND(Assumptions!$E$139=1,G$4&gt;=Assumptions!$E$140),1,0)</f>
        <v>1</v>
      </c>
      <c r="H318" s="37" t="n">
        <f aca="false">IF(AND(Assumptions!$E$139=1,H$4&gt;=Assumptions!$E$140),1,0)</f>
        <v>1</v>
      </c>
      <c r="I318" s="37" t="n">
        <f aca="false">IF(AND(Assumptions!$E$139=1,I$4&gt;=Assumptions!$E$140),1,0)</f>
        <v>1</v>
      </c>
      <c r="J318" s="37" t="n">
        <f aca="false">IF(AND(Assumptions!$E$139=1,J$4&gt;=Assumptions!$E$140),1,0)</f>
        <v>1</v>
      </c>
      <c r="K318" s="37" t="n">
        <f aca="false">IF(AND(Assumptions!$E$139=1,K$4&gt;=Assumptions!$E$140),1,0)</f>
        <v>1</v>
      </c>
      <c r="L318" s="37" t="n">
        <f aca="false">IF(AND(Assumptions!$E$139=1,L$4&gt;=Assumptions!$E$140),1,0)</f>
        <v>1</v>
      </c>
      <c r="M318" s="37" t="n">
        <f aca="false">IF(AND(Assumptions!$E$139=1,M$4&gt;=Assumptions!$E$140),1,0)</f>
        <v>1</v>
      </c>
      <c r="N318" s="37" t="n">
        <f aca="false">IF(AND(Assumptions!$E$139=1,N$4&gt;=Assumptions!$E$140),1,0)</f>
        <v>1</v>
      </c>
      <c r="O318" s="37" t="n">
        <f aca="false">IF(AND(Assumptions!$E$139=1,O$4&gt;=Assumptions!$E$140),1,0)</f>
        <v>1</v>
      </c>
      <c r="P318" s="37" t="n">
        <f aca="false">IF(AND(Assumptions!$E$139=1,P$4&gt;=Assumptions!$E$140),1,0)</f>
        <v>1</v>
      </c>
      <c r="Q318" s="37" t="n">
        <f aca="false">IF(AND(Assumptions!$E$139=1,Q$4&gt;=Assumptions!$E$140),1,0)</f>
        <v>1</v>
      </c>
      <c r="R318" s="37" t="n">
        <f aca="false">IF(AND(Assumptions!$E$139=1,R$4&gt;=Assumptions!$E$140),1,0)</f>
        <v>1</v>
      </c>
      <c r="S318" s="37" t="n">
        <f aca="false">IF(AND(Assumptions!$E$139=1,S$4&gt;=Assumptions!$E$140),1,0)</f>
        <v>1</v>
      </c>
      <c r="T318" s="37" t="n">
        <f aca="false">IF(AND(Assumptions!$E$139=1,T$4&gt;=Assumptions!$E$140),1,0)</f>
        <v>1</v>
      </c>
      <c r="U318" s="37" t="n">
        <f aca="false">IF(AND(Assumptions!$E$139=1,U$4&gt;=Assumptions!$E$140),1,0)</f>
        <v>1</v>
      </c>
      <c r="V318" s="37" t="n">
        <f aca="false">IF(AND(Assumptions!$E$139=1,V$4&gt;=Assumptions!$E$140),1,0)</f>
        <v>1</v>
      </c>
      <c r="W318" s="37" t="n">
        <f aca="false">IF(AND(Assumptions!$E$139=1,W$4&gt;=Assumptions!$E$140),1,0)</f>
        <v>1</v>
      </c>
      <c r="X318" s="37" t="n">
        <f aca="false">IF(AND(Assumptions!$E$139=1,X$4&gt;=Assumptions!$E$140),1,0)</f>
        <v>1</v>
      </c>
      <c r="Y318" s="37" t="n">
        <f aca="false">IF(AND(Assumptions!$E$139=1,Y$4&gt;=Assumptions!$E$140),1,0)</f>
        <v>1</v>
      </c>
      <c r="Z318" s="37" t="n">
        <f aca="false">IF(AND(Assumptions!$E$139=1,Z$4&gt;=Assumptions!$E$140),1,0)</f>
        <v>1</v>
      </c>
      <c r="AA318" s="37" t="n">
        <f aca="false">IF(AND(Assumptions!$E$139=1,AA$4&gt;=Assumptions!$E$140),1,0)</f>
        <v>1</v>
      </c>
      <c r="AB318" s="37" t="n">
        <f aca="false">IF(AND(Assumptions!$E$139=1,AB$4&gt;=Assumptions!$E$140),1,0)</f>
        <v>1</v>
      </c>
      <c r="AC318" s="37" t="n">
        <f aca="false">IF(AND(Assumptions!$E$139=1,AC$4&gt;=Assumptions!$E$140),1,0)</f>
        <v>1</v>
      </c>
      <c r="AD318" s="37" t="n">
        <f aca="false">IF(AND(Assumptions!$E$139=1,AD$4&gt;=Assumptions!$E$140),1,0)</f>
        <v>1</v>
      </c>
      <c r="AE318" s="37" t="n">
        <f aca="false">IF(AND(Assumptions!$E$139=1,AE$4&gt;=Assumptions!$E$140),1,0)</f>
        <v>1</v>
      </c>
      <c r="AF318" s="37" t="n">
        <f aca="false">IF(AND(Assumptions!$E$139=1,AF$4&gt;=Assumptions!$E$140),1,0)</f>
        <v>1</v>
      </c>
      <c r="AG318" s="37" t="n">
        <f aca="false">IF(AND(Assumptions!$E$139=1,AG$4&gt;=Assumptions!$E$140),1,0)</f>
        <v>1</v>
      </c>
      <c r="AH318" s="37" t="n">
        <f aca="false">IF(AND(Assumptions!$E$139=1,AH$4&gt;=Assumptions!$E$140),1,0)</f>
        <v>1</v>
      </c>
      <c r="AI318" s="37" t="n">
        <f aca="false">IF(AND(Assumptions!$E$139=1,AI$4&gt;=Assumptions!$E$140),1,0)</f>
        <v>1</v>
      </c>
      <c r="AJ318" s="37" t="n">
        <f aca="false">IF(AND(Assumptions!$E$139=1,AJ$4&gt;=Assumptions!$E$140),1,0)</f>
        <v>1</v>
      </c>
      <c r="AK318" s="37" t="n">
        <f aca="false">IF(AND(Assumptions!$E$139=1,AK$4&gt;=Assumptions!$E$140),1,0)</f>
        <v>1</v>
      </c>
      <c r="AL318" s="37" t="n">
        <f aca="false">IF(AND(Assumptions!$E$139=1,AL$4&gt;=Assumptions!$E$140),1,0)</f>
        <v>1</v>
      </c>
    </row>
    <row r="319" customFormat="false" ht="15" hidden="false" customHeight="false" outlineLevel="0" collapsed="false">
      <c r="A319" s="7" t="s">
        <v>761</v>
      </c>
      <c r="B319" s="9" t="s">
        <v>762</v>
      </c>
      <c r="C319" s="14" t="n">
        <f aca="false">IF(C318=0,0,0*Assumptions!$E$143)</f>
        <v>0</v>
      </c>
      <c r="D319" s="14" t="n">
        <f aca="false">IF(D318=0,0,C360*Assumptions!$E$143)</f>
        <v>0</v>
      </c>
      <c r="E319" s="14" t="n">
        <f aca="false">IF(E318=0,0,D360*Assumptions!$E$143)</f>
        <v>0</v>
      </c>
      <c r="F319" s="14" t="n">
        <f aca="false">IF(F318=0,0,E360*Assumptions!$E$143)</f>
        <v>37.119585</v>
      </c>
      <c r="G319" s="14" t="n">
        <f aca="false">IF(G318=0,0,F360*Assumptions!$E$143)</f>
        <v>54.7708920833333</v>
      </c>
      <c r="H319" s="14" t="n">
        <f aca="false">IF(H318=0,0,G360*Assumptions!$E$143)</f>
        <v>69.77963901978</v>
      </c>
      <c r="I319" s="14" t="n">
        <f aca="false">IF(I318=0,0,H360*Assumptions!$E$143)</f>
        <v>89.6746429395982</v>
      </c>
      <c r="J319" s="14" t="n">
        <f aca="false">IF(J318=0,0,I360*Assumptions!$E$143)</f>
        <v>113.780131044286</v>
      </c>
      <c r="K319" s="14" t="n">
        <f aca="false">IF(K318=0,0,J360*Assumptions!$E$143)</f>
        <v>138.125574539195</v>
      </c>
      <c r="L319" s="14" t="n">
        <f aca="false">IF(L318=0,0,K360*Assumptions!$E$143)</f>
        <v>166.841157472846</v>
      </c>
      <c r="M319" s="14" t="n">
        <f aca="false">IF(M318=0,0,L360*Assumptions!$E$143)</f>
        <v>197.172998391801</v>
      </c>
      <c r="N319" s="14" t="n">
        <f aca="false">IF(N318=0,0,M360*Assumptions!$E$143)</f>
        <v>227.117019810259</v>
      </c>
      <c r="O319" s="14" t="n">
        <f aca="false">IF(O318=0,0,N360*Assumptions!$E$143)</f>
        <v>260.427360433013</v>
      </c>
      <c r="P319" s="14" t="n">
        <f aca="false">IF(P318=0,0,O360*Assumptions!$E$143)</f>
        <v>300.190920601752</v>
      </c>
      <c r="Q319" s="14" t="n">
        <f aca="false">IF(Q318=0,0,P360*Assumptions!$E$143)</f>
        <v>358.960560399778</v>
      </c>
      <c r="R319" s="14" t="n">
        <f aca="false">IF(R318=0,0,Q360*Assumptions!$E$143)</f>
        <v>423.720620791278</v>
      </c>
      <c r="S319" s="14" t="n">
        <f aca="false">IF(S318=0,0,R360*Assumptions!$E$143)</f>
        <v>486.919887354295</v>
      </c>
      <c r="T319" s="14" t="n">
        <f aca="false">IF(T318=0,0,S360*Assumptions!$E$143)</f>
        <v>533.791588751953</v>
      </c>
      <c r="U319" s="14" t="n">
        <f aca="false">IF(U318=0,0,T360*Assumptions!$E$143)</f>
        <v>589.720058263369</v>
      </c>
      <c r="V319" s="14" t="n">
        <f aca="false">IF(V318=0,0,U360*Assumptions!$E$143)</f>
        <v>652.382131951537</v>
      </c>
      <c r="W319" s="14" t="n">
        <f aca="false">IF(W318=0,0,V360*Assumptions!$E$143)</f>
        <v>711.970076708036</v>
      </c>
      <c r="X319" s="14" t="n">
        <f aca="false">IF(X318=0,0,W360*Assumptions!$E$143)</f>
        <v>779.025230293536</v>
      </c>
      <c r="Y319" s="14" t="n">
        <f aca="false">IF(Y318=0,0,X360*Assumptions!$E$143)</f>
        <v>846.346210188933</v>
      </c>
      <c r="Z319" s="14" t="n">
        <f aca="false">IF(Z318=0,0,Y360*Assumptions!$E$143)</f>
        <v>909.521422454697</v>
      </c>
      <c r="AA319" s="14" t="n">
        <f aca="false">IF(AA318=0,0,Z360*Assumptions!$E$143)</f>
        <v>976.79525245359</v>
      </c>
      <c r="AB319" s="14" t="n">
        <f aca="false">IF(AB318=0,0,AA360*Assumptions!$E$143)</f>
        <v>1055.58272965399</v>
      </c>
      <c r="AC319" s="14" t="n">
        <f aca="false">IF(AC318=0,0,AB360*Assumptions!$E$143)</f>
        <v>1170.75625007883</v>
      </c>
      <c r="AD319" s="14" t="n">
        <f aca="false">IF(AD318=0,0,AC360*Assumptions!$E$143)</f>
        <v>1294.51686899457</v>
      </c>
      <c r="AE319" s="14" t="n">
        <f aca="false">IF(AE318=0,0,AD360*Assumptions!$E$143)</f>
        <v>1411.71811535643</v>
      </c>
      <c r="AF319" s="14" t="n">
        <f aca="false">IF(AF318=0,0,AE360*Assumptions!$E$143)</f>
        <v>1494.8290242482</v>
      </c>
      <c r="AG319" s="14" t="n">
        <f aca="false">IF(AG318=0,0,AF360*Assumptions!$E$143)</f>
        <v>1591.97531520926</v>
      </c>
      <c r="AH319" s="14" t="n">
        <f aca="false">IF(AH318=0,0,AG360*Assumptions!$E$143)</f>
        <v>1698.18421264105</v>
      </c>
      <c r="AI319" s="14" t="n">
        <f aca="false">IF(AI318=0,0,AH360*Assumptions!$E$143)</f>
        <v>1795.86019957642</v>
      </c>
      <c r="AJ319" s="14" t="n">
        <f aca="false">IF(AJ318=0,0,AI360*Assumptions!$E$143)</f>
        <v>1903.14074728371</v>
      </c>
      <c r="AK319" s="14" t="n">
        <f aca="false">IF(AK318=0,0,AJ360*Assumptions!$E$143)</f>
        <v>2007.57091411578</v>
      </c>
      <c r="AL319" s="14" t="n">
        <f aca="false">IF(AL318=0,0,AK360*Assumptions!$E$143)</f>
        <v>2102.12651676382</v>
      </c>
    </row>
    <row r="320" customFormat="false" ht="15" hidden="false" customHeight="false" outlineLevel="0" collapsed="false">
      <c r="A320" s="7" t="s">
        <v>763</v>
      </c>
      <c r="B320" s="9" t="s">
        <v>316</v>
      </c>
      <c r="C320" s="52" t="n">
        <f aca="false">C319*C$7</f>
        <v>0</v>
      </c>
      <c r="D320" s="52" t="n">
        <f aca="false">D319*D$7</f>
        <v>0</v>
      </c>
      <c r="E320" s="52" t="n">
        <f aca="false">E319*E$7</f>
        <v>0</v>
      </c>
      <c r="F320" s="52" t="n">
        <f aca="false">F319*F$7</f>
        <v>46.39948125</v>
      </c>
      <c r="G320" s="52" t="n">
        <f aca="false">G319*G$7</f>
        <v>49.293802875</v>
      </c>
      <c r="H320" s="52" t="n">
        <f aca="false">H319*H$7</f>
        <v>69.77963901978</v>
      </c>
      <c r="I320" s="52" t="n">
        <f aca="false">I319*I$7</f>
        <v>94.1583750865782</v>
      </c>
      <c r="J320" s="52" t="n">
        <f aca="false">J319*J$7</f>
        <v>108.091124492072</v>
      </c>
      <c r="K320" s="52" t="n">
        <f aca="false">K319*K$7</f>
        <v>138.125574539195</v>
      </c>
      <c r="L320" s="52" t="n">
        <f aca="false">L319*L$7</f>
        <v>158.499099599204</v>
      </c>
      <c r="M320" s="52" t="n">
        <f aca="false">M319*M$7</f>
        <v>167.597048633031</v>
      </c>
      <c r="N320" s="52" t="n">
        <f aca="false">N319*N$7</f>
        <v>193.04946683872</v>
      </c>
      <c r="O320" s="52" t="n">
        <f aca="false">O319*O$7</f>
        <v>247.405992411362</v>
      </c>
      <c r="P320" s="52" t="n">
        <f aca="false">P319*P$7</f>
        <v>390.248196782278</v>
      </c>
      <c r="Q320" s="52" t="n">
        <f aca="false">Q319*Q$7</f>
        <v>484.596756539701</v>
      </c>
      <c r="R320" s="52" t="n">
        <f aca="false">R319*R$7</f>
        <v>529.650775989098</v>
      </c>
      <c r="S320" s="52" t="n">
        <f aca="false">S319*S$7</f>
        <v>438.227898618865</v>
      </c>
      <c r="T320" s="52" t="n">
        <f aca="false">T319*T$7</f>
        <v>533.791588751953</v>
      </c>
      <c r="U320" s="52" t="n">
        <f aca="false">U319*U$7</f>
        <v>619.206061176538</v>
      </c>
      <c r="V320" s="52" t="n">
        <f aca="false">V319*V$7</f>
        <v>619.76302535396</v>
      </c>
      <c r="W320" s="52" t="n">
        <f aca="false">W319*W$7</f>
        <v>711.970076708036</v>
      </c>
      <c r="X320" s="52" t="n">
        <f aca="false">X319*X$7</f>
        <v>740.073968778859</v>
      </c>
      <c r="Y320" s="52" t="n">
        <f aca="false">Y319*Y$7</f>
        <v>719.394278660593</v>
      </c>
      <c r="Z320" s="52" t="n">
        <f aca="false">Z319*Z$7</f>
        <v>773.093209086493</v>
      </c>
      <c r="AA320" s="52" t="n">
        <f aca="false">AA319*AA$7</f>
        <v>927.95548983091</v>
      </c>
      <c r="AB320" s="52" t="n">
        <f aca="false">AB319*AB$7</f>
        <v>1372.25754855019</v>
      </c>
      <c r="AC320" s="52" t="n">
        <f aca="false">AC319*AC$7</f>
        <v>1580.52093760641</v>
      </c>
      <c r="AD320" s="52" t="n">
        <f aca="false">AD319*AD$7</f>
        <v>1618.14608624321</v>
      </c>
      <c r="AE320" s="52" t="n">
        <f aca="false">AE319*AE$7</f>
        <v>1270.54630382079</v>
      </c>
      <c r="AF320" s="52" t="n">
        <f aca="false">AF319*AF$7</f>
        <v>1494.8290242482</v>
      </c>
      <c r="AG320" s="52" t="n">
        <f aca="false">AG319*AG$7</f>
        <v>1671.57408096973</v>
      </c>
      <c r="AH320" s="52" t="n">
        <f aca="false">AH319*AH$7</f>
        <v>1613.275002009</v>
      </c>
      <c r="AI320" s="52" t="n">
        <f aca="false">AI319*AI$7</f>
        <v>1795.86019957642</v>
      </c>
      <c r="AJ320" s="52" t="n">
        <f aca="false">AJ319*AJ$7</f>
        <v>1807.98370991952</v>
      </c>
      <c r="AK320" s="52" t="n">
        <f aca="false">AK319*AK$7</f>
        <v>1706.43527699842</v>
      </c>
      <c r="AL320" s="52" t="n">
        <f aca="false">AL319*AL$7</f>
        <v>1786.80753924925</v>
      </c>
      <c r="AM320" s="53" t="n">
        <f aca="false">SUMIF($C$6:$AL$6,1,C320:AL320)</f>
        <v>1024.99361233358</v>
      </c>
      <c r="AN320" s="53" t="n">
        <f aca="false">SUMIF($C$6:$AL$6,2,C320:AL320)</f>
        <v>6807.42182885774</v>
      </c>
      <c r="AO320" s="53" t="n">
        <f aca="false">SUMIF($C$6:$AL$6,3,C320:AL320)</f>
        <v>18646.191199022</v>
      </c>
      <c r="AP320" s="53" t="n">
        <f aca="false">SUM(C320:AL320)</f>
        <v>26478.6066402134</v>
      </c>
    </row>
    <row r="321" customFormat="false" ht="15" hidden="false" customHeight="false" outlineLevel="0" collapsed="false">
      <c r="A321" s="7" t="s">
        <v>749</v>
      </c>
      <c r="B321" s="9" t="s">
        <v>88</v>
      </c>
      <c r="C321" s="54" t="n">
        <f aca="false">Assumptions!$E$141*MIN(1,(C$4-Assumptions!$E$140+1)/Assumptions!$C$10)*C318</f>
        <v>-0</v>
      </c>
      <c r="D321" s="54" t="n">
        <f aca="false">Assumptions!$E$141*MIN(1,(D$4-Assumptions!$E$140+1)/Assumptions!$C$10)*D318</f>
        <v>-0</v>
      </c>
      <c r="E321" s="54" t="n">
        <f aca="false">Assumptions!$E$141*MIN(1,(E$4-Assumptions!$E$140+1)/Assumptions!$C$10)*E318</f>
        <v>0</v>
      </c>
      <c r="F321" s="54" t="n">
        <f aca="false">Assumptions!$E$141*MIN(1,(F$4-Assumptions!$E$140+1)/Assumptions!$C$10)*F318</f>
        <v>0.00333333333333333</v>
      </c>
      <c r="G321" s="54" t="n">
        <f aca="false">Assumptions!$E$141*MIN(1,(G$4-Assumptions!$E$140+1)/Assumptions!$C$10)*G318</f>
        <v>0.00666666666666667</v>
      </c>
      <c r="H321" s="54" t="n">
        <f aca="false">Assumptions!$E$141*MIN(1,(H$4-Assumptions!$E$140+1)/Assumptions!$C$10)*H318</f>
        <v>0.01</v>
      </c>
      <c r="I321" s="54" t="n">
        <f aca="false">Assumptions!$E$141*MIN(1,(I$4-Assumptions!$E$140+1)/Assumptions!$C$10)*I318</f>
        <v>0.0133333333333333</v>
      </c>
      <c r="J321" s="54" t="n">
        <f aca="false">Assumptions!$E$141*MIN(1,(J$4-Assumptions!$E$140+1)/Assumptions!$C$10)*J318</f>
        <v>0.0166666666666667</v>
      </c>
      <c r="K321" s="54" t="n">
        <f aca="false">Assumptions!$E$141*MIN(1,(K$4-Assumptions!$E$140+1)/Assumptions!$C$10)*K318</f>
        <v>0.02</v>
      </c>
      <c r="L321" s="54" t="n">
        <f aca="false">Assumptions!$E$141*MIN(1,(L$4-Assumptions!$E$140+1)/Assumptions!$C$10)*L318</f>
        <v>0.02</v>
      </c>
      <c r="M321" s="54" t="n">
        <f aca="false">Assumptions!$E$141*MIN(1,(M$4-Assumptions!$E$140+1)/Assumptions!$C$10)*M318</f>
        <v>0.02</v>
      </c>
      <c r="N321" s="54" t="n">
        <f aca="false">Assumptions!$E$141*MIN(1,(N$4-Assumptions!$E$140+1)/Assumptions!$C$10)*N318</f>
        <v>0.02</v>
      </c>
      <c r="O321" s="54" t="n">
        <f aca="false">Assumptions!$E$141*MIN(1,(O$4-Assumptions!$E$140+1)/Assumptions!$C$10)*O318</f>
        <v>0.02</v>
      </c>
      <c r="P321" s="54" t="n">
        <f aca="false">Assumptions!$E$141*MIN(1,(P$4-Assumptions!$E$140+1)/Assumptions!$C$10)*P318</f>
        <v>0.02</v>
      </c>
      <c r="Q321" s="54" t="n">
        <f aca="false">Assumptions!$E$141*MIN(1,(Q$4-Assumptions!$E$140+1)/Assumptions!$C$10)*Q318</f>
        <v>0.02</v>
      </c>
      <c r="R321" s="54" t="n">
        <f aca="false">Assumptions!$E$141*MIN(1,(R$4-Assumptions!$E$140+1)/Assumptions!$C$10)*R318</f>
        <v>0.02</v>
      </c>
      <c r="S321" s="54" t="n">
        <f aca="false">Assumptions!$E$141*MIN(1,(S$4-Assumptions!$E$140+1)/Assumptions!$C$10)*S318</f>
        <v>0.02</v>
      </c>
      <c r="T321" s="54" t="n">
        <f aca="false">Assumptions!$E$141*MIN(1,(T$4-Assumptions!$E$140+1)/Assumptions!$C$10)*T318</f>
        <v>0.02</v>
      </c>
      <c r="U321" s="54" t="n">
        <f aca="false">Assumptions!$E$141*MIN(1,(U$4-Assumptions!$E$140+1)/Assumptions!$C$10)*U318</f>
        <v>0.02</v>
      </c>
      <c r="V321" s="54" t="n">
        <f aca="false">Assumptions!$E$141*MIN(1,(V$4-Assumptions!$E$140+1)/Assumptions!$C$10)*V318</f>
        <v>0.02</v>
      </c>
      <c r="W321" s="54" t="n">
        <f aca="false">Assumptions!$E$141*MIN(1,(W$4-Assumptions!$E$140+1)/Assumptions!$C$10)*W318</f>
        <v>0.02</v>
      </c>
      <c r="X321" s="54" t="n">
        <f aca="false">Assumptions!$E$141*MIN(1,(X$4-Assumptions!$E$140+1)/Assumptions!$C$10)*X318</f>
        <v>0.02</v>
      </c>
      <c r="Y321" s="54" t="n">
        <f aca="false">Assumptions!$E$141*MIN(1,(Y$4-Assumptions!$E$140+1)/Assumptions!$C$10)*Y318</f>
        <v>0.02</v>
      </c>
      <c r="Z321" s="54" t="n">
        <f aca="false">Assumptions!$E$141*MIN(1,(Z$4-Assumptions!$E$140+1)/Assumptions!$C$10)*Z318</f>
        <v>0.02</v>
      </c>
      <c r="AA321" s="54" t="n">
        <f aca="false">Assumptions!$E$141*MIN(1,(AA$4-Assumptions!$E$140+1)/Assumptions!$C$10)*AA318</f>
        <v>0.02</v>
      </c>
      <c r="AB321" s="54" t="n">
        <f aca="false">Assumptions!$E$141*MIN(1,(AB$4-Assumptions!$E$140+1)/Assumptions!$C$10)*AB318</f>
        <v>0.02</v>
      </c>
      <c r="AC321" s="54" t="n">
        <f aca="false">Assumptions!$E$141*MIN(1,(AC$4-Assumptions!$E$140+1)/Assumptions!$C$10)*AC318</f>
        <v>0.02</v>
      </c>
      <c r="AD321" s="54" t="n">
        <f aca="false">Assumptions!$E$141*MIN(1,(AD$4-Assumptions!$E$140+1)/Assumptions!$C$10)*AD318</f>
        <v>0.02</v>
      </c>
      <c r="AE321" s="54" t="n">
        <f aca="false">Assumptions!$E$141*MIN(1,(AE$4-Assumptions!$E$140+1)/Assumptions!$C$10)*AE318</f>
        <v>0.02</v>
      </c>
      <c r="AF321" s="54" t="n">
        <f aca="false">Assumptions!$E$141*MIN(1,(AF$4-Assumptions!$E$140+1)/Assumptions!$C$10)*AF318</f>
        <v>0.02</v>
      </c>
      <c r="AG321" s="54" t="n">
        <f aca="false">Assumptions!$E$141*MIN(1,(AG$4-Assumptions!$E$140+1)/Assumptions!$C$10)*AG318</f>
        <v>0.02</v>
      </c>
      <c r="AH321" s="54" t="n">
        <f aca="false">Assumptions!$E$141*MIN(1,(AH$4-Assumptions!$E$140+1)/Assumptions!$C$10)*AH318</f>
        <v>0.02</v>
      </c>
      <c r="AI321" s="54" t="n">
        <f aca="false">Assumptions!$E$141*MIN(1,(AI$4-Assumptions!$E$140+1)/Assumptions!$C$10)*AI318</f>
        <v>0.02</v>
      </c>
      <c r="AJ321" s="54" t="n">
        <f aca="false">Assumptions!$E$141*MIN(1,(AJ$4-Assumptions!$E$140+1)/Assumptions!$C$10)*AJ318</f>
        <v>0.02</v>
      </c>
      <c r="AK321" s="54" t="n">
        <f aca="false">Assumptions!$E$141*MIN(1,(AK$4-Assumptions!$E$140+1)/Assumptions!$C$10)*AK318</f>
        <v>0.02</v>
      </c>
      <c r="AL321" s="54" t="n">
        <f aca="false">Assumptions!$E$141*MIN(1,(AL$4-Assumptions!$E$140+1)/Assumptions!$C$10)*AL318</f>
        <v>0.02</v>
      </c>
    </row>
    <row r="322" customFormat="false" ht="15" hidden="false" customHeight="false" outlineLevel="0" collapsed="false">
      <c r="A322" s="7" t="s">
        <v>757</v>
      </c>
      <c r="B322" s="9" t="s">
        <v>751</v>
      </c>
      <c r="C322" s="55" t="n">
        <f aca="false">C320*C321</f>
        <v>-0</v>
      </c>
      <c r="D322" s="55" t="n">
        <f aca="false">D320*D321</f>
        <v>-0</v>
      </c>
      <c r="E322" s="55" t="n">
        <f aca="false">E320*E321</f>
        <v>0</v>
      </c>
      <c r="F322" s="55" t="n">
        <f aca="false">F320*F321</f>
        <v>0.1546649375</v>
      </c>
      <c r="G322" s="55" t="n">
        <f aca="false">G320*G321</f>
        <v>0.3286253525</v>
      </c>
      <c r="H322" s="55" t="n">
        <f aca="false">H320*H321</f>
        <v>0.6977963901978</v>
      </c>
      <c r="I322" s="55" t="n">
        <f aca="false">I320*I321</f>
        <v>1.25544500115438</v>
      </c>
      <c r="J322" s="55" t="n">
        <f aca="false">J320*J321</f>
        <v>1.80151874153453</v>
      </c>
      <c r="K322" s="55" t="n">
        <f aca="false">K320*K321</f>
        <v>2.76251149078389</v>
      </c>
      <c r="L322" s="55" t="n">
        <f aca="false">L320*L321</f>
        <v>3.16998199198408</v>
      </c>
      <c r="M322" s="55" t="n">
        <f aca="false">M320*M321</f>
        <v>3.35194097266062</v>
      </c>
      <c r="N322" s="55" t="n">
        <f aca="false">N320*N321</f>
        <v>3.86098933677441</v>
      </c>
      <c r="O322" s="55" t="n">
        <f aca="false">O320*O321</f>
        <v>4.94811984822725</v>
      </c>
      <c r="P322" s="55" t="n">
        <f aca="false">P320*P321</f>
        <v>7.80496393564556</v>
      </c>
      <c r="Q322" s="55" t="n">
        <f aca="false">Q320*Q321</f>
        <v>9.69193513079402</v>
      </c>
      <c r="R322" s="55" t="n">
        <f aca="false">R320*R321</f>
        <v>10.593015519782</v>
      </c>
      <c r="S322" s="55" t="n">
        <f aca="false">S320*S321</f>
        <v>8.76455797237731</v>
      </c>
      <c r="T322" s="55" t="n">
        <f aca="false">T320*T321</f>
        <v>10.6758317750391</v>
      </c>
      <c r="U322" s="55" t="n">
        <f aca="false">U320*U321</f>
        <v>12.3841212235308</v>
      </c>
      <c r="V322" s="55" t="n">
        <f aca="false">V320*V321</f>
        <v>12.3952605070792</v>
      </c>
      <c r="W322" s="55" t="n">
        <f aca="false">W320*W321</f>
        <v>14.2394015341607</v>
      </c>
      <c r="X322" s="55" t="n">
        <f aca="false">X320*X321</f>
        <v>14.8014793755772</v>
      </c>
      <c r="Y322" s="55" t="n">
        <f aca="false">Y320*Y321</f>
        <v>14.3878855732119</v>
      </c>
      <c r="Z322" s="55" t="n">
        <f aca="false">Z320*Z321</f>
        <v>15.4618641817299</v>
      </c>
      <c r="AA322" s="55" t="n">
        <f aca="false">AA320*AA321</f>
        <v>18.5591097966182</v>
      </c>
      <c r="AB322" s="55" t="n">
        <f aca="false">AB320*AB321</f>
        <v>27.4451509710037</v>
      </c>
      <c r="AC322" s="55" t="n">
        <f aca="false">AC320*AC321</f>
        <v>31.6104187521283</v>
      </c>
      <c r="AD322" s="55" t="n">
        <f aca="false">AD320*AD321</f>
        <v>32.3629217248642</v>
      </c>
      <c r="AE322" s="55" t="n">
        <f aca="false">AE320*AE321</f>
        <v>25.4109260764158</v>
      </c>
      <c r="AF322" s="55" t="n">
        <f aca="false">AF320*AF321</f>
        <v>29.896580484964</v>
      </c>
      <c r="AG322" s="55" t="n">
        <f aca="false">AG320*AG321</f>
        <v>33.4314816193945</v>
      </c>
      <c r="AH322" s="55" t="n">
        <f aca="false">AH320*AH321</f>
        <v>32.26550004018</v>
      </c>
      <c r="AI322" s="55" t="n">
        <f aca="false">AI320*AI321</f>
        <v>35.9172039915283</v>
      </c>
      <c r="AJ322" s="55" t="n">
        <f aca="false">AJ320*AJ321</f>
        <v>36.1596741983904</v>
      </c>
      <c r="AK322" s="55" t="n">
        <f aca="false">AK320*AK321</f>
        <v>34.1287055399683</v>
      </c>
      <c r="AL322" s="55" t="n">
        <f aca="false">AL320*AL321</f>
        <v>35.736150784985</v>
      </c>
      <c r="AM322" s="53" t="n">
        <f aca="false">SUMIF($C$6:$AL$6,1,C322:AL322)</f>
        <v>17.3834742150897</v>
      </c>
      <c r="AN322" s="53" t="n">
        <f aca="false">SUMIF($C$6:$AL$6,2,C322:AL322)</f>
        <v>136.148436577155</v>
      </c>
      <c r="AO322" s="53" t="n">
        <f aca="false">SUMIF($C$6:$AL$6,3,C322:AL322)</f>
        <v>372.923823980441</v>
      </c>
      <c r="AP322" s="53" t="n">
        <f aca="false">SUM(C322:AL322)</f>
        <v>526.455734772685</v>
      </c>
    </row>
    <row r="323" customFormat="false" ht="15" hidden="false" customHeight="false" outlineLevel="0" collapsed="false">
      <c r="A323" s="7" t="s">
        <v>752</v>
      </c>
      <c r="B323" s="9" t="s">
        <v>331</v>
      </c>
      <c r="C323" s="56" t="n">
        <f aca="false">C322*Assumptions!$E$142</f>
        <v>-0</v>
      </c>
      <c r="D323" s="56" t="n">
        <f aca="false">D322*Assumptions!$E$142</f>
        <v>-0</v>
      </c>
      <c r="E323" s="56" t="n">
        <f aca="false">E322*Assumptions!$E$142</f>
        <v>0</v>
      </c>
      <c r="F323" s="56" t="n">
        <f aca="false">F322*Assumptions!$E$142</f>
        <v>0.1546649375</v>
      </c>
      <c r="G323" s="56" t="n">
        <f aca="false">G322*Assumptions!$E$142</f>
        <v>0.3286253525</v>
      </c>
      <c r="H323" s="56" t="n">
        <f aca="false">H322*Assumptions!$E$142</f>
        <v>0.6977963901978</v>
      </c>
      <c r="I323" s="56" t="n">
        <f aca="false">I322*Assumptions!$E$142</f>
        <v>1.25544500115438</v>
      </c>
      <c r="J323" s="56" t="n">
        <f aca="false">J322*Assumptions!$E$142</f>
        <v>1.80151874153453</v>
      </c>
      <c r="K323" s="56" t="n">
        <f aca="false">K322*Assumptions!$E$142</f>
        <v>2.76251149078389</v>
      </c>
      <c r="L323" s="56" t="n">
        <f aca="false">L322*Assumptions!$E$142</f>
        <v>3.16998199198408</v>
      </c>
      <c r="M323" s="56" t="n">
        <f aca="false">M322*Assumptions!$E$142</f>
        <v>3.35194097266062</v>
      </c>
      <c r="N323" s="56" t="n">
        <f aca="false">N322*Assumptions!$E$142</f>
        <v>3.86098933677441</v>
      </c>
      <c r="O323" s="56" t="n">
        <f aca="false">O322*Assumptions!$E$142</f>
        <v>4.94811984822725</v>
      </c>
      <c r="P323" s="56" t="n">
        <f aca="false">P322*Assumptions!$E$142</f>
        <v>7.80496393564556</v>
      </c>
      <c r="Q323" s="56" t="n">
        <f aca="false">Q322*Assumptions!$E$142</f>
        <v>9.69193513079402</v>
      </c>
      <c r="R323" s="56" t="n">
        <f aca="false">R322*Assumptions!$E$142</f>
        <v>10.593015519782</v>
      </c>
      <c r="S323" s="56" t="n">
        <f aca="false">S322*Assumptions!$E$142</f>
        <v>8.76455797237731</v>
      </c>
      <c r="T323" s="56" t="n">
        <f aca="false">T322*Assumptions!$E$142</f>
        <v>10.6758317750391</v>
      </c>
      <c r="U323" s="56" t="n">
        <f aca="false">U322*Assumptions!$E$142</f>
        <v>12.3841212235308</v>
      </c>
      <c r="V323" s="56" t="n">
        <f aca="false">V322*Assumptions!$E$142</f>
        <v>12.3952605070792</v>
      </c>
      <c r="W323" s="56" t="n">
        <f aca="false">W322*Assumptions!$E$142</f>
        <v>14.2394015341607</v>
      </c>
      <c r="X323" s="56" t="n">
        <f aca="false">X322*Assumptions!$E$142</f>
        <v>14.8014793755772</v>
      </c>
      <c r="Y323" s="56" t="n">
        <f aca="false">Y322*Assumptions!$E$142</f>
        <v>14.3878855732119</v>
      </c>
      <c r="Z323" s="56" t="n">
        <f aca="false">Z322*Assumptions!$E$142</f>
        <v>15.4618641817299</v>
      </c>
      <c r="AA323" s="56" t="n">
        <f aca="false">AA322*Assumptions!$E$142</f>
        <v>18.5591097966182</v>
      </c>
      <c r="AB323" s="56" t="n">
        <f aca="false">AB322*Assumptions!$E$142</f>
        <v>27.4451509710037</v>
      </c>
      <c r="AC323" s="56" t="n">
        <f aca="false">AC322*Assumptions!$E$142</f>
        <v>31.6104187521283</v>
      </c>
      <c r="AD323" s="56" t="n">
        <f aca="false">AD322*Assumptions!$E$142</f>
        <v>32.3629217248642</v>
      </c>
      <c r="AE323" s="56" t="n">
        <f aca="false">AE322*Assumptions!$E$142</f>
        <v>25.4109260764158</v>
      </c>
      <c r="AF323" s="56" t="n">
        <f aca="false">AF322*Assumptions!$E$142</f>
        <v>29.896580484964</v>
      </c>
      <c r="AG323" s="56" t="n">
        <f aca="false">AG322*Assumptions!$E$142</f>
        <v>33.4314816193945</v>
      </c>
      <c r="AH323" s="56" t="n">
        <f aca="false">AH322*Assumptions!$E$142</f>
        <v>32.26550004018</v>
      </c>
      <c r="AI323" s="56" t="n">
        <f aca="false">AI322*Assumptions!$E$142</f>
        <v>35.9172039915283</v>
      </c>
      <c r="AJ323" s="56" t="n">
        <f aca="false">AJ322*Assumptions!$E$142</f>
        <v>36.1596741983904</v>
      </c>
      <c r="AK323" s="56" t="n">
        <f aca="false">AK322*Assumptions!$E$142</f>
        <v>34.1287055399683</v>
      </c>
      <c r="AL323" s="56" t="n">
        <f aca="false">AL322*Assumptions!$E$142</f>
        <v>35.736150784985</v>
      </c>
      <c r="AM323" s="53" t="n">
        <f aca="false">SUMIF($C$6:$AL$6,1,C323:AL323)</f>
        <v>17.3834742150897</v>
      </c>
      <c r="AN323" s="53" t="n">
        <f aca="false">SUMIF($C$6:$AL$6,2,C323:AL323)</f>
        <v>136.148436577155</v>
      </c>
      <c r="AO323" s="53" t="n">
        <f aca="false">SUMIF($C$6:$AL$6,3,C323:AL323)</f>
        <v>372.923823980441</v>
      </c>
      <c r="AP323" s="53" t="n">
        <f aca="false">SUM(C323:AL323)</f>
        <v>526.455734772685</v>
      </c>
    </row>
    <row r="324" customFormat="false" ht="15" hidden="false" customHeight="false" outlineLevel="0" collapsed="false">
      <c r="A324" s="7" t="s">
        <v>753</v>
      </c>
      <c r="B324" s="9" t="s">
        <v>93</v>
      </c>
      <c r="C324" s="15" t="n">
        <f aca="false">'Unit Economics'!$E$55*Assumptions!$E$142*C318</f>
        <v>0</v>
      </c>
      <c r="D324" s="15" t="n">
        <f aca="false">'Unit Economics'!$E$55*Assumptions!$E$142*D318</f>
        <v>0</v>
      </c>
      <c r="E324" s="15" t="n">
        <f aca="false">'Unit Economics'!$E$55*Assumptions!$E$142*E318</f>
        <v>0</v>
      </c>
      <c r="F324" s="15" t="n">
        <f aca="false">'Unit Economics'!$E$55*Assumptions!$E$142*F318</f>
        <v>33.6</v>
      </c>
      <c r="G324" s="15" t="n">
        <f aca="false">'Unit Economics'!$E$55*Assumptions!$E$142*G318</f>
        <v>33.6</v>
      </c>
      <c r="H324" s="15" t="n">
        <f aca="false">'Unit Economics'!$E$55*Assumptions!$E$142*H318</f>
        <v>33.6</v>
      </c>
      <c r="I324" s="15" t="n">
        <f aca="false">'Unit Economics'!$E$55*Assumptions!$E$142*I318</f>
        <v>33.6</v>
      </c>
      <c r="J324" s="15" t="n">
        <f aca="false">'Unit Economics'!$E$55*Assumptions!$E$142*J318</f>
        <v>33.6</v>
      </c>
      <c r="K324" s="15" t="n">
        <f aca="false">'Unit Economics'!$E$55*Assumptions!$E$142*K318</f>
        <v>33.6</v>
      </c>
      <c r="L324" s="15" t="n">
        <f aca="false">'Unit Economics'!$E$55*Assumptions!$E$142*L318</f>
        <v>33.6</v>
      </c>
      <c r="M324" s="15" t="n">
        <f aca="false">'Unit Economics'!$E$55*Assumptions!$E$142*M318</f>
        <v>33.6</v>
      </c>
      <c r="N324" s="15" t="n">
        <f aca="false">'Unit Economics'!$E$55*Assumptions!$E$142*N318</f>
        <v>33.6</v>
      </c>
      <c r="O324" s="15" t="n">
        <f aca="false">'Unit Economics'!$E$55*Assumptions!$E$142*O318</f>
        <v>33.6</v>
      </c>
      <c r="P324" s="15" t="n">
        <f aca="false">'Unit Economics'!$E$55*Assumptions!$E$142*P318</f>
        <v>33.6</v>
      </c>
      <c r="Q324" s="15" t="n">
        <f aca="false">'Unit Economics'!$E$55*Assumptions!$E$142*Q318</f>
        <v>33.6</v>
      </c>
      <c r="R324" s="15" t="n">
        <f aca="false">'Unit Economics'!$E$55*Assumptions!$E$142*R318</f>
        <v>33.6</v>
      </c>
      <c r="S324" s="15" t="n">
        <f aca="false">'Unit Economics'!$E$55*Assumptions!$E$142*S318</f>
        <v>33.6</v>
      </c>
      <c r="T324" s="15" t="n">
        <f aca="false">'Unit Economics'!$E$55*Assumptions!$E$142*T318</f>
        <v>33.6</v>
      </c>
      <c r="U324" s="15" t="n">
        <f aca="false">'Unit Economics'!$E$55*Assumptions!$E$142*U318</f>
        <v>33.6</v>
      </c>
      <c r="V324" s="15" t="n">
        <f aca="false">'Unit Economics'!$E$55*Assumptions!$E$142*V318</f>
        <v>33.6</v>
      </c>
      <c r="W324" s="15" t="n">
        <f aca="false">'Unit Economics'!$E$55*Assumptions!$E$142*W318</f>
        <v>33.6</v>
      </c>
      <c r="X324" s="15" t="n">
        <f aca="false">'Unit Economics'!$E$55*Assumptions!$E$142*X318</f>
        <v>33.6</v>
      </c>
      <c r="Y324" s="15" t="n">
        <f aca="false">'Unit Economics'!$E$55*Assumptions!$E$142*Y318</f>
        <v>33.6</v>
      </c>
      <c r="Z324" s="15" t="n">
        <f aca="false">'Unit Economics'!$E$55*Assumptions!$E$142*Z318</f>
        <v>33.6</v>
      </c>
      <c r="AA324" s="15" t="n">
        <f aca="false">'Unit Economics'!$E$55*Assumptions!$E$142*AA318</f>
        <v>33.6</v>
      </c>
      <c r="AB324" s="15" t="n">
        <f aca="false">'Unit Economics'!$E$55*Assumptions!$E$142*AB318</f>
        <v>33.6</v>
      </c>
      <c r="AC324" s="15" t="n">
        <f aca="false">'Unit Economics'!$E$55*Assumptions!$E$142*AC318</f>
        <v>33.6</v>
      </c>
      <c r="AD324" s="15" t="n">
        <f aca="false">'Unit Economics'!$E$55*Assumptions!$E$142*AD318</f>
        <v>33.6</v>
      </c>
      <c r="AE324" s="15" t="n">
        <f aca="false">'Unit Economics'!$E$55*Assumptions!$E$142*AE318</f>
        <v>33.6</v>
      </c>
      <c r="AF324" s="15" t="n">
        <f aca="false">'Unit Economics'!$E$55*Assumptions!$E$142*AF318</f>
        <v>33.6</v>
      </c>
      <c r="AG324" s="15" t="n">
        <f aca="false">'Unit Economics'!$E$55*Assumptions!$E$142*AG318</f>
        <v>33.6</v>
      </c>
      <c r="AH324" s="15" t="n">
        <f aca="false">'Unit Economics'!$E$55*Assumptions!$E$142*AH318</f>
        <v>33.6</v>
      </c>
      <c r="AI324" s="15" t="n">
        <f aca="false">'Unit Economics'!$E$55*Assumptions!$E$142*AI318</f>
        <v>33.6</v>
      </c>
      <c r="AJ324" s="15" t="n">
        <f aca="false">'Unit Economics'!$E$55*Assumptions!$E$142*AJ318</f>
        <v>33.6</v>
      </c>
      <c r="AK324" s="15" t="n">
        <f aca="false">'Unit Economics'!$E$55*Assumptions!$E$142*AK318</f>
        <v>33.6</v>
      </c>
      <c r="AL324" s="15" t="n">
        <f aca="false">'Unit Economics'!$E$55*Assumptions!$E$142*AL318</f>
        <v>33.6</v>
      </c>
    </row>
    <row r="325" customFormat="false" ht="15" hidden="false" customHeight="false" outlineLevel="0" collapsed="false">
      <c r="A325" s="7" t="s">
        <v>754</v>
      </c>
      <c r="B325" s="9" t="s">
        <v>93</v>
      </c>
      <c r="C325" s="8" t="n">
        <f aca="false">C323*'Unit Economics'!$E$55</f>
        <v>-0</v>
      </c>
      <c r="D325" s="8" t="n">
        <f aca="false">D323*'Unit Economics'!$E$55</f>
        <v>-0</v>
      </c>
      <c r="E325" s="8" t="n">
        <f aca="false">E323*'Unit Economics'!$E$55</f>
        <v>0</v>
      </c>
      <c r="F325" s="8" t="n">
        <f aca="false">F323*'Unit Economics'!$E$55</f>
        <v>5.1967419</v>
      </c>
      <c r="G325" s="8" t="n">
        <f aca="false">G323*'Unit Economics'!$E$55</f>
        <v>11.041811844</v>
      </c>
      <c r="H325" s="8" t="n">
        <f aca="false">H323*'Unit Economics'!$E$55</f>
        <v>23.4459587106461</v>
      </c>
      <c r="I325" s="8" t="n">
        <f aca="false">I323*'Unit Economics'!$E$55</f>
        <v>42.182952038787</v>
      </c>
      <c r="J325" s="8" t="n">
        <f aca="false">J323*'Unit Economics'!$E$55</f>
        <v>60.5310297155603</v>
      </c>
      <c r="K325" s="8" t="n">
        <f aca="false">K323*'Unit Economics'!$E$55</f>
        <v>92.8203860903387</v>
      </c>
      <c r="L325" s="8" t="n">
        <f aca="false">L323*'Unit Economics'!$E$55</f>
        <v>106.511394930665</v>
      </c>
      <c r="M325" s="8" t="n">
        <f aca="false">M323*'Unit Economics'!$E$55</f>
        <v>112.625216681397</v>
      </c>
      <c r="N325" s="8" t="n">
        <f aca="false">N323*'Unit Economics'!$E$55</f>
        <v>129.72924171562</v>
      </c>
      <c r="O325" s="8" t="n">
        <f aca="false">O323*'Unit Economics'!$E$55</f>
        <v>166.256826900436</v>
      </c>
      <c r="P325" s="8" t="n">
        <f aca="false">P323*'Unit Economics'!$E$55</f>
        <v>262.246788237691</v>
      </c>
      <c r="Q325" s="8" t="n">
        <f aca="false">Q323*'Unit Economics'!$E$55</f>
        <v>325.649020394679</v>
      </c>
      <c r="R325" s="8" t="n">
        <f aca="false">R323*'Unit Economics'!$E$55</f>
        <v>355.925321464674</v>
      </c>
      <c r="S325" s="8" t="n">
        <f aca="false">S323*'Unit Economics'!$E$55</f>
        <v>294.489147871878</v>
      </c>
      <c r="T325" s="8" t="n">
        <f aca="false">T323*'Unit Economics'!$E$55</f>
        <v>358.707947641313</v>
      </c>
      <c r="U325" s="8" t="n">
        <f aca="false">U323*'Unit Economics'!$E$55</f>
        <v>416.106473110633</v>
      </c>
      <c r="V325" s="8" t="n">
        <f aca="false">V323*'Unit Economics'!$E$55</f>
        <v>416.480753037861</v>
      </c>
      <c r="W325" s="8" t="n">
        <f aca="false">W323*'Unit Economics'!$E$55</f>
        <v>478.4438915478</v>
      </c>
      <c r="X325" s="8" t="n">
        <f aca="false">X323*'Unit Economics'!$E$55</f>
        <v>497.329707019393</v>
      </c>
      <c r="Y325" s="8" t="n">
        <f aca="false">Y323*'Unit Economics'!$E$55</f>
        <v>483.432955259919</v>
      </c>
      <c r="Z325" s="8" t="n">
        <f aca="false">Z323*'Unit Economics'!$E$55</f>
        <v>519.518636506123</v>
      </c>
      <c r="AA325" s="8" t="n">
        <f aca="false">AA323*'Unit Economics'!$E$55</f>
        <v>623.586089166372</v>
      </c>
      <c r="AB325" s="8" t="n">
        <f aca="false">AB323*'Unit Economics'!$E$55</f>
        <v>922.157072625726</v>
      </c>
      <c r="AC325" s="8" t="n">
        <f aca="false">AC323*'Unit Economics'!$E$55</f>
        <v>1062.11007007151</v>
      </c>
      <c r="AD325" s="8" t="n">
        <f aca="false">AD323*'Unit Economics'!$E$55</f>
        <v>1087.39416995544</v>
      </c>
      <c r="AE325" s="8" t="n">
        <f aca="false">AE323*'Unit Economics'!$E$55</f>
        <v>853.807116167569</v>
      </c>
      <c r="AF325" s="8" t="n">
        <f aca="false">AF323*'Unit Economics'!$E$55</f>
        <v>1004.52510429479</v>
      </c>
      <c r="AG325" s="8" t="n">
        <f aca="false">AG323*'Unit Economics'!$E$55</f>
        <v>1123.29778241166</v>
      </c>
      <c r="AH325" s="8" t="n">
        <f aca="false">AH323*'Unit Economics'!$E$55</f>
        <v>1084.12080135005</v>
      </c>
      <c r="AI325" s="8" t="n">
        <f aca="false">AI323*'Unit Economics'!$E$55</f>
        <v>1206.81805411535</v>
      </c>
      <c r="AJ325" s="8" t="n">
        <f aca="false">AJ323*'Unit Economics'!$E$55</f>
        <v>1214.96505306592</v>
      </c>
      <c r="AK325" s="8" t="n">
        <f aca="false">AK323*'Unit Economics'!$E$55</f>
        <v>1146.72450614294</v>
      </c>
      <c r="AL325" s="8" t="n">
        <f aca="false">AL323*'Unit Economics'!$E$55</f>
        <v>1200.7346663755</v>
      </c>
      <c r="AM325" s="45" t="n">
        <f aca="false">SUMIF($C$6:$AL$6,1,C325:AL325)</f>
        <v>584.084733627014</v>
      </c>
      <c r="AN325" s="45" t="n">
        <f aca="false">SUMIF($C$6:$AL$6,2,C325:AL325)</f>
        <v>4574.5874689924</v>
      </c>
      <c r="AO325" s="45" t="n">
        <f aca="false">SUMIF($C$6:$AL$6,3,C325:AL325)</f>
        <v>12530.2404857428</v>
      </c>
      <c r="AP325" s="45" t="n">
        <f aca="false">SUM(C325:AL325)</f>
        <v>17688.9126883622</v>
      </c>
    </row>
    <row r="326" customFormat="false" ht="15" hidden="false" customHeight="false" outlineLevel="0" collapsed="false">
      <c r="A326" s="7" t="s">
        <v>755</v>
      </c>
      <c r="B326" s="9" t="s">
        <v>93</v>
      </c>
      <c r="C326" s="8" t="n">
        <f aca="false">C323*'Unit Economics'!$F$55</f>
        <v>-0</v>
      </c>
      <c r="D326" s="8" t="n">
        <f aca="false">D323*'Unit Economics'!$F$55</f>
        <v>-0</v>
      </c>
      <c r="E326" s="8" t="n">
        <f aca="false">E323*'Unit Economics'!$F$55</f>
        <v>0</v>
      </c>
      <c r="F326" s="8" t="n">
        <f aca="false">F323*'Unit Economics'!$F$55</f>
        <v>4.73979980865</v>
      </c>
      <c r="G326" s="8" t="n">
        <f aca="false">G323*'Unit Economics'!$F$55</f>
        <v>10.070921102574</v>
      </c>
      <c r="H326" s="8" t="n">
        <f aca="false">H323*'Unit Economics'!$F$55</f>
        <v>21.3843890554457</v>
      </c>
      <c r="I326" s="8" t="n">
        <f aca="false">I323*'Unit Economics'!$F$55</f>
        <v>38.4738653273765</v>
      </c>
      <c r="J326" s="8" t="n">
        <f aca="false">J323*'Unit Economics'!$F$55</f>
        <v>55.2086227455706</v>
      </c>
      <c r="K326" s="8" t="n">
        <f aca="false">K323*'Unit Economics'!$F$55</f>
        <v>84.6588221419668</v>
      </c>
      <c r="L326" s="8" t="n">
        <f aca="false">L323*'Unit Economics'!$F$55</f>
        <v>97.1460001335474</v>
      </c>
      <c r="M326" s="8" t="n">
        <f aca="false">M323*'Unit Economics'!$F$55</f>
        <v>102.722242271768</v>
      </c>
      <c r="N326" s="8" t="n">
        <f aca="false">N323*'Unit Economics'!$F$55</f>
        <v>118.322334819054</v>
      </c>
      <c r="O326" s="8" t="n">
        <f aca="false">O323*'Unit Economics'!$F$55</f>
        <v>151.638101620833</v>
      </c>
      <c r="P326" s="8" t="n">
        <f aca="false">P323*'Unit Economics'!$F$55</f>
        <v>239.187802786219</v>
      </c>
      <c r="Q326" s="8" t="n">
        <f aca="false">Q323*'Unit Economics'!$F$55</f>
        <v>297.015167244261</v>
      </c>
      <c r="R326" s="8" t="n">
        <f aca="false">R323*'Unit Economics'!$F$55</f>
        <v>324.62931641303</v>
      </c>
      <c r="S326" s="8" t="n">
        <f aca="false">S323*'Unit Economics'!$F$55</f>
        <v>268.595137798286</v>
      </c>
      <c r="T326" s="8" t="n">
        <f aca="false">T323*'Unit Economics'!$F$55</f>
        <v>327.167270245137</v>
      </c>
      <c r="U326" s="8" t="n">
        <f aca="false">U323*'Unit Economics'!$F$55</f>
        <v>379.518825367834</v>
      </c>
      <c r="V326" s="8" t="n">
        <f aca="false">V323*'Unit Economics'!$F$55</f>
        <v>379.860195395746</v>
      </c>
      <c r="W326" s="8" t="n">
        <f aca="false">W323*'Unit Economics'!$F$55</f>
        <v>436.375003655276</v>
      </c>
      <c r="X326" s="8" t="n">
        <f aca="false">X323*'Unit Economics'!$F$55</f>
        <v>453.600216352188</v>
      </c>
      <c r="Y326" s="8" t="n">
        <f aca="false">Y323*'Unit Economics'!$F$55</f>
        <v>440.925386122422</v>
      </c>
      <c r="Z326" s="8" t="n">
        <f aca="false">Z323*'Unit Economics'!$F$55</f>
        <v>473.83810496762</v>
      </c>
      <c r="AA326" s="8" t="n">
        <f aca="false">AA323*'Unit Economics'!$F$55</f>
        <v>568.755055183243</v>
      </c>
      <c r="AB326" s="8" t="n">
        <f aca="false">AB323*'Unit Economics'!$F$55</f>
        <v>841.073118596992</v>
      </c>
      <c r="AC326" s="8" t="n">
        <f aca="false">AC323*'Unit Economics'!$F$55</f>
        <v>968.720248910223</v>
      </c>
      <c r="AD326" s="8" t="n">
        <f aca="false">AD323*'Unit Economics'!$F$55</f>
        <v>991.781154011499</v>
      </c>
      <c r="AE326" s="8" t="n">
        <f aca="false">AE323*'Unit Economics'!$F$55</f>
        <v>778.733076167407</v>
      </c>
      <c r="AF326" s="8" t="n">
        <f aca="false">AF323*'Unit Economics'!$F$55</f>
        <v>916.198646910013</v>
      </c>
      <c r="AG326" s="8" t="n">
        <f aca="false">AG323*'Unit Economics'!$F$55</f>
        <v>1024.52781311532</v>
      </c>
      <c r="AH326" s="8" t="n">
        <f aca="false">AH323*'Unit Economics'!$F$55</f>
        <v>988.795608031339</v>
      </c>
      <c r="AI326" s="8" t="n">
        <f aca="false">AI323*'Unit Economics'!$F$55</f>
        <v>1100.70426664278</v>
      </c>
      <c r="AJ326" s="8" t="n">
        <f aca="false">AJ323*'Unit Economics'!$F$55</f>
        <v>1108.13491161419</v>
      </c>
      <c r="AK326" s="8" t="n">
        <f aca="false">AK323*'Unit Economics'!$F$55</f>
        <v>1045.89465849565</v>
      </c>
      <c r="AL326" s="8" t="n">
        <f aca="false">AL323*'Unit Economics'!$F$55</f>
        <v>1095.15578249634</v>
      </c>
      <c r="AM326" s="45" t="n">
        <f aca="false">SUMIF($C$6:$AL$6,1,C326:AL326)</f>
        <v>532.726997405953</v>
      </c>
      <c r="AN326" s="45" t="n">
        <f aca="false">SUMIF($C$6:$AL$6,2,C326:AL326)</f>
        <v>4172.35052796885</v>
      </c>
      <c r="AO326" s="45" t="n">
        <f aca="false">SUMIF($C$6:$AL$6,3,C326:AL326)</f>
        <v>11428.474340175</v>
      </c>
      <c r="AP326" s="45" t="n">
        <f aca="false">SUM(C326:AL326)</f>
        <v>16133.5518655498</v>
      </c>
    </row>
    <row r="327" customFormat="false" ht="15" hidden="false" customHeight="false" outlineLevel="0" collapsed="false">
      <c r="A327" s="5" t="s">
        <v>566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</row>
    <row r="328" customFormat="false" ht="15" hidden="false" customHeight="false" outlineLevel="0" collapsed="false">
      <c r="A328" s="7" t="s">
        <v>746</v>
      </c>
      <c r="B328" s="9" t="s">
        <v>308</v>
      </c>
      <c r="C328" s="37" t="n">
        <f aca="false">IF(AND(Assumptions!$E$145=1,C$4&gt;=Assumptions!$E$146),1,0)</f>
        <v>0</v>
      </c>
      <c r="D328" s="37" t="n">
        <f aca="false">IF(AND(Assumptions!$E$145=1,D$4&gt;=Assumptions!$E$146),1,0)</f>
        <v>0</v>
      </c>
      <c r="E328" s="37" t="n">
        <f aca="false">IF(AND(Assumptions!$E$145=1,E$4&gt;=Assumptions!$E$146),1,0)</f>
        <v>0</v>
      </c>
      <c r="F328" s="37" t="n">
        <f aca="false">IF(AND(Assumptions!$E$145=1,F$4&gt;=Assumptions!$E$146),1,0)</f>
        <v>0</v>
      </c>
      <c r="G328" s="37" t="n">
        <f aca="false">IF(AND(Assumptions!$E$145=1,G$4&gt;=Assumptions!$E$146),1,0)</f>
        <v>1</v>
      </c>
      <c r="H328" s="37" t="n">
        <f aca="false">IF(AND(Assumptions!$E$145=1,H$4&gt;=Assumptions!$E$146),1,0)</f>
        <v>1</v>
      </c>
      <c r="I328" s="37" t="n">
        <f aca="false">IF(AND(Assumptions!$E$145=1,I$4&gt;=Assumptions!$E$146),1,0)</f>
        <v>1</v>
      </c>
      <c r="J328" s="37" t="n">
        <f aca="false">IF(AND(Assumptions!$E$145=1,J$4&gt;=Assumptions!$E$146),1,0)</f>
        <v>1</v>
      </c>
      <c r="K328" s="37" t="n">
        <f aca="false">IF(AND(Assumptions!$E$145=1,K$4&gt;=Assumptions!$E$146),1,0)</f>
        <v>1</v>
      </c>
      <c r="L328" s="37" t="n">
        <f aca="false">IF(AND(Assumptions!$E$145=1,L$4&gt;=Assumptions!$E$146),1,0)</f>
        <v>1</v>
      </c>
      <c r="M328" s="37" t="n">
        <f aca="false">IF(AND(Assumptions!$E$145=1,M$4&gt;=Assumptions!$E$146),1,0)</f>
        <v>1</v>
      </c>
      <c r="N328" s="37" t="n">
        <f aca="false">IF(AND(Assumptions!$E$145=1,N$4&gt;=Assumptions!$E$146),1,0)</f>
        <v>1</v>
      </c>
      <c r="O328" s="37" t="n">
        <f aca="false">IF(AND(Assumptions!$E$145=1,O$4&gt;=Assumptions!$E$146),1,0)</f>
        <v>1</v>
      </c>
      <c r="P328" s="37" t="n">
        <f aca="false">IF(AND(Assumptions!$E$145=1,P$4&gt;=Assumptions!$E$146),1,0)</f>
        <v>1</v>
      </c>
      <c r="Q328" s="37" t="n">
        <f aca="false">IF(AND(Assumptions!$E$145=1,Q$4&gt;=Assumptions!$E$146),1,0)</f>
        <v>1</v>
      </c>
      <c r="R328" s="37" t="n">
        <f aca="false">IF(AND(Assumptions!$E$145=1,R$4&gt;=Assumptions!$E$146),1,0)</f>
        <v>1</v>
      </c>
      <c r="S328" s="37" t="n">
        <f aca="false">IF(AND(Assumptions!$E$145=1,S$4&gt;=Assumptions!$E$146),1,0)</f>
        <v>1</v>
      </c>
      <c r="T328" s="37" t="n">
        <f aca="false">IF(AND(Assumptions!$E$145=1,T$4&gt;=Assumptions!$E$146),1,0)</f>
        <v>1</v>
      </c>
      <c r="U328" s="37" t="n">
        <f aca="false">IF(AND(Assumptions!$E$145=1,U$4&gt;=Assumptions!$E$146),1,0)</f>
        <v>1</v>
      </c>
      <c r="V328" s="37" t="n">
        <f aca="false">IF(AND(Assumptions!$E$145=1,V$4&gt;=Assumptions!$E$146),1,0)</f>
        <v>1</v>
      </c>
      <c r="W328" s="37" t="n">
        <f aca="false">IF(AND(Assumptions!$E$145=1,W$4&gt;=Assumptions!$E$146),1,0)</f>
        <v>1</v>
      </c>
      <c r="X328" s="37" t="n">
        <f aca="false">IF(AND(Assumptions!$E$145=1,X$4&gt;=Assumptions!$E$146),1,0)</f>
        <v>1</v>
      </c>
      <c r="Y328" s="37" t="n">
        <f aca="false">IF(AND(Assumptions!$E$145=1,Y$4&gt;=Assumptions!$E$146),1,0)</f>
        <v>1</v>
      </c>
      <c r="Z328" s="37" t="n">
        <f aca="false">IF(AND(Assumptions!$E$145=1,Z$4&gt;=Assumptions!$E$146),1,0)</f>
        <v>1</v>
      </c>
      <c r="AA328" s="37" t="n">
        <f aca="false">IF(AND(Assumptions!$E$145=1,AA$4&gt;=Assumptions!$E$146),1,0)</f>
        <v>1</v>
      </c>
      <c r="AB328" s="37" t="n">
        <f aca="false">IF(AND(Assumptions!$E$145=1,AB$4&gt;=Assumptions!$E$146),1,0)</f>
        <v>1</v>
      </c>
      <c r="AC328" s="37" t="n">
        <f aca="false">IF(AND(Assumptions!$E$145=1,AC$4&gt;=Assumptions!$E$146),1,0)</f>
        <v>1</v>
      </c>
      <c r="AD328" s="37" t="n">
        <f aca="false">IF(AND(Assumptions!$E$145=1,AD$4&gt;=Assumptions!$E$146),1,0)</f>
        <v>1</v>
      </c>
      <c r="AE328" s="37" t="n">
        <f aca="false">IF(AND(Assumptions!$E$145=1,AE$4&gt;=Assumptions!$E$146),1,0)</f>
        <v>1</v>
      </c>
      <c r="AF328" s="37" t="n">
        <f aca="false">IF(AND(Assumptions!$E$145=1,AF$4&gt;=Assumptions!$E$146),1,0)</f>
        <v>1</v>
      </c>
      <c r="AG328" s="37" t="n">
        <f aca="false">IF(AND(Assumptions!$E$145=1,AG$4&gt;=Assumptions!$E$146),1,0)</f>
        <v>1</v>
      </c>
      <c r="AH328" s="37" t="n">
        <f aca="false">IF(AND(Assumptions!$E$145=1,AH$4&gt;=Assumptions!$E$146),1,0)</f>
        <v>1</v>
      </c>
      <c r="AI328" s="37" t="n">
        <f aca="false">IF(AND(Assumptions!$E$145=1,AI$4&gt;=Assumptions!$E$146),1,0)</f>
        <v>1</v>
      </c>
      <c r="AJ328" s="37" t="n">
        <f aca="false">IF(AND(Assumptions!$E$145=1,AJ$4&gt;=Assumptions!$E$146),1,0)</f>
        <v>1</v>
      </c>
      <c r="AK328" s="37" t="n">
        <f aca="false">IF(AND(Assumptions!$E$145=1,AK$4&gt;=Assumptions!$E$146),1,0)</f>
        <v>1</v>
      </c>
      <c r="AL328" s="37" t="n">
        <f aca="false">IF(AND(Assumptions!$E$145=1,AL$4&gt;=Assumptions!$E$146),1,0)</f>
        <v>1</v>
      </c>
    </row>
    <row r="329" customFormat="false" ht="15" hidden="false" customHeight="false" outlineLevel="0" collapsed="false">
      <c r="A329" s="7" t="s">
        <v>747</v>
      </c>
      <c r="B329" s="9" t="s">
        <v>316</v>
      </c>
      <c r="C329" s="14" t="n">
        <f aca="false">IF(C328=0,0,Assumptions!$E$147)</f>
        <v>0</v>
      </c>
      <c r="D329" s="14" t="n">
        <f aca="false">IF(D328=0,0,IF(D$4=Assumptions!$E$146,Assumptions!$E$147,C329*(1+CHOOSE(D$6,Assumptions!$E$148,Assumptions!$E$149,Assumptions!$E$150))))</f>
        <v>0</v>
      </c>
      <c r="E329" s="14" t="n">
        <f aca="false">IF(E328=0,0,IF(E$4=Assumptions!$E$146,Assumptions!$E$147,D329*(1+CHOOSE(E$6,Assumptions!$E$148,Assumptions!$E$149,Assumptions!$E$150))))</f>
        <v>0</v>
      </c>
      <c r="F329" s="14" t="n">
        <f aca="false">IF(F328=0,0,IF(F$4=Assumptions!$E$146,Assumptions!$E$147,E329*(1+CHOOSE(F$6,Assumptions!$E$148,Assumptions!$E$149,Assumptions!$E$150))))</f>
        <v>0</v>
      </c>
      <c r="G329" s="14" t="n">
        <f aca="false">IF(G328=0,0,IF(G$4=Assumptions!$E$146,Assumptions!$E$147,F329*(1+CHOOSE(G$6,Assumptions!$E$148,Assumptions!$E$149,Assumptions!$E$150))))</f>
        <v>500</v>
      </c>
      <c r="H329" s="14" t="n">
        <f aca="false">IF(H328=0,0,IF(H$4=Assumptions!$E$146,Assumptions!$E$147,G329*(1+CHOOSE(H$6,Assumptions!$E$148,Assumptions!$E$149,Assumptions!$E$150))))</f>
        <v>530</v>
      </c>
      <c r="I329" s="14" t="n">
        <f aca="false">IF(I328=0,0,IF(I$4=Assumptions!$E$146,Assumptions!$E$147,H329*(1+CHOOSE(I$6,Assumptions!$E$148,Assumptions!$E$149,Assumptions!$E$150))))</f>
        <v>561.8</v>
      </c>
      <c r="J329" s="14" t="n">
        <f aca="false">IF(J328=0,0,IF(J$4=Assumptions!$E$146,Assumptions!$E$147,I329*(1+CHOOSE(J$6,Assumptions!$E$148,Assumptions!$E$149,Assumptions!$E$150))))</f>
        <v>595.508</v>
      </c>
      <c r="K329" s="14" t="n">
        <f aca="false">IF(K328=0,0,IF(K$4=Assumptions!$E$146,Assumptions!$E$147,J329*(1+CHOOSE(K$6,Assumptions!$E$148,Assumptions!$E$149,Assumptions!$E$150))))</f>
        <v>631.23848</v>
      </c>
      <c r="L329" s="14" t="n">
        <f aca="false">IF(L328=0,0,IF(L$4=Assumptions!$E$146,Assumptions!$E$147,K329*(1+CHOOSE(L$6,Assumptions!$E$148,Assumptions!$E$149,Assumptions!$E$150))))</f>
        <v>669.1127888</v>
      </c>
      <c r="M329" s="14" t="n">
        <f aca="false">IF(M328=0,0,IF(M$4=Assumptions!$E$146,Assumptions!$E$147,L329*(1+CHOOSE(M$6,Assumptions!$E$148,Assumptions!$E$149,Assumptions!$E$150))))</f>
        <v>709.259556128</v>
      </c>
      <c r="N329" s="14" t="n">
        <f aca="false">IF(N328=0,0,IF(N$4=Assumptions!$E$146,Assumptions!$E$147,M329*(1+CHOOSE(N$6,Assumptions!$E$148,Assumptions!$E$149,Assumptions!$E$150))))</f>
        <v>751.81512949568</v>
      </c>
      <c r="O329" s="14" t="n">
        <f aca="false">IF(O328=0,0,IF(O$4=Assumptions!$E$146,Assumptions!$E$147,N329*(1+CHOOSE(O$6,Assumptions!$E$148,Assumptions!$E$149,Assumptions!$E$150))))</f>
        <v>789.405885970464</v>
      </c>
      <c r="P329" s="14" t="n">
        <f aca="false">IF(P328=0,0,IF(P$4=Assumptions!$E$146,Assumptions!$E$147,O329*(1+CHOOSE(P$6,Assumptions!$E$148,Assumptions!$E$149,Assumptions!$E$150))))</f>
        <v>828.876180268988</v>
      </c>
      <c r="Q329" s="14" t="n">
        <f aca="false">IF(Q328=0,0,IF(Q$4=Assumptions!$E$146,Assumptions!$E$147,P329*(1+CHOOSE(Q$6,Assumptions!$E$148,Assumptions!$E$149,Assumptions!$E$150))))</f>
        <v>870.319989282437</v>
      </c>
      <c r="R329" s="14" t="n">
        <f aca="false">IF(R328=0,0,IF(R$4=Assumptions!$E$146,Assumptions!$E$147,Q329*(1+CHOOSE(R$6,Assumptions!$E$148,Assumptions!$E$149,Assumptions!$E$150))))</f>
        <v>913.835988746559</v>
      </c>
      <c r="S329" s="14" t="n">
        <f aca="false">IF(S328=0,0,IF(S$4=Assumptions!$E$146,Assumptions!$E$147,R329*(1+CHOOSE(S$6,Assumptions!$E$148,Assumptions!$E$149,Assumptions!$E$150))))</f>
        <v>959.527788183887</v>
      </c>
      <c r="T329" s="14" t="n">
        <f aca="false">IF(T328=0,0,IF(T$4=Assumptions!$E$146,Assumptions!$E$147,S329*(1+CHOOSE(T$6,Assumptions!$E$148,Assumptions!$E$149,Assumptions!$E$150))))</f>
        <v>1007.50417759308</v>
      </c>
      <c r="U329" s="14" t="n">
        <f aca="false">IF(U328=0,0,IF(U$4=Assumptions!$E$146,Assumptions!$E$147,T329*(1+CHOOSE(U$6,Assumptions!$E$148,Assumptions!$E$149,Assumptions!$E$150))))</f>
        <v>1057.87938647274</v>
      </c>
      <c r="V329" s="14" t="n">
        <f aca="false">IF(V328=0,0,IF(V$4=Assumptions!$E$146,Assumptions!$E$147,U329*(1+CHOOSE(V$6,Assumptions!$E$148,Assumptions!$E$149,Assumptions!$E$150))))</f>
        <v>1110.77335579637</v>
      </c>
      <c r="W329" s="14" t="n">
        <f aca="false">IF(W328=0,0,IF(W$4=Assumptions!$E$146,Assumptions!$E$147,V329*(1+CHOOSE(W$6,Assumptions!$E$148,Assumptions!$E$149,Assumptions!$E$150))))</f>
        <v>1166.31202358619</v>
      </c>
      <c r="X329" s="14" t="n">
        <f aca="false">IF(X328=0,0,IF(X$4=Assumptions!$E$146,Assumptions!$E$147,W329*(1+CHOOSE(X$6,Assumptions!$E$148,Assumptions!$E$149,Assumptions!$E$150))))</f>
        <v>1224.6276247655</v>
      </c>
      <c r="Y329" s="14" t="n">
        <f aca="false">IF(Y328=0,0,IF(Y$4=Assumptions!$E$146,Assumptions!$E$147,X329*(1+CHOOSE(Y$6,Assumptions!$E$148,Assumptions!$E$149,Assumptions!$E$150))))</f>
        <v>1285.85900600378</v>
      </c>
      <c r="Z329" s="14" t="n">
        <f aca="false">IF(Z328=0,0,IF(Z$4=Assumptions!$E$146,Assumptions!$E$147,Y329*(1+CHOOSE(Z$6,Assumptions!$E$148,Assumptions!$E$149,Assumptions!$E$150))))</f>
        <v>1350.15195630396</v>
      </c>
      <c r="AA329" s="14" t="n">
        <f aca="false">IF(AA328=0,0,IF(AA$4=Assumptions!$E$146,Assumptions!$E$147,Z329*(1+CHOOSE(AA$6,Assumptions!$E$148,Assumptions!$E$149,Assumptions!$E$150))))</f>
        <v>1390.65651499308</v>
      </c>
      <c r="AB329" s="14" t="n">
        <f aca="false">IF(AB328=0,0,IF(AB$4=Assumptions!$E$146,Assumptions!$E$147,AA329*(1+CHOOSE(AB$6,Assumptions!$E$148,Assumptions!$E$149,Assumptions!$E$150))))</f>
        <v>1432.37621044288</v>
      </c>
      <c r="AC329" s="14" t="n">
        <f aca="false">IF(AC328=0,0,IF(AC$4=Assumptions!$E$146,Assumptions!$E$147,AB329*(1+CHOOSE(AC$6,Assumptions!$E$148,Assumptions!$E$149,Assumptions!$E$150))))</f>
        <v>1475.34749675616</v>
      </c>
      <c r="AD329" s="14" t="n">
        <f aca="false">IF(AD328=0,0,IF(AD$4=Assumptions!$E$146,Assumptions!$E$147,AC329*(1+CHOOSE(AD$6,Assumptions!$E$148,Assumptions!$E$149,Assumptions!$E$150))))</f>
        <v>1519.60792165885</v>
      </c>
      <c r="AE329" s="14" t="n">
        <f aca="false">IF(AE328=0,0,IF(AE$4=Assumptions!$E$146,Assumptions!$E$147,AD329*(1+CHOOSE(AE$6,Assumptions!$E$148,Assumptions!$E$149,Assumptions!$E$150))))</f>
        <v>1565.19615930861</v>
      </c>
      <c r="AF329" s="14" t="n">
        <f aca="false">IF(AF328=0,0,IF(AF$4=Assumptions!$E$146,Assumptions!$E$147,AE329*(1+CHOOSE(AF$6,Assumptions!$E$148,Assumptions!$E$149,Assumptions!$E$150))))</f>
        <v>1612.15204408787</v>
      </c>
      <c r="AG329" s="14" t="n">
        <f aca="false">IF(AG328=0,0,IF(AG$4=Assumptions!$E$146,Assumptions!$E$147,AF329*(1+CHOOSE(AG$6,Assumptions!$E$148,Assumptions!$E$149,Assumptions!$E$150))))</f>
        <v>1660.51660541051</v>
      </c>
      <c r="AH329" s="14" t="n">
        <f aca="false">IF(AH328=0,0,IF(AH$4=Assumptions!$E$146,Assumptions!$E$147,AG329*(1+CHOOSE(AH$6,Assumptions!$E$148,Assumptions!$E$149,Assumptions!$E$150))))</f>
        <v>1710.33210357282</v>
      </c>
      <c r="AI329" s="14" t="n">
        <f aca="false">IF(AI328=0,0,IF(AI$4=Assumptions!$E$146,Assumptions!$E$147,AH329*(1+CHOOSE(AI$6,Assumptions!$E$148,Assumptions!$E$149,Assumptions!$E$150))))</f>
        <v>1761.64206668001</v>
      </c>
      <c r="AJ329" s="14" t="n">
        <f aca="false">IF(AJ328=0,0,IF(AJ$4=Assumptions!$E$146,Assumptions!$E$147,AI329*(1+CHOOSE(AJ$6,Assumptions!$E$148,Assumptions!$E$149,Assumptions!$E$150))))</f>
        <v>1814.49132868041</v>
      </c>
      <c r="AK329" s="14" t="n">
        <f aca="false">IF(AK328=0,0,IF(AK$4=Assumptions!$E$146,Assumptions!$E$147,AJ329*(1+CHOOSE(AK$6,Assumptions!$E$148,Assumptions!$E$149,Assumptions!$E$150))))</f>
        <v>1868.92606854082</v>
      </c>
      <c r="AL329" s="14" t="n">
        <f aca="false">IF(AL328=0,0,IF(AL$4=Assumptions!$E$146,Assumptions!$E$147,AK329*(1+CHOOSE(AL$6,Assumptions!$E$148,Assumptions!$E$149,Assumptions!$E$150))))</f>
        <v>1924.99385059704</v>
      </c>
    </row>
    <row r="330" customFormat="false" ht="15" hidden="false" customHeight="false" outlineLevel="0" collapsed="false">
      <c r="A330" s="7" t="s">
        <v>764</v>
      </c>
      <c r="B330" s="9" t="s">
        <v>316</v>
      </c>
      <c r="C330" s="52" t="n">
        <f aca="false">C329*C$7</f>
        <v>0</v>
      </c>
      <c r="D330" s="52" t="n">
        <f aca="false">D329*D$7</f>
        <v>0</v>
      </c>
      <c r="E330" s="52" t="n">
        <f aca="false">E329*E$7</f>
        <v>0</v>
      </c>
      <c r="F330" s="52" t="n">
        <f aca="false">F329*F$7</f>
        <v>0</v>
      </c>
      <c r="G330" s="52" t="n">
        <f aca="false">G329*G$7</f>
        <v>450</v>
      </c>
      <c r="H330" s="52" t="n">
        <f aca="false">H329*H$7</f>
        <v>530</v>
      </c>
      <c r="I330" s="52" t="n">
        <f aca="false">I329*I$7</f>
        <v>589.89</v>
      </c>
      <c r="J330" s="52" t="n">
        <f aca="false">J329*J$7</f>
        <v>565.7326</v>
      </c>
      <c r="K330" s="52" t="n">
        <f aca="false">K329*K$7</f>
        <v>631.23848</v>
      </c>
      <c r="L330" s="52" t="n">
        <f aca="false">L329*L$7</f>
        <v>635.65714936</v>
      </c>
      <c r="M330" s="52" t="n">
        <f aca="false">M329*M$7</f>
        <v>602.8706227088</v>
      </c>
      <c r="N330" s="52" t="n">
        <f aca="false">N329*N$7</f>
        <v>639.042860071328</v>
      </c>
      <c r="O330" s="52" t="n">
        <f aca="false">O329*O$7</f>
        <v>749.935591671941</v>
      </c>
      <c r="P330" s="52" t="n">
        <f aca="false">P329*P$7</f>
        <v>1077.53903434968</v>
      </c>
      <c r="Q330" s="52" t="n">
        <f aca="false">Q329*Q$7</f>
        <v>1174.93198553129</v>
      </c>
      <c r="R330" s="52" t="n">
        <f aca="false">R329*R$7</f>
        <v>1142.2949859332</v>
      </c>
      <c r="S330" s="52" t="n">
        <f aca="false">S329*S$7</f>
        <v>863.575009365498</v>
      </c>
      <c r="T330" s="52" t="n">
        <f aca="false">T329*T$7</f>
        <v>1007.50417759308</v>
      </c>
      <c r="U330" s="52" t="n">
        <f aca="false">U329*U$7</f>
        <v>1110.77335579637</v>
      </c>
      <c r="V330" s="52" t="n">
        <f aca="false">V329*V$7</f>
        <v>1055.23468800655</v>
      </c>
      <c r="W330" s="52" t="n">
        <f aca="false">W329*W$7</f>
        <v>1166.31202358619</v>
      </c>
      <c r="X330" s="52" t="n">
        <f aca="false">X329*X$7</f>
        <v>1163.39624352723</v>
      </c>
      <c r="Y330" s="52" t="n">
        <f aca="false">Y329*Y$7</f>
        <v>1092.98015510321</v>
      </c>
      <c r="Z330" s="52" t="n">
        <f aca="false">Z329*Z$7</f>
        <v>1147.62916285837</v>
      </c>
      <c r="AA330" s="52" t="n">
        <f aca="false">AA329*AA$7</f>
        <v>1321.12368924343</v>
      </c>
      <c r="AB330" s="52" t="n">
        <f aca="false">AB329*AB$7</f>
        <v>1862.08907357574</v>
      </c>
      <c r="AC330" s="52" t="n">
        <f aca="false">AC329*AC$7</f>
        <v>1991.71912062082</v>
      </c>
      <c r="AD330" s="52" t="n">
        <f aca="false">AD329*AD$7</f>
        <v>1899.50990207356</v>
      </c>
      <c r="AE330" s="52" t="n">
        <f aca="false">AE329*AE$7</f>
        <v>1408.67654337775</v>
      </c>
      <c r="AF330" s="52" t="n">
        <f aca="false">AF329*AF$7</f>
        <v>1612.15204408787</v>
      </c>
      <c r="AG330" s="52" t="n">
        <f aca="false">AG329*AG$7</f>
        <v>1743.54243568103</v>
      </c>
      <c r="AH330" s="52" t="n">
        <f aca="false">AH329*AH$7</f>
        <v>1624.81549839418</v>
      </c>
      <c r="AI330" s="52" t="n">
        <f aca="false">AI329*AI$7</f>
        <v>1761.64206668001</v>
      </c>
      <c r="AJ330" s="52" t="n">
        <f aca="false">AJ329*AJ$7</f>
        <v>1723.76676224639</v>
      </c>
      <c r="AK330" s="52" t="n">
        <f aca="false">AK329*AK$7</f>
        <v>1588.5871582597</v>
      </c>
      <c r="AL330" s="52" t="n">
        <f aca="false">AL329*AL$7</f>
        <v>1636.24477300749</v>
      </c>
      <c r="AM330" s="53" t="n">
        <f aca="false">SUMIF($C$6:$AL$6,1,C330:AL330)</f>
        <v>4644.43171214013</v>
      </c>
      <c r="AN330" s="53" t="n">
        <f aca="false">SUMIF($C$6:$AL$6,2,C330:AL330)</f>
        <v>12752.1064133226</v>
      </c>
      <c r="AO330" s="53" t="n">
        <f aca="false">SUMIF($C$6:$AL$6,3,C330:AL330)</f>
        <v>20173.869067248</v>
      </c>
      <c r="AP330" s="53" t="n">
        <f aca="false">SUM(C330:AL330)</f>
        <v>37570.4071927107</v>
      </c>
    </row>
    <row r="331" customFormat="false" ht="15" hidden="false" customHeight="false" outlineLevel="0" collapsed="false">
      <c r="A331" s="7" t="s">
        <v>749</v>
      </c>
      <c r="B331" s="9" t="s">
        <v>88</v>
      </c>
      <c r="C331" s="54" t="n">
        <f aca="false">Assumptions!$E$151*MIN(1,(C$4-Assumptions!$E$146+1)/Assumptions!$C$10)*C328</f>
        <v>-0</v>
      </c>
      <c r="D331" s="54" t="n">
        <f aca="false">Assumptions!$E$151*MIN(1,(D$4-Assumptions!$E$146+1)/Assumptions!$C$10)*D328</f>
        <v>-0</v>
      </c>
      <c r="E331" s="54" t="n">
        <f aca="false">Assumptions!$E$151*MIN(1,(E$4-Assumptions!$E$146+1)/Assumptions!$C$10)*E328</f>
        <v>-0</v>
      </c>
      <c r="F331" s="54" t="n">
        <f aca="false">Assumptions!$E$151*MIN(1,(F$4-Assumptions!$E$146+1)/Assumptions!$C$10)*F328</f>
        <v>0</v>
      </c>
      <c r="G331" s="54" t="n">
        <f aca="false">Assumptions!$E$151*MIN(1,(G$4-Assumptions!$E$146+1)/Assumptions!$C$10)*G328</f>
        <v>0.005</v>
      </c>
      <c r="H331" s="54" t="n">
        <f aca="false">Assumptions!$E$151*MIN(1,(H$4-Assumptions!$E$146+1)/Assumptions!$C$10)*H328</f>
        <v>0.01</v>
      </c>
      <c r="I331" s="54" t="n">
        <f aca="false">Assumptions!$E$151*MIN(1,(I$4-Assumptions!$E$146+1)/Assumptions!$C$10)*I328</f>
        <v>0.015</v>
      </c>
      <c r="J331" s="54" t="n">
        <f aca="false">Assumptions!$E$151*MIN(1,(J$4-Assumptions!$E$146+1)/Assumptions!$C$10)*J328</f>
        <v>0.02</v>
      </c>
      <c r="K331" s="54" t="n">
        <f aca="false">Assumptions!$E$151*MIN(1,(K$4-Assumptions!$E$146+1)/Assumptions!$C$10)*K328</f>
        <v>0.025</v>
      </c>
      <c r="L331" s="54" t="n">
        <f aca="false">Assumptions!$E$151*MIN(1,(L$4-Assumptions!$E$146+1)/Assumptions!$C$10)*L328</f>
        <v>0.03</v>
      </c>
      <c r="M331" s="54" t="n">
        <f aca="false">Assumptions!$E$151*MIN(1,(M$4-Assumptions!$E$146+1)/Assumptions!$C$10)*M328</f>
        <v>0.03</v>
      </c>
      <c r="N331" s="54" t="n">
        <f aca="false">Assumptions!$E$151*MIN(1,(N$4-Assumptions!$E$146+1)/Assumptions!$C$10)*N328</f>
        <v>0.03</v>
      </c>
      <c r="O331" s="54" t="n">
        <f aca="false">Assumptions!$E$151*MIN(1,(O$4-Assumptions!$E$146+1)/Assumptions!$C$10)*O328</f>
        <v>0.03</v>
      </c>
      <c r="P331" s="54" t="n">
        <f aca="false">Assumptions!$E$151*MIN(1,(P$4-Assumptions!$E$146+1)/Assumptions!$C$10)*P328</f>
        <v>0.03</v>
      </c>
      <c r="Q331" s="54" t="n">
        <f aca="false">Assumptions!$E$151*MIN(1,(Q$4-Assumptions!$E$146+1)/Assumptions!$C$10)*Q328</f>
        <v>0.03</v>
      </c>
      <c r="R331" s="54" t="n">
        <f aca="false">Assumptions!$E$151*MIN(1,(R$4-Assumptions!$E$146+1)/Assumptions!$C$10)*R328</f>
        <v>0.03</v>
      </c>
      <c r="S331" s="54" t="n">
        <f aca="false">Assumptions!$E$151*MIN(1,(S$4-Assumptions!$E$146+1)/Assumptions!$C$10)*S328</f>
        <v>0.03</v>
      </c>
      <c r="T331" s="54" t="n">
        <f aca="false">Assumptions!$E$151*MIN(1,(T$4-Assumptions!$E$146+1)/Assumptions!$C$10)*T328</f>
        <v>0.03</v>
      </c>
      <c r="U331" s="54" t="n">
        <f aca="false">Assumptions!$E$151*MIN(1,(U$4-Assumptions!$E$146+1)/Assumptions!$C$10)*U328</f>
        <v>0.03</v>
      </c>
      <c r="V331" s="54" t="n">
        <f aca="false">Assumptions!$E$151*MIN(1,(V$4-Assumptions!$E$146+1)/Assumptions!$C$10)*V328</f>
        <v>0.03</v>
      </c>
      <c r="W331" s="54" t="n">
        <f aca="false">Assumptions!$E$151*MIN(1,(W$4-Assumptions!$E$146+1)/Assumptions!$C$10)*W328</f>
        <v>0.03</v>
      </c>
      <c r="X331" s="54" t="n">
        <f aca="false">Assumptions!$E$151*MIN(1,(X$4-Assumptions!$E$146+1)/Assumptions!$C$10)*X328</f>
        <v>0.03</v>
      </c>
      <c r="Y331" s="54" t="n">
        <f aca="false">Assumptions!$E$151*MIN(1,(Y$4-Assumptions!$E$146+1)/Assumptions!$C$10)*Y328</f>
        <v>0.03</v>
      </c>
      <c r="Z331" s="54" t="n">
        <f aca="false">Assumptions!$E$151*MIN(1,(Z$4-Assumptions!$E$146+1)/Assumptions!$C$10)*Z328</f>
        <v>0.03</v>
      </c>
      <c r="AA331" s="54" t="n">
        <f aca="false">Assumptions!$E$151*MIN(1,(AA$4-Assumptions!$E$146+1)/Assumptions!$C$10)*AA328</f>
        <v>0.03</v>
      </c>
      <c r="AB331" s="54" t="n">
        <f aca="false">Assumptions!$E$151*MIN(1,(AB$4-Assumptions!$E$146+1)/Assumptions!$C$10)*AB328</f>
        <v>0.03</v>
      </c>
      <c r="AC331" s="54" t="n">
        <f aca="false">Assumptions!$E$151*MIN(1,(AC$4-Assumptions!$E$146+1)/Assumptions!$C$10)*AC328</f>
        <v>0.03</v>
      </c>
      <c r="AD331" s="54" t="n">
        <f aca="false">Assumptions!$E$151*MIN(1,(AD$4-Assumptions!$E$146+1)/Assumptions!$C$10)*AD328</f>
        <v>0.03</v>
      </c>
      <c r="AE331" s="54" t="n">
        <f aca="false">Assumptions!$E$151*MIN(1,(AE$4-Assumptions!$E$146+1)/Assumptions!$C$10)*AE328</f>
        <v>0.03</v>
      </c>
      <c r="AF331" s="54" t="n">
        <f aca="false">Assumptions!$E$151*MIN(1,(AF$4-Assumptions!$E$146+1)/Assumptions!$C$10)*AF328</f>
        <v>0.03</v>
      </c>
      <c r="AG331" s="54" t="n">
        <f aca="false">Assumptions!$E$151*MIN(1,(AG$4-Assumptions!$E$146+1)/Assumptions!$C$10)*AG328</f>
        <v>0.03</v>
      </c>
      <c r="AH331" s="54" t="n">
        <f aca="false">Assumptions!$E$151*MIN(1,(AH$4-Assumptions!$E$146+1)/Assumptions!$C$10)*AH328</f>
        <v>0.03</v>
      </c>
      <c r="AI331" s="54" t="n">
        <f aca="false">Assumptions!$E$151*MIN(1,(AI$4-Assumptions!$E$146+1)/Assumptions!$C$10)*AI328</f>
        <v>0.03</v>
      </c>
      <c r="AJ331" s="54" t="n">
        <f aca="false">Assumptions!$E$151*MIN(1,(AJ$4-Assumptions!$E$146+1)/Assumptions!$C$10)*AJ328</f>
        <v>0.03</v>
      </c>
      <c r="AK331" s="54" t="n">
        <f aca="false">Assumptions!$E$151*MIN(1,(AK$4-Assumptions!$E$146+1)/Assumptions!$C$10)*AK328</f>
        <v>0.03</v>
      </c>
      <c r="AL331" s="54" t="n">
        <f aca="false">Assumptions!$E$151*MIN(1,(AL$4-Assumptions!$E$146+1)/Assumptions!$C$10)*AL328</f>
        <v>0.03</v>
      </c>
    </row>
    <row r="332" customFormat="false" ht="15" hidden="false" customHeight="false" outlineLevel="0" collapsed="false">
      <c r="A332" s="7" t="s">
        <v>757</v>
      </c>
      <c r="B332" s="9" t="s">
        <v>751</v>
      </c>
      <c r="C332" s="55" t="n">
        <f aca="false">C330*C331</f>
        <v>-0</v>
      </c>
      <c r="D332" s="55" t="n">
        <f aca="false">D330*D331</f>
        <v>-0</v>
      </c>
      <c r="E332" s="55" t="n">
        <f aca="false">E330*E331</f>
        <v>-0</v>
      </c>
      <c r="F332" s="55" t="n">
        <f aca="false">F330*F331</f>
        <v>0</v>
      </c>
      <c r="G332" s="55" t="n">
        <f aca="false">G330*G331</f>
        <v>2.25</v>
      </c>
      <c r="H332" s="55" t="n">
        <f aca="false">H330*H331</f>
        <v>5.3</v>
      </c>
      <c r="I332" s="55" t="n">
        <f aca="false">I330*I331</f>
        <v>8.84835</v>
      </c>
      <c r="J332" s="55" t="n">
        <f aca="false">J330*J331</f>
        <v>11.314652</v>
      </c>
      <c r="K332" s="55" t="n">
        <f aca="false">K330*K331</f>
        <v>15.780962</v>
      </c>
      <c r="L332" s="55" t="n">
        <f aca="false">L330*L331</f>
        <v>19.0697144808</v>
      </c>
      <c r="M332" s="55" t="n">
        <f aca="false">M330*M331</f>
        <v>18.086118681264</v>
      </c>
      <c r="N332" s="55" t="n">
        <f aca="false">N330*N331</f>
        <v>19.1712858021398</v>
      </c>
      <c r="O332" s="55" t="n">
        <f aca="false">O330*O331</f>
        <v>22.4980677501582</v>
      </c>
      <c r="P332" s="55" t="n">
        <f aca="false">P330*P331</f>
        <v>32.3261710304905</v>
      </c>
      <c r="Q332" s="55" t="n">
        <f aca="false">Q330*Q331</f>
        <v>35.2479595659387</v>
      </c>
      <c r="R332" s="55" t="n">
        <f aca="false">R330*R331</f>
        <v>34.268849577996</v>
      </c>
      <c r="S332" s="55" t="n">
        <f aca="false">S330*S331</f>
        <v>25.9072502809649</v>
      </c>
      <c r="T332" s="55" t="n">
        <f aca="false">T330*T331</f>
        <v>30.2251253277924</v>
      </c>
      <c r="U332" s="55" t="n">
        <f aca="false">U330*U331</f>
        <v>33.3232006738912</v>
      </c>
      <c r="V332" s="55" t="n">
        <f aca="false">V330*V331</f>
        <v>31.6570406401966</v>
      </c>
      <c r="W332" s="55" t="n">
        <f aca="false">W330*W331</f>
        <v>34.9893607075857</v>
      </c>
      <c r="X332" s="55" t="n">
        <f aca="false">X330*X331</f>
        <v>34.9018873058168</v>
      </c>
      <c r="Y332" s="55" t="n">
        <f aca="false">Y330*Y331</f>
        <v>32.7894046530963</v>
      </c>
      <c r="Z332" s="55" t="n">
        <f aca="false">Z330*Z331</f>
        <v>34.4288748857511</v>
      </c>
      <c r="AA332" s="55" t="n">
        <f aca="false">AA330*AA331</f>
        <v>39.6337106773029</v>
      </c>
      <c r="AB332" s="55" t="n">
        <f aca="false">AB330*AB331</f>
        <v>55.8626722072722</v>
      </c>
      <c r="AC332" s="55" t="n">
        <f aca="false">AC330*AC331</f>
        <v>59.7515736186246</v>
      </c>
      <c r="AD332" s="55" t="n">
        <f aca="false">AD330*AD331</f>
        <v>56.9852970622068</v>
      </c>
      <c r="AE332" s="55" t="n">
        <f aca="false">AE330*AE331</f>
        <v>42.2602963013325</v>
      </c>
      <c r="AF332" s="55" t="n">
        <f aca="false">AF330*AF331</f>
        <v>48.3645613226361</v>
      </c>
      <c r="AG332" s="55" t="n">
        <f aca="false">AG330*AG331</f>
        <v>52.306273070431</v>
      </c>
      <c r="AH332" s="55" t="n">
        <f aca="false">AH330*AH331</f>
        <v>48.7444649518254</v>
      </c>
      <c r="AI332" s="55" t="n">
        <f aca="false">AI330*AI331</f>
        <v>52.8492620004002</v>
      </c>
      <c r="AJ332" s="55" t="n">
        <f aca="false">AJ330*AJ331</f>
        <v>51.7130028673916</v>
      </c>
      <c r="AK332" s="55" t="n">
        <f aca="false">AK330*AK331</f>
        <v>47.6576147477909</v>
      </c>
      <c r="AL332" s="55" t="n">
        <f aca="false">AL330*AL331</f>
        <v>49.0873431902246</v>
      </c>
      <c r="AM332" s="53" t="n">
        <f aca="false">SUMIF($C$6:$AL$6,1,C332:AL332)</f>
        <v>99.8210829642039</v>
      </c>
      <c r="AN332" s="53" t="n">
        <f aca="false">SUMIF($C$6:$AL$6,2,C332:AL332)</f>
        <v>382.563192399678</v>
      </c>
      <c r="AO332" s="53" t="n">
        <f aca="false">SUMIF($C$6:$AL$6,3,C332:AL332)</f>
        <v>605.216072017439</v>
      </c>
      <c r="AP332" s="53" t="n">
        <f aca="false">SUM(C332:AL332)</f>
        <v>1087.60034738132</v>
      </c>
    </row>
    <row r="333" customFormat="false" ht="15" hidden="false" customHeight="false" outlineLevel="0" collapsed="false">
      <c r="A333" s="7" t="s">
        <v>752</v>
      </c>
      <c r="B333" s="9" t="s">
        <v>331</v>
      </c>
      <c r="C333" s="56" t="n">
        <f aca="false">C332*Assumptions!$E$152</f>
        <v>-0</v>
      </c>
      <c r="D333" s="56" t="n">
        <f aca="false">D332*Assumptions!$E$152</f>
        <v>-0</v>
      </c>
      <c r="E333" s="56" t="n">
        <f aca="false">E332*Assumptions!$E$152</f>
        <v>-0</v>
      </c>
      <c r="F333" s="56" t="n">
        <f aca="false">F332*Assumptions!$E$152</f>
        <v>0</v>
      </c>
      <c r="G333" s="56" t="n">
        <f aca="false">G332*Assumptions!$E$152</f>
        <v>2.925</v>
      </c>
      <c r="H333" s="56" t="n">
        <f aca="false">H332*Assumptions!$E$152</f>
        <v>6.89</v>
      </c>
      <c r="I333" s="56" t="n">
        <f aca="false">I332*Assumptions!$E$152</f>
        <v>11.502855</v>
      </c>
      <c r="J333" s="56" t="n">
        <f aca="false">J332*Assumptions!$E$152</f>
        <v>14.7090476</v>
      </c>
      <c r="K333" s="56" t="n">
        <f aca="false">K332*Assumptions!$E$152</f>
        <v>20.5152506</v>
      </c>
      <c r="L333" s="56" t="n">
        <f aca="false">L332*Assumptions!$E$152</f>
        <v>24.79062882504</v>
      </c>
      <c r="M333" s="56" t="n">
        <f aca="false">M332*Assumptions!$E$152</f>
        <v>23.5119542856432</v>
      </c>
      <c r="N333" s="56" t="n">
        <f aca="false">N332*Assumptions!$E$152</f>
        <v>24.9226715427818</v>
      </c>
      <c r="O333" s="56" t="n">
        <f aca="false">O332*Assumptions!$E$152</f>
        <v>29.2474880752057</v>
      </c>
      <c r="P333" s="56" t="n">
        <f aca="false">P332*Assumptions!$E$152</f>
        <v>42.0240223396377</v>
      </c>
      <c r="Q333" s="56" t="n">
        <f aca="false">Q332*Assumptions!$E$152</f>
        <v>45.8223474357203</v>
      </c>
      <c r="R333" s="56" t="n">
        <f aca="false">R332*Assumptions!$E$152</f>
        <v>44.5495044513947</v>
      </c>
      <c r="S333" s="56" t="n">
        <f aca="false">S332*Assumptions!$E$152</f>
        <v>33.6794253652544</v>
      </c>
      <c r="T333" s="56" t="n">
        <f aca="false">T332*Assumptions!$E$152</f>
        <v>39.2926629261302</v>
      </c>
      <c r="U333" s="56" t="n">
        <f aca="false">U332*Assumptions!$E$152</f>
        <v>43.3201608760585</v>
      </c>
      <c r="V333" s="56" t="n">
        <f aca="false">V332*Assumptions!$E$152</f>
        <v>41.1541528322556</v>
      </c>
      <c r="W333" s="56" t="n">
        <f aca="false">W332*Assumptions!$E$152</f>
        <v>45.4861689198614</v>
      </c>
      <c r="X333" s="56" t="n">
        <f aca="false">X332*Assumptions!$E$152</f>
        <v>45.3724534975618</v>
      </c>
      <c r="Y333" s="56" t="n">
        <f aca="false">Y332*Assumptions!$E$152</f>
        <v>42.6262260490252</v>
      </c>
      <c r="Z333" s="56" t="n">
        <f aca="false">Z332*Assumptions!$E$152</f>
        <v>44.7575373514764</v>
      </c>
      <c r="AA333" s="56" t="n">
        <f aca="false">AA332*Assumptions!$E$152</f>
        <v>51.5238238804937</v>
      </c>
      <c r="AB333" s="56" t="n">
        <f aca="false">AB332*Assumptions!$E$152</f>
        <v>72.6214738694538</v>
      </c>
      <c r="AC333" s="56" t="n">
        <f aca="false">AC332*Assumptions!$E$152</f>
        <v>77.677045704212</v>
      </c>
      <c r="AD333" s="56" t="n">
        <f aca="false">AD332*Assumptions!$E$152</f>
        <v>74.0808861808688</v>
      </c>
      <c r="AE333" s="56" t="n">
        <f aca="false">AE332*Assumptions!$E$152</f>
        <v>54.9383851917323</v>
      </c>
      <c r="AF333" s="56" t="n">
        <f aca="false">AF332*Assumptions!$E$152</f>
        <v>62.873929719427</v>
      </c>
      <c r="AG333" s="56" t="n">
        <f aca="false">AG332*Assumptions!$E$152</f>
        <v>67.9981549915603</v>
      </c>
      <c r="AH333" s="56" t="n">
        <f aca="false">AH332*Assumptions!$E$152</f>
        <v>63.3678044373731</v>
      </c>
      <c r="AI333" s="56" t="n">
        <f aca="false">AI332*Assumptions!$E$152</f>
        <v>68.7040406005203</v>
      </c>
      <c r="AJ333" s="56" t="n">
        <f aca="false">AJ332*Assumptions!$E$152</f>
        <v>67.2269037276091</v>
      </c>
      <c r="AK333" s="56" t="n">
        <f aca="false">AK332*Assumptions!$E$152</f>
        <v>61.9548991721282</v>
      </c>
      <c r="AL333" s="56" t="n">
        <f aca="false">AL332*Assumptions!$E$152</f>
        <v>63.813546147292</v>
      </c>
      <c r="AM333" s="53" t="n">
        <f aca="false">SUMIF($C$6:$AL$6,1,C333:AL333)</f>
        <v>129.767407853465</v>
      </c>
      <c r="AN333" s="53" t="n">
        <f aca="false">SUMIF($C$6:$AL$6,2,C333:AL333)</f>
        <v>497.332150119582</v>
      </c>
      <c r="AO333" s="53" t="n">
        <f aca="false">SUMIF($C$6:$AL$6,3,C333:AL333)</f>
        <v>786.780893622671</v>
      </c>
      <c r="AP333" s="53" t="n">
        <f aca="false">SUM(C333:AL333)</f>
        <v>1413.88045159572</v>
      </c>
    </row>
    <row r="334" customFormat="false" ht="15" hidden="false" customHeight="false" outlineLevel="0" collapsed="false">
      <c r="A334" s="7" t="s">
        <v>753</v>
      </c>
      <c r="B334" s="9" t="s">
        <v>93</v>
      </c>
      <c r="C334" s="15" t="n">
        <f aca="false">'Unit Economics'!$E$56*Assumptions!$E$152*C328</f>
        <v>0</v>
      </c>
      <c r="D334" s="15" t="n">
        <f aca="false">'Unit Economics'!$E$56*Assumptions!$E$152*D328</f>
        <v>0</v>
      </c>
      <c r="E334" s="15" t="n">
        <f aca="false">'Unit Economics'!$E$56*Assumptions!$E$152*E328</f>
        <v>0</v>
      </c>
      <c r="F334" s="15" t="n">
        <f aca="false">'Unit Economics'!$E$56*Assumptions!$E$152*F328</f>
        <v>0</v>
      </c>
      <c r="G334" s="15" t="n">
        <f aca="false">'Unit Economics'!$E$56*Assumptions!$E$152*G328</f>
        <v>16.887</v>
      </c>
      <c r="H334" s="15" t="n">
        <f aca="false">'Unit Economics'!$E$56*Assumptions!$E$152*H328</f>
        <v>16.887</v>
      </c>
      <c r="I334" s="15" t="n">
        <f aca="false">'Unit Economics'!$E$56*Assumptions!$E$152*I328</f>
        <v>16.887</v>
      </c>
      <c r="J334" s="15" t="n">
        <f aca="false">'Unit Economics'!$E$56*Assumptions!$E$152*J328</f>
        <v>16.887</v>
      </c>
      <c r="K334" s="15" t="n">
        <f aca="false">'Unit Economics'!$E$56*Assumptions!$E$152*K328</f>
        <v>16.887</v>
      </c>
      <c r="L334" s="15" t="n">
        <f aca="false">'Unit Economics'!$E$56*Assumptions!$E$152*L328</f>
        <v>16.887</v>
      </c>
      <c r="M334" s="15" t="n">
        <f aca="false">'Unit Economics'!$E$56*Assumptions!$E$152*M328</f>
        <v>16.887</v>
      </c>
      <c r="N334" s="15" t="n">
        <f aca="false">'Unit Economics'!$E$56*Assumptions!$E$152*N328</f>
        <v>16.887</v>
      </c>
      <c r="O334" s="15" t="n">
        <f aca="false">'Unit Economics'!$E$56*Assumptions!$E$152*O328</f>
        <v>16.887</v>
      </c>
      <c r="P334" s="15" t="n">
        <f aca="false">'Unit Economics'!$E$56*Assumptions!$E$152*P328</f>
        <v>16.887</v>
      </c>
      <c r="Q334" s="15" t="n">
        <f aca="false">'Unit Economics'!$E$56*Assumptions!$E$152*Q328</f>
        <v>16.887</v>
      </c>
      <c r="R334" s="15" t="n">
        <f aca="false">'Unit Economics'!$E$56*Assumptions!$E$152*R328</f>
        <v>16.887</v>
      </c>
      <c r="S334" s="15" t="n">
        <f aca="false">'Unit Economics'!$E$56*Assumptions!$E$152*S328</f>
        <v>16.887</v>
      </c>
      <c r="T334" s="15" t="n">
        <f aca="false">'Unit Economics'!$E$56*Assumptions!$E$152*T328</f>
        <v>16.887</v>
      </c>
      <c r="U334" s="15" t="n">
        <f aca="false">'Unit Economics'!$E$56*Assumptions!$E$152*U328</f>
        <v>16.887</v>
      </c>
      <c r="V334" s="15" t="n">
        <f aca="false">'Unit Economics'!$E$56*Assumptions!$E$152*V328</f>
        <v>16.887</v>
      </c>
      <c r="W334" s="15" t="n">
        <f aca="false">'Unit Economics'!$E$56*Assumptions!$E$152*W328</f>
        <v>16.887</v>
      </c>
      <c r="X334" s="15" t="n">
        <f aca="false">'Unit Economics'!$E$56*Assumptions!$E$152*X328</f>
        <v>16.887</v>
      </c>
      <c r="Y334" s="15" t="n">
        <f aca="false">'Unit Economics'!$E$56*Assumptions!$E$152*Y328</f>
        <v>16.887</v>
      </c>
      <c r="Z334" s="15" t="n">
        <f aca="false">'Unit Economics'!$E$56*Assumptions!$E$152*Z328</f>
        <v>16.887</v>
      </c>
      <c r="AA334" s="15" t="n">
        <f aca="false">'Unit Economics'!$E$56*Assumptions!$E$152*AA328</f>
        <v>16.887</v>
      </c>
      <c r="AB334" s="15" t="n">
        <f aca="false">'Unit Economics'!$E$56*Assumptions!$E$152*AB328</f>
        <v>16.887</v>
      </c>
      <c r="AC334" s="15" t="n">
        <f aca="false">'Unit Economics'!$E$56*Assumptions!$E$152*AC328</f>
        <v>16.887</v>
      </c>
      <c r="AD334" s="15" t="n">
        <f aca="false">'Unit Economics'!$E$56*Assumptions!$E$152*AD328</f>
        <v>16.887</v>
      </c>
      <c r="AE334" s="15" t="n">
        <f aca="false">'Unit Economics'!$E$56*Assumptions!$E$152*AE328</f>
        <v>16.887</v>
      </c>
      <c r="AF334" s="15" t="n">
        <f aca="false">'Unit Economics'!$E$56*Assumptions!$E$152*AF328</f>
        <v>16.887</v>
      </c>
      <c r="AG334" s="15" t="n">
        <f aca="false">'Unit Economics'!$E$56*Assumptions!$E$152*AG328</f>
        <v>16.887</v>
      </c>
      <c r="AH334" s="15" t="n">
        <f aca="false">'Unit Economics'!$E$56*Assumptions!$E$152*AH328</f>
        <v>16.887</v>
      </c>
      <c r="AI334" s="15" t="n">
        <f aca="false">'Unit Economics'!$E$56*Assumptions!$E$152*AI328</f>
        <v>16.887</v>
      </c>
      <c r="AJ334" s="15" t="n">
        <f aca="false">'Unit Economics'!$E$56*Assumptions!$E$152*AJ328</f>
        <v>16.887</v>
      </c>
      <c r="AK334" s="15" t="n">
        <f aca="false">'Unit Economics'!$E$56*Assumptions!$E$152*AK328</f>
        <v>16.887</v>
      </c>
      <c r="AL334" s="15" t="n">
        <f aca="false">'Unit Economics'!$E$56*Assumptions!$E$152*AL328</f>
        <v>16.887</v>
      </c>
    </row>
    <row r="335" customFormat="false" ht="15" hidden="false" customHeight="false" outlineLevel="0" collapsed="false">
      <c r="A335" s="7" t="s">
        <v>754</v>
      </c>
      <c r="B335" s="9" t="s">
        <v>93</v>
      </c>
      <c r="C335" s="8" t="n">
        <f aca="false">C333*'Unit Economics'!$E$56</f>
        <v>-0</v>
      </c>
      <c r="D335" s="8" t="n">
        <f aca="false">D333*'Unit Economics'!$E$56</f>
        <v>-0</v>
      </c>
      <c r="E335" s="8" t="n">
        <f aca="false">E333*'Unit Economics'!$E$56</f>
        <v>-0</v>
      </c>
      <c r="F335" s="8" t="n">
        <f aca="false">F333*'Unit Economics'!$E$56</f>
        <v>0</v>
      </c>
      <c r="G335" s="8" t="n">
        <f aca="false">G333*'Unit Economics'!$E$56</f>
        <v>37.99575</v>
      </c>
      <c r="H335" s="8" t="n">
        <f aca="false">H333*'Unit Economics'!$E$56</f>
        <v>89.5011</v>
      </c>
      <c r="I335" s="8" t="n">
        <f aca="false">I333*'Unit Economics'!$E$56</f>
        <v>149.42208645</v>
      </c>
      <c r="J335" s="8" t="n">
        <f aca="false">J333*'Unit Economics'!$E$56</f>
        <v>191.070528324</v>
      </c>
      <c r="K335" s="8" t="n">
        <f aca="false">K333*'Unit Economics'!$E$56</f>
        <v>266.493105294</v>
      </c>
      <c r="L335" s="8" t="n">
        <f aca="false">L333*'Unit Economics'!$E$56</f>
        <v>322.03026843727</v>
      </c>
      <c r="M335" s="8" t="n">
        <f aca="false">M333*'Unit Economics'!$E$56</f>
        <v>305.420286170505</v>
      </c>
      <c r="N335" s="8" t="n">
        <f aca="false">N333*'Unit Economics'!$E$56</f>
        <v>323.745503340736</v>
      </c>
      <c r="O335" s="8" t="n">
        <f aca="false">O333*'Unit Economics'!$E$56</f>
        <v>379.924870096922</v>
      </c>
      <c r="P335" s="8" t="n">
        <f aca="false">P333*'Unit Economics'!$E$56</f>
        <v>545.892050191893</v>
      </c>
      <c r="Q335" s="8" t="n">
        <f aca="false">Q333*'Unit Economics'!$E$56</f>
        <v>595.232293190007</v>
      </c>
      <c r="R335" s="8" t="n">
        <f aca="false">R333*'Unit Economics'!$E$56</f>
        <v>578.698062823618</v>
      </c>
      <c r="S335" s="8" t="n">
        <f aca="false">S333*'Unit Economics'!$E$56</f>
        <v>437.495735494655</v>
      </c>
      <c r="T335" s="8" t="n">
        <f aca="false">T333*'Unit Economics'!$E$56</f>
        <v>510.411691410431</v>
      </c>
      <c r="U335" s="8" t="n">
        <f aca="false">U333*'Unit Economics'!$E$56</f>
        <v>562.72888978</v>
      </c>
      <c r="V335" s="8" t="n">
        <f aca="false">V333*'Unit Economics'!$E$56</f>
        <v>534.592445291</v>
      </c>
      <c r="W335" s="8" t="n">
        <f aca="false">W333*'Unit Economics'!$E$56</f>
        <v>590.865334269</v>
      </c>
      <c r="X335" s="8" t="n">
        <f aca="false">X333*'Unit Economics'!$E$56</f>
        <v>589.388170933328</v>
      </c>
      <c r="Y335" s="8" t="n">
        <f aca="false">Y333*'Unit Economics'!$E$56</f>
        <v>553.714676376837</v>
      </c>
      <c r="Z335" s="8" t="n">
        <f aca="false">Z333*'Unit Economics'!$E$56</f>
        <v>581.400410195679</v>
      </c>
      <c r="AA335" s="8" t="n">
        <f aca="false">AA333*'Unit Economics'!$E$56</f>
        <v>669.294472207614</v>
      </c>
      <c r="AB335" s="8" t="n">
        <f aca="false">AB333*'Unit Economics'!$E$56</f>
        <v>943.352945564205</v>
      </c>
      <c r="AC335" s="8" t="n">
        <f aca="false">AC333*'Unit Economics'!$E$56</f>
        <v>1009.02482369771</v>
      </c>
      <c r="AD335" s="8" t="n">
        <f aca="false">AD333*'Unit Economics'!$E$56</f>
        <v>962.310711489486</v>
      </c>
      <c r="AE335" s="8" t="n">
        <f aca="false">AE333*'Unit Economics'!$E$56</f>
        <v>713.649623640603</v>
      </c>
      <c r="AF335" s="8" t="n">
        <f aca="false">AF333*'Unit Economics'!$E$56</f>
        <v>816.732347055356</v>
      </c>
      <c r="AG335" s="8" t="n">
        <f aca="false">AG333*'Unit Economics'!$E$56</f>
        <v>883.296033340368</v>
      </c>
      <c r="AH335" s="8" t="n">
        <f aca="false">AH333*'Unit Economics'!$E$56</f>
        <v>823.147779641476</v>
      </c>
      <c r="AI335" s="8" t="n">
        <f aca="false">AI333*'Unit Economics'!$E$56</f>
        <v>892.465487400759</v>
      </c>
      <c r="AJ335" s="8" t="n">
        <f aca="false">AJ333*'Unit Economics'!$E$56</f>
        <v>873.277479421642</v>
      </c>
      <c r="AK335" s="8" t="n">
        <f aca="false">AK333*'Unit Economics'!$E$56</f>
        <v>804.794140245945</v>
      </c>
      <c r="AL335" s="8" t="n">
        <f aca="false">AL333*'Unit Economics'!$E$56</f>
        <v>828.937964453324</v>
      </c>
      <c r="AM335" s="45" t="n">
        <f aca="false">SUMIF($C$6:$AL$6,1,C335:AL335)</f>
        <v>1685.67862801651</v>
      </c>
      <c r="AN335" s="45" t="n">
        <f aca="false">SUMIF($C$6:$AL$6,2,C335:AL335)</f>
        <v>6460.34463005337</v>
      </c>
      <c r="AO335" s="45" t="n">
        <f aca="false">SUMIF($C$6:$AL$6,3,C335:AL335)</f>
        <v>10220.2838081585</v>
      </c>
      <c r="AP335" s="45" t="n">
        <f aca="false">SUM(C335:AL335)</f>
        <v>18366.3070662284</v>
      </c>
    </row>
    <row r="336" customFormat="false" ht="15" hidden="false" customHeight="false" outlineLevel="0" collapsed="false">
      <c r="A336" s="7" t="s">
        <v>755</v>
      </c>
      <c r="B336" s="9" t="s">
        <v>93</v>
      </c>
      <c r="C336" s="8" t="n">
        <f aca="false">C333*'Unit Economics'!$F$56</f>
        <v>-0</v>
      </c>
      <c r="D336" s="8" t="n">
        <f aca="false">D333*'Unit Economics'!$F$56</f>
        <v>-0</v>
      </c>
      <c r="E336" s="8" t="n">
        <f aca="false">E333*'Unit Economics'!$F$56</f>
        <v>-0</v>
      </c>
      <c r="F336" s="8" t="n">
        <f aca="false">F333*'Unit Economics'!$F$56</f>
        <v>0</v>
      </c>
      <c r="G336" s="8" t="n">
        <f aca="false">G333*'Unit Economics'!$F$56</f>
        <v>13.23180495</v>
      </c>
      <c r="H336" s="8" t="n">
        <f aca="false">H333*'Unit Economics'!$F$56</f>
        <v>31.16825166</v>
      </c>
      <c r="I336" s="8" t="n">
        <f aca="false">I333*'Unit Economics'!$F$56</f>
        <v>52.03539614637</v>
      </c>
      <c r="J336" s="8" t="n">
        <f aca="false">J333*'Unit Economics'!$F$56</f>
        <v>66.5392303738344</v>
      </c>
      <c r="K336" s="8" t="n">
        <f aca="false">K333*'Unit Economics'!$F$56</f>
        <v>92.8047160477164</v>
      </c>
      <c r="L336" s="8" t="n">
        <f aca="false">L333*'Unit Economics'!$F$56</f>
        <v>112.145218872061</v>
      </c>
      <c r="M336" s="8" t="n">
        <f aca="false">M333*'Unit Economics'!$F$56</f>
        <v>106.360886530238</v>
      </c>
      <c r="N336" s="8" t="n">
        <f aca="false">N333*'Unit Economics'!$F$56</f>
        <v>112.742539722053</v>
      </c>
      <c r="O336" s="8" t="n">
        <f aca="false">O333*'Unit Economics'!$F$56</f>
        <v>132.30668632088</v>
      </c>
      <c r="P336" s="8" t="n">
        <f aca="false">P333*'Unit Economics'!$F$56</f>
        <v>190.103817713685</v>
      </c>
      <c r="Q336" s="8" t="n">
        <f aca="false">Q333*'Unit Economics'!$F$56</f>
        <v>207.286278160883</v>
      </c>
      <c r="R336" s="8" t="n">
        <f aca="false">R333*'Unit Economics'!$F$56</f>
        <v>201.528325989748</v>
      </c>
      <c r="S336" s="8" t="n">
        <f aca="false">S333*'Unit Economics'!$F$56</f>
        <v>152.355414448249</v>
      </c>
      <c r="T336" s="8" t="n">
        <f aca="false">T333*'Unit Economics'!$F$56</f>
        <v>177.747983522957</v>
      </c>
      <c r="U336" s="8" t="n">
        <f aca="false">U333*'Unit Economics'!$F$56</f>
        <v>195.967151834061</v>
      </c>
      <c r="V336" s="8" t="n">
        <f aca="false">V333*'Unit Economics'!$F$56</f>
        <v>186.168794242358</v>
      </c>
      <c r="W336" s="8" t="n">
        <f aca="false">W333*'Unit Economics'!$F$56</f>
        <v>205.765509425764</v>
      </c>
      <c r="X336" s="8" t="n">
        <f aca="false">X333*'Unit Economics'!$F$56</f>
        <v>205.251095652199</v>
      </c>
      <c r="Y336" s="8" t="n">
        <f aca="false">Y333*'Unit Economics'!$F$56</f>
        <v>192.828003020619</v>
      </c>
      <c r="Z336" s="8" t="n">
        <f aca="false">Z333*'Unit Economics'!$F$56</f>
        <v>202.46940317165</v>
      </c>
      <c r="AA336" s="8" t="n">
        <f aca="false">AA333*'Unit Economics'!$F$56</f>
        <v>233.078012945246</v>
      </c>
      <c r="AB336" s="8" t="n">
        <f aca="false">AB333*'Unit Economics'!$F$56</f>
        <v>328.517325614405</v>
      </c>
      <c r="AC336" s="8" t="n">
        <f aca="false">AC333*'Unit Economics'!$F$56</f>
        <v>351.387185589869</v>
      </c>
      <c r="AD336" s="8" t="n">
        <f aca="false">AD333*'Unit Economics'!$F$56</f>
        <v>335.119260331079</v>
      </c>
      <c r="AE336" s="8" t="n">
        <f aca="false">AE333*'Unit Economics'!$F$56</f>
        <v>248.524443461528</v>
      </c>
      <c r="AF336" s="8" t="n">
        <f aca="false">AF333*'Unit Economics'!$F$56</f>
        <v>284.422418628193</v>
      </c>
      <c r="AG336" s="8" t="n">
        <f aca="false">AG333*'Unit Economics'!$F$56</f>
        <v>307.602845746391</v>
      </c>
      <c r="AH336" s="8" t="n">
        <f aca="false">AH333*'Unit Economics'!$F$56</f>
        <v>286.656556726518</v>
      </c>
      <c r="AI336" s="8" t="n">
        <f aca="false">AI333*'Unit Economics'!$F$56</f>
        <v>310.79605624033</v>
      </c>
      <c r="AJ336" s="8" t="n">
        <f aca="false">AJ333*'Unit Economics'!$F$56</f>
        <v>304.113941031163</v>
      </c>
      <c r="AK336" s="8" t="n">
        <f aca="false">AK333*'Unit Economics'!$F$56</f>
        <v>280.265005655561</v>
      </c>
      <c r="AL336" s="8" t="n">
        <f aca="false">AL333*'Unit Economics'!$F$56</f>
        <v>288.672955825228</v>
      </c>
      <c r="AM336" s="45" t="n">
        <f aca="false">SUMIF($C$6:$AL$6,1,C336:AL336)</f>
        <v>587.028044302273</v>
      </c>
      <c r="AN336" s="45" t="n">
        <f aca="false">SUMIF($C$6:$AL$6,2,C336:AL336)</f>
        <v>2249.77846350305</v>
      </c>
      <c r="AO336" s="45" t="n">
        <f aca="false">SUMIF($C$6:$AL$6,3,C336:AL336)</f>
        <v>3559.15600779551</v>
      </c>
      <c r="AP336" s="45" t="n">
        <f aca="false">SUM(C336:AL336)</f>
        <v>6395.96251560084</v>
      </c>
    </row>
    <row r="337" customFormat="false" ht="15" hidden="false" customHeight="false" outlineLevel="0" collapsed="false">
      <c r="A337" s="5" t="s">
        <v>567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</row>
    <row r="338" customFormat="false" ht="15" hidden="false" customHeight="false" outlineLevel="0" collapsed="false">
      <c r="A338" s="7" t="s">
        <v>746</v>
      </c>
      <c r="B338" s="9" t="s">
        <v>308</v>
      </c>
      <c r="C338" s="37" t="n">
        <f aca="false">IF(AND(Assumptions!$E$154=1,C$4&gt;=Assumptions!$E$155),1,0)</f>
        <v>0</v>
      </c>
      <c r="D338" s="37" t="n">
        <f aca="false">IF(AND(Assumptions!$E$154=1,D$4&gt;=Assumptions!$E$155),1,0)</f>
        <v>0</v>
      </c>
      <c r="E338" s="37" t="n">
        <f aca="false">IF(AND(Assumptions!$E$154=1,E$4&gt;=Assumptions!$E$155),1,0)</f>
        <v>0</v>
      </c>
      <c r="F338" s="37" t="n">
        <f aca="false">IF(AND(Assumptions!$E$154=1,F$4&gt;=Assumptions!$E$155),1,0)</f>
        <v>0</v>
      </c>
      <c r="G338" s="37" t="n">
        <f aca="false">IF(AND(Assumptions!$E$154=1,G$4&gt;=Assumptions!$E$155),1,0)</f>
        <v>0</v>
      </c>
      <c r="H338" s="37" t="n">
        <f aca="false">IF(AND(Assumptions!$E$154=1,H$4&gt;=Assumptions!$E$155),1,0)</f>
        <v>0</v>
      </c>
      <c r="I338" s="37" t="n">
        <f aca="false">IF(AND(Assumptions!$E$154=1,I$4&gt;=Assumptions!$E$155),1,0)</f>
        <v>0</v>
      </c>
      <c r="J338" s="37" t="n">
        <f aca="false">IF(AND(Assumptions!$E$154=1,J$4&gt;=Assumptions!$E$155),1,0)</f>
        <v>0</v>
      </c>
      <c r="K338" s="37" t="n">
        <f aca="false">IF(AND(Assumptions!$E$154=1,K$4&gt;=Assumptions!$E$155),1,0)</f>
        <v>0</v>
      </c>
      <c r="L338" s="37" t="n">
        <f aca="false">IF(AND(Assumptions!$E$154=1,L$4&gt;=Assumptions!$E$155),1,0)</f>
        <v>1</v>
      </c>
      <c r="M338" s="37" t="n">
        <f aca="false">IF(AND(Assumptions!$E$154=1,M$4&gt;=Assumptions!$E$155),1,0)</f>
        <v>1</v>
      </c>
      <c r="N338" s="37" t="n">
        <f aca="false">IF(AND(Assumptions!$E$154=1,N$4&gt;=Assumptions!$E$155),1,0)</f>
        <v>1</v>
      </c>
      <c r="O338" s="37" t="n">
        <f aca="false">IF(AND(Assumptions!$E$154=1,O$4&gt;=Assumptions!$E$155),1,0)</f>
        <v>1</v>
      </c>
      <c r="P338" s="37" t="n">
        <f aca="false">IF(AND(Assumptions!$E$154=1,P$4&gt;=Assumptions!$E$155),1,0)</f>
        <v>1</v>
      </c>
      <c r="Q338" s="37" t="n">
        <f aca="false">IF(AND(Assumptions!$E$154=1,Q$4&gt;=Assumptions!$E$155),1,0)</f>
        <v>1</v>
      </c>
      <c r="R338" s="37" t="n">
        <f aca="false">IF(AND(Assumptions!$E$154=1,R$4&gt;=Assumptions!$E$155),1,0)</f>
        <v>1</v>
      </c>
      <c r="S338" s="37" t="n">
        <f aca="false">IF(AND(Assumptions!$E$154=1,S$4&gt;=Assumptions!$E$155),1,0)</f>
        <v>1</v>
      </c>
      <c r="T338" s="37" t="n">
        <f aca="false">IF(AND(Assumptions!$E$154=1,T$4&gt;=Assumptions!$E$155),1,0)</f>
        <v>1</v>
      </c>
      <c r="U338" s="37" t="n">
        <f aca="false">IF(AND(Assumptions!$E$154=1,U$4&gt;=Assumptions!$E$155),1,0)</f>
        <v>1</v>
      </c>
      <c r="V338" s="37" t="n">
        <f aca="false">IF(AND(Assumptions!$E$154=1,V$4&gt;=Assumptions!$E$155),1,0)</f>
        <v>1</v>
      </c>
      <c r="W338" s="37" t="n">
        <f aca="false">IF(AND(Assumptions!$E$154=1,W$4&gt;=Assumptions!$E$155),1,0)</f>
        <v>1</v>
      </c>
      <c r="X338" s="37" t="n">
        <f aca="false">IF(AND(Assumptions!$E$154=1,X$4&gt;=Assumptions!$E$155),1,0)</f>
        <v>1</v>
      </c>
      <c r="Y338" s="37" t="n">
        <f aca="false">IF(AND(Assumptions!$E$154=1,Y$4&gt;=Assumptions!$E$155),1,0)</f>
        <v>1</v>
      </c>
      <c r="Z338" s="37" t="n">
        <f aca="false">IF(AND(Assumptions!$E$154=1,Z$4&gt;=Assumptions!$E$155),1,0)</f>
        <v>1</v>
      </c>
      <c r="AA338" s="37" t="n">
        <f aca="false">IF(AND(Assumptions!$E$154=1,AA$4&gt;=Assumptions!$E$155),1,0)</f>
        <v>1</v>
      </c>
      <c r="AB338" s="37" t="n">
        <f aca="false">IF(AND(Assumptions!$E$154=1,AB$4&gt;=Assumptions!$E$155),1,0)</f>
        <v>1</v>
      </c>
      <c r="AC338" s="37" t="n">
        <f aca="false">IF(AND(Assumptions!$E$154=1,AC$4&gt;=Assumptions!$E$155),1,0)</f>
        <v>1</v>
      </c>
      <c r="AD338" s="37" t="n">
        <f aca="false">IF(AND(Assumptions!$E$154=1,AD$4&gt;=Assumptions!$E$155),1,0)</f>
        <v>1</v>
      </c>
      <c r="AE338" s="37" t="n">
        <f aca="false">IF(AND(Assumptions!$E$154=1,AE$4&gt;=Assumptions!$E$155),1,0)</f>
        <v>1</v>
      </c>
      <c r="AF338" s="37" t="n">
        <f aca="false">IF(AND(Assumptions!$E$154=1,AF$4&gt;=Assumptions!$E$155),1,0)</f>
        <v>1</v>
      </c>
      <c r="AG338" s="37" t="n">
        <f aca="false">IF(AND(Assumptions!$E$154=1,AG$4&gt;=Assumptions!$E$155),1,0)</f>
        <v>1</v>
      </c>
      <c r="AH338" s="37" t="n">
        <f aca="false">IF(AND(Assumptions!$E$154=1,AH$4&gt;=Assumptions!$E$155),1,0)</f>
        <v>1</v>
      </c>
      <c r="AI338" s="37" t="n">
        <f aca="false">IF(AND(Assumptions!$E$154=1,AI$4&gt;=Assumptions!$E$155),1,0)</f>
        <v>1</v>
      </c>
      <c r="AJ338" s="37" t="n">
        <f aca="false">IF(AND(Assumptions!$E$154=1,AJ$4&gt;=Assumptions!$E$155),1,0)</f>
        <v>1</v>
      </c>
      <c r="AK338" s="37" t="n">
        <f aca="false">IF(AND(Assumptions!$E$154=1,AK$4&gt;=Assumptions!$E$155),1,0)</f>
        <v>1</v>
      </c>
      <c r="AL338" s="37" t="n">
        <f aca="false">IF(AND(Assumptions!$E$154=1,AL$4&gt;=Assumptions!$E$155),1,0)</f>
        <v>1</v>
      </c>
    </row>
    <row r="339" customFormat="false" ht="15" hidden="false" customHeight="false" outlineLevel="0" collapsed="false">
      <c r="A339" s="7" t="s">
        <v>747</v>
      </c>
      <c r="B339" s="9" t="s">
        <v>316</v>
      </c>
      <c r="C339" s="14" t="n">
        <f aca="false">IF(C338=0,0,Assumptions!$E$156)</f>
        <v>0</v>
      </c>
      <c r="D339" s="14" t="n">
        <f aca="false">IF(D338=0,0,IF(D$4=Assumptions!$E$155,Assumptions!$E$156,C339*(1+CHOOSE(D$6,Assumptions!$E$157,Assumptions!$E$158,Assumptions!$E$159))))</f>
        <v>0</v>
      </c>
      <c r="E339" s="14" t="n">
        <f aca="false">IF(E338=0,0,IF(E$4=Assumptions!$E$155,Assumptions!$E$156,D339*(1+CHOOSE(E$6,Assumptions!$E$157,Assumptions!$E$158,Assumptions!$E$159))))</f>
        <v>0</v>
      </c>
      <c r="F339" s="14" t="n">
        <f aca="false">IF(F338=0,0,IF(F$4=Assumptions!$E$155,Assumptions!$E$156,E339*(1+CHOOSE(F$6,Assumptions!$E$157,Assumptions!$E$158,Assumptions!$E$159))))</f>
        <v>0</v>
      </c>
      <c r="G339" s="14" t="n">
        <f aca="false">IF(G338=0,0,IF(G$4=Assumptions!$E$155,Assumptions!$E$156,F339*(1+CHOOSE(G$6,Assumptions!$E$157,Assumptions!$E$158,Assumptions!$E$159))))</f>
        <v>0</v>
      </c>
      <c r="H339" s="14" t="n">
        <f aca="false">IF(H338=0,0,IF(H$4=Assumptions!$E$155,Assumptions!$E$156,G339*(1+CHOOSE(H$6,Assumptions!$E$157,Assumptions!$E$158,Assumptions!$E$159))))</f>
        <v>0</v>
      </c>
      <c r="I339" s="14" t="n">
        <f aca="false">IF(I338=0,0,IF(I$4=Assumptions!$E$155,Assumptions!$E$156,H339*(1+CHOOSE(I$6,Assumptions!$E$157,Assumptions!$E$158,Assumptions!$E$159))))</f>
        <v>0</v>
      </c>
      <c r="J339" s="14" t="n">
        <f aca="false">IF(J338=0,0,IF(J$4=Assumptions!$E$155,Assumptions!$E$156,I339*(1+CHOOSE(J$6,Assumptions!$E$157,Assumptions!$E$158,Assumptions!$E$159))))</f>
        <v>0</v>
      </c>
      <c r="K339" s="14" t="n">
        <f aca="false">IF(K338=0,0,IF(K$4=Assumptions!$E$155,Assumptions!$E$156,J339*(1+CHOOSE(K$6,Assumptions!$E$157,Assumptions!$E$158,Assumptions!$E$159))))</f>
        <v>0</v>
      </c>
      <c r="L339" s="14" t="n">
        <f aca="false">IF(L338=0,0,IF(L$4=Assumptions!$E$155,Assumptions!$E$156,K339*(1+CHOOSE(L$6,Assumptions!$E$157,Assumptions!$E$158,Assumptions!$E$159))))</f>
        <v>400</v>
      </c>
      <c r="M339" s="14" t="n">
        <f aca="false">IF(M338=0,0,IF(M$4=Assumptions!$E$155,Assumptions!$E$156,L339*(1+CHOOSE(M$6,Assumptions!$E$157,Assumptions!$E$158,Assumptions!$E$159))))</f>
        <v>424</v>
      </c>
      <c r="N339" s="14" t="n">
        <f aca="false">IF(N338=0,0,IF(N$4=Assumptions!$E$155,Assumptions!$E$156,M339*(1+CHOOSE(N$6,Assumptions!$E$157,Assumptions!$E$158,Assumptions!$E$159))))</f>
        <v>449.44</v>
      </c>
      <c r="O339" s="14" t="n">
        <f aca="false">IF(O338=0,0,IF(O$4=Assumptions!$E$155,Assumptions!$E$156,N339*(1+CHOOSE(O$6,Assumptions!$E$157,Assumptions!$E$158,Assumptions!$E$159))))</f>
        <v>476.4064</v>
      </c>
      <c r="P339" s="14" t="n">
        <f aca="false">IF(P338=0,0,IF(P$4=Assumptions!$E$155,Assumptions!$E$156,O339*(1+CHOOSE(P$6,Assumptions!$E$157,Assumptions!$E$158,Assumptions!$E$159))))</f>
        <v>504.990784</v>
      </c>
      <c r="Q339" s="14" t="n">
        <f aca="false">IF(Q338=0,0,IF(Q$4=Assumptions!$E$155,Assumptions!$E$156,P339*(1+CHOOSE(Q$6,Assumptions!$E$157,Assumptions!$E$158,Assumptions!$E$159))))</f>
        <v>535.29023104</v>
      </c>
      <c r="R339" s="14" t="n">
        <f aca="false">IF(R338=0,0,IF(R$4=Assumptions!$E$155,Assumptions!$E$156,Q339*(1+CHOOSE(R$6,Assumptions!$E$157,Assumptions!$E$158,Assumptions!$E$159))))</f>
        <v>567.4076449024</v>
      </c>
      <c r="S339" s="14" t="n">
        <f aca="false">IF(S338=0,0,IF(S$4=Assumptions!$E$155,Assumptions!$E$156,R339*(1+CHOOSE(S$6,Assumptions!$E$157,Assumptions!$E$158,Assumptions!$E$159))))</f>
        <v>601.452103596544</v>
      </c>
      <c r="T339" s="14" t="n">
        <f aca="false">IF(T338=0,0,IF(T$4=Assumptions!$E$155,Assumptions!$E$156,S339*(1+CHOOSE(T$6,Assumptions!$E$157,Assumptions!$E$158,Assumptions!$E$159))))</f>
        <v>637.539229812337</v>
      </c>
      <c r="U339" s="14" t="n">
        <f aca="false">IF(U338=0,0,IF(U$4=Assumptions!$E$155,Assumptions!$E$156,T339*(1+CHOOSE(U$6,Assumptions!$E$157,Assumptions!$E$158,Assumptions!$E$159))))</f>
        <v>675.791583601077</v>
      </c>
      <c r="V339" s="14" t="n">
        <f aca="false">IF(V338=0,0,IF(V$4=Assumptions!$E$155,Assumptions!$E$156,U339*(1+CHOOSE(V$6,Assumptions!$E$157,Assumptions!$E$158,Assumptions!$E$159))))</f>
        <v>716.339078617142</v>
      </c>
      <c r="W339" s="14" t="n">
        <f aca="false">IF(W338=0,0,IF(W$4=Assumptions!$E$155,Assumptions!$E$156,V339*(1+CHOOSE(W$6,Assumptions!$E$157,Assumptions!$E$158,Assumptions!$E$159))))</f>
        <v>759.31942333417</v>
      </c>
      <c r="X339" s="14" t="n">
        <f aca="false">IF(X338=0,0,IF(X$4=Assumptions!$E$155,Assumptions!$E$156,W339*(1+CHOOSE(X$6,Assumptions!$E$157,Assumptions!$E$158,Assumptions!$E$159))))</f>
        <v>804.87858873422</v>
      </c>
      <c r="Y339" s="14" t="n">
        <f aca="false">IF(Y338=0,0,IF(Y$4=Assumptions!$E$155,Assumptions!$E$156,X339*(1+CHOOSE(Y$6,Assumptions!$E$157,Assumptions!$E$158,Assumptions!$E$159))))</f>
        <v>853.171304058274</v>
      </c>
      <c r="Z339" s="14" t="n">
        <f aca="false">IF(Z338=0,0,IF(Z$4=Assumptions!$E$155,Assumptions!$E$156,Y339*(1+CHOOSE(Z$6,Assumptions!$E$157,Assumptions!$E$158,Assumptions!$E$159))))</f>
        <v>904.36158230177</v>
      </c>
      <c r="AA339" s="14" t="n">
        <f aca="false">IF(AA338=0,0,IF(AA$4=Assumptions!$E$155,Assumptions!$E$156,Z339*(1+CHOOSE(AA$6,Assumptions!$E$157,Assumptions!$E$158,Assumptions!$E$159))))</f>
        <v>931.492429770823</v>
      </c>
      <c r="AB339" s="14" t="n">
        <f aca="false">IF(AB338=0,0,IF(AB$4=Assumptions!$E$155,Assumptions!$E$156,AA339*(1+CHOOSE(AB$6,Assumptions!$E$157,Assumptions!$E$158,Assumptions!$E$159))))</f>
        <v>959.437202663948</v>
      </c>
      <c r="AC339" s="14" t="n">
        <f aca="false">IF(AC338=0,0,IF(AC$4=Assumptions!$E$155,Assumptions!$E$156,AB339*(1+CHOOSE(AC$6,Assumptions!$E$157,Assumptions!$E$158,Assumptions!$E$159))))</f>
        <v>988.220318743867</v>
      </c>
      <c r="AD339" s="14" t="n">
        <f aca="false">IF(AD338=0,0,IF(AD$4=Assumptions!$E$155,Assumptions!$E$156,AC339*(1+CHOOSE(AD$6,Assumptions!$E$157,Assumptions!$E$158,Assumptions!$E$159))))</f>
        <v>1017.86692830618</v>
      </c>
      <c r="AE339" s="14" t="n">
        <f aca="false">IF(AE338=0,0,IF(AE$4=Assumptions!$E$155,Assumptions!$E$156,AD339*(1+CHOOSE(AE$6,Assumptions!$E$157,Assumptions!$E$158,Assumptions!$E$159))))</f>
        <v>1048.40293615537</v>
      </c>
      <c r="AF339" s="14" t="n">
        <f aca="false">IF(AF338=0,0,IF(AF$4=Assumptions!$E$155,Assumptions!$E$156,AE339*(1+CHOOSE(AF$6,Assumptions!$E$157,Assumptions!$E$158,Assumptions!$E$159))))</f>
        <v>1079.85502424003</v>
      </c>
      <c r="AG339" s="14" t="n">
        <f aca="false">IF(AG338=0,0,IF(AG$4=Assumptions!$E$155,Assumptions!$E$156,AF339*(1+CHOOSE(AG$6,Assumptions!$E$157,Assumptions!$E$158,Assumptions!$E$159))))</f>
        <v>1112.25067496723</v>
      </c>
      <c r="AH339" s="14" t="n">
        <f aca="false">IF(AH338=0,0,IF(AH$4=Assumptions!$E$155,Assumptions!$E$156,AG339*(1+CHOOSE(AH$6,Assumptions!$E$157,Assumptions!$E$158,Assumptions!$E$159))))</f>
        <v>1145.61819521625</v>
      </c>
      <c r="AI339" s="14" t="n">
        <f aca="false">IF(AI338=0,0,IF(AI$4=Assumptions!$E$155,Assumptions!$E$156,AH339*(1+CHOOSE(AI$6,Assumptions!$E$157,Assumptions!$E$158,Assumptions!$E$159))))</f>
        <v>1179.98674107273</v>
      </c>
      <c r="AJ339" s="14" t="n">
        <f aca="false">IF(AJ338=0,0,IF(AJ$4=Assumptions!$E$155,Assumptions!$E$156,AI339*(1+CHOOSE(AJ$6,Assumptions!$E$157,Assumptions!$E$158,Assumptions!$E$159))))</f>
        <v>1215.38634330492</v>
      </c>
      <c r="AK339" s="14" t="n">
        <f aca="false">IF(AK338=0,0,IF(AK$4=Assumptions!$E$155,Assumptions!$E$156,AJ339*(1+CHOOSE(AK$6,Assumptions!$E$157,Assumptions!$E$158,Assumptions!$E$159))))</f>
        <v>1251.84793360406</v>
      </c>
      <c r="AL339" s="14" t="n">
        <f aca="false">IF(AL338=0,0,IF(AL$4=Assumptions!$E$155,Assumptions!$E$156,AK339*(1+CHOOSE(AL$6,Assumptions!$E$157,Assumptions!$E$158,Assumptions!$E$159))))</f>
        <v>1289.40337161219</v>
      </c>
    </row>
    <row r="340" customFormat="false" ht="15" hidden="false" customHeight="false" outlineLevel="0" collapsed="false">
      <c r="A340" s="7" t="s">
        <v>765</v>
      </c>
      <c r="B340" s="9" t="s">
        <v>316</v>
      </c>
      <c r="C340" s="52" t="n">
        <f aca="false">C339*C$8</f>
        <v>0</v>
      </c>
      <c r="D340" s="52" t="n">
        <f aca="false">D339*D$8</f>
        <v>0</v>
      </c>
      <c r="E340" s="52" t="n">
        <f aca="false">E339*E$8</f>
        <v>0</v>
      </c>
      <c r="F340" s="52" t="n">
        <f aca="false">F339*F$8</f>
        <v>0</v>
      </c>
      <c r="G340" s="52" t="n">
        <f aca="false">G339*G$8</f>
        <v>0</v>
      </c>
      <c r="H340" s="52" t="n">
        <f aca="false">H339*H$8</f>
        <v>0</v>
      </c>
      <c r="I340" s="52" t="n">
        <f aca="false">I339*I$8</f>
        <v>0</v>
      </c>
      <c r="J340" s="52" t="n">
        <f aca="false">J339*J$8</f>
        <v>0</v>
      </c>
      <c r="K340" s="52" t="n">
        <f aca="false">K339*K$8</f>
        <v>0</v>
      </c>
      <c r="L340" s="52" t="n">
        <f aca="false">L339*L$8</f>
        <v>240</v>
      </c>
      <c r="M340" s="52" t="n">
        <f aca="false">M339*M$8</f>
        <v>551.2</v>
      </c>
      <c r="N340" s="52" t="n">
        <f aca="false">N339*N$8</f>
        <v>629.216</v>
      </c>
      <c r="O340" s="52" t="n">
        <f aca="false">O339*O$8</f>
        <v>571.68768</v>
      </c>
      <c r="P340" s="52" t="n">
        <f aca="false">P339*P$8</f>
        <v>504.990784</v>
      </c>
      <c r="Q340" s="52" t="n">
        <f aca="false">Q339*Q$8</f>
        <v>374.703161728</v>
      </c>
      <c r="R340" s="52" t="n">
        <f aca="false">R339*R$8</f>
        <v>624.14840939264</v>
      </c>
      <c r="S340" s="52" t="n">
        <f aca="false">S339*S$8</f>
        <v>601.452103596544</v>
      </c>
      <c r="T340" s="52" t="n">
        <f aca="false">T339*T$8</f>
        <v>637.539229812337</v>
      </c>
      <c r="U340" s="52" t="n">
        <f aca="false">U339*U$8</f>
        <v>608.212425240969</v>
      </c>
      <c r="V340" s="52" t="n">
        <f aca="false">V339*V$8</f>
        <v>501.437355031999</v>
      </c>
      <c r="W340" s="52" t="n">
        <f aca="false">W339*W$8</f>
        <v>303.727769333668</v>
      </c>
      <c r="X340" s="52" t="n">
        <f aca="false">X339*X$8</f>
        <v>482.927153240532</v>
      </c>
      <c r="Y340" s="52" t="n">
        <f aca="false">Y339*Y$8</f>
        <v>1109.12269527576</v>
      </c>
      <c r="Z340" s="52" t="n">
        <f aca="false">Z339*Z$8</f>
        <v>1266.10621522248</v>
      </c>
      <c r="AA340" s="52" t="n">
        <f aca="false">AA339*AA$8</f>
        <v>1117.79091572499</v>
      </c>
      <c r="AB340" s="52" t="n">
        <f aca="false">AB339*AB$8</f>
        <v>959.437202663948</v>
      </c>
      <c r="AC340" s="52" t="n">
        <f aca="false">AC339*AC$8</f>
        <v>691.754223120707</v>
      </c>
      <c r="AD340" s="52" t="n">
        <f aca="false">AD339*AD$8</f>
        <v>1119.6536211368</v>
      </c>
      <c r="AE340" s="52" t="n">
        <f aca="false">AE339*AE$8</f>
        <v>1048.40293615537</v>
      </c>
      <c r="AF340" s="52" t="n">
        <f aca="false">AF339*AF$8</f>
        <v>1079.85502424003</v>
      </c>
      <c r="AG340" s="52" t="n">
        <f aca="false">AG339*AG$8</f>
        <v>1001.02560747051</v>
      </c>
      <c r="AH340" s="52" t="n">
        <f aca="false">AH339*AH$8</f>
        <v>801.932736651373</v>
      </c>
      <c r="AI340" s="52" t="n">
        <f aca="false">AI339*AI$8</f>
        <v>471.994696429094</v>
      </c>
      <c r="AJ340" s="52" t="n">
        <f aca="false">AJ339*AJ$8</f>
        <v>729.23180598295</v>
      </c>
      <c r="AK340" s="52" t="n">
        <f aca="false">AK339*AK$8</f>
        <v>1627.40231368528</v>
      </c>
      <c r="AL340" s="52" t="n">
        <f aca="false">AL339*AL$8</f>
        <v>1805.16472025706</v>
      </c>
      <c r="AM340" s="53" t="n">
        <f aca="false">SUMIF($C$6:$AL$6,1,C340:AL340)</f>
        <v>1420.416</v>
      </c>
      <c r="AN340" s="53" t="n">
        <f aca="false">SUMIF($C$6:$AL$6,2,C340:AL340)</f>
        <v>7586.05498187492</v>
      </c>
      <c r="AO340" s="53" t="n">
        <f aca="false">SUMIF($C$6:$AL$6,3,C340:AL340)</f>
        <v>12453.6458035181</v>
      </c>
      <c r="AP340" s="53" t="n">
        <f aca="false">SUM(C340:AL340)</f>
        <v>21460.116785393</v>
      </c>
    </row>
    <row r="341" customFormat="false" ht="15" hidden="false" customHeight="false" outlineLevel="0" collapsed="false">
      <c r="A341" s="7" t="s">
        <v>749</v>
      </c>
      <c r="B341" s="9" t="s">
        <v>88</v>
      </c>
      <c r="C341" s="54" t="n">
        <f aca="false">Assumptions!$E$160*MIN(1,(C$4-Assumptions!$E$155+1)/Assumptions!$C$10)*C338</f>
        <v>-0</v>
      </c>
      <c r="D341" s="54" t="n">
        <f aca="false">Assumptions!$E$160*MIN(1,(D$4-Assumptions!$E$155+1)/Assumptions!$C$10)*D338</f>
        <v>-0</v>
      </c>
      <c r="E341" s="54" t="n">
        <f aca="false">Assumptions!$E$160*MIN(1,(E$4-Assumptions!$E$155+1)/Assumptions!$C$10)*E338</f>
        <v>-0</v>
      </c>
      <c r="F341" s="54" t="n">
        <f aca="false">Assumptions!$E$160*MIN(1,(F$4-Assumptions!$E$155+1)/Assumptions!$C$10)*F338</f>
        <v>-0</v>
      </c>
      <c r="G341" s="54" t="n">
        <f aca="false">Assumptions!$E$160*MIN(1,(G$4-Assumptions!$E$155+1)/Assumptions!$C$10)*G338</f>
        <v>-0</v>
      </c>
      <c r="H341" s="54" t="n">
        <f aca="false">Assumptions!$E$160*MIN(1,(H$4-Assumptions!$E$155+1)/Assumptions!$C$10)*H338</f>
        <v>-0</v>
      </c>
      <c r="I341" s="54" t="n">
        <f aca="false">Assumptions!$E$160*MIN(1,(I$4-Assumptions!$E$155+1)/Assumptions!$C$10)*I338</f>
        <v>-0</v>
      </c>
      <c r="J341" s="54" t="n">
        <f aca="false">Assumptions!$E$160*MIN(1,(J$4-Assumptions!$E$155+1)/Assumptions!$C$10)*J338</f>
        <v>-0</v>
      </c>
      <c r="K341" s="54" t="n">
        <f aca="false">Assumptions!$E$160*MIN(1,(K$4-Assumptions!$E$155+1)/Assumptions!$C$10)*K338</f>
        <v>0</v>
      </c>
      <c r="L341" s="54" t="n">
        <f aca="false">Assumptions!$E$160*MIN(1,(L$4-Assumptions!$E$155+1)/Assumptions!$C$10)*L338</f>
        <v>0.00333333333333333</v>
      </c>
      <c r="M341" s="54" t="n">
        <f aca="false">Assumptions!$E$160*MIN(1,(M$4-Assumptions!$E$155+1)/Assumptions!$C$10)*M338</f>
        <v>0.00666666666666667</v>
      </c>
      <c r="N341" s="54" t="n">
        <f aca="false">Assumptions!$E$160*MIN(1,(N$4-Assumptions!$E$155+1)/Assumptions!$C$10)*N338</f>
        <v>0.01</v>
      </c>
      <c r="O341" s="54" t="n">
        <f aca="false">Assumptions!$E$160*MIN(1,(O$4-Assumptions!$E$155+1)/Assumptions!$C$10)*O338</f>
        <v>0.0133333333333333</v>
      </c>
      <c r="P341" s="54" t="n">
        <f aca="false">Assumptions!$E$160*MIN(1,(P$4-Assumptions!$E$155+1)/Assumptions!$C$10)*P338</f>
        <v>0.0166666666666667</v>
      </c>
      <c r="Q341" s="54" t="n">
        <f aca="false">Assumptions!$E$160*MIN(1,(Q$4-Assumptions!$E$155+1)/Assumptions!$C$10)*Q338</f>
        <v>0.02</v>
      </c>
      <c r="R341" s="54" t="n">
        <f aca="false">Assumptions!$E$160*MIN(1,(R$4-Assumptions!$E$155+1)/Assumptions!$C$10)*R338</f>
        <v>0.02</v>
      </c>
      <c r="S341" s="54" t="n">
        <f aca="false">Assumptions!$E$160*MIN(1,(S$4-Assumptions!$E$155+1)/Assumptions!$C$10)*S338</f>
        <v>0.02</v>
      </c>
      <c r="T341" s="54" t="n">
        <f aca="false">Assumptions!$E$160*MIN(1,(T$4-Assumptions!$E$155+1)/Assumptions!$C$10)*T338</f>
        <v>0.02</v>
      </c>
      <c r="U341" s="54" t="n">
        <f aca="false">Assumptions!$E$160*MIN(1,(U$4-Assumptions!$E$155+1)/Assumptions!$C$10)*U338</f>
        <v>0.02</v>
      </c>
      <c r="V341" s="54" t="n">
        <f aca="false">Assumptions!$E$160*MIN(1,(V$4-Assumptions!$E$155+1)/Assumptions!$C$10)*V338</f>
        <v>0.02</v>
      </c>
      <c r="W341" s="54" t="n">
        <f aca="false">Assumptions!$E$160*MIN(1,(W$4-Assumptions!$E$155+1)/Assumptions!$C$10)*W338</f>
        <v>0.02</v>
      </c>
      <c r="X341" s="54" t="n">
        <f aca="false">Assumptions!$E$160*MIN(1,(X$4-Assumptions!$E$155+1)/Assumptions!$C$10)*X338</f>
        <v>0.02</v>
      </c>
      <c r="Y341" s="54" t="n">
        <f aca="false">Assumptions!$E$160*MIN(1,(Y$4-Assumptions!$E$155+1)/Assumptions!$C$10)*Y338</f>
        <v>0.02</v>
      </c>
      <c r="Z341" s="54" t="n">
        <f aca="false">Assumptions!$E$160*MIN(1,(Z$4-Assumptions!$E$155+1)/Assumptions!$C$10)*Z338</f>
        <v>0.02</v>
      </c>
      <c r="AA341" s="54" t="n">
        <f aca="false">Assumptions!$E$160*MIN(1,(AA$4-Assumptions!$E$155+1)/Assumptions!$C$10)*AA338</f>
        <v>0.02</v>
      </c>
      <c r="AB341" s="54" t="n">
        <f aca="false">Assumptions!$E$160*MIN(1,(AB$4-Assumptions!$E$155+1)/Assumptions!$C$10)*AB338</f>
        <v>0.02</v>
      </c>
      <c r="AC341" s="54" t="n">
        <f aca="false">Assumptions!$E$160*MIN(1,(AC$4-Assumptions!$E$155+1)/Assumptions!$C$10)*AC338</f>
        <v>0.02</v>
      </c>
      <c r="AD341" s="54" t="n">
        <f aca="false">Assumptions!$E$160*MIN(1,(AD$4-Assumptions!$E$155+1)/Assumptions!$C$10)*AD338</f>
        <v>0.02</v>
      </c>
      <c r="AE341" s="54" t="n">
        <f aca="false">Assumptions!$E$160*MIN(1,(AE$4-Assumptions!$E$155+1)/Assumptions!$C$10)*AE338</f>
        <v>0.02</v>
      </c>
      <c r="AF341" s="54" t="n">
        <f aca="false">Assumptions!$E$160*MIN(1,(AF$4-Assumptions!$E$155+1)/Assumptions!$C$10)*AF338</f>
        <v>0.02</v>
      </c>
      <c r="AG341" s="54" t="n">
        <f aca="false">Assumptions!$E$160*MIN(1,(AG$4-Assumptions!$E$155+1)/Assumptions!$C$10)*AG338</f>
        <v>0.02</v>
      </c>
      <c r="AH341" s="54" t="n">
        <f aca="false">Assumptions!$E$160*MIN(1,(AH$4-Assumptions!$E$155+1)/Assumptions!$C$10)*AH338</f>
        <v>0.02</v>
      </c>
      <c r="AI341" s="54" t="n">
        <f aca="false">Assumptions!$E$160*MIN(1,(AI$4-Assumptions!$E$155+1)/Assumptions!$C$10)*AI338</f>
        <v>0.02</v>
      </c>
      <c r="AJ341" s="54" t="n">
        <f aca="false">Assumptions!$E$160*MIN(1,(AJ$4-Assumptions!$E$155+1)/Assumptions!$C$10)*AJ338</f>
        <v>0.02</v>
      </c>
      <c r="AK341" s="54" t="n">
        <f aca="false">Assumptions!$E$160*MIN(1,(AK$4-Assumptions!$E$155+1)/Assumptions!$C$10)*AK338</f>
        <v>0.02</v>
      </c>
      <c r="AL341" s="54" t="n">
        <f aca="false">Assumptions!$E$160*MIN(1,(AL$4-Assumptions!$E$155+1)/Assumptions!$C$10)*AL338</f>
        <v>0.02</v>
      </c>
    </row>
    <row r="342" customFormat="false" ht="15" hidden="false" customHeight="false" outlineLevel="0" collapsed="false">
      <c r="A342" s="7" t="s">
        <v>757</v>
      </c>
      <c r="B342" s="9" t="s">
        <v>751</v>
      </c>
      <c r="C342" s="55" t="n">
        <f aca="false">C340*C341</f>
        <v>-0</v>
      </c>
      <c r="D342" s="55" t="n">
        <f aca="false">D340*D341</f>
        <v>-0</v>
      </c>
      <c r="E342" s="55" t="n">
        <f aca="false">E340*E341</f>
        <v>-0</v>
      </c>
      <c r="F342" s="55" t="n">
        <f aca="false">F340*F341</f>
        <v>-0</v>
      </c>
      <c r="G342" s="55" t="n">
        <f aca="false">G340*G341</f>
        <v>-0</v>
      </c>
      <c r="H342" s="55" t="n">
        <f aca="false">H340*H341</f>
        <v>-0</v>
      </c>
      <c r="I342" s="55" t="n">
        <f aca="false">I340*I341</f>
        <v>-0</v>
      </c>
      <c r="J342" s="55" t="n">
        <f aca="false">J340*J341</f>
        <v>-0</v>
      </c>
      <c r="K342" s="55" t="n">
        <f aca="false">K340*K341</f>
        <v>0</v>
      </c>
      <c r="L342" s="55" t="n">
        <f aca="false">L340*L341</f>
        <v>0.8</v>
      </c>
      <c r="M342" s="55" t="n">
        <f aca="false">M340*M341</f>
        <v>3.67466666666667</v>
      </c>
      <c r="N342" s="55" t="n">
        <f aca="false">N340*N341</f>
        <v>6.29216</v>
      </c>
      <c r="O342" s="55" t="n">
        <f aca="false">O340*O341</f>
        <v>7.6225024</v>
      </c>
      <c r="P342" s="55" t="n">
        <f aca="false">P340*P341</f>
        <v>8.41651306666667</v>
      </c>
      <c r="Q342" s="55" t="n">
        <f aca="false">Q340*Q341</f>
        <v>7.49406323456</v>
      </c>
      <c r="R342" s="55" t="n">
        <f aca="false">R340*R341</f>
        <v>12.4829681878528</v>
      </c>
      <c r="S342" s="55" t="n">
        <f aca="false">S340*S341</f>
        <v>12.0290420719309</v>
      </c>
      <c r="T342" s="55" t="n">
        <f aca="false">T340*T341</f>
        <v>12.7507845962467</v>
      </c>
      <c r="U342" s="55" t="n">
        <f aca="false">U340*U341</f>
        <v>12.1642485048194</v>
      </c>
      <c r="V342" s="55" t="n">
        <f aca="false">V340*V341</f>
        <v>10.02874710064</v>
      </c>
      <c r="W342" s="55" t="n">
        <f aca="false">W340*W341</f>
        <v>6.07455538667336</v>
      </c>
      <c r="X342" s="55" t="n">
        <f aca="false">X340*X341</f>
        <v>9.65854306481064</v>
      </c>
      <c r="Y342" s="55" t="n">
        <f aca="false">Y340*Y341</f>
        <v>22.1824539055151</v>
      </c>
      <c r="Z342" s="55" t="n">
        <f aca="false">Z340*Z341</f>
        <v>25.3221243044496</v>
      </c>
      <c r="AA342" s="55" t="n">
        <f aca="false">AA340*AA341</f>
        <v>22.3558183144998</v>
      </c>
      <c r="AB342" s="55" t="n">
        <f aca="false">AB340*AB341</f>
        <v>19.188744053279</v>
      </c>
      <c r="AC342" s="55" t="n">
        <f aca="false">AC340*AC341</f>
        <v>13.8350844624141</v>
      </c>
      <c r="AD342" s="55" t="n">
        <f aca="false">AD340*AD341</f>
        <v>22.393072422736</v>
      </c>
      <c r="AE342" s="55" t="n">
        <f aca="false">AE340*AE341</f>
        <v>20.9680587231074</v>
      </c>
      <c r="AF342" s="55" t="n">
        <f aca="false">AF340*AF341</f>
        <v>21.5971004848006</v>
      </c>
      <c r="AG342" s="55" t="n">
        <f aca="false">AG340*AG341</f>
        <v>20.0205121494101</v>
      </c>
      <c r="AH342" s="55" t="n">
        <f aca="false">AH340*AH341</f>
        <v>16.0386547330275</v>
      </c>
      <c r="AI342" s="55" t="n">
        <f aca="false">AI340*AI341</f>
        <v>9.43989392858187</v>
      </c>
      <c r="AJ342" s="55" t="n">
        <f aca="false">AJ340*AJ341</f>
        <v>14.584636119659</v>
      </c>
      <c r="AK342" s="55" t="n">
        <f aca="false">AK340*AK341</f>
        <v>32.5480462737057</v>
      </c>
      <c r="AL342" s="55" t="n">
        <f aca="false">AL340*AL341</f>
        <v>36.1032944051412</v>
      </c>
      <c r="AM342" s="53" t="n">
        <f aca="false">SUMIF($C$6:$AL$6,1,C342:AL342)</f>
        <v>10.7668266666667</v>
      </c>
      <c r="AN342" s="53" t="n">
        <f aca="false">SUMIF($C$6:$AL$6,2,C342:AL342)</f>
        <v>146.226545824165</v>
      </c>
      <c r="AO342" s="53" t="n">
        <f aca="false">SUMIF($C$6:$AL$6,3,C342:AL342)</f>
        <v>249.072916070362</v>
      </c>
      <c r="AP342" s="53" t="n">
        <f aca="false">SUM(C342:AL342)</f>
        <v>406.066288561194</v>
      </c>
    </row>
    <row r="343" customFormat="false" ht="15" hidden="false" customHeight="false" outlineLevel="0" collapsed="false">
      <c r="A343" s="7" t="s">
        <v>752</v>
      </c>
      <c r="B343" s="9" t="s">
        <v>331</v>
      </c>
      <c r="C343" s="56" t="n">
        <f aca="false">C342*Assumptions!$E$161</f>
        <v>-0</v>
      </c>
      <c r="D343" s="56" t="n">
        <f aca="false">D342*Assumptions!$E$161</f>
        <v>-0</v>
      </c>
      <c r="E343" s="56" t="n">
        <f aca="false">E342*Assumptions!$E$161</f>
        <v>-0</v>
      </c>
      <c r="F343" s="56" t="n">
        <f aca="false">F342*Assumptions!$E$161</f>
        <v>-0</v>
      </c>
      <c r="G343" s="56" t="n">
        <f aca="false">G342*Assumptions!$E$161</f>
        <v>-0</v>
      </c>
      <c r="H343" s="56" t="n">
        <f aca="false">H342*Assumptions!$E$161</f>
        <v>-0</v>
      </c>
      <c r="I343" s="56" t="n">
        <f aca="false">I342*Assumptions!$E$161</f>
        <v>-0</v>
      </c>
      <c r="J343" s="56" t="n">
        <f aca="false">J342*Assumptions!$E$161</f>
        <v>-0</v>
      </c>
      <c r="K343" s="56" t="n">
        <f aca="false">K342*Assumptions!$E$161</f>
        <v>0</v>
      </c>
      <c r="L343" s="56" t="n">
        <f aca="false">L342*Assumptions!$E$161</f>
        <v>0.96</v>
      </c>
      <c r="M343" s="56" t="n">
        <f aca="false">M342*Assumptions!$E$161</f>
        <v>4.4096</v>
      </c>
      <c r="N343" s="56" t="n">
        <f aca="false">N342*Assumptions!$E$161</f>
        <v>7.550592</v>
      </c>
      <c r="O343" s="56" t="n">
        <f aca="false">O342*Assumptions!$E$161</f>
        <v>9.14700288</v>
      </c>
      <c r="P343" s="56" t="n">
        <f aca="false">P342*Assumptions!$E$161</f>
        <v>10.09981568</v>
      </c>
      <c r="Q343" s="56" t="n">
        <f aca="false">Q342*Assumptions!$E$161</f>
        <v>8.992875881472</v>
      </c>
      <c r="R343" s="56" t="n">
        <f aca="false">R342*Assumptions!$E$161</f>
        <v>14.9795618254234</v>
      </c>
      <c r="S343" s="56" t="n">
        <f aca="false">S342*Assumptions!$E$161</f>
        <v>14.4348504863171</v>
      </c>
      <c r="T343" s="56" t="n">
        <f aca="false">T342*Assumptions!$E$161</f>
        <v>15.3009415154961</v>
      </c>
      <c r="U343" s="56" t="n">
        <f aca="false">U342*Assumptions!$E$161</f>
        <v>14.5970982057833</v>
      </c>
      <c r="V343" s="56" t="n">
        <f aca="false">V342*Assumptions!$E$161</f>
        <v>12.034496520768</v>
      </c>
      <c r="W343" s="56" t="n">
        <f aca="false">W342*Assumptions!$E$161</f>
        <v>7.28946646400803</v>
      </c>
      <c r="X343" s="56" t="n">
        <f aca="false">X342*Assumptions!$E$161</f>
        <v>11.5902516777728</v>
      </c>
      <c r="Y343" s="56" t="n">
        <f aca="false">Y342*Assumptions!$E$161</f>
        <v>26.6189446866181</v>
      </c>
      <c r="Z343" s="56" t="n">
        <f aca="false">Z342*Assumptions!$E$161</f>
        <v>30.3865491653395</v>
      </c>
      <c r="AA343" s="56" t="n">
        <f aca="false">AA342*Assumptions!$E$161</f>
        <v>26.8269819773997</v>
      </c>
      <c r="AB343" s="56" t="n">
        <f aca="false">AB342*Assumptions!$E$161</f>
        <v>23.0264928639348</v>
      </c>
      <c r="AC343" s="56" t="n">
        <f aca="false">AC342*Assumptions!$E$161</f>
        <v>16.602101354897</v>
      </c>
      <c r="AD343" s="56" t="n">
        <f aca="false">AD342*Assumptions!$E$161</f>
        <v>26.8716869072832</v>
      </c>
      <c r="AE343" s="56" t="n">
        <f aca="false">AE342*Assumptions!$E$161</f>
        <v>25.1616704677288</v>
      </c>
      <c r="AF343" s="56" t="n">
        <f aca="false">AF342*Assumptions!$E$161</f>
        <v>25.9165205817607</v>
      </c>
      <c r="AG343" s="56" t="n">
        <f aca="false">AG342*Assumptions!$E$161</f>
        <v>24.0246145792922</v>
      </c>
      <c r="AH343" s="56" t="n">
        <f aca="false">AH342*Assumptions!$E$161</f>
        <v>19.2463856796329</v>
      </c>
      <c r="AI343" s="56" t="n">
        <f aca="false">AI342*Assumptions!$E$161</f>
        <v>11.3278727142982</v>
      </c>
      <c r="AJ343" s="56" t="n">
        <f aca="false">AJ342*Assumptions!$E$161</f>
        <v>17.5015633435908</v>
      </c>
      <c r="AK343" s="56" t="n">
        <f aca="false">AK342*Assumptions!$E$161</f>
        <v>39.0576555284468</v>
      </c>
      <c r="AL343" s="56" t="n">
        <f aca="false">AL342*Assumptions!$E$161</f>
        <v>43.3239532861694</v>
      </c>
      <c r="AM343" s="53" t="n">
        <f aca="false">SUMIF($C$6:$AL$6,1,C343:AL343)</f>
        <v>12.920192</v>
      </c>
      <c r="AN343" s="53" t="n">
        <f aca="false">SUMIF($C$6:$AL$6,2,C343:AL343)</f>
        <v>175.471854988998</v>
      </c>
      <c r="AO343" s="53" t="n">
        <f aca="false">SUMIF($C$6:$AL$6,3,C343:AL343)</f>
        <v>298.887499284435</v>
      </c>
      <c r="AP343" s="53" t="n">
        <f aca="false">SUM(C343:AL343)</f>
        <v>487.279546273433</v>
      </c>
    </row>
    <row r="344" customFormat="false" ht="15" hidden="false" customHeight="false" outlineLevel="0" collapsed="false">
      <c r="A344" s="7" t="s">
        <v>753</v>
      </c>
      <c r="B344" s="9" t="s">
        <v>93</v>
      </c>
      <c r="C344" s="15" t="n">
        <f aca="false">'Unit Economics'!$E$57*Assumptions!$E$161*C338</f>
        <v>0</v>
      </c>
      <c r="D344" s="15" t="n">
        <f aca="false">'Unit Economics'!$E$57*Assumptions!$E$161*D338</f>
        <v>0</v>
      </c>
      <c r="E344" s="15" t="n">
        <f aca="false">'Unit Economics'!$E$57*Assumptions!$E$161*E338</f>
        <v>0</v>
      </c>
      <c r="F344" s="15" t="n">
        <f aca="false">'Unit Economics'!$E$57*Assumptions!$E$161*F338</f>
        <v>0</v>
      </c>
      <c r="G344" s="15" t="n">
        <f aca="false">'Unit Economics'!$E$57*Assumptions!$E$161*G338</f>
        <v>0</v>
      </c>
      <c r="H344" s="15" t="n">
        <f aca="false">'Unit Economics'!$E$57*Assumptions!$E$161*H338</f>
        <v>0</v>
      </c>
      <c r="I344" s="15" t="n">
        <f aca="false">'Unit Economics'!$E$57*Assumptions!$E$161*I338</f>
        <v>0</v>
      </c>
      <c r="J344" s="15" t="n">
        <f aca="false">'Unit Economics'!$E$57*Assumptions!$E$161*J338</f>
        <v>0</v>
      </c>
      <c r="K344" s="15" t="n">
        <f aca="false">'Unit Economics'!$E$57*Assumptions!$E$161*K338</f>
        <v>0</v>
      </c>
      <c r="L344" s="15" t="n">
        <f aca="false">'Unit Economics'!$E$57*Assumptions!$E$161*L338</f>
        <v>52.8</v>
      </c>
      <c r="M344" s="15" t="n">
        <f aca="false">'Unit Economics'!$E$57*Assumptions!$E$161*M338</f>
        <v>52.8</v>
      </c>
      <c r="N344" s="15" t="n">
        <f aca="false">'Unit Economics'!$E$57*Assumptions!$E$161*N338</f>
        <v>52.8</v>
      </c>
      <c r="O344" s="15" t="n">
        <f aca="false">'Unit Economics'!$E$57*Assumptions!$E$161*O338</f>
        <v>52.8</v>
      </c>
      <c r="P344" s="15" t="n">
        <f aca="false">'Unit Economics'!$E$57*Assumptions!$E$161*P338</f>
        <v>52.8</v>
      </c>
      <c r="Q344" s="15" t="n">
        <f aca="false">'Unit Economics'!$E$57*Assumptions!$E$161*Q338</f>
        <v>52.8</v>
      </c>
      <c r="R344" s="15" t="n">
        <f aca="false">'Unit Economics'!$E$57*Assumptions!$E$161*R338</f>
        <v>52.8</v>
      </c>
      <c r="S344" s="15" t="n">
        <f aca="false">'Unit Economics'!$E$57*Assumptions!$E$161*S338</f>
        <v>52.8</v>
      </c>
      <c r="T344" s="15" t="n">
        <f aca="false">'Unit Economics'!$E$57*Assumptions!$E$161*T338</f>
        <v>52.8</v>
      </c>
      <c r="U344" s="15" t="n">
        <f aca="false">'Unit Economics'!$E$57*Assumptions!$E$161*U338</f>
        <v>52.8</v>
      </c>
      <c r="V344" s="15" t="n">
        <f aca="false">'Unit Economics'!$E$57*Assumptions!$E$161*V338</f>
        <v>52.8</v>
      </c>
      <c r="W344" s="15" t="n">
        <f aca="false">'Unit Economics'!$E$57*Assumptions!$E$161*W338</f>
        <v>52.8</v>
      </c>
      <c r="X344" s="15" t="n">
        <f aca="false">'Unit Economics'!$E$57*Assumptions!$E$161*X338</f>
        <v>52.8</v>
      </c>
      <c r="Y344" s="15" t="n">
        <f aca="false">'Unit Economics'!$E$57*Assumptions!$E$161*Y338</f>
        <v>52.8</v>
      </c>
      <c r="Z344" s="15" t="n">
        <f aca="false">'Unit Economics'!$E$57*Assumptions!$E$161*Z338</f>
        <v>52.8</v>
      </c>
      <c r="AA344" s="15" t="n">
        <f aca="false">'Unit Economics'!$E$57*Assumptions!$E$161*AA338</f>
        <v>52.8</v>
      </c>
      <c r="AB344" s="15" t="n">
        <f aca="false">'Unit Economics'!$E$57*Assumptions!$E$161*AB338</f>
        <v>52.8</v>
      </c>
      <c r="AC344" s="15" t="n">
        <f aca="false">'Unit Economics'!$E$57*Assumptions!$E$161*AC338</f>
        <v>52.8</v>
      </c>
      <c r="AD344" s="15" t="n">
        <f aca="false">'Unit Economics'!$E$57*Assumptions!$E$161*AD338</f>
        <v>52.8</v>
      </c>
      <c r="AE344" s="15" t="n">
        <f aca="false">'Unit Economics'!$E$57*Assumptions!$E$161*AE338</f>
        <v>52.8</v>
      </c>
      <c r="AF344" s="15" t="n">
        <f aca="false">'Unit Economics'!$E$57*Assumptions!$E$161*AF338</f>
        <v>52.8</v>
      </c>
      <c r="AG344" s="15" t="n">
        <f aca="false">'Unit Economics'!$E$57*Assumptions!$E$161*AG338</f>
        <v>52.8</v>
      </c>
      <c r="AH344" s="15" t="n">
        <f aca="false">'Unit Economics'!$E$57*Assumptions!$E$161*AH338</f>
        <v>52.8</v>
      </c>
      <c r="AI344" s="15" t="n">
        <f aca="false">'Unit Economics'!$E$57*Assumptions!$E$161*AI338</f>
        <v>52.8</v>
      </c>
      <c r="AJ344" s="15" t="n">
        <f aca="false">'Unit Economics'!$E$57*Assumptions!$E$161*AJ338</f>
        <v>52.8</v>
      </c>
      <c r="AK344" s="15" t="n">
        <f aca="false">'Unit Economics'!$E$57*Assumptions!$E$161*AK338</f>
        <v>52.8</v>
      </c>
      <c r="AL344" s="15" t="n">
        <f aca="false">'Unit Economics'!$E$57*Assumptions!$E$161*AL338</f>
        <v>52.8</v>
      </c>
    </row>
    <row r="345" customFormat="false" ht="15" hidden="false" customHeight="false" outlineLevel="0" collapsed="false">
      <c r="A345" s="7" t="s">
        <v>754</v>
      </c>
      <c r="B345" s="9" t="s">
        <v>93</v>
      </c>
      <c r="C345" s="8" t="n">
        <f aca="false">C343*'Unit Economics'!$E$57</f>
        <v>-0</v>
      </c>
      <c r="D345" s="8" t="n">
        <f aca="false">D343*'Unit Economics'!$E$57</f>
        <v>-0</v>
      </c>
      <c r="E345" s="8" t="n">
        <f aca="false">E343*'Unit Economics'!$E$57</f>
        <v>-0</v>
      </c>
      <c r="F345" s="8" t="n">
        <f aca="false">F343*'Unit Economics'!$E$57</f>
        <v>-0</v>
      </c>
      <c r="G345" s="8" t="n">
        <f aca="false">G343*'Unit Economics'!$E$57</f>
        <v>-0</v>
      </c>
      <c r="H345" s="8" t="n">
        <f aca="false">H343*'Unit Economics'!$E$57</f>
        <v>-0</v>
      </c>
      <c r="I345" s="8" t="n">
        <f aca="false">I343*'Unit Economics'!$E$57</f>
        <v>-0</v>
      </c>
      <c r="J345" s="8" t="n">
        <f aca="false">J343*'Unit Economics'!$E$57</f>
        <v>-0</v>
      </c>
      <c r="K345" s="8" t="n">
        <f aca="false">K343*'Unit Economics'!$E$57</f>
        <v>0</v>
      </c>
      <c r="L345" s="8" t="n">
        <f aca="false">L343*'Unit Economics'!$E$57</f>
        <v>42.24</v>
      </c>
      <c r="M345" s="8" t="n">
        <f aca="false">M343*'Unit Economics'!$E$57</f>
        <v>194.0224</v>
      </c>
      <c r="N345" s="8" t="n">
        <f aca="false">N343*'Unit Economics'!$E$57</f>
        <v>332.226048</v>
      </c>
      <c r="O345" s="8" t="n">
        <f aca="false">O343*'Unit Economics'!$E$57</f>
        <v>402.46812672</v>
      </c>
      <c r="P345" s="8" t="n">
        <f aca="false">P343*'Unit Economics'!$E$57</f>
        <v>444.39188992</v>
      </c>
      <c r="Q345" s="8" t="n">
        <f aca="false">Q343*'Unit Economics'!$E$57</f>
        <v>395.686538784768</v>
      </c>
      <c r="R345" s="8" t="n">
        <f aca="false">R343*'Unit Economics'!$E$57</f>
        <v>659.100720318628</v>
      </c>
      <c r="S345" s="8" t="n">
        <f aca="false">S343*'Unit Economics'!$E$57</f>
        <v>635.133421397951</v>
      </c>
      <c r="T345" s="8" t="n">
        <f aca="false">T343*'Unit Economics'!$E$57</f>
        <v>673.241426681828</v>
      </c>
      <c r="U345" s="8" t="n">
        <f aca="false">U343*'Unit Economics'!$E$57</f>
        <v>642.272321054464</v>
      </c>
      <c r="V345" s="8" t="n">
        <f aca="false">V343*'Unit Economics'!$E$57</f>
        <v>529.517846913791</v>
      </c>
      <c r="W345" s="8" t="n">
        <f aca="false">W343*'Unit Economics'!$E$57</f>
        <v>320.736524416353</v>
      </c>
      <c r="X345" s="8" t="n">
        <f aca="false">X343*'Unit Economics'!$E$57</f>
        <v>509.971073822002</v>
      </c>
      <c r="Y345" s="8" t="n">
        <f aca="false">Y343*'Unit Economics'!$E$57</f>
        <v>1171.2335662112</v>
      </c>
      <c r="Z345" s="8" t="n">
        <f aca="false">Z343*'Unit Economics'!$E$57</f>
        <v>1337.00816327494</v>
      </c>
      <c r="AA345" s="8" t="n">
        <f aca="false">AA343*'Unit Economics'!$E$57</f>
        <v>1180.38720700559</v>
      </c>
      <c r="AB345" s="8" t="n">
        <f aca="false">AB343*'Unit Economics'!$E$57</f>
        <v>1013.16568601313</v>
      </c>
      <c r="AC345" s="8" t="n">
        <f aca="false">AC343*'Unit Economics'!$E$57</f>
        <v>730.492459615466</v>
      </c>
      <c r="AD345" s="8" t="n">
        <f aca="false">AD343*'Unit Economics'!$E$57</f>
        <v>1182.35422392046</v>
      </c>
      <c r="AE345" s="8" t="n">
        <f aca="false">AE343*'Unit Economics'!$E$57</f>
        <v>1107.11350058007</v>
      </c>
      <c r="AF345" s="8" t="n">
        <f aca="false">AF343*'Unit Economics'!$E$57</f>
        <v>1140.32690559747</v>
      </c>
      <c r="AG345" s="8" t="n">
        <f aca="false">AG343*'Unit Economics'!$E$57</f>
        <v>1057.08304148886</v>
      </c>
      <c r="AH345" s="8" t="n">
        <f aca="false">AH343*'Unit Economics'!$E$57</f>
        <v>846.84096990385</v>
      </c>
      <c r="AI345" s="8" t="n">
        <f aca="false">AI343*'Unit Economics'!$E$57</f>
        <v>498.426399429123</v>
      </c>
      <c r="AJ345" s="8" t="n">
        <f aca="false">AJ343*'Unit Economics'!$E$57</f>
        <v>770.068787117995</v>
      </c>
      <c r="AK345" s="8" t="n">
        <f aca="false">AK343*'Unit Economics'!$E$57</f>
        <v>1718.53684325166</v>
      </c>
      <c r="AL345" s="8" t="n">
        <f aca="false">AL343*'Unit Economics'!$E$57</f>
        <v>1906.25394459146</v>
      </c>
      <c r="AM345" s="45" t="n">
        <f aca="false">SUMIF($C$6:$AL$6,1,C345:AL345)</f>
        <v>568.488448</v>
      </c>
      <c r="AN345" s="45" t="n">
        <f aca="false">SUMIF($C$6:$AL$6,2,C345:AL345)</f>
        <v>7720.76161951592</v>
      </c>
      <c r="AO345" s="45" t="n">
        <f aca="false">SUMIF($C$6:$AL$6,3,C345:AL345)</f>
        <v>13151.0499685151</v>
      </c>
      <c r="AP345" s="45" t="n">
        <f aca="false">SUM(C345:AL345)</f>
        <v>21440.300036031</v>
      </c>
    </row>
    <row r="346" customFormat="false" ht="15" hidden="false" customHeight="false" outlineLevel="0" collapsed="false">
      <c r="A346" s="7" t="s">
        <v>755</v>
      </c>
      <c r="B346" s="9" t="s">
        <v>93</v>
      </c>
      <c r="C346" s="8" t="n">
        <f aca="false">C343*'Unit Economics'!$F$57</f>
        <v>-0</v>
      </c>
      <c r="D346" s="8" t="n">
        <f aca="false">D343*'Unit Economics'!$F$57</f>
        <v>-0</v>
      </c>
      <c r="E346" s="8" t="n">
        <f aca="false">E343*'Unit Economics'!$F$57</f>
        <v>-0</v>
      </c>
      <c r="F346" s="8" t="n">
        <f aca="false">F343*'Unit Economics'!$F$57</f>
        <v>-0</v>
      </c>
      <c r="G346" s="8" t="n">
        <f aca="false">G343*'Unit Economics'!$F$57</f>
        <v>-0</v>
      </c>
      <c r="H346" s="8" t="n">
        <f aca="false">H343*'Unit Economics'!$F$57</f>
        <v>-0</v>
      </c>
      <c r="I346" s="8" t="n">
        <f aca="false">I343*'Unit Economics'!$F$57</f>
        <v>-0</v>
      </c>
      <c r="J346" s="8" t="n">
        <f aca="false">J343*'Unit Economics'!$F$57</f>
        <v>-0</v>
      </c>
      <c r="K346" s="8" t="n">
        <f aca="false">K343*'Unit Economics'!$F$57</f>
        <v>0</v>
      </c>
      <c r="L346" s="8" t="n">
        <f aca="false">L343*'Unit Economics'!$F$57</f>
        <v>38.140416</v>
      </c>
      <c r="M346" s="8" t="n">
        <f aca="false">M343*'Unit Economics'!$F$57</f>
        <v>175.19164416</v>
      </c>
      <c r="N346" s="8" t="n">
        <f aca="false">N343*'Unit Economics'!$F$57</f>
        <v>299.9819999232</v>
      </c>
      <c r="O346" s="8" t="n">
        <f aca="false">O343*'Unit Economics'!$F$57</f>
        <v>363.406765621248</v>
      </c>
      <c r="P346" s="8" t="n">
        <f aca="false">P343*'Unit Economics'!$F$57</f>
        <v>401.261637040128</v>
      </c>
      <c r="Q346" s="8" t="n">
        <f aca="false">Q343*'Unit Economics'!$F$57</f>
        <v>357.28336162053</v>
      </c>
      <c r="R346" s="8" t="n">
        <f aca="false">R343*'Unit Economics'!$F$57</f>
        <v>595.13199949934</v>
      </c>
      <c r="S346" s="8" t="n">
        <f aca="false">S343*'Unit Economics'!$F$57</f>
        <v>573.490835881182</v>
      </c>
      <c r="T346" s="8" t="n">
        <f aca="false">T343*'Unit Economics'!$F$57</f>
        <v>607.900286034053</v>
      </c>
      <c r="U346" s="8" t="n">
        <f aca="false">U343*'Unit Economics'!$F$57</f>
        <v>579.936872876487</v>
      </c>
      <c r="V346" s="8" t="n">
        <f aca="false">V343*'Unit Economics'!$F$57</f>
        <v>478.125732971504</v>
      </c>
      <c r="W346" s="8" t="n">
        <f aca="false">W343*'Unit Economics'!$F$57</f>
        <v>289.607586828454</v>
      </c>
      <c r="X346" s="8" t="n">
        <f aca="false">X343*'Unit Economics'!$F$57</f>
        <v>460.476063057241</v>
      </c>
      <c r="Y346" s="8" t="n">
        <f aca="false">Y343*'Unit Economics'!$F$57</f>
        <v>1057.56002482146</v>
      </c>
      <c r="Z346" s="8" t="n">
        <f aca="false">Z343*'Unit Economics'!$F$57</f>
        <v>1207.24544371927</v>
      </c>
      <c r="AA346" s="8" t="n">
        <f aca="false">AA343*'Unit Economics'!$F$57</f>
        <v>1065.8252631693</v>
      </c>
      <c r="AB346" s="8" t="n">
        <f aca="false">AB343*'Unit Economics'!$F$57</f>
        <v>914.833350886982</v>
      </c>
      <c r="AC346" s="8" t="n">
        <f aca="false">AC343*'Unit Economics'!$F$57</f>
        <v>659.594845989514</v>
      </c>
      <c r="AD346" s="8" t="n">
        <f aca="false">AD343*'Unit Economics'!$F$57</f>
        <v>1067.6013721516</v>
      </c>
      <c r="AE346" s="8" t="n">
        <f aca="false">AE343*'Unit Economics'!$F$57</f>
        <v>999.663103014679</v>
      </c>
      <c r="AF346" s="8" t="n">
        <f aca="false">AF343*'Unit Economics'!$F$57</f>
        <v>1029.65299610512</v>
      </c>
      <c r="AG346" s="8" t="n">
        <f aca="false">AG343*'Unit Economics'!$F$57</f>
        <v>954.488327389446</v>
      </c>
      <c r="AH346" s="8" t="n">
        <f aca="false">AH343*'Unit Economics'!$F$57</f>
        <v>764.651204497545</v>
      </c>
      <c r="AI346" s="8" t="n">
        <f aca="false">AI343*'Unit Economics'!$F$57</f>
        <v>450.051851789984</v>
      </c>
      <c r="AJ346" s="8" t="n">
        <f aca="false">AJ343*'Unit Economics'!$F$57</f>
        <v>695.330111015525</v>
      </c>
      <c r="AK346" s="8" t="n">
        <f aca="false">AK343*'Unit Economics'!$F$57</f>
        <v>1551.74503108298</v>
      </c>
      <c r="AL346" s="8" t="n">
        <f aca="false">AL343*'Unit Economics'!$F$57</f>
        <v>1721.2433344782</v>
      </c>
      <c r="AM346" s="45" t="n">
        <f aca="false">SUMIF($C$6:$AL$6,1,C346:AL346)</f>
        <v>513.3140600832</v>
      </c>
      <c r="AN346" s="45" t="n">
        <f aca="false">SUMIF($C$6:$AL$6,2,C346:AL346)</f>
        <v>6971.4266099709</v>
      </c>
      <c r="AO346" s="45" t="n">
        <f aca="false">SUMIF($C$6:$AL$6,3,C346:AL346)</f>
        <v>11874.6807915709</v>
      </c>
      <c r="AP346" s="45" t="n">
        <f aca="false">SUM(C346:AL346)</f>
        <v>19359.421461625</v>
      </c>
    </row>
    <row r="347" customFormat="false" ht="15" hidden="false" customHeight="false" outlineLevel="0" collapsed="false">
      <c r="A347" s="5" t="s">
        <v>568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</row>
    <row r="348" customFormat="false" ht="15" hidden="false" customHeight="false" outlineLevel="0" collapsed="false">
      <c r="A348" s="7" t="s">
        <v>746</v>
      </c>
      <c r="B348" s="9" t="s">
        <v>308</v>
      </c>
      <c r="C348" s="37" t="n">
        <f aca="false">IF(AND(Assumptions!$E$163=1,C$4&gt;=Assumptions!$E$164),1,0)</f>
        <v>0</v>
      </c>
      <c r="D348" s="37" t="n">
        <f aca="false">IF(AND(Assumptions!$E$163=1,D$4&gt;=Assumptions!$E$164),1,0)</f>
        <v>0</v>
      </c>
      <c r="E348" s="37" t="n">
        <f aca="false">IF(AND(Assumptions!$E$163=1,E$4&gt;=Assumptions!$E$164),1,0)</f>
        <v>0</v>
      </c>
      <c r="F348" s="37" t="n">
        <f aca="false">IF(AND(Assumptions!$E$163=1,F$4&gt;=Assumptions!$E$164),1,0)</f>
        <v>0</v>
      </c>
      <c r="G348" s="37" t="n">
        <f aca="false">IF(AND(Assumptions!$E$163=1,G$4&gt;=Assumptions!$E$164),1,0)</f>
        <v>0</v>
      </c>
      <c r="H348" s="37" t="n">
        <f aca="false">IF(AND(Assumptions!$E$163=1,H$4&gt;=Assumptions!$E$164),1,0)</f>
        <v>0</v>
      </c>
      <c r="I348" s="37" t="n">
        <f aca="false">IF(AND(Assumptions!$E$163=1,I$4&gt;=Assumptions!$E$164),1,0)</f>
        <v>0</v>
      </c>
      <c r="J348" s="37" t="n">
        <f aca="false">IF(AND(Assumptions!$E$163=1,J$4&gt;=Assumptions!$E$164),1,0)</f>
        <v>0</v>
      </c>
      <c r="K348" s="37" t="n">
        <f aca="false">IF(AND(Assumptions!$E$163=1,K$4&gt;=Assumptions!$E$164),1,0)</f>
        <v>0</v>
      </c>
      <c r="L348" s="37" t="n">
        <f aca="false">IF(AND(Assumptions!$E$163=1,L$4&gt;=Assumptions!$E$164),1,0)</f>
        <v>0</v>
      </c>
      <c r="M348" s="37" t="n">
        <f aca="false">IF(AND(Assumptions!$E$163=1,M$4&gt;=Assumptions!$E$164),1,0)</f>
        <v>0</v>
      </c>
      <c r="N348" s="37" t="n">
        <f aca="false">IF(AND(Assumptions!$E$163=1,N$4&gt;=Assumptions!$E$164),1,0)</f>
        <v>0</v>
      </c>
      <c r="O348" s="37" t="n">
        <f aca="false">IF(AND(Assumptions!$E$163=1,O$4&gt;=Assumptions!$E$164),1,0)</f>
        <v>0</v>
      </c>
      <c r="P348" s="37" t="n">
        <f aca="false">IF(AND(Assumptions!$E$163=1,P$4&gt;=Assumptions!$E$164),1,0)</f>
        <v>0</v>
      </c>
      <c r="Q348" s="37" t="n">
        <f aca="false">IF(AND(Assumptions!$E$163=1,Q$4&gt;=Assumptions!$E$164),1,0)</f>
        <v>0</v>
      </c>
      <c r="R348" s="37" t="n">
        <f aca="false">IF(AND(Assumptions!$E$163=1,R$4&gt;=Assumptions!$E$164),1,0)</f>
        <v>0</v>
      </c>
      <c r="S348" s="37" t="n">
        <f aca="false">IF(AND(Assumptions!$E$163=1,S$4&gt;=Assumptions!$E$164),1,0)</f>
        <v>0</v>
      </c>
      <c r="T348" s="37" t="n">
        <f aca="false">IF(AND(Assumptions!$E$163=1,T$4&gt;=Assumptions!$E$164),1,0)</f>
        <v>0</v>
      </c>
      <c r="U348" s="37" t="n">
        <f aca="false">IF(AND(Assumptions!$E$163=1,U$4&gt;=Assumptions!$E$164),1,0)</f>
        <v>0</v>
      </c>
      <c r="V348" s="37" t="n">
        <f aca="false">IF(AND(Assumptions!$E$163=1,V$4&gt;=Assumptions!$E$164),1,0)</f>
        <v>0</v>
      </c>
      <c r="W348" s="37" t="n">
        <f aca="false">IF(AND(Assumptions!$E$163=1,W$4&gt;=Assumptions!$E$164),1,0)</f>
        <v>0</v>
      </c>
      <c r="X348" s="37" t="n">
        <f aca="false">IF(AND(Assumptions!$E$163=1,X$4&gt;=Assumptions!$E$164),1,0)</f>
        <v>1</v>
      </c>
      <c r="Y348" s="37" t="n">
        <f aca="false">IF(AND(Assumptions!$E$163=1,Y$4&gt;=Assumptions!$E$164),1,0)</f>
        <v>1</v>
      </c>
      <c r="Z348" s="37" t="n">
        <f aca="false">IF(AND(Assumptions!$E$163=1,Z$4&gt;=Assumptions!$E$164),1,0)</f>
        <v>1</v>
      </c>
      <c r="AA348" s="37" t="n">
        <f aca="false">IF(AND(Assumptions!$E$163=1,AA$4&gt;=Assumptions!$E$164),1,0)</f>
        <v>1</v>
      </c>
      <c r="AB348" s="37" t="n">
        <f aca="false">IF(AND(Assumptions!$E$163=1,AB$4&gt;=Assumptions!$E$164),1,0)</f>
        <v>1</v>
      </c>
      <c r="AC348" s="37" t="n">
        <f aca="false">IF(AND(Assumptions!$E$163=1,AC$4&gt;=Assumptions!$E$164),1,0)</f>
        <v>1</v>
      </c>
      <c r="AD348" s="37" t="n">
        <f aca="false">IF(AND(Assumptions!$E$163=1,AD$4&gt;=Assumptions!$E$164),1,0)</f>
        <v>1</v>
      </c>
      <c r="AE348" s="37" t="n">
        <f aca="false">IF(AND(Assumptions!$E$163=1,AE$4&gt;=Assumptions!$E$164),1,0)</f>
        <v>1</v>
      </c>
      <c r="AF348" s="37" t="n">
        <f aca="false">IF(AND(Assumptions!$E$163=1,AF$4&gt;=Assumptions!$E$164),1,0)</f>
        <v>1</v>
      </c>
      <c r="AG348" s="37" t="n">
        <f aca="false">IF(AND(Assumptions!$E$163=1,AG$4&gt;=Assumptions!$E$164),1,0)</f>
        <v>1</v>
      </c>
      <c r="AH348" s="37" t="n">
        <f aca="false">IF(AND(Assumptions!$E$163=1,AH$4&gt;=Assumptions!$E$164),1,0)</f>
        <v>1</v>
      </c>
      <c r="AI348" s="37" t="n">
        <f aca="false">IF(AND(Assumptions!$E$163=1,AI$4&gt;=Assumptions!$E$164),1,0)</f>
        <v>1</v>
      </c>
      <c r="AJ348" s="37" t="n">
        <f aca="false">IF(AND(Assumptions!$E$163=1,AJ$4&gt;=Assumptions!$E$164),1,0)</f>
        <v>1</v>
      </c>
      <c r="AK348" s="37" t="n">
        <f aca="false">IF(AND(Assumptions!$E$163=1,AK$4&gt;=Assumptions!$E$164),1,0)</f>
        <v>1</v>
      </c>
      <c r="AL348" s="37" t="n">
        <f aca="false">IF(AND(Assumptions!$E$163=1,AL$4&gt;=Assumptions!$E$164),1,0)</f>
        <v>1</v>
      </c>
    </row>
    <row r="349" customFormat="false" ht="15" hidden="false" customHeight="false" outlineLevel="0" collapsed="false">
      <c r="A349" s="7" t="s">
        <v>747</v>
      </c>
      <c r="B349" s="9" t="s">
        <v>316</v>
      </c>
      <c r="C349" s="14" t="n">
        <f aca="false">IF(C348=0,0,Assumptions!$E$165)</f>
        <v>0</v>
      </c>
      <c r="D349" s="14" t="n">
        <f aca="false">IF(D348=0,0,IF(D$4=Assumptions!$E$164,Assumptions!$E$165,C349*(1+CHOOSE(D$6,Assumptions!$E$166,Assumptions!$E$167,Assumptions!$E$168))))</f>
        <v>0</v>
      </c>
      <c r="E349" s="14" t="n">
        <f aca="false">IF(E348=0,0,IF(E$4=Assumptions!$E$164,Assumptions!$E$165,D349*(1+CHOOSE(E$6,Assumptions!$E$166,Assumptions!$E$167,Assumptions!$E$168))))</f>
        <v>0</v>
      </c>
      <c r="F349" s="14" t="n">
        <f aca="false">IF(F348=0,0,IF(F$4=Assumptions!$E$164,Assumptions!$E$165,E349*(1+CHOOSE(F$6,Assumptions!$E$166,Assumptions!$E$167,Assumptions!$E$168))))</f>
        <v>0</v>
      </c>
      <c r="G349" s="14" t="n">
        <f aca="false">IF(G348=0,0,IF(G$4=Assumptions!$E$164,Assumptions!$E$165,F349*(1+CHOOSE(G$6,Assumptions!$E$166,Assumptions!$E$167,Assumptions!$E$168))))</f>
        <v>0</v>
      </c>
      <c r="H349" s="14" t="n">
        <f aca="false">IF(H348=0,0,IF(H$4=Assumptions!$E$164,Assumptions!$E$165,G349*(1+CHOOSE(H$6,Assumptions!$E$166,Assumptions!$E$167,Assumptions!$E$168))))</f>
        <v>0</v>
      </c>
      <c r="I349" s="14" t="n">
        <f aca="false">IF(I348=0,0,IF(I$4=Assumptions!$E$164,Assumptions!$E$165,H349*(1+CHOOSE(I$6,Assumptions!$E$166,Assumptions!$E$167,Assumptions!$E$168))))</f>
        <v>0</v>
      </c>
      <c r="J349" s="14" t="n">
        <f aca="false">IF(J348=0,0,IF(J$4=Assumptions!$E$164,Assumptions!$E$165,I349*(1+CHOOSE(J$6,Assumptions!$E$166,Assumptions!$E$167,Assumptions!$E$168))))</f>
        <v>0</v>
      </c>
      <c r="K349" s="14" t="n">
        <f aca="false">IF(K348=0,0,IF(K$4=Assumptions!$E$164,Assumptions!$E$165,J349*(1+CHOOSE(K$6,Assumptions!$E$166,Assumptions!$E$167,Assumptions!$E$168))))</f>
        <v>0</v>
      </c>
      <c r="L349" s="14" t="n">
        <f aca="false">IF(L348=0,0,IF(L$4=Assumptions!$E$164,Assumptions!$E$165,K349*(1+CHOOSE(L$6,Assumptions!$E$166,Assumptions!$E$167,Assumptions!$E$168))))</f>
        <v>0</v>
      </c>
      <c r="M349" s="14" t="n">
        <f aca="false">IF(M348=0,0,IF(M$4=Assumptions!$E$164,Assumptions!$E$165,L349*(1+CHOOSE(M$6,Assumptions!$E$166,Assumptions!$E$167,Assumptions!$E$168))))</f>
        <v>0</v>
      </c>
      <c r="N349" s="14" t="n">
        <f aca="false">IF(N348=0,0,IF(N$4=Assumptions!$E$164,Assumptions!$E$165,M349*(1+CHOOSE(N$6,Assumptions!$E$166,Assumptions!$E$167,Assumptions!$E$168))))</f>
        <v>0</v>
      </c>
      <c r="O349" s="14" t="n">
        <f aca="false">IF(O348=0,0,IF(O$4=Assumptions!$E$164,Assumptions!$E$165,N349*(1+CHOOSE(O$6,Assumptions!$E$166,Assumptions!$E$167,Assumptions!$E$168))))</f>
        <v>0</v>
      </c>
      <c r="P349" s="14" t="n">
        <f aca="false">IF(P348=0,0,IF(P$4=Assumptions!$E$164,Assumptions!$E$165,O349*(1+CHOOSE(P$6,Assumptions!$E$166,Assumptions!$E$167,Assumptions!$E$168))))</f>
        <v>0</v>
      </c>
      <c r="Q349" s="14" t="n">
        <f aca="false">IF(Q348=0,0,IF(Q$4=Assumptions!$E$164,Assumptions!$E$165,P349*(1+CHOOSE(Q$6,Assumptions!$E$166,Assumptions!$E$167,Assumptions!$E$168))))</f>
        <v>0</v>
      </c>
      <c r="R349" s="14" t="n">
        <f aca="false">IF(R348=0,0,IF(R$4=Assumptions!$E$164,Assumptions!$E$165,Q349*(1+CHOOSE(R$6,Assumptions!$E$166,Assumptions!$E$167,Assumptions!$E$168))))</f>
        <v>0</v>
      </c>
      <c r="S349" s="14" t="n">
        <f aca="false">IF(S348=0,0,IF(S$4=Assumptions!$E$164,Assumptions!$E$165,R349*(1+CHOOSE(S$6,Assumptions!$E$166,Assumptions!$E$167,Assumptions!$E$168))))</f>
        <v>0</v>
      </c>
      <c r="T349" s="14" t="n">
        <f aca="false">IF(T348=0,0,IF(T$4=Assumptions!$E$164,Assumptions!$E$165,S349*(1+CHOOSE(T$6,Assumptions!$E$166,Assumptions!$E$167,Assumptions!$E$168))))</f>
        <v>0</v>
      </c>
      <c r="U349" s="14" t="n">
        <f aca="false">IF(U348=0,0,IF(U$4=Assumptions!$E$164,Assumptions!$E$165,T349*(1+CHOOSE(U$6,Assumptions!$E$166,Assumptions!$E$167,Assumptions!$E$168))))</f>
        <v>0</v>
      </c>
      <c r="V349" s="14" t="n">
        <f aca="false">IF(V348=0,0,IF(V$4=Assumptions!$E$164,Assumptions!$E$165,U349*(1+CHOOSE(V$6,Assumptions!$E$166,Assumptions!$E$167,Assumptions!$E$168))))</f>
        <v>0</v>
      </c>
      <c r="W349" s="14" t="n">
        <f aca="false">IF(W348=0,0,IF(W$4=Assumptions!$E$164,Assumptions!$E$165,V349*(1+CHOOSE(W$6,Assumptions!$E$166,Assumptions!$E$167,Assumptions!$E$168))))</f>
        <v>0</v>
      </c>
      <c r="X349" s="14" t="n">
        <f aca="false">IF(X348=0,0,IF(X$4=Assumptions!$E$164,Assumptions!$E$165,W349*(1+CHOOSE(X$6,Assumptions!$E$166,Assumptions!$E$167,Assumptions!$E$168))))</f>
        <v>1200</v>
      </c>
      <c r="Y349" s="14" t="n">
        <f aca="false">IF(Y348=0,0,IF(Y$4=Assumptions!$E$164,Assumptions!$E$165,X349*(1+CHOOSE(Y$6,Assumptions!$E$166,Assumptions!$E$167,Assumptions!$E$168))))</f>
        <v>1296</v>
      </c>
      <c r="Z349" s="14" t="n">
        <f aca="false">IF(Z348=0,0,IF(Z$4=Assumptions!$E$164,Assumptions!$E$165,Y349*(1+CHOOSE(Z$6,Assumptions!$E$166,Assumptions!$E$167,Assumptions!$E$168))))</f>
        <v>1399.68</v>
      </c>
      <c r="AA349" s="14" t="n">
        <f aca="false">IF(AA348=0,0,IF(AA$4=Assumptions!$E$164,Assumptions!$E$165,Z349*(1+CHOOSE(AA$6,Assumptions!$E$166,Assumptions!$E$167,Assumptions!$E$168))))</f>
        <v>1511.6544</v>
      </c>
      <c r="AB349" s="14" t="n">
        <f aca="false">IF(AB348=0,0,IF(AB$4=Assumptions!$E$164,Assumptions!$E$165,AA349*(1+CHOOSE(AB$6,Assumptions!$E$166,Assumptions!$E$167,Assumptions!$E$168))))</f>
        <v>1632.586752</v>
      </c>
      <c r="AC349" s="14" t="n">
        <f aca="false">IF(AC348=0,0,IF(AC$4=Assumptions!$E$164,Assumptions!$E$165,AB349*(1+CHOOSE(AC$6,Assumptions!$E$166,Assumptions!$E$167,Assumptions!$E$168))))</f>
        <v>1763.19369216</v>
      </c>
      <c r="AD349" s="14" t="n">
        <f aca="false">IF(AD348=0,0,IF(AD$4=Assumptions!$E$164,Assumptions!$E$165,AC349*(1+CHOOSE(AD$6,Assumptions!$E$166,Assumptions!$E$167,Assumptions!$E$168))))</f>
        <v>1904.2491875328</v>
      </c>
      <c r="AE349" s="14" t="n">
        <f aca="false">IF(AE348=0,0,IF(AE$4=Assumptions!$E$164,Assumptions!$E$165,AD349*(1+CHOOSE(AE$6,Assumptions!$E$166,Assumptions!$E$167,Assumptions!$E$168))))</f>
        <v>2056.58912253542</v>
      </c>
      <c r="AF349" s="14" t="n">
        <f aca="false">IF(AF348=0,0,IF(AF$4=Assumptions!$E$164,Assumptions!$E$165,AE349*(1+CHOOSE(AF$6,Assumptions!$E$166,Assumptions!$E$167,Assumptions!$E$168))))</f>
        <v>2221.11625233826</v>
      </c>
      <c r="AG349" s="14" t="n">
        <f aca="false">IF(AG348=0,0,IF(AG$4=Assumptions!$E$164,Assumptions!$E$165,AF349*(1+CHOOSE(AG$6,Assumptions!$E$166,Assumptions!$E$167,Assumptions!$E$168))))</f>
        <v>2398.80555252532</v>
      </c>
      <c r="AH349" s="14" t="n">
        <f aca="false">IF(AH348=0,0,IF(AH$4=Assumptions!$E$164,Assumptions!$E$165,AG349*(1+CHOOSE(AH$6,Assumptions!$E$166,Assumptions!$E$167,Assumptions!$E$168))))</f>
        <v>2590.70999672735</v>
      </c>
      <c r="AI349" s="14" t="n">
        <f aca="false">IF(AI348=0,0,IF(AI$4=Assumptions!$E$164,Assumptions!$E$165,AH349*(1+CHOOSE(AI$6,Assumptions!$E$166,Assumptions!$E$167,Assumptions!$E$168))))</f>
        <v>2797.96679646553</v>
      </c>
      <c r="AJ349" s="14" t="n">
        <f aca="false">IF(AJ348=0,0,IF(AJ$4=Assumptions!$E$164,Assumptions!$E$165,AI349*(1+CHOOSE(AJ$6,Assumptions!$E$166,Assumptions!$E$167,Assumptions!$E$168))))</f>
        <v>3021.80414018278</v>
      </c>
      <c r="AK349" s="14" t="n">
        <f aca="false">IF(AK348=0,0,IF(AK$4=Assumptions!$E$164,Assumptions!$E$165,AJ349*(1+CHOOSE(AK$6,Assumptions!$E$166,Assumptions!$E$167,Assumptions!$E$168))))</f>
        <v>3263.5484713974</v>
      </c>
      <c r="AL349" s="14" t="n">
        <f aca="false">IF(AL348=0,0,IF(AL$4=Assumptions!$E$164,Assumptions!$E$165,AK349*(1+CHOOSE(AL$6,Assumptions!$E$166,Assumptions!$E$167,Assumptions!$E$168))))</f>
        <v>3524.63234910919</v>
      </c>
    </row>
    <row r="350" customFormat="false" ht="15" hidden="false" customHeight="false" outlineLevel="0" collapsed="false">
      <c r="A350" s="7" t="s">
        <v>766</v>
      </c>
      <c r="B350" s="9" t="s">
        <v>316</v>
      </c>
      <c r="C350" s="52" t="n">
        <f aca="false">C349*C$7</f>
        <v>0</v>
      </c>
      <c r="D350" s="52" t="n">
        <f aca="false">D349*D$7</f>
        <v>0</v>
      </c>
      <c r="E350" s="52" t="n">
        <f aca="false">E349*E$7</f>
        <v>0</v>
      </c>
      <c r="F350" s="52" t="n">
        <f aca="false">F349*F$7</f>
        <v>0</v>
      </c>
      <c r="G350" s="52" t="n">
        <f aca="false">G349*G$7</f>
        <v>0</v>
      </c>
      <c r="H350" s="52" t="n">
        <f aca="false">H349*H$7</f>
        <v>0</v>
      </c>
      <c r="I350" s="52" t="n">
        <f aca="false">I349*I$7</f>
        <v>0</v>
      </c>
      <c r="J350" s="52" t="n">
        <f aca="false">J349*J$7</f>
        <v>0</v>
      </c>
      <c r="K350" s="52" t="n">
        <f aca="false">K349*K$7</f>
        <v>0</v>
      </c>
      <c r="L350" s="52" t="n">
        <f aca="false">L349*L$7</f>
        <v>0</v>
      </c>
      <c r="M350" s="52" t="n">
        <f aca="false">M349*M$7</f>
        <v>0</v>
      </c>
      <c r="N350" s="52" t="n">
        <f aca="false">N349*N$7</f>
        <v>0</v>
      </c>
      <c r="O350" s="52" t="n">
        <f aca="false">O349*O$7</f>
        <v>0</v>
      </c>
      <c r="P350" s="52" t="n">
        <f aca="false">P349*P$7</f>
        <v>0</v>
      </c>
      <c r="Q350" s="52" t="n">
        <f aca="false">Q349*Q$7</f>
        <v>0</v>
      </c>
      <c r="R350" s="52" t="n">
        <f aca="false">R349*R$7</f>
        <v>0</v>
      </c>
      <c r="S350" s="52" t="n">
        <f aca="false">S349*S$7</f>
        <v>0</v>
      </c>
      <c r="T350" s="52" t="n">
        <f aca="false">T349*T$7</f>
        <v>0</v>
      </c>
      <c r="U350" s="52" t="n">
        <f aca="false">U349*U$7</f>
        <v>0</v>
      </c>
      <c r="V350" s="52" t="n">
        <f aca="false">V349*V$7</f>
        <v>0</v>
      </c>
      <c r="W350" s="52" t="n">
        <f aca="false">W349*W$7</f>
        <v>0</v>
      </c>
      <c r="X350" s="52" t="n">
        <f aca="false">X349*X$7</f>
        <v>1140</v>
      </c>
      <c r="Y350" s="52" t="n">
        <f aca="false">Y349*Y$7</f>
        <v>1101.6</v>
      </c>
      <c r="Z350" s="52" t="n">
        <f aca="false">Z349*Z$7</f>
        <v>1189.728</v>
      </c>
      <c r="AA350" s="52" t="n">
        <f aca="false">AA349*AA$7</f>
        <v>1436.07168</v>
      </c>
      <c r="AB350" s="52" t="n">
        <f aca="false">AB349*AB$7</f>
        <v>2122.3627776</v>
      </c>
      <c r="AC350" s="52" t="n">
        <f aca="false">AC349*AC$7</f>
        <v>2380.311484416</v>
      </c>
      <c r="AD350" s="52" t="n">
        <f aca="false">AD349*AD$7</f>
        <v>2380.311484416</v>
      </c>
      <c r="AE350" s="52" t="n">
        <f aca="false">AE349*AE$7</f>
        <v>1850.93021028188</v>
      </c>
      <c r="AF350" s="52" t="n">
        <f aca="false">AF349*AF$7</f>
        <v>2221.11625233826</v>
      </c>
      <c r="AG350" s="52" t="n">
        <f aca="false">AG349*AG$7</f>
        <v>2518.74583015159</v>
      </c>
      <c r="AH350" s="52" t="n">
        <f aca="false">AH349*AH$7</f>
        <v>2461.17449689098</v>
      </c>
      <c r="AI350" s="52" t="n">
        <f aca="false">AI349*AI$7</f>
        <v>2797.96679646553</v>
      </c>
      <c r="AJ350" s="52" t="n">
        <f aca="false">AJ349*AJ$7</f>
        <v>2870.71393317364</v>
      </c>
      <c r="AK350" s="52" t="n">
        <f aca="false">AK349*AK$7</f>
        <v>2774.01620068779</v>
      </c>
      <c r="AL350" s="52" t="n">
        <f aca="false">AL349*AL$7</f>
        <v>2995.93749674281</v>
      </c>
      <c r="AM350" s="53" t="n">
        <f aca="false">SUMIF($C$6:$AL$6,1,C350:AL350)</f>
        <v>0</v>
      </c>
      <c r="AN350" s="53" t="n">
        <f aca="false">SUMIF($C$6:$AL$6,2,C350:AL350)</f>
        <v>3431.328</v>
      </c>
      <c r="AO350" s="53" t="n">
        <f aca="false">SUMIF($C$6:$AL$6,3,C350:AL350)</f>
        <v>28809.6586431645</v>
      </c>
      <c r="AP350" s="53" t="n">
        <f aca="false">SUM(C350:AL350)</f>
        <v>32240.9866431645</v>
      </c>
    </row>
    <row r="351" customFormat="false" ht="15" hidden="false" customHeight="false" outlineLevel="0" collapsed="false">
      <c r="A351" s="7" t="s">
        <v>749</v>
      </c>
      <c r="B351" s="9" t="s">
        <v>88</v>
      </c>
      <c r="C351" s="54" t="n">
        <f aca="false">Assumptions!$E$169*MIN(1,(C$4-Assumptions!$E$164+1)/Assumptions!$C$10)*C348</f>
        <v>-0</v>
      </c>
      <c r="D351" s="54" t="n">
        <f aca="false">Assumptions!$E$169*MIN(1,(D$4-Assumptions!$E$164+1)/Assumptions!$C$10)*D348</f>
        <v>-0</v>
      </c>
      <c r="E351" s="54" t="n">
        <f aca="false">Assumptions!$E$169*MIN(1,(E$4-Assumptions!$E$164+1)/Assumptions!$C$10)*E348</f>
        <v>-0</v>
      </c>
      <c r="F351" s="54" t="n">
        <f aca="false">Assumptions!$E$169*MIN(1,(F$4-Assumptions!$E$164+1)/Assumptions!$C$10)*F348</f>
        <v>-0</v>
      </c>
      <c r="G351" s="54" t="n">
        <f aca="false">Assumptions!$E$169*MIN(1,(G$4-Assumptions!$E$164+1)/Assumptions!$C$10)*G348</f>
        <v>-0</v>
      </c>
      <c r="H351" s="54" t="n">
        <f aca="false">Assumptions!$E$169*MIN(1,(H$4-Assumptions!$E$164+1)/Assumptions!$C$10)*H348</f>
        <v>-0</v>
      </c>
      <c r="I351" s="54" t="n">
        <f aca="false">Assumptions!$E$169*MIN(1,(I$4-Assumptions!$E$164+1)/Assumptions!$C$10)*I348</f>
        <v>-0</v>
      </c>
      <c r="J351" s="54" t="n">
        <f aca="false">Assumptions!$E$169*MIN(1,(J$4-Assumptions!$E$164+1)/Assumptions!$C$10)*J348</f>
        <v>-0</v>
      </c>
      <c r="K351" s="54" t="n">
        <f aca="false">Assumptions!$E$169*MIN(1,(K$4-Assumptions!$E$164+1)/Assumptions!$C$10)*K348</f>
        <v>-0</v>
      </c>
      <c r="L351" s="54" t="n">
        <f aca="false">Assumptions!$E$169*MIN(1,(L$4-Assumptions!$E$164+1)/Assumptions!$C$10)*L348</f>
        <v>-0</v>
      </c>
      <c r="M351" s="54" t="n">
        <f aca="false">Assumptions!$E$169*MIN(1,(M$4-Assumptions!$E$164+1)/Assumptions!$C$10)*M348</f>
        <v>-0</v>
      </c>
      <c r="N351" s="54" t="n">
        <f aca="false">Assumptions!$E$169*MIN(1,(N$4-Assumptions!$E$164+1)/Assumptions!$C$10)*N348</f>
        <v>-0</v>
      </c>
      <c r="O351" s="54" t="n">
        <f aca="false">Assumptions!$E$169*MIN(1,(O$4-Assumptions!$E$164+1)/Assumptions!$C$10)*O348</f>
        <v>-0</v>
      </c>
      <c r="P351" s="54" t="n">
        <f aca="false">Assumptions!$E$169*MIN(1,(P$4-Assumptions!$E$164+1)/Assumptions!$C$10)*P348</f>
        <v>-0</v>
      </c>
      <c r="Q351" s="54" t="n">
        <f aca="false">Assumptions!$E$169*MIN(1,(Q$4-Assumptions!$E$164+1)/Assumptions!$C$10)*Q348</f>
        <v>-0</v>
      </c>
      <c r="R351" s="54" t="n">
        <f aca="false">Assumptions!$E$169*MIN(1,(R$4-Assumptions!$E$164+1)/Assumptions!$C$10)*R348</f>
        <v>-0</v>
      </c>
      <c r="S351" s="54" t="n">
        <f aca="false">Assumptions!$E$169*MIN(1,(S$4-Assumptions!$E$164+1)/Assumptions!$C$10)*S348</f>
        <v>-0</v>
      </c>
      <c r="T351" s="54" t="n">
        <f aca="false">Assumptions!$E$169*MIN(1,(T$4-Assumptions!$E$164+1)/Assumptions!$C$10)*T348</f>
        <v>-0</v>
      </c>
      <c r="U351" s="54" t="n">
        <f aca="false">Assumptions!$E$169*MIN(1,(U$4-Assumptions!$E$164+1)/Assumptions!$C$10)*U348</f>
        <v>-0</v>
      </c>
      <c r="V351" s="54" t="n">
        <f aca="false">Assumptions!$E$169*MIN(1,(V$4-Assumptions!$E$164+1)/Assumptions!$C$10)*V348</f>
        <v>-0</v>
      </c>
      <c r="W351" s="54" t="n">
        <f aca="false">Assumptions!$E$169*MIN(1,(W$4-Assumptions!$E$164+1)/Assumptions!$C$10)*W348</f>
        <v>0</v>
      </c>
      <c r="X351" s="54" t="n">
        <f aca="false">Assumptions!$E$169*MIN(1,(X$4-Assumptions!$E$164+1)/Assumptions!$C$10)*X348</f>
        <v>0.0025</v>
      </c>
      <c r="Y351" s="54" t="n">
        <f aca="false">Assumptions!$E$169*MIN(1,(Y$4-Assumptions!$E$164+1)/Assumptions!$C$10)*Y348</f>
        <v>0.005</v>
      </c>
      <c r="Z351" s="54" t="n">
        <f aca="false">Assumptions!$E$169*MIN(1,(Z$4-Assumptions!$E$164+1)/Assumptions!$C$10)*Z348</f>
        <v>0.0075</v>
      </c>
      <c r="AA351" s="54" t="n">
        <f aca="false">Assumptions!$E$169*MIN(1,(AA$4-Assumptions!$E$164+1)/Assumptions!$C$10)*AA348</f>
        <v>0.01</v>
      </c>
      <c r="AB351" s="54" t="n">
        <f aca="false">Assumptions!$E$169*MIN(1,(AB$4-Assumptions!$E$164+1)/Assumptions!$C$10)*AB348</f>
        <v>0.0125</v>
      </c>
      <c r="AC351" s="54" t="n">
        <f aca="false">Assumptions!$E$169*MIN(1,(AC$4-Assumptions!$E$164+1)/Assumptions!$C$10)*AC348</f>
        <v>0.015</v>
      </c>
      <c r="AD351" s="54" t="n">
        <f aca="false">Assumptions!$E$169*MIN(1,(AD$4-Assumptions!$E$164+1)/Assumptions!$C$10)*AD348</f>
        <v>0.015</v>
      </c>
      <c r="AE351" s="54" t="n">
        <f aca="false">Assumptions!$E$169*MIN(1,(AE$4-Assumptions!$E$164+1)/Assumptions!$C$10)*AE348</f>
        <v>0.015</v>
      </c>
      <c r="AF351" s="54" t="n">
        <f aca="false">Assumptions!$E$169*MIN(1,(AF$4-Assumptions!$E$164+1)/Assumptions!$C$10)*AF348</f>
        <v>0.015</v>
      </c>
      <c r="AG351" s="54" t="n">
        <f aca="false">Assumptions!$E$169*MIN(1,(AG$4-Assumptions!$E$164+1)/Assumptions!$C$10)*AG348</f>
        <v>0.015</v>
      </c>
      <c r="AH351" s="54" t="n">
        <f aca="false">Assumptions!$E$169*MIN(1,(AH$4-Assumptions!$E$164+1)/Assumptions!$C$10)*AH348</f>
        <v>0.015</v>
      </c>
      <c r="AI351" s="54" t="n">
        <f aca="false">Assumptions!$E$169*MIN(1,(AI$4-Assumptions!$E$164+1)/Assumptions!$C$10)*AI348</f>
        <v>0.015</v>
      </c>
      <c r="AJ351" s="54" t="n">
        <f aca="false">Assumptions!$E$169*MIN(1,(AJ$4-Assumptions!$E$164+1)/Assumptions!$C$10)*AJ348</f>
        <v>0.015</v>
      </c>
      <c r="AK351" s="54" t="n">
        <f aca="false">Assumptions!$E$169*MIN(1,(AK$4-Assumptions!$E$164+1)/Assumptions!$C$10)*AK348</f>
        <v>0.015</v>
      </c>
      <c r="AL351" s="54" t="n">
        <f aca="false">Assumptions!$E$169*MIN(1,(AL$4-Assumptions!$E$164+1)/Assumptions!$C$10)*AL348</f>
        <v>0.015</v>
      </c>
    </row>
    <row r="352" customFormat="false" ht="15" hidden="false" customHeight="false" outlineLevel="0" collapsed="false">
      <c r="A352" s="7" t="s">
        <v>757</v>
      </c>
      <c r="B352" s="9" t="s">
        <v>751</v>
      </c>
      <c r="C352" s="55" t="n">
        <f aca="false">C350*C351</f>
        <v>-0</v>
      </c>
      <c r="D352" s="55" t="n">
        <f aca="false">D350*D351</f>
        <v>-0</v>
      </c>
      <c r="E352" s="55" t="n">
        <f aca="false">E350*E351</f>
        <v>-0</v>
      </c>
      <c r="F352" s="55" t="n">
        <f aca="false">F350*F351</f>
        <v>-0</v>
      </c>
      <c r="G352" s="55" t="n">
        <f aca="false">G350*G351</f>
        <v>-0</v>
      </c>
      <c r="H352" s="55" t="n">
        <f aca="false">H350*H351</f>
        <v>-0</v>
      </c>
      <c r="I352" s="55" t="n">
        <f aca="false">I350*I351</f>
        <v>-0</v>
      </c>
      <c r="J352" s="55" t="n">
        <f aca="false">J350*J351</f>
        <v>-0</v>
      </c>
      <c r="K352" s="55" t="n">
        <f aca="false">K350*K351</f>
        <v>-0</v>
      </c>
      <c r="L352" s="55" t="n">
        <f aca="false">L350*L351</f>
        <v>-0</v>
      </c>
      <c r="M352" s="55" t="n">
        <f aca="false">M350*M351</f>
        <v>-0</v>
      </c>
      <c r="N352" s="55" t="n">
        <f aca="false">N350*N351</f>
        <v>-0</v>
      </c>
      <c r="O352" s="55" t="n">
        <f aca="false">O350*O351</f>
        <v>-0</v>
      </c>
      <c r="P352" s="55" t="n">
        <f aca="false">P350*P351</f>
        <v>-0</v>
      </c>
      <c r="Q352" s="55" t="n">
        <f aca="false">Q350*Q351</f>
        <v>-0</v>
      </c>
      <c r="R352" s="55" t="n">
        <f aca="false">R350*R351</f>
        <v>-0</v>
      </c>
      <c r="S352" s="55" t="n">
        <f aca="false">S350*S351</f>
        <v>-0</v>
      </c>
      <c r="T352" s="55" t="n">
        <f aca="false">T350*T351</f>
        <v>-0</v>
      </c>
      <c r="U352" s="55" t="n">
        <f aca="false">U350*U351</f>
        <v>-0</v>
      </c>
      <c r="V352" s="55" t="n">
        <f aca="false">V350*V351</f>
        <v>-0</v>
      </c>
      <c r="W352" s="55" t="n">
        <f aca="false">W350*W351</f>
        <v>0</v>
      </c>
      <c r="X352" s="55" t="n">
        <f aca="false">X350*X351</f>
        <v>2.85</v>
      </c>
      <c r="Y352" s="55" t="n">
        <f aca="false">Y350*Y351</f>
        <v>5.508</v>
      </c>
      <c r="Z352" s="55" t="n">
        <f aca="false">Z350*Z351</f>
        <v>8.92296</v>
      </c>
      <c r="AA352" s="55" t="n">
        <f aca="false">AA350*AA351</f>
        <v>14.3607168</v>
      </c>
      <c r="AB352" s="55" t="n">
        <f aca="false">AB350*AB351</f>
        <v>26.52953472</v>
      </c>
      <c r="AC352" s="55" t="n">
        <f aca="false">AC350*AC351</f>
        <v>35.70467226624</v>
      </c>
      <c r="AD352" s="55" t="n">
        <f aca="false">AD350*AD351</f>
        <v>35.70467226624</v>
      </c>
      <c r="AE352" s="55" t="n">
        <f aca="false">AE350*AE351</f>
        <v>27.7639531542282</v>
      </c>
      <c r="AF352" s="55" t="n">
        <f aca="false">AF350*AF351</f>
        <v>33.3167437850739</v>
      </c>
      <c r="AG352" s="55" t="n">
        <f aca="false">AG350*AG351</f>
        <v>37.7811874522738</v>
      </c>
      <c r="AH352" s="55" t="n">
        <f aca="false">AH350*AH351</f>
        <v>36.9176174533647</v>
      </c>
      <c r="AI352" s="55" t="n">
        <f aca="false">AI350*AI351</f>
        <v>41.969501946983</v>
      </c>
      <c r="AJ352" s="55" t="n">
        <f aca="false">AJ350*AJ351</f>
        <v>43.0607089976046</v>
      </c>
      <c r="AK352" s="55" t="n">
        <f aca="false">AK350*AK351</f>
        <v>41.6102430103168</v>
      </c>
      <c r="AL352" s="55" t="n">
        <f aca="false">AL350*AL351</f>
        <v>44.9390624511422</v>
      </c>
      <c r="AM352" s="53" t="n">
        <f aca="false">SUMIF($C$6:$AL$6,1,C352:AL352)</f>
        <v>0</v>
      </c>
      <c r="AN352" s="53" t="n">
        <f aca="false">SUMIF($C$6:$AL$6,2,C352:AL352)</f>
        <v>17.28096</v>
      </c>
      <c r="AO352" s="53" t="n">
        <f aca="false">SUMIF($C$6:$AL$6,3,C352:AL352)</f>
        <v>419.658614303467</v>
      </c>
      <c r="AP352" s="53" t="n">
        <f aca="false">SUM(C352:AL352)</f>
        <v>436.939574303467</v>
      </c>
    </row>
    <row r="353" customFormat="false" ht="15" hidden="false" customHeight="false" outlineLevel="0" collapsed="false">
      <c r="A353" s="7" t="s">
        <v>752</v>
      </c>
      <c r="B353" s="9" t="s">
        <v>331</v>
      </c>
      <c r="C353" s="56" t="n">
        <f aca="false">C352*Assumptions!$E$170</f>
        <v>-0</v>
      </c>
      <c r="D353" s="56" t="n">
        <f aca="false">D352*Assumptions!$E$170</f>
        <v>-0</v>
      </c>
      <c r="E353" s="56" t="n">
        <f aca="false">E352*Assumptions!$E$170</f>
        <v>-0</v>
      </c>
      <c r="F353" s="56" t="n">
        <f aca="false">F352*Assumptions!$E$170</f>
        <v>-0</v>
      </c>
      <c r="G353" s="56" t="n">
        <f aca="false">G352*Assumptions!$E$170</f>
        <v>-0</v>
      </c>
      <c r="H353" s="56" t="n">
        <f aca="false">H352*Assumptions!$E$170</f>
        <v>-0</v>
      </c>
      <c r="I353" s="56" t="n">
        <f aca="false">I352*Assumptions!$E$170</f>
        <v>-0</v>
      </c>
      <c r="J353" s="56" t="n">
        <f aca="false">J352*Assumptions!$E$170</f>
        <v>-0</v>
      </c>
      <c r="K353" s="56" t="n">
        <f aca="false">K352*Assumptions!$E$170</f>
        <v>-0</v>
      </c>
      <c r="L353" s="56" t="n">
        <f aca="false">L352*Assumptions!$E$170</f>
        <v>-0</v>
      </c>
      <c r="M353" s="56" t="n">
        <f aca="false">M352*Assumptions!$E$170</f>
        <v>-0</v>
      </c>
      <c r="N353" s="56" t="n">
        <f aca="false">N352*Assumptions!$E$170</f>
        <v>-0</v>
      </c>
      <c r="O353" s="56" t="n">
        <f aca="false">O352*Assumptions!$E$170</f>
        <v>-0</v>
      </c>
      <c r="P353" s="56" t="n">
        <f aca="false">P352*Assumptions!$E$170</f>
        <v>-0</v>
      </c>
      <c r="Q353" s="56" t="n">
        <f aca="false">Q352*Assumptions!$E$170</f>
        <v>-0</v>
      </c>
      <c r="R353" s="56" t="n">
        <f aca="false">R352*Assumptions!$E$170</f>
        <v>-0</v>
      </c>
      <c r="S353" s="56" t="n">
        <f aca="false">S352*Assumptions!$E$170</f>
        <v>-0</v>
      </c>
      <c r="T353" s="56" t="n">
        <f aca="false">T352*Assumptions!$E$170</f>
        <v>-0</v>
      </c>
      <c r="U353" s="56" t="n">
        <f aca="false">U352*Assumptions!$E$170</f>
        <v>-0</v>
      </c>
      <c r="V353" s="56" t="n">
        <f aca="false">V352*Assumptions!$E$170</f>
        <v>-0</v>
      </c>
      <c r="W353" s="56" t="n">
        <f aca="false">W352*Assumptions!$E$170</f>
        <v>0</v>
      </c>
      <c r="X353" s="56" t="n">
        <f aca="false">X352*Assumptions!$E$170</f>
        <v>14.25</v>
      </c>
      <c r="Y353" s="56" t="n">
        <f aca="false">Y352*Assumptions!$E$170</f>
        <v>27.54</v>
      </c>
      <c r="Z353" s="56" t="n">
        <f aca="false">Z352*Assumptions!$E$170</f>
        <v>44.6148</v>
      </c>
      <c r="AA353" s="56" t="n">
        <f aca="false">AA352*Assumptions!$E$170</f>
        <v>71.803584</v>
      </c>
      <c r="AB353" s="56" t="n">
        <f aca="false">AB352*Assumptions!$E$170</f>
        <v>132.6476736</v>
      </c>
      <c r="AC353" s="56" t="n">
        <f aca="false">AC352*Assumptions!$E$170</f>
        <v>178.5233613312</v>
      </c>
      <c r="AD353" s="56" t="n">
        <f aca="false">AD352*Assumptions!$E$170</f>
        <v>178.5233613312</v>
      </c>
      <c r="AE353" s="56" t="n">
        <f aca="false">AE352*Assumptions!$E$170</f>
        <v>138.819765771141</v>
      </c>
      <c r="AF353" s="56" t="n">
        <f aca="false">AF352*Assumptions!$E$170</f>
        <v>166.583718925369</v>
      </c>
      <c r="AG353" s="56" t="n">
        <f aca="false">AG352*Assumptions!$E$170</f>
        <v>188.905937261369</v>
      </c>
      <c r="AH353" s="56" t="n">
        <f aca="false">AH352*Assumptions!$E$170</f>
        <v>184.588087266823</v>
      </c>
      <c r="AI353" s="56" t="n">
        <f aca="false">AI352*Assumptions!$E$170</f>
        <v>209.847509734915</v>
      </c>
      <c r="AJ353" s="56" t="n">
        <f aca="false">AJ352*Assumptions!$E$170</f>
        <v>215.303544988023</v>
      </c>
      <c r="AK353" s="56" t="n">
        <f aca="false">AK352*Assumptions!$E$170</f>
        <v>208.051215051584</v>
      </c>
      <c r="AL353" s="56" t="n">
        <f aca="false">AL352*Assumptions!$E$170</f>
        <v>224.695312255711</v>
      </c>
      <c r="AM353" s="53" t="n">
        <f aca="false">SUMIF($C$6:$AL$6,1,C353:AL353)</f>
        <v>0</v>
      </c>
      <c r="AN353" s="53" t="n">
        <f aca="false">SUMIF($C$6:$AL$6,2,C353:AL353)</f>
        <v>86.4048</v>
      </c>
      <c r="AO353" s="53" t="n">
        <f aca="false">SUMIF($C$6:$AL$6,3,C353:AL353)</f>
        <v>2098.29307151734</v>
      </c>
      <c r="AP353" s="53" t="n">
        <f aca="false">SUM(C353:AL353)</f>
        <v>2184.69787151734</v>
      </c>
    </row>
    <row r="354" customFormat="false" ht="15" hidden="false" customHeight="false" outlineLevel="0" collapsed="false">
      <c r="A354" s="7" t="s">
        <v>753</v>
      </c>
      <c r="B354" s="9" t="s">
        <v>93</v>
      </c>
      <c r="C354" s="15" t="n">
        <f aca="false">'Unit Economics'!$E$58*Assumptions!$E$170*C348</f>
        <v>0</v>
      </c>
      <c r="D354" s="15" t="n">
        <f aca="false">'Unit Economics'!$E$58*Assumptions!$E$170*D348</f>
        <v>0</v>
      </c>
      <c r="E354" s="15" t="n">
        <f aca="false">'Unit Economics'!$E$58*Assumptions!$E$170*E348</f>
        <v>0</v>
      </c>
      <c r="F354" s="15" t="n">
        <f aca="false">'Unit Economics'!$E$58*Assumptions!$E$170*F348</f>
        <v>0</v>
      </c>
      <c r="G354" s="15" t="n">
        <f aca="false">'Unit Economics'!$E$58*Assumptions!$E$170*G348</f>
        <v>0</v>
      </c>
      <c r="H354" s="15" t="n">
        <f aca="false">'Unit Economics'!$E$58*Assumptions!$E$170*H348</f>
        <v>0</v>
      </c>
      <c r="I354" s="15" t="n">
        <f aca="false">'Unit Economics'!$E$58*Assumptions!$E$170*I348</f>
        <v>0</v>
      </c>
      <c r="J354" s="15" t="n">
        <f aca="false">'Unit Economics'!$E$58*Assumptions!$E$170*J348</f>
        <v>0</v>
      </c>
      <c r="K354" s="15" t="n">
        <f aca="false">'Unit Economics'!$E$58*Assumptions!$E$170*K348</f>
        <v>0</v>
      </c>
      <c r="L354" s="15" t="n">
        <f aca="false">'Unit Economics'!$E$58*Assumptions!$E$170*L348</f>
        <v>0</v>
      </c>
      <c r="M354" s="15" t="n">
        <f aca="false">'Unit Economics'!$E$58*Assumptions!$E$170*M348</f>
        <v>0</v>
      </c>
      <c r="N354" s="15" t="n">
        <f aca="false">'Unit Economics'!$E$58*Assumptions!$E$170*N348</f>
        <v>0</v>
      </c>
      <c r="O354" s="15" t="n">
        <f aca="false">'Unit Economics'!$E$58*Assumptions!$E$170*O348</f>
        <v>0</v>
      </c>
      <c r="P354" s="15" t="n">
        <f aca="false">'Unit Economics'!$E$58*Assumptions!$E$170*P348</f>
        <v>0</v>
      </c>
      <c r="Q354" s="15" t="n">
        <f aca="false">'Unit Economics'!$E$58*Assumptions!$E$170*Q348</f>
        <v>0</v>
      </c>
      <c r="R354" s="15" t="n">
        <f aca="false">'Unit Economics'!$E$58*Assumptions!$E$170*R348</f>
        <v>0</v>
      </c>
      <c r="S354" s="15" t="n">
        <f aca="false">'Unit Economics'!$E$58*Assumptions!$E$170*S348</f>
        <v>0</v>
      </c>
      <c r="T354" s="15" t="n">
        <f aca="false">'Unit Economics'!$E$58*Assumptions!$E$170*T348</f>
        <v>0</v>
      </c>
      <c r="U354" s="15" t="n">
        <f aca="false">'Unit Economics'!$E$58*Assumptions!$E$170*U348</f>
        <v>0</v>
      </c>
      <c r="V354" s="15" t="n">
        <f aca="false">'Unit Economics'!$E$58*Assumptions!$E$170*V348</f>
        <v>0</v>
      </c>
      <c r="W354" s="15" t="n">
        <f aca="false">'Unit Economics'!$E$58*Assumptions!$E$170*W348</f>
        <v>0</v>
      </c>
      <c r="X354" s="15" t="n">
        <f aca="false">'Unit Economics'!$E$58*Assumptions!$E$170*X348</f>
        <v>48.7125</v>
      </c>
      <c r="Y354" s="15" t="n">
        <f aca="false">'Unit Economics'!$E$58*Assumptions!$E$170*Y348</f>
        <v>48.7125</v>
      </c>
      <c r="Z354" s="15" t="n">
        <f aca="false">'Unit Economics'!$E$58*Assumptions!$E$170*Z348</f>
        <v>48.7125</v>
      </c>
      <c r="AA354" s="15" t="n">
        <f aca="false">'Unit Economics'!$E$58*Assumptions!$E$170*AA348</f>
        <v>48.7125</v>
      </c>
      <c r="AB354" s="15" t="n">
        <f aca="false">'Unit Economics'!$E$58*Assumptions!$E$170*AB348</f>
        <v>48.7125</v>
      </c>
      <c r="AC354" s="15" t="n">
        <f aca="false">'Unit Economics'!$E$58*Assumptions!$E$170*AC348</f>
        <v>48.7125</v>
      </c>
      <c r="AD354" s="15" t="n">
        <f aca="false">'Unit Economics'!$E$58*Assumptions!$E$170*AD348</f>
        <v>48.7125</v>
      </c>
      <c r="AE354" s="15" t="n">
        <f aca="false">'Unit Economics'!$E$58*Assumptions!$E$170*AE348</f>
        <v>48.7125</v>
      </c>
      <c r="AF354" s="15" t="n">
        <f aca="false">'Unit Economics'!$E$58*Assumptions!$E$170*AF348</f>
        <v>48.7125</v>
      </c>
      <c r="AG354" s="15" t="n">
        <f aca="false">'Unit Economics'!$E$58*Assumptions!$E$170*AG348</f>
        <v>48.7125</v>
      </c>
      <c r="AH354" s="15" t="n">
        <f aca="false">'Unit Economics'!$E$58*Assumptions!$E$170*AH348</f>
        <v>48.7125</v>
      </c>
      <c r="AI354" s="15" t="n">
        <f aca="false">'Unit Economics'!$E$58*Assumptions!$E$170*AI348</f>
        <v>48.7125</v>
      </c>
      <c r="AJ354" s="15" t="n">
        <f aca="false">'Unit Economics'!$E$58*Assumptions!$E$170*AJ348</f>
        <v>48.7125</v>
      </c>
      <c r="AK354" s="15" t="n">
        <f aca="false">'Unit Economics'!$E$58*Assumptions!$E$170*AK348</f>
        <v>48.7125</v>
      </c>
      <c r="AL354" s="15" t="n">
        <f aca="false">'Unit Economics'!$E$58*Assumptions!$E$170*AL348</f>
        <v>48.7125</v>
      </c>
    </row>
    <row r="355" customFormat="false" ht="15" hidden="false" customHeight="false" outlineLevel="0" collapsed="false">
      <c r="A355" s="7" t="s">
        <v>754</v>
      </c>
      <c r="B355" s="9" t="s">
        <v>93</v>
      </c>
      <c r="C355" s="8" t="n">
        <f aca="false">C353*'Unit Economics'!$E$58</f>
        <v>-0</v>
      </c>
      <c r="D355" s="8" t="n">
        <f aca="false">D353*'Unit Economics'!$E$58</f>
        <v>-0</v>
      </c>
      <c r="E355" s="8" t="n">
        <f aca="false">E353*'Unit Economics'!$E$58</f>
        <v>-0</v>
      </c>
      <c r="F355" s="8" t="n">
        <f aca="false">F353*'Unit Economics'!$E$58</f>
        <v>-0</v>
      </c>
      <c r="G355" s="8" t="n">
        <f aca="false">G353*'Unit Economics'!$E$58</f>
        <v>-0</v>
      </c>
      <c r="H355" s="8" t="n">
        <f aca="false">H353*'Unit Economics'!$E$58</f>
        <v>-0</v>
      </c>
      <c r="I355" s="8" t="n">
        <f aca="false">I353*'Unit Economics'!$E$58</f>
        <v>-0</v>
      </c>
      <c r="J355" s="8" t="n">
        <f aca="false">J353*'Unit Economics'!$E$58</f>
        <v>-0</v>
      </c>
      <c r="K355" s="8" t="n">
        <f aca="false">K353*'Unit Economics'!$E$58</f>
        <v>-0</v>
      </c>
      <c r="L355" s="8" t="n">
        <f aca="false">L353*'Unit Economics'!$E$58</f>
        <v>-0</v>
      </c>
      <c r="M355" s="8" t="n">
        <f aca="false">M353*'Unit Economics'!$E$58</f>
        <v>-0</v>
      </c>
      <c r="N355" s="8" t="n">
        <f aca="false">N353*'Unit Economics'!$E$58</f>
        <v>-0</v>
      </c>
      <c r="O355" s="8" t="n">
        <f aca="false">O353*'Unit Economics'!$E$58</f>
        <v>-0</v>
      </c>
      <c r="P355" s="8" t="n">
        <f aca="false">P353*'Unit Economics'!$E$58</f>
        <v>-0</v>
      </c>
      <c r="Q355" s="8" t="n">
        <f aca="false">Q353*'Unit Economics'!$E$58</f>
        <v>-0</v>
      </c>
      <c r="R355" s="8" t="n">
        <f aca="false">R353*'Unit Economics'!$E$58</f>
        <v>-0</v>
      </c>
      <c r="S355" s="8" t="n">
        <f aca="false">S353*'Unit Economics'!$E$58</f>
        <v>-0</v>
      </c>
      <c r="T355" s="8" t="n">
        <f aca="false">T353*'Unit Economics'!$E$58</f>
        <v>-0</v>
      </c>
      <c r="U355" s="8" t="n">
        <f aca="false">U353*'Unit Economics'!$E$58</f>
        <v>-0</v>
      </c>
      <c r="V355" s="8" t="n">
        <f aca="false">V353*'Unit Economics'!$E$58</f>
        <v>-0</v>
      </c>
      <c r="W355" s="8" t="n">
        <f aca="false">W353*'Unit Economics'!$E$58</f>
        <v>0</v>
      </c>
      <c r="X355" s="8" t="n">
        <f aca="false">X353*'Unit Economics'!$E$58</f>
        <v>138.830625</v>
      </c>
      <c r="Y355" s="8" t="n">
        <f aca="false">Y353*'Unit Economics'!$E$58</f>
        <v>268.30845</v>
      </c>
      <c r="Z355" s="8" t="n">
        <f aca="false">Z353*'Unit Economics'!$E$58</f>
        <v>434.659689</v>
      </c>
      <c r="AA355" s="8" t="n">
        <f aca="false">AA353*'Unit Economics'!$E$58</f>
        <v>699.54641712</v>
      </c>
      <c r="AB355" s="8" t="n">
        <f aca="false">AB353*'Unit Economics'!$E$58</f>
        <v>1292.319960048</v>
      </c>
      <c r="AC355" s="8" t="n">
        <f aca="false">AC353*'Unit Economics'!$E$58</f>
        <v>1739.26384776922</v>
      </c>
      <c r="AD355" s="8" t="n">
        <f aca="false">AD353*'Unit Economics'!$E$58</f>
        <v>1739.26384776922</v>
      </c>
      <c r="AE355" s="8" t="n">
        <f aca="false">AE353*'Unit Economics'!$E$58</f>
        <v>1352.45156802534</v>
      </c>
      <c r="AF355" s="8" t="n">
        <f aca="false">AF353*'Unit Economics'!$E$58</f>
        <v>1622.94188163041</v>
      </c>
      <c r="AG355" s="8" t="n">
        <f aca="false">AG353*'Unit Economics'!$E$58</f>
        <v>1840.41609376889</v>
      </c>
      <c r="AH355" s="8" t="n">
        <f aca="false">AH353*'Unit Economics'!$E$58</f>
        <v>1798.34944019703</v>
      </c>
      <c r="AI355" s="8" t="n">
        <f aca="false">AI353*'Unit Economics'!$E$58</f>
        <v>2044.43936359241</v>
      </c>
      <c r="AJ355" s="8" t="n">
        <f aca="false">AJ353*'Unit Economics'!$E$58</f>
        <v>2097.59478704581</v>
      </c>
      <c r="AK355" s="8" t="n">
        <f aca="false">AK353*'Unit Economics'!$E$58</f>
        <v>2026.93896264006</v>
      </c>
      <c r="AL355" s="8" t="n">
        <f aca="false">AL353*'Unit Economics'!$E$58</f>
        <v>2189.09407965126</v>
      </c>
      <c r="AM355" s="45" t="n">
        <f aca="false">SUMIF($C$6:$AL$6,1,C355:AL355)</f>
        <v>0</v>
      </c>
      <c r="AN355" s="45" t="n">
        <f aca="false">SUMIF($C$6:$AL$6,2,C355:AL355)</f>
        <v>841.798764</v>
      </c>
      <c r="AO355" s="45" t="n">
        <f aca="false">SUMIF($C$6:$AL$6,3,C355:AL355)</f>
        <v>20442.6202492576</v>
      </c>
      <c r="AP355" s="45" t="n">
        <f aca="false">SUM(C355:AL355)</f>
        <v>21284.4190132576</v>
      </c>
    </row>
    <row r="356" customFormat="false" ht="15" hidden="false" customHeight="false" outlineLevel="0" collapsed="false">
      <c r="A356" s="7" t="s">
        <v>755</v>
      </c>
      <c r="B356" s="9" t="s">
        <v>93</v>
      </c>
      <c r="C356" s="8" t="n">
        <f aca="false">C353*'Unit Economics'!$F$58</f>
        <v>-0</v>
      </c>
      <c r="D356" s="8" t="n">
        <f aca="false">D353*'Unit Economics'!$F$58</f>
        <v>-0</v>
      </c>
      <c r="E356" s="8" t="n">
        <f aca="false">E353*'Unit Economics'!$F$58</f>
        <v>-0</v>
      </c>
      <c r="F356" s="8" t="n">
        <f aca="false">F353*'Unit Economics'!$F$58</f>
        <v>-0</v>
      </c>
      <c r="G356" s="8" t="n">
        <f aca="false">G353*'Unit Economics'!$F$58</f>
        <v>-0</v>
      </c>
      <c r="H356" s="8" t="n">
        <f aca="false">H353*'Unit Economics'!$F$58</f>
        <v>-0</v>
      </c>
      <c r="I356" s="8" t="n">
        <f aca="false">I353*'Unit Economics'!$F$58</f>
        <v>-0</v>
      </c>
      <c r="J356" s="8" t="n">
        <f aca="false">J353*'Unit Economics'!$F$58</f>
        <v>-0</v>
      </c>
      <c r="K356" s="8" t="n">
        <f aca="false">K353*'Unit Economics'!$F$58</f>
        <v>-0</v>
      </c>
      <c r="L356" s="8" t="n">
        <f aca="false">L353*'Unit Economics'!$F$58</f>
        <v>-0</v>
      </c>
      <c r="M356" s="8" t="n">
        <f aca="false">M353*'Unit Economics'!$F$58</f>
        <v>-0</v>
      </c>
      <c r="N356" s="8" t="n">
        <f aca="false">N353*'Unit Economics'!$F$58</f>
        <v>-0</v>
      </c>
      <c r="O356" s="8" t="n">
        <f aca="false">O353*'Unit Economics'!$F$58</f>
        <v>-0</v>
      </c>
      <c r="P356" s="8" t="n">
        <f aca="false">P353*'Unit Economics'!$F$58</f>
        <v>-0</v>
      </c>
      <c r="Q356" s="8" t="n">
        <f aca="false">Q353*'Unit Economics'!$F$58</f>
        <v>-0</v>
      </c>
      <c r="R356" s="8" t="n">
        <f aca="false">R353*'Unit Economics'!$F$58</f>
        <v>-0</v>
      </c>
      <c r="S356" s="8" t="n">
        <f aca="false">S353*'Unit Economics'!$F$58</f>
        <v>-0</v>
      </c>
      <c r="T356" s="8" t="n">
        <f aca="false">T353*'Unit Economics'!$F$58</f>
        <v>-0</v>
      </c>
      <c r="U356" s="8" t="n">
        <f aca="false">U353*'Unit Economics'!$F$58</f>
        <v>-0</v>
      </c>
      <c r="V356" s="8" t="n">
        <f aca="false">V353*'Unit Economics'!$F$58</f>
        <v>-0</v>
      </c>
      <c r="W356" s="8" t="n">
        <f aca="false">W353*'Unit Economics'!$F$58</f>
        <v>0</v>
      </c>
      <c r="X356" s="8" t="n">
        <f aca="false">X353*'Unit Economics'!$F$58</f>
        <v>25.95744375</v>
      </c>
      <c r="Y356" s="8" t="n">
        <f aca="false">Y353*'Unit Economics'!$F$58</f>
        <v>50.1661755</v>
      </c>
      <c r="Z356" s="8" t="n">
        <f aca="false">Z353*'Unit Economics'!$F$58</f>
        <v>81.26920431</v>
      </c>
      <c r="AA356" s="8" t="n">
        <f aca="false">AA353*'Unit Economics'!$F$58</f>
        <v>130.7956135248</v>
      </c>
      <c r="AB356" s="8" t="n">
        <f aca="false">AB353*'Unit Economics'!$F$58</f>
        <v>241.62768603792</v>
      </c>
      <c r="AC356" s="8" t="n">
        <f aca="false">AC353*'Unit Economics'!$F$58</f>
        <v>325.193691916881</v>
      </c>
      <c r="AD356" s="8" t="n">
        <f aca="false">AD353*'Unit Economics'!$F$58</f>
        <v>325.193691916881</v>
      </c>
      <c r="AE356" s="8" t="n">
        <f aca="false">AE353*'Unit Economics'!$F$58</f>
        <v>252.870614834566</v>
      </c>
      <c r="AF356" s="8" t="n">
        <f aca="false">AF353*'Unit Economics'!$F$58</f>
        <v>303.44473780148</v>
      </c>
      <c r="AG356" s="8" t="n">
        <f aca="false">AG353*'Unit Economics'!$F$58</f>
        <v>344.106332666878</v>
      </c>
      <c r="AH356" s="8" t="n">
        <f aca="false">AH353*'Unit Economics'!$F$58</f>
        <v>336.241045063064</v>
      </c>
      <c r="AI356" s="8" t="n">
        <f aca="false">AI353*'Unit Economics'!$F$58</f>
        <v>382.252977545378</v>
      </c>
      <c r="AJ356" s="8" t="n">
        <f aca="false">AJ353*'Unit Economics'!$F$58</f>
        <v>392.191554961557</v>
      </c>
      <c r="AK356" s="8" t="n">
        <f aca="false">AK353*'Unit Economics'!$F$58</f>
        <v>378.980892057589</v>
      </c>
      <c r="AL356" s="8" t="n">
        <f aca="false">AL353*'Unit Economics'!$F$58</f>
        <v>409.299363422196</v>
      </c>
      <c r="AM356" s="45" t="n">
        <f aca="false">SUMIF($C$6:$AL$6,1,C356:AL356)</f>
        <v>0</v>
      </c>
      <c r="AN356" s="45" t="n">
        <f aca="false">SUMIF($C$6:$AL$6,2,C356:AL356)</f>
        <v>157.39282356</v>
      </c>
      <c r="AO356" s="45" t="n">
        <f aca="false">SUMIF($C$6:$AL$6,3,C356:AL356)</f>
        <v>3822.19820174919</v>
      </c>
      <c r="AP356" s="45" t="n">
        <f aca="false">SUM(C356:AL356)</f>
        <v>3979.59102530919</v>
      </c>
    </row>
    <row r="357" customFormat="false" ht="15" hidden="false" customHeight="false" outlineLevel="0" collapsed="false">
      <c r="A357" s="5" t="s">
        <v>767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</row>
    <row r="358" customFormat="false" ht="15" hidden="false" customHeight="false" outlineLevel="0" collapsed="false">
      <c r="A358" s="7" t="s">
        <v>768</v>
      </c>
      <c r="B358" s="9" t="s">
        <v>762</v>
      </c>
      <c r="C358" s="14" t="n">
        <f aca="false">C270*Assumptions!$E$173+(C272+C282+C292+C302+C312+C332)*Assumptions!$E$174</f>
        <v>39.5833333333333</v>
      </c>
      <c r="D358" s="14" t="n">
        <f aca="false">D270*Assumptions!$E$173+(D272+D282+D292+D302+D312+D332)*Assumptions!$E$174</f>
        <v>65.4333333333333</v>
      </c>
      <c r="E358" s="14" t="n">
        <f aca="false">E270*Assumptions!$E$173+(E272+E282+E292+E302+E312+E332)*Assumptions!$E$174</f>
        <v>82.0233</v>
      </c>
      <c r="F358" s="14" t="n">
        <f aca="false">F270*Assumptions!$E$173+(F272+F282+F292+F302+F312+F332)*Assumptions!$E$174</f>
        <v>90.1125146666667</v>
      </c>
      <c r="G358" s="14" t="n">
        <f aca="false">G270*Assumptions!$E$173+(G272+G282+G292+G302+G312+G332)*Assumptions!$E$174</f>
        <v>77.7822792864</v>
      </c>
      <c r="H358" s="14" t="n">
        <f aca="false">H270*Assumptions!$E$173+(H272+H282+H292+H302+H312+H332)*Assumptions!$E$174</f>
        <v>102.96400155008</v>
      </c>
      <c r="I358" s="14" t="n">
        <f aca="false">I270*Assumptions!$E$173+(I272+I282+I292+I302+I312+I332)*Assumptions!$E$174</f>
        <v>125.01117267042</v>
      </c>
      <c r="J358" s="14" t="n">
        <f aca="false">J270*Assumptions!$E$173+(J272+J282+J292+J302+J312+J332)*Assumptions!$E$174</f>
        <v>127.416224026756</v>
      </c>
      <c r="K358" s="14" t="n">
        <f aca="false">K270*Assumptions!$E$173+(K272+K282+K292+K302+K312+K332)*Assumptions!$E$174</f>
        <v>150.484193395219</v>
      </c>
      <c r="L358" s="14" t="n">
        <f aca="false">L270*Assumptions!$E$173+(L272+L282+L292+L302+L312+L332)*Assumptions!$E$174</f>
        <v>160.001262468416</v>
      </c>
      <c r="M358" s="14" t="n">
        <f aca="false">M270*Assumptions!$E$173+(M272+M282+M292+M302+M312+M332)*Assumptions!$E$174</f>
        <v>159.578757011881</v>
      </c>
      <c r="N358" s="14" t="n">
        <f aca="false">N270*Assumptions!$E$173+(N272+N282+N292+N302+N312+N332)*Assumptions!$E$174</f>
        <v>177.907554104282</v>
      </c>
      <c r="O358" s="14" t="n">
        <f aca="false">O270*Assumptions!$E$173+(O272+O282+O292+O302+O312+O332)*Assumptions!$E$174</f>
        <v>211.839168865346</v>
      </c>
      <c r="P358" s="14" t="n">
        <f aca="false">P270*Assumptions!$E$173+(P272+P282+P292+P302+P312+P332)*Assumptions!$E$174</f>
        <v>308.857745020218</v>
      </c>
      <c r="Q358" s="14" t="n">
        <f aca="false">Q270*Assumptions!$E$173+(Q272+Q282+Q292+Q302+Q312+Q332)*Assumptions!$E$174</f>
        <v>341.74832997749</v>
      </c>
      <c r="R358" s="14" t="n">
        <f aca="false">R270*Assumptions!$E$173+(R272+R282+R292+R302+R312+R332)*Assumptions!$E$174</f>
        <v>337.182363854646</v>
      </c>
      <c r="S358" s="14" t="n">
        <f aca="false">S270*Assumptions!$E$173+(S272+S282+S292+S302+S312+S332)*Assumptions!$E$174</f>
        <v>258.704501356006</v>
      </c>
      <c r="T358" s="14" t="n">
        <f aca="false">T270*Assumptions!$E$173+(T272+T282+T292+T302+T312+T332)*Assumptions!$E$174</f>
        <v>306.331926994678</v>
      </c>
      <c r="U358" s="14" t="n">
        <f aca="false">U270*Assumptions!$E$173+(U272+U282+U292+U302+U312+U332)*Assumptions!$E$174</f>
        <v>342.796371354007</v>
      </c>
      <c r="V358" s="14" t="n">
        <f aca="false">V270*Assumptions!$E$173+(V272+V282+V292+V302+V312+V332)*Assumptions!$E$174</f>
        <v>330.558830380073</v>
      </c>
      <c r="W358" s="14" t="n">
        <f aca="false">W270*Assumptions!$E$173+(W272+W282+W292+W302+W312+W332)*Assumptions!$E$174</f>
        <v>370.8742717629</v>
      </c>
      <c r="X358" s="14" t="n">
        <f aca="false">X270*Assumptions!$E$173+(X272+X282+X292+X302+X312+X332)*Assumptions!$E$174</f>
        <v>375.556160991664</v>
      </c>
      <c r="Y358" s="14" t="n">
        <f aca="false">Y270*Assumptions!$E$173+(Y272+Y282+Y292+Y302+Y312+Y332)*Assumptions!$E$174</f>
        <v>358.193371838266</v>
      </c>
      <c r="Z358" s="14" t="n">
        <f aca="false">Z270*Assumptions!$E$173+(Z272+Z282+Z292+Z302+Z312+Z332)*Assumptions!$E$174</f>
        <v>381.845221117197</v>
      </c>
      <c r="AA358" s="14" t="n">
        <f aca="false">AA270*Assumptions!$E$173+(AA272+AA282+AA292+AA302+AA312+AA332)*Assumptions!$E$174</f>
        <v>442.777148624682</v>
      </c>
      <c r="AB358" s="14" t="n">
        <f aca="false">AB270*Assumptions!$E$173+(AB272+AB282+AB292+AB302+AB312+AB332)*Assumptions!$E$174</f>
        <v>628.646738606877</v>
      </c>
      <c r="AC358" s="14" t="n">
        <f aca="false">AC270*Assumptions!$E$173+(AC272+AC282+AC292+AC302+AC312+AC332)*Assumptions!$E$174</f>
        <v>677.340907082658</v>
      </c>
      <c r="AD358" s="14" t="n">
        <f aca="false">AD270*Assumptions!$E$173+(AD272+AD282+AD292+AD302+AD312+AD332)*Assumptions!$E$174</f>
        <v>650.732075259036</v>
      </c>
      <c r="AE358" s="14" t="n">
        <f aca="false">AE270*Assumptions!$E$173+(AE272+AE282+AE292+AE302+AE312+AE332)*Assumptions!$E$174</f>
        <v>486.140450226669</v>
      </c>
      <c r="AF358" s="14" t="n">
        <f aca="false">AF270*Assumptions!$E$173+(AF272+AF282+AF292+AF302+AF312+AF332)*Assumptions!$E$174</f>
        <v>560.472906017729</v>
      </c>
      <c r="AG358" s="14" t="n">
        <f aca="false">AG270*Assumptions!$E$173+(AG272+AG282+AG292+AG302+AG312+AG332)*Assumptions!$E$174</f>
        <v>610.643252919401</v>
      </c>
      <c r="AH358" s="14" t="n">
        <f aca="false">AH270*Assumptions!$E$173+(AH272+AH282+AH292+AH302+AH312+AH332)*Assumptions!$E$174</f>
        <v>573.289145308877</v>
      </c>
      <c r="AI358" s="14" t="n">
        <f aca="false">AI270*Assumptions!$E$173+(AI272+AI282+AI292+AI302+AI312+AI332)*Assumptions!$E$174</f>
        <v>626.195748515272</v>
      </c>
      <c r="AJ358" s="14" t="n">
        <f aca="false">AJ270*Assumptions!$E$173+(AJ272+AJ282+AJ292+AJ302+AJ312+AJ332)*Assumptions!$E$174</f>
        <v>617.307871524566</v>
      </c>
      <c r="AK358" s="14" t="n">
        <f aca="false">AK270*Assumptions!$E$173+(AK272+AK282+AK292+AK302+AK312+AK332)*Assumptions!$E$174</f>
        <v>573.156558945994</v>
      </c>
      <c r="AL358" s="14" t="n">
        <f aca="false">AL270*Assumptions!$E$173+(AL272+AL282+AL292+AL302+AL312+AL332)*Assumptions!$E$174</f>
        <v>594.781398164252</v>
      </c>
      <c r="AM358" s="53" t="n">
        <f aca="false">SUMIF($C$6:$AL$6,1,C358:AL358)</f>
        <v>1358.29792584679</v>
      </c>
      <c r="AN358" s="53" t="n">
        <f aca="false">SUMIF($C$6:$AL$6,2,C358:AL358)</f>
        <v>3924.48826351249</v>
      </c>
      <c r="AO358" s="53" t="n">
        <f aca="false">SUMIF($C$6:$AL$6,3,C358:AL358)</f>
        <v>7041.48420119601</v>
      </c>
      <c r="AP358" s="53" t="n">
        <f aca="false">SUM(C358:AL358)</f>
        <v>12324.2703905553</v>
      </c>
    </row>
    <row r="359" customFormat="false" ht="15" hidden="false" customHeight="false" outlineLevel="0" collapsed="false">
      <c r="A359" s="7" t="s">
        <v>769</v>
      </c>
      <c r="B359" s="9" t="s">
        <v>762</v>
      </c>
      <c r="C359" s="52" t="n">
        <f aca="false">0</f>
        <v>0</v>
      </c>
      <c r="D359" s="14" t="n">
        <f aca="false">C360*Assumptions!$E$175</f>
        <v>0.395833333333333</v>
      </c>
      <c r="E359" s="14" t="n">
        <f aca="false">D360*Assumptions!$E$175</f>
        <v>1.04620833333333</v>
      </c>
      <c r="F359" s="14" t="n">
        <f aca="false">E360*Assumptions!$E$175</f>
        <v>1.85597925</v>
      </c>
      <c r="G359" s="14" t="n">
        <f aca="false">F360*Assumptions!$E$175</f>
        <v>2.73854460416667</v>
      </c>
      <c r="H359" s="14" t="n">
        <f aca="false">G360*Assumptions!$E$175</f>
        <v>3.488981950989</v>
      </c>
      <c r="I359" s="14" t="n">
        <f aca="false">H360*Assumptions!$E$175</f>
        <v>4.48373214697991</v>
      </c>
      <c r="J359" s="14" t="n">
        <f aca="false">I360*Assumptions!$E$175</f>
        <v>5.68900655221431</v>
      </c>
      <c r="K359" s="14" t="n">
        <f aca="false">J360*Assumptions!$E$175</f>
        <v>6.90627872695973</v>
      </c>
      <c r="L359" s="14" t="n">
        <f aca="false">K360*Assumptions!$E$175</f>
        <v>8.34205787364232</v>
      </c>
      <c r="M359" s="14" t="n">
        <f aca="false">L360*Assumptions!$E$175</f>
        <v>9.85864991959006</v>
      </c>
      <c r="N359" s="14" t="n">
        <f aca="false">M360*Assumptions!$E$175</f>
        <v>11.355850990513</v>
      </c>
      <c r="O359" s="14" t="n">
        <f aca="false">N360*Assumptions!$E$175</f>
        <v>13.0213680216507</v>
      </c>
      <c r="P359" s="14" t="n">
        <f aca="false">O360*Assumptions!$E$175</f>
        <v>15.0095460300876</v>
      </c>
      <c r="Q359" s="14" t="n">
        <f aca="false">P360*Assumptions!$E$175</f>
        <v>17.9480280199889</v>
      </c>
      <c r="R359" s="14" t="n">
        <f aca="false">Q360*Assumptions!$E$175</f>
        <v>21.1860310395639</v>
      </c>
      <c r="S359" s="14" t="n">
        <f aca="false">R360*Assumptions!$E$175</f>
        <v>24.3459943677147</v>
      </c>
      <c r="T359" s="14" t="n">
        <f aca="false">S360*Assumptions!$E$175</f>
        <v>26.6895794375977</v>
      </c>
      <c r="U359" s="14" t="n">
        <f aca="false">T360*Assumptions!$E$175</f>
        <v>29.4860029131685</v>
      </c>
      <c r="V359" s="14" t="n">
        <f aca="false">U360*Assumptions!$E$175</f>
        <v>32.6191065975768</v>
      </c>
      <c r="W359" s="14" t="n">
        <f aca="false">V360*Assumptions!$E$175</f>
        <v>35.5985038354018</v>
      </c>
      <c r="X359" s="14" t="n">
        <f aca="false">W360*Assumptions!$E$175</f>
        <v>38.9512615146768</v>
      </c>
      <c r="Y359" s="14" t="n">
        <f aca="false">X360*Assumptions!$E$175</f>
        <v>42.3173105094467</v>
      </c>
      <c r="Z359" s="14" t="n">
        <f aca="false">Y360*Assumptions!$E$175</f>
        <v>45.4760711227349</v>
      </c>
      <c r="AA359" s="14" t="n">
        <f aca="false">Z360*Assumptions!$E$175</f>
        <v>48.8397626226795</v>
      </c>
      <c r="AB359" s="14" t="n">
        <f aca="false">AA360*Assumptions!$E$175</f>
        <v>52.7791364826995</v>
      </c>
      <c r="AC359" s="14" t="n">
        <f aca="false">AB360*Assumptions!$E$175</f>
        <v>58.5378125039413</v>
      </c>
      <c r="AD359" s="14" t="n">
        <f aca="false">AC360*Assumptions!$E$175</f>
        <v>64.7258434497284</v>
      </c>
      <c r="AE359" s="14" t="n">
        <f aca="false">AD360*Assumptions!$E$175</f>
        <v>70.5859057678215</v>
      </c>
      <c r="AF359" s="14" t="n">
        <f aca="false">AE360*Assumptions!$E$175</f>
        <v>74.74145121241</v>
      </c>
      <c r="AG359" s="14" t="n">
        <f aca="false">AF360*Assumptions!$E$175</f>
        <v>79.5987657604632</v>
      </c>
      <c r="AH359" s="14" t="n">
        <f aca="false">AG360*Assumptions!$E$175</f>
        <v>84.9092106320526</v>
      </c>
      <c r="AI359" s="14" t="n">
        <f aca="false">AH360*Assumptions!$E$175</f>
        <v>89.7930099788208</v>
      </c>
      <c r="AJ359" s="14" t="n">
        <f aca="false">AI360*Assumptions!$E$175</f>
        <v>95.1570373641853</v>
      </c>
      <c r="AK359" s="14" t="n">
        <f aca="false">AJ360*Assumptions!$E$175</f>
        <v>100.378545705789</v>
      </c>
      <c r="AL359" s="14" t="n">
        <f aca="false">AK360*Assumptions!$E$175</f>
        <v>105.106325838191</v>
      </c>
      <c r="AM359" s="53" t="n">
        <f aca="false">SUMIF($C$6:$AL$6,1,C359:AL359)</f>
        <v>56.1611236817216</v>
      </c>
      <c r="AN359" s="53" t="n">
        <f aca="false">SUMIF($C$6:$AL$6,2,C359:AL359)</f>
        <v>342.648803409609</v>
      </c>
      <c r="AO359" s="53" t="n">
        <f aca="false">SUMIF($C$6:$AL$6,3,C359:AL359)</f>
        <v>925.152807318782</v>
      </c>
      <c r="AP359" s="53" t="n">
        <f aca="false">SUM(C359:AL359)</f>
        <v>1323.96273441011</v>
      </c>
    </row>
    <row r="360" customFormat="false" ht="15" hidden="false" customHeight="false" outlineLevel="0" collapsed="false">
      <c r="A360" s="7" t="s">
        <v>770</v>
      </c>
      <c r="B360" s="9" t="s">
        <v>762</v>
      </c>
      <c r="C360" s="52" t="n">
        <f aca="false">C358-C359</f>
        <v>39.5833333333333</v>
      </c>
      <c r="D360" s="52" t="n">
        <f aca="false">D358-D359+C360</f>
        <v>104.620833333333</v>
      </c>
      <c r="E360" s="52" t="n">
        <f aca="false">E358-E359+D360</f>
        <v>185.597925</v>
      </c>
      <c r="F360" s="52" t="n">
        <f aca="false">F358-F359+E360</f>
        <v>273.854460416667</v>
      </c>
      <c r="G360" s="52" t="n">
        <f aca="false">G358-G359+F360</f>
        <v>348.8981950989</v>
      </c>
      <c r="H360" s="52" t="n">
        <f aca="false">H358-H359+G360</f>
        <v>448.373214697991</v>
      </c>
      <c r="I360" s="52" t="n">
        <f aca="false">I358-I359+H360</f>
        <v>568.900655221431</v>
      </c>
      <c r="J360" s="52" t="n">
        <f aca="false">J358-J359+I360</f>
        <v>690.627872695972</v>
      </c>
      <c r="K360" s="52" t="n">
        <f aca="false">K358-K359+J360</f>
        <v>834.205787364232</v>
      </c>
      <c r="L360" s="52" t="n">
        <f aca="false">L358-L359+K360</f>
        <v>985.864991959006</v>
      </c>
      <c r="M360" s="52" t="n">
        <f aca="false">M358-M359+L360</f>
        <v>1135.5850990513</v>
      </c>
      <c r="N360" s="52" t="n">
        <f aca="false">N358-N359+M360</f>
        <v>1302.13680216507</v>
      </c>
      <c r="O360" s="52" t="n">
        <f aca="false">O358-O359+N360</f>
        <v>1500.95460300876</v>
      </c>
      <c r="P360" s="52" t="n">
        <f aca="false">P358-P359+O360</f>
        <v>1794.80280199889</v>
      </c>
      <c r="Q360" s="52" t="n">
        <f aca="false">Q358-Q359+P360</f>
        <v>2118.60310395639</v>
      </c>
      <c r="R360" s="52" t="n">
        <f aca="false">R358-R359+Q360</f>
        <v>2434.59943677147</v>
      </c>
      <c r="S360" s="52" t="n">
        <f aca="false">S358-S359+R360</f>
        <v>2668.95794375977</v>
      </c>
      <c r="T360" s="52" t="n">
        <f aca="false">T358-T359+S360</f>
        <v>2948.60029131685</v>
      </c>
      <c r="U360" s="52" t="n">
        <f aca="false">U358-U359+T360</f>
        <v>3261.91065975768</v>
      </c>
      <c r="V360" s="52" t="n">
        <f aca="false">V358-V359+U360</f>
        <v>3559.85038354018</v>
      </c>
      <c r="W360" s="52" t="n">
        <f aca="false">W358-W359+V360</f>
        <v>3895.12615146768</v>
      </c>
      <c r="X360" s="52" t="n">
        <f aca="false">X358-X359+W360</f>
        <v>4231.73105094467</v>
      </c>
      <c r="Y360" s="52" t="n">
        <f aca="false">Y358-Y359+X360</f>
        <v>4547.60711227349</v>
      </c>
      <c r="Z360" s="52" t="n">
        <f aca="false">Z358-Z359+Y360</f>
        <v>4883.97626226795</v>
      </c>
      <c r="AA360" s="52" t="n">
        <f aca="false">AA358-AA359+Z360</f>
        <v>5277.91364826995</v>
      </c>
      <c r="AB360" s="52" t="n">
        <f aca="false">AB358-AB359+AA360</f>
        <v>5853.78125039413</v>
      </c>
      <c r="AC360" s="52" t="n">
        <f aca="false">AC358-AC359+AB360</f>
        <v>6472.58434497284</v>
      </c>
      <c r="AD360" s="52" t="n">
        <f aca="false">AD358-AD359+AC360</f>
        <v>7058.59057678215</v>
      </c>
      <c r="AE360" s="52" t="n">
        <f aca="false">AE358-AE359+AD360</f>
        <v>7474.145121241</v>
      </c>
      <c r="AF360" s="52" t="n">
        <f aca="false">AF358-AF359+AE360</f>
        <v>7959.87657604632</v>
      </c>
      <c r="AG360" s="52" t="n">
        <f aca="false">AG358-AG359+AF360</f>
        <v>8490.92106320526</v>
      </c>
      <c r="AH360" s="52" t="n">
        <f aca="false">AH358-AH359+AG360</f>
        <v>8979.30099788208</v>
      </c>
      <c r="AI360" s="52" t="n">
        <f aca="false">AI358-AI359+AH360</f>
        <v>9515.70373641853</v>
      </c>
      <c r="AJ360" s="52" t="n">
        <f aca="false">AJ358-AJ359+AI360</f>
        <v>10037.8545705789</v>
      </c>
      <c r="AK360" s="52" t="n">
        <f aca="false">AK358-AK359+AJ360</f>
        <v>10510.6325838191</v>
      </c>
      <c r="AL360" s="52" t="n">
        <f aca="false">AL358-AL359+AK360</f>
        <v>11000.3076561452</v>
      </c>
      <c r="AM360" s="53" t="n">
        <f aca="false">N360</f>
        <v>1302.13680216507</v>
      </c>
      <c r="AN360" s="53" t="n">
        <f aca="false">Z360</f>
        <v>4883.97626226795</v>
      </c>
      <c r="AO360" s="53" t="n">
        <f aca="false">AL360</f>
        <v>11000.3076561452</v>
      </c>
      <c r="AP360" s="53" t="n">
        <f aca="false">AL360</f>
        <v>11000.3076561452</v>
      </c>
    </row>
    <row r="361" customFormat="false" ht="15" hidden="false" customHeight="false" outlineLevel="0" collapsed="false">
      <c r="A361" s="5" t="s">
        <v>771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</row>
    <row r="362" customFormat="false" ht="15" hidden="false" customHeight="false" outlineLevel="0" collapsed="false">
      <c r="A362" s="7" t="s">
        <v>772</v>
      </c>
      <c r="B362" s="9" t="s">
        <v>751</v>
      </c>
      <c r="C362" s="52" t="n">
        <f aca="false">C272+C282+C292+C302+C312+C322+C332+C342+C352</f>
        <v>7.91666666666667</v>
      </c>
      <c r="D362" s="52" t="n">
        <f aca="false">D272+D282+D292+D302+D312+D322+D332+D342+D352</f>
        <v>35.9666666666667</v>
      </c>
      <c r="E362" s="52" t="n">
        <f aca="false">E272+E282+E292+E302+E312+E322+E332+E342+E352</f>
        <v>71.4285</v>
      </c>
      <c r="F362" s="52" t="n">
        <f aca="false">F272+F282+F292+F302+F312+F322+F332+F342+F352</f>
        <v>99.4852382708334</v>
      </c>
      <c r="G362" s="52" t="n">
        <f aca="false">G272+G282+G292+G302+G312+G322+G332+G342+G352</f>
        <v>106.0065369845</v>
      </c>
      <c r="H362" s="52" t="n">
        <f aca="false">H272+H282+H292+H302+H312+H322+H332+H342+H352</f>
        <v>163.049467500598</v>
      </c>
      <c r="I362" s="52" t="n">
        <f aca="false">I272+I282+I292+I302+I312+I322+I332+I342+I352</f>
        <v>211.808544464614</v>
      </c>
      <c r="J362" s="52" t="n">
        <f aca="false">J272+J282+J292+J302+J312+J322+J332+J342+J352</f>
        <v>218.853171468157</v>
      </c>
      <c r="K362" s="52" t="n">
        <f aca="false">K272+K282+K292+K302+K312+K322+K332+K342+K352</f>
        <v>259.990843207918</v>
      </c>
      <c r="L362" s="52" t="n">
        <f aca="false">L272+L282+L292+L302+L312+L322+L332+L342+L352</f>
        <v>277.091330418529</v>
      </c>
      <c r="M362" s="52" t="n">
        <f aca="false">M272+M282+M292+M302+M312+M322+M332+M342+M352</f>
        <v>276.926197280216</v>
      </c>
      <c r="N362" s="52" t="n">
        <f aca="false">N272+N282+N292+N302+N312+N322+N332+N342+N352</f>
        <v>308.337420989444</v>
      </c>
      <c r="O362" s="52" t="n">
        <f aca="false">O272+O282+O292+O302+O312+O322+O332+O342+O352</f>
        <v>364.577252927813</v>
      </c>
      <c r="P362" s="52" t="n">
        <f aca="false">P272+P282+P292+P302+P312+P322+P332+P342+P352</f>
        <v>525.036311384271</v>
      </c>
      <c r="Q362" s="52" t="n">
        <f aca="false">Q272+Q282+Q292+Q302+Q312+Q322+Q332+Q342+Q352</f>
        <v>575.356851988349</v>
      </c>
      <c r="R362" s="52" t="n">
        <f aca="false">R272+R282+R292+R302+R312+R322+R332+R342+R352</f>
        <v>569.070440015157</v>
      </c>
      <c r="S362" s="52" t="n">
        <f aca="false">S272+S282+S292+S302+S312+S322+S332+S342+S352</f>
        <v>436.123770395558</v>
      </c>
      <c r="T362" s="52" t="n">
        <f aca="false">T272+T282+T292+T302+T312+T322+T332+T342+T352</f>
        <v>511.013140257125</v>
      </c>
      <c r="U362" s="52" t="n">
        <f aca="false">U272+U282+U292+U302+U312+U322+U332+U342+U352</f>
        <v>565.514086191521</v>
      </c>
      <c r="V362" s="52" t="n">
        <f aca="false">V272+V282+V292+V302+V312+V322+V332+V342+V352</f>
        <v>539.626819868155</v>
      </c>
      <c r="W362" s="52" t="n">
        <f aca="false">W272+W282+W292+W302+W312+W322+W332+W342+W352</f>
        <v>595.650859509305</v>
      </c>
      <c r="X362" s="52" t="n">
        <f aca="false">X272+X282+X292+X302+X312+X322+X332+X342+X352</f>
        <v>604.952302644951</v>
      </c>
      <c r="Y362" s="52" t="n">
        <f aca="false">Y272+Y282+Y292+Y302+Y312+Y322+Y332+Y342+Y352</f>
        <v>588.333632076857</v>
      </c>
      <c r="Z362" s="52" t="n">
        <f aca="false">Z272+Z282+Z292+Z302+Z312+Z322+Z332+Z342+Z352</f>
        <v>627.091677817439</v>
      </c>
      <c r="AA362" s="52" t="n">
        <f aca="false">AA272+AA282+AA292+AA302+AA312+AA322+AA332+AA342+AA352</f>
        <v>721.091647164328</v>
      </c>
      <c r="AB362" s="52" t="n">
        <f aca="false">AB272+AB282+AB292+AB302+AB312+AB322+AB332+AB342+AB352</f>
        <v>1013.24944945603</v>
      </c>
      <c r="AC362" s="52" t="n">
        <f aca="false">AC272+AC282+AC292+AC302+AC312+AC322+AC332+AC342+AC352</f>
        <v>1088.45522370562</v>
      </c>
      <c r="AD362" s="52" t="n">
        <f aca="false">AD272+AD282+AD292+AD302+AD312+AD322+AD332+AD342+AD352</f>
        <v>1052.84746245347</v>
      </c>
      <c r="AE362" s="52" t="n">
        <f aca="false">AE272+AE282+AE292+AE302+AE312+AE322+AE332+AE342+AE352</f>
        <v>789.139532191744</v>
      </c>
      <c r="AF362" s="52" t="n">
        <f aca="false">AF272+AF282+AF292+AF302+AF312+AF322+AF332+AF342+AF352</f>
        <v>904.581751319963</v>
      </c>
      <c r="AG362" s="52" t="n">
        <f aca="false">AG272+AG282+AG292+AG302+AG312+AG322+AG332+AG342+AG352</f>
        <v>979.457667570396</v>
      </c>
      <c r="AH362" s="52" t="n">
        <f aca="false">AH272+AH282+AH292+AH302+AH312+AH322+AH332+AH342+AH352</f>
        <v>914.513330286467</v>
      </c>
      <c r="AI362" s="52" t="n">
        <f aca="false">AI272+AI282+AI292+AI302+AI312+AI322+AI332+AI342+AI352</f>
        <v>988.157621155171</v>
      </c>
      <c r="AJ362" s="52" t="n">
        <f aca="false">AJ272+AJ282+AJ292+AJ302+AJ312+AJ322+AJ332+AJ342+AJ352</f>
        <v>976.958428305661</v>
      </c>
      <c r="AK362" s="52" t="n">
        <f aca="false">AK272+AK282+AK292+AK302+AK312+AK322+AK332+AK342+AK352</f>
        <v>923.761180510367</v>
      </c>
      <c r="AL362" s="52" t="n">
        <f aca="false">AL272+AL282+AL292+AL302+AL312+AL322+AL332+AL342+AL352</f>
        <v>958.364545057188</v>
      </c>
      <c r="AM362" s="53" t="n">
        <f aca="false">SUMIF($C$6:$AL$6,1,C362:AL362)</f>
        <v>2036.86058391814</v>
      </c>
      <c r="AN362" s="53" t="n">
        <f aca="false">SUMIF($C$6:$AL$6,2,C362:AL362)</f>
        <v>6502.3471450765</v>
      </c>
      <c r="AO362" s="53" t="n">
        <f aca="false">SUMIF($C$6:$AL$6,3,C362:AL362)</f>
        <v>11310.5778391764</v>
      </c>
      <c r="AP362" s="53" t="n">
        <f aca="false">SUM(C362:AL362)</f>
        <v>19849.785568171</v>
      </c>
    </row>
    <row r="363" customFormat="false" ht="15" hidden="false" customHeight="false" outlineLevel="0" collapsed="false">
      <c r="A363" s="7" t="s">
        <v>773</v>
      </c>
      <c r="B363" s="9" t="s">
        <v>331</v>
      </c>
      <c r="C363" s="52" t="n">
        <f aca="false">C273+C283+C293+C303+C313+C323+C333+C343+C353</f>
        <v>10.45</v>
      </c>
      <c r="D363" s="52" t="n">
        <f aca="false">D273+D283+D293+D303+D313+D323+D333+D343+D353</f>
        <v>44.902</v>
      </c>
      <c r="E363" s="52" t="n">
        <f aca="false">E273+E283+E293+E303+E313+E323+E333+E343+E353</f>
        <v>87.767145</v>
      </c>
      <c r="F363" s="52" t="n">
        <f aca="false">F273+F283+F293+F303+F313+F323+F333+F343+F353</f>
        <v>120.835615270833</v>
      </c>
      <c r="G363" s="52" t="n">
        <f aca="false">G273+G283+G293+G303+G313+G323+G333+G343+G353</f>
        <v>128.6428826141</v>
      </c>
      <c r="H363" s="52" t="n">
        <f aca="false">H273+H283+H293+H303+H313+H323+H333+H343+H353</f>
        <v>197.815547096118</v>
      </c>
      <c r="I363" s="52" t="n">
        <f aca="false">I273+I283+I293+I303+I313+I323+I333+I343+I353</f>
        <v>255.365924500734</v>
      </c>
      <c r="J363" s="52" t="n">
        <f aca="false">J273+J283+J293+J303+J313+J323+J333+J343+J353</f>
        <v>264.030361894781</v>
      </c>
      <c r="K363" s="52" t="n">
        <f aca="false">K273+K283+K293+K303+K313+K323+K333+K343+K353</f>
        <v>314.246557755607</v>
      </c>
      <c r="L363" s="52" t="n">
        <f aca="false">L273+L283+L293+L303+L313+L323+L333+L343+L353</f>
        <v>335.420654412216</v>
      </c>
      <c r="M363" s="52" t="n">
        <f aca="false">M273+M283+M293+M303+M313+M323+M333+M343+M353</f>
        <v>335.408752418958</v>
      </c>
      <c r="N363" s="52" t="n">
        <f aca="false">N273+N283+N293+N303+N313+N323+N333+N343+N353</f>
        <v>373.68850439501</v>
      </c>
      <c r="O363" s="52" t="n">
        <f aca="false">O273+O283+O293+O303+O313+O323+O333+O343+O353</f>
        <v>442.031650960034</v>
      </c>
      <c r="P363" s="52" t="n">
        <f aca="false">P273+P283+P293+P303+P313+P323+P333+P343+P353</f>
        <v>636.862493229734</v>
      </c>
      <c r="Q363" s="52" t="n">
        <f aca="false">Q273+Q283+Q293+Q303+Q313+Q323+Q333+Q343+Q353</f>
        <v>698.109265346807</v>
      </c>
      <c r="R363" s="52" t="n">
        <f aca="false">R273+R283+R293+R303+R313+R323+R333+R343+R353</f>
        <v>690.593242116828</v>
      </c>
      <c r="S363" s="52" t="n">
        <f aca="false">S273+S283+S293+S303+S313+S323+S333+S343+S353</f>
        <v>529.389150026082</v>
      </c>
      <c r="T363" s="52" t="n">
        <f aca="false">T273+T283+T293+T303+T313+T323+T333+T343+T353</f>
        <v>620.603667623209</v>
      </c>
      <c r="U363" s="52" t="n">
        <f aca="false">U273+U283+U293+U303+U313+U323+U333+U343+U353</f>
        <v>687.120558410544</v>
      </c>
      <c r="V363" s="52" t="n">
        <f aca="false">V273+V283+V293+V303+V313+V323+V333+V343+V353</f>
        <v>655.968164714244</v>
      </c>
      <c r="W363" s="52" t="n">
        <f aca="false">W273+W283+W293+W303+W313+W323+W333+W343+W353</f>
        <v>724.49454493215</v>
      </c>
      <c r="X363" s="52" t="n">
        <f aca="false">X273+X283+X293+X303+X313+X323+X333+X343+X353</f>
        <v>746.867926927356</v>
      </c>
      <c r="Y363" s="52" t="n">
        <f aca="false">Y273+Y283+Y293+Y303+Y313+Y323+Y333+Y343+Y353</f>
        <v>736.819045445175</v>
      </c>
      <c r="Z363" s="52" t="n">
        <f aca="false">Z273+Z283+Z293+Z303+Z313+Z323+Z333+Z343+Z353</f>
        <v>797.262098422081</v>
      </c>
      <c r="AA363" s="52" t="n">
        <f aca="false">AA273+AA283+AA293+AA303+AA313+AA323+AA333+AA343+AA353</f>
        <v>932.450768813155</v>
      </c>
      <c r="AB363" s="52" t="n">
        <f aca="false">AB273+AB283+AB293+AB303+AB313+AB323+AB333+AB343+AB353</f>
        <v>1334.50861723107</v>
      </c>
      <c r="AC363" s="52" t="n">
        <f aca="false">AC273+AC283+AC293+AC303+AC313+AC323+AC333+AC343+AC353</f>
        <v>1460.77206592862</v>
      </c>
      <c r="AD363" s="52" t="n">
        <f aca="false">AD273+AD283+AD293+AD303+AD313+AD323+AD333+AD343+AD353</f>
        <v>1417.07076805396</v>
      </c>
      <c r="AE363" s="52" t="n">
        <f aca="false">AE273+AE283+AE293+AE303+AE313+AE323+AE333+AE343+AE353</f>
        <v>1065.77947915793</v>
      </c>
      <c r="AF363" s="52" t="n">
        <f aca="false">AF273+AF283+AF293+AF303+AF313+AF323+AF333+AF343+AF353</f>
        <v>1227.46974925789</v>
      </c>
      <c r="AG363" s="52" t="n">
        <f aca="false">AG273+AG283+AG293+AG303+AG313+AG323+AG333+AG343+AG353</f>
        <v>1335.64476675113</v>
      </c>
      <c r="AH363" s="52" t="n">
        <f aca="false">AH273+AH283+AH293+AH303+AH313+AH323+AH333+AH343+AH353</f>
        <v>1253.3748858447</v>
      </c>
      <c r="AI363" s="52" t="n">
        <f aca="false">AI273+AI283+AI293+AI303+AI313+AI323+AI333+AI343+AI353</f>
        <v>1362.41206152834</v>
      </c>
      <c r="AJ363" s="52" t="n">
        <f aca="false">AJ273+AJ283+AJ293+AJ303+AJ313+AJ323+AJ333+AJ343+AJ353</f>
        <v>1352.87728238801</v>
      </c>
      <c r="AK363" s="52" t="n">
        <f aca="false">AK273+AK283+AK293+AK303+AK313+AK323+AK333+AK343+AK353</f>
        <v>1282.34819218742</v>
      </c>
      <c r="AL363" s="52" t="n">
        <f aca="false">AL273+AL283+AL293+AL303+AL313+AL323+AL333+AL343+AL353</f>
        <v>1337.1931932107</v>
      </c>
      <c r="AM363" s="53" t="n">
        <f aca="false">SUMIF($C$6:$AL$6,1,C363:AL363)</f>
        <v>2468.57394535836</v>
      </c>
      <c r="AN363" s="53" t="n">
        <f aca="false">SUMIF($C$6:$AL$6,2,C363:AL363)</f>
        <v>7966.12180815424</v>
      </c>
      <c r="AO363" s="53" t="n">
        <f aca="false">SUMIF($C$6:$AL$6,3,C363:AL363)</f>
        <v>15361.9018303529</v>
      </c>
      <c r="AP363" s="53" t="n">
        <f aca="false">SUM(C363:AL363)</f>
        <v>25796.5975838655</v>
      </c>
    </row>
    <row r="364" customFormat="false" ht="15" hidden="false" customHeight="false" outlineLevel="0" collapsed="false">
      <c r="A364" s="7" t="s">
        <v>774</v>
      </c>
      <c r="B364" s="9" t="s">
        <v>751</v>
      </c>
      <c r="C364" s="52" t="n">
        <f aca="false">C362</f>
        <v>7.91666666666667</v>
      </c>
      <c r="D364" s="52" t="n">
        <f aca="false">D362+C364</f>
        <v>43.8833333333333</v>
      </c>
      <c r="E364" s="52" t="n">
        <f aca="false">E362+D364</f>
        <v>115.311833333333</v>
      </c>
      <c r="F364" s="52" t="n">
        <f aca="false">F362+E364</f>
        <v>214.797071604167</v>
      </c>
      <c r="G364" s="52" t="n">
        <f aca="false">G362+F364</f>
        <v>320.803608588667</v>
      </c>
      <c r="H364" s="52" t="n">
        <f aca="false">H362+G364</f>
        <v>483.853076089265</v>
      </c>
      <c r="I364" s="52" t="n">
        <f aca="false">I362+H364</f>
        <v>695.661620553878</v>
      </c>
      <c r="J364" s="52" t="n">
        <f aca="false">J362+I364</f>
        <v>914.514792022035</v>
      </c>
      <c r="K364" s="52" t="n">
        <f aca="false">K362+J364</f>
        <v>1174.50563522995</v>
      </c>
      <c r="L364" s="52" t="n">
        <f aca="false">L362+K364</f>
        <v>1451.59696564848</v>
      </c>
      <c r="M364" s="52" t="n">
        <f aca="false">M362+L364</f>
        <v>1728.5231629287</v>
      </c>
      <c r="N364" s="52" t="n">
        <f aca="false">N362+M364</f>
        <v>2036.86058391814</v>
      </c>
      <c r="O364" s="52" t="n">
        <f aca="false">O362+N364</f>
        <v>2401.43783684595</v>
      </c>
      <c r="P364" s="52" t="n">
        <f aca="false">P362+O364</f>
        <v>2926.47414823023</v>
      </c>
      <c r="Q364" s="52" t="n">
        <f aca="false">Q362+P364</f>
        <v>3501.83100021857</v>
      </c>
      <c r="R364" s="52" t="n">
        <f aca="false">R362+Q364</f>
        <v>4070.90144023373</v>
      </c>
      <c r="S364" s="52" t="n">
        <f aca="false">S362+R364</f>
        <v>4507.02521062929</v>
      </c>
      <c r="T364" s="52" t="n">
        <f aca="false">T362+S364</f>
        <v>5018.03835088641</v>
      </c>
      <c r="U364" s="52" t="n">
        <f aca="false">U362+T364</f>
        <v>5583.55243707794</v>
      </c>
      <c r="V364" s="52" t="n">
        <f aca="false">V362+U364</f>
        <v>6123.17925694609</v>
      </c>
      <c r="W364" s="52" t="n">
        <f aca="false">W362+V364</f>
        <v>6718.8301164554</v>
      </c>
      <c r="X364" s="52" t="n">
        <f aca="false">X362+W364</f>
        <v>7323.78241910035</v>
      </c>
      <c r="Y364" s="52" t="n">
        <f aca="false">Y362+X364</f>
        <v>7912.1160511772</v>
      </c>
      <c r="Z364" s="52" t="n">
        <f aca="false">Z362+Y364</f>
        <v>8539.20772899464</v>
      </c>
      <c r="AA364" s="52" t="n">
        <f aca="false">AA362+Z364</f>
        <v>9260.29937615897</v>
      </c>
      <c r="AB364" s="52" t="n">
        <f aca="false">AB362+AA364</f>
        <v>10273.548825615</v>
      </c>
      <c r="AC364" s="52" t="n">
        <f aca="false">AC362+AB364</f>
        <v>11362.0040493206</v>
      </c>
      <c r="AD364" s="52" t="n">
        <f aca="false">AD362+AC364</f>
        <v>12414.8515117741</v>
      </c>
      <c r="AE364" s="52" t="n">
        <f aca="false">AE362+AD364</f>
        <v>13203.9910439658</v>
      </c>
      <c r="AF364" s="52" t="n">
        <f aca="false">AF362+AE364</f>
        <v>14108.5727952858</v>
      </c>
      <c r="AG364" s="52" t="n">
        <f aca="false">AG362+AF364</f>
        <v>15088.0304628562</v>
      </c>
      <c r="AH364" s="52" t="n">
        <f aca="false">AH362+AG364</f>
        <v>16002.5437931427</v>
      </c>
      <c r="AI364" s="52" t="n">
        <f aca="false">AI362+AH364</f>
        <v>16990.7014142978</v>
      </c>
      <c r="AJ364" s="52" t="n">
        <f aca="false">AJ362+AI364</f>
        <v>17967.6598426035</v>
      </c>
      <c r="AK364" s="52" t="n">
        <f aca="false">AK362+AJ364</f>
        <v>18891.4210231139</v>
      </c>
      <c r="AL364" s="52" t="n">
        <f aca="false">AL362+AK364</f>
        <v>19849.785568171</v>
      </c>
      <c r="AM364" s="53" t="n">
        <f aca="false">N364</f>
        <v>2036.86058391814</v>
      </c>
      <c r="AN364" s="53" t="n">
        <f aca="false">Z364</f>
        <v>8539.20772899464</v>
      </c>
      <c r="AO364" s="53" t="n">
        <f aca="false">AL364</f>
        <v>19849.785568171</v>
      </c>
      <c r="AP364" s="53" t="n">
        <f aca="false">AL364</f>
        <v>19849.785568171</v>
      </c>
    </row>
    <row r="365" customFormat="false" ht="15" hidden="false" customHeight="false" outlineLevel="0" collapsed="false">
      <c r="A365" s="7" t="s">
        <v>775</v>
      </c>
      <c r="B365" s="9" t="s">
        <v>331</v>
      </c>
      <c r="C365" s="52" t="n">
        <f aca="false">C363</f>
        <v>10.45</v>
      </c>
      <c r="D365" s="52" t="n">
        <f aca="false">D363+C365</f>
        <v>55.352</v>
      </c>
      <c r="E365" s="52" t="n">
        <f aca="false">E363+D365</f>
        <v>143.119145</v>
      </c>
      <c r="F365" s="52" t="n">
        <f aca="false">F363+E365</f>
        <v>263.954760270833</v>
      </c>
      <c r="G365" s="52" t="n">
        <f aca="false">G363+F365</f>
        <v>392.597642884933</v>
      </c>
      <c r="H365" s="52" t="n">
        <f aca="false">H363+G365</f>
        <v>590.413189981051</v>
      </c>
      <c r="I365" s="52" t="n">
        <f aca="false">I363+H365</f>
        <v>845.779114481785</v>
      </c>
      <c r="J365" s="52" t="n">
        <f aca="false">J363+I365</f>
        <v>1109.80947637657</v>
      </c>
      <c r="K365" s="52" t="n">
        <f aca="false">K363+J365</f>
        <v>1424.05603413217</v>
      </c>
      <c r="L365" s="52" t="n">
        <f aca="false">L363+K365</f>
        <v>1759.47668854439</v>
      </c>
      <c r="M365" s="52" t="n">
        <f aca="false">M363+L365</f>
        <v>2094.88544096335</v>
      </c>
      <c r="N365" s="52" t="n">
        <f aca="false">N363+M365</f>
        <v>2468.57394535836</v>
      </c>
      <c r="O365" s="52" t="n">
        <f aca="false">O363+N365</f>
        <v>2910.60559631839</v>
      </c>
      <c r="P365" s="52" t="n">
        <f aca="false">P363+O365</f>
        <v>3547.46808954813</v>
      </c>
      <c r="Q365" s="52" t="n">
        <f aca="false">Q363+P365</f>
        <v>4245.57735489493</v>
      </c>
      <c r="R365" s="52" t="n">
        <f aca="false">R363+Q365</f>
        <v>4936.17059701176</v>
      </c>
      <c r="S365" s="52" t="n">
        <f aca="false">S363+R365</f>
        <v>5465.55974703784</v>
      </c>
      <c r="T365" s="52" t="n">
        <f aca="false">T363+S365</f>
        <v>6086.16341466105</v>
      </c>
      <c r="U365" s="52" t="n">
        <f aca="false">U363+T365</f>
        <v>6773.28397307159</v>
      </c>
      <c r="V365" s="52" t="n">
        <f aca="false">V363+U365</f>
        <v>7429.25213778584</v>
      </c>
      <c r="W365" s="52" t="n">
        <f aca="false">W363+V365</f>
        <v>8153.74668271799</v>
      </c>
      <c r="X365" s="52" t="n">
        <f aca="false">X363+W365</f>
        <v>8900.61460964534</v>
      </c>
      <c r="Y365" s="52" t="n">
        <f aca="false">Y363+X365</f>
        <v>9637.43365509052</v>
      </c>
      <c r="Z365" s="52" t="n">
        <f aca="false">Z363+Y365</f>
        <v>10434.6957535126</v>
      </c>
      <c r="AA365" s="52" t="n">
        <f aca="false">AA363+Z365</f>
        <v>11367.1465223258</v>
      </c>
      <c r="AB365" s="52" t="n">
        <f aca="false">AB363+AA365</f>
        <v>12701.6551395568</v>
      </c>
      <c r="AC365" s="52" t="n">
        <f aca="false">AC363+AB365</f>
        <v>14162.4272054854</v>
      </c>
      <c r="AD365" s="52" t="n">
        <f aca="false">AD363+AC365</f>
        <v>15579.4979735394</v>
      </c>
      <c r="AE365" s="52" t="n">
        <f aca="false">AE363+AD365</f>
        <v>16645.2774526973</v>
      </c>
      <c r="AF365" s="52" t="n">
        <f aca="false">AF363+AE365</f>
        <v>17872.7472019552</v>
      </c>
      <c r="AG365" s="52" t="n">
        <f aca="false">AG363+AF365</f>
        <v>19208.3919687064</v>
      </c>
      <c r="AH365" s="52" t="n">
        <f aca="false">AH363+AG365</f>
        <v>20461.7668545511</v>
      </c>
      <c r="AI365" s="52" t="n">
        <f aca="false">AI363+AH365</f>
        <v>21824.1789160794</v>
      </c>
      <c r="AJ365" s="52" t="n">
        <f aca="false">AJ363+AI365</f>
        <v>23177.0561984674</v>
      </c>
      <c r="AK365" s="52" t="n">
        <f aca="false">AK363+AJ365</f>
        <v>24459.4043906548</v>
      </c>
      <c r="AL365" s="52" t="n">
        <f aca="false">AL363+AK365</f>
        <v>25796.5975838655</v>
      </c>
      <c r="AM365" s="53" t="n">
        <f aca="false">N365</f>
        <v>2468.57394535836</v>
      </c>
      <c r="AN365" s="53" t="n">
        <f aca="false">Z365</f>
        <v>10434.6957535126</v>
      </c>
      <c r="AO365" s="53" t="n">
        <f aca="false">AL365</f>
        <v>25796.5975838655</v>
      </c>
      <c r="AP365" s="53" t="n">
        <f aca="false">AL365</f>
        <v>25796.5975838655</v>
      </c>
    </row>
    <row r="366" customFormat="false" ht="15" hidden="false" customHeight="false" outlineLevel="0" collapsed="false">
      <c r="A366" s="57" t="s">
        <v>776</v>
      </c>
      <c r="B366" s="58" t="s">
        <v>93</v>
      </c>
      <c r="C366" s="59" t="n">
        <f aca="false">C275+C285+C295+C305+C315+C325+C335+C345+C355</f>
        <v>93.1237296428571</v>
      </c>
      <c r="D366" s="59" t="n">
        <f aca="false">D275+D285+D295+D305+D315+D325+D335+D345+D355</f>
        <v>471.9350376</v>
      </c>
      <c r="E366" s="59" t="n">
        <f aca="false">E275+E285+E295+E305+E315+E325+E335+E345+E355</f>
        <v>968.178047886</v>
      </c>
      <c r="F366" s="59" t="n">
        <f aca="false">F275+F285+F295+F305+F315+F325+F335+F345+F355</f>
        <v>1372.95707327036</v>
      </c>
      <c r="G366" s="59" t="n">
        <f aca="false">G275+G285+G295+G305+G315+G325+G335+G345+G355</f>
        <v>1479.15755710926</v>
      </c>
      <c r="H366" s="59" t="n">
        <f aca="false">H275+H285+H295+H305+H315+H325+H335+H345+H355</f>
        <v>2288.1948798794</v>
      </c>
      <c r="I366" s="59" t="n">
        <f aca="false">I275+I285+I295+I305+I315+I325+I335+I345+I355</f>
        <v>3019.9874991456</v>
      </c>
      <c r="J366" s="59" t="n">
        <f aca="false">J275+J285+J295+J305+J315+J325+J335+J345+J355</f>
        <v>3137.61294993368</v>
      </c>
      <c r="K366" s="59" t="n">
        <f aca="false">K275+K285+K295+K305+K315+K325+K335+K345+K355</f>
        <v>3734.92803416578</v>
      </c>
      <c r="L366" s="59" t="n">
        <f aca="false">L275+L285+L295+L305+L315+L325+L335+L345+L355</f>
        <v>4014.70876856941</v>
      </c>
      <c r="M366" s="59" t="n">
        <f aca="false">M275+M285+M295+M305+M315+M325+M335+M345+M355</f>
        <v>4117.0502900752</v>
      </c>
      <c r="N366" s="59" t="n">
        <f aca="false">N275+N285+N295+N305+N315+N325+N335+N345+N355</f>
        <v>4660.8365127404</v>
      </c>
      <c r="O366" s="59" t="n">
        <f aca="false">O275+O285+O295+O305+O315+O325+O335+O345+O355</f>
        <v>5519.70311017475</v>
      </c>
      <c r="P366" s="59" t="n">
        <f aca="false">P275+P285+P295+P305+P315+P325+P335+P345+P355</f>
        <v>7854.74868312673</v>
      </c>
      <c r="Q366" s="59" t="n">
        <f aca="false">Q275+Q285+Q295+Q305+Q315+Q325+Q335+Q345+Q355</f>
        <v>8553.64692552098</v>
      </c>
      <c r="R366" s="59" t="n">
        <f aca="false">R275+R285+R295+R305+R315+R325+R335+R345+R355</f>
        <v>8667.50985672023</v>
      </c>
      <c r="S366" s="59" t="n">
        <f aca="false">S275+S285+S295+S305+S315+S325+S335+S345+S355</f>
        <v>6743.94587237712</v>
      </c>
      <c r="T366" s="59" t="n">
        <f aca="false">T275+T285+T295+T305+T315+T325+T335+T345+T355</f>
        <v>7849.82470417473</v>
      </c>
      <c r="U366" s="59" t="n">
        <f aca="false">U275+U285+U295+U305+U315+U325+U335+U345+U355</f>
        <v>8613.80497429753</v>
      </c>
      <c r="V366" s="59" t="n">
        <f aca="false">V275+V285+V295+V305+V315+V325+V335+V345+V355</f>
        <v>8161.09609835756</v>
      </c>
      <c r="W366" s="59" t="n">
        <f aca="false">W275+W285+W295+W305+W315+W325+W335+W345+W355</f>
        <v>8815.88616329749</v>
      </c>
      <c r="X366" s="59" t="n">
        <f aca="false">X275+X285+X295+X305+X315+X325+X335+X345+X355</f>
        <v>9185.56399997922</v>
      </c>
      <c r="Y366" s="59" t="n">
        <f aca="false">Y275+Y285+Y295+Y305+Y315+Y325+Y335+Y345+Y355</f>
        <v>9516.70521022673</v>
      </c>
      <c r="Z366" s="59" t="n">
        <f aca="false">Z275+Z285+Z295+Z305+Z315+Z325+Z335+Z345+Z355</f>
        <v>10308.3048929471</v>
      </c>
      <c r="AA366" s="59" t="n">
        <f aca="false">AA275+AA285+AA295+AA305+AA315+AA325+AA335+AA345+AA355</f>
        <v>11744.8527660836</v>
      </c>
      <c r="AB366" s="59" t="n">
        <f aca="false">AB275+AB285+AB295+AB305+AB315+AB325+AB335+AB345+AB355</f>
        <v>16270.5802515219</v>
      </c>
      <c r="AC366" s="59" t="n">
        <f aca="false">AC275+AC285+AC295+AC305+AC315+AC325+AC335+AC345+AC355</f>
        <v>17501.8626611932</v>
      </c>
      <c r="AD366" s="59" t="n">
        <f aca="false">AD275+AD285+AD295+AD305+AD315+AD325+AD335+AD345+AD355</f>
        <v>17350.7507833663</v>
      </c>
      <c r="AE366" s="59" t="n">
        <f aca="false">AE275+AE285+AE295+AE305+AE315+AE325+AE335+AE345+AE355</f>
        <v>13221.5606344841</v>
      </c>
      <c r="AF366" s="59" t="n">
        <f aca="false">AF275+AF285+AF295+AF305+AF315+AF325+AF335+AF345+AF355</f>
        <v>15123.4059170195</v>
      </c>
      <c r="AG366" s="59" t="n">
        <f aca="false">AG275+AG285+AG295+AG305+AG315+AG325+AG335+AG345+AG355</f>
        <v>16319.749282892</v>
      </c>
      <c r="AH366" s="59" t="n">
        <f aca="false">AH275+AH285+AH295+AH305+AH315+AH325+AH335+AH345+AH355</f>
        <v>15207.6804939871</v>
      </c>
      <c r="AI366" s="59" t="n">
        <f aca="false">AI275+AI285+AI295+AI305+AI315+AI325+AI335+AI345+AI355</f>
        <v>16213.2941706917</v>
      </c>
      <c r="AJ366" s="59" t="n">
        <f aca="false">AJ275+AJ285+AJ295+AJ305+AJ315+AJ325+AJ335+AJ345+AJ355</f>
        <v>16296.8073154371</v>
      </c>
      <c r="AK366" s="59" t="n">
        <f aca="false">AK275+AK285+AK295+AK305+AK315+AK325+AK335+AK345+AK355</f>
        <v>16165.8862313831</v>
      </c>
      <c r="AL366" s="59" t="n">
        <f aca="false">AL275+AL285+AL295+AL305+AL315+AL325+AL335+AL345+AL355</f>
        <v>16926.1393482689</v>
      </c>
      <c r="AM366" s="60" t="n">
        <f aca="false">SUMIF($C$6:$AL$6,1,C366:AL366)</f>
        <v>29358.670380018</v>
      </c>
      <c r="AN366" s="60" t="n">
        <f aca="false">SUMIF($C$6:$AL$6,2,C366:AL366)</f>
        <v>99790.7404912002</v>
      </c>
      <c r="AO366" s="60" t="n">
        <f aca="false">SUMIF($C$6:$AL$6,3,C366:AL366)</f>
        <v>188342.569856329</v>
      </c>
      <c r="AP366" s="60" t="n">
        <f aca="false">SUM(C366:AL366)</f>
        <v>317491.980727547</v>
      </c>
    </row>
    <row r="367" customFormat="false" ht="15" hidden="false" customHeight="false" outlineLevel="0" collapsed="false">
      <c r="A367" s="57" t="s">
        <v>777</v>
      </c>
      <c r="B367" s="58" t="s">
        <v>93</v>
      </c>
      <c r="C367" s="59" t="n">
        <f aca="false">C276+C286+C296+C306+C316+C326+C336+C346+C356</f>
        <v>79.0480620867857</v>
      </c>
      <c r="D367" s="59" t="n">
        <f aca="false">D276+D286+D296+D306+D316+D326+D336+D346+D356</f>
        <v>320.5784524176</v>
      </c>
      <c r="E367" s="59" t="n">
        <f aca="false">E276+E286+E296+E306+E316+E326+E336+E346+E356</f>
        <v>606.170482601436</v>
      </c>
      <c r="F367" s="59" t="n">
        <f aca="false">F276+F286+F296+F306+F316+F326+F336+F346+F356</f>
        <v>818.624248753187</v>
      </c>
      <c r="G367" s="59" t="n">
        <f aca="false">G276+G286+G296+G306+G316+G326+G336+G346+G356</f>
        <v>864.916268064282</v>
      </c>
      <c r="H367" s="59" t="n">
        <f aca="false">H276+H286+H296+H306+H316+H326+H336+H346+H356</f>
        <v>1326.93276185259</v>
      </c>
      <c r="I367" s="59" t="n">
        <f aca="false">I276+I286+I296+I306+I316+I326+I336+I346+I356</f>
        <v>1698.6447497527</v>
      </c>
      <c r="J367" s="59" t="n">
        <f aca="false">J276+J286+J296+J306+J316+J326+J336+J346+J356</f>
        <v>1756.95990979073</v>
      </c>
      <c r="K367" s="59" t="n">
        <f aca="false">K276+K286+K296+K306+K316+K326+K336+K346+K356</f>
        <v>2106.84698390306</v>
      </c>
      <c r="L367" s="59" t="n">
        <f aca="false">L276+L286+L296+L306+L316+L326+L336+L346+L356</f>
        <v>2285.26065496951</v>
      </c>
      <c r="M367" s="59" t="n">
        <f aca="false">M276+M286+M296+M306+M316+M326+M336+M346+M356</f>
        <v>2411.65575082451</v>
      </c>
      <c r="N367" s="59" t="n">
        <f aca="false">N276+N286+N296+N306+N316+N326+N336+N346+N356</f>
        <v>2785.56446579345</v>
      </c>
      <c r="O367" s="59" t="n">
        <f aca="false">O276+O286+O296+O306+O316+O326+O336+O346+O356</f>
        <v>3315.45310277584</v>
      </c>
      <c r="P367" s="59" t="n">
        <f aca="false">P276+P286+P296+P306+P316+P326+P336+P346+P356</f>
        <v>4696.81897369938</v>
      </c>
      <c r="Q367" s="59" t="n">
        <f aca="false">Q276+Q286+Q296+Q306+Q316+Q326+Q336+Q346+Q356</f>
        <v>5113.42827820397</v>
      </c>
      <c r="R367" s="59" t="n">
        <f aca="false">R276+R286+R296+R306+R316+R326+R336+R346+R356</f>
        <v>5290.69604007889</v>
      </c>
      <c r="S367" s="59" t="n">
        <f aca="false">S276+S286+S296+S306+S316+S326+S336+S346+S356</f>
        <v>4173.89877017221</v>
      </c>
      <c r="T367" s="59" t="n">
        <f aca="false">T276+T286+T296+T306+T316+T326+T336+T346+T356</f>
        <v>4854.6308781622</v>
      </c>
      <c r="U367" s="59" t="n">
        <f aca="false">U276+U286+U296+U306+U316+U326+U336+U346+U356</f>
        <v>5317.10657536151</v>
      </c>
      <c r="V367" s="59" t="n">
        <f aca="false">V276+V286+V296+V306+V316+V326+V336+V346+V356</f>
        <v>5032.80876352538</v>
      </c>
      <c r="W367" s="59" t="n">
        <f aca="false">W276+W286+W296+W306+W316+W326+W336+W346+W356</f>
        <v>5379.61026063735</v>
      </c>
      <c r="X367" s="59" t="n">
        <f aca="false">X276+X286+X296+X306+X316+X326+X336+X346+X356</f>
        <v>5621.89256784535</v>
      </c>
      <c r="Y367" s="59" t="n">
        <f aca="false">Y276+Y286+Y296+Y306+Y316+Y326+Y336+Y346+Y356</f>
        <v>5985.1733227218</v>
      </c>
      <c r="Z367" s="59" t="n">
        <f aca="false">Z276+Z286+Z296+Z306+Z316+Z326+Z336+Z346+Z356</f>
        <v>6461.26678517922</v>
      </c>
      <c r="AA367" s="59" t="n">
        <f aca="false">AA276+AA286+AA296+AA306+AA316+AA326+AA336+AA346+AA356</f>
        <v>7189.26665264045</v>
      </c>
      <c r="AB367" s="59" t="n">
        <f aca="false">AB276+AB286+AB296+AB306+AB316+AB326+AB336+AB346+AB356</f>
        <v>9663.17421949042</v>
      </c>
      <c r="AC367" s="59" t="n">
        <f aca="false">AC276+AC286+AC296+AC306+AC316+AC326+AC336+AC346+AC356</f>
        <v>10175.2841470451</v>
      </c>
      <c r="AD367" s="59" t="n">
        <f aca="false">AD276+AD286+AD296+AD306+AD316+AD326+AD336+AD346+AD356</f>
        <v>10247.384158683</v>
      </c>
      <c r="AE367" s="59" t="n">
        <f aca="false">AE276+AE286+AE296+AE306+AE316+AE326+AE336+AE346+AE356</f>
        <v>7878.56250416263</v>
      </c>
      <c r="AF367" s="59" t="n">
        <f aca="false">AF276+AF286+AF296+AF306+AF316+AF326+AF336+AF346+AF356</f>
        <v>8959.97663401419</v>
      </c>
      <c r="AG367" s="59" t="n">
        <f aca="false">AG276+AG286+AG296+AG306+AG316+AG326+AG336+AG346+AG356</f>
        <v>9601.23851020864</v>
      </c>
      <c r="AH367" s="59" t="n">
        <f aca="false">AH276+AH286+AH296+AH306+AH316+AH326+AH336+AH346+AH356</f>
        <v>8891.51468428991</v>
      </c>
      <c r="AI367" s="59" t="n">
        <f aca="false">AI276+AI286+AI296+AI306+AI316+AI326+AI336+AI346+AI356</f>
        <v>9328.77984278378</v>
      </c>
      <c r="AJ367" s="59" t="n">
        <f aca="false">AJ276+AJ286+AJ296+AJ306+AJ316+AJ326+AJ336+AJ346+AJ356</f>
        <v>9453.33520715118</v>
      </c>
      <c r="AK367" s="59" t="n">
        <f aca="false">AK276+AK286+AK296+AK306+AK316+AK326+AK336+AK346+AK356</f>
        <v>9684.61946285858</v>
      </c>
      <c r="AL367" s="59" t="n">
        <f aca="false">AL276+AL286+AL296+AL306+AL316+AL326+AL336+AL346+AL356</f>
        <v>10155.2028784453</v>
      </c>
      <c r="AM367" s="60" t="n">
        <f aca="false">SUMIF($C$6:$AL$6,1,C367:AL367)</f>
        <v>17061.2027908099</v>
      </c>
      <c r="AN367" s="60" t="n">
        <f aca="false">SUMIF($C$6:$AL$6,2,C367:AL367)</f>
        <v>61242.7843183631</v>
      </c>
      <c r="AO367" s="60" t="n">
        <f aca="false">SUMIF($C$6:$AL$6,3,C367:AL367)</f>
        <v>111228.338901773</v>
      </c>
      <c r="AP367" s="60" t="n">
        <f aca="false">SUM(C367:AL367)</f>
        <v>189532.326010946</v>
      </c>
    </row>
    <row r="368" customFormat="false" ht="15" hidden="false" customHeight="false" outlineLevel="0" collapsed="false">
      <c r="A368" s="7" t="s">
        <v>778</v>
      </c>
      <c r="B368" s="9" t="s">
        <v>88</v>
      </c>
      <c r="C368" s="36" t="n">
        <f aca="false">IF(C366=0,0,C367/C366)</f>
        <v>0.848849830112543</v>
      </c>
      <c r="D368" s="36" t="n">
        <f aca="false">IF(D366=0,0,D367/D366)</f>
        <v>0.679285127986861</v>
      </c>
      <c r="E368" s="36" t="n">
        <f aca="false">IF(E366=0,0,E367/E366)</f>
        <v>0.626094016410513</v>
      </c>
      <c r="F368" s="36" t="n">
        <f aca="false">IF(F366=0,0,F367/F366)</f>
        <v>0.596248975798811</v>
      </c>
      <c r="G368" s="36" t="n">
        <f aca="false">IF(G366=0,0,G367/G366)</f>
        <v>0.584735726026779</v>
      </c>
      <c r="H368" s="36" t="n">
        <f aca="false">IF(H366=0,0,H367/H366)</f>
        <v>0.579903737011473</v>
      </c>
      <c r="I368" s="36" t="n">
        <f aca="false">IF(I366=0,0,I367/I366)</f>
        <v>0.56246747717773</v>
      </c>
      <c r="J368" s="36" t="n">
        <f aca="false">IF(J366=0,0,J367/J366)</f>
        <v>0.55996706344161</v>
      </c>
      <c r="K368" s="36" t="n">
        <f aca="false">IF(K366=0,0,K367/K366)</f>
        <v>0.56409306006177</v>
      </c>
      <c r="L368" s="36" t="n">
        <f aca="false">IF(L366=0,0,L367/L366)</f>
        <v>0.569222024984849</v>
      </c>
      <c r="M368" s="36" t="n">
        <f aca="false">IF(M366=0,0,M367/M366)</f>
        <v>0.585772720978947</v>
      </c>
      <c r="N368" s="36" t="n">
        <f aca="false">IF(N366=0,0,N367/N366)</f>
        <v>0.597653330722737</v>
      </c>
      <c r="O368" s="36" t="n">
        <f aca="false">IF(O366=0,0,O367/O366)</f>
        <v>0.600657868113287</v>
      </c>
      <c r="P368" s="36" t="n">
        <f aca="false">IF(P366=0,0,P367/P366)</f>
        <v>0.597959166254282</v>
      </c>
      <c r="Q368" s="36" t="n">
        <f aca="false">IF(Q366=0,0,Q367/Q366)</f>
        <v>0.597806797817123</v>
      </c>
      <c r="R368" s="36" t="n">
        <f aca="false">IF(R366=0,0,R367/R366)</f>
        <v>0.610405540638275</v>
      </c>
      <c r="S368" s="36" t="n">
        <f aca="false">IF(S366=0,0,S367/S366)</f>
        <v>0.61891047899247</v>
      </c>
      <c r="T368" s="36" t="n">
        <f aca="false">IF(T366=0,0,T367/T366)</f>
        <v>0.618438125832337</v>
      </c>
      <c r="U368" s="36" t="n">
        <f aca="false">IF(U366=0,0,U367/U366)</f>
        <v>0.617277334607303</v>
      </c>
      <c r="V368" s="36" t="n">
        <f aca="false">IF(V366=0,0,V367/V366)</f>
        <v>0.616682943426955</v>
      </c>
      <c r="W368" s="36" t="n">
        <f aca="false">IF(W366=0,0,W367/W366)</f>
        <v>0.610217754743008</v>
      </c>
      <c r="X368" s="36" t="n">
        <f aca="false">IF(X366=0,0,X367/X366)</f>
        <v>0.612035642869406</v>
      </c>
      <c r="Y368" s="36" t="n">
        <f aca="false">IF(Y366=0,0,Y367/Y366)</f>
        <v>0.628912337884553</v>
      </c>
      <c r="Z368" s="36" t="n">
        <f aca="false">IF(Z366=0,0,Z367/Z366)</f>
        <v>0.62680206418807</v>
      </c>
      <c r="AA368" s="36" t="n">
        <f aca="false">IF(AA366=0,0,AA367/AA366)</f>
        <v>0.612120628144559</v>
      </c>
      <c r="AB368" s="36" t="n">
        <f aca="false">IF(AB366=0,0,AB367/AB366)</f>
        <v>0.593904708382269</v>
      </c>
      <c r="AC368" s="36" t="n">
        <f aca="false">IF(AC366=0,0,AC367/AC366)</f>
        <v>0.58138292729303</v>
      </c>
      <c r="AD368" s="36" t="n">
        <f aca="false">IF(AD366=0,0,AD367/AD366)</f>
        <v>0.590601772028613</v>
      </c>
      <c r="AE368" s="36" t="n">
        <f aca="false">IF(AE366=0,0,AE367/AE366)</f>
        <v>0.595887484236465</v>
      </c>
      <c r="AF368" s="36" t="n">
        <f aca="false">IF(AF366=0,0,AF367/AF366)</f>
        <v>0.592457590781906</v>
      </c>
      <c r="AG368" s="36" t="n">
        <f aca="false">IF(AG366=0,0,AG367/AG366)</f>
        <v>0.58832022133291</v>
      </c>
      <c r="AH368" s="36" t="n">
        <f aca="false">IF(AH366=0,0,AH367/AH366)</f>
        <v>0.584672638789689</v>
      </c>
      <c r="AI368" s="36" t="n">
        <f aca="false">IF(AI366=0,0,AI367/AI366)</f>
        <v>0.57537843602734</v>
      </c>
      <c r="AJ368" s="36" t="n">
        <f aca="false">IF(AJ366=0,0,AJ367/AJ366)</f>
        <v>0.58007283415547</v>
      </c>
      <c r="AK368" s="36" t="n">
        <f aca="false">IF(AK366=0,0,AK367/AK366)</f>
        <v>0.599077546646199</v>
      </c>
      <c r="AL368" s="36" t="n">
        <f aca="false">IF(AL366=0,0,AL367/AL366)</f>
        <v>0.599971598336386</v>
      </c>
    </row>
    <row r="369" customFormat="false" ht="15" hidden="false" customHeight="false" outlineLevel="0" collapsed="false">
      <c r="A369" s="7" t="s">
        <v>779</v>
      </c>
      <c r="B369" s="9" t="s">
        <v>93</v>
      </c>
      <c r="C369" s="8" t="n">
        <f aca="false">IF(C$4&gt;=Assumptions!$E$178,CHOOSE(C$6,Assumptions!$E$179,Assumptions!$E$180,Assumptions!$E$181),0)</f>
        <v>0</v>
      </c>
      <c r="D369" s="8" t="n">
        <f aca="false">IF(D$4&gt;=Assumptions!$E$178,CHOOSE(D$6,Assumptions!$E$179,Assumptions!$E$180,Assumptions!$E$181),0)</f>
        <v>300</v>
      </c>
      <c r="E369" s="8" t="n">
        <f aca="false">IF(E$4&gt;=Assumptions!$E$178,CHOOSE(E$6,Assumptions!$E$179,Assumptions!$E$180,Assumptions!$E$181),0)</f>
        <v>300</v>
      </c>
      <c r="F369" s="8" t="n">
        <f aca="false">IF(F$4&gt;=Assumptions!$E$178,CHOOSE(F$6,Assumptions!$E$179,Assumptions!$E$180,Assumptions!$E$181),0)</f>
        <v>300</v>
      </c>
      <c r="G369" s="8" t="n">
        <f aca="false">IF(G$4&gt;=Assumptions!$E$178,CHOOSE(G$6,Assumptions!$E$179,Assumptions!$E$180,Assumptions!$E$181),0)</f>
        <v>300</v>
      </c>
      <c r="H369" s="8" t="n">
        <f aca="false">IF(H$4&gt;=Assumptions!$E$178,CHOOSE(H$6,Assumptions!$E$179,Assumptions!$E$180,Assumptions!$E$181),0)</f>
        <v>300</v>
      </c>
      <c r="I369" s="8" t="n">
        <f aca="false">IF(I$4&gt;=Assumptions!$E$178,CHOOSE(I$6,Assumptions!$E$179,Assumptions!$E$180,Assumptions!$E$181),0)</f>
        <v>300</v>
      </c>
      <c r="J369" s="8" t="n">
        <f aca="false">IF(J$4&gt;=Assumptions!$E$178,CHOOSE(J$6,Assumptions!$E$179,Assumptions!$E$180,Assumptions!$E$181),0)</f>
        <v>300</v>
      </c>
      <c r="K369" s="8" t="n">
        <f aca="false">IF(K$4&gt;=Assumptions!$E$178,CHOOSE(K$6,Assumptions!$E$179,Assumptions!$E$180,Assumptions!$E$181),0)</f>
        <v>300</v>
      </c>
      <c r="L369" s="8" t="n">
        <f aca="false">IF(L$4&gt;=Assumptions!$E$178,CHOOSE(L$6,Assumptions!$E$179,Assumptions!$E$180,Assumptions!$E$181),0)</f>
        <v>300</v>
      </c>
      <c r="M369" s="8" t="n">
        <f aca="false">IF(M$4&gt;=Assumptions!$E$178,CHOOSE(M$6,Assumptions!$E$179,Assumptions!$E$180,Assumptions!$E$181),0)</f>
        <v>300</v>
      </c>
      <c r="N369" s="8" t="n">
        <f aca="false">IF(N$4&gt;=Assumptions!$E$178,CHOOSE(N$6,Assumptions!$E$179,Assumptions!$E$180,Assumptions!$E$181),0)</f>
        <v>300</v>
      </c>
      <c r="O369" s="8" t="n">
        <f aca="false">IF(O$4&gt;=Assumptions!$E$178,CHOOSE(O$6,Assumptions!$E$179,Assumptions!$E$180,Assumptions!$E$181),0)</f>
        <v>600</v>
      </c>
      <c r="P369" s="8" t="n">
        <f aca="false">IF(P$4&gt;=Assumptions!$E$178,CHOOSE(P$6,Assumptions!$E$179,Assumptions!$E$180,Assumptions!$E$181),0)</f>
        <v>600</v>
      </c>
      <c r="Q369" s="8" t="n">
        <f aca="false">IF(Q$4&gt;=Assumptions!$E$178,CHOOSE(Q$6,Assumptions!$E$179,Assumptions!$E$180,Assumptions!$E$181),0)</f>
        <v>600</v>
      </c>
      <c r="R369" s="8" t="n">
        <f aca="false">IF(R$4&gt;=Assumptions!$E$178,CHOOSE(R$6,Assumptions!$E$179,Assumptions!$E$180,Assumptions!$E$181),0)</f>
        <v>600</v>
      </c>
      <c r="S369" s="8" t="n">
        <f aca="false">IF(S$4&gt;=Assumptions!$E$178,CHOOSE(S$6,Assumptions!$E$179,Assumptions!$E$180,Assumptions!$E$181),0)</f>
        <v>600</v>
      </c>
      <c r="T369" s="8" t="n">
        <f aca="false">IF(T$4&gt;=Assumptions!$E$178,CHOOSE(T$6,Assumptions!$E$179,Assumptions!$E$180,Assumptions!$E$181),0)</f>
        <v>600</v>
      </c>
      <c r="U369" s="8" t="n">
        <f aca="false">IF(U$4&gt;=Assumptions!$E$178,CHOOSE(U$6,Assumptions!$E$179,Assumptions!$E$180,Assumptions!$E$181),0)</f>
        <v>600</v>
      </c>
      <c r="V369" s="8" t="n">
        <f aca="false">IF(V$4&gt;=Assumptions!$E$178,CHOOSE(V$6,Assumptions!$E$179,Assumptions!$E$180,Assumptions!$E$181),0)</f>
        <v>600</v>
      </c>
      <c r="W369" s="8" t="n">
        <f aca="false">IF(W$4&gt;=Assumptions!$E$178,CHOOSE(W$6,Assumptions!$E$179,Assumptions!$E$180,Assumptions!$E$181),0)</f>
        <v>600</v>
      </c>
      <c r="X369" s="8" t="n">
        <f aca="false">IF(X$4&gt;=Assumptions!$E$178,CHOOSE(X$6,Assumptions!$E$179,Assumptions!$E$180,Assumptions!$E$181),0)</f>
        <v>600</v>
      </c>
      <c r="Y369" s="8" t="n">
        <f aca="false">IF(Y$4&gt;=Assumptions!$E$178,CHOOSE(Y$6,Assumptions!$E$179,Assumptions!$E$180,Assumptions!$E$181),0)</f>
        <v>600</v>
      </c>
      <c r="Z369" s="8" t="n">
        <f aca="false">IF(Z$4&gt;=Assumptions!$E$178,CHOOSE(Z$6,Assumptions!$E$179,Assumptions!$E$180,Assumptions!$E$181),0)</f>
        <v>600</v>
      </c>
      <c r="AA369" s="8" t="n">
        <f aca="false">IF(AA$4&gt;=Assumptions!$E$178,CHOOSE(AA$6,Assumptions!$E$179,Assumptions!$E$180,Assumptions!$E$181),0)</f>
        <v>900</v>
      </c>
      <c r="AB369" s="8" t="n">
        <f aca="false">IF(AB$4&gt;=Assumptions!$E$178,CHOOSE(AB$6,Assumptions!$E$179,Assumptions!$E$180,Assumptions!$E$181),0)</f>
        <v>900</v>
      </c>
      <c r="AC369" s="8" t="n">
        <f aca="false">IF(AC$4&gt;=Assumptions!$E$178,CHOOSE(AC$6,Assumptions!$E$179,Assumptions!$E$180,Assumptions!$E$181),0)</f>
        <v>900</v>
      </c>
      <c r="AD369" s="8" t="n">
        <f aca="false">IF(AD$4&gt;=Assumptions!$E$178,CHOOSE(AD$6,Assumptions!$E$179,Assumptions!$E$180,Assumptions!$E$181),0)</f>
        <v>900</v>
      </c>
      <c r="AE369" s="8" t="n">
        <f aca="false">IF(AE$4&gt;=Assumptions!$E$178,CHOOSE(AE$6,Assumptions!$E$179,Assumptions!$E$180,Assumptions!$E$181),0)</f>
        <v>900</v>
      </c>
      <c r="AF369" s="8" t="n">
        <f aca="false">IF(AF$4&gt;=Assumptions!$E$178,CHOOSE(AF$6,Assumptions!$E$179,Assumptions!$E$180,Assumptions!$E$181),0)</f>
        <v>900</v>
      </c>
      <c r="AG369" s="8" t="n">
        <f aca="false">IF(AG$4&gt;=Assumptions!$E$178,CHOOSE(AG$6,Assumptions!$E$179,Assumptions!$E$180,Assumptions!$E$181),0)</f>
        <v>900</v>
      </c>
      <c r="AH369" s="8" t="n">
        <f aca="false">IF(AH$4&gt;=Assumptions!$E$178,CHOOSE(AH$6,Assumptions!$E$179,Assumptions!$E$180,Assumptions!$E$181),0)</f>
        <v>900</v>
      </c>
      <c r="AI369" s="8" t="n">
        <f aca="false">IF(AI$4&gt;=Assumptions!$E$178,CHOOSE(AI$6,Assumptions!$E$179,Assumptions!$E$180,Assumptions!$E$181),0)</f>
        <v>900</v>
      </c>
      <c r="AJ369" s="8" t="n">
        <f aca="false">IF(AJ$4&gt;=Assumptions!$E$178,CHOOSE(AJ$6,Assumptions!$E$179,Assumptions!$E$180,Assumptions!$E$181),0)</f>
        <v>900</v>
      </c>
      <c r="AK369" s="8" t="n">
        <f aca="false">IF(AK$4&gt;=Assumptions!$E$178,CHOOSE(AK$6,Assumptions!$E$179,Assumptions!$E$180,Assumptions!$E$181),0)</f>
        <v>900</v>
      </c>
      <c r="AL369" s="8" t="n">
        <f aca="false">IF(AL$4&gt;=Assumptions!$E$178,CHOOSE(AL$6,Assumptions!$E$179,Assumptions!$E$180,Assumptions!$E$181),0)</f>
        <v>900</v>
      </c>
      <c r="AM369" s="45" t="n">
        <f aca="false">SUMIF($C$6:$AL$6,1,C369:AL369)</f>
        <v>3300</v>
      </c>
      <c r="AN369" s="45" t="n">
        <f aca="false">SUMIF($C$6:$AL$6,2,C369:AL369)</f>
        <v>7200</v>
      </c>
      <c r="AO369" s="45" t="n">
        <f aca="false">SUMIF($C$6:$AL$6,3,C369:AL369)</f>
        <v>10800</v>
      </c>
      <c r="AP369" s="45" t="n">
        <f aca="false">SUM(C369:AL369)</f>
        <v>21300</v>
      </c>
    </row>
    <row r="370" customFormat="false" ht="15" hidden="false" customHeight="false" outlineLevel="0" collapsed="false">
      <c r="A370" s="7" t="s">
        <v>780</v>
      </c>
      <c r="B370" s="9" t="s">
        <v>93</v>
      </c>
      <c r="C370" s="8" t="n">
        <f aca="false">'Monthly Operating Costs'!O$33</f>
        <v>1237.3185</v>
      </c>
      <c r="D370" s="8" t="n">
        <f aca="false">'Monthly Operating Costs'!P$33</f>
        <v>735.7185</v>
      </c>
      <c r="E370" s="8" t="n">
        <f aca="false">'Monthly Operating Costs'!Q$33</f>
        <v>814.3685</v>
      </c>
      <c r="F370" s="8" t="n">
        <f aca="false">'Monthly Operating Costs'!R$33</f>
        <v>1226.8685</v>
      </c>
      <c r="G370" s="8" t="n">
        <f aca="false">'Monthly Operating Costs'!S$33</f>
        <v>944.1685</v>
      </c>
      <c r="H370" s="8" t="n">
        <f aca="false">'Monthly Operating Costs'!T$33</f>
        <v>814.3685</v>
      </c>
      <c r="I370" s="8" t="n">
        <f aca="false">'Monthly Operating Costs'!U$33</f>
        <v>2244.3685</v>
      </c>
      <c r="J370" s="8" t="n">
        <f aca="false">'Monthly Operating Costs'!V$33</f>
        <v>814.3685</v>
      </c>
      <c r="K370" s="8" t="n">
        <f aca="false">'Monthly Operating Costs'!W$33</f>
        <v>814.3685</v>
      </c>
      <c r="L370" s="8" t="n">
        <f aca="false">'Monthly Operating Costs'!X$33</f>
        <v>814.3685</v>
      </c>
      <c r="M370" s="8" t="n">
        <f aca="false">'Monthly Operating Costs'!Y$33</f>
        <v>814.3685</v>
      </c>
      <c r="N370" s="8" t="n">
        <f aca="false">'Monthly Operating Costs'!Z$33</f>
        <v>814.3685</v>
      </c>
      <c r="O370" s="8" t="n">
        <f aca="false">'Monthly Operating Costs'!AA$33</f>
        <v>1667.4185</v>
      </c>
      <c r="P370" s="8" t="n">
        <f aca="false">'Monthly Operating Costs'!AB$33</f>
        <v>835.8185</v>
      </c>
      <c r="Q370" s="8" t="n">
        <f aca="false">'Monthly Operating Costs'!AC$33</f>
        <v>835.8185</v>
      </c>
      <c r="R370" s="8" t="n">
        <f aca="false">'Monthly Operating Costs'!AD$33</f>
        <v>1248.3185</v>
      </c>
      <c r="S370" s="8" t="n">
        <f aca="false">'Monthly Operating Costs'!AE$33</f>
        <v>965.6185</v>
      </c>
      <c r="T370" s="8" t="n">
        <f aca="false">'Monthly Operating Costs'!AF$33</f>
        <v>835.8185</v>
      </c>
      <c r="U370" s="8" t="n">
        <f aca="false">'Monthly Operating Costs'!AG$33</f>
        <v>2265.8185</v>
      </c>
      <c r="V370" s="8" t="n">
        <f aca="false">'Monthly Operating Costs'!AH$33</f>
        <v>835.8185</v>
      </c>
      <c r="W370" s="8" t="n">
        <f aca="false">'Monthly Operating Costs'!AI$33</f>
        <v>835.8185</v>
      </c>
      <c r="X370" s="8" t="n">
        <f aca="false">'Monthly Operating Costs'!AJ$33</f>
        <v>835.8185</v>
      </c>
      <c r="Y370" s="8" t="n">
        <f aca="false">'Monthly Operating Costs'!AK$33</f>
        <v>835.8185</v>
      </c>
      <c r="Z370" s="8" t="n">
        <f aca="false">'Monthly Operating Costs'!AL$33</f>
        <v>835.8185</v>
      </c>
      <c r="AA370" s="8" t="n">
        <f aca="false">'Monthly Operating Costs'!AM$33</f>
        <v>1667.4185</v>
      </c>
      <c r="AB370" s="8" t="n">
        <f aca="false">'Monthly Operating Costs'!AN$33</f>
        <v>835.8185</v>
      </c>
      <c r="AC370" s="8" t="n">
        <f aca="false">'Monthly Operating Costs'!AO$33</f>
        <v>835.8185</v>
      </c>
      <c r="AD370" s="8" t="n">
        <f aca="false">'Monthly Operating Costs'!AP$33</f>
        <v>1248.3185</v>
      </c>
      <c r="AE370" s="8" t="n">
        <f aca="false">'Monthly Operating Costs'!AQ$33</f>
        <v>965.6185</v>
      </c>
      <c r="AF370" s="8" t="n">
        <f aca="false">'Monthly Operating Costs'!AR$33</f>
        <v>835.8185</v>
      </c>
      <c r="AG370" s="8" t="n">
        <f aca="false">'Monthly Operating Costs'!AS$33</f>
        <v>2265.8185</v>
      </c>
      <c r="AH370" s="8" t="n">
        <f aca="false">'Monthly Operating Costs'!AT$33</f>
        <v>835.8185</v>
      </c>
      <c r="AI370" s="8" t="n">
        <f aca="false">'Monthly Operating Costs'!AU$33</f>
        <v>835.8185</v>
      </c>
      <c r="AJ370" s="8" t="n">
        <f aca="false">'Monthly Operating Costs'!AV$33</f>
        <v>835.8185</v>
      </c>
      <c r="AK370" s="8" t="n">
        <f aca="false">'Monthly Operating Costs'!AW$33</f>
        <v>835.8185</v>
      </c>
      <c r="AL370" s="8" t="n">
        <f aca="false">'Monthly Operating Costs'!AX$33</f>
        <v>835.8185</v>
      </c>
      <c r="AM370" s="45" t="n">
        <f aca="false">SUMIF($C$6:$AL$6,1,C370:AL370)</f>
        <v>12089.022</v>
      </c>
      <c r="AN370" s="45" t="n">
        <f aca="false">SUMIF($C$6:$AL$6,2,C370:AL370)</f>
        <v>12833.722</v>
      </c>
      <c r="AO370" s="45" t="n">
        <f aca="false">SUMIF($C$6:$AL$6,3,C370:AL370)</f>
        <v>12833.722</v>
      </c>
      <c r="AP370" s="45" t="n">
        <f aca="false">SUM(C370:AL370)</f>
        <v>37756.466</v>
      </c>
    </row>
    <row r="371" customFormat="false" ht="15" hidden="false" customHeight="false" outlineLevel="0" collapsed="false">
      <c r="A371" s="7" t="s">
        <v>781</v>
      </c>
      <c r="B371" s="9" t="s">
        <v>93</v>
      </c>
      <c r="C371" s="8" t="n">
        <f aca="false">IF(AND(Assumptions!$E$145=1,$B$263&gt;0,C$4&gt;=$B$263),Assumptions!$C$60+Assumptions!$C$61,0)+IF(C348=1,'Retail Readiness Costs'!$H$29,0)</f>
        <v>0</v>
      </c>
      <c r="D371" s="8" t="n">
        <f aca="false">IF(AND(Assumptions!$E$145=1,$B$263&gt;0,D$4&gt;=$B$263),Assumptions!$C$60+Assumptions!$C$61,0)+IF(D348=1,'Retail Readiness Costs'!$H$29,0)</f>
        <v>0</v>
      </c>
      <c r="E371" s="8" t="n">
        <f aca="false">IF(AND(Assumptions!$E$145=1,$B$263&gt;0,E$4&gt;=$B$263),Assumptions!$C$60+Assumptions!$C$61,0)+IF(E348=1,'Retail Readiness Costs'!$H$29,0)</f>
        <v>0</v>
      </c>
      <c r="F371" s="8" t="n">
        <f aca="false">IF(AND(Assumptions!$E$145=1,$B$263&gt;0,F$4&gt;=$B$263),Assumptions!$C$60+Assumptions!$C$61,0)+IF(F348=1,'Retail Readiness Costs'!$H$29,0)</f>
        <v>0</v>
      </c>
      <c r="G371" s="8" t="n">
        <f aca="false">IF(AND(Assumptions!$E$145=1,$B$263&gt;0,G$4&gt;=$B$263),Assumptions!$C$60+Assumptions!$C$61,0)+IF(G348=1,'Retail Readiness Costs'!$H$29,0)</f>
        <v>0</v>
      </c>
      <c r="H371" s="8" t="n">
        <f aca="false">IF(AND(Assumptions!$E$145=1,$B$263&gt;0,H$4&gt;=$B$263),Assumptions!$C$60+Assumptions!$C$61,0)+IF(H348=1,'Retail Readiness Costs'!$H$29,0)</f>
        <v>0</v>
      </c>
      <c r="I371" s="8" t="n">
        <f aca="false">IF(AND(Assumptions!$E$145=1,$B$263&gt;0,I$4&gt;=$B$263),Assumptions!$C$60+Assumptions!$C$61,0)+IF(I348=1,'Retail Readiness Costs'!$H$29,0)</f>
        <v>0</v>
      </c>
      <c r="J371" s="8" t="n">
        <f aca="false">IF(AND(Assumptions!$E$145=1,$B$263&gt;0,J$4&gt;=$B$263),Assumptions!$C$60+Assumptions!$C$61,0)+IF(J348=1,'Retail Readiness Costs'!$H$29,0)</f>
        <v>139.99</v>
      </c>
      <c r="K371" s="8" t="n">
        <f aca="false">IF(AND(Assumptions!$E$145=1,$B$263&gt;0,K$4&gt;=$B$263),Assumptions!$C$60+Assumptions!$C$61,0)+IF(K348=1,'Retail Readiness Costs'!$H$29,0)</f>
        <v>139.99</v>
      </c>
      <c r="L371" s="8" t="n">
        <f aca="false">IF(AND(Assumptions!$E$145=1,$B$263&gt;0,L$4&gt;=$B$263),Assumptions!$C$60+Assumptions!$C$61,0)+IF(L348=1,'Retail Readiness Costs'!$H$29,0)</f>
        <v>139.99</v>
      </c>
      <c r="M371" s="8" t="n">
        <f aca="false">IF(AND(Assumptions!$E$145=1,$B$263&gt;0,M$4&gt;=$B$263),Assumptions!$C$60+Assumptions!$C$61,0)+IF(M348=1,'Retail Readiness Costs'!$H$29,0)</f>
        <v>139.99</v>
      </c>
      <c r="N371" s="8" t="n">
        <f aca="false">IF(AND(Assumptions!$E$145=1,$B$263&gt;0,N$4&gt;=$B$263),Assumptions!$C$60+Assumptions!$C$61,0)+IF(N348=1,'Retail Readiness Costs'!$H$29,0)</f>
        <v>139.99</v>
      </c>
      <c r="O371" s="8" t="n">
        <f aca="false">IF(AND(Assumptions!$E$145=1,$B$263&gt;0,O$4&gt;=$B$263),Assumptions!$C$60+Assumptions!$C$61,0)+IF(O348=1,'Retail Readiness Costs'!$H$29,0)</f>
        <v>139.99</v>
      </c>
      <c r="P371" s="8" t="n">
        <f aca="false">IF(AND(Assumptions!$E$145=1,$B$263&gt;0,P$4&gt;=$B$263),Assumptions!$C$60+Assumptions!$C$61,0)+IF(P348=1,'Retail Readiness Costs'!$H$29,0)</f>
        <v>139.99</v>
      </c>
      <c r="Q371" s="8" t="n">
        <f aca="false">IF(AND(Assumptions!$E$145=1,$B$263&gt;0,Q$4&gt;=$B$263),Assumptions!$C$60+Assumptions!$C$61,0)+IF(Q348=1,'Retail Readiness Costs'!$H$29,0)</f>
        <v>139.99</v>
      </c>
      <c r="R371" s="8" t="n">
        <f aca="false">IF(AND(Assumptions!$E$145=1,$B$263&gt;0,R$4&gt;=$B$263),Assumptions!$C$60+Assumptions!$C$61,0)+IF(R348=1,'Retail Readiness Costs'!$H$29,0)</f>
        <v>139.99</v>
      </c>
      <c r="S371" s="8" t="n">
        <f aca="false">IF(AND(Assumptions!$E$145=1,$B$263&gt;0,S$4&gt;=$B$263),Assumptions!$C$60+Assumptions!$C$61,0)+IF(S348=1,'Retail Readiness Costs'!$H$29,0)</f>
        <v>139.99</v>
      </c>
      <c r="T371" s="8" t="n">
        <f aca="false">IF(AND(Assumptions!$E$145=1,$B$263&gt;0,T$4&gt;=$B$263),Assumptions!$C$60+Assumptions!$C$61,0)+IF(T348=1,'Retail Readiness Costs'!$H$29,0)</f>
        <v>139.99</v>
      </c>
      <c r="U371" s="8" t="n">
        <f aca="false">IF(AND(Assumptions!$E$145=1,$B$263&gt;0,U$4&gt;=$B$263),Assumptions!$C$60+Assumptions!$C$61,0)+IF(U348=1,'Retail Readiness Costs'!$H$29,0)</f>
        <v>139.99</v>
      </c>
      <c r="V371" s="8" t="n">
        <f aca="false">IF(AND(Assumptions!$E$145=1,$B$263&gt;0,V$4&gt;=$B$263),Assumptions!$C$60+Assumptions!$C$61,0)+IF(V348=1,'Retail Readiness Costs'!$H$29,0)</f>
        <v>139.99</v>
      </c>
      <c r="W371" s="8" t="n">
        <f aca="false">IF(AND(Assumptions!$E$145=1,$B$263&gt;0,W$4&gt;=$B$263),Assumptions!$C$60+Assumptions!$C$61,0)+IF(W348=1,'Retail Readiness Costs'!$H$29,0)</f>
        <v>139.99</v>
      </c>
      <c r="X371" s="8" t="n">
        <f aca="false">IF(AND(Assumptions!$E$145=1,$B$263&gt;0,X$4&gt;=$B$263),Assumptions!$C$60+Assumptions!$C$61,0)+IF(X348=1,'Retail Readiness Costs'!$H$29,0)</f>
        <v>498.49</v>
      </c>
      <c r="Y371" s="8" t="n">
        <f aca="false">IF(AND(Assumptions!$E$145=1,$B$263&gt;0,Y$4&gt;=$B$263),Assumptions!$C$60+Assumptions!$C$61,0)+IF(Y348=1,'Retail Readiness Costs'!$H$29,0)</f>
        <v>498.49</v>
      </c>
      <c r="Z371" s="8" t="n">
        <f aca="false">IF(AND(Assumptions!$E$145=1,$B$263&gt;0,Z$4&gt;=$B$263),Assumptions!$C$60+Assumptions!$C$61,0)+IF(Z348=1,'Retail Readiness Costs'!$H$29,0)</f>
        <v>498.49</v>
      </c>
      <c r="AA371" s="8" t="n">
        <f aca="false">IF(AND(Assumptions!$E$145=1,$B$263&gt;0,AA$4&gt;=$B$263),Assumptions!$C$60+Assumptions!$C$61,0)+IF(AA348=1,'Retail Readiness Costs'!$H$29,0)</f>
        <v>498.49</v>
      </c>
      <c r="AB371" s="8" t="n">
        <f aca="false">IF(AND(Assumptions!$E$145=1,$B$263&gt;0,AB$4&gt;=$B$263),Assumptions!$C$60+Assumptions!$C$61,0)+IF(AB348=1,'Retail Readiness Costs'!$H$29,0)</f>
        <v>498.49</v>
      </c>
      <c r="AC371" s="8" t="n">
        <f aca="false">IF(AND(Assumptions!$E$145=1,$B$263&gt;0,AC$4&gt;=$B$263),Assumptions!$C$60+Assumptions!$C$61,0)+IF(AC348=1,'Retail Readiness Costs'!$H$29,0)</f>
        <v>498.49</v>
      </c>
      <c r="AD371" s="8" t="n">
        <f aca="false">IF(AND(Assumptions!$E$145=1,$B$263&gt;0,AD$4&gt;=$B$263),Assumptions!$C$60+Assumptions!$C$61,0)+IF(AD348=1,'Retail Readiness Costs'!$H$29,0)</f>
        <v>498.49</v>
      </c>
      <c r="AE371" s="8" t="n">
        <f aca="false">IF(AND(Assumptions!$E$145=1,$B$263&gt;0,AE$4&gt;=$B$263),Assumptions!$C$60+Assumptions!$C$61,0)+IF(AE348=1,'Retail Readiness Costs'!$H$29,0)</f>
        <v>498.49</v>
      </c>
      <c r="AF371" s="8" t="n">
        <f aca="false">IF(AND(Assumptions!$E$145=1,$B$263&gt;0,AF$4&gt;=$B$263),Assumptions!$C$60+Assumptions!$C$61,0)+IF(AF348=1,'Retail Readiness Costs'!$H$29,0)</f>
        <v>498.49</v>
      </c>
      <c r="AG371" s="8" t="n">
        <f aca="false">IF(AND(Assumptions!$E$145=1,$B$263&gt;0,AG$4&gt;=$B$263),Assumptions!$C$60+Assumptions!$C$61,0)+IF(AG348=1,'Retail Readiness Costs'!$H$29,0)</f>
        <v>498.49</v>
      </c>
      <c r="AH371" s="8" t="n">
        <f aca="false">IF(AND(Assumptions!$E$145=1,$B$263&gt;0,AH$4&gt;=$B$263),Assumptions!$C$60+Assumptions!$C$61,0)+IF(AH348=1,'Retail Readiness Costs'!$H$29,0)</f>
        <v>498.49</v>
      </c>
      <c r="AI371" s="8" t="n">
        <f aca="false">IF(AND(Assumptions!$E$145=1,$B$263&gt;0,AI$4&gt;=$B$263),Assumptions!$C$60+Assumptions!$C$61,0)+IF(AI348=1,'Retail Readiness Costs'!$H$29,0)</f>
        <v>498.49</v>
      </c>
      <c r="AJ371" s="8" t="n">
        <f aca="false">IF(AND(Assumptions!$E$145=1,$B$263&gt;0,AJ$4&gt;=$B$263),Assumptions!$C$60+Assumptions!$C$61,0)+IF(AJ348=1,'Retail Readiness Costs'!$H$29,0)</f>
        <v>498.49</v>
      </c>
      <c r="AK371" s="8" t="n">
        <f aca="false">IF(AND(Assumptions!$E$145=1,$B$263&gt;0,AK$4&gt;=$B$263),Assumptions!$C$60+Assumptions!$C$61,0)+IF(AK348=1,'Retail Readiness Costs'!$H$29,0)</f>
        <v>498.49</v>
      </c>
      <c r="AL371" s="8" t="n">
        <f aca="false">IF(AND(Assumptions!$E$145=1,$B$263&gt;0,AL$4&gt;=$B$263),Assumptions!$C$60+Assumptions!$C$61,0)+IF(AL348=1,'Retail Readiness Costs'!$H$29,0)</f>
        <v>498.49</v>
      </c>
      <c r="AM371" s="45" t="n">
        <f aca="false">SUMIF($C$6:$AL$6,1,C371:AL371)</f>
        <v>699.95</v>
      </c>
      <c r="AN371" s="45" t="n">
        <f aca="false">SUMIF($C$6:$AL$6,2,C371:AL371)</f>
        <v>2755.38</v>
      </c>
      <c r="AO371" s="45" t="n">
        <f aca="false">SUMIF($C$6:$AL$6,3,C371:AL371)</f>
        <v>5981.88</v>
      </c>
      <c r="AP371" s="45" t="n">
        <f aca="false">SUM(C371:AL371)</f>
        <v>9437.21</v>
      </c>
    </row>
    <row r="372" customFormat="false" ht="15" hidden="false" customHeight="false" outlineLevel="0" collapsed="false">
      <c r="A372" s="57" t="s">
        <v>782</v>
      </c>
      <c r="B372" s="58" t="s">
        <v>93</v>
      </c>
      <c r="C372" s="59" t="n">
        <f aca="false">C367-C369-C370-C371</f>
        <v>-1158.27043791321</v>
      </c>
      <c r="D372" s="59" t="n">
        <f aca="false">D367-D369-D370-D371</f>
        <v>-715.1400475824</v>
      </c>
      <c r="E372" s="59" t="n">
        <f aca="false">E367-E369-E370-E371</f>
        <v>-508.198017398564</v>
      </c>
      <c r="F372" s="59" t="n">
        <f aca="false">F367-F369-F370-F371</f>
        <v>-708.244251246813</v>
      </c>
      <c r="G372" s="59" t="n">
        <f aca="false">G367-G369-G370-G371</f>
        <v>-379.252231935718</v>
      </c>
      <c r="H372" s="59" t="n">
        <f aca="false">H367-H369-H370-H371</f>
        <v>212.564261852586</v>
      </c>
      <c r="I372" s="59" t="n">
        <f aca="false">I367-I369-I370-I371</f>
        <v>-845.723750247296</v>
      </c>
      <c r="J372" s="59" t="n">
        <f aca="false">J367-J369-J370-J371</f>
        <v>502.601409790731</v>
      </c>
      <c r="K372" s="59" t="n">
        <f aca="false">K367-K369-K370-K371</f>
        <v>852.488483903064</v>
      </c>
      <c r="L372" s="59" t="n">
        <f aca="false">L367-L369-L370-L371</f>
        <v>1030.90215496951</v>
      </c>
      <c r="M372" s="59" t="n">
        <f aca="false">M367-M369-M370-M371</f>
        <v>1157.29725082451</v>
      </c>
      <c r="N372" s="59" t="n">
        <f aca="false">N367-N369-N370-N371</f>
        <v>1531.20596579345</v>
      </c>
      <c r="O372" s="59" t="n">
        <f aca="false">O367-O369-O370-O371</f>
        <v>908.044602775841</v>
      </c>
      <c r="P372" s="59" t="n">
        <f aca="false">P367-P369-P370-P371</f>
        <v>3121.01047369938</v>
      </c>
      <c r="Q372" s="59" t="n">
        <f aca="false">Q367-Q369-Q370-Q371</f>
        <v>3537.61977820397</v>
      </c>
      <c r="R372" s="59" t="n">
        <f aca="false">R367-R369-R370-R371</f>
        <v>3302.38754007889</v>
      </c>
      <c r="S372" s="59" t="n">
        <f aca="false">S367-S369-S370-S371</f>
        <v>2468.29027017221</v>
      </c>
      <c r="T372" s="59" t="n">
        <f aca="false">T367-T369-T370-T371</f>
        <v>3278.8223781622</v>
      </c>
      <c r="U372" s="59" t="n">
        <f aca="false">U367-U369-U370-U371</f>
        <v>2311.29807536151</v>
      </c>
      <c r="V372" s="59" t="n">
        <f aca="false">V367-V369-V370-V371</f>
        <v>3457.00026352538</v>
      </c>
      <c r="W372" s="59" t="n">
        <f aca="false">W367-W369-W370-W371</f>
        <v>3803.80176063735</v>
      </c>
      <c r="X372" s="59" t="n">
        <f aca="false">X367-X369-X370-X371</f>
        <v>3687.58406784535</v>
      </c>
      <c r="Y372" s="59" t="n">
        <f aca="false">Y367-Y369-Y370-Y371</f>
        <v>4050.8648227218</v>
      </c>
      <c r="Z372" s="59" t="n">
        <f aca="false">Z367-Z369-Z370-Z371</f>
        <v>4526.95828517922</v>
      </c>
      <c r="AA372" s="59" t="n">
        <f aca="false">AA367-AA369-AA370-AA371</f>
        <v>4123.35815264045</v>
      </c>
      <c r="AB372" s="59" t="n">
        <f aca="false">AB367-AB369-AB370-AB371</f>
        <v>7428.86571949042</v>
      </c>
      <c r="AC372" s="59" t="n">
        <f aca="false">AC367-AC369-AC370-AC371</f>
        <v>7940.97564704508</v>
      </c>
      <c r="AD372" s="59" t="n">
        <f aca="false">AD367-AD369-AD370-AD371</f>
        <v>7600.57565868297</v>
      </c>
      <c r="AE372" s="59" t="n">
        <f aca="false">AE367-AE369-AE370-AE371</f>
        <v>5514.45400416263</v>
      </c>
      <c r="AF372" s="59" t="n">
        <f aca="false">AF367-AF369-AF370-AF371</f>
        <v>6725.66813401419</v>
      </c>
      <c r="AG372" s="59" t="n">
        <f aca="false">AG367-AG369-AG370-AG371</f>
        <v>5936.93001020864</v>
      </c>
      <c r="AH372" s="59" t="n">
        <f aca="false">AH367-AH369-AH370-AH371</f>
        <v>6657.20618428991</v>
      </c>
      <c r="AI372" s="59" t="n">
        <f aca="false">AI367-AI369-AI370-AI371</f>
        <v>7094.47134278378</v>
      </c>
      <c r="AJ372" s="59" t="n">
        <f aca="false">AJ367-AJ369-AJ370-AJ371</f>
        <v>7219.02670715118</v>
      </c>
      <c r="AK372" s="59" t="n">
        <f aca="false">AK367-AK369-AK370-AK371</f>
        <v>7450.31096285858</v>
      </c>
      <c r="AL372" s="59" t="n">
        <f aca="false">AL367-AL369-AL370-AL371</f>
        <v>7920.89437844529</v>
      </c>
      <c r="AM372" s="60" t="n">
        <f aca="false">SUMIF($C$6:$AL$6,1,C372:AL372)</f>
        <v>972.230790809848</v>
      </c>
      <c r="AN372" s="60" t="n">
        <f aca="false">SUMIF($C$6:$AL$6,2,C372:AL372)</f>
        <v>38453.6823183631</v>
      </c>
      <c r="AO372" s="60" t="n">
        <f aca="false">SUMIF($C$6:$AL$6,3,C372:AL372)</f>
        <v>81612.7369017731</v>
      </c>
      <c r="AP372" s="60" t="n">
        <f aca="false">SUM(C372:AL372)</f>
        <v>121038.650010946</v>
      </c>
    </row>
    <row r="373" customFormat="false" ht="15" hidden="false" customHeight="false" outlineLevel="0" collapsed="false">
      <c r="A373" s="7" t="s">
        <v>783</v>
      </c>
      <c r="B373" s="9" t="s">
        <v>93</v>
      </c>
      <c r="C373" s="8" t="n">
        <f aca="false">SUMPRODUCT(('Startup Costs'!$F$6:$F$32=C$4)*'Startup Costs'!$G$6:$G$32*'Startup Costs'!$E$6:$E$32)</f>
        <v>4253.5</v>
      </c>
      <c r="D373" s="8" t="n">
        <f aca="false">SUMPRODUCT(('Startup Costs'!$F$6:$F$32=D$4)*'Startup Costs'!$G$6:$G$32*'Startup Costs'!$E$6:$E$32)</f>
        <v>1420</v>
      </c>
      <c r="E373" s="8" t="n">
        <f aca="false">SUMPRODUCT(('Startup Costs'!$F$6:$F$32=E$4)*'Startup Costs'!$G$6:$G$32*'Startup Costs'!$E$6:$E$32)</f>
        <v>1975</v>
      </c>
      <c r="F373" s="8" t="n">
        <f aca="false">SUMPRODUCT(('Startup Costs'!$F$6:$F$32=F$4)*'Startup Costs'!$G$6:$G$32*'Startup Costs'!$E$6:$E$32)</f>
        <v>650</v>
      </c>
      <c r="G373" s="8" t="n">
        <f aca="false">SUMPRODUCT(('Startup Costs'!$F$6:$F$32=G$4)*'Startup Costs'!$G$6:$G$32*'Startup Costs'!$E$6:$E$32)</f>
        <v>1037.5</v>
      </c>
      <c r="H373" s="8" t="n">
        <f aca="false">SUMPRODUCT(('Startup Costs'!$F$6:$F$32=H$4)*'Startup Costs'!$G$6:$G$32*'Startup Costs'!$E$6:$E$32)</f>
        <v>4250</v>
      </c>
      <c r="I373" s="8" t="n">
        <f aca="false">SUMPRODUCT(('Startup Costs'!$F$6:$F$32=I$4)*'Startup Costs'!$G$6:$G$32*'Startup Costs'!$E$6:$E$32)</f>
        <v>5250</v>
      </c>
      <c r="J373" s="8" t="n">
        <f aca="false">SUMPRODUCT(('Startup Costs'!$F$6:$F$32=J$4)*'Startup Costs'!$G$6:$G$32*'Startup Costs'!$E$6:$E$32)</f>
        <v>0</v>
      </c>
      <c r="K373" s="8" t="n">
        <f aca="false">SUMPRODUCT(('Startup Costs'!$F$6:$F$32=K$4)*'Startup Costs'!$G$6:$G$32*'Startup Costs'!$E$6:$E$32)</f>
        <v>687.5</v>
      </c>
      <c r="L373" s="8" t="n">
        <f aca="false">SUMPRODUCT(('Startup Costs'!$F$6:$F$32=L$4)*'Startup Costs'!$G$6:$G$32*'Startup Costs'!$E$6:$E$32)</f>
        <v>262.5</v>
      </c>
      <c r="M373" s="8" t="n">
        <f aca="false">SUMPRODUCT(('Startup Costs'!$F$6:$F$32=M$4)*'Startup Costs'!$G$6:$G$32*'Startup Costs'!$E$6:$E$32)</f>
        <v>0</v>
      </c>
      <c r="N373" s="8" t="n">
        <f aca="false">SUMPRODUCT(('Startup Costs'!$F$6:$F$32=N$4)*'Startup Costs'!$G$6:$G$32*'Startup Costs'!$E$6:$E$32)</f>
        <v>0</v>
      </c>
      <c r="O373" s="8" t="n">
        <f aca="false">SUMPRODUCT(('Startup Costs'!$F$6:$F$32=O$4)*'Startup Costs'!$G$6:$G$32*'Startup Costs'!$E$6:$E$32)</f>
        <v>0</v>
      </c>
      <c r="P373" s="8" t="n">
        <f aca="false">SUMPRODUCT(('Startup Costs'!$F$6:$F$32=P$4)*'Startup Costs'!$G$6:$G$32*'Startup Costs'!$E$6:$E$32)</f>
        <v>0</v>
      </c>
      <c r="Q373" s="8" t="n">
        <f aca="false">SUMPRODUCT(('Startup Costs'!$F$6:$F$32=Q$4)*'Startup Costs'!$G$6:$G$32*'Startup Costs'!$E$6:$E$32)</f>
        <v>0</v>
      </c>
      <c r="R373" s="8" t="n">
        <f aca="false">SUMPRODUCT(('Startup Costs'!$F$6:$F$32=R$4)*'Startup Costs'!$G$6:$G$32*'Startup Costs'!$E$6:$E$32)</f>
        <v>0</v>
      </c>
      <c r="S373" s="8" t="n">
        <f aca="false">SUMPRODUCT(('Startup Costs'!$F$6:$F$32=S$4)*'Startup Costs'!$G$6:$G$32*'Startup Costs'!$E$6:$E$32)</f>
        <v>0</v>
      </c>
      <c r="T373" s="8" t="n">
        <f aca="false">SUMPRODUCT(('Startup Costs'!$F$6:$F$32=T$4)*'Startup Costs'!$G$6:$G$32*'Startup Costs'!$E$6:$E$32)</f>
        <v>0</v>
      </c>
      <c r="U373" s="8" t="n">
        <f aca="false">SUMPRODUCT(('Startup Costs'!$F$6:$F$32=U$4)*'Startup Costs'!$G$6:$G$32*'Startup Costs'!$E$6:$E$32)</f>
        <v>0</v>
      </c>
      <c r="V373" s="8" t="n">
        <f aca="false">SUMPRODUCT(('Startup Costs'!$F$6:$F$32=V$4)*'Startup Costs'!$G$6:$G$32*'Startup Costs'!$E$6:$E$32)</f>
        <v>0</v>
      </c>
      <c r="W373" s="8" t="n">
        <f aca="false">SUMPRODUCT(('Startup Costs'!$F$6:$F$32=W$4)*'Startup Costs'!$G$6:$G$32*'Startup Costs'!$E$6:$E$32)</f>
        <v>0</v>
      </c>
      <c r="X373" s="8" t="n">
        <f aca="false">SUMPRODUCT(('Startup Costs'!$F$6:$F$32=X$4)*'Startup Costs'!$G$6:$G$32*'Startup Costs'!$E$6:$E$32)</f>
        <v>0</v>
      </c>
      <c r="Y373" s="8" t="n">
        <f aca="false">SUMPRODUCT(('Startup Costs'!$F$6:$F$32=Y$4)*'Startup Costs'!$G$6:$G$32*'Startup Costs'!$E$6:$E$32)</f>
        <v>0</v>
      </c>
      <c r="Z373" s="8" t="n">
        <f aca="false">SUMPRODUCT(('Startup Costs'!$F$6:$F$32=Z$4)*'Startup Costs'!$G$6:$G$32*'Startup Costs'!$E$6:$E$32)</f>
        <v>0</v>
      </c>
      <c r="AA373" s="8" t="n">
        <f aca="false">SUMPRODUCT(('Startup Costs'!$F$6:$F$32=AA$4)*'Startup Costs'!$G$6:$G$32*'Startup Costs'!$E$6:$E$32)</f>
        <v>0</v>
      </c>
      <c r="AB373" s="8" t="n">
        <f aca="false">SUMPRODUCT(('Startup Costs'!$F$6:$F$32=AB$4)*'Startup Costs'!$G$6:$G$32*'Startup Costs'!$E$6:$E$32)</f>
        <v>0</v>
      </c>
      <c r="AC373" s="8" t="n">
        <f aca="false">SUMPRODUCT(('Startup Costs'!$F$6:$F$32=AC$4)*'Startup Costs'!$G$6:$G$32*'Startup Costs'!$E$6:$E$32)</f>
        <v>0</v>
      </c>
      <c r="AD373" s="8" t="n">
        <f aca="false">SUMPRODUCT(('Startup Costs'!$F$6:$F$32=AD$4)*'Startup Costs'!$G$6:$G$32*'Startup Costs'!$E$6:$E$32)</f>
        <v>0</v>
      </c>
      <c r="AE373" s="8" t="n">
        <f aca="false">SUMPRODUCT(('Startup Costs'!$F$6:$F$32=AE$4)*'Startup Costs'!$G$6:$G$32*'Startup Costs'!$E$6:$E$32)</f>
        <v>0</v>
      </c>
      <c r="AF373" s="8" t="n">
        <f aca="false">SUMPRODUCT(('Startup Costs'!$F$6:$F$32=AF$4)*'Startup Costs'!$G$6:$G$32*'Startup Costs'!$E$6:$E$32)</f>
        <v>0</v>
      </c>
      <c r="AG373" s="8" t="n">
        <f aca="false">SUMPRODUCT(('Startup Costs'!$F$6:$F$32=AG$4)*'Startup Costs'!$G$6:$G$32*'Startup Costs'!$E$6:$E$32)</f>
        <v>0</v>
      </c>
      <c r="AH373" s="8" t="n">
        <f aca="false">SUMPRODUCT(('Startup Costs'!$F$6:$F$32=AH$4)*'Startup Costs'!$G$6:$G$32*'Startup Costs'!$E$6:$E$32)</f>
        <v>0</v>
      </c>
      <c r="AI373" s="8" t="n">
        <f aca="false">SUMPRODUCT(('Startup Costs'!$F$6:$F$32=AI$4)*'Startup Costs'!$G$6:$G$32*'Startup Costs'!$E$6:$E$32)</f>
        <v>0</v>
      </c>
      <c r="AJ373" s="8" t="n">
        <f aca="false">SUMPRODUCT(('Startup Costs'!$F$6:$F$32=AJ$4)*'Startup Costs'!$G$6:$G$32*'Startup Costs'!$E$6:$E$32)</f>
        <v>0</v>
      </c>
      <c r="AK373" s="8" t="n">
        <f aca="false">SUMPRODUCT(('Startup Costs'!$F$6:$F$32=AK$4)*'Startup Costs'!$G$6:$G$32*'Startup Costs'!$E$6:$E$32)</f>
        <v>0</v>
      </c>
      <c r="AL373" s="8" t="n">
        <f aca="false">SUMPRODUCT(('Startup Costs'!$F$6:$F$32=AL$4)*'Startup Costs'!$G$6:$G$32*'Startup Costs'!$E$6:$E$32)</f>
        <v>0</v>
      </c>
      <c r="AM373" s="45" t="n">
        <f aca="false">SUMIF($C$6:$AL$6,1,C373:AL373)</f>
        <v>19786</v>
      </c>
      <c r="AN373" s="45" t="n">
        <f aca="false">SUMIF($C$6:$AL$6,2,C373:AL373)</f>
        <v>0</v>
      </c>
      <c r="AO373" s="45" t="n">
        <f aca="false">SUMIF($C$6:$AL$6,3,C373:AL373)</f>
        <v>0</v>
      </c>
      <c r="AP373" s="45" t="n">
        <f aca="false">SUM(C373:AL373)</f>
        <v>19786</v>
      </c>
    </row>
    <row r="374" customFormat="false" ht="15" hidden="false" customHeight="false" outlineLevel="0" collapsed="false">
      <c r="A374" s="7" t="s">
        <v>784</v>
      </c>
      <c r="B374" s="9" t="s">
        <v>93</v>
      </c>
      <c r="C374" s="8" t="n">
        <f aca="false">IF(AND(Assumptions!$E$145=1,C$4=$B$263),'Retail Readiness Costs'!$H$14,0)+IF(AND(Assumptions!$E$163=1,C$4=MAX(1,Assumptions!$E$164-Assumptions!$C$66)),'Retail Readiness Costs'!$H$23,0)+IF(AND(Assumptions!$E$154=1,C$4=Assumptions!$E$155),Assumptions!$C$65,0)</f>
        <v>0</v>
      </c>
      <c r="D374" s="8" t="n">
        <f aca="false">IF(AND(Assumptions!$E$145=1,D$4=$B$263),'Retail Readiness Costs'!$H$14,0)+IF(AND(Assumptions!$E$163=1,D$4=MAX(1,Assumptions!$E$164-Assumptions!$C$66)),'Retail Readiness Costs'!$H$23,0)+IF(AND(Assumptions!$E$154=1,D$4=Assumptions!$E$155),Assumptions!$C$65,0)</f>
        <v>0</v>
      </c>
      <c r="E374" s="8" t="n">
        <f aca="false">IF(AND(Assumptions!$E$145=1,E$4=$B$263),'Retail Readiness Costs'!$H$14,0)+IF(AND(Assumptions!$E$163=1,E$4=MAX(1,Assumptions!$E$164-Assumptions!$C$66)),'Retail Readiness Costs'!$H$23,0)+IF(AND(Assumptions!$E$154=1,E$4=Assumptions!$E$155),Assumptions!$C$65,0)</f>
        <v>0</v>
      </c>
      <c r="F374" s="8" t="n">
        <f aca="false">IF(AND(Assumptions!$E$145=1,F$4=$B$263),'Retail Readiness Costs'!$H$14,0)+IF(AND(Assumptions!$E$163=1,F$4=MAX(1,Assumptions!$E$164-Assumptions!$C$66)),'Retail Readiness Costs'!$H$23,0)+IF(AND(Assumptions!$E$154=1,F$4=Assumptions!$E$155),Assumptions!$C$65,0)</f>
        <v>0</v>
      </c>
      <c r="G374" s="8" t="n">
        <f aca="false">IF(AND(Assumptions!$E$145=1,G$4=$B$263),'Retail Readiness Costs'!$H$14,0)+IF(AND(Assumptions!$E$163=1,G$4=MAX(1,Assumptions!$E$164-Assumptions!$C$66)),'Retail Readiness Costs'!$H$23,0)+IF(AND(Assumptions!$E$154=1,G$4=Assumptions!$E$155),Assumptions!$C$65,0)</f>
        <v>0</v>
      </c>
      <c r="H374" s="8" t="n">
        <f aca="false">IF(AND(Assumptions!$E$145=1,H$4=$B$263),'Retail Readiness Costs'!$H$14,0)+IF(AND(Assumptions!$E$163=1,H$4=MAX(1,Assumptions!$E$164-Assumptions!$C$66)),'Retail Readiness Costs'!$H$23,0)+IF(AND(Assumptions!$E$154=1,H$4=Assumptions!$E$155),Assumptions!$C$65,0)</f>
        <v>0</v>
      </c>
      <c r="I374" s="8" t="n">
        <f aca="false">IF(AND(Assumptions!$E$145=1,I$4=$B$263),'Retail Readiness Costs'!$H$14,0)+IF(AND(Assumptions!$E$163=1,I$4=MAX(1,Assumptions!$E$164-Assumptions!$C$66)),'Retail Readiness Costs'!$H$23,0)+IF(AND(Assumptions!$E$154=1,I$4=Assumptions!$E$155),Assumptions!$C$65,0)</f>
        <v>0</v>
      </c>
      <c r="J374" s="8" t="n">
        <f aca="false">IF(AND(Assumptions!$E$145=1,J$4=$B$263),'Retail Readiness Costs'!$H$14,0)+IF(AND(Assumptions!$E$163=1,J$4=MAX(1,Assumptions!$E$164-Assumptions!$C$66)),'Retail Readiness Costs'!$H$23,0)+IF(AND(Assumptions!$E$154=1,J$4=Assumptions!$E$155),Assumptions!$C$65,0)</f>
        <v>1875</v>
      </c>
      <c r="K374" s="8" t="n">
        <f aca="false">IF(AND(Assumptions!$E$145=1,K$4=$B$263),'Retail Readiness Costs'!$H$14,0)+IF(AND(Assumptions!$E$163=1,K$4=MAX(1,Assumptions!$E$164-Assumptions!$C$66)),'Retail Readiness Costs'!$H$23,0)+IF(AND(Assumptions!$E$154=1,K$4=Assumptions!$E$155),Assumptions!$C$65,0)</f>
        <v>0</v>
      </c>
      <c r="L374" s="8" t="n">
        <f aca="false">IF(AND(Assumptions!$E$145=1,L$4=$B$263),'Retail Readiness Costs'!$H$14,0)+IF(AND(Assumptions!$E$163=1,L$4=MAX(1,Assumptions!$E$164-Assumptions!$C$66)),'Retail Readiness Costs'!$H$23,0)+IF(AND(Assumptions!$E$154=1,L$4=Assumptions!$E$155),Assumptions!$C$65,0)</f>
        <v>179</v>
      </c>
      <c r="M374" s="8" t="n">
        <f aca="false">IF(AND(Assumptions!$E$145=1,M$4=$B$263),'Retail Readiness Costs'!$H$14,0)+IF(AND(Assumptions!$E$163=1,M$4=MAX(1,Assumptions!$E$164-Assumptions!$C$66)),'Retail Readiness Costs'!$H$23,0)+IF(AND(Assumptions!$E$154=1,M$4=Assumptions!$E$155),Assumptions!$C$65,0)</f>
        <v>0</v>
      </c>
      <c r="N374" s="8" t="n">
        <f aca="false">IF(AND(Assumptions!$E$145=1,N$4=$B$263),'Retail Readiness Costs'!$H$14,0)+IF(AND(Assumptions!$E$163=1,N$4=MAX(1,Assumptions!$E$164-Assumptions!$C$66)),'Retail Readiness Costs'!$H$23,0)+IF(AND(Assumptions!$E$154=1,N$4=Assumptions!$E$155),Assumptions!$C$65,0)</f>
        <v>0</v>
      </c>
      <c r="O374" s="8" t="n">
        <f aca="false">IF(AND(Assumptions!$E$145=1,O$4=$B$263),'Retail Readiness Costs'!$H$14,0)+IF(AND(Assumptions!$E$163=1,O$4=MAX(1,Assumptions!$E$164-Assumptions!$C$66)),'Retail Readiness Costs'!$H$23,0)+IF(AND(Assumptions!$E$154=1,O$4=Assumptions!$E$155),Assumptions!$C$65,0)</f>
        <v>0</v>
      </c>
      <c r="P374" s="8" t="n">
        <f aca="false">IF(AND(Assumptions!$E$145=1,P$4=$B$263),'Retail Readiness Costs'!$H$14,0)+IF(AND(Assumptions!$E$163=1,P$4=MAX(1,Assumptions!$E$164-Assumptions!$C$66)),'Retail Readiness Costs'!$H$23,0)+IF(AND(Assumptions!$E$154=1,P$4=Assumptions!$E$155),Assumptions!$C$65,0)</f>
        <v>0</v>
      </c>
      <c r="Q374" s="8" t="n">
        <f aca="false">IF(AND(Assumptions!$E$145=1,Q$4=$B$263),'Retail Readiness Costs'!$H$14,0)+IF(AND(Assumptions!$E$163=1,Q$4=MAX(1,Assumptions!$E$164-Assumptions!$C$66)),'Retail Readiness Costs'!$H$23,0)+IF(AND(Assumptions!$E$154=1,Q$4=Assumptions!$E$155),Assumptions!$C$65,0)</f>
        <v>0</v>
      </c>
      <c r="R374" s="8" t="n">
        <f aca="false">IF(AND(Assumptions!$E$145=1,R$4=$B$263),'Retail Readiness Costs'!$H$14,0)+IF(AND(Assumptions!$E$163=1,R$4=MAX(1,Assumptions!$E$164-Assumptions!$C$66)),'Retail Readiness Costs'!$H$23,0)+IF(AND(Assumptions!$E$154=1,R$4=Assumptions!$E$155),Assumptions!$C$65,0)</f>
        <v>0</v>
      </c>
      <c r="S374" s="8" t="n">
        <f aca="false">IF(AND(Assumptions!$E$145=1,S$4=$B$263),'Retail Readiness Costs'!$H$14,0)+IF(AND(Assumptions!$E$163=1,S$4=MAX(1,Assumptions!$E$164-Assumptions!$C$66)),'Retail Readiness Costs'!$H$23,0)+IF(AND(Assumptions!$E$154=1,S$4=Assumptions!$E$155),Assumptions!$C$65,0)</f>
        <v>0</v>
      </c>
      <c r="T374" s="8" t="n">
        <f aca="false">IF(AND(Assumptions!$E$145=1,T$4=$B$263),'Retail Readiness Costs'!$H$14,0)+IF(AND(Assumptions!$E$163=1,T$4=MAX(1,Assumptions!$E$164-Assumptions!$C$66)),'Retail Readiness Costs'!$H$23,0)+IF(AND(Assumptions!$E$154=1,T$4=Assumptions!$E$155),Assumptions!$C$65,0)</f>
        <v>0</v>
      </c>
      <c r="U374" s="8" t="n">
        <f aca="false">IF(AND(Assumptions!$E$145=1,U$4=$B$263),'Retail Readiness Costs'!$H$14,0)+IF(AND(Assumptions!$E$163=1,U$4=MAX(1,Assumptions!$E$164-Assumptions!$C$66)),'Retail Readiness Costs'!$H$23,0)+IF(AND(Assumptions!$E$154=1,U$4=Assumptions!$E$155),Assumptions!$C$65,0)</f>
        <v>5100</v>
      </c>
      <c r="V374" s="8" t="n">
        <f aca="false">IF(AND(Assumptions!$E$145=1,V$4=$B$263),'Retail Readiness Costs'!$H$14,0)+IF(AND(Assumptions!$E$163=1,V$4=MAX(1,Assumptions!$E$164-Assumptions!$C$66)),'Retail Readiness Costs'!$H$23,0)+IF(AND(Assumptions!$E$154=1,V$4=Assumptions!$E$155),Assumptions!$C$65,0)</f>
        <v>0</v>
      </c>
      <c r="W374" s="8" t="n">
        <f aca="false">IF(AND(Assumptions!$E$145=1,W$4=$B$263),'Retail Readiness Costs'!$H$14,0)+IF(AND(Assumptions!$E$163=1,W$4=MAX(1,Assumptions!$E$164-Assumptions!$C$66)),'Retail Readiness Costs'!$H$23,0)+IF(AND(Assumptions!$E$154=1,W$4=Assumptions!$E$155),Assumptions!$C$65,0)</f>
        <v>0</v>
      </c>
      <c r="X374" s="8" t="n">
        <f aca="false">IF(AND(Assumptions!$E$145=1,X$4=$B$263),'Retail Readiness Costs'!$H$14,0)+IF(AND(Assumptions!$E$163=1,X$4=MAX(1,Assumptions!$E$164-Assumptions!$C$66)),'Retail Readiness Costs'!$H$23,0)+IF(AND(Assumptions!$E$154=1,X$4=Assumptions!$E$155),Assumptions!$C$65,0)</f>
        <v>0</v>
      </c>
      <c r="Y374" s="8" t="n">
        <f aca="false">IF(AND(Assumptions!$E$145=1,Y$4=$B$263),'Retail Readiness Costs'!$H$14,0)+IF(AND(Assumptions!$E$163=1,Y$4=MAX(1,Assumptions!$E$164-Assumptions!$C$66)),'Retail Readiness Costs'!$H$23,0)+IF(AND(Assumptions!$E$154=1,Y$4=Assumptions!$E$155),Assumptions!$C$65,0)</f>
        <v>0</v>
      </c>
      <c r="Z374" s="8" t="n">
        <f aca="false">IF(AND(Assumptions!$E$145=1,Z$4=$B$263),'Retail Readiness Costs'!$H$14,0)+IF(AND(Assumptions!$E$163=1,Z$4=MAX(1,Assumptions!$E$164-Assumptions!$C$66)),'Retail Readiness Costs'!$H$23,0)+IF(AND(Assumptions!$E$154=1,Z$4=Assumptions!$E$155),Assumptions!$C$65,0)</f>
        <v>0</v>
      </c>
      <c r="AA374" s="8" t="n">
        <f aca="false">IF(AND(Assumptions!$E$145=1,AA$4=$B$263),'Retail Readiness Costs'!$H$14,0)+IF(AND(Assumptions!$E$163=1,AA$4=MAX(1,Assumptions!$E$164-Assumptions!$C$66)),'Retail Readiness Costs'!$H$23,0)+IF(AND(Assumptions!$E$154=1,AA$4=Assumptions!$E$155),Assumptions!$C$65,0)</f>
        <v>0</v>
      </c>
      <c r="AB374" s="8" t="n">
        <f aca="false">IF(AND(Assumptions!$E$145=1,AB$4=$B$263),'Retail Readiness Costs'!$H$14,0)+IF(AND(Assumptions!$E$163=1,AB$4=MAX(1,Assumptions!$E$164-Assumptions!$C$66)),'Retail Readiness Costs'!$H$23,0)+IF(AND(Assumptions!$E$154=1,AB$4=Assumptions!$E$155),Assumptions!$C$65,0)</f>
        <v>0</v>
      </c>
      <c r="AC374" s="8" t="n">
        <f aca="false">IF(AND(Assumptions!$E$145=1,AC$4=$B$263),'Retail Readiness Costs'!$H$14,0)+IF(AND(Assumptions!$E$163=1,AC$4=MAX(1,Assumptions!$E$164-Assumptions!$C$66)),'Retail Readiness Costs'!$H$23,0)+IF(AND(Assumptions!$E$154=1,AC$4=Assumptions!$E$155),Assumptions!$C$65,0)</f>
        <v>0</v>
      </c>
      <c r="AD374" s="8" t="n">
        <f aca="false">IF(AND(Assumptions!$E$145=1,AD$4=$B$263),'Retail Readiness Costs'!$H$14,0)+IF(AND(Assumptions!$E$163=1,AD$4=MAX(1,Assumptions!$E$164-Assumptions!$C$66)),'Retail Readiness Costs'!$H$23,0)+IF(AND(Assumptions!$E$154=1,AD$4=Assumptions!$E$155),Assumptions!$C$65,0)</f>
        <v>0</v>
      </c>
      <c r="AE374" s="8" t="n">
        <f aca="false">IF(AND(Assumptions!$E$145=1,AE$4=$B$263),'Retail Readiness Costs'!$H$14,0)+IF(AND(Assumptions!$E$163=1,AE$4=MAX(1,Assumptions!$E$164-Assumptions!$C$66)),'Retail Readiness Costs'!$H$23,0)+IF(AND(Assumptions!$E$154=1,AE$4=Assumptions!$E$155),Assumptions!$C$65,0)</f>
        <v>0</v>
      </c>
      <c r="AF374" s="8" t="n">
        <f aca="false">IF(AND(Assumptions!$E$145=1,AF$4=$B$263),'Retail Readiness Costs'!$H$14,0)+IF(AND(Assumptions!$E$163=1,AF$4=MAX(1,Assumptions!$E$164-Assumptions!$C$66)),'Retail Readiness Costs'!$H$23,0)+IF(AND(Assumptions!$E$154=1,AF$4=Assumptions!$E$155),Assumptions!$C$65,0)</f>
        <v>0</v>
      </c>
      <c r="AG374" s="8" t="n">
        <f aca="false">IF(AND(Assumptions!$E$145=1,AG$4=$B$263),'Retail Readiness Costs'!$H$14,0)+IF(AND(Assumptions!$E$163=1,AG$4=MAX(1,Assumptions!$E$164-Assumptions!$C$66)),'Retail Readiness Costs'!$H$23,0)+IF(AND(Assumptions!$E$154=1,AG$4=Assumptions!$E$155),Assumptions!$C$65,0)</f>
        <v>0</v>
      </c>
      <c r="AH374" s="8" t="n">
        <f aca="false">IF(AND(Assumptions!$E$145=1,AH$4=$B$263),'Retail Readiness Costs'!$H$14,0)+IF(AND(Assumptions!$E$163=1,AH$4=MAX(1,Assumptions!$E$164-Assumptions!$C$66)),'Retail Readiness Costs'!$H$23,0)+IF(AND(Assumptions!$E$154=1,AH$4=Assumptions!$E$155),Assumptions!$C$65,0)</f>
        <v>0</v>
      </c>
      <c r="AI374" s="8" t="n">
        <f aca="false">IF(AND(Assumptions!$E$145=1,AI$4=$B$263),'Retail Readiness Costs'!$H$14,0)+IF(AND(Assumptions!$E$163=1,AI$4=MAX(1,Assumptions!$E$164-Assumptions!$C$66)),'Retail Readiness Costs'!$H$23,0)+IF(AND(Assumptions!$E$154=1,AI$4=Assumptions!$E$155),Assumptions!$C$65,0)</f>
        <v>0</v>
      </c>
      <c r="AJ374" s="8" t="n">
        <f aca="false">IF(AND(Assumptions!$E$145=1,AJ$4=$B$263),'Retail Readiness Costs'!$H$14,0)+IF(AND(Assumptions!$E$163=1,AJ$4=MAX(1,Assumptions!$E$164-Assumptions!$C$66)),'Retail Readiness Costs'!$H$23,0)+IF(AND(Assumptions!$E$154=1,AJ$4=Assumptions!$E$155),Assumptions!$C$65,0)</f>
        <v>0</v>
      </c>
      <c r="AK374" s="8" t="n">
        <f aca="false">IF(AND(Assumptions!$E$145=1,AK$4=$B$263),'Retail Readiness Costs'!$H$14,0)+IF(AND(Assumptions!$E$163=1,AK$4=MAX(1,Assumptions!$E$164-Assumptions!$C$66)),'Retail Readiness Costs'!$H$23,0)+IF(AND(Assumptions!$E$154=1,AK$4=Assumptions!$E$155),Assumptions!$C$65,0)</f>
        <v>0</v>
      </c>
      <c r="AL374" s="8" t="n">
        <f aca="false">IF(AND(Assumptions!$E$145=1,AL$4=$B$263),'Retail Readiness Costs'!$H$14,0)+IF(AND(Assumptions!$E$163=1,AL$4=MAX(1,Assumptions!$E$164-Assumptions!$C$66)),'Retail Readiness Costs'!$H$23,0)+IF(AND(Assumptions!$E$154=1,AL$4=Assumptions!$E$155),Assumptions!$C$65,0)</f>
        <v>0</v>
      </c>
      <c r="AM374" s="45" t="n">
        <f aca="false">SUMIF($C$6:$AL$6,1,C374:AL374)</f>
        <v>2054</v>
      </c>
      <c r="AN374" s="45" t="n">
        <f aca="false">SUMIF($C$6:$AL$6,2,C374:AL374)</f>
        <v>5100</v>
      </c>
      <c r="AO374" s="45" t="n">
        <f aca="false">SUMIF($C$6:$AL$6,3,C374:AL374)</f>
        <v>0</v>
      </c>
      <c r="AP374" s="45" t="n">
        <f aca="false">SUM(C374:AL374)</f>
        <v>7154</v>
      </c>
    </row>
    <row r="375" customFormat="false" ht="15" hidden="false" customHeight="false" outlineLevel="0" collapsed="false">
      <c r="A375" s="7" t="s">
        <v>785</v>
      </c>
      <c r="B375" s="9" t="s">
        <v>93</v>
      </c>
      <c r="C375" s="41" t="n">
        <f aca="false">C372-C373-C374</f>
        <v>-5411.77043791322</v>
      </c>
      <c r="D375" s="41" t="n">
        <f aca="false">D372-D373-D374</f>
        <v>-2135.1400475824</v>
      </c>
      <c r="E375" s="41" t="n">
        <f aca="false">E372-E373-E374</f>
        <v>-2483.19801739856</v>
      </c>
      <c r="F375" s="41" t="n">
        <f aca="false">F372-F373-F374</f>
        <v>-1358.24425124681</v>
      </c>
      <c r="G375" s="41" t="n">
        <f aca="false">G372-G373-G374</f>
        <v>-1416.75223193572</v>
      </c>
      <c r="H375" s="41" t="n">
        <f aca="false">H372-H373-H374</f>
        <v>-4037.43573814741</v>
      </c>
      <c r="I375" s="41" t="n">
        <f aca="false">I372-I373-I374</f>
        <v>-6095.7237502473</v>
      </c>
      <c r="J375" s="41" t="n">
        <f aca="false">J372-J373-J374</f>
        <v>-1372.39859020927</v>
      </c>
      <c r="K375" s="41" t="n">
        <f aca="false">K372-K373-K374</f>
        <v>164.988483903064</v>
      </c>
      <c r="L375" s="41" t="n">
        <f aca="false">L372-L373-L374</f>
        <v>589.40215496951</v>
      </c>
      <c r="M375" s="41" t="n">
        <f aca="false">M372-M373-M374</f>
        <v>1157.29725082451</v>
      </c>
      <c r="N375" s="41" t="n">
        <f aca="false">N372-N373-N374</f>
        <v>1531.20596579345</v>
      </c>
      <c r="O375" s="41" t="n">
        <f aca="false">O372-O373-O374</f>
        <v>908.044602775841</v>
      </c>
      <c r="P375" s="41" t="n">
        <f aca="false">P372-P373-P374</f>
        <v>3121.01047369938</v>
      </c>
      <c r="Q375" s="41" t="n">
        <f aca="false">Q372-Q373-Q374</f>
        <v>3537.61977820397</v>
      </c>
      <c r="R375" s="41" t="n">
        <f aca="false">R372-R373-R374</f>
        <v>3302.38754007889</v>
      </c>
      <c r="S375" s="41" t="n">
        <f aca="false">S372-S373-S374</f>
        <v>2468.29027017221</v>
      </c>
      <c r="T375" s="41" t="n">
        <f aca="false">T372-T373-T374</f>
        <v>3278.8223781622</v>
      </c>
      <c r="U375" s="41" t="n">
        <f aca="false">U372-U373-U374</f>
        <v>-2788.70192463849</v>
      </c>
      <c r="V375" s="41" t="n">
        <f aca="false">V372-V373-V374</f>
        <v>3457.00026352538</v>
      </c>
      <c r="W375" s="41" t="n">
        <f aca="false">W372-W373-W374</f>
        <v>3803.80176063735</v>
      </c>
      <c r="X375" s="41" t="n">
        <f aca="false">X372-X373-X374</f>
        <v>3687.58406784535</v>
      </c>
      <c r="Y375" s="41" t="n">
        <f aca="false">Y372-Y373-Y374</f>
        <v>4050.8648227218</v>
      </c>
      <c r="Z375" s="41" t="n">
        <f aca="false">Z372-Z373-Z374</f>
        <v>4526.95828517922</v>
      </c>
      <c r="AA375" s="41" t="n">
        <f aca="false">AA372-AA373-AA374</f>
        <v>4123.35815264045</v>
      </c>
      <c r="AB375" s="41" t="n">
        <f aca="false">AB372-AB373-AB374</f>
        <v>7428.86571949042</v>
      </c>
      <c r="AC375" s="41" t="n">
        <f aca="false">AC372-AC373-AC374</f>
        <v>7940.97564704508</v>
      </c>
      <c r="AD375" s="41" t="n">
        <f aca="false">AD372-AD373-AD374</f>
        <v>7600.57565868297</v>
      </c>
      <c r="AE375" s="41" t="n">
        <f aca="false">AE372-AE373-AE374</f>
        <v>5514.45400416263</v>
      </c>
      <c r="AF375" s="41" t="n">
        <f aca="false">AF372-AF373-AF374</f>
        <v>6725.66813401419</v>
      </c>
      <c r="AG375" s="41" t="n">
        <f aca="false">AG372-AG373-AG374</f>
        <v>5936.93001020864</v>
      </c>
      <c r="AH375" s="41" t="n">
        <f aca="false">AH372-AH373-AH374</f>
        <v>6657.20618428991</v>
      </c>
      <c r="AI375" s="41" t="n">
        <f aca="false">AI372-AI373-AI374</f>
        <v>7094.47134278378</v>
      </c>
      <c r="AJ375" s="41" t="n">
        <f aca="false">AJ372-AJ373-AJ374</f>
        <v>7219.02670715118</v>
      </c>
      <c r="AK375" s="41" t="n">
        <f aca="false">AK372-AK373-AK374</f>
        <v>7450.31096285858</v>
      </c>
      <c r="AL375" s="41" t="n">
        <f aca="false">AL372-AL373-AL374</f>
        <v>7920.89437844529</v>
      </c>
      <c r="AM375" s="45" t="n">
        <f aca="false">SUMIF($C$6:$AL$6,1,C375:AL375)</f>
        <v>-20867.7692091902</v>
      </c>
      <c r="AN375" s="45" t="n">
        <f aca="false">SUMIF($C$6:$AL$6,2,C375:AL375)</f>
        <v>33353.6823183631</v>
      </c>
      <c r="AO375" s="45" t="n">
        <f aca="false">SUMIF($C$6:$AL$6,3,C375:AL375)</f>
        <v>81612.7369017731</v>
      </c>
      <c r="AP375" s="45" t="n">
        <f aca="false">SUM(C375:AL375)</f>
        <v>94098.6500109461</v>
      </c>
    </row>
    <row r="376" customFormat="false" ht="15" hidden="false" customHeight="false" outlineLevel="0" collapsed="false">
      <c r="A376" s="7" t="s">
        <v>786</v>
      </c>
      <c r="B376" s="9" t="s">
        <v>93</v>
      </c>
      <c r="C376" s="41" t="n">
        <f aca="false">C375</f>
        <v>-5411.77043791322</v>
      </c>
      <c r="D376" s="41" t="n">
        <f aca="false">D375+C376</f>
        <v>-7546.91048549562</v>
      </c>
      <c r="E376" s="41" t="n">
        <f aca="false">E375+D376</f>
        <v>-10030.1085028942</v>
      </c>
      <c r="F376" s="41" t="n">
        <f aca="false">F375+E376</f>
        <v>-11388.352754141</v>
      </c>
      <c r="G376" s="41" t="n">
        <f aca="false">G375+F376</f>
        <v>-12805.1049860767</v>
      </c>
      <c r="H376" s="41" t="n">
        <f aca="false">H375+G376</f>
        <v>-16842.5407242241</v>
      </c>
      <c r="I376" s="41" t="n">
        <f aca="false">I375+H376</f>
        <v>-22938.2644744714</v>
      </c>
      <c r="J376" s="41" t="n">
        <f aca="false">J375+I376</f>
        <v>-24310.6630646807</v>
      </c>
      <c r="K376" s="41" t="n">
        <f aca="false">K375+J376</f>
        <v>-24145.6745807776</v>
      </c>
      <c r="L376" s="41" t="n">
        <f aca="false">L375+K376</f>
        <v>-23556.2724258081</v>
      </c>
      <c r="M376" s="41" t="n">
        <f aca="false">M375+L376</f>
        <v>-22398.9751749836</v>
      </c>
      <c r="N376" s="41" t="n">
        <f aca="false">N375+M376</f>
        <v>-20867.7692091902</v>
      </c>
      <c r="O376" s="41" t="n">
        <f aca="false">O375+N376</f>
        <v>-19959.7246064143</v>
      </c>
      <c r="P376" s="41" t="n">
        <f aca="false">P375+O376</f>
        <v>-16838.7141327149</v>
      </c>
      <c r="Q376" s="41" t="n">
        <f aca="false">Q375+P376</f>
        <v>-13301.094354511</v>
      </c>
      <c r="R376" s="41" t="n">
        <f aca="false">R375+Q376</f>
        <v>-9998.70681443208</v>
      </c>
      <c r="S376" s="41" t="n">
        <f aca="false">S375+R376</f>
        <v>-7530.41654425986</v>
      </c>
      <c r="T376" s="41" t="n">
        <f aca="false">T375+S376</f>
        <v>-4251.59416609766</v>
      </c>
      <c r="U376" s="41" t="n">
        <f aca="false">U375+T376</f>
        <v>-7040.29609073615</v>
      </c>
      <c r="V376" s="41" t="n">
        <f aca="false">V375+U376</f>
        <v>-3583.29582721077</v>
      </c>
      <c r="W376" s="41" t="n">
        <f aca="false">W375+V376</f>
        <v>220.505933426583</v>
      </c>
      <c r="X376" s="41" t="n">
        <f aca="false">X375+W376</f>
        <v>3908.09000127194</v>
      </c>
      <c r="Y376" s="41" t="n">
        <f aca="false">Y375+X376</f>
        <v>7958.95482399374</v>
      </c>
      <c r="Z376" s="41" t="n">
        <f aca="false">Z375+Y376</f>
        <v>12485.913109173</v>
      </c>
      <c r="AA376" s="41" t="n">
        <f aca="false">AA375+Z376</f>
        <v>16609.2712618134</v>
      </c>
      <c r="AB376" s="41" t="n">
        <f aca="false">AB375+AA376</f>
        <v>24038.1369813038</v>
      </c>
      <c r="AC376" s="41" t="n">
        <f aca="false">AC375+AB376</f>
        <v>31979.1126283489</v>
      </c>
      <c r="AD376" s="41" t="n">
        <f aca="false">AD375+AC376</f>
        <v>39579.6882870319</v>
      </c>
      <c r="AE376" s="41" t="n">
        <f aca="false">AE375+AD376</f>
        <v>45094.1422911945</v>
      </c>
      <c r="AF376" s="41" t="n">
        <f aca="false">AF375+AE376</f>
        <v>51819.8104252087</v>
      </c>
      <c r="AG376" s="41" t="n">
        <f aca="false">AG375+AF376</f>
        <v>57756.7404354173</v>
      </c>
      <c r="AH376" s="41" t="n">
        <f aca="false">AH375+AG376</f>
        <v>64413.9466197072</v>
      </c>
      <c r="AI376" s="41" t="n">
        <f aca="false">AI375+AH376</f>
        <v>71508.417962491</v>
      </c>
      <c r="AJ376" s="41" t="n">
        <f aca="false">AJ375+AI376</f>
        <v>78727.4446696422</v>
      </c>
      <c r="AK376" s="41" t="n">
        <f aca="false">AK375+AJ376</f>
        <v>86177.7556325008</v>
      </c>
      <c r="AL376" s="41" t="n">
        <f aca="false">AL375+AK376</f>
        <v>94098.6500109461</v>
      </c>
      <c r="AM376" s="45" t="n">
        <f aca="false">N376</f>
        <v>-20867.7692091902</v>
      </c>
      <c r="AN376" s="45" t="n">
        <f aca="false">Z376</f>
        <v>12485.913109173</v>
      </c>
      <c r="AO376" s="45" t="n">
        <f aca="false">AL376</f>
        <v>94098.6500109461</v>
      </c>
      <c r="AP376" s="45" t="n">
        <f aca="false">AL376</f>
        <v>94098.6500109461</v>
      </c>
    </row>
    <row r="377" customFormat="false" ht="15" hidden="false" customHeight="false" outlineLevel="0" collapsed="false">
      <c r="A377" s="5" t="s">
        <v>787</v>
      </c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</row>
    <row r="378" customFormat="false" ht="15" hidden="false" customHeight="false" outlineLevel="0" collapsed="false">
      <c r="A378" s="7" t="s">
        <v>788</v>
      </c>
      <c r="B378" s="9" t="s">
        <v>331</v>
      </c>
      <c r="C378" s="52" t="n">
        <f aca="false">C333+C353</f>
        <v>-0</v>
      </c>
      <c r="D378" s="52" t="n">
        <f aca="false">D333+D353</f>
        <v>-0</v>
      </c>
      <c r="E378" s="52" t="n">
        <f aca="false">E333+E353</f>
        <v>-0</v>
      </c>
      <c r="F378" s="52" t="n">
        <f aca="false">F333+F353</f>
        <v>0</v>
      </c>
      <c r="G378" s="52" t="n">
        <f aca="false">G333+G353</f>
        <v>2.925</v>
      </c>
      <c r="H378" s="52" t="n">
        <f aca="false">H333+H353</f>
        <v>6.89</v>
      </c>
      <c r="I378" s="52" t="n">
        <f aca="false">I333+I353</f>
        <v>11.502855</v>
      </c>
      <c r="J378" s="52" t="n">
        <f aca="false">J333+J353</f>
        <v>14.7090476</v>
      </c>
      <c r="K378" s="52" t="n">
        <f aca="false">K333+K353</f>
        <v>20.5152506</v>
      </c>
      <c r="L378" s="52" t="n">
        <f aca="false">L333+L353</f>
        <v>24.79062882504</v>
      </c>
      <c r="M378" s="52" t="n">
        <f aca="false">M333+M353</f>
        <v>23.5119542856432</v>
      </c>
      <c r="N378" s="52" t="n">
        <f aca="false">N333+N353</f>
        <v>24.9226715427818</v>
      </c>
      <c r="O378" s="52" t="n">
        <f aca="false">O333+O353</f>
        <v>29.2474880752057</v>
      </c>
      <c r="P378" s="52" t="n">
        <f aca="false">P333+P353</f>
        <v>42.0240223396377</v>
      </c>
      <c r="Q378" s="52" t="n">
        <f aca="false">Q333+Q353</f>
        <v>45.8223474357203</v>
      </c>
      <c r="R378" s="52" t="n">
        <f aca="false">R333+R353</f>
        <v>44.5495044513947</v>
      </c>
      <c r="S378" s="52" t="n">
        <f aca="false">S333+S353</f>
        <v>33.6794253652544</v>
      </c>
      <c r="T378" s="52" t="n">
        <f aca="false">T333+T353</f>
        <v>39.2926629261302</v>
      </c>
      <c r="U378" s="52" t="n">
        <f aca="false">U333+U353</f>
        <v>43.3201608760585</v>
      </c>
      <c r="V378" s="52" t="n">
        <f aca="false">V333+V353</f>
        <v>41.1541528322556</v>
      </c>
      <c r="W378" s="52" t="n">
        <f aca="false">W333+W353</f>
        <v>45.4861689198614</v>
      </c>
      <c r="X378" s="52" t="n">
        <f aca="false">X333+X353</f>
        <v>59.6224534975618</v>
      </c>
      <c r="Y378" s="52" t="n">
        <f aca="false">Y333+Y353</f>
        <v>70.1662260490252</v>
      </c>
      <c r="Z378" s="52" t="n">
        <f aca="false">Z333+Z353</f>
        <v>89.3723373514764</v>
      </c>
      <c r="AA378" s="52" t="n">
        <f aca="false">AA333+AA353</f>
        <v>123.327407880494</v>
      </c>
      <c r="AB378" s="52" t="n">
        <f aca="false">AB333+AB353</f>
        <v>205.269147469454</v>
      </c>
      <c r="AC378" s="52" t="n">
        <f aca="false">AC333+AC353</f>
        <v>256.200407035412</v>
      </c>
      <c r="AD378" s="52" t="n">
        <f aca="false">AD333+AD353</f>
        <v>252.604247512069</v>
      </c>
      <c r="AE378" s="52" t="n">
        <f aca="false">AE333+AE353</f>
        <v>193.758150962873</v>
      </c>
      <c r="AF378" s="52" t="n">
        <f aca="false">AF333+AF353</f>
        <v>229.457648644796</v>
      </c>
      <c r="AG378" s="52" t="n">
        <f aca="false">AG333+AG353</f>
        <v>256.904092252929</v>
      </c>
      <c r="AH378" s="52" t="n">
        <f aca="false">AH333+AH353</f>
        <v>247.955891704196</v>
      </c>
      <c r="AI378" s="52" t="n">
        <f aca="false">AI333+AI353</f>
        <v>278.551550335435</v>
      </c>
      <c r="AJ378" s="52" t="n">
        <f aca="false">AJ333+AJ353</f>
        <v>282.530448715632</v>
      </c>
      <c r="AK378" s="52" t="n">
        <f aca="false">AK333+AK353</f>
        <v>270.006114223712</v>
      </c>
      <c r="AL378" s="52" t="n">
        <f aca="false">AL333+AL353</f>
        <v>288.508858403003</v>
      </c>
      <c r="AM378" s="53" t="n">
        <f aca="false">SUMIF($C$6:$AL$6,1,C378:AL378)</f>
        <v>129.767407853465</v>
      </c>
      <c r="AN378" s="53" t="n">
        <f aca="false">SUMIF($C$6:$AL$6,2,C378:AL378)</f>
        <v>583.736950119582</v>
      </c>
      <c r="AO378" s="53" t="n">
        <f aca="false">SUMIF($C$6:$AL$6,3,C378:AL378)</f>
        <v>2885.07396514001</v>
      </c>
      <c r="AP378" s="53" t="n">
        <f aca="false">SUM(C378:AL378)</f>
        <v>3598.57832311305</v>
      </c>
    </row>
    <row r="379" customFormat="false" ht="15" hidden="false" customHeight="false" outlineLevel="0" collapsed="false">
      <c r="A379" s="7" t="s">
        <v>789</v>
      </c>
      <c r="B379" s="9" t="s">
        <v>331</v>
      </c>
      <c r="C379" s="52" t="n">
        <f aca="false">C378</f>
        <v>-0</v>
      </c>
      <c r="D379" s="52" t="n">
        <f aca="false">D378+C379</f>
        <v>-0</v>
      </c>
      <c r="E379" s="52" t="n">
        <f aca="false">E378+D379</f>
        <v>-0</v>
      </c>
      <c r="F379" s="52" t="n">
        <f aca="false">F378+E379</f>
        <v>0</v>
      </c>
      <c r="G379" s="52" t="n">
        <f aca="false">G378+F379</f>
        <v>2.925</v>
      </c>
      <c r="H379" s="52" t="n">
        <f aca="false">H378+G379</f>
        <v>9.815</v>
      </c>
      <c r="I379" s="52" t="n">
        <f aca="false">I378+H379</f>
        <v>21.317855</v>
      </c>
      <c r="J379" s="52" t="n">
        <f aca="false">J378+I379</f>
        <v>36.0269026</v>
      </c>
      <c r="K379" s="52" t="n">
        <f aca="false">K378+J379</f>
        <v>56.5421532</v>
      </c>
      <c r="L379" s="52" t="n">
        <f aca="false">L378+K379</f>
        <v>81.33278202504</v>
      </c>
      <c r="M379" s="52" t="n">
        <f aca="false">M378+L379</f>
        <v>104.844736310683</v>
      </c>
      <c r="N379" s="52" t="n">
        <f aca="false">N378+M379</f>
        <v>129.767407853465</v>
      </c>
      <c r="O379" s="52" t="n">
        <f aca="false">O378+N379</f>
        <v>159.014895928671</v>
      </c>
      <c r="P379" s="52" t="n">
        <f aca="false">P378+O379</f>
        <v>201.038918268308</v>
      </c>
      <c r="Q379" s="52" t="n">
        <f aca="false">Q378+P379</f>
        <v>246.861265704029</v>
      </c>
      <c r="R379" s="52" t="n">
        <f aca="false">R378+Q379</f>
        <v>291.410770155423</v>
      </c>
      <c r="S379" s="52" t="n">
        <f aca="false">S378+R379</f>
        <v>325.090195520678</v>
      </c>
      <c r="T379" s="52" t="n">
        <f aca="false">T378+S379</f>
        <v>364.382858446808</v>
      </c>
      <c r="U379" s="52" t="n">
        <f aca="false">U378+T379</f>
        <v>407.703019322867</v>
      </c>
      <c r="V379" s="52" t="n">
        <f aca="false">V378+U379</f>
        <v>448.857172155122</v>
      </c>
      <c r="W379" s="52" t="n">
        <f aca="false">W378+V379</f>
        <v>494.343341074984</v>
      </c>
      <c r="X379" s="52" t="n">
        <f aca="false">X378+W379</f>
        <v>553.965794572545</v>
      </c>
      <c r="Y379" s="52" t="n">
        <f aca="false">Y378+X379</f>
        <v>624.132020621571</v>
      </c>
      <c r="Z379" s="52" t="n">
        <f aca="false">Z378+Y379</f>
        <v>713.504357973047</v>
      </c>
      <c r="AA379" s="52" t="n">
        <f aca="false">AA378+Z379</f>
        <v>836.831765853541</v>
      </c>
      <c r="AB379" s="52" t="n">
        <f aca="false">AB378+AA379</f>
        <v>1042.10091332299</v>
      </c>
      <c r="AC379" s="52" t="n">
        <f aca="false">AC378+AB379</f>
        <v>1298.30132035841</v>
      </c>
      <c r="AD379" s="52" t="n">
        <f aca="false">AD378+AC379</f>
        <v>1550.90556787048</v>
      </c>
      <c r="AE379" s="52" t="n">
        <f aca="false">AE378+AD379</f>
        <v>1744.66371883335</v>
      </c>
      <c r="AF379" s="52" t="n">
        <f aca="false">AF378+AE379</f>
        <v>1974.12136747815</v>
      </c>
      <c r="AG379" s="52" t="n">
        <f aca="false">AG378+AF379</f>
        <v>2231.02545973107</v>
      </c>
      <c r="AH379" s="52" t="n">
        <f aca="false">AH378+AG379</f>
        <v>2478.98135143527</v>
      </c>
      <c r="AI379" s="52" t="n">
        <f aca="false">AI378+AH379</f>
        <v>2757.53290177071</v>
      </c>
      <c r="AJ379" s="52" t="n">
        <f aca="false">AJ378+AI379</f>
        <v>3040.06335048634</v>
      </c>
      <c r="AK379" s="52" t="n">
        <f aca="false">AK378+AJ379</f>
        <v>3310.06946471005</v>
      </c>
      <c r="AL379" s="52" t="n">
        <f aca="false">AL378+AK379</f>
        <v>3598.57832311305</v>
      </c>
      <c r="AM379" s="53" t="n">
        <f aca="false">N379</f>
        <v>129.767407853465</v>
      </c>
      <c r="AN379" s="53" t="n">
        <f aca="false">Z379</f>
        <v>713.504357973047</v>
      </c>
      <c r="AO379" s="53" t="n">
        <f aca="false">AL379</f>
        <v>3598.57832311305</v>
      </c>
      <c r="AP379" s="53" t="n">
        <f aca="false">AL379</f>
        <v>3598.57832311305</v>
      </c>
    </row>
    <row r="380" customFormat="false" ht="15" hidden="false" customHeight="false" outlineLevel="0" collapsed="false">
      <c r="A380" s="7" t="s">
        <v>790</v>
      </c>
      <c r="B380" s="9" t="s">
        <v>231</v>
      </c>
      <c r="C380" s="52" t="n">
        <f aca="false">IF($B$265=0,0,IF(C$4=$B$263,$B$265,IF(C$4&gt;$B$263,(INT(C379/$B$265)-INT(0/$B$265))*$B$265,0)))</f>
        <v>0</v>
      </c>
      <c r="D380" s="52" t="n">
        <f aca="false">IF($B$265=0,0,IF(D$4=$B$263,$B$265,IF(D$4&gt;$B$263,(INT(D379/$B$265)-INT(C379/$B$265))*$B$265,0)))</f>
        <v>0</v>
      </c>
      <c r="E380" s="52" t="n">
        <f aca="false">IF($B$265=0,0,IF(E$4=$B$263,$B$265,IF(E$4&gt;$B$263,(INT(E379/$B$265)-INT(D379/$B$265))*$B$265,0)))</f>
        <v>0</v>
      </c>
      <c r="F380" s="52" t="n">
        <f aca="false">IF($B$265=0,0,IF(F$4=$B$263,$B$265,IF(F$4&gt;$B$263,(INT(F379/$B$265)-INT(E379/$B$265))*$B$265,0)))</f>
        <v>0</v>
      </c>
      <c r="G380" s="52" t="n">
        <f aca="false">IF($B$265=0,0,IF(G$4=$B$263,$B$265,IF(G$4&gt;$B$263,(INT(G379/$B$265)-INT(F379/$B$265))*$B$265,0)))</f>
        <v>0</v>
      </c>
      <c r="H380" s="52" t="n">
        <f aca="false">IF($B$265=0,0,IF(H$4=$B$263,$B$265,IF(H$4&gt;$B$263,(INT(H379/$B$265)-INT(G379/$B$265))*$B$265,0)))</f>
        <v>0</v>
      </c>
      <c r="I380" s="52" t="n">
        <f aca="false">IF($B$265=0,0,IF(I$4=$B$263,$B$265,IF(I$4&gt;$B$263,(INT(I379/$B$265)-INT(H379/$B$265))*$B$265,0)))</f>
        <v>0</v>
      </c>
      <c r="J380" s="52" t="n">
        <f aca="false">IF($B$265=0,0,IF(J$4=$B$263,$B$265,IF(J$4&gt;$B$263,(INT(J379/$B$265)-INT(I379/$B$265))*$B$265,0)))</f>
        <v>1000</v>
      </c>
      <c r="K380" s="52" t="n">
        <f aca="false">IF($B$265=0,0,IF(K$4=$B$263,$B$265,IF(K$4&gt;$B$263,(INT(K379/$B$265)-INT(J379/$B$265))*$B$265,0)))</f>
        <v>0</v>
      </c>
      <c r="L380" s="52" t="n">
        <f aca="false">IF($B$265=0,0,IF(L$4=$B$263,$B$265,IF(L$4&gt;$B$263,(INT(L379/$B$265)-INT(K379/$B$265))*$B$265,0)))</f>
        <v>0</v>
      </c>
      <c r="M380" s="52" t="n">
        <f aca="false">IF($B$265=0,0,IF(M$4=$B$263,$B$265,IF(M$4&gt;$B$263,(INT(M379/$B$265)-INT(L379/$B$265))*$B$265,0)))</f>
        <v>0</v>
      </c>
      <c r="N380" s="52" t="n">
        <f aca="false">IF($B$265=0,0,IF(N$4=$B$263,$B$265,IF(N$4&gt;$B$263,(INT(N379/$B$265)-INT(M379/$B$265))*$B$265,0)))</f>
        <v>0</v>
      </c>
      <c r="O380" s="52" t="n">
        <f aca="false">IF($B$265=0,0,IF(O$4=$B$263,$B$265,IF(O$4&gt;$B$263,(INT(O379/$B$265)-INT(N379/$B$265))*$B$265,0)))</f>
        <v>0</v>
      </c>
      <c r="P380" s="52" t="n">
        <f aca="false">IF($B$265=0,0,IF(P$4=$B$263,$B$265,IF(P$4&gt;$B$263,(INT(P379/$B$265)-INT(O379/$B$265))*$B$265,0)))</f>
        <v>0</v>
      </c>
      <c r="Q380" s="52" t="n">
        <f aca="false">IF($B$265=0,0,IF(Q$4=$B$263,$B$265,IF(Q$4&gt;$B$263,(INT(Q379/$B$265)-INT(P379/$B$265))*$B$265,0)))</f>
        <v>0</v>
      </c>
      <c r="R380" s="52" t="n">
        <f aca="false">IF($B$265=0,0,IF(R$4=$B$263,$B$265,IF(R$4&gt;$B$263,(INT(R379/$B$265)-INT(Q379/$B$265))*$B$265,0)))</f>
        <v>0</v>
      </c>
      <c r="S380" s="52" t="n">
        <f aca="false">IF($B$265=0,0,IF(S$4=$B$263,$B$265,IF(S$4&gt;$B$263,(INT(S379/$B$265)-INT(R379/$B$265))*$B$265,0)))</f>
        <v>0</v>
      </c>
      <c r="T380" s="52" t="n">
        <f aca="false">IF($B$265=0,0,IF(T$4=$B$263,$B$265,IF(T$4&gt;$B$263,(INT(T379/$B$265)-INT(S379/$B$265))*$B$265,0)))</f>
        <v>0</v>
      </c>
      <c r="U380" s="52" t="n">
        <f aca="false">IF($B$265=0,0,IF(U$4=$B$263,$B$265,IF(U$4&gt;$B$263,(INT(U379/$B$265)-INT(T379/$B$265))*$B$265,0)))</f>
        <v>0</v>
      </c>
      <c r="V380" s="52" t="n">
        <f aca="false">IF($B$265=0,0,IF(V$4=$B$263,$B$265,IF(V$4&gt;$B$263,(INT(V379/$B$265)-INT(U379/$B$265))*$B$265,0)))</f>
        <v>0</v>
      </c>
      <c r="W380" s="52" t="n">
        <f aca="false">IF($B$265=0,0,IF(W$4=$B$263,$B$265,IF(W$4&gt;$B$263,(INT(W379/$B$265)-INT(V379/$B$265))*$B$265,0)))</f>
        <v>0</v>
      </c>
      <c r="X380" s="52" t="n">
        <f aca="false">IF($B$265=0,0,IF(X$4=$B$263,$B$265,IF(X$4&gt;$B$263,(INT(X379/$B$265)-INT(W379/$B$265))*$B$265,0)))</f>
        <v>0</v>
      </c>
      <c r="Y380" s="52" t="n">
        <f aca="false">IF($B$265=0,0,IF(Y$4=$B$263,$B$265,IF(Y$4&gt;$B$263,(INT(Y379/$B$265)-INT(X379/$B$265))*$B$265,0)))</f>
        <v>0</v>
      </c>
      <c r="Z380" s="52" t="n">
        <f aca="false">IF($B$265=0,0,IF(Z$4=$B$263,$B$265,IF(Z$4&gt;$B$263,(INT(Z379/$B$265)-INT(Y379/$B$265))*$B$265,0)))</f>
        <v>0</v>
      </c>
      <c r="AA380" s="52" t="n">
        <f aca="false">IF($B$265=0,0,IF(AA$4=$B$263,$B$265,IF(AA$4&gt;$B$263,(INT(AA379/$B$265)-INT(Z379/$B$265))*$B$265,0)))</f>
        <v>0</v>
      </c>
      <c r="AB380" s="52" t="n">
        <f aca="false">IF($B$265=0,0,IF(AB$4=$B$263,$B$265,IF(AB$4&gt;$B$263,(INT(AB379/$B$265)-INT(AA379/$B$265))*$B$265,0)))</f>
        <v>1000</v>
      </c>
      <c r="AC380" s="52" t="n">
        <f aca="false">IF($B$265=0,0,IF(AC$4=$B$263,$B$265,IF(AC$4&gt;$B$263,(INT(AC379/$B$265)-INT(AB379/$B$265))*$B$265,0)))</f>
        <v>0</v>
      </c>
      <c r="AD380" s="52" t="n">
        <f aca="false">IF($B$265=0,0,IF(AD$4=$B$263,$B$265,IF(AD$4&gt;$B$263,(INT(AD379/$B$265)-INT(AC379/$B$265))*$B$265,0)))</f>
        <v>0</v>
      </c>
      <c r="AE380" s="52" t="n">
        <f aca="false">IF($B$265=0,0,IF(AE$4=$B$263,$B$265,IF(AE$4&gt;$B$263,(INT(AE379/$B$265)-INT(AD379/$B$265))*$B$265,0)))</f>
        <v>0</v>
      </c>
      <c r="AF380" s="52" t="n">
        <f aca="false">IF($B$265=0,0,IF(AF$4=$B$263,$B$265,IF(AF$4&gt;$B$263,(INT(AF379/$B$265)-INT(AE379/$B$265))*$B$265,0)))</f>
        <v>0</v>
      </c>
      <c r="AG380" s="52" t="n">
        <f aca="false">IF($B$265=0,0,IF(AG$4=$B$263,$B$265,IF(AG$4&gt;$B$263,(INT(AG379/$B$265)-INT(AF379/$B$265))*$B$265,0)))</f>
        <v>1000</v>
      </c>
      <c r="AH380" s="52" t="n">
        <f aca="false">IF($B$265=0,0,IF(AH$4=$B$263,$B$265,IF(AH$4&gt;$B$263,(INT(AH379/$B$265)-INT(AG379/$B$265))*$B$265,0)))</f>
        <v>0</v>
      </c>
      <c r="AI380" s="52" t="n">
        <f aca="false">IF($B$265=0,0,IF(AI$4=$B$263,$B$265,IF(AI$4&gt;$B$263,(INT(AI379/$B$265)-INT(AH379/$B$265))*$B$265,0)))</f>
        <v>0</v>
      </c>
      <c r="AJ380" s="52" t="n">
        <f aca="false">IF($B$265=0,0,IF(AJ$4=$B$263,$B$265,IF(AJ$4&gt;$B$263,(INT(AJ379/$B$265)-INT(AI379/$B$265))*$B$265,0)))</f>
        <v>1000</v>
      </c>
      <c r="AK380" s="52" t="n">
        <f aca="false">IF($B$265=0,0,IF(AK$4=$B$263,$B$265,IF(AK$4&gt;$B$263,(INT(AK379/$B$265)-INT(AJ379/$B$265))*$B$265,0)))</f>
        <v>0</v>
      </c>
      <c r="AL380" s="52" t="n">
        <f aca="false">IF($B$265=0,0,IF(AL$4=$B$263,$B$265,IF(AL$4&gt;$B$263,(INT(AL379/$B$265)-INT(AK379/$B$265))*$B$265,0)))</f>
        <v>0</v>
      </c>
      <c r="AM380" s="53" t="n">
        <f aca="false">SUMIF($C$6:$AL$6,1,C380:AL380)</f>
        <v>1000</v>
      </c>
      <c r="AN380" s="53" t="n">
        <f aca="false">SUMIF($C$6:$AL$6,2,C380:AL380)</f>
        <v>0</v>
      </c>
      <c r="AO380" s="53" t="n">
        <f aca="false">SUMIF($C$6:$AL$6,3,C380:AL380)</f>
        <v>3000</v>
      </c>
      <c r="AP380" s="53" t="n">
        <f aca="false">SUM(C380:AL380)</f>
        <v>4000</v>
      </c>
    </row>
    <row r="381" customFormat="false" ht="15" hidden="false" customHeight="false" outlineLevel="0" collapsed="false">
      <c r="A381" s="7" t="s">
        <v>791</v>
      </c>
      <c r="B381" s="9" t="s">
        <v>93</v>
      </c>
      <c r="C381" s="8" t="n">
        <f aca="false">C380*Assumptions!$C$57</f>
        <v>0</v>
      </c>
      <c r="D381" s="8" t="n">
        <f aca="false">D380*Assumptions!$C$57</f>
        <v>0</v>
      </c>
      <c r="E381" s="8" t="n">
        <f aca="false">E380*Assumptions!$C$57</f>
        <v>0</v>
      </c>
      <c r="F381" s="8" t="n">
        <f aca="false">F380*Assumptions!$C$57</f>
        <v>0</v>
      </c>
      <c r="G381" s="8" t="n">
        <f aca="false">G380*Assumptions!$C$57</f>
        <v>0</v>
      </c>
      <c r="H381" s="8" t="n">
        <f aca="false">H380*Assumptions!$C$57</f>
        <v>0</v>
      </c>
      <c r="I381" s="8" t="n">
        <f aca="false">I380*Assumptions!$C$57</f>
        <v>0</v>
      </c>
      <c r="J381" s="8" t="n">
        <f aca="false">J380*Assumptions!$C$57</f>
        <v>3625</v>
      </c>
      <c r="K381" s="8" t="n">
        <f aca="false">K380*Assumptions!$C$57</f>
        <v>0</v>
      </c>
      <c r="L381" s="8" t="n">
        <f aca="false">L380*Assumptions!$C$57</f>
        <v>0</v>
      </c>
      <c r="M381" s="8" t="n">
        <f aca="false">M380*Assumptions!$C$57</f>
        <v>0</v>
      </c>
      <c r="N381" s="8" t="n">
        <f aca="false">N380*Assumptions!$C$57</f>
        <v>0</v>
      </c>
      <c r="O381" s="8" t="n">
        <f aca="false">O380*Assumptions!$C$57</f>
        <v>0</v>
      </c>
      <c r="P381" s="8" t="n">
        <f aca="false">P380*Assumptions!$C$57</f>
        <v>0</v>
      </c>
      <c r="Q381" s="8" t="n">
        <f aca="false">Q380*Assumptions!$C$57</f>
        <v>0</v>
      </c>
      <c r="R381" s="8" t="n">
        <f aca="false">R380*Assumptions!$C$57</f>
        <v>0</v>
      </c>
      <c r="S381" s="8" t="n">
        <f aca="false">S380*Assumptions!$C$57</f>
        <v>0</v>
      </c>
      <c r="T381" s="8" t="n">
        <f aca="false">T380*Assumptions!$C$57</f>
        <v>0</v>
      </c>
      <c r="U381" s="8" t="n">
        <f aca="false">U380*Assumptions!$C$57</f>
        <v>0</v>
      </c>
      <c r="V381" s="8" t="n">
        <f aca="false">V380*Assumptions!$C$57</f>
        <v>0</v>
      </c>
      <c r="W381" s="8" t="n">
        <f aca="false">W380*Assumptions!$C$57</f>
        <v>0</v>
      </c>
      <c r="X381" s="8" t="n">
        <f aca="false">X380*Assumptions!$C$57</f>
        <v>0</v>
      </c>
      <c r="Y381" s="8" t="n">
        <f aca="false">Y380*Assumptions!$C$57</f>
        <v>0</v>
      </c>
      <c r="Z381" s="8" t="n">
        <f aca="false">Z380*Assumptions!$C$57</f>
        <v>0</v>
      </c>
      <c r="AA381" s="8" t="n">
        <f aca="false">AA380*Assumptions!$C$57</f>
        <v>0</v>
      </c>
      <c r="AB381" s="8" t="n">
        <f aca="false">AB380*Assumptions!$C$57</f>
        <v>3625</v>
      </c>
      <c r="AC381" s="8" t="n">
        <f aca="false">AC380*Assumptions!$C$57</f>
        <v>0</v>
      </c>
      <c r="AD381" s="8" t="n">
        <f aca="false">AD380*Assumptions!$C$57</f>
        <v>0</v>
      </c>
      <c r="AE381" s="8" t="n">
        <f aca="false">AE380*Assumptions!$C$57</f>
        <v>0</v>
      </c>
      <c r="AF381" s="8" t="n">
        <f aca="false">AF380*Assumptions!$C$57</f>
        <v>0</v>
      </c>
      <c r="AG381" s="8" t="n">
        <f aca="false">AG380*Assumptions!$C$57</f>
        <v>3625</v>
      </c>
      <c r="AH381" s="8" t="n">
        <f aca="false">AH380*Assumptions!$C$57</f>
        <v>0</v>
      </c>
      <c r="AI381" s="8" t="n">
        <f aca="false">AI380*Assumptions!$C$57</f>
        <v>0</v>
      </c>
      <c r="AJ381" s="8" t="n">
        <f aca="false">AJ380*Assumptions!$C$57</f>
        <v>3625</v>
      </c>
      <c r="AK381" s="8" t="n">
        <f aca="false">AK380*Assumptions!$C$57</f>
        <v>0</v>
      </c>
      <c r="AL381" s="8" t="n">
        <f aca="false">AL380*Assumptions!$C$57</f>
        <v>0</v>
      </c>
      <c r="AM381" s="45" t="n">
        <f aca="false">SUMIF($C$6:$AL$6,1,C381:AL381)</f>
        <v>3625</v>
      </c>
      <c r="AN381" s="45" t="n">
        <f aca="false">SUMIF($C$6:$AL$6,2,C381:AL381)</f>
        <v>0</v>
      </c>
      <c r="AO381" s="45" t="n">
        <f aca="false">SUMIF($C$6:$AL$6,3,C381:AL381)</f>
        <v>10875</v>
      </c>
      <c r="AP381" s="45" t="n">
        <f aca="false">SUM(C381:AL381)</f>
        <v>14500</v>
      </c>
    </row>
    <row r="382" customFormat="false" ht="15" hidden="false" customHeight="false" outlineLevel="0" collapsed="false">
      <c r="A382" s="7" t="s">
        <v>792</v>
      </c>
      <c r="B382" s="9" t="s">
        <v>231</v>
      </c>
      <c r="C382" s="52" t="n">
        <f aca="false">C380</f>
        <v>0</v>
      </c>
      <c r="D382" s="52" t="n">
        <f aca="false">D380+C382</f>
        <v>0</v>
      </c>
      <c r="E382" s="52" t="n">
        <f aca="false">E380+D382</f>
        <v>0</v>
      </c>
      <c r="F382" s="52" t="n">
        <f aca="false">F380+E382</f>
        <v>0</v>
      </c>
      <c r="G382" s="52" t="n">
        <f aca="false">G380+F382</f>
        <v>0</v>
      </c>
      <c r="H382" s="52" t="n">
        <f aca="false">H380+G382</f>
        <v>0</v>
      </c>
      <c r="I382" s="52" t="n">
        <f aca="false">I380+H382</f>
        <v>0</v>
      </c>
      <c r="J382" s="52" t="n">
        <f aca="false">J380+I382</f>
        <v>1000</v>
      </c>
      <c r="K382" s="52" t="n">
        <f aca="false">K380+J382</f>
        <v>1000</v>
      </c>
      <c r="L382" s="52" t="n">
        <f aca="false">L380+K382</f>
        <v>1000</v>
      </c>
      <c r="M382" s="52" t="n">
        <f aca="false">M380+L382</f>
        <v>1000</v>
      </c>
      <c r="N382" s="52" t="n">
        <f aca="false">N380+M382</f>
        <v>1000</v>
      </c>
      <c r="O382" s="52" t="n">
        <f aca="false">O380+N382</f>
        <v>1000</v>
      </c>
      <c r="P382" s="52" t="n">
        <f aca="false">P380+O382</f>
        <v>1000</v>
      </c>
      <c r="Q382" s="52" t="n">
        <f aca="false">Q380+P382</f>
        <v>1000</v>
      </c>
      <c r="R382" s="52" t="n">
        <f aca="false">R380+Q382</f>
        <v>1000</v>
      </c>
      <c r="S382" s="52" t="n">
        <f aca="false">S380+R382</f>
        <v>1000</v>
      </c>
      <c r="T382" s="52" t="n">
        <f aca="false">T380+S382</f>
        <v>1000</v>
      </c>
      <c r="U382" s="52" t="n">
        <f aca="false">U380+T382</f>
        <v>1000</v>
      </c>
      <c r="V382" s="52" t="n">
        <f aca="false">V380+U382</f>
        <v>1000</v>
      </c>
      <c r="W382" s="52" t="n">
        <f aca="false">W380+V382</f>
        <v>1000</v>
      </c>
      <c r="X382" s="52" t="n">
        <f aca="false">X380+W382</f>
        <v>1000</v>
      </c>
      <c r="Y382" s="52" t="n">
        <f aca="false">Y380+X382</f>
        <v>1000</v>
      </c>
      <c r="Z382" s="52" t="n">
        <f aca="false">Z380+Y382</f>
        <v>1000</v>
      </c>
      <c r="AA382" s="52" t="n">
        <f aca="false">AA380+Z382</f>
        <v>1000</v>
      </c>
      <c r="AB382" s="52" t="n">
        <f aca="false">AB380+AA382</f>
        <v>2000</v>
      </c>
      <c r="AC382" s="52" t="n">
        <f aca="false">AC380+AB382</f>
        <v>2000</v>
      </c>
      <c r="AD382" s="52" t="n">
        <f aca="false">AD380+AC382</f>
        <v>2000</v>
      </c>
      <c r="AE382" s="52" t="n">
        <f aca="false">AE380+AD382</f>
        <v>2000</v>
      </c>
      <c r="AF382" s="52" t="n">
        <f aca="false">AF380+AE382</f>
        <v>2000</v>
      </c>
      <c r="AG382" s="52" t="n">
        <f aca="false">AG380+AF382</f>
        <v>3000</v>
      </c>
      <c r="AH382" s="52" t="n">
        <f aca="false">AH380+AG382</f>
        <v>3000</v>
      </c>
      <c r="AI382" s="52" t="n">
        <f aca="false">AI380+AH382</f>
        <v>3000</v>
      </c>
      <c r="AJ382" s="52" t="n">
        <f aca="false">AJ380+AI382</f>
        <v>4000</v>
      </c>
      <c r="AK382" s="52" t="n">
        <f aca="false">AK380+AJ382</f>
        <v>4000</v>
      </c>
      <c r="AL382" s="52" t="n">
        <f aca="false">AL380+AK382</f>
        <v>4000</v>
      </c>
      <c r="AM382" s="53" t="n">
        <f aca="false">N382</f>
        <v>1000</v>
      </c>
      <c r="AN382" s="53" t="n">
        <f aca="false">Z382</f>
        <v>1000</v>
      </c>
      <c r="AO382" s="53" t="n">
        <f aca="false">AL382</f>
        <v>4000</v>
      </c>
      <c r="AP382" s="53" t="n">
        <f aca="false">AL382</f>
        <v>4000</v>
      </c>
    </row>
    <row r="383" customFormat="false" ht="15" hidden="false" customHeight="false" outlineLevel="0" collapsed="false">
      <c r="A383" s="7" t="s">
        <v>793</v>
      </c>
      <c r="B383" s="9" t="s">
        <v>231</v>
      </c>
      <c r="C383" s="52" t="n">
        <f aca="false">C382-C379</f>
        <v>0</v>
      </c>
      <c r="D383" s="52" t="n">
        <f aca="false">D382-D379</f>
        <v>0</v>
      </c>
      <c r="E383" s="52" t="n">
        <f aca="false">E382-E379</f>
        <v>0</v>
      </c>
      <c r="F383" s="52" t="n">
        <f aca="false">F382-F379</f>
        <v>0</v>
      </c>
      <c r="G383" s="52" t="n">
        <f aca="false">G382-G379</f>
        <v>-2.925</v>
      </c>
      <c r="H383" s="52" t="n">
        <f aca="false">H382-H379</f>
        <v>-9.815</v>
      </c>
      <c r="I383" s="52" t="n">
        <f aca="false">I382-I379</f>
        <v>-21.317855</v>
      </c>
      <c r="J383" s="52" t="n">
        <f aca="false">J382-J379</f>
        <v>963.9730974</v>
      </c>
      <c r="K383" s="52" t="n">
        <f aca="false">K382-K379</f>
        <v>943.4578468</v>
      </c>
      <c r="L383" s="52" t="n">
        <f aca="false">L382-L379</f>
        <v>918.66721797496</v>
      </c>
      <c r="M383" s="52" t="n">
        <f aca="false">M382-M379</f>
        <v>895.155263689317</v>
      </c>
      <c r="N383" s="52" t="n">
        <f aca="false">N382-N379</f>
        <v>870.232592146535</v>
      </c>
      <c r="O383" s="52" t="n">
        <f aca="false">O382-O379</f>
        <v>840.985104071329</v>
      </c>
      <c r="P383" s="52" t="n">
        <f aca="false">P382-P379</f>
        <v>798.961081731692</v>
      </c>
      <c r="Q383" s="52" t="n">
        <f aca="false">Q382-Q379</f>
        <v>753.138734295971</v>
      </c>
      <c r="R383" s="52" t="n">
        <f aca="false">R382-R379</f>
        <v>708.589229844577</v>
      </c>
      <c r="S383" s="52" t="n">
        <f aca="false">S382-S379</f>
        <v>674.909804479322</v>
      </c>
      <c r="T383" s="52" t="n">
        <f aca="false">T382-T379</f>
        <v>635.617141553192</v>
      </c>
      <c r="U383" s="52" t="n">
        <f aca="false">U382-U379</f>
        <v>592.296980677133</v>
      </c>
      <c r="V383" s="52" t="n">
        <f aca="false">V382-V379</f>
        <v>551.142827844878</v>
      </c>
      <c r="W383" s="52" t="n">
        <f aca="false">W382-W379</f>
        <v>505.656658925016</v>
      </c>
      <c r="X383" s="52" t="n">
        <f aca="false">X382-X379</f>
        <v>446.034205427455</v>
      </c>
      <c r="Y383" s="52" t="n">
        <f aca="false">Y382-Y379</f>
        <v>375.86797937843</v>
      </c>
      <c r="Z383" s="52" t="n">
        <f aca="false">Z382-Z379</f>
        <v>286.495642026953</v>
      </c>
      <c r="AA383" s="52" t="n">
        <f aca="false">AA382-AA379</f>
        <v>163.168234146459</v>
      </c>
      <c r="AB383" s="52" t="n">
        <f aca="false">AB382-AB379</f>
        <v>957.899086677006</v>
      </c>
      <c r="AC383" s="52" t="n">
        <f aca="false">AC382-AC379</f>
        <v>701.698679641594</v>
      </c>
      <c r="AD383" s="52" t="n">
        <f aca="false">AD382-AD379</f>
        <v>449.094432129525</v>
      </c>
      <c r="AE383" s="52" t="n">
        <f aca="false">AE382-AE379</f>
        <v>255.336281166651</v>
      </c>
      <c r="AF383" s="52" t="n">
        <f aca="false">AF382-AF379</f>
        <v>25.8786325218548</v>
      </c>
      <c r="AG383" s="52" t="n">
        <f aca="false">AG382-AG379</f>
        <v>768.974540268926</v>
      </c>
      <c r="AH383" s="52" t="n">
        <f aca="false">AH382-AH379</f>
        <v>521.018648564729</v>
      </c>
      <c r="AI383" s="52" t="n">
        <f aca="false">AI382-AI379</f>
        <v>242.467098229294</v>
      </c>
      <c r="AJ383" s="52" t="n">
        <f aca="false">AJ382-AJ379</f>
        <v>959.936649513662</v>
      </c>
      <c r="AK383" s="52" t="n">
        <f aca="false">AK382-AK379</f>
        <v>689.93053528995</v>
      </c>
      <c r="AL383" s="52" t="n">
        <f aca="false">AL382-AL379</f>
        <v>401.421676886947</v>
      </c>
      <c r="AM383" s="53" t="n">
        <f aca="false">N383</f>
        <v>870.232592146535</v>
      </c>
      <c r="AN383" s="53" t="n">
        <f aca="false">Z383</f>
        <v>286.495642026953</v>
      </c>
      <c r="AO383" s="53" t="n">
        <f aca="false">AL383</f>
        <v>401.421676886947</v>
      </c>
      <c r="AP383" s="53" t="n">
        <f aca="false">AL383</f>
        <v>401.421676886947</v>
      </c>
    </row>
    <row r="384" customFormat="false" ht="15" hidden="false" customHeight="false" outlineLevel="0" collapsed="false">
      <c r="A384" s="5" t="s">
        <v>794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</row>
    <row r="385" customFormat="false" ht="15" hidden="false" customHeight="false" outlineLevel="0" collapsed="false">
      <c r="A385" s="7" t="s">
        <v>795</v>
      </c>
      <c r="B385" s="9" t="s">
        <v>63</v>
      </c>
      <c r="C385" s="42" t="str">
        <f aca="false">IF(C372&gt;=0,C$4,"")</f>
        <v/>
      </c>
      <c r="D385" s="42" t="str">
        <f aca="false">IF(D372&gt;=0,D$4,"")</f>
        <v/>
      </c>
      <c r="E385" s="42" t="str">
        <f aca="false">IF(E372&gt;=0,E$4,"")</f>
        <v/>
      </c>
      <c r="F385" s="42" t="str">
        <f aca="false">IF(F372&gt;=0,F$4,"")</f>
        <v/>
      </c>
      <c r="G385" s="42" t="str">
        <f aca="false">IF(G372&gt;=0,G$4,"")</f>
        <v/>
      </c>
      <c r="H385" s="42" t="n">
        <f aca="false">IF(H372&gt;=0,H$4,"")</f>
        <v>6</v>
      </c>
      <c r="I385" s="42" t="str">
        <f aca="false">IF(I372&gt;=0,I$4,"")</f>
        <v/>
      </c>
      <c r="J385" s="42" t="n">
        <f aca="false">IF(J372&gt;=0,J$4,"")</f>
        <v>8</v>
      </c>
      <c r="K385" s="42" t="n">
        <f aca="false">IF(K372&gt;=0,K$4,"")</f>
        <v>9</v>
      </c>
      <c r="L385" s="42" t="n">
        <f aca="false">IF(L372&gt;=0,L$4,"")</f>
        <v>10</v>
      </c>
      <c r="M385" s="42" t="n">
        <f aca="false">IF(M372&gt;=0,M$4,"")</f>
        <v>11</v>
      </c>
      <c r="N385" s="42" t="n">
        <f aca="false">IF(N372&gt;=0,N$4,"")</f>
        <v>12</v>
      </c>
      <c r="O385" s="42" t="n">
        <f aca="false">IF(O372&gt;=0,O$4,"")</f>
        <v>13</v>
      </c>
      <c r="P385" s="42" t="n">
        <f aca="false">IF(P372&gt;=0,P$4,"")</f>
        <v>14</v>
      </c>
      <c r="Q385" s="42" t="n">
        <f aca="false">IF(Q372&gt;=0,Q$4,"")</f>
        <v>15</v>
      </c>
      <c r="R385" s="42" t="n">
        <f aca="false">IF(R372&gt;=0,R$4,"")</f>
        <v>16</v>
      </c>
      <c r="S385" s="42" t="n">
        <f aca="false">IF(S372&gt;=0,S$4,"")</f>
        <v>17</v>
      </c>
      <c r="T385" s="42" t="n">
        <f aca="false">IF(T372&gt;=0,T$4,"")</f>
        <v>18</v>
      </c>
      <c r="U385" s="42" t="n">
        <f aca="false">IF(U372&gt;=0,U$4,"")</f>
        <v>19</v>
      </c>
      <c r="V385" s="42" t="n">
        <f aca="false">IF(V372&gt;=0,V$4,"")</f>
        <v>20</v>
      </c>
      <c r="W385" s="42" t="n">
        <f aca="false">IF(W372&gt;=0,W$4,"")</f>
        <v>21</v>
      </c>
      <c r="X385" s="42" t="n">
        <f aca="false">IF(X372&gt;=0,X$4,"")</f>
        <v>22</v>
      </c>
      <c r="Y385" s="42" t="n">
        <f aca="false">IF(Y372&gt;=0,Y$4,"")</f>
        <v>23</v>
      </c>
      <c r="Z385" s="42" t="n">
        <f aca="false">IF(Z372&gt;=0,Z$4,"")</f>
        <v>24</v>
      </c>
      <c r="AA385" s="42" t="n">
        <f aca="false">IF(AA372&gt;=0,AA$4,"")</f>
        <v>25</v>
      </c>
      <c r="AB385" s="42" t="n">
        <f aca="false">IF(AB372&gt;=0,AB$4,"")</f>
        <v>26</v>
      </c>
      <c r="AC385" s="42" t="n">
        <f aca="false">IF(AC372&gt;=0,AC$4,"")</f>
        <v>27</v>
      </c>
      <c r="AD385" s="42" t="n">
        <f aca="false">IF(AD372&gt;=0,AD$4,"")</f>
        <v>28</v>
      </c>
      <c r="AE385" s="42" t="n">
        <f aca="false">IF(AE372&gt;=0,AE$4,"")</f>
        <v>29</v>
      </c>
      <c r="AF385" s="42" t="n">
        <f aca="false">IF(AF372&gt;=0,AF$4,"")</f>
        <v>30</v>
      </c>
      <c r="AG385" s="42" t="n">
        <f aca="false">IF(AG372&gt;=0,AG$4,"")</f>
        <v>31</v>
      </c>
      <c r="AH385" s="42" t="n">
        <f aca="false">IF(AH372&gt;=0,AH$4,"")</f>
        <v>32</v>
      </c>
      <c r="AI385" s="42" t="n">
        <f aca="false">IF(AI372&gt;=0,AI$4,"")</f>
        <v>33</v>
      </c>
      <c r="AJ385" s="42" t="n">
        <f aca="false">IF(AJ372&gt;=0,AJ$4,"")</f>
        <v>34</v>
      </c>
      <c r="AK385" s="42" t="n">
        <f aca="false">IF(AK372&gt;=0,AK$4,"")</f>
        <v>35</v>
      </c>
      <c r="AL385" s="42" t="n">
        <f aca="false">IF(AL372&gt;=0,AL$4,"")</f>
        <v>36</v>
      </c>
    </row>
    <row r="386" customFormat="false" ht="15" hidden="false" customHeight="false" outlineLevel="0" collapsed="false">
      <c r="A386" s="7" t="s">
        <v>796</v>
      </c>
      <c r="B386" s="9" t="s">
        <v>63</v>
      </c>
      <c r="C386" s="42" t="str">
        <f aca="false">IF(COUNTIF(C372:$AL372,"&lt;0")=0,C$4,"")</f>
        <v/>
      </c>
      <c r="D386" s="42" t="str">
        <f aca="false">IF(COUNTIF(D372:$AL372,"&lt;0")=0,D$4,"")</f>
        <v/>
      </c>
      <c r="E386" s="42" t="str">
        <f aca="false">IF(COUNTIF(E372:$AL372,"&lt;0")=0,E$4,"")</f>
        <v/>
      </c>
      <c r="F386" s="42" t="str">
        <f aca="false">IF(COUNTIF(F372:$AL372,"&lt;0")=0,F$4,"")</f>
        <v/>
      </c>
      <c r="G386" s="42" t="str">
        <f aca="false">IF(COUNTIF(G372:$AL372,"&lt;0")=0,G$4,"")</f>
        <v/>
      </c>
      <c r="H386" s="42" t="str">
        <f aca="false">IF(COUNTIF(H372:$AL372,"&lt;0")=0,H$4,"")</f>
        <v/>
      </c>
      <c r="I386" s="42" t="str">
        <f aca="false">IF(COUNTIF(I372:$AL372,"&lt;0")=0,I$4,"")</f>
        <v/>
      </c>
      <c r="J386" s="42" t="n">
        <f aca="false">IF(COUNTIF(J372:$AL372,"&lt;0")=0,J$4,"")</f>
        <v>8</v>
      </c>
      <c r="K386" s="42" t="n">
        <f aca="false">IF(COUNTIF(K372:$AL372,"&lt;0")=0,K$4,"")</f>
        <v>9</v>
      </c>
      <c r="L386" s="42" t="n">
        <f aca="false">IF(COUNTIF(L372:$AL372,"&lt;0")=0,L$4,"")</f>
        <v>10</v>
      </c>
      <c r="M386" s="42" t="n">
        <f aca="false">IF(COUNTIF(M372:$AL372,"&lt;0")=0,M$4,"")</f>
        <v>11</v>
      </c>
      <c r="N386" s="42" t="n">
        <f aca="false">IF(COUNTIF(N372:$AL372,"&lt;0")=0,N$4,"")</f>
        <v>12</v>
      </c>
      <c r="O386" s="42" t="n">
        <f aca="false">IF(COUNTIF(O372:$AL372,"&lt;0")=0,O$4,"")</f>
        <v>13</v>
      </c>
      <c r="P386" s="42" t="n">
        <f aca="false">IF(COUNTIF(P372:$AL372,"&lt;0")=0,P$4,"")</f>
        <v>14</v>
      </c>
      <c r="Q386" s="42" t="n">
        <f aca="false">IF(COUNTIF(Q372:$AL372,"&lt;0")=0,Q$4,"")</f>
        <v>15</v>
      </c>
      <c r="R386" s="42" t="n">
        <f aca="false">IF(COUNTIF(R372:$AL372,"&lt;0")=0,R$4,"")</f>
        <v>16</v>
      </c>
      <c r="S386" s="42" t="n">
        <f aca="false">IF(COUNTIF(S372:$AL372,"&lt;0")=0,S$4,"")</f>
        <v>17</v>
      </c>
      <c r="T386" s="42" t="n">
        <f aca="false">IF(COUNTIF(T372:$AL372,"&lt;0")=0,T$4,"")</f>
        <v>18</v>
      </c>
      <c r="U386" s="42" t="n">
        <f aca="false">IF(COUNTIF(U372:$AL372,"&lt;0")=0,U$4,"")</f>
        <v>19</v>
      </c>
      <c r="V386" s="42" t="n">
        <f aca="false">IF(COUNTIF(V372:$AL372,"&lt;0")=0,V$4,"")</f>
        <v>20</v>
      </c>
      <c r="W386" s="42" t="n">
        <f aca="false">IF(COUNTIF(W372:$AL372,"&lt;0")=0,W$4,"")</f>
        <v>21</v>
      </c>
      <c r="X386" s="42" t="n">
        <f aca="false">IF(COUNTIF(X372:$AL372,"&lt;0")=0,X$4,"")</f>
        <v>22</v>
      </c>
      <c r="Y386" s="42" t="n">
        <f aca="false">IF(COUNTIF(Y372:$AL372,"&lt;0")=0,Y$4,"")</f>
        <v>23</v>
      </c>
      <c r="Z386" s="42" t="n">
        <f aca="false">IF(COUNTIF(Z372:$AL372,"&lt;0")=0,Z$4,"")</f>
        <v>24</v>
      </c>
      <c r="AA386" s="42" t="n">
        <f aca="false">IF(COUNTIF(AA372:$AL372,"&lt;0")=0,AA$4,"")</f>
        <v>25</v>
      </c>
      <c r="AB386" s="42" t="n">
        <f aca="false">IF(COUNTIF(AB372:$AL372,"&lt;0")=0,AB$4,"")</f>
        <v>26</v>
      </c>
      <c r="AC386" s="42" t="n">
        <f aca="false">IF(COUNTIF(AC372:$AL372,"&lt;0")=0,AC$4,"")</f>
        <v>27</v>
      </c>
      <c r="AD386" s="42" t="n">
        <f aca="false">IF(COUNTIF(AD372:$AL372,"&lt;0")=0,AD$4,"")</f>
        <v>28</v>
      </c>
      <c r="AE386" s="42" t="n">
        <f aca="false">IF(COUNTIF(AE372:$AL372,"&lt;0")=0,AE$4,"")</f>
        <v>29</v>
      </c>
      <c r="AF386" s="42" t="n">
        <f aca="false">IF(COUNTIF(AF372:$AL372,"&lt;0")=0,AF$4,"")</f>
        <v>30</v>
      </c>
      <c r="AG386" s="42" t="n">
        <f aca="false">IF(COUNTIF(AG372:$AL372,"&lt;0")=0,AG$4,"")</f>
        <v>31</v>
      </c>
      <c r="AH386" s="42" t="n">
        <f aca="false">IF(COUNTIF(AH372:$AL372,"&lt;0")=0,AH$4,"")</f>
        <v>32</v>
      </c>
      <c r="AI386" s="42" t="n">
        <f aca="false">IF(COUNTIF(AI372:$AL372,"&lt;0")=0,AI$4,"")</f>
        <v>33</v>
      </c>
      <c r="AJ386" s="42" t="n">
        <f aca="false">IF(COUNTIF(AJ372:$AL372,"&lt;0")=0,AJ$4,"")</f>
        <v>34</v>
      </c>
      <c r="AK386" s="42" t="n">
        <f aca="false">IF(COUNTIF(AK372:$AL372,"&lt;0")=0,AK$4,"")</f>
        <v>35</v>
      </c>
      <c r="AL386" s="42" t="n">
        <f aca="false">IF(COUNTIF(AL372:$AL372,"&lt;0")=0,AL$4,"")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AP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"/>
    <col collapsed="false" customWidth="true" hidden="false" outlineLevel="0" max="38" min="3" style="0" width="10"/>
    <col collapsed="false" customWidth="true" hidden="false" outlineLevel="0" max="42" min="39" style="0" width="12"/>
  </cols>
  <sheetData>
    <row r="1" customFormat="false" ht="17.35" hidden="false" customHeight="false" outlineLevel="0" collapsed="false">
      <c r="A1" s="17" t="s">
        <v>799</v>
      </c>
    </row>
    <row r="2" customFormat="false" ht="27.75" hidden="false" customHeight="true" outlineLevel="0" collapsed="false">
      <c r="A2" s="2" t="s">
        <v>800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10" t="s">
        <v>732</v>
      </c>
      <c r="C4" s="37" t="n">
        <f aca="false">'36-Month Forecast'!C4</f>
        <v>1</v>
      </c>
      <c r="D4" s="37" t="n">
        <f aca="false">'36-Month Forecast'!D4</f>
        <v>2</v>
      </c>
      <c r="E4" s="37" t="n">
        <f aca="false">'36-Month Forecast'!E4</f>
        <v>3</v>
      </c>
      <c r="F4" s="37" t="n">
        <f aca="false">'36-Month Forecast'!F4</f>
        <v>4</v>
      </c>
      <c r="G4" s="37" t="n">
        <f aca="false">'36-Month Forecast'!G4</f>
        <v>5</v>
      </c>
      <c r="H4" s="37" t="n">
        <f aca="false">'36-Month Forecast'!H4</f>
        <v>6</v>
      </c>
      <c r="I4" s="37" t="n">
        <f aca="false">'36-Month Forecast'!I4</f>
        <v>7</v>
      </c>
      <c r="J4" s="37" t="n">
        <f aca="false">'36-Month Forecast'!J4</f>
        <v>8</v>
      </c>
      <c r="K4" s="37" t="n">
        <f aca="false">'36-Month Forecast'!K4</f>
        <v>9</v>
      </c>
      <c r="L4" s="37" t="n">
        <f aca="false">'36-Month Forecast'!L4</f>
        <v>10</v>
      </c>
      <c r="M4" s="37" t="n">
        <f aca="false">'36-Month Forecast'!M4</f>
        <v>11</v>
      </c>
      <c r="N4" s="37" t="n">
        <f aca="false">'36-Month Forecast'!N4</f>
        <v>12</v>
      </c>
      <c r="O4" s="37" t="n">
        <f aca="false">'36-Month Forecast'!O4</f>
        <v>13</v>
      </c>
      <c r="P4" s="37" t="n">
        <f aca="false">'36-Month Forecast'!P4</f>
        <v>14</v>
      </c>
      <c r="Q4" s="37" t="n">
        <f aca="false">'36-Month Forecast'!Q4</f>
        <v>15</v>
      </c>
      <c r="R4" s="37" t="n">
        <f aca="false">'36-Month Forecast'!R4</f>
        <v>16</v>
      </c>
      <c r="S4" s="37" t="n">
        <f aca="false">'36-Month Forecast'!S4</f>
        <v>17</v>
      </c>
      <c r="T4" s="37" t="n">
        <f aca="false">'36-Month Forecast'!T4</f>
        <v>18</v>
      </c>
      <c r="U4" s="37" t="n">
        <f aca="false">'36-Month Forecast'!U4</f>
        <v>19</v>
      </c>
      <c r="V4" s="37" t="n">
        <f aca="false">'36-Month Forecast'!V4</f>
        <v>20</v>
      </c>
      <c r="W4" s="37" t="n">
        <f aca="false">'36-Month Forecast'!W4</f>
        <v>21</v>
      </c>
      <c r="X4" s="37" t="n">
        <f aca="false">'36-Month Forecast'!X4</f>
        <v>22</v>
      </c>
      <c r="Y4" s="37" t="n">
        <f aca="false">'36-Month Forecast'!Y4</f>
        <v>23</v>
      </c>
      <c r="Z4" s="37" t="n">
        <f aca="false">'36-Month Forecast'!Z4</f>
        <v>24</v>
      </c>
      <c r="AA4" s="37" t="n">
        <f aca="false">'36-Month Forecast'!AA4</f>
        <v>25</v>
      </c>
      <c r="AB4" s="37" t="n">
        <f aca="false">'36-Month Forecast'!AB4</f>
        <v>26</v>
      </c>
      <c r="AC4" s="37" t="n">
        <f aca="false">'36-Month Forecast'!AC4</f>
        <v>27</v>
      </c>
      <c r="AD4" s="37" t="n">
        <f aca="false">'36-Month Forecast'!AD4</f>
        <v>28</v>
      </c>
      <c r="AE4" s="37" t="n">
        <f aca="false">'36-Month Forecast'!AE4</f>
        <v>29</v>
      </c>
      <c r="AF4" s="37" t="n">
        <f aca="false">'36-Month Forecast'!AF4</f>
        <v>30</v>
      </c>
      <c r="AG4" s="37" t="n">
        <f aca="false">'36-Month Forecast'!AG4</f>
        <v>31</v>
      </c>
      <c r="AH4" s="37" t="n">
        <f aca="false">'36-Month Forecast'!AH4</f>
        <v>32</v>
      </c>
      <c r="AI4" s="37" t="n">
        <f aca="false">'36-Month Forecast'!AI4</f>
        <v>33</v>
      </c>
      <c r="AJ4" s="37" t="n">
        <f aca="false">'36-Month Forecast'!AJ4</f>
        <v>34</v>
      </c>
      <c r="AK4" s="37" t="n">
        <f aca="false">'36-Month Forecast'!AK4</f>
        <v>35</v>
      </c>
      <c r="AL4" s="37" t="n">
        <f aca="false">'36-Month Forecast'!AL4</f>
        <v>36</v>
      </c>
    </row>
    <row r="5" customFormat="false" ht="15" hidden="false" customHeight="false" outlineLevel="0" collapsed="false">
      <c r="A5" s="10" t="s">
        <v>736</v>
      </c>
      <c r="C5" s="48" t="n">
        <f aca="false">'36-Month Forecast'!C5</f>
        <v>46296</v>
      </c>
      <c r="D5" s="48" t="n">
        <f aca="false">'36-Month Forecast'!D5</f>
        <v>46327</v>
      </c>
      <c r="E5" s="48" t="n">
        <f aca="false">'36-Month Forecast'!E5</f>
        <v>46357</v>
      </c>
      <c r="F5" s="48" t="n">
        <f aca="false">'36-Month Forecast'!F5</f>
        <v>46388</v>
      </c>
      <c r="G5" s="48" t="n">
        <f aca="false">'36-Month Forecast'!G5</f>
        <v>46419</v>
      </c>
      <c r="H5" s="48" t="n">
        <f aca="false">'36-Month Forecast'!H5</f>
        <v>46447</v>
      </c>
      <c r="I5" s="48" t="n">
        <f aca="false">'36-Month Forecast'!I5</f>
        <v>46478</v>
      </c>
      <c r="J5" s="48" t="n">
        <f aca="false">'36-Month Forecast'!J5</f>
        <v>46508</v>
      </c>
      <c r="K5" s="48" t="n">
        <f aca="false">'36-Month Forecast'!K5</f>
        <v>46539</v>
      </c>
      <c r="L5" s="48" t="n">
        <f aca="false">'36-Month Forecast'!L5</f>
        <v>46569</v>
      </c>
      <c r="M5" s="48" t="n">
        <f aca="false">'36-Month Forecast'!M5</f>
        <v>46600</v>
      </c>
      <c r="N5" s="48" t="n">
        <f aca="false">'36-Month Forecast'!N5</f>
        <v>46631</v>
      </c>
      <c r="O5" s="48" t="n">
        <f aca="false">'36-Month Forecast'!O5</f>
        <v>46661</v>
      </c>
      <c r="P5" s="48" t="n">
        <f aca="false">'36-Month Forecast'!P5</f>
        <v>46692</v>
      </c>
      <c r="Q5" s="48" t="n">
        <f aca="false">'36-Month Forecast'!Q5</f>
        <v>46722</v>
      </c>
      <c r="R5" s="48" t="n">
        <f aca="false">'36-Month Forecast'!R5</f>
        <v>46753</v>
      </c>
      <c r="S5" s="48" t="n">
        <f aca="false">'36-Month Forecast'!S5</f>
        <v>46784</v>
      </c>
      <c r="T5" s="48" t="n">
        <f aca="false">'36-Month Forecast'!T5</f>
        <v>46813</v>
      </c>
      <c r="U5" s="48" t="n">
        <f aca="false">'36-Month Forecast'!U5</f>
        <v>46844</v>
      </c>
      <c r="V5" s="48" t="n">
        <f aca="false">'36-Month Forecast'!V5</f>
        <v>46874</v>
      </c>
      <c r="W5" s="48" t="n">
        <f aca="false">'36-Month Forecast'!W5</f>
        <v>46905</v>
      </c>
      <c r="X5" s="48" t="n">
        <f aca="false">'36-Month Forecast'!X5</f>
        <v>46935</v>
      </c>
      <c r="Y5" s="48" t="n">
        <f aca="false">'36-Month Forecast'!Y5</f>
        <v>46966</v>
      </c>
      <c r="Z5" s="48" t="n">
        <f aca="false">'36-Month Forecast'!Z5</f>
        <v>46997</v>
      </c>
      <c r="AA5" s="48" t="n">
        <f aca="false">'36-Month Forecast'!AA5</f>
        <v>47027</v>
      </c>
      <c r="AB5" s="48" t="n">
        <f aca="false">'36-Month Forecast'!AB5</f>
        <v>47058</v>
      </c>
      <c r="AC5" s="48" t="n">
        <f aca="false">'36-Month Forecast'!AC5</f>
        <v>47088</v>
      </c>
      <c r="AD5" s="48" t="n">
        <f aca="false">'36-Month Forecast'!AD5</f>
        <v>47119</v>
      </c>
      <c r="AE5" s="48" t="n">
        <f aca="false">'36-Month Forecast'!AE5</f>
        <v>47150</v>
      </c>
      <c r="AF5" s="48" t="n">
        <f aca="false">'36-Month Forecast'!AF5</f>
        <v>47178</v>
      </c>
      <c r="AG5" s="48" t="n">
        <f aca="false">'36-Month Forecast'!AG5</f>
        <v>47209</v>
      </c>
      <c r="AH5" s="48" t="n">
        <f aca="false">'36-Month Forecast'!AH5</f>
        <v>47239</v>
      </c>
      <c r="AI5" s="48" t="n">
        <f aca="false">'36-Month Forecast'!AI5</f>
        <v>47270</v>
      </c>
      <c r="AJ5" s="48" t="n">
        <f aca="false">'36-Month Forecast'!AJ5</f>
        <v>47300</v>
      </c>
      <c r="AK5" s="48" t="n">
        <f aca="false">'36-Month Forecast'!AK5</f>
        <v>47331</v>
      </c>
      <c r="AL5" s="48" t="n">
        <f aca="false">'36-Month Forecast'!AL5</f>
        <v>47362</v>
      </c>
      <c r="AM5" s="4" t="s">
        <v>737</v>
      </c>
      <c r="AN5" s="4" t="s">
        <v>650</v>
      </c>
      <c r="AO5" s="4" t="s">
        <v>651</v>
      </c>
      <c r="AP5" s="4" t="s">
        <v>738</v>
      </c>
    </row>
    <row r="6" customFormat="false" ht="15" hidden="false" customHeight="false" outlineLevel="0" collapsed="false">
      <c r="A6" s="10" t="s">
        <v>739</v>
      </c>
      <c r="C6" s="37" t="n">
        <f aca="false">'36-Month Forecast'!C6</f>
        <v>1</v>
      </c>
      <c r="D6" s="37" t="n">
        <f aca="false">'36-Month Forecast'!D6</f>
        <v>1</v>
      </c>
      <c r="E6" s="37" t="n">
        <f aca="false">'36-Month Forecast'!E6</f>
        <v>1</v>
      </c>
      <c r="F6" s="37" t="n">
        <f aca="false">'36-Month Forecast'!F6</f>
        <v>1</v>
      </c>
      <c r="G6" s="37" t="n">
        <f aca="false">'36-Month Forecast'!G6</f>
        <v>1</v>
      </c>
      <c r="H6" s="37" t="n">
        <f aca="false">'36-Month Forecast'!H6</f>
        <v>1</v>
      </c>
      <c r="I6" s="37" t="n">
        <f aca="false">'36-Month Forecast'!I6</f>
        <v>1</v>
      </c>
      <c r="J6" s="37" t="n">
        <f aca="false">'36-Month Forecast'!J6</f>
        <v>1</v>
      </c>
      <c r="K6" s="37" t="n">
        <f aca="false">'36-Month Forecast'!K6</f>
        <v>1</v>
      </c>
      <c r="L6" s="37" t="n">
        <f aca="false">'36-Month Forecast'!L6</f>
        <v>1</v>
      </c>
      <c r="M6" s="37" t="n">
        <f aca="false">'36-Month Forecast'!M6</f>
        <v>1</v>
      </c>
      <c r="N6" s="37" t="n">
        <f aca="false">'36-Month Forecast'!N6</f>
        <v>1</v>
      </c>
      <c r="O6" s="37" t="n">
        <f aca="false">'36-Month Forecast'!O6</f>
        <v>2</v>
      </c>
      <c r="P6" s="37" t="n">
        <f aca="false">'36-Month Forecast'!P6</f>
        <v>2</v>
      </c>
      <c r="Q6" s="37" t="n">
        <f aca="false">'36-Month Forecast'!Q6</f>
        <v>2</v>
      </c>
      <c r="R6" s="37" t="n">
        <f aca="false">'36-Month Forecast'!R6</f>
        <v>2</v>
      </c>
      <c r="S6" s="37" t="n">
        <f aca="false">'36-Month Forecast'!S6</f>
        <v>2</v>
      </c>
      <c r="T6" s="37" t="n">
        <f aca="false">'36-Month Forecast'!T6</f>
        <v>2</v>
      </c>
      <c r="U6" s="37" t="n">
        <f aca="false">'36-Month Forecast'!U6</f>
        <v>2</v>
      </c>
      <c r="V6" s="37" t="n">
        <f aca="false">'36-Month Forecast'!V6</f>
        <v>2</v>
      </c>
      <c r="W6" s="37" t="n">
        <f aca="false">'36-Month Forecast'!W6</f>
        <v>2</v>
      </c>
      <c r="X6" s="37" t="n">
        <f aca="false">'36-Month Forecast'!X6</f>
        <v>2</v>
      </c>
      <c r="Y6" s="37" t="n">
        <f aca="false">'36-Month Forecast'!Y6</f>
        <v>2</v>
      </c>
      <c r="Z6" s="37" t="n">
        <f aca="false">'36-Month Forecast'!Z6</f>
        <v>2</v>
      </c>
      <c r="AA6" s="37" t="n">
        <f aca="false">'36-Month Forecast'!AA6</f>
        <v>3</v>
      </c>
      <c r="AB6" s="37" t="n">
        <f aca="false">'36-Month Forecast'!AB6</f>
        <v>3</v>
      </c>
      <c r="AC6" s="37" t="n">
        <f aca="false">'36-Month Forecast'!AC6</f>
        <v>3</v>
      </c>
      <c r="AD6" s="37" t="n">
        <f aca="false">'36-Month Forecast'!AD6</f>
        <v>3</v>
      </c>
      <c r="AE6" s="37" t="n">
        <f aca="false">'36-Month Forecast'!AE6</f>
        <v>3</v>
      </c>
      <c r="AF6" s="37" t="n">
        <f aca="false">'36-Month Forecast'!AF6</f>
        <v>3</v>
      </c>
      <c r="AG6" s="37" t="n">
        <f aca="false">'36-Month Forecast'!AG6</f>
        <v>3</v>
      </c>
      <c r="AH6" s="37" t="n">
        <f aca="false">'36-Month Forecast'!AH6</f>
        <v>3</v>
      </c>
      <c r="AI6" s="37" t="n">
        <f aca="false">'36-Month Forecast'!AI6</f>
        <v>3</v>
      </c>
      <c r="AJ6" s="37" t="n">
        <f aca="false">'36-Month Forecast'!AJ6</f>
        <v>3</v>
      </c>
      <c r="AK6" s="37" t="n">
        <f aca="false">'36-Month Forecast'!AK6</f>
        <v>3</v>
      </c>
      <c r="AL6" s="37" t="n">
        <f aca="false">'36-Month Forecast'!AL6</f>
        <v>3</v>
      </c>
    </row>
    <row r="8" customFormat="false" ht="15" hidden="false" customHeight="false" outlineLevel="0" collapsed="false">
      <c r="A8" s="3" t="s">
        <v>742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customFormat="false" ht="15" hidden="false" customHeight="false" outlineLevel="0" collapsed="false">
      <c r="A9" s="7" t="s">
        <v>801</v>
      </c>
      <c r="C9" s="8" t="n">
        <f aca="false">IF(C$4-Assumptions!$C$69&gt;=1,INDEX('36-Month Forecast'!$C$24:$AL$24,1,C$4-Assumptions!$C$69)+INDEX('36-Month Forecast'!$C$21:$AL$21,1,C$4-Assumptions!$C$69)*'Unit Economics'!$H$50,0)</f>
        <v>4.440838737875</v>
      </c>
      <c r="D9" s="8" t="n">
        <f aca="false">IF(D$4-Assumptions!$C$69&gt;=1,INDEX('36-Month Forecast'!$C$24:$AL$24,1,D$4-Assumptions!$C$69)+INDEX('36-Month Forecast'!$C$21:$AL$21,1,D$4-Assumptions!$C$69)*'Unit Economics'!$H$50,0)</f>
        <v>13.12618439574</v>
      </c>
      <c r="E9" s="8" t="n">
        <f aca="false">IF(E$4-Assumptions!$C$69&gt;=1,INDEX('36-Month Forecast'!$C$24:$AL$24,1,E$4-Assumptions!$C$69)+INDEX('36-Month Forecast'!$C$21:$AL$21,1,E$4-Assumptions!$C$69)*'Unit Economics'!$H$50,0)</f>
        <v>22.0822809796026</v>
      </c>
      <c r="F9" s="8" t="n">
        <f aca="false">IF(F$4-Assumptions!$C$69&gt;=1,INDEX('36-Month Forecast'!$C$24:$AL$24,1,F$4-Assumptions!$C$69)+INDEX('36-Month Forecast'!$C$21:$AL$21,1,F$4-Assumptions!$C$69)*'Unit Economics'!$H$50,0)</f>
        <v>25.0265851102163</v>
      </c>
      <c r="G9" s="8" t="n">
        <f aca="false">IF(G$4-Assumptions!$C$69&gt;=1,INDEX('36-Month Forecast'!$C$24:$AL$24,1,G$4-Assumptions!$C$69)+INDEX('36-Month Forecast'!$C$21:$AL$21,1,G$4-Assumptions!$C$69)*'Unit Economics'!$H$50,0)</f>
        <v>24.3258407271302</v>
      </c>
      <c r="H9" s="8" t="n">
        <f aca="false">IF(H$4-Assumptions!$C$69&gt;=1,INDEX('36-Month Forecast'!$C$24:$AL$24,1,H$4-Assumptions!$C$69)+INDEX('36-Month Forecast'!$C$21:$AL$21,1,H$4-Assumptions!$C$69)*'Unit Economics'!$H$50,0)</f>
        <v>35.0292106470675</v>
      </c>
      <c r="I9" s="8" t="n">
        <f aca="false">IF(I$4-Assumptions!$C$69&gt;=1,INDEX('36-Month Forecast'!$C$24:$AL$24,1,I$4-Assumptions!$C$69)+INDEX('36-Month Forecast'!$C$21:$AL$21,1,I$4-Assumptions!$C$69)*'Unit Economics'!$H$50,0)</f>
        <v>39.7231248737746</v>
      </c>
      <c r="J9" s="8" t="n">
        <f aca="false">IF(J$4-Assumptions!$C$69&gt;=1,INDEX('36-Month Forecast'!$C$24:$AL$24,1,J$4-Assumptions!$C$69)+INDEX('36-Month Forecast'!$C$21:$AL$21,1,J$4-Assumptions!$C$69)*'Unit Economics'!$H$50,0)</f>
        <v>38.8151677338026</v>
      </c>
      <c r="K9" s="8" t="n">
        <f aca="false">IF(K$4-Assumptions!$C$69&gt;=1,INDEX('36-Month Forecast'!$C$24:$AL$24,1,K$4-Assumptions!$C$69)+INDEX('36-Month Forecast'!$C$21:$AL$21,1,K$4-Assumptions!$C$69)*'Unit Economics'!$H$50,0)</f>
        <v>44.1267170026387</v>
      </c>
      <c r="L9" s="8" t="n">
        <f aca="false">IF(L$4-Assumptions!$C$69&gt;=1,INDEX('36-Month Forecast'!$C$24:$AL$24,1,L$4-Assumptions!$C$69)+INDEX('36-Month Forecast'!$C$21:$AL$21,1,L$4-Assumptions!$C$69)*'Unit Economics'!$H$50,0)</f>
        <v>45.2740116447073</v>
      </c>
      <c r="M9" s="8" t="n">
        <f aca="false">IF(M$4-Assumptions!$C$69&gt;=1,INDEX('36-Month Forecast'!$C$24:$AL$24,1,M$4-Assumptions!$C$69)+INDEX('36-Month Forecast'!$C$21:$AL$21,1,M$4-Assumptions!$C$69)*'Unit Economics'!$H$50,0)</f>
        <v>43.7489923050961</v>
      </c>
      <c r="N9" s="8" t="n">
        <f aca="false">IF(N$4-Assumptions!$C$69&gt;=1,INDEX('36-Month Forecast'!$C$24:$AL$24,1,N$4-Assumptions!$C$69)+INDEX('36-Month Forecast'!$C$21:$AL$21,1,N$4-Assumptions!$C$69)*'Unit Economics'!$H$50,0)</f>
        <v>47.2489116895038</v>
      </c>
      <c r="O9" s="8" t="n">
        <f aca="false">IF(O$4-Assumptions!$C$69&gt;=1,INDEX('36-Month Forecast'!$C$24:$AL$24,1,O$4-Assumptions!$C$69)+INDEX('36-Month Forecast'!$C$21:$AL$21,1,O$4-Assumptions!$C$69)*'Unit Economics'!$H$50,0)</f>
        <v>54.9199114696821</v>
      </c>
      <c r="P9" s="8" t="n">
        <f aca="false">IF(P$4-Assumptions!$C$69&gt;=1,INDEX('36-Month Forecast'!$C$24:$AL$24,1,P$4-Assumptions!$C$69)+INDEX('36-Month Forecast'!$C$21:$AL$21,1,P$4-Assumptions!$C$69)*'Unit Economics'!$H$50,0)</f>
        <v>78.1597055863266</v>
      </c>
      <c r="Q9" s="8" t="n">
        <f aca="false">IF(Q$4-Assumptions!$C$69&gt;=1,INDEX('36-Month Forecast'!$C$24:$AL$24,1,Q$4-Assumptions!$C$69)+INDEX('36-Month Forecast'!$C$21:$AL$21,1,Q$4-Assumptions!$C$69)*'Unit Economics'!$H$50,0)</f>
        <v>84.4124820332327</v>
      </c>
      <c r="R9" s="8" t="n">
        <f aca="false">IF(R$4-Assumptions!$C$69&gt;=1,INDEX('36-Month Forecast'!$C$24:$AL$24,1,R$4-Assumptions!$C$69)+INDEX('36-Month Forecast'!$C$21:$AL$21,1,R$4-Assumptions!$C$69)*'Unit Economics'!$H$50,0)</f>
        <v>81.2860938097796</v>
      </c>
      <c r="S9" s="8" t="n">
        <f aca="false">IF(S$4-Assumptions!$C$69&gt;=1,INDEX('36-Month Forecast'!$C$24:$AL$24,1,S$4-Assumptions!$C$69)+INDEX('36-Month Forecast'!$C$21:$AL$21,1,S$4-Assumptions!$C$69)*'Unit Economics'!$H$50,0)</f>
        <v>60.867027044763</v>
      </c>
      <c r="T9" s="8" t="n">
        <f aca="false">IF(T$4-Assumptions!$C$69&gt;=1,INDEX('36-Month Forecast'!$C$24:$AL$24,1,T$4-Assumptions!$C$69)+INDEX('36-Month Forecast'!$C$21:$AL$21,1,T$4-Assumptions!$C$69)*'Unit Economics'!$H$50,0)</f>
        <v>70.3352312517261</v>
      </c>
      <c r="U9" s="8" t="n">
        <f aca="false">IF(U$4-Assumptions!$C$69&gt;=1,INDEX('36-Month Forecast'!$C$24:$AL$24,1,U$4-Assumptions!$C$69)+INDEX('36-Month Forecast'!$C$21:$AL$21,1,U$4-Assumptions!$C$69)*'Unit Economics'!$H$50,0)</f>
        <v>76.8060725268849</v>
      </c>
      <c r="V9" s="8" t="n">
        <f aca="false">IF(V$4-Assumptions!$C$69&gt;=1,INDEX('36-Month Forecast'!$C$24:$AL$24,1,V$4-Assumptions!$C$69)+INDEX('36-Month Forecast'!$C$21:$AL$21,1,V$4-Assumptions!$C$69)*'Unit Economics'!$H$50,0)</f>
        <v>72.2708568157736</v>
      </c>
      <c r="W9" s="8" t="n">
        <f aca="false">IF(W$4-Assumptions!$C$69&gt;=1,INDEX('36-Month Forecast'!$C$24:$AL$24,1,W$4-Assumptions!$C$69)+INDEX('36-Month Forecast'!$C$21:$AL$21,1,W$4-Assumptions!$C$69)*'Unit Economics'!$H$50,0)</f>
        <v>79.1175695667417</v>
      </c>
      <c r="X9" s="8" t="n">
        <f aca="false">IF(X$4-Assumptions!$C$69&gt;=1,INDEX('36-Month Forecast'!$C$24:$AL$24,1,X$4-Assumptions!$C$69)+INDEX('36-Month Forecast'!$C$21:$AL$21,1,X$4-Assumptions!$C$69)*'Unit Economics'!$H$50,0)</f>
        <v>78.1681587319408</v>
      </c>
      <c r="Y9" s="8" t="n">
        <f aca="false">IF(Y$4-Assumptions!$C$69&gt;=1,INDEX('36-Month Forecast'!$C$24:$AL$24,1,Y$4-Assumptions!$C$69)+INDEX('36-Month Forecast'!$C$21:$AL$21,1,Y$4-Assumptions!$C$69)*'Unit Economics'!$H$50,0)</f>
        <v>72.7375287568796</v>
      </c>
      <c r="Z9" s="8" t="n">
        <f aca="false">IF(Z$4-Assumptions!$C$69&gt;=1,INDEX('36-Month Forecast'!$C$24:$AL$24,1,Z$4-Assumptions!$C$69)+INDEX('36-Month Forecast'!$C$21:$AL$21,1,Z$4-Assumptions!$C$69)*'Unit Economics'!$H$50,0)</f>
        <v>75.6470299071548</v>
      </c>
      <c r="AA9" s="8" t="n">
        <f aca="false">IF(AA$4-Assumptions!$C$69&gt;=1,INDEX('36-Month Forecast'!$C$24:$AL$24,1,AA$4-Assumptions!$C$69)+INDEX('36-Month Forecast'!$C$21:$AL$21,1,AA$4-Assumptions!$C$69)*'Unit Economics'!$H$50,0)</f>
        <v>86.2376140941565</v>
      </c>
      <c r="AB9" s="8" t="n">
        <f aca="false">IF(AB$4-Assumptions!$C$69&gt;=1,INDEX('36-Month Forecast'!$C$24:$AL$24,1,AB$4-Assumptions!$C$69)+INDEX('36-Month Forecast'!$C$21:$AL$21,1,AB$4-Assumptions!$C$69)*'Unit Economics'!$H$50,0)</f>
        <v>120.369553988265</v>
      </c>
      <c r="AC9" s="8" t="n">
        <f aca="false">IF(AC$4-Assumptions!$C$69&gt;=1,INDEX('36-Month Forecast'!$C$24:$AL$24,1,AC$4-Assumptions!$C$69)+INDEX('36-Month Forecast'!$C$21:$AL$21,1,AC$4-Assumptions!$C$69)*'Unit Economics'!$H$50,0)</f>
        <v>127.499135262954</v>
      </c>
      <c r="AD9" s="8" t="n">
        <f aca="false">IF(AD$4-Assumptions!$C$69&gt;=1,INDEX('36-Month Forecast'!$C$24:$AL$24,1,AD$4-Assumptions!$C$69)+INDEX('36-Month Forecast'!$C$21:$AL$21,1,AD$4-Assumptions!$C$69)*'Unit Economics'!$H$50,0)</f>
        <v>120.415849970568</v>
      </c>
      <c r="AE9" s="8" t="n">
        <f aca="false">IF(AE$4-Assumptions!$C$69&gt;=1,INDEX('36-Month Forecast'!$C$24:$AL$24,1,AE$4-Assumptions!$C$69)+INDEX('36-Month Forecast'!$C$21:$AL$21,1,AE$4-Assumptions!$C$69)*'Unit Economics'!$H$50,0)</f>
        <v>88.4334002183851</v>
      </c>
      <c r="AF9" s="8" t="n">
        <f aca="false">IF(AF$4-Assumptions!$C$69&gt;=1,INDEX('36-Month Forecast'!$C$24:$AL$24,1,AF$4-Assumptions!$C$69)+INDEX('36-Month Forecast'!$C$21:$AL$21,1,AF$4-Assumptions!$C$69)*'Unit Economics'!$H$50,0)</f>
        <v>100.224520247503</v>
      </c>
      <c r="AG9" s="8" t="n">
        <f aca="false">IF(AG$4-Assumptions!$C$69&gt;=1,INDEX('36-Month Forecast'!$C$24:$AL$24,1,AG$4-Assumptions!$C$69)+INDEX('36-Month Forecast'!$C$21:$AL$21,1,AG$4-Assumptions!$C$69)*'Unit Economics'!$H$50,0)</f>
        <v>107.340461185076</v>
      </c>
      <c r="AH9" s="8" t="n">
        <f aca="false">IF(AH$4-Assumptions!$C$69&gt;=1,INDEX('36-Month Forecast'!$C$24:$AL$24,1,AH$4-Assumptions!$C$69)+INDEX('36-Month Forecast'!$C$21:$AL$21,1,AH$4-Assumptions!$C$69)*'Unit Economics'!$H$50,0)</f>
        <v>99.0599113222271</v>
      </c>
      <c r="AI9" s="8" t="n">
        <f aca="false">IF(AI$4-Assumptions!$C$69&gt;=1,INDEX('36-Month Forecast'!$C$24:$AL$24,1,AI$4-Assumptions!$C$69)+INDEX('36-Month Forecast'!$C$21:$AL$21,1,AI$4-Assumptions!$C$69)*'Unit Economics'!$H$50,0)</f>
        <v>106.359062682812</v>
      </c>
      <c r="AJ9" s="8" t="n">
        <f aca="false">IF(AJ$4-Assumptions!$C$69&gt;=1,INDEX('36-Month Forecast'!$C$24:$AL$24,1,AJ$4-Assumptions!$C$69)+INDEX('36-Month Forecast'!$C$21:$AL$21,1,AJ$4-Assumptions!$C$69)*'Unit Economics'!$H$50,0)</f>
        <v>103.061931739645</v>
      </c>
      <c r="AK9" s="8" t="n">
        <f aca="false">IF(AK$4-Assumptions!$C$69&gt;=1,INDEX('36-Month Forecast'!$C$24:$AL$24,1,AK$4-Assumptions!$C$69)+INDEX('36-Month Forecast'!$C$21:$AL$21,1,AK$4-Assumptions!$C$69)*'Unit Economics'!$H$50,0)</f>
        <v>94.0575734929182</v>
      </c>
      <c r="AL9" s="8" t="n">
        <f aca="false">IF(AL$4-Assumptions!$C$69&gt;=1,INDEX('36-Month Forecast'!$C$24:$AL$24,1,AL$4-Assumptions!$C$69)+INDEX('36-Month Forecast'!$C$21:$AL$21,1,AL$4-Assumptions!$C$69)*'Unit Economics'!$H$50,0)</f>
        <v>95.9387249627766</v>
      </c>
      <c r="AM9" s="45" t="n">
        <f aca="false">SUMIF($C$6:$AL$6,1,C9:AL9)</f>
        <v>382.967865847155</v>
      </c>
      <c r="AN9" s="45" t="n">
        <f aca="false">SUMIF($C$6:$AL$6,2,C9:AL9)</f>
        <v>884.727667500886</v>
      </c>
      <c r="AO9" s="45" t="n">
        <f aca="false">SUMIF($C$6:$AL$6,3,C9:AL9)</f>
        <v>1248.99773916729</v>
      </c>
      <c r="AP9" s="45" t="n">
        <f aca="false">SUM(C9:AL9)</f>
        <v>2516.69327251533</v>
      </c>
    </row>
    <row r="10" customFormat="false" ht="15" hidden="false" customHeight="false" outlineLevel="0" collapsed="false">
      <c r="A10" s="7" t="s">
        <v>802</v>
      </c>
      <c r="C10" s="8" t="n">
        <f aca="false">IF(C$4-Assumptions!$C$70&gt;=1,INDEX('36-Month Forecast'!$C$34:$AL$34,1,C$4-Assumptions!$C$70)+INDEX('36-Month Forecast'!$C$31:$AL$31,1,C$4-Assumptions!$C$70)*'Unit Economics'!$H$51,0)</f>
        <v>4.99723478571429</v>
      </c>
      <c r="D10" s="8" t="n">
        <f aca="false">IF(D$4-Assumptions!$C$70&gt;=1,INDEX('36-Month Forecast'!$C$34:$AL$34,1,D$4-Assumptions!$C$70)+INDEX('36-Month Forecast'!$C$31:$AL$31,1,D$4-Assumptions!$C$70)*'Unit Economics'!$H$51,0)</f>
        <v>14.7707739771429</v>
      </c>
      <c r="E10" s="8" t="n">
        <f aca="false">IF(E$4-Assumptions!$C$70&gt;=1,INDEX('36-Month Forecast'!$C$34:$AL$34,1,E$4-Assumptions!$C$70)+INDEX('36-Month Forecast'!$C$31:$AL$31,1,E$4-Assumptions!$C$70)*'Unit Economics'!$H$51,0)</f>
        <v>24.8489866830857</v>
      </c>
      <c r="F10" s="8" t="n">
        <f aca="false">IF(F$4-Assumptions!$C$70&gt;=1,INDEX('36-Month Forecast'!$C$34:$AL$34,1,F$4-Assumptions!$C$70)+INDEX('36-Month Forecast'!$C$31:$AL$31,1,F$4-Assumptions!$C$70)*'Unit Economics'!$H$51,0)</f>
        <v>33.1319822441143</v>
      </c>
      <c r="G10" s="8" t="n">
        <f aca="false">IF(G$4-Assumptions!$C$70&gt;=1,INDEX('36-Month Forecast'!$C$34:$AL$34,1,G$4-Assumptions!$C$70)+INDEX('36-Month Forecast'!$C$31:$AL$31,1,G$4-Assumptions!$C$70)*'Unit Economics'!$H$51,0)</f>
        <v>32.2042867412791</v>
      </c>
      <c r="H10" s="8" t="n">
        <f aca="false">IF(H$4-Assumptions!$C$70&gt;=1,INDEX('36-Month Forecast'!$C$34:$AL$34,1,H$4-Assumptions!$C$70)+INDEX('36-Month Forecast'!$C$31:$AL$31,1,H$4-Assumptions!$C$70)*'Unit Economics'!$H$51,0)</f>
        <v>46.3741729074419</v>
      </c>
      <c r="I10" s="8" t="n">
        <f aca="false">IF(I$4-Assumptions!$C$70&gt;=1,INDEX('36-Month Forecast'!$C$34:$AL$34,1,I$4-Assumptions!$C$70)+INDEX('36-Month Forecast'!$C$31:$AL$31,1,I$4-Assumptions!$C$70)*'Unit Economics'!$H$51,0)</f>
        <v>52.5883120770391</v>
      </c>
      <c r="J10" s="8" t="n">
        <f aca="false">IF(J$4-Assumptions!$C$70&gt;=1,INDEX('36-Month Forecast'!$C$34:$AL$34,1,J$4-Assumptions!$C$70)+INDEX('36-Month Forecast'!$C$31:$AL$31,1,J$4-Assumptions!$C$70)*'Unit Economics'!$H$51,0)</f>
        <v>51.3862935152782</v>
      </c>
      <c r="K10" s="8" t="n">
        <f aca="false">IF(K$4-Assumptions!$C$70&gt;=1,INDEX('36-Month Forecast'!$C$34:$AL$34,1,K$4-Assumptions!$C$70)+INDEX('36-Month Forecast'!$C$31:$AL$31,1,K$4-Assumptions!$C$70)*'Unit Economics'!$H$51,0)</f>
        <v>58.4181021015795</v>
      </c>
      <c r="L10" s="8" t="n">
        <f aca="false">IF(L$4-Assumptions!$C$70&gt;=1,INDEX('36-Month Forecast'!$C$34:$AL$34,1,L$4-Assumptions!$C$70)+INDEX('36-Month Forecast'!$C$31:$AL$31,1,L$4-Assumptions!$C$70)*'Unit Economics'!$H$51,0)</f>
        <v>59.9369727562205</v>
      </c>
      <c r="M10" s="8" t="n">
        <f aca="false">IF(M$4-Assumptions!$C$70&gt;=1,INDEX('36-Month Forecast'!$C$34:$AL$34,1,M$4-Assumptions!$C$70)+INDEX('36-Month Forecast'!$C$31:$AL$31,1,M$4-Assumptions!$C$70)*'Unit Economics'!$H$51,0)</f>
        <v>57.91804314759</v>
      </c>
      <c r="N10" s="8" t="n">
        <f aca="false">IF(N$4-Assumptions!$C$70&gt;=1,INDEX('36-Month Forecast'!$C$34:$AL$34,1,N$4-Assumptions!$C$70)+INDEX('36-Month Forecast'!$C$31:$AL$31,1,N$4-Assumptions!$C$70)*'Unit Economics'!$H$51,0)</f>
        <v>62.5514865993972</v>
      </c>
      <c r="O10" s="8" t="n">
        <f aca="false">IF(O$4-Assumptions!$C$70&gt;=1,INDEX('36-Month Forecast'!$C$34:$AL$34,1,O$4-Assumptions!$C$70)+INDEX('36-Month Forecast'!$C$31:$AL$31,1,O$4-Assumptions!$C$70)*'Unit Economics'!$H$51,0)</f>
        <v>72.0077995735413</v>
      </c>
      <c r="P10" s="8" t="n">
        <f aca="false">IF(P$4-Assumptions!$C$70&gt;=1,INDEX('36-Month Forecast'!$C$34:$AL$34,1,P$4-Assumptions!$C$70)+INDEX('36-Month Forecast'!$C$31:$AL$31,1,P$4-Assumptions!$C$70)*'Unit Economics'!$H$51,0)</f>
        <v>101.493098556812</v>
      </c>
      <c r="Q10" s="8" t="n">
        <f aca="false">IF(Q$4-Assumptions!$C$70&gt;=1,INDEX('36-Month Forecast'!$C$34:$AL$34,1,Q$4-Assumptions!$C$70)+INDEX('36-Month Forecast'!$C$31:$AL$31,1,Q$4-Assumptions!$C$70)*'Unit Economics'!$H$51,0)</f>
        <v>108.558579648652</v>
      </c>
      <c r="R10" s="8" t="n">
        <f aca="false">IF(R$4-Assumptions!$C$70&gt;=1,INDEX('36-Month Forecast'!$C$34:$AL$34,1,R$4-Assumptions!$C$70)+INDEX('36-Month Forecast'!$C$31:$AL$31,1,R$4-Assumptions!$C$70)*'Unit Economics'!$H$51,0)</f>
        <v>103.532719479733</v>
      </c>
      <c r="S10" s="8" t="n">
        <f aca="false">IF(S$4-Assumptions!$C$70&gt;=1,INDEX('36-Month Forecast'!$C$34:$AL$34,1,S$4-Assumptions!$C$70)+INDEX('36-Month Forecast'!$C$31:$AL$31,1,S$4-Assumptions!$C$70)*'Unit Economics'!$H$51,0)</f>
        <v>76.77986476617</v>
      </c>
      <c r="T10" s="8" t="n">
        <f aca="false">IF(T$4-Assumptions!$C$70&gt;=1,INDEX('36-Month Forecast'!$C$34:$AL$34,1,T$4-Assumptions!$C$70)+INDEX('36-Month Forecast'!$C$31:$AL$31,1,T$4-Assumptions!$C$70)*'Unit Economics'!$H$51,0)</f>
        <v>87.870289676839</v>
      </c>
      <c r="U10" s="8" t="n">
        <f aca="false">IF(U$4-Assumptions!$C$70&gt;=1,INDEX('36-Month Forecast'!$C$34:$AL$34,1,U$4-Assumptions!$C$70)+INDEX('36-Month Forecast'!$C$31:$AL$31,1,U$4-Assumptions!$C$70)*'Unit Economics'!$H$51,0)</f>
        <v>95.0317182855014</v>
      </c>
      <c r="V10" s="8" t="n">
        <f aca="false">IF(V$4-Assumptions!$C$70&gt;=1,INDEX('36-Month Forecast'!$C$34:$AL$34,1,V$4-Assumptions!$C$70)+INDEX('36-Month Forecast'!$C$31:$AL$31,1,V$4-Assumptions!$C$70)*'Unit Economics'!$H$51,0)</f>
        <v>88.5605108022506</v>
      </c>
      <c r="W10" s="8" t="n">
        <f aca="false">IF(W$4-Assumptions!$C$70&gt;=1,INDEX('36-Month Forecast'!$C$34:$AL$34,1,W$4-Assumptions!$C$70)+INDEX('36-Month Forecast'!$C$31:$AL$31,1,W$4-Assumptions!$C$70)*'Unit Economics'!$H$51,0)</f>
        <v>96.0182380277033</v>
      </c>
      <c r="X10" s="8" t="n">
        <f aca="false">IF(X$4-Assumptions!$C$70&gt;=1,INDEX('36-Month Forecast'!$C$34:$AL$34,1,X$4-Assumptions!$C$70)+INDEX('36-Month Forecast'!$C$31:$AL$31,1,X$4-Assumptions!$C$70)*'Unit Economics'!$H$51,0)</f>
        <v>93.9538459101077</v>
      </c>
      <c r="Y10" s="8" t="n">
        <f aca="false">IF(Y$4-Assumptions!$C$70&gt;=1,INDEX('36-Month Forecast'!$C$34:$AL$34,1,Y$4-Assumptions!$C$70)+INDEX('36-Month Forecast'!$C$31:$AL$31,1,Y$4-Assumptions!$C$70)*'Unit Economics'!$H$51,0)</f>
        <v>86.5858864150518</v>
      </c>
      <c r="Z10" s="8" t="n">
        <f aca="false">IF(Z$4-Assumptions!$C$70&gt;=1,INDEX('36-Month Forecast'!$C$34:$AL$34,1,Z$4-Assumptions!$C$70)+INDEX('36-Month Forecast'!$C$31:$AL$31,1,Z$4-Assumptions!$C$70)*'Unit Economics'!$H$51,0)</f>
        <v>89.1834630075034</v>
      </c>
      <c r="AA10" s="8" t="n">
        <f aca="false">IF(AA$4-Assumptions!$C$70&gt;=1,INDEX('36-Month Forecast'!$C$34:$AL$34,1,AA$4-Assumptions!$C$70)+INDEX('36-Month Forecast'!$C$31:$AL$31,1,AA$4-Assumptions!$C$70)*'Unit Economics'!$H$51,0)</f>
        <v>100.672391477294</v>
      </c>
      <c r="AB10" s="8" t="n">
        <f aca="false">IF(AB$4-Assumptions!$C$70&gt;=1,INDEX('36-Month Forecast'!$C$34:$AL$34,1,AB$4-Assumptions!$C$70)+INDEX('36-Month Forecast'!$C$31:$AL$31,1,AB$4-Assumptions!$C$70)*'Unit Economics'!$H$51,0)</f>
        <v>139.139842115459</v>
      </c>
      <c r="AC10" s="8" t="n">
        <f aca="false">IF(AC$4-Assumptions!$C$70&gt;=1,INDEX('36-Month Forecast'!$C$34:$AL$34,1,AC$4-Assumptions!$C$70)+INDEX('36-Month Forecast'!$C$31:$AL$31,1,AC$4-Assumptions!$C$70)*'Unit Economics'!$H$51,0)</f>
        <v>145.936288249561</v>
      </c>
      <c r="AD10" s="8" t="n">
        <f aca="false">IF(AD$4-Assumptions!$C$70&gt;=1,INDEX('36-Month Forecast'!$C$34:$AL$34,1,AD$4-Assumptions!$C$70)+INDEX('36-Month Forecast'!$C$31:$AL$31,1,AD$4-Assumptions!$C$70)*'Unit Economics'!$H$51,0)</f>
        <v>136.477454751904</v>
      </c>
      <c r="AE10" s="8" t="n">
        <f aca="false">IF(AE$4-Assumptions!$C$70&gt;=1,INDEX('36-Month Forecast'!$C$34:$AL$34,1,AE$4-Assumptions!$C$70)+INDEX('36-Month Forecast'!$C$31:$AL$31,1,AE$4-Assumptions!$C$70)*'Unit Economics'!$H$51,0)</f>
        <v>99.2464050955846</v>
      </c>
      <c r="AF10" s="8" t="n">
        <f aca="false">IF(AF$4-Assumptions!$C$70&gt;=1,INDEX('36-Month Forecast'!$C$34:$AL$34,1,AF$4-Assumptions!$C$70)+INDEX('36-Month Forecast'!$C$31:$AL$31,1,AF$4-Assumptions!$C$70)*'Unit Economics'!$H$51,0)</f>
        <v>111.376521273934</v>
      </c>
      <c r="AG10" s="8" t="n">
        <f aca="false">IF(AG$4-Assumptions!$C$70&gt;=1,INDEX('36-Month Forecast'!$C$34:$AL$34,1,AG$4-Assumptions!$C$70)+INDEX('36-Month Forecast'!$C$31:$AL$31,1,AG$4-Assumptions!$C$70)*'Unit Economics'!$H$51,0)</f>
        <v>118.114800811007</v>
      </c>
      <c r="AH10" s="8" t="n">
        <f aca="false">IF(AH$4-Assumptions!$C$70&gt;=1,INDEX('36-Month Forecast'!$C$34:$AL$34,1,AH$4-Assumptions!$C$70)+INDEX('36-Month Forecast'!$C$31:$AL$31,1,AH$4-Assumptions!$C$70)*'Unit Economics'!$H$51,0)</f>
        <v>107.934429883963</v>
      </c>
      <c r="AI10" s="8" t="n">
        <f aca="false">IF(AI$4-Assumptions!$C$70&gt;=1,INDEX('36-Month Forecast'!$C$34:$AL$34,1,AI$4-Assumptions!$C$70)+INDEX('36-Month Forecast'!$C$31:$AL$31,1,AI$4-Assumptions!$C$70)*'Unit Economics'!$H$51,0)</f>
        <v>114.751341245055</v>
      </c>
      <c r="AJ10" s="8" t="n">
        <f aca="false">IF(AJ$4-Assumptions!$C$70&gt;=1,INDEX('36-Month Forecast'!$C$34:$AL$34,1,AJ$4-Assumptions!$C$70)+INDEX('36-Month Forecast'!$C$31:$AL$31,1,AJ$4-Assumptions!$C$70)*'Unit Economics'!$H$51,0)</f>
        <v>110.103911924631</v>
      </c>
      <c r="AK10" s="8" t="n">
        <f aca="false">IF(AK$4-Assumptions!$C$70&gt;=1,INDEX('36-Month Forecast'!$C$34:$AL$34,1,AK$4-Assumptions!$C$70)+INDEX('36-Month Forecast'!$C$31:$AL$31,1,AK$4-Assumptions!$C$70)*'Unit Economics'!$H$51,0)</f>
        <v>99.4991667234687</v>
      </c>
      <c r="AL10" s="8" t="n">
        <f aca="false">IF(AL$4-Assumptions!$C$70&gt;=1,INDEX('36-Month Forecast'!$C$34:$AL$34,1,AL$4-Assumptions!$C$70)+INDEX('36-Month Forecast'!$C$31:$AL$31,1,AL$4-Assumptions!$C$70)*'Unit Economics'!$H$51,0)</f>
        <v>100.494158390703</v>
      </c>
      <c r="AM10" s="45" t="n">
        <f aca="false">SUMIF($C$6:$AL$6,1,C10:AL10)</f>
        <v>499.126647535883</v>
      </c>
      <c r="AN10" s="45" t="n">
        <f aca="false">SUMIF($C$6:$AL$6,2,C10:AL10)</f>
        <v>1099.57601414987</v>
      </c>
      <c r="AO10" s="45" t="n">
        <f aca="false">SUMIF($C$6:$AL$6,3,C10:AL10)</f>
        <v>1383.74671194256</v>
      </c>
      <c r="AP10" s="45" t="n">
        <f aca="false">SUM(C10:AL10)</f>
        <v>2982.44937362831</v>
      </c>
    </row>
    <row r="11" customFormat="false" ht="15" hidden="false" customHeight="false" outlineLevel="0" collapsed="false">
      <c r="A11" s="7" t="s">
        <v>803</v>
      </c>
      <c r="C11" s="8" t="n">
        <f aca="false">IF(C$4-Assumptions!$C$71&gt;=1,INDEX('36-Month Forecast'!$C$44:$AL$44,1,C$4-Assumptions!$C$71)+INDEX('36-Month Forecast'!$C$41:$AL$41,1,C$4-Assumptions!$C$71)*'Unit Economics'!$H$52,0)</f>
        <v>0</v>
      </c>
      <c r="D11" s="8" t="n">
        <f aca="false">IF(D$4-Assumptions!$C$71&gt;=1,INDEX('36-Month Forecast'!$C$44:$AL$44,1,D$4-Assumptions!$C$71)+INDEX('36-Month Forecast'!$C$41:$AL$41,1,D$4-Assumptions!$C$71)*'Unit Economics'!$H$52,0)</f>
        <v>0</v>
      </c>
      <c r="E11" s="8" t="n">
        <f aca="false">IF(E$4-Assumptions!$C$71&gt;=1,INDEX('36-Month Forecast'!$C$44:$AL$44,1,E$4-Assumptions!$C$71)+INDEX('36-Month Forecast'!$C$41:$AL$41,1,E$4-Assumptions!$C$71)*'Unit Economics'!$H$52,0)</f>
        <v>0</v>
      </c>
      <c r="F11" s="8" t="n">
        <f aca="false">IF(F$4-Assumptions!$C$71&gt;=1,INDEX('36-Month Forecast'!$C$44:$AL$44,1,F$4-Assumptions!$C$71)+INDEX('36-Month Forecast'!$C$41:$AL$41,1,F$4-Assumptions!$C$71)*'Unit Economics'!$H$52,0)</f>
        <v>11.8599</v>
      </c>
      <c r="G11" s="8" t="n">
        <f aca="false">IF(G$4-Assumptions!$C$71&gt;=1,INDEX('36-Month Forecast'!$C$44:$AL$44,1,G$4-Assumptions!$C$71)+INDEX('36-Month Forecast'!$C$41:$AL$41,1,G$4-Assumptions!$C$71)*'Unit Economics'!$H$52,0)</f>
        <v>26.110026</v>
      </c>
      <c r="H11" s="8" t="n">
        <f aca="false">IF(H$4-Assumptions!$C$71&gt;=1,INDEX('36-Month Forecast'!$C$44:$AL$44,1,H$4-Assumptions!$C$71)+INDEX('36-Month Forecast'!$C$41:$AL$41,1,H$4-Assumptions!$C$71)*'Unit Economics'!$H$52,0)</f>
        <v>38.4397605</v>
      </c>
      <c r="I11" s="8" t="n">
        <f aca="false">IF(I$4-Assumptions!$C$71&gt;=1,INDEX('36-Month Forecast'!$C$44:$AL$44,1,I$4-Assumptions!$C$71)+INDEX('36-Month Forecast'!$C$41:$AL$41,1,I$4-Assumptions!$C$71)*'Unit Economics'!$H$52,0)</f>
        <v>39.1163002848</v>
      </c>
      <c r="J11" s="8" t="n">
        <f aca="false">IF(J$4-Assumptions!$C$71&gt;=1,INDEX('36-Month Forecast'!$C$44:$AL$44,1,J$4-Assumptions!$C$71)+INDEX('36-Month Forecast'!$C$41:$AL$41,1,J$4-Assumptions!$C$71)*'Unit Economics'!$H$52,0)</f>
        <v>57.5878865304</v>
      </c>
      <c r="K11" s="8" t="n">
        <f aca="false">IF(K$4-Assumptions!$C$71&gt;=1,INDEX('36-Month Forecast'!$C$44:$AL$44,1,K$4-Assumptions!$C$71)+INDEX('36-Month Forecast'!$C$41:$AL$41,1,K$4-Assumptions!$C$71)*'Unit Economics'!$H$52,0)</f>
        <v>76.9143812500022</v>
      </c>
      <c r="L11" s="8" t="n">
        <f aca="false">IF(L$4-Assumptions!$C$71&gt;=1,INDEX('36-Month Forecast'!$C$44:$AL$44,1,L$4-Assumptions!$C$71)+INDEX('36-Month Forecast'!$C$41:$AL$41,1,L$4-Assumptions!$C$71)*'Unit Economics'!$H$52,0)</f>
        <v>73.7645542083355</v>
      </c>
      <c r="M11" s="8" t="n">
        <f aca="false">IF(M$4-Assumptions!$C$71&gt;=1,INDEX('36-Month Forecast'!$C$44:$AL$44,1,M$4-Assumptions!$C$71)+INDEX('36-Month Forecast'!$C$41:$AL$41,1,M$4-Assumptions!$C$71)*'Unit Economics'!$H$52,0)</f>
        <v>82.3057131166691</v>
      </c>
      <c r="N11" s="8" t="n">
        <f aca="false">IF(N$4-Assumptions!$C$71&gt;=1,INDEX('36-Month Forecast'!$C$44:$AL$44,1,N$4-Assumptions!$C$71)+INDEX('36-Month Forecast'!$C$41:$AL$41,1,N$4-Assumptions!$C$71)*'Unit Economics'!$H$52,0)</f>
        <v>82.8818531084858</v>
      </c>
      <c r="O11" s="8" t="n">
        <f aca="false">IF(O$4-Assumptions!$C$71&gt;=1,INDEX('36-Month Forecast'!$C$44:$AL$44,1,O$4-Assumptions!$C$71)+INDEX('36-Month Forecast'!$C$41:$AL$41,1,O$4-Assumptions!$C$71)*'Unit Economics'!$H$52,0)</f>
        <v>78.606894369206</v>
      </c>
      <c r="P11" s="8" t="n">
        <f aca="false">IF(P$4-Assumptions!$C$71&gt;=1,INDEX('36-Month Forecast'!$C$44:$AL$44,1,P$4-Assumptions!$C$71)+INDEX('36-Month Forecast'!$C$41:$AL$41,1,P$4-Assumptions!$C$71)*'Unit Economics'!$H$52,0)</f>
        <v>83.3233080313583</v>
      </c>
      <c r="Q11" s="8" t="n">
        <f aca="false">IF(Q$4-Assumptions!$C$71&gt;=1,INDEX('36-Month Forecast'!$C$44:$AL$44,1,Q$4-Assumptions!$C$71)+INDEX('36-Month Forecast'!$C$41:$AL$41,1,Q$4-Assumptions!$C$71)*'Unit Economics'!$H$52,0)</f>
        <v>95.9198316572755</v>
      </c>
      <c r="R11" s="8" t="n">
        <f aca="false">IF(R$4-Assumptions!$C$71&gt;=1,INDEX('36-Month Forecast'!$C$44:$AL$44,1,R$4-Assumptions!$C$71)+INDEX('36-Month Forecast'!$C$41:$AL$41,1,R$4-Assumptions!$C$71)*'Unit Economics'!$H$52,0)</f>
        <v>135.196478514834</v>
      </c>
      <c r="S11" s="8" t="n">
        <f aca="false">IF(S$4-Assumptions!$C$71&gt;=1,INDEX('36-Month Forecast'!$C$44:$AL$44,1,S$4-Assumptions!$C$71)+INDEX('36-Month Forecast'!$C$41:$AL$41,1,S$4-Assumptions!$C$71)*'Unit Economics'!$H$52,0)</f>
        <v>144.608233365289</v>
      </c>
      <c r="T11" s="8" t="n">
        <f aca="false">IF(T$4-Assumptions!$C$71&gt;=1,INDEX('36-Month Forecast'!$C$44:$AL$44,1,T$4-Assumptions!$C$71)+INDEX('36-Month Forecast'!$C$41:$AL$41,1,T$4-Assumptions!$C$71)*'Unit Economics'!$H$52,0)</f>
        <v>137.913407746526</v>
      </c>
      <c r="U11" s="8" t="n">
        <f aca="false">IF(U$4-Assumptions!$C$71&gt;=1,INDEX('36-Month Forecast'!$C$44:$AL$44,1,U$4-Assumptions!$C$71)+INDEX('36-Month Forecast'!$C$41:$AL$41,1,U$4-Assumptions!$C$71)*'Unit Economics'!$H$52,0)</f>
        <v>102.276583184824</v>
      </c>
      <c r="V11" s="8" t="n">
        <f aca="false">IF(V$4-Assumptions!$C$71&gt;=1,INDEX('36-Month Forecast'!$C$44:$AL$44,1,V$4-Assumptions!$C$71)+INDEX('36-Month Forecast'!$C$41:$AL$41,1,V$4-Assumptions!$C$71)*'Unit Economics'!$H$52,0)</f>
        <v>117.049867422631</v>
      </c>
      <c r="W11" s="8" t="n">
        <f aca="false">IF(W$4-Assumptions!$C$71&gt;=1,INDEX('36-Month Forecast'!$C$44:$AL$44,1,W$4-Assumptions!$C$71)+INDEX('36-Month Forecast'!$C$41:$AL$41,1,W$4-Assumptions!$C$71)*'Unit Economics'!$H$52,0)</f>
        <v>126.589431617576</v>
      </c>
      <c r="X11" s="8" t="n">
        <f aca="false">IF(X$4-Assumptions!$C$71&gt;=1,INDEX('36-Month Forecast'!$C$44:$AL$44,1,X$4-Assumptions!$C$71)+INDEX('36-Month Forecast'!$C$41:$AL$41,1,X$4-Assumptions!$C$71)*'Unit Economics'!$H$52,0)</f>
        <v>117.969294131236</v>
      </c>
      <c r="Y11" s="8" t="n">
        <f aca="false">IF(Y$4-Assumptions!$C$71&gt;=1,INDEX('36-Month Forecast'!$C$44:$AL$44,1,Y$4-Assumptions!$C$71)+INDEX('36-Month Forecast'!$C$41:$AL$41,1,Y$4-Assumptions!$C$71)*'Unit Economics'!$H$52,0)</f>
        <v>127.90355047913</v>
      </c>
      <c r="Z11" s="8" t="n">
        <f aca="false">IF(Z$4-Assumptions!$C$71&gt;=1,INDEX('36-Month Forecast'!$C$44:$AL$44,1,Z$4-Assumptions!$C$71)+INDEX('36-Month Forecast'!$C$41:$AL$41,1,Z$4-Assumptions!$C$71)*'Unit Economics'!$H$52,0)</f>
        <v>125.153624143828</v>
      </c>
      <c r="AA11" s="8" t="n">
        <f aca="false">IF(AA$4-Assumptions!$C$71&gt;=1,INDEX('36-Month Forecast'!$C$44:$AL$44,1,AA$4-Assumptions!$C$71)+INDEX('36-Month Forecast'!$C$41:$AL$41,1,AA$4-Assumptions!$C$71)*'Unit Economics'!$H$52,0)</f>
        <v>115.338945197812</v>
      </c>
      <c r="AB11" s="8" t="n">
        <f aca="false">IF(AB$4-Assumptions!$C$71&gt;=1,INDEX('36-Month Forecast'!$C$44:$AL$44,1,AB$4-Assumptions!$C$71)+INDEX('36-Month Forecast'!$C$41:$AL$41,1,AB$4-Assumptions!$C$71)*'Unit Economics'!$H$52,0)</f>
        <v>118.799113553747</v>
      </c>
      <c r="AC11" s="8" t="n">
        <f aca="false">IF(AC$4-Assumptions!$C$71&gt;=1,INDEX('36-Month Forecast'!$C$44:$AL$44,1,AC$4-Assumptions!$C$71)+INDEX('36-Month Forecast'!$C$41:$AL$41,1,AC$4-Assumptions!$C$71)*'Unit Economics'!$H$52,0)</f>
        <v>134.10323465273</v>
      </c>
      <c r="AD11" s="8" t="n">
        <f aca="false">IF(AD$4-Assumptions!$C$71&gt;=1,INDEX('36-Month Forecast'!$C$44:$AL$44,1,AD$4-Assumptions!$C$71)+INDEX('36-Month Forecast'!$C$41:$AL$41,1,AD$4-Assumptions!$C$71)*'Unit Economics'!$H$52,0)</f>
        <v>185.344786420036</v>
      </c>
      <c r="AE11" s="8" t="n">
        <f aca="false">IF(AE$4-Assumptions!$C$71&gt;=1,INDEX('36-Month Forecast'!$C$44:$AL$44,1,AE$4-Assumptions!$C$71)+INDEX('36-Month Forecast'!$C$41:$AL$41,1,AE$4-Assumptions!$C$71)*'Unit Economics'!$H$52,0)</f>
        <v>194.398166372091</v>
      </c>
      <c r="AF11" s="8" t="n">
        <f aca="false">IF(AF$4-Assumptions!$C$71&gt;=1,INDEX('36-Month Forecast'!$C$44:$AL$44,1,AF$4-Assumptions!$C$71)+INDEX('36-Month Forecast'!$C$41:$AL$41,1,AF$4-Assumptions!$C$71)*'Unit Economics'!$H$52,0)</f>
        <v>181.798285218345</v>
      </c>
      <c r="AG11" s="8" t="n">
        <f aca="false">IF(AG$4-Assumptions!$C$71&gt;=1,INDEX('36-Month Forecast'!$C$44:$AL$44,1,AG$4-Assumptions!$C$71)+INDEX('36-Month Forecast'!$C$41:$AL$41,1,AG$4-Assumptions!$C$71)*'Unit Economics'!$H$52,0)</f>
        <v>132.20371301078</v>
      </c>
      <c r="AH11" s="8" t="n">
        <f aca="false">IF(AH$4-Assumptions!$C$71&gt;=1,INDEX('36-Month Forecast'!$C$44:$AL$44,1,AH$4-Assumptions!$C$71)+INDEX('36-Month Forecast'!$C$41:$AL$41,1,AH$4-Assumptions!$C$71)*'Unit Economics'!$H$52,0)</f>
        <v>148.361944600987</v>
      </c>
      <c r="AI11" s="8" t="n">
        <f aca="false">IF(AI$4-Assumptions!$C$71&gt;=1,INDEX('36-Month Forecast'!$C$44:$AL$44,1,AI$4-Assumptions!$C$71)+INDEX('36-Month Forecast'!$C$41:$AL$41,1,AI$4-Assumptions!$C$71)*'Unit Economics'!$H$52,0)</f>
        <v>157.337842249346</v>
      </c>
      <c r="AJ11" s="8" t="n">
        <f aca="false">IF(AJ$4-Assumptions!$C$71&gt;=1,INDEX('36-Month Forecast'!$C$44:$AL$44,1,AJ$4-Assumptions!$C$71)+INDEX('36-Month Forecast'!$C$41:$AL$41,1,AJ$4-Assumptions!$C$71)*'Unit Economics'!$H$52,0)</f>
        <v>143.776818703093</v>
      </c>
      <c r="AK11" s="8" t="n">
        <f aca="false">IF(AK$4-Assumptions!$C$71&gt;=1,INDEX('36-Month Forecast'!$C$44:$AL$44,1,AK$4-Assumptions!$C$71)+INDEX('36-Month Forecast'!$C$41:$AL$41,1,AK$4-Assumptions!$C$71)*'Unit Economics'!$H$52,0)</f>
        <v>152.857459884341</v>
      </c>
      <c r="AL11" s="8" t="n">
        <f aca="false">IF(AL$4-Assumptions!$C$71&gt;=1,INDEX('36-Month Forecast'!$C$44:$AL$44,1,AL$4-Assumptions!$C$71)+INDEX('36-Month Forecast'!$C$41:$AL$41,1,AL$4-Assumptions!$C$71)*'Unit Economics'!$H$52,0)</f>
        <v>146.666732759025</v>
      </c>
      <c r="AM11" s="45" t="n">
        <f aca="false">SUMIF($C$6:$AL$6,1,C11:AL11)</f>
        <v>488.980374998693</v>
      </c>
      <c r="AN11" s="45" t="n">
        <f aca="false">SUMIF($C$6:$AL$6,2,C11:AL11)</f>
        <v>1392.51050466371</v>
      </c>
      <c r="AO11" s="45" t="n">
        <f aca="false">SUMIF($C$6:$AL$6,3,C11:AL11)</f>
        <v>1810.98704262233</v>
      </c>
      <c r="AP11" s="45" t="n">
        <f aca="false">SUM(C11:AL11)</f>
        <v>3692.47792228474</v>
      </c>
    </row>
    <row r="12" customFormat="false" ht="15" hidden="false" customHeight="false" outlineLevel="0" collapsed="false">
      <c r="A12" s="7" t="s">
        <v>804</v>
      </c>
      <c r="C12" s="8" t="n">
        <f aca="false">IF(C$4-Assumptions!$C$72&gt;=1,INDEX('36-Month Forecast'!$C$54:$AL$54,1,C$4-Assumptions!$C$72)+INDEX('36-Month Forecast'!$C$51:$AL$51,1,C$4-Assumptions!$C$72)*'Unit Economics'!$H$53,0)</f>
        <v>0</v>
      </c>
      <c r="D12" s="8" t="n">
        <f aca="false">IF(D$4-Assumptions!$C$72&gt;=1,INDEX('36-Month Forecast'!$C$54:$AL$54,1,D$4-Assumptions!$C$72)+INDEX('36-Month Forecast'!$C$51:$AL$51,1,D$4-Assumptions!$C$72)*'Unit Economics'!$H$53,0)</f>
        <v>0</v>
      </c>
      <c r="E12" s="8" t="n">
        <f aca="false">IF(E$4-Assumptions!$C$72&gt;=1,INDEX('36-Month Forecast'!$C$54:$AL$54,1,E$4-Assumptions!$C$72)+INDEX('36-Month Forecast'!$C$51:$AL$51,1,E$4-Assumptions!$C$72)*'Unit Economics'!$H$53,0)</f>
        <v>0</v>
      </c>
      <c r="F12" s="8" t="n">
        <f aca="false">IF(F$4-Assumptions!$C$72&gt;=1,INDEX('36-Month Forecast'!$C$54:$AL$54,1,F$4-Assumptions!$C$72)+INDEX('36-Month Forecast'!$C$51:$AL$51,1,F$4-Assumptions!$C$72)*'Unit Economics'!$H$53,0)</f>
        <v>-0</v>
      </c>
      <c r="G12" s="8" t="n">
        <f aca="false">IF(G$4-Assumptions!$C$72&gt;=1,INDEX('36-Month Forecast'!$C$54:$AL$54,1,G$4-Assumptions!$C$72)+INDEX('36-Month Forecast'!$C$51:$AL$51,1,G$4-Assumptions!$C$72)*'Unit Economics'!$H$53,0)</f>
        <v>0</v>
      </c>
      <c r="H12" s="8" t="n">
        <f aca="false">IF(H$4-Assumptions!$C$72&gt;=1,INDEX('36-Month Forecast'!$C$54:$AL$54,1,H$4-Assumptions!$C$72)+INDEX('36-Month Forecast'!$C$51:$AL$51,1,H$4-Assumptions!$C$72)*'Unit Economics'!$H$53,0)</f>
        <v>0.837314999999999</v>
      </c>
      <c r="I12" s="8" t="n">
        <f aca="false">IF(I$4-Assumptions!$C$72&gt;=1,INDEX('36-Month Forecast'!$C$54:$AL$54,1,I$4-Assumptions!$C$72)+INDEX('36-Month Forecast'!$C$51:$AL$51,1,I$4-Assumptions!$C$72)*'Unit Economics'!$H$53,0)</f>
        <v>1.61260666666667</v>
      </c>
      <c r="J12" s="8" t="n">
        <f aca="false">IF(J$4-Assumptions!$C$72&gt;=1,INDEX('36-Month Forecast'!$C$54:$AL$54,1,J$4-Assumptions!$C$72)+INDEX('36-Month Forecast'!$C$51:$AL$51,1,J$4-Assumptions!$C$72)*'Unit Economics'!$H$53,0)</f>
        <v>1.811279808</v>
      </c>
      <c r="K12" s="8" t="n">
        <f aca="false">IF(K$4-Assumptions!$C$72&gt;=1,INDEX('36-Month Forecast'!$C$54:$AL$54,1,K$4-Assumptions!$C$72)+INDEX('36-Month Forecast'!$C$51:$AL$51,1,K$4-Assumptions!$C$72)*'Unit Economics'!$H$53,0)</f>
        <v>2.79071259306666</v>
      </c>
      <c r="L12" s="8" t="n">
        <f aca="false">IF(L$4-Assumptions!$C$72&gt;=1,INDEX('36-Month Forecast'!$C$54:$AL$54,1,L$4-Assumptions!$C$72)+INDEX('36-Month Forecast'!$C$51:$AL$51,1,L$4-Assumptions!$C$72)*'Unit Economics'!$H$53,0)</f>
        <v>3.809322689536</v>
      </c>
      <c r="M12" s="8" t="n">
        <f aca="false">IF(M$4-Assumptions!$C$72&gt;=1,INDEX('36-Month Forecast'!$C$54:$AL$54,1,M$4-Assumptions!$C$72)+INDEX('36-Month Forecast'!$C$51:$AL$51,1,M$4-Assumptions!$C$72)*'Unit Economics'!$H$53,0)</f>
        <v>4.30126950544179</v>
      </c>
      <c r="N12" s="8" t="n">
        <f aca="false">IF(N$4-Assumptions!$C$72&gt;=1,INDEX('36-Month Forecast'!$C$54:$AL$54,1,N$4-Assumptions!$C$72)+INDEX('36-Month Forecast'!$C$51:$AL$51,1,N$4-Assumptions!$C$72)*'Unit Economics'!$H$53,0)</f>
        <v>4.70875819543101</v>
      </c>
      <c r="O12" s="8" t="n">
        <f aca="false">IF(O$4-Assumptions!$C$72&gt;=1,INDEX('36-Month Forecast'!$C$54:$AL$54,1,O$4-Assumptions!$C$72)+INDEX('36-Month Forecast'!$C$51:$AL$51,1,O$4-Assumptions!$C$72)*'Unit Economics'!$H$53,0)</f>
        <v>4.65225309708584</v>
      </c>
      <c r="P12" s="8" t="n">
        <f aca="false">IF(P$4-Assumptions!$C$72&gt;=1,INDEX('36-Month Forecast'!$C$54:$AL$54,1,P$4-Assumptions!$C$72)+INDEX('36-Month Forecast'!$C$51:$AL$51,1,P$4-Assumptions!$C$72)*'Unit Economics'!$H$53,0)</f>
        <v>4.32904393455145</v>
      </c>
      <c r="Q12" s="8" t="n">
        <f aca="false">IF(Q$4-Assumptions!$C$72&gt;=1,INDEX('36-Month Forecast'!$C$54:$AL$54,1,Q$4-Assumptions!$C$72)+INDEX('36-Month Forecast'!$C$51:$AL$51,1,Q$4-Assumptions!$C$72)*'Unit Economics'!$H$53,0)</f>
        <v>4.50220569193351</v>
      </c>
      <c r="R12" s="8" t="n">
        <f aca="false">IF(R$4-Assumptions!$C$72&gt;=1,INDEX('36-Month Forecast'!$C$54:$AL$54,1,R$4-Assumptions!$C$72)+INDEX('36-Month Forecast'!$C$51:$AL$51,1,R$4-Assumptions!$C$72)*'Unit Economics'!$H$53,0)</f>
        <v>5.1325144888042</v>
      </c>
      <c r="S12" s="8" t="n">
        <f aca="false">IF(S$4-Assumptions!$C$72&gt;=1,INDEX('36-Month Forecast'!$C$54:$AL$54,1,S$4-Assumptions!$C$72)+INDEX('36-Month Forecast'!$C$51:$AL$51,1,S$4-Assumptions!$C$72)*'Unit Economics'!$H$53,0)</f>
        <v>7.16390969700461</v>
      </c>
      <c r="T12" s="8" t="n">
        <f aca="false">IF(T$4-Assumptions!$C$72&gt;=1,INDEX('36-Month Forecast'!$C$54:$AL$54,1,T$4-Assumptions!$C$72)+INDEX('36-Month Forecast'!$C$51:$AL$51,1,T$4-Assumptions!$C$72)*'Unit Economics'!$H$53,0)</f>
        <v>7.58823357905796</v>
      </c>
      <c r="U12" s="8" t="n">
        <f aca="false">IF(U$4-Assumptions!$C$72&gt;=1,INDEX('36-Month Forecast'!$C$54:$AL$54,1,U$4-Assumptions!$C$72)+INDEX('36-Month Forecast'!$C$51:$AL$51,1,U$4-Assumptions!$C$72)*'Unit Economics'!$H$53,0)</f>
        <v>7.16666504688807</v>
      </c>
      <c r="V12" s="8" t="n">
        <f aca="false">IF(V$4-Assumptions!$C$72&gt;=1,INDEX('36-Month Forecast'!$C$54:$AL$54,1,V$4-Assumptions!$C$72)+INDEX('36-Month Forecast'!$C$51:$AL$51,1,V$4-Assumptions!$C$72)*'Unit Economics'!$H$53,0)</f>
        <v>5.2631988104346</v>
      </c>
      <c r="W12" s="8" t="n">
        <f aca="false">IF(W$4-Assumptions!$C$72&gt;=1,INDEX('36-Month Forecast'!$C$54:$AL$54,1,W$4-Assumptions!$C$72)+INDEX('36-Month Forecast'!$C$51:$AL$51,1,W$4-Assumptions!$C$72)*'Unit Economics'!$H$53,0)</f>
        <v>5.96495865182588</v>
      </c>
      <c r="X12" s="8" t="n">
        <f aca="false">IF(X$4-Assumptions!$C$72&gt;=1,INDEX('36-Month Forecast'!$C$54:$AL$54,1,X$4-Assumptions!$C$72)+INDEX('36-Month Forecast'!$C$51:$AL$51,1,X$4-Assumptions!$C$72)*'Unit Economics'!$H$53,0)</f>
        <v>6.38847071610552</v>
      </c>
      <c r="Y12" s="8" t="n">
        <f aca="false">IF(Y$4-Assumptions!$C$72&gt;=1,INDEX('36-Month Forecast'!$C$54:$AL$54,1,Y$4-Assumptions!$C$72)+INDEX('36-Month Forecast'!$C$51:$AL$51,1,Y$4-Assumptions!$C$72)*'Unit Economics'!$H$53,0)</f>
        <v>5.89564583229166</v>
      </c>
      <c r="Z12" s="8" t="n">
        <f aca="false">IF(Z$4-Assumptions!$C$72&gt;=1,INDEX('36-Month Forecast'!$C$54:$AL$54,1,Z$4-Assumptions!$C$72)+INDEX('36-Month Forecast'!$C$51:$AL$51,1,Z$4-Assumptions!$C$72)*'Unit Economics'!$H$53,0)</f>
        <v>6.33006184098684</v>
      </c>
      <c r="AA12" s="8" t="n">
        <f aca="false">IF(AA$4-Assumptions!$C$72&gt;=1,INDEX('36-Month Forecast'!$C$54:$AL$54,1,AA$4-Assumptions!$C$72)+INDEX('36-Month Forecast'!$C$51:$AL$51,1,AA$4-Assumptions!$C$72)*'Unit Economics'!$H$53,0)</f>
        <v>6.13382992391625</v>
      </c>
      <c r="AB12" s="8" t="n">
        <f aca="false">IF(AB$4-Assumptions!$C$72&gt;=1,INDEX('36-Month Forecast'!$C$54:$AL$54,1,AB$4-Assumptions!$C$72)+INDEX('36-Month Forecast'!$C$51:$AL$51,1,AB$4-Assumptions!$C$72)*'Unit Economics'!$H$53,0)</f>
        <v>5.5979268884583</v>
      </c>
      <c r="AC12" s="8" t="n">
        <f aca="false">IF(AC$4-Assumptions!$C$72&gt;=1,INDEX('36-Month Forecast'!$C$54:$AL$54,1,AC$4-Assumptions!$C$72)+INDEX('36-Month Forecast'!$C$51:$AL$51,1,AC$4-Assumptions!$C$72)*'Unit Economics'!$H$53,0)</f>
        <v>5.70988542622747</v>
      </c>
      <c r="AD12" s="8" t="n">
        <f aca="false">IF(AD$4-Assumptions!$C$72&gt;=1,INDEX('36-Month Forecast'!$C$54:$AL$54,1,AD$4-Assumptions!$C$72)+INDEX('36-Month Forecast'!$C$51:$AL$51,1,AD$4-Assumptions!$C$72)*'Unit Economics'!$H$53,0)</f>
        <v>6.44545301937089</v>
      </c>
      <c r="AE12" s="8" t="n">
        <f aca="false">IF(AE$4-Assumptions!$C$72&gt;=1,INDEX('36-Month Forecast'!$C$54:$AL$54,1,AE$4-Assumptions!$C$72)+INDEX('36-Month Forecast'!$C$51:$AL$51,1,AE$4-Assumptions!$C$72)*'Unit Economics'!$H$53,0)</f>
        <v>8.90829454150945</v>
      </c>
      <c r="AF12" s="8" t="n">
        <f aca="false">IF(AF$4-Assumptions!$C$72&gt;=1,INDEX('36-Month Forecast'!$C$54:$AL$54,1,AF$4-Assumptions!$C$72)+INDEX('36-Month Forecast'!$C$51:$AL$51,1,AF$4-Assumptions!$C$72)*'Unit Economics'!$H$53,0)</f>
        <v>9.34343046719087</v>
      </c>
      <c r="AG12" s="8" t="n">
        <f aca="false">IF(AG$4-Assumptions!$C$72&gt;=1,INDEX('36-Month Forecast'!$C$54:$AL$54,1,AG$4-Assumptions!$C$72)+INDEX('36-Month Forecast'!$C$51:$AL$51,1,AG$4-Assumptions!$C$72)*'Unit Economics'!$H$53,0)</f>
        <v>8.7378377517248</v>
      </c>
      <c r="AH12" s="8" t="n">
        <f aca="false">IF(AH$4-Assumptions!$C$72&gt;=1,INDEX('36-Month Forecast'!$C$54:$AL$54,1,AH$4-Assumptions!$C$72)+INDEX('36-Month Forecast'!$C$51:$AL$51,1,AH$4-Assumptions!$C$72)*'Unit Economics'!$H$53,0)</f>
        <v>6.35415561305427</v>
      </c>
      <c r="AI12" s="8" t="n">
        <f aca="false">IF(AI$4-Assumptions!$C$72&gt;=1,INDEX('36-Month Forecast'!$C$54:$AL$54,1,AI$4-Assumptions!$C$72)+INDEX('36-Month Forecast'!$C$51:$AL$51,1,AI$4-Assumptions!$C$72)*'Unit Economics'!$H$53,0)</f>
        <v>7.13077463242757</v>
      </c>
      <c r="AJ12" s="8" t="n">
        <f aca="false">IF(AJ$4-Assumptions!$C$72&gt;=1,INDEX('36-Month Forecast'!$C$54:$AL$54,1,AJ$4-Assumptions!$C$72)+INDEX('36-Month Forecast'!$C$51:$AL$51,1,AJ$4-Assumptions!$C$72)*'Unit Economics'!$H$53,0)</f>
        <v>7.56218649768944</v>
      </c>
      <c r="AK12" s="8" t="n">
        <f aca="false">IF(AK$4-Assumptions!$C$72&gt;=1,INDEX('36-Month Forecast'!$C$54:$AL$54,1,AK$4-Assumptions!$C$72)+INDEX('36-Month Forecast'!$C$51:$AL$51,1,AK$4-Assumptions!$C$72)*'Unit Economics'!$H$53,0)</f>
        <v>6.9103980424124</v>
      </c>
      <c r="AL12" s="8" t="n">
        <f aca="false">IF(AL$4-Assumptions!$C$72&gt;=1,INDEX('36-Month Forecast'!$C$54:$AL$54,1,AL$4-Assumptions!$C$72)+INDEX('36-Month Forecast'!$C$51:$AL$51,1,AL$4-Assumptions!$C$72)*'Unit Economics'!$H$53,0)</f>
        <v>7.34684423456476</v>
      </c>
      <c r="AM12" s="45" t="n">
        <f aca="false">SUMIF($C$6:$AL$6,1,C12:AL12)</f>
        <v>19.8712644581421</v>
      </c>
      <c r="AN12" s="45" t="n">
        <f aca="false">SUMIF($C$6:$AL$6,2,C12:AL12)</f>
        <v>70.3771613869701</v>
      </c>
      <c r="AO12" s="45" t="n">
        <f aca="false">SUMIF($C$6:$AL$6,3,C12:AL12)</f>
        <v>86.1810170385464</v>
      </c>
      <c r="AP12" s="45" t="n">
        <f aca="false">SUM(C12:AL12)</f>
        <v>176.429442883659</v>
      </c>
    </row>
    <row r="13" customFormat="false" ht="15" hidden="false" customHeight="false" outlineLevel="0" collapsed="false">
      <c r="A13" s="7" t="s">
        <v>805</v>
      </c>
      <c r="C13" s="8" t="n">
        <f aca="false">IF(C$4-Assumptions!$C$73&gt;=1,INDEX('36-Month Forecast'!$C$64:$AL$64,1,C$4-Assumptions!$C$73)+INDEX('36-Month Forecast'!$C$61:$AL$61,1,C$4-Assumptions!$C$73)*'Unit Economics'!$H$54,0)</f>
        <v>-0</v>
      </c>
      <c r="D13" s="8" t="n">
        <f aca="false">IF(D$4-Assumptions!$C$73&gt;=1,INDEX('36-Month Forecast'!$C$64:$AL$64,1,D$4-Assumptions!$C$73)+INDEX('36-Month Forecast'!$C$61:$AL$61,1,D$4-Assumptions!$C$73)*'Unit Economics'!$H$54,0)</f>
        <v>-0</v>
      </c>
      <c r="E13" s="8" t="n">
        <f aca="false">IF(E$4-Assumptions!$C$73&gt;=1,INDEX('36-Month Forecast'!$C$64:$AL$64,1,E$4-Assumptions!$C$73)+INDEX('36-Month Forecast'!$C$61:$AL$61,1,E$4-Assumptions!$C$73)*'Unit Economics'!$H$54,0)</f>
        <v>0</v>
      </c>
      <c r="F13" s="8" t="n">
        <f aca="false">IF(F$4-Assumptions!$C$73&gt;=1,INDEX('36-Month Forecast'!$C$64:$AL$64,1,F$4-Assumptions!$C$73)+INDEX('36-Month Forecast'!$C$61:$AL$61,1,F$4-Assumptions!$C$73)*'Unit Economics'!$H$54,0)</f>
        <v>0.774998756928</v>
      </c>
      <c r="G13" s="8" t="n">
        <f aca="false">IF(G$4-Assumptions!$C$73&gt;=1,INDEX('36-Month Forecast'!$C$64:$AL$64,1,G$4-Assumptions!$C$73)+INDEX('36-Month Forecast'!$C$61:$AL$61,1,G$4-Assumptions!$C$73)*'Unit Economics'!$H$54,0)</f>
        <v>1.20527806677443</v>
      </c>
      <c r="H13" s="8" t="n">
        <f aca="false">IF(H$4-Assumptions!$C$73&gt;=1,INDEX('36-Month Forecast'!$C$64:$AL$64,1,H$4-Assumptions!$C$73)+INDEX('36-Month Forecast'!$C$61:$AL$61,1,H$4-Assumptions!$C$73)*'Unit Economics'!$H$54,0)</f>
        <v>2.16950052019397</v>
      </c>
      <c r="I13" s="8" t="n">
        <f aca="false">IF(I$4-Assumptions!$C$73&gt;=1,INDEX('36-Month Forecast'!$C$64:$AL$64,1,I$4-Assumptions!$C$73)+INDEX('36-Month Forecast'!$C$61:$AL$61,1,I$4-Assumptions!$C$73)*'Unit Economics'!$H$54,0)</f>
        <v>3.28028478653328</v>
      </c>
      <c r="J13" s="8" t="n">
        <f aca="false">IF(J$4-Assumptions!$C$73&gt;=1,INDEX('36-Month Forecast'!$C$64:$AL$64,1,J$4-Assumptions!$C$73)+INDEX('36-Month Forecast'!$C$61:$AL$61,1,J$4-Assumptions!$C$73)*'Unit Economics'!$H$54,0)</f>
        <v>4.00663356069422</v>
      </c>
      <c r="K13" s="8" t="n">
        <f aca="false">IF(K$4-Assumptions!$C$73&gt;=1,INDEX('36-Month Forecast'!$C$64:$AL$64,1,K$4-Assumptions!$C$73)+INDEX('36-Month Forecast'!$C$61:$AL$61,1,K$4-Assumptions!$C$73)*'Unit Economics'!$H$54,0)</f>
        <v>5.46589167858917</v>
      </c>
      <c r="L13" s="8" t="n">
        <f aca="false">IF(L$4-Assumptions!$C$73&gt;=1,INDEX('36-Month Forecast'!$C$64:$AL$64,1,L$4-Assumptions!$C$73)+INDEX('36-Month Forecast'!$C$61:$AL$61,1,L$4-Assumptions!$C$73)*'Unit Economics'!$H$54,0)</f>
        <v>5.60800486223248</v>
      </c>
      <c r="M13" s="8" t="n">
        <f aca="false">IF(M$4-Assumptions!$C$73&gt;=1,INDEX('36-Month Forecast'!$C$64:$AL$64,1,M$4-Assumptions!$C$73)+INDEX('36-Month Forecast'!$C$61:$AL$61,1,M$4-Assumptions!$C$73)*'Unit Economics'!$H$54,0)</f>
        <v>5.41910364582044</v>
      </c>
      <c r="N13" s="8" t="n">
        <f aca="false">IF(N$4-Assumptions!$C$73&gt;=1,INDEX('36-Month Forecast'!$C$64:$AL$64,1,N$4-Assumptions!$C$73)+INDEX('36-Month Forecast'!$C$61:$AL$61,1,N$4-Assumptions!$C$73)*'Unit Economics'!$H$54,0)</f>
        <v>5.85263193748608</v>
      </c>
      <c r="O13" s="8" t="n">
        <f aca="false">IF(O$4-Assumptions!$C$73&gt;=1,INDEX('36-Month Forecast'!$C$64:$AL$64,1,O$4-Assumptions!$C$73)+INDEX('36-Month Forecast'!$C$61:$AL$61,1,O$4-Assumptions!$C$73)*'Unit Economics'!$H$54,0)</f>
        <v>6.80282394616029</v>
      </c>
      <c r="P13" s="8" t="n">
        <f aca="false">IF(P$4-Assumptions!$C$73&gt;=1,INDEX('36-Month Forecast'!$C$64:$AL$64,1,P$4-Assumptions!$C$73)+INDEX('36-Month Forecast'!$C$61:$AL$61,1,P$4-Assumptions!$C$73)*'Unit Economics'!$H$54,0)</f>
        <v>9.68149260548286</v>
      </c>
      <c r="Q13" s="8" t="n">
        <f aca="false">IF(Q$4-Assumptions!$C$73&gt;=1,INDEX('36-Month Forecast'!$C$64:$AL$64,1,Q$4-Assumptions!$C$73)+INDEX('36-Month Forecast'!$C$61:$AL$61,1,Q$4-Assumptions!$C$73)*'Unit Economics'!$H$54,0)</f>
        <v>10.4560120139215</v>
      </c>
      <c r="R13" s="8" t="n">
        <f aca="false">IF(R$4-Assumptions!$C$73&gt;=1,INDEX('36-Month Forecast'!$C$64:$AL$64,1,R$4-Assumptions!$C$73)+INDEX('36-Month Forecast'!$C$61:$AL$61,1,R$4-Assumptions!$C$73)*'Unit Economics'!$H$54,0)</f>
        <v>10.0687523097022</v>
      </c>
      <c r="S13" s="8" t="n">
        <f aca="false">IF(S$4-Assumptions!$C$73&gt;=1,INDEX('36-Month Forecast'!$C$64:$AL$64,1,S$4-Assumptions!$C$73)+INDEX('36-Month Forecast'!$C$61:$AL$61,1,S$4-Assumptions!$C$73)*'Unit Economics'!$H$54,0)</f>
        <v>7.53948172950499</v>
      </c>
      <c r="T13" s="8" t="n">
        <f aca="false">IF(T$4-Assumptions!$C$73&gt;=1,INDEX('36-Month Forecast'!$C$64:$AL$64,1,T$4-Assumptions!$C$73)+INDEX('36-Month Forecast'!$C$61:$AL$61,1,T$4-Assumptions!$C$73)*'Unit Economics'!$H$54,0)</f>
        <v>8.7122899985391</v>
      </c>
      <c r="U13" s="8" t="n">
        <f aca="false">IF(U$4-Assumptions!$C$73&gt;=1,INDEX('36-Month Forecast'!$C$64:$AL$64,1,U$4-Assumptions!$C$73)+INDEX('36-Month Forecast'!$C$61:$AL$61,1,U$4-Assumptions!$C$73)*'Unit Economics'!$H$54,0)</f>
        <v>9.51382067840469</v>
      </c>
      <c r="V13" s="8" t="n">
        <f aca="false">IF(V$4-Assumptions!$C$73&gt;=1,INDEX('36-Month Forecast'!$C$64:$AL$64,1,V$4-Assumptions!$C$73)+INDEX('36-Month Forecast'!$C$61:$AL$61,1,V$4-Assumptions!$C$73)*'Unit Economics'!$H$54,0)</f>
        <v>8.95205221929889</v>
      </c>
      <c r="W13" s="8" t="n">
        <f aca="false">IF(W$4-Assumptions!$C$73&gt;=1,INDEX('36-Month Forecast'!$C$64:$AL$64,1,W$4-Assumptions!$C$73)+INDEX('36-Month Forecast'!$C$61:$AL$61,1,W$4-Assumptions!$C$73)*'Unit Economics'!$H$54,0)</f>
        <v>9.80014137691668</v>
      </c>
      <c r="X13" s="8" t="n">
        <f aca="false">IF(X$4-Assumptions!$C$73&gt;=1,INDEX('36-Month Forecast'!$C$64:$AL$64,1,X$4-Assumptions!$C$73)+INDEX('36-Month Forecast'!$C$61:$AL$61,1,X$4-Assumptions!$C$73)*'Unit Economics'!$H$54,0)</f>
        <v>9.68253968039368</v>
      </c>
      <c r="Y13" s="8" t="n">
        <f aca="false">IF(Y$4-Assumptions!$C$73&gt;=1,INDEX('36-Month Forecast'!$C$64:$AL$64,1,Y$4-Assumptions!$C$73)+INDEX('36-Month Forecast'!$C$61:$AL$61,1,Y$4-Assumptions!$C$73)*'Unit Economics'!$H$54,0)</f>
        <v>9.00985797628212</v>
      </c>
      <c r="Z13" s="8" t="n">
        <f aca="false">IF(Z$4-Assumptions!$C$73&gt;=1,INDEX('36-Month Forecast'!$C$64:$AL$64,1,Z$4-Assumptions!$C$73)+INDEX('36-Month Forecast'!$C$61:$AL$61,1,Z$4-Assumptions!$C$73)*'Unit Economics'!$H$54,0)</f>
        <v>9.37025229533341</v>
      </c>
      <c r="AA13" s="8" t="n">
        <f aca="false">IF(AA$4-Assumptions!$C$73&gt;=1,INDEX('36-Month Forecast'!$C$64:$AL$64,1,AA$4-Assumptions!$C$73)+INDEX('36-Month Forecast'!$C$61:$AL$61,1,AA$4-Assumptions!$C$73)*'Unit Economics'!$H$54,0)</f>
        <v>10.6820876166801</v>
      </c>
      <c r="AB13" s="8" t="n">
        <f aca="false">IF(AB$4-Assumptions!$C$73&gt;=1,INDEX('36-Month Forecast'!$C$64:$AL$64,1,AB$4-Assumptions!$C$73)+INDEX('36-Month Forecast'!$C$61:$AL$61,1,AB$4-Assumptions!$C$73)*'Unit Economics'!$H$54,0)</f>
        <v>14.9099454523345</v>
      </c>
      <c r="AC13" s="8" t="n">
        <f aca="false">IF(AC$4-Assumptions!$C$73&gt;=1,INDEX('36-Month Forecast'!$C$64:$AL$64,1,AC$4-Assumptions!$C$73)+INDEX('36-Month Forecast'!$C$61:$AL$61,1,AC$4-Assumptions!$C$73)*'Unit Economics'!$H$54,0)</f>
        <v>15.7930729906651</v>
      </c>
      <c r="AD13" s="8" t="n">
        <f aca="false">IF(AD$4-Assumptions!$C$73&gt;=1,INDEX('36-Month Forecast'!$C$64:$AL$64,1,AD$4-Assumptions!$C$73)+INDEX('36-Month Forecast'!$C$61:$AL$61,1,AD$4-Assumptions!$C$73)*'Unit Economics'!$H$54,0)</f>
        <v>14.9156800467393</v>
      </c>
      <c r="AE13" s="8" t="n">
        <f aca="false">IF(AE$4-Assumptions!$C$73&gt;=1,INDEX('36-Month Forecast'!$C$64:$AL$64,1,AE$4-Assumptions!$C$73)+INDEX('36-Month Forecast'!$C$61:$AL$61,1,AE$4-Assumptions!$C$73)*'Unit Economics'!$H$54,0)</f>
        <v>10.9540754263253</v>
      </c>
      <c r="AF13" s="8" t="n">
        <f aca="false">IF(AF$4-Assumptions!$C$73&gt;=1,INDEX('36-Month Forecast'!$C$64:$AL$64,1,AF$4-Assumptions!$C$73)+INDEX('36-Month Forecast'!$C$61:$AL$61,1,AF$4-Assumptions!$C$73)*'Unit Economics'!$H$54,0)</f>
        <v>12.414618816502</v>
      </c>
      <c r="AG13" s="8" t="n">
        <f aca="false">IF(AG$4-Assumptions!$C$73&gt;=1,INDEX('36-Month Forecast'!$C$64:$AL$64,1,AG$4-Assumptions!$C$73)+INDEX('36-Month Forecast'!$C$61:$AL$61,1,AG$4-Assumptions!$C$73)*'Unit Economics'!$H$54,0)</f>
        <v>13.2960567524737</v>
      </c>
      <c r="AH13" s="8" t="n">
        <f aca="false">IF(AH$4-Assumptions!$C$73&gt;=1,INDEX('36-Month Forecast'!$C$64:$AL$64,1,AH$4-Assumptions!$C$73)+INDEX('36-Month Forecast'!$C$61:$AL$61,1,AH$4-Assumptions!$C$73)*'Unit Economics'!$H$54,0)</f>
        <v>12.2703609458543</v>
      </c>
      <c r="AI13" s="8" t="n">
        <f aca="false">IF(AI$4-Assumptions!$C$73&gt;=1,INDEX('36-Month Forecast'!$C$64:$AL$64,1,AI$4-Assumptions!$C$73)+INDEX('36-Month Forecast'!$C$61:$AL$61,1,AI$4-Assumptions!$C$73)*'Unit Economics'!$H$54,0)</f>
        <v>13.1744928050225</v>
      </c>
      <c r="AJ13" s="8" t="n">
        <f aca="false">IF(AJ$4-Assumptions!$C$73&gt;=1,INDEX('36-Month Forecast'!$C$64:$AL$64,1,AJ$4-Assumptions!$C$73)+INDEX('36-Month Forecast'!$C$61:$AL$61,1,AJ$4-Assumptions!$C$73)*'Unit Economics'!$H$54,0)</f>
        <v>12.7660835280668</v>
      </c>
      <c r="AK13" s="8" t="n">
        <f aca="false">IF(AK$4-Assumptions!$C$73&gt;=1,INDEX('36-Month Forecast'!$C$64:$AL$64,1,AK$4-Assumptions!$C$73)+INDEX('36-Month Forecast'!$C$61:$AL$61,1,AK$4-Assumptions!$C$73)*'Unit Economics'!$H$54,0)</f>
        <v>11.6507309671936</v>
      </c>
      <c r="AL13" s="8" t="n">
        <f aca="false">IF(AL$4-Assumptions!$C$73&gt;=1,INDEX('36-Month Forecast'!$C$64:$AL$64,1,AL$4-Assumptions!$C$73)+INDEX('36-Month Forecast'!$C$61:$AL$61,1,AL$4-Assumptions!$C$73)*'Unit Economics'!$H$54,0)</f>
        <v>11.8837455865374</v>
      </c>
      <c r="AM13" s="45" t="n">
        <f aca="false">SUMIF($C$6:$AL$6,1,C13:AL13)</f>
        <v>33.7823278152521</v>
      </c>
      <c r="AN13" s="45" t="n">
        <f aca="false">SUMIF($C$6:$AL$6,2,C13:AL13)</f>
        <v>109.58951682994</v>
      </c>
      <c r="AO13" s="45" t="n">
        <f aca="false">SUMIF($C$6:$AL$6,3,C13:AL13)</f>
        <v>154.710950934395</v>
      </c>
      <c r="AP13" s="45" t="n">
        <f aca="false">SUM(C13:AL13)</f>
        <v>298.082795579587</v>
      </c>
    </row>
    <row r="14" customFormat="false" ht="15" hidden="false" customHeight="false" outlineLevel="0" collapsed="false">
      <c r="A14" s="7" t="s">
        <v>806</v>
      </c>
      <c r="C14" s="8" t="n">
        <f aca="false">IF(C$4-Assumptions!$C$74&gt;=1,INDEX('36-Month Forecast'!$C$74:$AL$74,1,C$4-Assumptions!$C$74)+INDEX('36-Month Forecast'!$C$71:$AL$71,1,C$4-Assumptions!$C$74)*'Unit Economics'!$H$55,0)</f>
        <v>-0</v>
      </c>
      <c r="D14" s="8" t="n">
        <f aca="false">IF(D$4-Assumptions!$C$74&gt;=1,INDEX('36-Month Forecast'!$C$74:$AL$74,1,D$4-Assumptions!$C$74)+INDEX('36-Month Forecast'!$C$71:$AL$71,1,D$4-Assumptions!$C$74)*'Unit Economics'!$H$55,0)</f>
        <v>-0</v>
      </c>
      <c r="E14" s="8" t="n">
        <f aca="false">IF(E$4-Assumptions!$C$74&gt;=1,INDEX('36-Month Forecast'!$C$74:$AL$74,1,E$4-Assumptions!$C$74)+INDEX('36-Month Forecast'!$C$71:$AL$71,1,E$4-Assumptions!$C$74)*'Unit Economics'!$H$55,0)</f>
        <v>0</v>
      </c>
      <c r="F14" s="8" t="n">
        <f aca="false">IF(F$4-Assumptions!$C$74&gt;=1,INDEX('36-Month Forecast'!$C$74:$AL$74,1,F$4-Assumptions!$C$74)+INDEX('36-Month Forecast'!$C$71:$AL$71,1,F$4-Assumptions!$C$74)*'Unit Economics'!$H$55,0)</f>
        <v>0.158473864860167</v>
      </c>
      <c r="G14" s="8" t="n">
        <f aca="false">IF(G$4-Assumptions!$C$74&gt;=1,INDEX('36-Month Forecast'!$C$74:$AL$74,1,G$4-Assumptions!$C$74)+INDEX('36-Month Forecast'!$C$71:$AL$71,1,G$4-Assumptions!$C$74)*'Unit Economics'!$H$55,0)</f>
        <v>0.323514525535022</v>
      </c>
      <c r="H14" s="8" t="n">
        <f aca="false">IF(H$4-Assumptions!$C$74&gt;=1,INDEX('36-Month Forecast'!$C$74:$AL$74,1,H$4-Assumptions!$C$74)+INDEX('36-Month Forecast'!$C$71:$AL$71,1,H$4-Assumptions!$C$74)*'Unit Economics'!$H$55,0)</f>
        <v>0.663307710217646</v>
      </c>
      <c r="I14" s="8" t="n">
        <f aca="false">IF(I$4-Assumptions!$C$74&gt;=1,INDEX('36-Month Forecast'!$C$74:$AL$74,1,I$4-Assumptions!$C$74)+INDEX('36-Month Forecast'!$C$71:$AL$71,1,I$4-Assumptions!$C$74)*'Unit Economics'!$H$55,0)</f>
        <v>1.14559309171266</v>
      </c>
      <c r="J14" s="8" t="n">
        <f aca="false">IF(J$4-Assumptions!$C$74&gt;=1,INDEX('36-Month Forecast'!$C$74:$AL$74,1,J$4-Assumptions!$C$74)+INDEX('36-Month Forecast'!$C$71:$AL$71,1,J$4-Assumptions!$C$74)*'Unit Economics'!$H$55,0)</f>
        <v>1.57844049669114</v>
      </c>
      <c r="K14" s="8" t="n">
        <f aca="false">IF(K$4-Assumptions!$C$74&gt;=1,INDEX('36-Month Forecast'!$C$74:$AL$74,1,K$4-Assumptions!$C$74)+INDEX('36-Month Forecast'!$C$71:$AL$71,1,K$4-Assumptions!$C$74)*'Unit Economics'!$H$55,0)</f>
        <v>2.33665648342465</v>
      </c>
      <c r="L14" s="8" t="n">
        <f aca="false">IF(L$4-Assumptions!$C$74&gt;=1,INDEX('36-Month Forecast'!$C$74:$AL$74,1,L$4-Assumptions!$C$74)+INDEX('36-Month Forecast'!$C$71:$AL$71,1,L$4-Assumptions!$C$74)*'Unit Economics'!$H$55,0)</f>
        <v>2.5891348450609</v>
      </c>
      <c r="M14" s="8" t="n">
        <f aca="false">IF(M$4-Assumptions!$C$74&gt;=1,INDEX('36-Month Forecast'!$C$74:$AL$74,1,M$4-Assumptions!$C$74)+INDEX('36-Month Forecast'!$C$71:$AL$71,1,M$4-Assumptions!$C$74)*'Unit Economics'!$H$55,0)</f>
        <v>2.65003773108314</v>
      </c>
      <c r="N14" s="8" t="n">
        <f aca="false">IF(N$4-Assumptions!$C$74&gt;=1,INDEX('36-Month Forecast'!$C$74:$AL$74,1,N$4-Assumptions!$C$74)+INDEX('36-Month Forecast'!$C$71:$AL$71,1,N$4-Assumptions!$C$74)*'Unit Economics'!$H$55,0)</f>
        <v>2.96290906764543</v>
      </c>
      <c r="O14" s="8" t="n">
        <f aca="false">IF(O$4-Assumptions!$C$74&gt;=1,INDEX('36-Month Forecast'!$C$74:$AL$74,1,O$4-Assumptions!$C$74)+INDEX('36-Month Forecast'!$C$71:$AL$71,1,O$4-Assumptions!$C$74)*'Unit Economics'!$H$55,0)</f>
        <v>3.68558071350596</v>
      </c>
      <c r="P14" s="8" t="n">
        <f aca="false">IF(P$4-Assumptions!$C$74&gt;=1,INDEX('36-Month Forecast'!$C$74:$AL$74,1,P$4-Assumptions!$C$74)+INDEX('36-Month Forecast'!$C$71:$AL$71,1,P$4-Assumptions!$C$74)*'Unit Economics'!$H$55,0)</f>
        <v>5.64152904687303</v>
      </c>
      <c r="Q14" s="8" t="n">
        <f aca="false">IF(Q$4-Assumptions!$C$74&gt;=1,INDEX('36-Month Forecast'!$C$74:$AL$74,1,Q$4-Assumptions!$C$74)+INDEX('36-Month Forecast'!$C$71:$AL$71,1,Q$4-Assumptions!$C$74)*'Unit Economics'!$H$55,0)</f>
        <v>6.77230006790461</v>
      </c>
      <c r="R14" s="8" t="n">
        <f aca="false">IF(R$4-Assumptions!$C$74&gt;=1,INDEX('36-Month Forecast'!$C$74:$AL$74,1,R$4-Assumptions!$C$74)+INDEX('36-Month Forecast'!$C$71:$AL$71,1,R$4-Assumptions!$C$74)*'Unit Economics'!$H$55,0)</f>
        <v>7.17417370694254</v>
      </c>
      <c r="S14" s="8" t="n">
        <f aca="false">IF(S$4-Assumptions!$C$74&gt;=1,INDEX('36-Month Forecast'!$C$74:$AL$74,1,S$4-Assumptions!$C$74)+INDEX('36-Month Forecast'!$C$71:$AL$71,1,S$4-Assumptions!$C$74)*'Unit Economics'!$H$55,0)</f>
        <v>5.77411078620655</v>
      </c>
      <c r="T14" s="8" t="n">
        <f aca="false">IF(T$4-Assumptions!$C$74&gt;=1,INDEX('36-Month Forecast'!$C$74:$AL$74,1,T$4-Assumptions!$C$74)+INDEX('36-Month Forecast'!$C$71:$AL$71,1,T$4-Assumptions!$C$74)*'Unit Economics'!$H$55,0)</f>
        <v>6.87862395962997</v>
      </c>
      <c r="U14" s="8" t="n">
        <f aca="false">IF(U$4-Assumptions!$C$74&gt;=1,INDEX('36-Month Forecast'!$C$74:$AL$74,1,U$4-Assumptions!$C$74)+INDEX('36-Month Forecast'!$C$71:$AL$71,1,U$4-Assumptions!$C$74)*'Unit Economics'!$H$55,0)</f>
        <v>7.79413637605813</v>
      </c>
      <c r="V14" s="8" t="n">
        <f aca="false">IF(V$4-Assumptions!$C$74&gt;=1,INDEX('36-Month Forecast'!$C$74:$AL$74,1,V$4-Assumptions!$C$74)+INDEX('36-Month Forecast'!$C$71:$AL$71,1,V$4-Assumptions!$C$74)*'Unit Economics'!$H$55,0)</f>
        <v>7.61691226466497</v>
      </c>
      <c r="W14" s="8" t="n">
        <f aca="false">IF(W$4-Assumptions!$C$74&gt;=1,INDEX('36-Month Forecast'!$C$74:$AL$74,1,W$4-Assumptions!$C$74)+INDEX('36-Month Forecast'!$C$71:$AL$71,1,W$4-Assumptions!$C$74)*'Unit Economics'!$H$55,0)</f>
        <v>8.55553333618585</v>
      </c>
      <c r="X14" s="8" t="n">
        <f aca="false">IF(X$4-Assumptions!$C$74&gt;=1,INDEX('36-Month Forecast'!$C$74:$AL$74,1,X$4-Assumptions!$C$74)+INDEX('36-Month Forecast'!$C$71:$AL$71,1,X$4-Assumptions!$C$74)*'Unit Economics'!$H$55,0)</f>
        <v>8.68987744142394</v>
      </c>
      <c r="Y14" s="8" t="n">
        <f aca="false">IF(Y$4-Assumptions!$C$74&gt;=1,INDEX('36-Month Forecast'!$C$74:$AL$74,1,Y$4-Assumptions!$C$74)+INDEX('36-Month Forecast'!$C$71:$AL$71,1,Y$4-Assumptions!$C$74)*'Unit Economics'!$H$55,0)</f>
        <v>8.25909887825106</v>
      </c>
      <c r="Z14" s="8" t="n">
        <f aca="false">IF(Z$4-Assumptions!$C$74&gt;=1,INDEX('36-Month Forecast'!$C$74:$AL$74,1,Z$4-Assumptions!$C$74)+INDEX('36-Month Forecast'!$C$71:$AL$71,1,Z$4-Assumptions!$C$74)*'Unit Economics'!$H$55,0)</f>
        <v>8.68786989487367</v>
      </c>
      <c r="AA14" s="8" t="n">
        <f aca="false">IF(AA$4-Assumptions!$C$74&gt;=1,INDEX('36-Month Forecast'!$C$74:$AL$74,1,AA$4-Assumptions!$C$74)+INDEX('36-Month Forecast'!$C$71:$AL$71,1,AA$4-Assumptions!$C$74)*'Unit Economics'!$H$55,0)</f>
        <v>10.2049268381826</v>
      </c>
      <c r="AB14" s="8" t="n">
        <f aca="false">IF(AB$4-Assumptions!$C$74&gt;=1,INDEX('36-Month Forecast'!$C$74:$AL$74,1,AB$4-Assumptions!$C$74)+INDEX('36-Month Forecast'!$C$71:$AL$71,1,AB$4-Assumptions!$C$74)*'Unit Economics'!$H$55,0)</f>
        <v>14.7587725501375</v>
      </c>
      <c r="AC14" s="8" t="n">
        <f aca="false">IF(AC$4-Assumptions!$C$74&gt;=1,INDEX('36-Month Forecast'!$C$74:$AL$74,1,AC$4-Assumptions!$C$74)+INDEX('36-Month Forecast'!$C$71:$AL$71,1,AC$4-Assumptions!$C$74)*'Unit Economics'!$H$55,0)</f>
        <v>16.5734250394877</v>
      </c>
      <c r="AD14" s="8" t="n">
        <f aca="false">IF(AD$4-Assumptions!$C$74&gt;=1,INDEX('36-Month Forecast'!$C$74:$AL$74,1,AD$4-Assumptions!$C$74)+INDEX('36-Month Forecast'!$C$71:$AL$71,1,AD$4-Assumptions!$C$74)*'Unit Economics'!$H$55,0)</f>
        <v>16.5602063859488</v>
      </c>
      <c r="AE14" s="8" t="n">
        <f aca="false">IF(AE$4-Assumptions!$C$74&gt;=1,INDEX('36-Month Forecast'!$C$74:$AL$74,1,AE$4-Assumptions!$C$74)+INDEX('36-Month Forecast'!$C$71:$AL$71,1,AE$4-Assumptions!$C$74)*'Unit Economics'!$H$55,0)</f>
        <v>12.7178546611062</v>
      </c>
      <c r="AF14" s="8" t="n">
        <f aca="false">IF(AF$4-Assumptions!$C$74&gt;=1,INDEX('36-Month Forecast'!$C$74:$AL$74,1,AF$4-Assumptions!$C$74)+INDEX('36-Month Forecast'!$C$71:$AL$71,1,AF$4-Assumptions!$C$74)*'Unit Economics'!$H$55,0)</f>
        <v>14.6899840439961</v>
      </c>
      <c r="AG14" s="8" t="n">
        <f aca="false">IF(AG$4-Assumptions!$C$74&gt;=1,INDEX('36-Month Forecast'!$C$74:$AL$74,1,AG$4-Assumptions!$C$74)+INDEX('36-Month Forecast'!$C$71:$AL$71,1,AG$4-Assumptions!$C$74)*'Unit Economics'!$H$55,0)</f>
        <v>16.1160851816395</v>
      </c>
      <c r="AH14" s="8" t="n">
        <f aca="false">IF(AH$4-Assumptions!$C$74&gt;=1,INDEX('36-Month Forecast'!$C$74:$AL$74,1,AH$4-Assumptions!$C$74)+INDEX('36-Month Forecast'!$C$71:$AL$71,1,AH$4-Assumptions!$C$74)*'Unit Economics'!$H$55,0)</f>
        <v>15.2572681037828</v>
      </c>
      <c r="AI14" s="8" t="n">
        <f aca="false">IF(AI$4-Assumptions!$C$74&gt;=1,INDEX('36-Month Forecast'!$C$74:$AL$74,1,AI$4-Assumptions!$C$74)+INDEX('36-Month Forecast'!$C$71:$AL$71,1,AI$4-Assumptions!$C$74)*'Unit Economics'!$H$55,0)</f>
        <v>16.6777391235924</v>
      </c>
      <c r="AJ14" s="8" t="n">
        <f aca="false">IF(AJ$4-Assumptions!$C$74&gt;=1,INDEX('36-Month Forecast'!$C$74:$AL$74,1,AJ$4-Assumptions!$C$74)+INDEX('36-Month Forecast'!$C$71:$AL$71,1,AJ$4-Assumptions!$C$74)*'Unit Economics'!$H$55,0)</f>
        <v>16.4830350713578</v>
      </c>
      <c r="AK14" s="8" t="n">
        <f aca="false">IF(AK$4-Assumptions!$C$74&gt;=1,INDEX('36-Month Forecast'!$C$74:$AL$74,1,AK$4-Assumptions!$C$74)+INDEX('36-Month Forecast'!$C$71:$AL$71,1,AK$4-Assumptions!$C$74)*'Unit Economics'!$H$55,0)</f>
        <v>15.280741974037</v>
      </c>
      <c r="AL14" s="8" t="n">
        <f aca="false">IF(AL$4-Assumptions!$C$74&gt;=1,INDEX('36-Month Forecast'!$C$74:$AL$74,1,AL$4-Assumptions!$C$74)+INDEX('36-Month Forecast'!$C$71:$AL$71,1,AL$4-Assumptions!$C$74)*'Unit Economics'!$H$55,0)</f>
        <v>15.7294656935928</v>
      </c>
      <c r="AM14" s="45" t="n">
        <f aca="false">SUMIF($C$6:$AL$6,1,C14:AL14)</f>
        <v>14.4080678162307</v>
      </c>
      <c r="AN14" s="45" t="n">
        <f aca="false">SUMIF($C$6:$AL$6,2,C14:AL14)</f>
        <v>85.5297464725203</v>
      </c>
      <c r="AO14" s="45" t="n">
        <f aca="false">SUMIF($C$6:$AL$6,3,C14:AL14)</f>
        <v>181.049504666861</v>
      </c>
      <c r="AP14" s="45" t="n">
        <f aca="false">SUM(C14:AL14)</f>
        <v>280.987318955612</v>
      </c>
    </row>
    <row r="15" customFormat="false" ht="15" hidden="false" customHeight="false" outlineLevel="0" collapsed="false">
      <c r="A15" s="7" t="s">
        <v>807</v>
      </c>
      <c r="C15" s="8" t="n">
        <f aca="false">IF(C$4-Assumptions!$C$75&gt;=1,INDEX('36-Month Forecast'!$C$84:$AL$84,1,C$4-Assumptions!$C$75)+INDEX('36-Month Forecast'!$C$81:$AL$81,1,C$4-Assumptions!$C$75)*'Unit Economics'!$H$56,0)</f>
        <v>-0</v>
      </c>
      <c r="D15" s="8" t="n">
        <f aca="false">IF(D$4-Assumptions!$C$75&gt;=1,INDEX('36-Month Forecast'!$C$84:$AL$84,1,D$4-Assumptions!$C$75)+INDEX('36-Month Forecast'!$C$81:$AL$81,1,D$4-Assumptions!$C$75)*'Unit Economics'!$H$56,0)</f>
        <v>-0</v>
      </c>
      <c r="E15" s="8" t="n">
        <f aca="false">IF(E$4-Assumptions!$C$75&gt;=1,INDEX('36-Month Forecast'!$C$84:$AL$84,1,E$4-Assumptions!$C$75)+INDEX('36-Month Forecast'!$C$81:$AL$81,1,E$4-Assumptions!$C$75)*'Unit Economics'!$H$56,0)</f>
        <v>-0</v>
      </c>
      <c r="F15" s="8" t="n">
        <f aca="false">IF(F$4-Assumptions!$C$75&gt;=1,INDEX('36-Month Forecast'!$C$84:$AL$84,1,F$4-Assumptions!$C$75)+INDEX('36-Month Forecast'!$C$81:$AL$81,1,F$4-Assumptions!$C$75)*'Unit Economics'!$H$56,0)</f>
        <v>0</v>
      </c>
      <c r="G15" s="8" t="n">
        <f aca="false">IF(G$4-Assumptions!$C$75&gt;=1,INDEX('36-Month Forecast'!$C$84:$AL$84,1,G$4-Assumptions!$C$75)+INDEX('36-Month Forecast'!$C$81:$AL$81,1,G$4-Assumptions!$C$75)*'Unit Economics'!$H$56,0)</f>
        <v>3.0252026475</v>
      </c>
      <c r="H15" s="8" t="n">
        <f aca="false">IF(H$4-Assumptions!$C$75&gt;=1,INDEX('36-Month Forecast'!$C$84:$AL$84,1,H$4-Assumptions!$C$75)+INDEX('36-Month Forecast'!$C$81:$AL$81,1,H$4-Assumptions!$C$75)*'Unit Economics'!$H$56,0)</f>
        <v>6.991579452</v>
      </c>
      <c r="I15" s="8" t="n">
        <f aca="false">IF(I$4-Assumptions!$C$75&gt;=1,INDEX('36-Month Forecast'!$C$84:$AL$84,1,I$4-Assumptions!$C$75)+INDEX('36-Month Forecast'!$C$81:$AL$81,1,I$4-Assumptions!$C$75)*'Unit Economics'!$H$56,0)</f>
        <v>11.452207142376</v>
      </c>
      <c r="J15" s="8" t="n">
        <f aca="false">IF(J$4-Assumptions!$C$75&gt;=1,INDEX('36-Month Forecast'!$C$84:$AL$84,1,J$4-Assumptions!$C$75)+INDEX('36-Month Forecast'!$C$81:$AL$81,1,J$4-Assumptions!$C$75)*'Unit Economics'!$H$56,0)</f>
        <v>14.3679754370381</v>
      </c>
      <c r="K15" s="8" t="n">
        <f aca="false">IF(K$4-Assumptions!$C$75&gt;=1,INDEX('36-Month Forecast'!$C$84:$AL$84,1,K$4-Assumptions!$C$75)+INDEX('36-Month Forecast'!$C$81:$AL$81,1,K$4-Assumptions!$C$75)*'Unit Economics'!$H$56,0)</f>
        <v>19.6614400717363</v>
      </c>
      <c r="L15" s="8" t="n">
        <f aca="false">IF(L$4-Assumptions!$C$75&gt;=1,INDEX('36-Month Forecast'!$C$84:$AL$84,1,L$4-Assumptions!$C$75)+INDEX('36-Month Forecast'!$C$81:$AL$81,1,L$4-Assumptions!$C$75)*'Unit Economics'!$H$56,0)</f>
        <v>23.3106033490506</v>
      </c>
      <c r="M15" s="8" t="n">
        <f aca="false">IF(M$4-Assumptions!$C$75&gt;=1,INDEX('36-Month Forecast'!$C$84:$AL$84,1,M$4-Assumptions!$C$75)+INDEX('36-Month Forecast'!$C$81:$AL$81,1,M$4-Assumptions!$C$75)*'Unit Economics'!$H$56,0)</f>
        <v>21.6911298532218</v>
      </c>
      <c r="N15" s="8" t="n">
        <f aca="false">IF(N$4-Assumptions!$C$75&gt;=1,INDEX('36-Month Forecast'!$C$84:$AL$84,1,N$4-Assumptions!$C$75)+INDEX('36-Month Forecast'!$C$81:$AL$81,1,N$4-Assumptions!$C$75)*'Unit Economics'!$H$56,0)</f>
        <v>22.5587750473507</v>
      </c>
      <c r="O15" s="8" t="n">
        <f aca="false">IF(O$4-Assumptions!$C$75&gt;=1,INDEX('36-Month Forecast'!$C$84:$AL$84,1,O$4-Assumptions!$C$75)+INDEX('36-Month Forecast'!$C$81:$AL$81,1,O$4-Assumptions!$C$75)*'Unit Economics'!$H$56,0)</f>
        <v>25.7170035539798</v>
      </c>
      <c r="P15" s="8" t="n">
        <f aca="false">IF(P$4-Assumptions!$C$75&gt;=1,INDEX('36-Month Forecast'!$C$84:$AL$84,1,P$4-Assumptions!$C$75)+INDEX('36-Month Forecast'!$C$81:$AL$81,1,P$4-Assumptions!$C$75)*'Unit Economics'!$H$56,0)</f>
        <v>35.8955228553444</v>
      </c>
      <c r="Q15" s="8" t="n">
        <f aca="false">IF(Q$4-Assumptions!$C$75&gt;=1,INDEX('36-Month Forecast'!$C$84:$AL$84,1,Q$4-Assumptions!$C$75)+INDEX('36-Month Forecast'!$C$81:$AL$81,1,Q$4-Assumptions!$C$75)*'Unit Economics'!$H$56,0)</f>
        <v>38.0216422860071</v>
      </c>
      <c r="R15" s="8" t="n">
        <f aca="false">IF(R$4-Assumptions!$C$75&gt;=1,INDEX('36-Month Forecast'!$C$84:$AL$84,1,R$4-Assumptions!$C$75)+INDEX('36-Month Forecast'!$C$81:$AL$81,1,R$4-Assumptions!$C$75)*'Unit Economics'!$H$56,0)</f>
        <v>35.9093288256734</v>
      </c>
      <c r="S15" s="8" t="n">
        <f aca="false">IF(S$4-Assumptions!$C$75&gt;=1,INDEX('36-Month Forecast'!$C$84:$AL$84,1,S$4-Assumptions!$C$75)+INDEX('36-Month Forecast'!$C$81:$AL$81,1,S$4-Assumptions!$C$75)*'Unit Economics'!$H$56,0)</f>
        <v>26.3718110895745</v>
      </c>
      <c r="T15" s="8" t="n">
        <f aca="false">IF(T$4-Assumptions!$C$75&gt;=1,INDEX('36-Month Forecast'!$C$84:$AL$84,1,T$4-Assumptions!$C$75)+INDEX('36-Month Forecast'!$C$81:$AL$81,1,T$4-Assumptions!$C$75)*'Unit Economics'!$H$56,0)</f>
        <v>29.8880525681845</v>
      </c>
      <c r="U15" s="8" t="n">
        <f aca="false">IF(U$4-Assumptions!$C$75&gt;=1,INDEX('36-Month Forecast'!$C$84:$AL$84,1,U$4-Assumptions!$C$75)+INDEX('36-Month Forecast'!$C$81:$AL$81,1,U$4-Assumptions!$C$75)*'Unit Economics'!$H$56,0)</f>
        <v>32.0101043005256</v>
      </c>
      <c r="V15" s="8" t="n">
        <f aca="false">IF(V$4-Assumptions!$C$75&gt;=1,INDEX('36-Month Forecast'!$C$84:$AL$84,1,V$4-Assumptions!$C$75)+INDEX('36-Month Forecast'!$C$81:$AL$81,1,V$4-Assumptions!$C$75)*'Unit Economics'!$H$56,0)</f>
        <v>29.5407533973422</v>
      </c>
      <c r="W15" s="8" t="n">
        <f aca="false">IF(W$4-Assumptions!$C$75&gt;=1,INDEX('36-Month Forecast'!$C$84:$AL$84,1,W$4-Assumptions!$C$75)+INDEX('36-Month Forecast'!$C$81:$AL$81,1,W$4-Assumptions!$C$75)*'Unit Economics'!$H$56,0)</f>
        <v>31.7174404897779</v>
      </c>
      <c r="X15" s="8" t="n">
        <f aca="false">IF(X$4-Assumptions!$C$75&gt;=1,INDEX('36-Month Forecast'!$C$84:$AL$84,1,X$4-Assumptions!$C$75)+INDEX('36-Month Forecast'!$C$81:$AL$81,1,X$4-Assumptions!$C$75)*'Unit Economics'!$H$56,0)</f>
        <v>30.7341998345948</v>
      </c>
      <c r="Y15" s="8" t="n">
        <f aca="false">IF(Y$4-Assumptions!$C$75&gt;=1,INDEX('36-Month Forecast'!$C$84:$AL$84,1,Y$4-Assumptions!$C$75)+INDEX('36-Month Forecast'!$C$81:$AL$81,1,Y$4-Assumptions!$C$75)*'Unit Economics'!$H$56,0)</f>
        <v>28.0490013227302</v>
      </c>
      <c r="Z15" s="8" t="n">
        <f aca="false">IF(Z$4-Assumptions!$C$75&gt;=1,INDEX('36-Month Forecast'!$C$84:$AL$84,1,Z$4-Assumptions!$C$75)+INDEX('36-Month Forecast'!$C$81:$AL$81,1,Z$4-Assumptions!$C$75)*'Unit Economics'!$H$56,0)</f>
        <v>28.6099813491848</v>
      </c>
      <c r="AA15" s="8" t="n">
        <f aca="false">IF(AA$4-Assumptions!$C$75&gt;=1,INDEX('36-Month Forecast'!$C$84:$AL$84,1,AA$4-Assumptions!$C$75)+INDEX('36-Month Forecast'!$C$81:$AL$81,1,AA$4-Assumptions!$C$75)*'Unit Economics'!$H$56,0)</f>
        <v>32.2956201229915</v>
      </c>
      <c r="AB15" s="8" t="n">
        <f aca="false">IF(AB$4-Assumptions!$C$75&gt;=1,INDEX('36-Month Forecast'!$C$84:$AL$84,1,AB$4-Assumptions!$C$75)+INDEX('36-Month Forecast'!$C$81:$AL$81,1,AB$4-Assumptions!$C$75)*'Unit Economics'!$H$56,0)</f>
        <v>44.6359465489346</v>
      </c>
      <c r="AC15" s="8" t="n">
        <f aca="false">IF(AC$4-Assumptions!$C$75&gt;=1,INDEX('36-Month Forecast'!$C$84:$AL$84,1,AC$4-Assumptions!$C$75)+INDEX('36-Month Forecast'!$C$81:$AL$81,1,AC$4-Assumptions!$C$75)*'Unit Economics'!$H$56,0)</f>
        <v>46.8162408611326</v>
      </c>
      <c r="AD15" s="8" t="n">
        <f aca="false">IF(AD$4-Assumptions!$C$75&gt;=1,INDEX('36-Month Forecast'!$C$84:$AL$84,1,AD$4-Assumptions!$C$75)+INDEX('36-Month Forecast'!$C$81:$AL$81,1,AD$4-Assumptions!$C$75)*'Unit Economics'!$H$56,0)</f>
        <v>43.7818548793925</v>
      </c>
      <c r="AE15" s="8" t="n">
        <f aca="false">IF(AE$4-Assumptions!$C$75&gt;=1,INDEX('36-Month Forecast'!$C$84:$AL$84,1,AE$4-Assumptions!$C$75)+INDEX('36-Month Forecast'!$C$81:$AL$81,1,AE$4-Assumptions!$C$75)*'Unit Economics'!$H$56,0)</f>
        <v>31.8381648682942</v>
      </c>
      <c r="AF15" s="8" t="n">
        <f aca="false">IF(AF$4-Assumptions!$C$75&gt;=1,INDEX('36-Month Forecast'!$C$84:$AL$84,1,AF$4-Assumptions!$C$75)+INDEX('36-Month Forecast'!$C$81:$AL$81,1,AF$4-Assumptions!$C$75)*'Unit Economics'!$H$56,0)</f>
        <v>35.7294961299747</v>
      </c>
      <c r="AG15" s="8" t="n">
        <f aca="false">IF(AG$4-Assumptions!$C$75&gt;=1,INDEX('36-Month Forecast'!$C$84:$AL$84,1,AG$4-Assumptions!$C$75)+INDEX('36-Month Forecast'!$C$81:$AL$81,1,AG$4-Assumptions!$C$75)*'Unit Economics'!$H$56,0)</f>
        <v>37.8911306458381</v>
      </c>
      <c r="AH15" s="8" t="n">
        <f aca="false">IF(AH$4-Assumptions!$C$75&gt;=1,INDEX('36-Month Forecast'!$C$84:$AL$84,1,AH$4-Assumptions!$C$75)+INDEX('36-Month Forecast'!$C$81:$AL$81,1,AH$4-Assumptions!$C$75)*'Unit Economics'!$H$56,0)</f>
        <v>34.6252760520778</v>
      </c>
      <c r="AI15" s="8" t="n">
        <f aca="false">IF(AI$4-Assumptions!$C$75&gt;=1,INDEX('36-Month Forecast'!$C$84:$AL$84,1,AI$4-Assumptions!$C$75)+INDEX('36-Month Forecast'!$C$81:$AL$81,1,AI$4-Assumptions!$C$75)*'Unit Economics'!$H$56,0)</f>
        <v>36.812135592209</v>
      </c>
      <c r="AJ15" s="8" t="n">
        <f aca="false">IF(AJ$4-Assumptions!$C$75&gt;=1,INDEX('36-Month Forecast'!$C$84:$AL$84,1,AJ$4-Assumptions!$C$75)+INDEX('36-Month Forecast'!$C$81:$AL$81,1,AJ$4-Assumptions!$C$75)*'Unit Economics'!$H$56,0)</f>
        <v>35.3212441007245</v>
      </c>
      <c r="AK15" s="8" t="n">
        <f aca="false">IF(AK$4-Assumptions!$C$75&gt;=1,INDEX('36-Month Forecast'!$C$84:$AL$84,1,AK$4-Assumptions!$C$75)+INDEX('36-Month Forecast'!$C$81:$AL$81,1,AK$4-Assumptions!$C$75)*'Unit Economics'!$H$56,0)</f>
        <v>31.9192505899705</v>
      </c>
      <c r="AL15" s="8" t="n">
        <f aca="false">IF(AL$4-Assumptions!$C$75&gt;=1,INDEX('36-Month Forecast'!$C$84:$AL$84,1,AL$4-Assumptions!$C$75)+INDEX('36-Month Forecast'!$C$81:$AL$81,1,AL$4-Assumptions!$C$75)*'Unit Economics'!$H$56,0)</f>
        <v>32.2384430958702</v>
      </c>
      <c r="AM15" s="45" t="n">
        <f aca="false">SUMIF($C$6:$AL$6,1,C15:AL15)</f>
        <v>123.058913000273</v>
      </c>
      <c r="AN15" s="45" t="n">
        <f aca="false">SUMIF($C$6:$AL$6,2,C15:AL15)</f>
        <v>372.464841872919</v>
      </c>
      <c r="AO15" s="45" t="n">
        <f aca="false">SUMIF($C$6:$AL$6,3,C15:AL15)</f>
        <v>443.90480348741</v>
      </c>
      <c r="AP15" s="45" t="n">
        <f aca="false">SUM(C15:AL15)</f>
        <v>939.428558360603</v>
      </c>
    </row>
    <row r="16" customFormat="false" ht="15" hidden="false" customHeight="false" outlineLevel="0" collapsed="false">
      <c r="A16" s="7" t="s">
        <v>808</v>
      </c>
      <c r="C16" s="8" t="n">
        <f aca="false">IF(C$4-Assumptions!$C$76&gt;=1,INDEX('36-Month Forecast'!$C$94:$AL$94,1,C$4-Assumptions!$C$76)+INDEX('36-Month Forecast'!$C$91:$AL$91,1,C$4-Assumptions!$C$76)*'Unit Economics'!$H$57,0)</f>
        <v>0</v>
      </c>
      <c r="D16" s="8" t="n">
        <f aca="false">IF(D$4-Assumptions!$C$76&gt;=1,INDEX('36-Month Forecast'!$C$94:$AL$94,1,D$4-Assumptions!$C$76)+INDEX('36-Month Forecast'!$C$91:$AL$91,1,D$4-Assumptions!$C$76)*'Unit Economics'!$H$57,0)</f>
        <v>-0</v>
      </c>
      <c r="E16" s="8" t="n">
        <f aca="false">IF(E$4-Assumptions!$C$76&gt;=1,INDEX('36-Month Forecast'!$C$94:$AL$94,1,E$4-Assumptions!$C$76)+INDEX('36-Month Forecast'!$C$91:$AL$91,1,E$4-Assumptions!$C$76)*'Unit Economics'!$H$57,0)</f>
        <v>-0</v>
      </c>
      <c r="F16" s="8" t="n">
        <f aca="false">IF(F$4-Assumptions!$C$76&gt;=1,INDEX('36-Month Forecast'!$C$94:$AL$94,1,F$4-Assumptions!$C$76)+INDEX('36-Month Forecast'!$C$91:$AL$91,1,F$4-Assumptions!$C$76)*'Unit Economics'!$H$57,0)</f>
        <v>-0</v>
      </c>
      <c r="G16" s="8" t="n">
        <f aca="false">IF(G$4-Assumptions!$C$76&gt;=1,INDEX('36-Month Forecast'!$C$94:$AL$94,1,G$4-Assumptions!$C$76)+INDEX('36-Month Forecast'!$C$91:$AL$91,1,G$4-Assumptions!$C$76)*'Unit Economics'!$H$57,0)</f>
        <v>-0</v>
      </c>
      <c r="H16" s="8" t="n">
        <f aca="false">IF(H$4-Assumptions!$C$76&gt;=1,INDEX('36-Month Forecast'!$C$94:$AL$94,1,H$4-Assumptions!$C$76)+INDEX('36-Month Forecast'!$C$91:$AL$91,1,H$4-Assumptions!$C$76)*'Unit Economics'!$H$57,0)</f>
        <v>-0</v>
      </c>
      <c r="I16" s="8" t="n">
        <f aca="false">IF(I$4-Assumptions!$C$76&gt;=1,INDEX('36-Month Forecast'!$C$94:$AL$94,1,I$4-Assumptions!$C$76)+INDEX('36-Month Forecast'!$C$91:$AL$91,1,I$4-Assumptions!$C$76)*'Unit Economics'!$H$57,0)</f>
        <v>-0</v>
      </c>
      <c r="J16" s="8" t="n">
        <f aca="false">IF(J$4-Assumptions!$C$76&gt;=1,INDEX('36-Month Forecast'!$C$94:$AL$94,1,J$4-Assumptions!$C$76)+INDEX('36-Month Forecast'!$C$91:$AL$91,1,J$4-Assumptions!$C$76)*'Unit Economics'!$H$57,0)</f>
        <v>-0</v>
      </c>
      <c r="K16" s="8" t="n">
        <f aca="false">IF(K$4-Assumptions!$C$76&gt;=1,INDEX('36-Month Forecast'!$C$94:$AL$94,1,K$4-Assumptions!$C$76)+INDEX('36-Month Forecast'!$C$91:$AL$91,1,K$4-Assumptions!$C$76)*'Unit Economics'!$H$57,0)</f>
        <v>-0</v>
      </c>
      <c r="L16" s="8" t="n">
        <f aca="false">IF(L$4-Assumptions!$C$76&gt;=1,INDEX('36-Month Forecast'!$C$94:$AL$94,1,L$4-Assumptions!$C$76)+INDEX('36-Month Forecast'!$C$91:$AL$91,1,L$4-Assumptions!$C$76)*'Unit Economics'!$H$57,0)</f>
        <v>-0</v>
      </c>
      <c r="M16" s="8" t="n">
        <f aca="false">IF(M$4-Assumptions!$C$76&gt;=1,INDEX('36-Month Forecast'!$C$94:$AL$94,1,M$4-Assumptions!$C$76)+INDEX('36-Month Forecast'!$C$91:$AL$91,1,M$4-Assumptions!$C$76)*'Unit Economics'!$H$57,0)</f>
        <v>-0</v>
      </c>
      <c r="N16" s="8" t="n">
        <f aca="false">IF(N$4-Assumptions!$C$76&gt;=1,INDEX('36-Month Forecast'!$C$94:$AL$94,1,N$4-Assumptions!$C$76)+INDEX('36-Month Forecast'!$C$91:$AL$91,1,N$4-Assumptions!$C$76)*'Unit Economics'!$H$57,0)</f>
        <v>-0</v>
      </c>
      <c r="O16" s="8" t="n">
        <f aca="false">IF(O$4-Assumptions!$C$76&gt;=1,INDEX('36-Month Forecast'!$C$94:$AL$94,1,O$4-Assumptions!$C$76)+INDEX('36-Month Forecast'!$C$91:$AL$91,1,O$4-Assumptions!$C$76)*'Unit Economics'!$H$57,0)</f>
        <v>0</v>
      </c>
      <c r="P16" s="8" t="n">
        <f aca="false">IF(P$4-Assumptions!$C$76&gt;=1,INDEX('36-Month Forecast'!$C$94:$AL$94,1,P$4-Assumptions!$C$76)+INDEX('36-Month Forecast'!$C$91:$AL$91,1,P$4-Assumptions!$C$76)*'Unit Economics'!$H$57,0)</f>
        <v>0</v>
      </c>
      <c r="Q16" s="8" t="n">
        <f aca="false">IF(Q$4-Assumptions!$C$76&gt;=1,INDEX('36-Month Forecast'!$C$94:$AL$94,1,Q$4-Assumptions!$C$76)+INDEX('36-Month Forecast'!$C$91:$AL$91,1,Q$4-Assumptions!$C$76)*'Unit Economics'!$H$57,0)</f>
        <v>0</v>
      </c>
      <c r="R16" s="8" t="n">
        <f aca="false">IF(R$4-Assumptions!$C$76&gt;=1,INDEX('36-Month Forecast'!$C$94:$AL$94,1,R$4-Assumptions!$C$76)+INDEX('36-Month Forecast'!$C$91:$AL$91,1,R$4-Assumptions!$C$76)*'Unit Economics'!$H$57,0)</f>
        <v>0</v>
      </c>
      <c r="S16" s="8" t="n">
        <f aca="false">IF(S$4-Assumptions!$C$76&gt;=1,INDEX('36-Month Forecast'!$C$94:$AL$94,1,S$4-Assumptions!$C$76)+INDEX('36-Month Forecast'!$C$91:$AL$91,1,S$4-Assumptions!$C$76)*'Unit Economics'!$H$57,0)</f>
        <v>0</v>
      </c>
      <c r="T16" s="8" t="n">
        <f aca="false">IF(T$4-Assumptions!$C$76&gt;=1,INDEX('36-Month Forecast'!$C$94:$AL$94,1,T$4-Assumptions!$C$76)+INDEX('36-Month Forecast'!$C$91:$AL$91,1,T$4-Assumptions!$C$76)*'Unit Economics'!$H$57,0)</f>
        <v>0</v>
      </c>
      <c r="U16" s="8" t="n">
        <f aca="false">IF(U$4-Assumptions!$C$76&gt;=1,INDEX('36-Month Forecast'!$C$94:$AL$94,1,U$4-Assumptions!$C$76)+INDEX('36-Month Forecast'!$C$91:$AL$91,1,U$4-Assumptions!$C$76)*'Unit Economics'!$H$57,0)</f>
        <v>0</v>
      </c>
      <c r="V16" s="8" t="n">
        <f aca="false">IF(V$4-Assumptions!$C$76&gt;=1,INDEX('36-Month Forecast'!$C$94:$AL$94,1,V$4-Assumptions!$C$76)+INDEX('36-Month Forecast'!$C$91:$AL$91,1,V$4-Assumptions!$C$76)*'Unit Economics'!$H$57,0)</f>
        <v>0</v>
      </c>
      <c r="W16" s="8" t="n">
        <f aca="false">IF(W$4-Assumptions!$C$76&gt;=1,INDEX('36-Month Forecast'!$C$94:$AL$94,1,W$4-Assumptions!$C$76)+INDEX('36-Month Forecast'!$C$91:$AL$91,1,W$4-Assumptions!$C$76)*'Unit Economics'!$H$57,0)</f>
        <v>0</v>
      </c>
      <c r="X16" s="8" t="n">
        <f aca="false">IF(X$4-Assumptions!$C$76&gt;=1,INDEX('36-Month Forecast'!$C$94:$AL$94,1,X$4-Assumptions!$C$76)+INDEX('36-Month Forecast'!$C$91:$AL$91,1,X$4-Assumptions!$C$76)*'Unit Economics'!$H$57,0)</f>
        <v>0</v>
      </c>
      <c r="Y16" s="8" t="n">
        <f aca="false">IF(Y$4-Assumptions!$C$76&gt;=1,INDEX('36-Month Forecast'!$C$94:$AL$94,1,Y$4-Assumptions!$C$76)+INDEX('36-Month Forecast'!$C$91:$AL$91,1,Y$4-Assumptions!$C$76)*'Unit Economics'!$H$57,0)</f>
        <v>0</v>
      </c>
      <c r="Z16" s="8" t="n">
        <f aca="false">IF(Z$4-Assumptions!$C$76&gt;=1,INDEX('36-Month Forecast'!$C$94:$AL$94,1,Z$4-Assumptions!$C$76)+INDEX('36-Month Forecast'!$C$91:$AL$91,1,Z$4-Assumptions!$C$76)*'Unit Economics'!$H$57,0)</f>
        <v>0</v>
      </c>
      <c r="AA16" s="8" t="n">
        <f aca="false">IF(AA$4-Assumptions!$C$76&gt;=1,INDEX('36-Month Forecast'!$C$94:$AL$94,1,AA$4-Assumptions!$C$76)+INDEX('36-Month Forecast'!$C$91:$AL$91,1,AA$4-Assumptions!$C$76)*'Unit Economics'!$H$57,0)</f>
        <v>0</v>
      </c>
      <c r="AB16" s="8" t="n">
        <f aca="false">IF(AB$4-Assumptions!$C$76&gt;=1,INDEX('36-Month Forecast'!$C$94:$AL$94,1,AB$4-Assumptions!$C$76)+INDEX('36-Month Forecast'!$C$91:$AL$91,1,AB$4-Assumptions!$C$76)*'Unit Economics'!$H$57,0)</f>
        <v>0</v>
      </c>
      <c r="AC16" s="8" t="n">
        <f aca="false">IF(AC$4-Assumptions!$C$76&gt;=1,INDEX('36-Month Forecast'!$C$94:$AL$94,1,AC$4-Assumptions!$C$76)+INDEX('36-Month Forecast'!$C$91:$AL$91,1,AC$4-Assumptions!$C$76)*'Unit Economics'!$H$57,0)</f>
        <v>0</v>
      </c>
      <c r="AD16" s="8" t="n">
        <f aca="false">IF(AD$4-Assumptions!$C$76&gt;=1,INDEX('36-Month Forecast'!$C$94:$AL$94,1,AD$4-Assumptions!$C$76)+INDEX('36-Month Forecast'!$C$91:$AL$91,1,AD$4-Assumptions!$C$76)*'Unit Economics'!$H$57,0)</f>
        <v>0</v>
      </c>
      <c r="AE16" s="8" t="n">
        <f aca="false">IF(AE$4-Assumptions!$C$76&gt;=1,INDEX('36-Month Forecast'!$C$94:$AL$94,1,AE$4-Assumptions!$C$76)+INDEX('36-Month Forecast'!$C$91:$AL$91,1,AE$4-Assumptions!$C$76)*'Unit Economics'!$H$57,0)</f>
        <v>0</v>
      </c>
      <c r="AF16" s="8" t="n">
        <f aca="false">IF(AF$4-Assumptions!$C$76&gt;=1,INDEX('36-Month Forecast'!$C$94:$AL$94,1,AF$4-Assumptions!$C$76)+INDEX('36-Month Forecast'!$C$91:$AL$91,1,AF$4-Assumptions!$C$76)*'Unit Economics'!$H$57,0)</f>
        <v>0</v>
      </c>
      <c r="AG16" s="8" t="n">
        <f aca="false">IF(AG$4-Assumptions!$C$76&gt;=1,INDEX('36-Month Forecast'!$C$94:$AL$94,1,AG$4-Assumptions!$C$76)+INDEX('36-Month Forecast'!$C$91:$AL$91,1,AG$4-Assumptions!$C$76)*'Unit Economics'!$H$57,0)</f>
        <v>0</v>
      </c>
      <c r="AH16" s="8" t="n">
        <f aca="false">IF(AH$4-Assumptions!$C$76&gt;=1,INDEX('36-Month Forecast'!$C$94:$AL$94,1,AH$4-Assumptions!$C$76)+INDEX('36-Month Forecast'!$C$91:$AL$91,1,AH$4-Assumptions!$C$76)*'Unit Economics'!$H$57,0)</f>
        <v>0</v>
      </c>
      <c r="AI16" s="8" t="n">
        <f aca="false">IF(AI$4-Assumptions!$C$76&gt;=1,INDEX('36-Month Forecast'!$C$94:$AL$94,1,AI$4-Assumptions!$C$76)+INDEX('36-Month Forecast'!$C$91:$AL$91,1,AI$4-Assumptions!$C$76)*'Unit Economics'!$H$57,0)</f>
        <v>0</v>
      </c>
      <c r="AJ16" s="8" t="n">
        <f aca="false">IF(AJ$4-Assumptions!$C$76&gt;=1,INDEX('36-Month Forecast'!$C$94:$AL$94,1,AJ$4-Assumptions!$C$76)+INDEX('36-Month Forecast'!$C$91:$AL$91,1,AJ$4-Assumptions!$C$76)*'Unit Economics'!$H$57,0)</f>
        <v>0</v>
      </c>
      <c r="AK16" s="8" t="n">
        <f aca="false">IF(AK$4-Assumptions!$C$76&gt;=1,INDEX('36-Month Forecast'!$C$94:$AL$94,1,AK$4-Assumptions!$C$76)+INDEX('36-Month Forecast'!$C$91:$AL$91,1,AK$4-Assumptions!$C$76)*'Unit Economics'!$H$57,0)</f>
        <v>0</v>
      </c>
      <c r="AL16" s="8" t="n">
        <f aca="false">IF(AL$4-Assumptions!$C$76&gt;=1,INDEX('36-Month Forecast'!$C$94:$AL$94,1,AL$4-Assumptions!$C$76)+INDEX('36-Month Forecast'!$C$91:$AL$91,1,AL$4-Assumptions!$C$76)*'Unit Economics'!$H$57,0)</f>
        <v>0</v>
      </c>
      <c r="AM16" s="45" t="n">
        <f aca="false">SUMIF($C$6:$AL$6,1,C16:AL16)</f>
        <v>0</v>
      </c>
      <c r="AN16" s="45" t="n">
        <f aca="false">SUMIF($C$6:$AL$6,2,C16:AL16)</f>
        <v>0</v>
      </c>
      <c r="AO16" s="45" t="n">
        <f aca="false">SUMIF($C$6:$AL$6,3,C16:AL16)</f>
        <v>0</v>
      </c>
      <c r="AP16" s="45" t="n">
        <f aca="false">SUM(C16:AL16)</f>
        <v>0</v>
      </c>
    </row>
    <row r="17" customFormat="false" ht="15" hidden="false" customHeight="false" outlineLevel="0" collapsed="false">
      <c r="A17" s="7" t="s">
        <v>809</v>
      </c>
      <c r="C17" s="8" t="n">
        <f aca="false">IF(C$4-Assumptions!$C$77&gt;=1,INDEX('36-Month Forecast'!$C$104:$AL$104,1,C$4-Assumptions!$C$77)+INDEX('36-Month Forecast'!$C$101:$AL$101,1,C$4-Assumptions!$C$77)*'Unit Economics'!$H$58,0)</f>
        <v>0</v>
      </c>
      <c r="D17" s="8" t="n">
        <f aca="false">IF(D$4-Assumptions!$C$77&gt;=1,INDEX('36-Month Forecast'!$C$104:$AL$104,1,D$4-Assumptions!$C$77)+INDEX('36-Month Forecast'!$C$101:$AL$101,1,D$4-Assumptions!$C$77)*'Unit Economics'!$H$58,0)</f>
        <v>-0</v>
      </c>
      <c r="E17" s="8" t="n">
        <f aca="false">IF(E$4-Assumptions!$C$77&gt;=1,INDEX('36-Month Forecast'!$C$104:$AL$104,1,E$4-Assumptions!$C$77)+INDEX('36-Month Forecast'!$C$101:$AL$101,1,E$4-Assumptions!$C$77)*'Unit Economics'!$H$58,0)</f>
        <v>-0</v>
      </c>
      <c r="F17" s="8" t="n">
        <f aca="false">IF(F$4-Assumptions!$C$77&gt;=1,INDEX('36-Month Forecast'!$C$104:$AL$104,1,F$4-Assumptions!$C$77)+INDEX('36-Month Forecast'!$C$101:$AL$101,1,F$4-Assumptions!$C$77)*'Unit Economics'!$H$58,0)</f>
        <v>-0</v>
      </c>
      <c r="G17" s="8" t="n">
        <f aca="false">IF(G$4-Assumptions!$C$77&gt;=1,INDEX('36-Month Forecast'!$C$104:$AL$104,1,G$4-Assumptions!$C$77)+INDEX('36-Month Forecast'!$C$101:$AL$101,1,G$4-Assumptions!$C$77)*'Unit Economics'!$H$58,0)</f>
        <v>-0</v>
      </c>
      <c r="H17" s="8" t="n">
        <f aca="false">IF(H$4-Assumptions!$C$77&gt;=1,INDEX('36-Month Forecast'!$C$104:$AL$104,1,H$4-Assumptions!$C$77)+INDEX('36-Month Forecast'!$C$101:$AL$101,1,H$4-Assumptions!$C$77)*'Unit Economics'!$H$58,0)</f>
        <v>-0</v>
      </c>
      <c r="I17" s="8" t="n">
        <f aca="false">IF(I$4-Assumptions!$C$77&gt;=1,INDEX('36-Month Forecast'!$C$104:$AL$104,1,I$4-Assumptions!$C$77)+INDEX('36-Month Forecast'!$C$101:$AL$101,1,I$4-Assumptions!$C$77)*'Unit Economics'!$H$58,0)</f>
        <v>-0</v>
      </c>
      <c r="J17" s="8" t="n">
        <f aca="false">IF(J$4-Assumptions!$C$77&gt;=1,INDEX('36-Month Forecast'!$C$104:$AL$104,1,J$4-Assumptions!$C$77)+INDEX('36-Month Forecast'!$C$101:$AL$101,1,J$4-Assumptions!$C$77)*'Unit Economics'!$H$58,0)</f>
        <v>-0</v>
      </c>
      <c r="K17" s="8" t="n">
        <f aca="false">IF(K$4-Assumptions!$C$77&gt;=1,INDEX('36-Month Forecast'!$C$104:$AL$104,1,K$4-Assumptions!$C$77)+INDEX('36-Month Forecast'!$C$101:$AL$101,1,K$4-Assumptions!$C$77)*'Unit Economics'!$H$58,0)</f>
        <v>-0</v>
      </c>
      <c r="L17" s="8" t="n">
        <f aca="false">IF(L$4-Assumptions!$C$77&gt;=1,INDEX('36-Month Forecast'!$C$104:$AL$104,1,L$4-Assumptions!$C$77)+INDEX('36-Month Forecast'!$C$101:$AL$101,1,L$4-Assumptions!$C$77)*'Unit Economics'!$H$58,0)</f>
        <v>-0</v>
      </c>
      <c r="M17" s="8" t="n">
        <f aca="false">IF(M$4-Assumptions!$C$77&gt;=1,INDEX('36-Month Forecast'!$C$104:$AL$104,1,M$4-Assumptions!$C$77)+INDEX('36-Month Forecast'!$C$101:$AL$101,1,M$4-Assumptions!$C$77)*'Unit Economics'!$H$58,0)</f>
        <v>-0</v>
      </c>
      <c r="N17" s="8" t="n">
        <f aca="false">IF(N$4-Assumptions!$C$77&gt;=1,INDEX('36-Month Forecast'!$C$104:$AL$104,1,N$4-Assumptions!$C$77)+INDEX('36-Month Forecast'!$C$101:$AL$101,1,N$4-Assumptions!$C$77)*'Unit Economics'!$H$58,0)</f>
        <v>-0</v>
      </c>
      <c r="O17" s="8" t="n">
        <f aca="false">IF(O$4-Assumptions!$C$77&gt;=1,INDEX('36-Month Forecast'!$C$104:$AL$104,1,O$4-Assumptions!$C$77)+INDEX('36-Month Forecast'!$C$101:$AL$101,1,O$4-Assumptions!$C$77)*'Unit Economics'!$H$58,0)</f>
        <v>-0</v>
      </c>
      <c r="P17" s="8" t="n">
        <f aca="false">IF(P$4-Assumptions!$C$77&gt;=1,INDEX('36-Month Forecast'!$C$104:$AL$104,1,P$4-Assumptions!$C$77)+INDEX('36-Month Forecast'!$C$101:$AL$101,1,P$4-Assumptions!$C$77)*'Unit Economics'!$H$58,0)</f>
        <v>-0</v>
      </c>
      <c r="Q17" s="8" t="n">
        <f aca="false">IF(Q$4-Assumptions!$C$77&gt;=1,INDEX('36-Month Forecast'!$C$104:$AL$104,1,Q$4-Assumptions!$C$77)+INDEX('36-Month Forecast'!$C$101:$AL$101,1,Q$4-Assumptions!$C$77)*'Unit Economics'!$H$58,0)</f>
        <v>-0</v>
      </c>
      <c r="R17" s="8" t="n">
        <f aca="false">IF(R$4-Assumptions!$C$77&gt;=1,INDEX('36-Month Forecast'!$C$104:$AL$104,1,R$4-Assumptions!$C$77)+INDEX('36-Month Forecast'!$C$101:$AL$101,1,R$4-Assumptions!$C$77)*'Unit Economics'!$H$58,0)</f>
        <v>-0</v>
      </c>
      <c r="S17" s="8" t="n">
        <f aca="false">IF(S$4-Assumptions!$C$77&gt;=1,INDEX('36-Month Forecast'!$C$104:$AL$104,1,S$4-Assumptions!$C$77)+INDEX('36-Month Forecast'!$C$101:$AL$101,1,S$4-Assumptions!$C$77)*'Unit Economics'!$H$58,0)</f>
        <v>-0</v>
      </c>
      <c r="T17" s="8" t="n">
        <f aca="false">IF(T$4-Assumptions!$C$77&gt;=1,INDEX('36-Month Forecast'!$C$104:$AL$104,1,T$4-Assumptions!$C$77)+INDEX('36-Month Forecast'!$C$101:$AL$101,1,T$4-Assumptions!$C$77)*'Unit Economics'!$H$58,0)</f>
        <v>-0</v>
      </c>
      <c r="U17" s="8" t="n">
        <f aca="false">IF(U$4-Assumptions!$C$77&gt;=1,INDEX('36-Month Forecast'!$C$104:$AL$104,1,U$4-Assumptions!$C$77)+INDEX('36-Month Forecast'!$C$101:$AL$101,1,U$4-Assumptions!$C$77)*'Unit Economics'!$H$58,0)</f>
        <v>-0</v>
      </c>
      <c r="V17" s="8" t="n">
        <f aca="false">IF(V$4-Assumptions!$C$77&gt;=1,INDEX('36-Month Forecast'!$C$104:$AL$104,1,V$4-Assumptions!$C$77)+INDEX('36-Month Forecast'!$C$101:$AL$101,1,V$4-Assumptions!$C$77)*'Unit Economics'!$H$58,0)</f>
        <v>-0</v>
      </c>
      <c r="W17" s="8" t="n">
        <f aca="false">IF(W$4-Assumptions!$C$77&gt;=1,INDEX('36-Month Forecast'!$C$104:$AL$104,1,W$4-Assumptions!$C$77)+INDEX('36-Month Forecast'!$C$101:$AL$101,1,W$4-Assumptions!$C$77)*'Unit Economics'!$H$58,0)</f>
        <v>-0</v>
      </c>
      <c r="X17" s="8" t="n">
        <f aca="false">IF(X$4-Assumptions!$C$77&gt;=1,INDEX('36-Month Forecast'!$C$104:$AL$104,1,X$4-Assumptions!$C$77)+INDEX('36-Month Forecast'!$C$101:$AL$101,1,X$4-Assumptions!$C$77)*'Unit Economics'!$H$58,0)</f>
        <v>-0</v>
      </c>
      <c r="Y17" s="8" t="n">
        <f aca="false">IF(Y$4-Assumptions!$C$77&gt;=1,INDEX('36-Month Forecast'!$C$104:$AL$104,1,Y$4-Assumptions!$C$77)+INDEX('36-Month Forecast'!$C$101:$AL$101,1,Y$4-Assumptions!$C$77)*'Unit Economics'!$H$58,0)</f>
        <v>-0</v>
      </c>
      <c r="Z17" s="8" t="n">
        <f aca="false">IF(Z$4-Assumptions!$C$77&gt;=1,INDEX('36-Month Forecast'!$C$104:$AL$104,1,Z$4-Assumptions!$C$77)+INDEX('36-Month Forecast'!$C$101:$AL$101,1,Z$4-Assumptions!$C$77)*'Unit Economics'!$H$58,0)</f>
        <v>-0</v>
      </c>
      <c r="AA17" s="8" t="n">
        <f aca="false">IF(AA$4-Assumptions!$C$77&gt;=1,INDEX('36-Month Forecast'!$C$104:$AL$104,1,AA$4-Assumptions!$C$77)+INDEX('36-Month Forecast'!$C$101:$AL$101,1,AA$4-Assumptions!$C$77)*'Unit Economics'!$H$58,0)</f>
        <v>0</v>
      </c>
      <c r="AB17" s="8" t="n">
        <f aca="false">IF(AB$4-Assumptions!$C$77&gt;=1,INDEX('36-Month Forecast'!$C$104:$AL$104,1,AB$4-Assumptions!$C$77)+INDEX('36-Month Forecast'!$C$101:$AL$101,1,AB$4-Assumptions!$C$77)*'Unit Economics'!$H$58,0)</f>
        <v>0</v>
      </c>
      <c r="AC17" s="8" t="n">
        <f aca="false">IF(AC$4-Assumptions!$C$77&gt;=1,INDEX('36-Month Forecast'!$C$104:$AL$104,1,AC$4-Assumptions!$C$77)+INDEX('36-Month Forecast'!$C$101:$AL$101,1,AC$4-Assumptions!$C$77)*'Unit Economics'!$H$58,0)</f>
        <v>0</v>
      </c>
      <c r="AD17" s="8" t="n">
        <f aca="false">IF(AD$4-Assumptions!$C$77&gt;=1,INDEX('36-Month Forecast'!$C$104:$AL$104,1,AD$4-Assumptions!$C$77)+INDEX('36-Month Forecast'!$C$101:$AL$101,1,AD$4-Assumptions!$C$77)*'Unit Economics'!$H$58,0)</f>
        <v>0</v>
      </c>
      <c r="AE17" s="8" t="n">
        <f aca="false">IF(AE$4-Assumptions!$C$77&gt;=1,INDEX('36-Month Forecast'!$C$104:$AL$104,1,AE$4-Assumptions!$C$77)+INDEX('36-Month Forecast'!$C$101:$AL$101,1,AE$4-Assumptions!$C$77)*'Unit Economics'!$H$58,0)</f>
        <v>0</v>
      </c>
      <c r="AF17" s="8" t="n">
        <f aca="false">IF(AF$4-Assumptions!$C$77&gt;=1,INDEX('36-Month Forecast'!$C$104:$AL$104,1,AF$4-Assumptions!$C$77)+INDEX('36-Month Forecast'!$C$101:$AL$101,1,AF$4-Assumptions!$C$77)*'Unit Economics'!$H$58,0)</f>
        <v>0</v>
      </c>
      <c r="AG17" s="8" t="n">
        <f aca="false">IF(AG$4-Assumptions!$C$77&gt;=1,INDEX('36-Month Forecast'!$C$104:$AL$104,1,AG$4-Assumptions!$C$77)+INDEX('36-Month Forecast'!$C$101:$AL$101,1,AG$4-Assumptions!$C$77)*'Unit Economics'!$H$58,0)</f>
        <v>0</v>
      </c>
      <c r="AH17" s="8" t="n">
        <f aca="false">IF(AH$4-Assumptions!$C$77&gt;=1,INDEX('36-Month Forecast'!$C$104:$AL$104,1,AH$4-Assumptions!$C$77)+INDEX('36-Month Forecast'!$C$101:$AL$101,1,AH$4-Assumptions!$C$77)*'Unit Economics'!$H$58,0)</f>
        <v>0</v>
      </c>
      <c r="AI17" s="8" t="n">
        <f aca="false">IF(AI$4-Assumptions!$C$77&gt;=1,INDEX('36-Month Forecast'!$C$104:$AL$104,1,AI$4-Assumptions!$C$77)+INDEX('36-Month Forecast'!$C$101:$AL$101,1,AI$4-Assumptions!$C$77)*'Unit Economics'!$H$58,0)</f>
        <v>0</v>
      </c>
      <c r="AJ17" s="8" t="n">
        <f aca="false">IF(AJ$4-Assumptions!$C$77&gt;=1,INDEX('36-Month Forecast'!$C$104:$AL$104,1,AJ$4-Assumptions!$C$77)+INDEX('36-Month Forecast'!$C$101:$AL$101,1,AJ$4-Assumptions!$C$77)*'Unit Economics'!$H$58,0)</f>
        <v>0</v>
      </c>
      <c r="AK17" s="8" t="n">
        <f aca="false">IF(AK$4-Assumptions!$C$77&gt;=1,INDEX('36-Month Forecast'!$C$104:$AL$104,1,AK$4-Assumptions!$C$77)+INDEX('36-Month Forecast'!$C$101:$AL$101,1,AK$4-Assumptions!$C$77)*'Unit Economics'!$H$58,0)</f>
        <v>0</v>
      </c>
      <c r="AL17" s="8" t="n">
        <f aca="false">IF(AL$4-Assumptions!$C$77&gt;=1,INDEX('36-Month Forecast'!$C$104:$AL$104,1,AL$4-Assumptions!$C$77)+INDEX('36-Month Forecast'!$C$101:$AL$101,1,AL$4-Assumptions!$C$77)*'Unit Economics'!$H$58,0)</f>
        <v>0</v>
      </c>
      <c r="AM17" s="45" t="n">
        <f aca="false">SUMIF($C$6:$AL$6,1,C17:AL17)</f>
        <v>0</v>
      </c>
      <c r="AN17" s="45" t="n">
        <f aca="false">SUMIF($C$6:$AL$6,2,C17:AL17)</f>
        <v>0</v>
      </c>
      <c r="AO17" s="45" t="n">
        <f aca="false">SUMIF($C$6:$AL$6,3,C17:AL17)</f>
        <v>0</v>
      </c>
      <c r="AP17" s="45" t="n">
        <f aca="false">SUM(C17:AL17)</f>
        <v>0</v>
      </c>
    </row>
    <row r="18" customFormat="false" ht="15" hidden="false" customHeight="false" outlineLevel="0" collapsed="false">
      <c r="A18" s="10" t="s">
        <v>810</v>
      </c>
      <c r="C18" s="41" t="n">
        <f aca="false">SUM(C9:C17)</f>
        <v>9.43807352358929</v>
      </c>
      <c r="D18" s="41" t="n">
        <f aca="false">SUM(D9:D17)</f>
        <v>27.8969583728829</v>
      </c>
      <c r="E18" s="41" t="n">
        <f aca="false">SUM(E9:E17)</f>
        <v>46.9312676626883</v>
      </c>
      <c r="F18" s="41" t="n">
        <f aca="false">SUM(F9:F17)</f>
        <v>70.9519399761187</v>
      </c>
      <c r="G18" s="41" t="n">
        <f aca="false">SUM(G9:G17)</f>
        <v>87.1941487082188</v>
      </c>
      <c r="H18" s="41" t="n">
        <f aca="false">SUM(H9:H17)</f>
        <v>130.504846736921</v>
      </c>
      <c r="I18" s="41" t="n">
        <f aca="false">SUM(I9:I17)</f>
        <v>148.918428922902</v>
      </c>
      <c r="J18" s="41" t="n">
        <f aca="false">SUM(J9:J17)</f>
        <v>169.553677081904</v>
      </c>
      <c r="K18" s="41" t="n">
        <f aca="false">SUM(K9:K17)</f>
        <v>209.713901181037</v>
      </c>
      <c r="L18" s="41" t="n">
        <f aca="false">SUM(L9:L17)</f>
        <v>214.292604355143</v>
      </c>
      <c r="M18" s="41" t="n">
        <f aca="false">SUM(M9:M17)</f>
        <v>218.034289304922</v>
      </c>
      <c r="N18" s="41" t="n">
        <f aca="false">SUM(N9:N17)</f>
        <v>228.7653256453</v>
      </c>
      <c r="O18" s="41" t="n">
        <f aca="false">SUM(O9:O17)</f>
        <v>246.392266723161</v>
      </c>
      <c r="P18" s="41" t="n">
        <f aca="false">SUM(P9:P17)</f>
        <v>318.523700616749</v>
      </c>
      <c r="Q18" s="41" t="n">
        <f aca="false">SUM(Q9:Q17)</f>
        <v>348.643053398927</v>
      </c>
      <c r="R18" s="41" t="n">
        <f aca="false">SUM(R9:R17)</f>
        <v>378.300061135468</v>
      </c>
      <c r="S18" s="41" t="n">
        <f aca="false">SUM(S9:S17)</f>
        <v>329.104438478513</v>
      </c>
      <c r="T18" s="41" t="n">
        <f aca="false">SUM(T9:T17)</f>
        <v>349.186128780503</v>
      </c>
      <c r="U18" s="41" t="n">
        <f aca="false">SUM(U9:U17)</f>
        <v>330.599100399086</v>
      </c>
      <c r="V18" s="41" t="n">
        <f aca="false">SUM(V9:V17)</f>
        <v>329.254151732396</v>
      </c>
      <c r="W18" s="41" t="n">
        <f aca="false">SUM(W9:W17)</f>
        <v>357.763313066727</v>
      </c>
      <c r="X18" s="41" t="n">
        <f aca="false">SUM(X9:X17)</f>
        <v>345.586386445803</v>
      </c>
      <c r="Y18" s="41" t="n">
        <f aca="false">SUM(Y9:Y17)</f>
        <v>338.440569660616</v>
      </c>
      <c r="Z18" s="41" t="n">
        <f aca="false">SUM(Z9:Z17)</f>
        <v>342.982282438865</v>
      </c>
      <c r="AA18" s="41" t="n">
        <f aca="false">SUM(AA9:AA17)</f>
        <v>361.565415271033</v>
      </c>
      <c r="AB18" s="41" t="n">
        <f aca="false">SUM(AB9:AB17)</f>
        <v>458.211101097336</v>
      </c>
      <c r="AC18" s="41" t="n">
        <f aca="false">SUM(AC9:AC17)</f>
        <v>492.431282482757</v>
      </c>
      <c r="AD18" s="41" t="n">
        <f aca="false">SUM(AD9:AD17)</f>
        <v>523.941285473959</v>
      </c>
      <c r="AE18" s="41" t="n">
        <f aca="false">SUM(AE9:AE17)</f>
        <v>446.496361183296</v>
      </c>
      <c r="AF18" s="41" t="n">
        <f aca="false">SUM(AF9:AF17)</f>
        <v>465.576856197445</v>
      </c>
      <c r="AG18" s="41" t="n">
        <f aca="false">SUM(AG9:AG17)</f>
        <v>433.700085338539</v>
      </c>
      <c r="AH18" s="41" t="n">
        <f aca="false">SUM(AH9:AH17)</f>
        <v>423.863346521946</v>
      </c>
      <c r="AI18" s="41" t="n">
        <f aca="false">SUM(AI9:AI17)</f>
        <v>452.243388330465</v>
      </c>
      <c r="AJ18" s="41" t="n">
        <f aca="false">SUM(AJ9:AJ17)</f>
        <v>429.075211565207</v>
      </c>
      <c r="AK18" s="41" t="n">
        <f aca="false">SUM(AK9:AK17)</f>
        <v>412.175321674342</v>
      </c>
      <c r="AL18" s="41" t="n">
        <f aca="false">SUM(AL9:AL17)</f>
        <v>410.298114723071</v>
      </c>
      <c r="AM18" s="45" t="n">
        <f aca="false">SUMIF($C$6:$AL$6,1,C18:AL18)</f>
        <v>1562.19546147163</v>
      </c>
      <c r="AN18" s="45" t="n">
        <f aca="false">SUMIF($C$6:$AL$6,2,C18:AL18)</f>
        <v>4014.77545287682</v>
      </c>
      <c r="AO18" s="45" t="n">
        <f aca="false">SUMIF($C$6:$AL$6,3,C18:AL18)</f>
        <v>5309.5777698594</v>
      </c>
      <c r="AP18" s="45" t="n">
        <f aca="false">SUM(C18:AL18)</f>
        <v>10886.5486842078</v>
      </c>
    </row>
    <row r="19" customFormat="false" ht="15" hidden="false" customHeight="false" outlineLevel="0" collapsed="false">
      <c r="A19" s="7" t="s">
        <v>811</v>
      </c>
      <c r="C19" s="8" t="n">
        <f aca="false">Assumptions!$C$16</f>
        <v>0</v>
      </c>
      <c r="D19" s="41" t="n">
        <f aca="false">0</f>
        <v>0</v>
      </c>
      <c r="E19" s="41" t="n">
        <f aca="false">0</f>
        <v>0</v>
      </c>
      <c r="F19" s="41" t="n">
        <f aca="false">0</f>
        <v>0</v>
      </c>
      <c r="G19" s="41" t="n">
        <f aca="false">0</f>
        <v>0</v>
      </c>
      <c r="H19" s="41" t="n">
        <f aca="false">0</f>
        <v>0</v>
      </c>
      <c r="I19" s="41" t="n">
        <f aca="false">0</f>
        <v>0</v>
      </c>
      <c r="J19" s="41" t="n">
        <f aca="false">0</f>
        <v>0</v>
      </c>
      <c r="K19" s="41" t="n">
        <f aca="false">0</f>
        <v>0</v>
      </c>
      <c r="L19" s="41" t="n">
        <f aca="false">0</f>
        <v>0</v>
      </c>
      <c r="M19" s="41" t="n">
        <f aca="false">0</f>
        <v>0</v>
      </c>
      <c r="N19" s="41" t="n">
        <f aca="false">0</f>
        <v>0</v>
      </c>
      <c r="O19" s="41" t="n">
        <f aca="false">0</f>
        <v>0</v>
      </c>
      <c r="P19" s="41" t="n">
        <f aca="false">0</f>
        <v>0</v>
      </c>
      <c r="Q19" s="41" t="n">
        <f aca="false">0</f>
        <v>0</v>
      </c>
      <c r="R19" s="41" t="n">
        <f aca="false">0</f>
        <v>0</v>
      </c>
      <c r="S19" s="41" t="n">
        <f aca="false">0</f>
        <v>0</v>
      </c>
      <c r="T19" s="41" t="n">
        <f aca="false">0</f>
        <v>0</v>
      </c>
      <c r="U19" s="41" t="n">
        <f aca="false">0</f>
        <v>0</v>
      </c>
      <c r="V19" s="41" t="n">
        <f aca="false">0</f>
        <v>0</v>
      </c>
      <c r="W19" s="41" t="n">
        <f aca="false">0</f>
        <v>0</v>
      </c>
      <c r="X19" s="41" t="n">
        <f aca="false">0</f>
        <v>0</v>
      </c>
      <c r="Y19" s="41" t="n">
        <f aca="false">0</f>
        <v>0</v>
      </c>
      <c r="Z19" s="41" t="n">
        <f aca="false">0</f>
        <v>0</v>
      </c>
      <c r="AA19" s="41" t="n">
        <f aca="false">0</f>
        <v>0</v>
      </c>
      <c r="AB19" s="41" t="n">
        <f aca="false">0</f>
        <v>0</v>
      </c>
      <c r="AC19" s="41" t="n">
        <f aca="false">0</f>
        <v>0</v>
      </c>
      <c r="AD19" s="41" t="n">
        <f aca="false">0</f>
        <v>0</v>
      </c>
      <c r="AE19" s="41" t="n">
        <f aca="false">0</f>
        <v>0</v>
      </c>
      <c r="AF19" s="41" t="n">
        <f aca="false">0</f>
        <v>0</v>
      </c>
      <c r="AG19" s="41" t="n">
        <f aca="false">0</f>
        <v>0</v>
      </c>
      <c r="AH19" s="41" t="n">
        <f aca="false">0</f>
        <v>0</v>
      </c>
      <c r="AI19" s="41" t="n">
        <f aca="false">0</f>
        <v>0</v>
      </c>
      <c r="AJ19" s="41" t="n">
        <f aca="false">0</f>
        <v>0</v>
      </c>
      <c r="AK19" s="41" t="n">
        <f aca="false">0</f>
        <v>0</v>
      </c>
      <c r="AL19" s="41" t="n">
        <f aca="false">0</f>
        <v>0</v>
      </c>
      <c r="AM19" s="45" t="n">
        <f aca="false">SUMIF($C$6:$AL$6,1,C19:AL19)</f>
        <v>0</v>
      </c>
      <c r="AN19" s="45" t="n">
        <f aca="false">SUMIF($C$6:$AL$6,2,C19:AL19)</f>
        <v>0</v>
      </c>
      <c r="AO19" s="45" t="n">
        <f aca="false">SUMIF($C$6:$AL$6,3,C19:AL19)</f>
        <v>0</v>
      </c>
      <c r="AP19" s="45" t="n">
        <f aca="false">SUM(C19:AL19)</f>
        <v>0</v>
      </c>
    </row>
    <row r="20" customFormat="false" ht="15" hidden="false" customHeight="false" outlineLevel="0" collapsed="false">
      <c r="A20" s="7" t="s">
        <v>812</v>
      </c>
      <c r="C20" s="8" t="n">
        <f aca="false">-'36-Month Forecast'!C129</f>
        <v>-0</v>
      </c>
      <c r="D20" s="8" t="n">
        <f aca="false">-'36-Month Forecast'!D129</f>
        <v>-0</v>
      </c>
      <c r="E20" s="8" t="n">
        <f aca="false">-'36-Month Forecast'!E129</f>
        <v>-0</v>
      </c>
      <c r="F20" s="8" t="n">
        <f aca="false">-'36-Month Forecast'!F129</f>
        <v>-0</v>
      </c>
      <c r="G20" s="8" t="n">
        <f aca="false">-'36-Month Forecast'!G129</f>
        <v>-0</v>
      </c>
      <c r="H20" s="8" t="n">
        <f aca="false">-'36-Month Forecast'!H129</f>
        <v>-0</v>
      </c>
      <c r="I20" s="8" t="n">
        <f aca="false">-'36-Month Forecast'!I129</f>
        <v>-0</v>
      </c>
      <c r="J20" s="8" t="n">
        <f aca="false">-'36-Month Forecast'!J129</f>
        <v>-3625</v>
      </c>
      <c r="K20" s="8" t="n">
        <f aca="false">-'36-Month Forecast'!K129</f>
        <v>-0</v>
      </c>
      <c r="L20" s="8" t="n">
        <f aca="false">-'36-Month Forecast'!L129</f>
        <v>-0</v>
      </c>
      <c r="M20" s="8" t="n">
        <f aca="false">-'36-Month Forecast'!M129</f>
        <v>-0</v>
      </c>
      <c r="N20" s="8" t="n">
        <f aca="false">-'36-Month Forecast'!N129</f>
        <v>-0</v>
      </c>
      <c r="O20" s="8" t="n">
        <f aca="false">-'36-Month Forecast'!O129</f>
        <v>-0</v>
      </c>
      <c r="P20" s="8" t="n">
        <f aca="false">-'36-Month Forecast'!P129</f>
        <v>-0</v>
      </c>
      <c r="Q20" s="8" t="n">
        <f aca="false">-'36-Month Forecast'!Q129</f>
        <v>-0</v>
      </c>
      <c r="R20" s="8" t="n">
        <f aca="false">-'36-Month Forecast'!R129</f>
        <v>-0</v>
      </c>
      <c r="S20" s="8" t="n">
        <f aca="false">-'36-Month Forecast'!S129</f>
        <v>-0</v>
      </c>
      <c r="T20" s="8" t="n">
        <f aca="false">-'36-Month Forecast'!T129</f>
        <v>-0</v>
      </c>
      <c r="U20" s="8" t="n">
        <f aca="false">-'36-Month Forecast'!U129</f>
        <v>-0</v>
      </c>
      <c r="V20" s="8" t="n">
        <f aca="false">-'36-Month Forecast'!V129</f>
        <v>-0</v>
      </c>
      <c r="W20" s="8" t="n">
        <f aca="false">-'36-Month Forecast'!W129</f>
        <v>-0</v>
      </c>
      <c r="X20" s="8" t="n">
        <f aca="false">-'36-Month Forecast'!X129</f>
        <v>-0</v>
      </c>
      <c r="Y20" s="8" t="n">
        <f aca="false">-'36-Month Forecast'!Y129</f>
        <v>-0</v>
      </c>
      <c r="Z20" s="8" t="n">
        <f aca="false">-'36-Month Forecast'!Z129</f>
        <v>-0</v>
      </c>
      <c r="AA20" s="8" t="n">
        <f aca="false">-'36-Month Forecast'!AA129</f>
        <v>-0</v>
      </c>
      <c r="AB20" s="8" t="n">
        <f aca="false">-'36-Month Forecast'!AB129</f>
        <v>-0</v>
      </c>
      <c r="AC20" s="8" t="n">
        <f aca="false">-'36-Month Forecast'!AC129</f>
        <v>-0</v>
      </c>
      <c r="AD20" s="8" t="n">
        <f aca="false">-'36-Month Forecast'!AD129</f>
        <v>-0</v>
      </c>
      <c r="AE20" s="8" t="n">
        <f aca="false">-'36-Month Forecast'!AE129</f>
        <v>-0</v>
      </c>
      <c r="AF20" s="8" t="n">
        <f aca="false">-'36-Month Forecast'!AF129</f>
        <v>-0</v>
      </c>
      <c r="AG20" s="8" t="n">
        <f aca="false">-'36-Month Forecast'!AG129</f>
        <v>-0</v>
      </c>
      <c r="AH20" s="8" t="n">
        <f aca="false">-'36-Month Forecast'!AH129</f>
        <v>-0</v>
      </c>
      <c r="AI20" s="8" t="n">
        <f aca="false">-'36-Month Forecast'!AI129</f>
        <v>-0</v>
      </c>
      <c r="AJ20" s="8" t="n">
        <f aca="false">-'36-Month Forecast'!AJ129</f>
        <v>-0</v>
      </c>
      <c r="AK20" s="8" t="n">
        <f aca="false">-'36-Month Forecast'!AK129</f>
        <v>-0</v>
      </c>
      <c r="AL20" s="8" t="n">
        <f aca="false">-'36-Month Forecast'!AL129</f>
        <v>-0</v>
      </c>
      <c r="AM20" s="45" t="n">
        <f aca="false">SUMIF($C$6:$AL$6,1,C20:AL20)</f>
        <v>-3625</v>
      </c>
      <c r="AN20" s="45" t="n">
        <f aca="false">SUMIF($C$6:$AL$6,2,C20:AL20)</f>
        <v>0</v>
      </c>
      <c r="AO20" s="45" t="n">
        <f aca="false">SUMIF($C$6:$AL$6,3,C20:AL20)</f>
        <v>0</v>
      </c>
      <c r="AP20" s="45" t="n">
        <f aca="false">SUM(C20:AL20)</f>
        <v>-3625</v>
      </c>
    </row>
    <row r="21" customFormat="false" ht="15" hidden="false" customHeight="false" outlineLevel="0" collapsed="false">
      <c r="A21" s="7" t="s">
        <v>779</v>
      </c>
      <c r="C21" s="8" t="n">
        <f aca="false">-'36-Month Forecast'!C117</f>
        <v>-0</v>
      </c>
      <c r="D21" s="8" t="n">
        <f aca="false">-'36-Month Forecast'!D117</f>
        <v>-0</v>
      </c>
      <c r="E21" s="8" t="n">
        <f aca="false">-'36-Month Forecast'!E117</f>
        <v>-0</v>
      </c>
      <c r="F21" s="8" t="n">
        <f aca="false">-'36-Month Forecast'!F117</f>
        <v>-0</v>
      </c>
      <c r="G21" s="8" t="n">
        <f aca="false">-'36-Month Forecast'!G117</f>
        <v>-0</v>
      </c>
      <c r="H21" s="8" t="n">
        <f aca="false">-'36-Month Forecast'!H117</f>
        <v>-0</v>
      </c>
      <c r="I21" s="8" t="n">
        <f aca="false">-'36-Month Forecast'!I117</f>
        <v>-0</v>
      </c>
      <c r="J21" s="8" t="n">
        <f aca="false">-'36-Month Forecast'!J117</f>
        <v>-0</v>
      </c>
      <c r="K21" s="8" t="n">
        <f aca="false">-'36-Month Forecast'!K117</f>
        <v>-0</v>
      </c>
      <c r="L21" s="8" t="n">
        <f aca="false">-'36-Month Forecast'!L117</f>
        <v>-0</v>
      </c>
      <c r="M21" s="8" t="n">
        <f aca="false">-'36-Month Forecast'!M117</f>
        <v>-0</v>
      </c>
      <c r="N21" s="8" t="n">
        <f aca="false">-'36-Month Forecast'!N117</f>
        <v>-0</v>
      </c>
      <c r="O21" s="8" t="n">
        <f aca="false">-'36-Month Forecast'!O117</f>
        <v>-150</v>
      </c>
      <c r="P21" s="8" t="n">
        <f aca="false">-'36-Month Forecast'!P117</f>
        <v>-150</v>
      </c>
      <c r="Q21" s="8" t="n">
        <f aca="false">-'36-Month Forecast'!Q117</f>
        <v>-150</v>
      </c>
      <c r="R21" s="8" t="n">
        <f aca="false">-'36-Month Forecast'!R117</f>
        <v>-150</v>
      </c>
      <c r="S21" s="8" t="n">
        <f aca="false">-'36-Month Forecast'!S117</f>
        <v>-150</v>
      </c>
      <c r="T21" s="8" t="n">
        <f aca="false">-'36-Month Forecast'!T117</f>
        <v>-150</v>
      </c>
      <c r="U21" s="8" t="n">
        <f aca="false">-'36-Month Forecast'!U117</f>
        <v>-150</v>
      </c>
      <c r="V21" s="8" t="n">
        <f aca="false">-'36-Month Forecast'!V117</f>
        <v>-150</v>
      </c>
      <c r="W21" s="8" t="n">
        <f aca="false">-'36-Month Forecast'!W117</f>
        <v>-150</v>
      </c>
      <c r="X21" s="8" t="n">
        <f aca="false">-'36-Month Forecast'!X117</f>
        <v>-150</v>
      </c>
      <c r="Y21" s="8" t="n">
        <f aca="false">-'36-Month Forecast'!Y117</f>
        <v>-150</v>
      </c>
      <c r="Z21" s="8" t="n">
        <f aca="false">-'36-Month Forecast'!Z117</f>
        <v>-150</v>
      </c>
      <c r="AA21" s="8" t="n">
        <f aca="false">-'36-Month Forecast'!AA117</f>
        <v>-250</v>
      </c>
      <c r="AB21" s="8" t="n">
        <f aca="false">-'36-Month Forecast'!AB117</f>
        <v>-250</v>
      </c>
      <c r="AC21" s="8" t="n">
        <f aca="false">-'36-Month Forecast'!AC117</f>
        <v>-250</v>
      </c>
      <c r="AD21" s="8" t="n">
        <f aca="false">-'36-Month Forecast'!AD117</f>
        <v>-250</v>
      </c>
      <c r="AE21" s="8" t="n">
        <f aca="false">-'36-Month Forecast'!AE117</f>
        <v>-250</v>
      </c>
      <c r="AF21" s="8" t="n">
        <f aca="false">-'36-Month Forecast'!AF117</f>
        <v>-250</v>
      </c>
      <c r="AG21" s="8" t="n">
        <f aca="false">-'36-Month Forecast'!AG117</f>
        <v>-250</v>
      </c>
      <c r="AH21" s="8" t="n">
        <f aca="false">-'36-Month Forecast'!AH117</f>
        <v>-250</v>
      </c>
      <c r="AI21" s="8" t="n">
        <f aca="false">-'36-Month Forecast'!AI117</f>
        <v>-250</v>
      </c>
      <c r="AJ21" s="8" t="n">
        <f aca="false">-'36-Month Forecast'!AJ117</f>
        <v>-250</v>
      </c>
      <c r="AK21" s="8" t="n">
        <f aca="false">-'36-Month Forecast'!AK117</f>
        <v>-250</v>
      </c>
      <c r="AL21" s="8" t="n">
        <f aca="false">-'36-Month Forecast'!AL117</f>
        <v>-250</v>
      </c>
      <c r="AM21" s="45" t="n">
        <f aca="false">SUMIF($C$6:$AL$6,1,C21:AL21)</f>
        <v>0</v>
      </c>
      <c r="AN21" s="45" t="n">
        <f aca="false">SUMIF($C$6:$AL$6,2,C21:AL21)</f>
        <v>-1800</v>
      </c>
      <c r="AO21" s="45" t="n">
        <f aca="false">SUMIF($C$6:$AL$6,3,C21:AL21)</f>
        <v>-3000</v>
      </c>
      <c r="AP21" s="45" t="n">
        <f aca="false">SUM(C21:AL21)</f>
        <v>-4800</v>
      </c>
    </row>
    <row r="22" customFormat="false" ht="15" hidden="false" customHeight="false" outlineLevel="0" collapsed="false">
      <c r="A22" s="7" t="s">
        <v>813</v>
      </c>
      <c r="C22" s="8" t="n">
        <f aca="false">-'36-Month Forecast'!C118</f>
        <v>-1237.3185</v>
      </c>
      <c r="D22" s="8" t="n">
        <f aca="false">-'36-Month Forecast'!D118</f>
        <v>-735.7185</v>
      </c>
      <c r="E22" s="8" t="n">
        <f aca="false">-'36-Month Forecast'!E118</f>
        <v>-814.3685</v>
      </c>
      <c r="F22" s="8" t="n">
        <f aca="false">-'36-Month Forecast'!F118</f>
        <v>-1226.8685</v>
      </c>
      <c r="G22" s="8" t="n">
        <f aca="false">-'36-Month Forecast'!G118</f>
        <v>-944.1685</v>
      </c>
      <c r="H22" s="8" t="n">
        <f aca="false">-'36-Month Forecast'!H118</f>
        <v>-814.3685</v>
      </c>
      <c r="I22" s="8" t="n">
        <f aca="false">-'36-Month Forecast'!I118</f>
        <v>-2244.3685</v>
      </c>
      <c r="J22" s="8" t="n">
        <f aca="false">-'36-Month Forecast'!J118</f>
        <v>-814.3685</v>
      </c>
      <c r="K22" s="8" t="n">
        <f aca="false">-'36-Month Forecast'!K118</f>
        <v>-814.3685</v>
      </c>
      <c r="L22" s="8" t="n">
        <f aca="false">-'36-Month Forecast'!L118</f>
        <v>-814.3685</v>
      </c>
      <c r="M22" s="8" t="n">
        <f aca="false">-'36-Month Forecast'!M118</f>
        <v>-814.3685</v>
      </c>
      <c r="N22" s="8" t="n">
        <f aca="false">-'36-Month Forecast'!N118</f>
        <v>-814.3685</v>
      </c>
      <c r="O22" s="8" t="n">
        <f aca="false">-'36-Month Forecast'!O118</f>
        <v>-1667.4185</v>
      </c>
      <c r="P22" s="8" t="n">
        <f aca="false">-'36-Month Forecast'!P118</f>
        <v>-835.8185</v>
      </c>
      <c r="Q22" s="8" t="n">
        <f aca="false">-'36-Month Forecast'!Q118</f>
        <v>-835.8185</v>
      </c>
      <c r="R22" s="8" t="n">
        <f aca="false">-'36-Month Forecast'!R118</f>
        <v>-1248.3185</v>
      </c>
      <c r="S22" s="8" t="n">
        <f aca="false">-'36-Month Forecast'!S118</f>
        <v>-965.6185</v>
      </c>
      <c r="T22" s="8" t="n">
        <f aca="false">-'36-Month Forecast'!T118</f>
        <v>-835.8185</v>
      </c>
      <c r="U22" s="8" t="n">
        <f aca="false">-'36-Month Forecast'!U118</f>
        <v>-2265.8185</v>
      </c>
      <c r="V22" s="8" t="n">
        <f aca="false">-'36-Month Forecast'!V118</f>
        <v>-835.8185</v>
      </c>
      <c r="W22" s="8" t="n">
        <f aca="false">-'36-Month Forecast'!W118</f>
        <v>-835.8185</v>
      </c>
      <c r="X22" s="8" t="n">
        <f aca="false">-'36-Month Forecast'!X118</f>
        <v>-835.8185</v>
      </c>
      <c r="Y22" s="8" t="n">
        <f aca="false">-'36-Month Forecast'!Y118</f>
        <v>-835.8185</v>
      </c>
      <c r="Z22" s="8" t="n">
        <f aca="false">-'36-Month Forecast'!Z118</f>
        <v>-835.8185</v>
      </c>
      <c r="AA22" s="8" t="n">
        <f aca="false">-'36-Month Forecast'!AA118</f>
        <v>-1667.4185</v>
      </c>
      <c r="AB22" s="8" t="n">
        <f aca="false">-'36-Month Forecast'!AB118</f>
        <v>-835.8185</v>
      </c>
      <c r="AC22" s="8" t="n">
        <f aca="false">-'36-Month Forecast'!AC118</f>
        <v>-835.8185</v>
      </c>
      <c r="AD22" s="8" t="n">
        <f aca="false">-'36-Month Forecast'!AD118</f>
        <v>-1248.3185</v>
      </c>
      <c r="AE22" s="8" t="n">
        <f aca="false">-'36-Month Forecast'!AE118</f>
        <v>-965.6185</v>
      </c>
      <c r="AF22" s="8" t="n">
        <f aca="false">-'36-Month Forecast'!AF118</f>
        <v>-835.8185</v>
      </c>
      <c r="AG22" s="8" t="n">
        <f aca="false">-'36-Month Forecast'!AG118</f>
        <v>-2265.8185</v>
      </c>
      <c r="AH22" s="8" t="n">
        <f aca="false">-'36-Month Forecast'!AH118</f>
        <v>-835.8185</v>
      </c>
      <c r="AI22" s="8" t="n">
        <f aca="false">-'36-Month Forecast'!AI118</f>
        <v>-835.8185</v>
      </c>
      <c r="AJ22" s="8" t="n">
        <f aca="false">-'36-Month Forecast'!AJ118</f>
        <v>-835.8185</v>
      </c>
      <c r="AK22" s="8" t="n">
        <f aca="false">-'36-Month Forecast'!AK118</f>
        <v>-835.8185</v>
      </c>
      <c r="AL22" s="8" t="n">
        <f aca="false">-'36-Month Forecast'!AL118</f>
        <v>-835.8185</v>
      </c>
      <c r="AM22" s="45" t="n">
        <f aca="false">SUMIF($C$6:$AL$6,1,C22:AL22)</f>
        <v>-12089.022</v>
      </c>
      <c r="AN22" s="45" t="n">
        <f aca="false">SUMIF($C$6:$AL$6,2,C22:AL22)</f>
        <v>-12833.722</v>
      </c>
      <c r="AO22" s="45" t="n">
        <f aca="false">SUMIF($C$6:$AL$6,3,C22:AL22)</f>
        <v>-12833.722</v>
      </c>
      <c r="AP22" s="45" t="n">
        <f aca="false">SUM(C22:AL22)</f>
        <v>-37756.466</v>
      </c>
    </row>
    <row r="23" customFormat="false" ht="15" hidden="false" customHeight="false" outlineLevel="0" collapsed="false">
      <c r="A23" s="7" t="s">
        <v>814</v>
      </c>
      <c r="C23" s="8" t="n">
        <f aca="false">-'36-Month Forecast'!C119</f>
        <v>-0</v>
      </c>
      <c r="D23" s="8" t="n">
        <f aca="false">-'36-Month Forecast'!D119</f>
        <v>-0</v>
      </c>
      <c r="E23" s="8" t="n">
        <f aca="false">-'36-Month Forecast'!E119</f>
        <v>-0</v>
      </c>
      <c r="F23" s="8" t="n">
        <f aca="false">-'36-Month Forecast'!F119</f>
        <v>-0</v>
      </c>
      <c r="G23" s="8" t="n">
        <f aca="false">-'36-Month Forecast'!G119</f>
        <v>-0</v>
      </c>
      <c r="H23" s="8" t="n">
        <f aca="false">-'36-Month Forecast'!H119</f>
        <v>-0</v>
      </c>
      <c r="I23" s="8" t="n">
        <f aca="false">-'36-Month Forecast'!I119</f>
        <v>-0</v>
      </c>
      <c r="J23" s="8" t="n">
        <f aca="false">-'36-Month Forecast'!J119</f>
        <v>-139.99</v>
      </c>
      <c r="K23" s="8" t="n">
        <f aca="false">-'36-Month Forecast'!K119</f>
        <v>-139.99</v>
      </c>
      <c r="L23" s="8" t="n">
        <f aca="false">-'36-Month Forecast'!L119</f>
        <v>-139.99</v>
      </c>
      <c r="M23" s="8" t="n">
        <f aca="false">-'36-Month Forecast'!M119</f>
        <v>-139.99</v>
      </c>
      <c r="N23" s="8" t="n">
        <f aca="false">-'36-Month Forecast'!N119</f>
        <v>-139.99</v>
      </c>
      <c r="O23" s="8" t="n">
        <f aca="false">-'36-Month Forecast'!O119</f>
        <v>-139.99</v>
      </c>
      <c r="P23" s="8" t="n">
        <f aca="false">-'36-Month Forecast'!P119</f>
        <v>-139.99</v>
      </c>
      <c r="Q23" s="8" t="n">
        <f aca="false">-'36-Month Forecast'!Q119</f>
        <v>-139.99</v>
      </c>
      <c r="R23" s="8" t="n">
        <f aca="false">-'36-Month Forecast'!R119</f>
        <v>-139.99</v>
      </c>
      <c r="S23" s="8" t="n">
        <f aca="false">-'36-Month Forecast'!S119</f>
        <v>-139.99</v>
      </c>
      <c r="T23" s="8" t="n">
        <f aca="false">-'36-Month Forecast'!T119</f>
        <v>-139.99</v>
      </c>
      <c r="U23" s="8" t="n">
        <f aca="false">-'36-Month Forecast'!U119</f>
        <v>-139.99</v>
      </c>
      <c r="V23" s="8" t="n">
        <f aca="false">-'36-Month Forecast'!V119</f>
        <v>-139.99</v>
      </c>
      <c r="W23" s="8" t="n">
        <f aca="false">-'36-Month Forecast'!W119</f>
        <v>-139.99</v>
      </c>
      <c r="X23" s="8" t="n">
        <f aca="false">-'36-Month Forecast'!X119</f>
        <v>-139.99</v>
      </c>
      <c r="Y23" s="8" t="n">
        <f aca="false">-'36-Month Forecast'!Y119</f>
        <v>-139.99</v>
      </c>
      <c r="Z23" s="8" t="n">
        <f aca="false">-'36-Month Forecast'!Z119</f>
        <v>-139.99</v>
      </c>
      <c r="AA23" s="8" t="n">
        <f aca="false">-'36-Month Forecast'!AA119</f>
        <v>-139.99</v>
      </c>
      <c r="AB23" s="8" t="n">
        <f aca="false">-'36-Month Forecast'!AB119</f>
        <v>-139.99</v>
      </c>
      <c r="AC23" s="8" t="n">
        <f aca="false">-'36-Month Forecast'!AC119</f>
        <v>-139.99</v>
      </c>
      <c r="AD23" s="8" t="n">
        <f aca="false">-'36-Month Forecast'!AD119</f>
        <v>-139.99</v>
      </c>
      <c r="AE23" s="8" t="n">
        <f aca="false">-'36-Month Forecast'!AE119</f>
        <v>-139.99</v>
      </c>
      <c r="AF23" s="8" t="n">
        <f aca="false">-'36-Month Forecast'!AF119</f>
        <v>-139.99</v>
      </c>
      <c r="AG23" s="8" t="n">
        <f aca="false">-'36-Month Forecast'!AG119</f>
        <v>-139.99</v>
      </c>
      <c r="AH23" s="8" t="n">
        <f aca="false">-'36-Month Forecast'!AH119</f>
        <v>-139.99</v>
      </c>
      <c r="AI23" s="8" t="n">
        <f aca="false">-'36-Month Forecast'!AI119</f>
        <v>-139.99</v>
      </c>
      <c r="AJ23" s="8" t="n">
        <f aca="false">-'36-Month Forecast'!AJ119</f>
        <v>-139.99</v>
      </c>
      <c r="AK23" s="8" t="n">
        <f aca="false">-'36-Month Forecast'!AK119</f>
        <v>-139.99</v>
      </c>
      <c r="AL23" s="8" t="n">
        <f aca="false">-'36-Month Forecast'!AL119</f>
        <v>-139.99</v>
      </c>
      <c r="AM23" s="45" t="n">
        <f aca="false">SUMIF($C$6:$AL$6,1,C23:AL23)</f>
        <v>-699.95</v>
      </c>
      <c r="AN23" s="45" t="n">
        <f aca="false">SUMIF($C$6:$AL$6,2,C23:AL23)</f>
        <v>-1679.88</v>
      </c>
      <c r="AO23" s="45" t="n">
        <f aca="false">SUMIF($C$6:$AL$6,3,C23:AL23)</f>
        <v>-1679.88</v>
      </c>
      <c r="AP23" s="45" t="n">
        <f aca="false">SUM(C23:AL23)</f>
        <v>-4059.71</v>
      </c>
    </row>
    <row r="24" customFormat="false" ht="15" hidden="false" customHeight="false" outlineLevel="0" collapsed="false">
      <c r="A24" s="7" t="s">
        <v>815</v>
      </c>
      <c r="C24" s="8" t="n">
        <f aca="false">-'36-Month Forecast'!C121</f>
        <v>-4253.5</v>
      </c>
      <c r="D24" s="8" t="n">
        <f aca="false">-'36-Month Forecast'!D121</f>
        <v>-1420</v>
      </c>
      <c r="E24" s="8" t="n">
        <f aca="false">-'36-Month Forecast'!E121</f>
        <v>-1975</v>
      </c>
      <c r="F24" s="8" t="n">
        <f aca="false">-'36-Month Forecast'!F121</f>
        <v>-650</v>
      </c>
      <c r="G24" s="8" t="n">
        <f aca="false">-'36-Month Forecast'!G121</f>
        <v>-1037.5</v>
      </c>
      <c r="H24" s="8" t="n">
        <f aca="false">-'36-Month Forecast'!H121</f>
        <v>-4250</v>
      </c>
      <c r="I24" s="8" t="n">
        <f aca="false">-'36-Month Forecast'!I121</f>
        <v>-5250</v>
      </c>
      <c r="J24" s="8" t="n">
        <f aca="false">-'36-Month Forecast'!J121</f>
        <v>-0</v>
      </c>
      <c r="K24" s="8" t="n">
        <f aca="false">-'36-Month Forecast'!K121</f>
        <v>-687.5</v>
      </c>
      <c r="L24" s="8" t="n">
        <f aca="false">-'36-Month Forecast'!L121</f>
        <v>-262.5</v>
      </c>
      <c r="M24" s="8" t="n">
        <f aca="false">-'36-Month Forecast'!M121</f>
        <v>-0</v>
      </c>
      <c r="N24" s="8" t="n">
        <f aca="false">-'36-Month Forecast'!N121</f>
        <v>-0</v>
      </c>
      <c r="O24" s="8" t="n">
        <f aca="false">-'36-Month Forecast'!O121</f>
        <v>-0</v>
      </c>
      <c r="P24" s="8" t="n">
        <f aca="false">-'36-Month Forecast'!P121</f>
        <v>-0</v>
      </c>
      <c r="Q24" s="8" t="n">
        <f aca="false">-'36-Month Forecast'!Q121</f>
        <v>-0</v>
      </c>
      <c r="R24" s="8" t="n">
        <f aca="false">-'36-Month Forecast'!R121</f>
        <v>-0</v>
      </c>
      <c r="S24" s="8" t="n">
        <f aca="false">-'36-Month Forecast'!S121</f>
        <v>-0</v>
      </c>
      <c r="T24" s="8" t="n">
        <f aca="false">-'36-Month Forecast'!T121</f>
        <v>-0</v>
      </c>
      <c r="U24" s="8" t="n">
        <f aca="false">-'36-Month Forecast'!U121</f>
        <v>-0</v>
      </c>
      <c r="V24" s="8" t="n">
        <f aca="false">-'36-Month Forecast'!V121</f>
        <v>-0</v>
      </c>
      <c r="W24" s="8" t="n">
        <f aca="false">-'36-Month Forecast'!W121</f>
        <v>-0</v>
      </c>
      <c r="X24" s="8" t="n">
        <f aca="false">-'36-Month Forecast'!X121</f>
        <v>-0</v>
      </c>
      <c r="Y24" s="8" t="n">
        <f aca="false">-'36-Month Forecast'!Y121</f>
        <v>-0</v>
      </c>
      <c r="Z24" s="8" t="n">
        <f aca="false">-'36-Month Forecast'!Z121</f>
        <v>-0</v>
      </c>
      <c r="AA24" s="8" t="n">
        <f aca="false">-'36-Month Forecast'!AA121</f>
        <v>-0</v>
      </c>
      <c r="AB24" s="8" t="n">
        <f aca="false">-'36-Month Forecast'!AB121</f>
        <v>-0</v>
      </c>
      <c r="AC24" s="8" t="n">
        <f aca="false">-'36-Month Forecast'!AC121</f>
        <v>-0</v>
      </c>
      <c r="AD24" s="8" t="n">
        <f aca="false">-'36-Month Forecast'!AD121</f>
        <v>-0</v>
      </c>
      <c r="AE24" s="8" t="n">
        <f aca="false">-'36-Month Forecast'!AE121</f>
        <v>-0</v>
      </c>
      <c r="AF24" s="8" t="n">
        <f aca="false">-'36-Month Forecast'!AF121</f>
        <v>-0</v>
      </c>
      <c r="AG24" s="8" t="n">
        <f aca="false">-'36-Month Forecast'!AG121</f>
        <v>-0</v>
      </c>
      <c r="AH24" s="8" t="n">
        <f aca="false">-'36-Month Forecast'!AH121</f>
        <v>-0</v>
      </c>
      <c r="AI24" s="8" t="n">
        <f aca="false">-'36-Month Forecast'!AI121</f>
        <v>-0</v>
      </c>
      <c r="AJ24" s="8" t="n">
        <f aca="false">-'36-Month Forecast'!AJ121</f>
        <v>-0</v>
      </c>
      <c r="AK24" s="8" t="n">
        <f aca="false">-'36-Month Forecast'!AK121</f>
        <v>-0</v>
      </c>
      <c r="AL24" s="8" t="n">
        <f aca="false">-'36-Month Forecast'!AL121</f>
        <v>-0</v>
      </c>
      <c r="AM24" s="45" t="n">
        <f aca="false">SUMIF($C$6:$AL$6,1,C24:AL24)</f>
        <v>-19786</v>
      </c>
      <c r="AN24" s="45" t="n">
        <f aca="false">SUMIF($C$6:$AL$6,2,C24:AL24)</f>
        <v>0</v>
      </c>
      <c r="AO24" s="45" t="n">
        <f aca="false">SUMIF($C$6:$AL$6,3,C24:AL24)</f>
        <v>0</v>
      </c>
      <c r="AP24" s="45" t="n">
        <f aca="false">SUM(C24:AL24)</f>
        <v>-19786</v>
      </c>
    </row>
    <row r="25" customFormat="false" ht="15" hidden="false" customHeight="false" outlineLevel="0" collapsed="false">
      <c r="A25" s="7" t="s">
        <v>816</v>
      </c>
      <c r="C25" s="8" t="n">
        <f aca="false">-'36-Month Forecast'!C122</f>
        <v>-0</v>
      </c>
      <c r="D25" s="8" t="n">
        <f aca="false">-'36-Month Forecast'!D122</f>
        <v>-0</v>
      </c>
      <c r="E25" s="8" t="n">
        <f aca="false">-'36-Month Forecast'!E122</f>
        <v>-0</v>
      </c>
      <c r="F25" s="8" t="n">
        <f aca="false">-'36-Month Forecast'!F122</f>
        <v>-0</v>
      </c>
      <c r="G25" s="8" t="n">
        <f aca="false">-'36-Month Forecast'!G122</f>
        <v>-0</v>
      </c>
      <c r="H25" s="8" t="n">
        <f aca="false">-'36-Month Forecast'!H122</f>
        <v>-0</v>
      </c>
      <c r="I25" s="8" t="n">
        <f aca="false">-'36-Month Forecast'!I122</f>
        <v>-0</v>
      </c>
      <c r="J25" s="8" t="n">
        <f aca="false">-'36-Month Forecast'!J122</f>
        <v>-1875</v>
      </c>
      <c r="K25" s="8" t="n">
        <f aca="false">-'36-Month Forecast'!K122</f>
        <v>-0</v>
      </c>
      <c r="L25" s="8" t="n">
        <f aca="false">-'36-Month Forecast'!L122</f>
        <v>-0</v>
      </c>
      <c r="M25" s="8" t="n">
        <f aca="false">-'36-Month Forecast'!M122</f>
        <v>-0</v>
      </c>
      <c r="N25" s="8" t="n">
        <f aca="false">-'36-Month Forecast'!N122</f>
        <v>-0</v>
      </c>
      <c r="O25" s="8" t="n">
        <f aca="false">-'36-Month Forecast'!O122</f>
        <v>-0</v>
      </c>
      <c r="P25" s="8" t="n">
        <f aca="false">-'36-Month Forecast'!P122</f>
        <v>-0</v>
      </c>
      <c r="Q25" s="8" t="n">
        <f aca="false">-'36-Month Forecast'!Q122</f>
        <v>-0</v>
      </c>
      <c r="R25" s="8" t="n">
        <f aca="false">-'36-Month Forecast'!R122</f>
        <v>-0</v>
      </c>
      <c r="S25" s="8" t="n">
        <f aca="false">-'36-Month Forecast'!S122</f>
        <v>-0</v>
      </c>
      <c r="T25" s="8" t="n">
        <f aca="false">-'36-Month Forecast'!T122</f>
        <v>-0</v>
      </c>
      <c r="U25" s="8" t="n">
        <f aca="false">-'36-Month Forecast'!U122</f>
        <v>-0</v>
      </c>
      <c r="V25" s="8" t="n">
        <f aca="false">-'36-Month Forecast'!V122</f>
        <v>-0</v>
      </c>
      <c r="W25" s="8" t="n">
        <f aca="false">-'36-Month Forecast'!W122</f>
        <v>-0</v>
      </c>
      <c r="X25" s="8" t="n">
        <f aca="false">-'36-Month Forecast'!X122</f>
        <v>-0</v>
      </c>
      <c r="Y25" s="8" t="n">
        <f aca="false">-'36-Month Forecast'!Y122</f>
        <v>-0</v>
      </c>
      <c r="Z25" s="8" t="n">
        <f aca="false">-'36-Month Forecast'!Z122</f>
        <v>-0</v>
      </c>
      <c r="AA25" s="8" t="n">
        <f aca="false">-'36-Month Forecast'!AA122</f>
        <v>-0</v>
      </c>
      <c r="AB25" s="8" t="n">
        <f aca="false">-'36-Month Forecast'!AB122</f>
        <v>-0</v>
      </c>
      <c r="AC25" s="8" t="n">
        <f aca="false">-'36-Month Forecast'!AC122</f>
        <v>-0</v>
      </c>
      <c r="AD25" s="8" t="n">
        <f aca="false">-'36-Month Forecast'!AD122</f>
        <v>-0</v>
      </c>
      <c r="AE25" s="8" t="n">
        <f aca="false">-'36-Month Forecast'!AE122</f>
        <v>-0</v>
      </c>
      <c r="AF25" s="8" t="n">
        <f aca="false">-'36-Month Forecast'!AF122</f>
        <v>-0</v>
      </c>
      <c r="AG25" s="8" t="n">
        <f aca="false">-'36-Month Forecast'!AG122</f>
        <v>-0</v>
      </c>
      <c r="AH25" s="8" t="n">
        <f aca="false">-'36-Month Forecast'!AH122</f>
        <v>-0</v>
      </c>
      <c r="AI25" s="8" t="n">
        <f aca="false">-'36-Month Forecast'!AI122</f>
        <v>-0</v>
      </c>
      <c r="AJ25" s="8" t="n">
        <f aca="false">-'36-Month Forecast'!AJ122</f>
        <v>-0</v>
      </c>
      <c r="AK25" s="8" t="n">
        <f aca="false">-'36-Month Forecast'!AK122</f>
        <v>-0</v>
      </c>
      <c r="AL25" s="8" t="n">
        <f aca="false">-'36-Month Forecast'!AL122</f>
        <v>-0</v>
      </c>
      <c r="AM25" s="45" t="n">
        <f aca="false">SUMIF($C$6:$AL$6,1,C25:AL25)</f>
        <v>-1875</v>
      </c>
      <c r="AN25" s="45" t="n">
        <f aca="false">SUMIF($C$6:$AL$6,2,C25:AL25)</f>
        <v>0</v>
      </c>
      <c r="AO25" s="45" t="n">
        <f aca="false">SUMIF($C$6:$AL$6,3,C25:AL25)</f>
        <v>0</v>
      </c>
      <c r="AP25" s="45" t="n">
        <f aca="false">SUM(C25:AL25)</f>
        <v>-1875</v>
      </c>
    </row>
    <row r="26" customFormat="false" ht="15" hidden="false" customHeight="false" outlineLevel="0" collapsed="false">
      <c r="A26" s="57" t="s">
        <v>817</v>
      </c>
      <c r="B26" s="61"/>
      <c r="C26" s="59" t="n">
        <f aca="false">SUM(C18:C25)</f>
        <v>-5481.38042647641</v>
      </c>
      <c r="D26" s="59" t="n">
        <f aca="false">SUM(D18:D25)</f>
        <v>-2127.82154162712</v>
      </c>
      <c r="E26" s="59" t="n">
        <f aca="false">SUM(E18:E25)</f>
        <v>-2742.43723233731</v>
      </c>
      <c r="F26" s="59" t="n">
        <f aca="false">SUM(F18:F25)</f>
        <v>-1805.91656002388</v>
      </c>
      <c r="G26" s="59" t="n">
        <f aca="false">SUM(G18:G25)</f>
        <v>-1894.47435129178</v>
      </c>
      <c r="H26" s="59" t="n">
        <f aca="false">SUM(H18:H25)</f>
        <v>-4933.86365326308</v>
      </c>
      <c r="I26" s="59" t="n">
        <f aca="false">SUM(I18:I25)</f>
        <v>-7345.4500710771</v>
      </c>
      <c r="J26" s="59" t="n">
        <f aca="false">SUM(J18:J25)</f>
        <v>-6284.8048229181</v>
      </c>
      <c r="K26" s="59" t="n">
        <f aca="false">SUM(K18:K25)</f>
        <v>-1432.14459881896</v>
      </c>
      <c r="L26" s="59" t="n">
        <f aca="false">SUM(L18:L25)</f>
        <v>-1002.56589564486</v>
      </c>
      <c r="M26" s="59" t="n">
        <f aca="false">SUM(M18:M25)</f>
        <v>-736.324210695078</v>
      </c>
      <c r="N26" s="59" t="n">
        <f aca="false">SUM(N18:N25)</f>
        <v>-725.5931743547</v>
      </c>
      <c r="O26" s="59" t="n">
        <f aca="false">SUM(O18:O25)</f>
        <v>-1711.01623327684</v>
      </c>
      <c r="P26" s="59" t="n">
        <f aca="false">SUM(P18:P25)</f>
        <v>-807.284799383251</v>
      </c>
      <c r="Q26" s="59" t="n">
        <f aca="false">SUM(Q18:Q25)</f>
        <v>-777.165446601073</v>
      </c>
      <c r="R26" s="59" t="n">
        <f aca="false">SUM(R18:R25)</f>
        <v>-1160.00843886453</v>
      </c>
      <c r="S26" s="59" t="n">
        <f aca="false">SUM(S18:S25)</f>
        <v>-926.504061521487</v>
      </c>
      <c r="T26" s="59" t="n">
        <f aca="false">SUM(T18:T25)</f>
        <v>-776.622371219498</v>
      </c>
      <c r="U26" s="59" t="n">
        <f aca="false">SUM(U18:U25)</f>
        <v>-2225.20939960091</v>
      </c>
      <c r="V26" s="59" t="n">
        <f aca="false">SUM(V18:V25)</f>
        <v>-796.554348267604</v>
      </c>
      <c r="W26" s="59" t="n">
        <f aca="false">SUM(W18:W25)</f>
        <v>-768.045186933273</v>
      </c>
      <c r="X26" s="59" t="n">
        <f aca="false">SUM(X18:X25)</f>
        <v>-780.222113554198</v>
      </c>
      <c r="Y26" s="59" t="n">
        <f aca="false">SUM(Y18:Y25)</f>
        <v>-787.367930339384</v>
      </c>
      <c r="Z26" s="59" t="n">
        <f aca="false">SUM(Z18:Z25)</f>
        <v>-782.826217561135</v>
      </c>
      <c r="AA26" s="59" t="n">
        <f aca="false">SUM(AA18:AA25)</f>
        <v>-1695.84308472897</v>
      </c>
      <c r="AB26" s="59" t="n">
        <f aca="false">SUM(AB18:AB25)</f>
        <v>-767.597398902664</v>
      </c>
      <c r="AC26" s="59" t="n">
        <f aca="false">SUM(AC18:AC25)</f>
        <v>-733.377217517243</v>
      </c>
      <c r="AD26" s="59" t="n">
        <f aca="false">SUM(AD18:AD25)</f>
        <v>-1114.36721452604</v>
      </c>
      <c r="AE26" s="59" t="n">
        <f aca="false">SUM(AE18:AE25)</f>
        <v>-909.112138816704</v>
      </c>
      <c r="AF26" s="59" t="n">
        <f aca="false">SUM(AF18:AF25)</f>
        <v>-760.231643802555</v>
      </c>
      <c r="AG26" s="59" t="n">
        <f aca="false">SUM(AG18:AG25)</f>
        <v>-2222.10841466146</v>
      </c>
      <c r="AH26" s="59" t="n">
        <f aca="false">SUM(AH18:AH25)</f>
        <v>-801.945153478054</v>
      </c>
      <c r="AI26" s="59" t="n">
        <f aca="false">SUM(AI18:AI25)</f>
        <v>-773.565111669535</v>
      </c>
      <c r="AJ26" s="59" t="n">
        <f aca="false">SUM(AJ18:AJ25)</f>
        <v>-796.733288434793</v>
      </c>
      <c r="AK26" s="59" t="n">
        <f aca="false">SUM(AK18:AK25)</f>
        <v>-813.633178325659</v>
      </c>
      <c r="AL26" s="59" t="n">
        <f aca="false">SUM(AL18:AL25)</f>
        <v>-815.51038527693</v>
      </c>
      <c r="AM26" s="60" t="n">
        <f aca="false">SUMIF($C$6:$AL$6,1,C26:AL26)</f>
        <v>-36512.7765385284</v>
      </c>
      <c r="AN26" s="60" t="n">
        <f aca="false">SUMIF($C$6:$AL$6,2,C26:AL26)</f>
        <v>-12298.8265471232</v>
      </c>
      <c r="AO26" s="60" t="n">
        <f aca="false">SUMIF($C$6:$AL$6,3,C26:AL26)</f>
        <v>-12204.0242301406</v>
      </c>
      <c r="AP26" s="60" t="n">
        <f aca="false">SUM(C26:AL26)</f>
        <v>-61015.6273157922</v>
      </c>
    </row>
    <row r="27" customFormat="false" ht="15" hidden="false" customHeight="false" outlineLevel="0" collapsed="false">
      <c r="A27" s="7" t="s">
        <v>818</v>
      </c>
      <c r="C27" s="8" t="n">
        <f aca="false">-Assumptions!$C$14*MAX(0,C26)</f>
        <v>-0</v>
      </c>
      <c r="D27" s="8" t="n">
        <f aca="false">-Assumptions!$C$14*MAX(0,D26)</f>
        <v>-0</v>
      </c>
      <c r="E27" s="8" t="n">
        <f aca="false">-Assumptions!$C$14*MAX(0,E26)</f>
        <v>-0</v>
      </c>
      <c r="F27" s="8" t="n">
        <f aca="false">-Assumptions!$C$14*MAX(0,F26)</f>
        <v>-0</v>
      </c>
      <c r="G27" s="8" t="n">
        <f aca="false">-Assumptions!$C$14*MAX(0,G26)</f>
        <v>-0</v>
      </c>
      <c r="H27" s="8" t="n">
        <f aca="false">-Assumptions!$C$14*MAX(0,H26)</f>
        <v>-0</v>
      </c>
      <c r="I27" s="8" t="n">
        <f aca="false">-Assumptions!$C$14*MAX(0,I26)</f>
        <v>-0</v>
      </c>
      <c r="J27" s="8" t="n">
        <f aca="false">-Assumptions!$C$14*MAX(0,J26)</f>
        <v>-0</v>
      </c>
      <c r="K27" s="8" t="n">
        <f aca="false">-Assumptions!$C$14*MAX(0,K26)</f>
        <v>-0</v>
      </c>
      <c r="L27" s="8" t="n">
        <f aca="false">-Assumptions!$C$14*MAX(0,L26)</f>
        <v>-0</v>
      </c>
      <c r="M27" s="8" t="n">
        <f aca="false">-Assumptions!$C$14*MAX(0,M26)</f>
        <v>-0</v>
      </c>
      <c r="N27" s="8" t="n">
        <f aca="false">-Assumptions!$C$14*MAX(0,N26)</f>
        <v>-0</v>
      </c>
      <c r="O27" s="8" t="n">
        <f aca="false">-Assumptions!$C$14*MAX(0,O26)</f>
        <v>-0</v>
      </c>
      <c r="P27" s="8" t="n">
        <f aca="false">-Assumptions!$C$14*MAX(0,P26)</f>
        <v>-0</v>
      </c>
      <c r="Q27" s="8" t="n">
        <f aca="false">-Assumptions!$C$14*MAX(0,Q26)</f>
        <v>-0</v>
      </c>
      <c r="R27" s="8" t="n">
        <f aca="false">-Assumptions!$C$14*MAX(0,R26)</f>
        <v>-0</v>
      </c>
      <c r="S27" s="8" t="n">
        <f aca="false">-Assumptions!$C$14*MAX(0,S26)</f>
        <v>-0</v>
      </c>
      <c r="T27" s="8" t="n">
        <f aca="false">-Assumptions!$C$14*MAX(0,T26)</f>
        <v>-0</v>
      </c>
      <c r="U27" s="8" t="n">
        <f aca="false">-Assumptions!$C$14*MAX(0,U26)</f>
        <v>-0</v>
      </c>
      <c r="V27" s="8" t="n">
        <f aca="false">-Assumptions!$C$14*MAX(0,V26)</f>
        <v>-0</v>
      </c>
      <c r="W27" s="8" t="n">
        <f aca="false">-Assumptions!$C$14*MAX(0,W26)</f>
        <v>-0</v>
      </c>
      <c r="X27" s="8" t="n">
        <f aca="false">-Assumptions!$C$14*MAX(0,X26)</f>
        <v>-0</v>
      </c>
      <c r="Y27" s="8" t="n">
        <f aca="false">-Assumptions!$C$14*MAX(0,Y26)</f>
        <v>-0</v>
      </c>
      <c r="Z27" s="8" t="n">
        <f aca="false">-Assumptions!$C$14*MAX(0,Z26)</f>
        <v>-0</v>
      </c>
      <c r="AA27" s="8" t="n">
        <f aca="false">-Assumptions!$C$14*MAX(0,AA26)</f>
        <v>-0</v>
      </c>
      <c r="AB27" s="8" t="n">
        <f aca="false">-Assumptions!$C$14*MAX(0,AB26)</f>
        <v>-0</v>
      </c>
      <c r="AC27" s="8" t="n">
        <f aca="false">-Assumptions!$C$14*MAX(0,AC26)</f>
        <v>-0</v>
      </c>
      <c r="AD27" s="8" t="n">
        <f aca="false">-Assumptions!$C$14*MAX(0,AD26)</f>
        <v>-0</v>
      </c>
      <c r="AE27" s="8" t="n">
        <f aca="false">-Assumptions!$C$14*MAX(0,AE26)</f>
        <v>-0</v>
      </c>
      <c r="AF27" s="8" t="n">
        <f aca="false">-Assumptions!$C$14*MAX(0,AF26)</f>
        <v>-0</v>
      </c>
      <c r="AG27" s="8" t="n">
        <f aca="false">-Assumptions!$C$14*MAX(0,AG26)</f>
        <v>-0</v>
      </c>
      <c r="AH27" s="8" t="n">
        <f aca="false">-Assumptions!$C$14*MAX(0,AH26)</f>
        <v>-0</v>
      </c>
      <c r="AI27" s="8" t="n">
        <f aca="false">-Assumptions!$C$14*MAX(0,AI26)</f>
        <v>-0</v>
      </c>
      <c r="AJ27" s="8" t="n">
        <f aca="false">-Assumptions!$C$14*MAX(0,AJ26)</f>
        <v>-0</v>
      </c>
      <c r="AK27" s="8" t="n">
        <f aca="false">-Assumptions!$C$14*MAX(0,AK26)</f>
        <v>-0</v>
      </c>
      <c r="AL27" s="8" t="n">
        <f aca="false">-Assumptions!$C$14*MAX(0,AL26)</f>
        <v>-0</v>
      </c>
      <c r="AM27" s="45" t="n">
        <f aca="false">SUMIF($C$6:$AL$6,1,C27:AL27)</f>
        <v>0</v>
      </c>
      <c r="AN27" s="45" t="n">
        <f aca="false">SUMIF($C$6:$AL$6,2,C27:AL27)</f>
        <v>0</v>
      </c>
      <c r="AO27" s="45" t="n">
        <f aca="false">SUMIF($C$6:$AL$6,3,C27:AL27)</f>
        <v>0</v>
      </c>
      <c r="AP27" s="45" t="n">
        <f aca="false">SUM(C27:AL27)</f>
        <v>0</v>
      </c>
    </row>
    <row r="28" customFormat="false" ht="15" hidden="false" customHeight="false" outlineLevel="0" collapsed="false">
      <c r="A28" s="57" t="s">
        <v>819</v>
      </c>
      <c r="B28" s="61"/>
      <c r="C28" s="62" t="n">
        <f aca="false">Assumptions!$C$15+C26+C27</f>
        <v>-5481.38042647641</v>
      </c>
      <c r="D28" s="59" t="n">
        <f aca="false">C28+D26+D27</f>
        <v>-7609.20196810353</v>
      </c>
      <c r="E28" s="59" t="n">
        <f aca="false">D28+E26+E27</f>
        <v>-10351.6392004408</v>
      </c>
      <c r="F28" s="59" t="n">
        <f aca="false">E28+F26+F27</f>
        <v>-12157.5557604647</v>
      </c>
      <c r="G28" s="59" t="n">
        <f aca="false">F28+G26+G27</f>
        <v>-14052.0301117565</v>
      </c>
      <c r="H28" s="59" t="n">
        <f aca="false">G28+H26+H27</f>
        <v>-18985.8937650196</v>
      </c>
      <c r="I28" s="59" t="n">
        <f aca="false">H28+I26+I27</f>
        <v>-26331.3438360967</v>
      </c>
      <c r="J28" s="59" t="n">
        <f aca="false">I28+J26+J27</f>
        <v>-32616.1486590148</v>
      </c>
      <c r="K28" s="59" t="n">
        <f aca="false">J28+K26+K27</f>
        <v>-34048.2932578337</v>
      </c>
      <c r="L28" s="59" t="n">
        <f aca="false">K28+L26+L27</f>
        <v>-35050.8591534786</v>
      </c>
      <c r="M28" s="59" t="n">
        <f aca="false">L28+M26+M27</f>
        <v>-35787.1833641737</v>
      </c>
      <c r="N28" s="59" t="n">
        <f aca="false">M28+N26+N27</f>
        <v>-36512.7765385284</v>
      </c>
      <c r="O28" s="59" t="n">
        <f aca="false">N28+O26+O27</f>
        <v>-38223.7927718052</v>
      </c>
      <c r="P28" s="59" t="n">
        <f aca="false">O28+P26+P27</f>
        <v>-39031.0775711885</v>
      </c>
      <c r="Q28" s="59" t="n">
        <f aca="false">P28+Q26+Q27</f>
        <v>-39808.2430177895</v>
      </c>
      <c r="R28" s="59" t="n">
        <f aca="false">Q28+R26+R27</f>
        <v>-40968.2514566541</v>
      </c>
      <c r="S28" s="59" t="n">
        <f aca="false">R28+S26+S27</f>
        <v>-41894.7555181755</v>
      </c>
      <c r="T28" s="59" t="n">
        <f aca="false">S28+T26+T27</f>
        <v>-42671.377889395</v>
      </c>
      <c r="U28" s="59" t="n">
        <f aca="false">T28+U26+U27</f>
        <v>-44896.587288996</v>
      </c>
      <c r="V28" s="59" t="n">
        <f aca="false">U28+V26+V27</f>
        <v>-45693.1416372636</v>
      </c>
      <c r="W28" s="59" t="n">
        <f aca="false">V28+W26+W27</f>
        <v>-46461.1868241968</v>
      </c>
      <c r="X28" s="59" t="n">
        <f aca="false">W28+X26+X27</f>
        <v>-47241.408937751</v>
      </c>
      <c r="Y28" s="59" t="n">
        <f aca="false">X28+Y26+Y27</f>
        <v>-48028.7768680904</v>
      </c>
      <c r="Z28" s="59" t="n">
        <f aca="false">Y28+Z26+Z27</f>
        <v>-48811.6030856516</v>
      </c>
      <c r="AA28" s="59" t="n">
        <f aca="false">Z28+AA26+AA27</f>
        <v>-50507.4461703805</v>
      </c>
      <c r="AB28" s="59" t="n">
        <f aca="false">AA28+AB26+AB27</f>
        <v>-51275.0435692832</v>
      </c>
      <c r="AC28" s="59" t="n">
        <f aca="false">AB28+AC26+AC27</f>
        <v>-52008.4207868004</v>
      </c>
      <c r="AD28" s="59" t="n">
        <f aca="false">AC28+AD26+AD27</f>
        <v>-53122.7880013265</v>
      </c>
      <c r="AE28" s="59" t="n">
        <f aca="false">AD28+AE26+AE27</f>
        <v>-54031.9001401432</v>
      </c>
      <c r="AF28" s="59" t="n">
        <f aca="false">AE28+AF26+AF27</f>
        <v>-54792.1317839457</v>
      </c>
      <c r="AG28" s="59" t="n">
        <f aca="false">AF28+AG26+AG27</f>
        <v>-57014.2401986072</v>
      </c>
      <c r="AH28" s="59" t="n">
        <f aca="false">AG28+AH26+AH27</f>
        <v>-57816.1853520852</v>
      </c>
      <c r="AI28" s="59" t="n">
        <f aca="false">AH28+AI26+AI27</f>
        <v>-58589.7504637548</v>
      </c>
      <c r="AJ28" s="59" t="n">
        <f aca="false">AI28+AJ26+AJ27</f>
        <v>-59386.4837521896</v>
      </c>
      <c r="AK28" s="59" t="n">
        <f aca="false">AJ28+AK26+AK27</f>
        <v>-60200.1169305152</v>
      </c>
      <c r="AL28" s="59" t="n">
        <f aca="false">AK28+AL26+AL27</f>
        <v>-61015.6273157922</v>
      </c>
      <c r="AM28" s="60" t="n">
        <f aca="false">N28</f>
        <v>-36512.7765385284</v>
      </c>
      <c r="AN28" s="60" t="n">
        <f aca="false">Z28</f>
        <v>-48811.6030856516</v>
      </c>
      <c r="AO28" s="60" t="n">
        <f aca="false">AL28</f>
        <v>-61015.6273157922</v>
      </c>
      <c r="AP28" s="60" t="n">
        <f aca="false">AL28</f>
        <v>-61015.6273157922</v>
      </c>
    </row>
    <row r="29" customFormat="false" ht="15" hidden="false" customHeight="false" outlineLevel="0" collapsed="false">
      <c r="A29" s="7" t="s">
        <v>820</v>
      </c>
      <c r="C29" s="41" t="n">
        <f aca="false">-C27</f>
        <v>0</v>
      </c>
      <c r="D29" s="41" t="n">
        <f aca="false">-D27+C29</f>
        <v>0</v>
      </c>
      <c r="E29" s="41" t="n">
        <f aca="false">-E27+D29</f>
        <v>0</v>
      </c>
      <c r="F29" s="41" t="n">
        <f aca="false">-F27+E29</f>
        <v>0</v>
      </c>
      <c r="G29" s="41" t="n">
        <f aca="false">-G27+F29</f>
        <v>0</v>
      </c>
      <c r="H29" s="41" t="n">
        <f aca="false">-H27+G29</f>
        <v>0</v>
      </c>
      <c r="I29" s="41" t="n">
        <f aca="false">-I27+H29</f>
        <v>0</v>
      </c>
      <c r="J29" s="41" t="n">
        <f aca="false">-J27+I29</f>
        <v>0</v>
      </c>
      <c r="K29" s="41" t="n">
        <f aca="false">-K27+J29</f>
        <v>0</v>
      </c>
      <c r="L29" s="41" t="n">
        <f aca="false">-L27+K29</f>
        <v>0</v>
      </c>
      <c r="M29" s="41" t="n">
        <f aca="false">-M27+L29</f>
        <v>0</v>
      </c>
      <c r="N29" s="41" t="n">
        <f aca="false">-N27+M29</f>
        <v>0</v>
      </c>
      <c r="O29" s="41" t="n">
        <f aca="false">-O27+N29</f>
        <v>0</v>
      </c>
      <c r="P29" s="41" t="n">
        <f aca="false">-P27+O29</f>
        <v>0</v>
      </c>
      <c r="Q29" s="41" t="n">
        <f aca="false">-Q27+P29</f>
        <v>0</v>
      </c>
      <c r="R29" s="41" t="n">
        <f aca="false">-R27+Q29</f>
        <v>0</v>
      </c>
      <c r="S29" s="41" t="n">
        <f aca="false">-S27+R29</f>
        <v>0</v>
      </c>
      <c r="T29" s="41" t="n">
        <f aca="false">-T27+S29</f>
        <v>0</v>
      </c>
      <c r="U29" s="41" t="n">
        <f aca="false">-U27+T29</f>
        <v>0</v>
      </c>
      <c r="V29" s="41" t="n">
        <f aca="false">-V27+U29</f>
        <v>0</v>
      </c>
      <c r="W29" s="41" t="n">
        <f aca="false">-W27+V29</f>
        <v>0</v>
      </c>
      <c r="X29" s="41" t="n">
        <f aca="false">-X27+W29</f>
        <v>0</v>
      </c>
      <c r="Y29" s="41" t="n">
        <f aca="false">-Y27+X29</f>
        <v>0</v>
      </c>
      <c r="Z29" s="41" t="n">
        <f aca="false">-Z27+Y29</f>
        <v>0</v>
      </c>
      <c r="AA29" s="41" t="n">
        <f aca="false">-AA27+Z29</f>
        <v>0</v>
      </c>
      <c r="AB29" s="41" t="n">
        <f aca="false">-AB27+AA29</f>
        <v>0</v>
      </c>
      <c r="AC29" s="41" t="n">
        <f aca="false">-AC27+AB29</f>
        <v>0</v>
      </c>
      <c r="AD29" s="41" t="n">
        <f aca="false">-AD27+AC29</f>
        <v>0</v>
      </c>
      <c r="AE29" s="41" t="n">
        <f aca="false">-AE27+AD29</f>
        <v>0</v>
      </c>
      <c r="AF29" s="41" t="n">
        <f aca="false">-AF27+AE29</f>
        <v>0</v>
      </c>
      <c r="AG29" s="41" t="n">
        <f aca="false">-AG27+AF29</f>
        <v>0</v>
      </c>
      <c r="AH29" s="41" t="n">
        <f aca="false">-AH27+AG29</f>
        <v>0</v>
      </c>
      <c r="AI29" s="41" t="n">
        <f aca="false">-AI27+AH29</f>
        <v>0</v>
      </c>
      <c r="AJ29" s="41" t="n">
        <f aca="false">-AJ27+AI29</f>
        <v>0</v>
      </c>
      <c r="AK29" s="41" t="n">
        <f aca="false">-AK27+AJ29</f>
        <v>0</v>
      </c>
      <c r="AL29" s="41" t="n">
        <f aca="false">-AL27+AK29</f>
        <v>0</v>
      </c>
      <c r="AM29" s="45" t="n">
        <f aca="false">N29</f>
        <v>0</v>
      </c>
      <c r="AN29" s="45" t="n">
        <f aca="false">Z29</f>
        <v>0</v>
      </c>
      <c r="AO29" s="45" t="n">
        <f aca="false">AL29</f>
        <v>0</v>
      </c>
      <c r="AP29" s="45" t="n">
        <f aca="false">AL29</f>
        <v>0</v>
      </c>
    </row>
    <row r="30" customFormat="false" ht="15" hidden="false" customHeight="false" outlineLevel="0" collapsed="false">
      <c r="A30" s="7" t="s">
        <v>821</v>
      </c>
      <c r="C30" s="41" t="n">
        <f aca="false">C28+C29</f>
        <v>-5481.38042647641</v>
      </c>
      <c r="D30" s="41" t="n">
        <f aca="false">D28+D29</f>
        <v>-7609.20196810353</v>
      </c>
      <c r="E30" s="41" t="n">
        <f aca="false">E28+E29</f>
        <v>-10351.6392004408</v>
      </c>
      <c r="F30" s="41" t="n">
        <f aca="false">F28+F29</f>
        <v>-12157.5557604647</v>
      </c>
      <c r="G30" s="41" t="n">
        <f aca="false">G28+G29</f>
        <v>-14052.0301117565</v>
      </c>
      <c r="H30" s="41" t="n">
        <f aca="false">H28+H29</f>
        <v>-18985.8937650196</v>
      </c>
      <c r="I30" s="41" t="n">
        <f aca="false">I28+I29</f>
        <v>-26331.3438360967</v>
      </c>
      <c r="J30" s="41" t="n">
        <f aca="false">J28+J29</f>
        <v>-32616.1486590148</v>
      </c>
      <c r="K30" s="41" t="n">
        <f aca="false">K28+K29</f>
        <v>-34048.2932578337</v>
      </c>
      <c r="L30" s="41" t="n">
        <f aca="false">L28+L29</f>
        <v>-35050.8591534786</v>
      </c>
      <c r="M30" s="41" t="n">
        <f aca="false">M28+M29</f>
        <v>-35787.1833641737</v>
      </c>
      <c r="N30" s="41" t="n">
        <f aca="false">N28+N29</f>
        <v>-36512.7765385284</v>
      </c>
      <c r="O30" s="41" t="n">
        <f aca="false">O28+O29</f>
        <v>-38223.7927718052</v>
      </c>
      <c r="P30" s="41" t="n">
        <f aca="false">P28+P29</f>
        <v>-39031.0775711885</v>
      </c>
      <c r="Q30" s="41" t="n">
        <f aca="false">Q28+Q29</f>
        <v>-39808.2430177895</v>
      </c>
      <c r="R30" s="41" t="n">
        <f aca="false">R28+R29</f>
        <v>-40968.2514566541</v>
      </c>
      <c r="S30" s="41" t="n">
        <f aca="false">S28+S29</f>
        <v>-41894.7555181755</v>
      </c>
      <c r="T30" s="41" t="n">
        <f aca="false">T28+T29</f>
        <v>-42671.377889395</v>
      </c>
      <c r="U30" s="41" t="n">
        <f aca="false">U28+U29</f>
        <v>-44896.587288996</v>
      </c>
      <c r="V30" s="41" t="n">
        <f aca="false">V28+V29</f>
        <v>-45693.1416372636</v>
      </c>
      <c r="W30" s="41" t="n">
        <f aca="false">W28+W29</f>
        <v>-46461.1868241968</v>
      </c>
      <c r="X30" s="41" t="n">
        <f aca="false">X28+X29</f>
        <v>-47241.408937751</v>
      </c>
      <c r="Y30" s="41" t="n">
        <f aca="false">Y28+Y29</f>
        <v>-48028.7768680904</v>
      </c>
      <c r="Z30" s="41" t="n">
        <f aca="false">Z28+Z29</f>
        <v>-48811.6030856516</v>
      </c>
      <c r="AA30" s="41" t="n">
        <f aca="false">AA28+AA29</f>
        <v>-50507.4461703805</v>
      </c>
      <c r="AB30" s="41" t="n">
        <f aca="false">AB28+AB29</f>
        <v>-51275.0435692832</v>
      </c>
      <c r="AC30" s="41" t="n">
        <f aca="false">AC28+AC29</f>
        <v>-52008.4207868004</v>
      </c>
      <c r="AD30" s="41" t="n">
        <f aca="false">AD28+AD29</f>
        <v>-53122.7880013265</v>
      </c>
      <c r="AE30" s="41" t="n">
        <f aca="false">AE28+AE29</f>
        <v>-54031.9001401432</v>
      </c>
      <c r="AF30" s="41" t="n">
        <f aca="false">AF28+AF29</f>
        <v>-54792.1317839457</v>
      </c>
      <c r="AG30" s="41" t="n">
        <f aca="false">AG28+AG29</f>
        <v>-57014.2401986072</v>
      </c>
      <c r="AH30" s="41" t="n">
        <f aca="false">AH28+AH29</f>
        <v>-57816.1853520852</v>
      </c>
      <c r="AI30" s="41" t="n">
        <f aca="false">AI28+AI29</f>
        <v>-58589.7504637548</v>
      </c>
      <c r="AJ30" s="41" t="n">
        <f aca="false">AJ28+AJ29</f>
        <v>-59386.4837521896</v>
      </c>
      <c r="AK30" s="41" t="n">
        <f aca="false">AK28+AK29</f>
        <v>-60200.1169305152</v>
      </c>
      <c r="AL30" s="41" t="n">
        <f aca="false">AL28+AL29</f>
        <v>-61015.6273157922</v>
      </c>
      <c r="AM30" s="45" t="n">
        <f aca="false">N30</f>
        <v>-36512.7765385284</v>
      </c>
      <c r="AN30" s="45" t="n">
        <f aca="false">Z30</f>
        <v>-48811.6030856516</v>
      </c>
      <c r="AO30" s="45" t="n">
        <f aca="false">AL30</f>
        <v>-61015.6273157922</v>
      </c>
      <c r="AP30" s="45" t="n">
        <f aca="false">AL30</f>
        <v>-61015.6273157922</v>
      </c>
    </row>
    <row r="31" customFormat="false" ht="15" hidden="false" customHeight="false" outlineLevel="0" collapsed="false">
      <c r="A31" s="7" t="s">
        <v>822</v>
      </c>
      <c r="C31" s="8" t="n">
        <f aca="false">Assumptions!$C$18*('36-Month Forecast'!C118+'36-Month Forecast'!C119+'36-Month Forecast'!C117)</f>
        <v>3711.9555</v>
      </c>
      <c r="D31" s="8" t="n">
        <f aca="false">Assumptions!$C$18*('36-Month Forecast'!D118+'36-Month Forecast'!D119+'36-Month Forecast'!D117)</f>
        <v>2207.1555</v>
      </c>
      <c r="E31" s="8" t="n">
        <f aca="false">Assumptions!$C$18*('36-Month Forecast'!E118+'36-Month Forecast'!E119+'36-Month Forecast'!E117)</f>
        <v>2443.1055</v>
      </c>
      <c r="F31" s="8" t="n">
        <f aca="false">Assumptions!$C$18*('36-Month Forecast'!F118+'36-Month Forecast'!F119+'36-Month Forecast'!F117)</f>
        <v>3680.6055</v>
      </c>
      <c r="G31" s="8" t="n">
        <f aca="false">Assumptions!$C$18*('36-Month Forecast'!G118+'36-Month Forecast'!G119+'36-Month Forecast'!G117)</f>
        <v>2832.5055</v>
      </c>
      <c r="H31" s="8" t="n">
        <f aca="false">Assumptions!$C$18*('36-Month Forecast'!H118+'36-Month Forecast'!H119+'36-Month Forecast'!H117)</f>
        <v>2443.1055</v>
      </c>
      <c r="I31" s="8" t="n">
        <f aca="false">Assumptions!$C$18*('36-Month Forecast'!I118+'36-Month Forecast'!I119+'36-Month Forecast'!I117)</f>
        <v>6733.1055</v>
      </c>
      <c r="J31" s="8" t="n">
        <f aca="false">Assumptions!$C$18*('36-Month Forecast'!J118+'36-Month Forecast'!J119+'36-Month Forecast'!J117)</f>
        <v>2863.0755</v>
      </c>
      <c r="K31" s="8" t="n">
        <f aca="false">Assumptions!$C$18*('36-Month Forecast'!K118+'36-Month Forecast'!K119+'36-Month Forecast'!K117)</f>
        <v>2863.0755</v>
      </c>
      <c r="L31" s="8" t="n">
        <f aca="false">Assumptions!$C$18*('36-Month Forecast'!L118+'36-Month Forecast'!L119+'36-Month Forecast'!L117)</f>
        <v>2863.0755</v>
      </c>
      <c r="M31" s="8" t="n">
        <f aca="false">Assumptions!$C$18*('36-Month Forecast'!M118+'36-Month Forecast'!M119+'36-Month Forecast'!M117)</f>
        <v>2863.0755</v>
      </c>
      <c r="N31" s="8" t="n">
        <f aca="false">Assumptions!$C$18*('36-Month Forecast'!N118+'36-Month Forecast'!N119+'36-Month Forecast'!N117)</f>
        <v>2863.0755</v>
      </c>
      <c r="O31" s="8" t="n">
        <f aca="false">Assumptions!$C$18*('36-Month Forecast'!O118+'36-Month Forecast'!O119+'36-Month Forecast'!O117)</f>
        <v>5872.2255</v>
      </c>
      <c r="P31" s="8" t="n">
        <f aca="false">Assumptions!$C$18*('36-Month Forecast'!P118+'36-Month Forecast'!P119+'36-Month Forecast'!P117)</f>
        <v>3377.4255</v>
      </c>
      <c r="Q31" s="8" t="n">
        <f aca="false">Assumptions!$C$18*('36-Month Forecast'!Q118+'36-Month Forecast'!Q119+'36-Month Forecast'!Q117)</f>
        <v>3377.4255</v>
      </c>
      <c r="R31" s="8" t="n">
        <f aca="false">Assumptions!$C$18*('36-Month Forecast'!R118+'36-Month Forecast'!R119+'36-Month Forecast'!R117)</f>
        <v>4614.9255</v>
      </c>
      <c r="S31" s="8" t="n">
        <f aca="false">Assumptions!$C$18*('36-Month Forecast'!S118+'36-Month Forecast'!S119+'36-Month Forecast'!S117)</f>
        <v>3766.8255</v>
      </c>
      <c r="T31" s="8" t="n">
        <f aca="false">Assumptions!$C$18*('36-Month Forecast'!T118+'36-Month Forecast'!T119+'36-Month Forecast'!T117)</f>
        <v>3377.4255</v>
      </c>
      <c r="U31" s="8" t="n">
        <f aca="false">Assumptions!$C$18*('36-Month Forecast'!U118+'36-Month Forecast'!U119+'36-Month Forecast'!U117)</f>
        <v>7667.4255</v>
      </c>
      <c r="V31" s="8" t="n">
        <f aca="false">Assumptions!$C$18*('36-Month Forecast'!V118+'36-Month Forecast'!V119+'36-Month Forecast'!V117)</f>
        <v>3377.4255</v>
      </c>
      <c r="W31" s="8" t="n">
        <f aca="false">Assumptions!$C$18*('36-Month Forecast'!W118+'36-Month Forecast'!W119+'36-Month Forecast'!W117)</f>
        <v>3377.4255</v>
      </c>
      <c r="X31" s="8" t="n">
        <f aca="false">Assumptions!$C$18*('36-Month Forecast'!X118+'36-Month Forecast'!X119+'36-Month Forecast'!X117)</f>
        <v>3377.4255</v>
      </c>
      <c r="Y31" s="8" t="n">
        <f aca="false">Assumptions!$C$18*('36-Month Forecast'!Y118+'36-Month Forecast'!Y119+'36-Month Forecast'!Y117)</f>
        <v>3377.4255</v>
      </c>
      <c r="Z31" s="8" t="n">
        <f aca="false">Assumptions!$C$18*('36-Month Forecast'!Z118+'36-Month Forecast'!Z119+'36-Month Forecast'!Z117)</f>
        <v>3377.4255</v>
      </c>
      <c r="AA31" s="8" t="n">
        <f aca="false">Assumptions!$C$18*('36-Month Forecast'!AA118+'36-Month Forecast'!AA119+'36-Month Forecast'!AA117)</f>
        <v>6172.2255</v>
      </c>
      <c r="AB31" s="8" t="n">
        <f aca="false">Assumptions!$C$18*('36-Month Forecast'!AB118+'36-Month Forecast'!AB119+'36-Month Forecast'!AB117)</f>
        <v>3677.4255</v>
      </c>
      <c r="AC31" s="8" t="n">
        <f aca="false">Assumptions!$C$18*('36-Month Forecast'!AC118+'36-Month Forecast'!AC119+'36-Month Forecast'!AC117)</f>
        <v>3677.4255</v>
      </c>
      <c r="AD31" s="8" t="n">
        <f aca="false">Assumptions!$C$18*('36-Month Forecast'!AD118+'36-Month Forecast'!AD119+'36-Month Forecast'!AD117)</f>
        <v>4914.9255</v>
      </c>
      <c r="AE31" s="8" t="n">
        <f aca="false">Assumptions!$C$18*('36-Month Forecast'!AE118+'36-Month Forecast'!AE119+'36-Month Forecast'!AE117)</f>
        <v>4066.8255</v>
      </c>
      <c r="AF31" s="8" t="n">
        <f aca="false">Assumptions!$C$18*('36-Month Forecast'!AF118+'36-Month Forecast'!AF119+'36-Month Forecast'!AF117)</f>
        <v>3677.4255</v>
      </c>
      <c r="AG31" s="8" t="n">
        <f aca="false">Assumptions!$C$18*('36-Month Forecast'!AG118+'36-Month Forecast'!AG119+'36-Month Forecast'!AG117)</f>
        <v>7967.4255</v>
      </c>
      <c r="AH31" s="8" t="n">
        <f aca="false">Assumptions!$C$18*('36-Month Forecast'!AH118+'36-Month Forecast'!AH119+'36-Month Forecast'!AH117)</f>
        <v>3677.4255</v>
      </c>
      <c r="AI31" s="8" t="n">
        <f aca="false">Assumptions!$C$18*('36-Month Forecast'!AI118+'36-Month Forecast'!AI119+'36-Month Forecast'!AI117)</f>
        <v>3677.4255</v>
      </c>
      <c r="AJ31" s="8" t="n">
        <f aca="false">Assumptions!$C$18*('36-Month Forecast'!AJ118+'36-Month Forecast'!AJ119+'36-Month Forecast'!AJ117)</f>
        <v>3677.4255</v>
      </c>
      <c r="AK31" s="8" t="n">
        <f aca="false">Assumptions!$C$18*('36-Month Forecast'!AK118+'36-Month Forecast'!AK119+'36-Month Forecast'!AK117)</f>
        <v>3677.4255</v>
      </c>
      <c r="AL31" s="8" t="n">
        <f aca="false">Assumptions!$C$18*('36-Month Forecast'!AL118+'36-Month Forecast'!AL119+'36-Month Forecast'!AL117)</f>
        <v>3677.4255</v>
      </c>
      <c r="AM31" s="45" t="n">
        <f aca="false">N31</f>
        <v>2863.0755</v>
      </c>
      <c r="AN31" s="45" t="n">
        <f aca="false">Z31</f>
        <v>3377.4255</v>
      </c>
      <c r="AO31" s="45" t="n">
        <f aca="false">AL31</f>
        <v>3677.4255</v>
      </c>
      <c r="AP31" s="45" t="n">
        <f aca="false">AL31</f>
        <v>3677.4255</v>
      </c>
    </row>
    <row r="32" customFormat="false" ht="15" hidden="false" customHeight="false" outlineLevel="0" collapsed="false">
      <c r="A32" s="7" t="s">
        <v>823</v>
      </c>
      <c r="C32" s="41" t="n">
        <f aca="false">C28-C31</f>
        <v>-9193.33592647641</v>
      </c>
      <c r="D32" s="41" t="n">
        <f aca="false">D28-D31</f>
        <v>-9816.35746810353</v>
      </c>
      <c r="E32" s="41" t="n">
        <f aca="false">E28-E31</f>
        <v>-12794.7447004408</v>
      </c>
      <c r="F32" s="41" t="n">
        <f aca="false">F28-F31</f>
        <v>-15838.1612604647</v>
      </c>
      <c r="G32" s="41" t="n">
        <f aca="false">G28-G31</f>
        <v>-16884.5356117565</v>
      </c>
      <c r="H32" s="41" t="n">
        <f aca="false">H28-H31</f>
        <v>-21428.9992650196</v>
      </c>
      <c r="I32" s="41" t="n">
        <f aca="false">I28-I31</f>
        <v>-33064.4493360967</v>
      </c>
      <c r="J32" s="41" t="n">
        <f aca="false">J28-J31</f>
        <v>-35479.2241590148</v>
      </c>
      <c r="K32" s="41" t="n">
        <f aca="false">K28-K31</f>
        <v>-36911.3687578337</v>
      </c>
      <c r="L32" s="41" t="n">
        <f aca="false">L28-L31</f>
        <v>-37913.9346534786</v>
      </c>
      <c r="M32" s="41" t="n">
        <f aca="false">M28-M31</f>
        <v>-38650.2588641737</v>
      </c>
      <c r="N32" s="41" t="n">
        <f aca="false">N28-N31</f>
        <v>-39375.8520385284</v>
      </c>
      <c r="O32" s="41" t="n">
        <f aca="false">O28-O31</f>
        <v>-44096.0182718052</v>
      </c>
      <c r="P32" s="41" t="n">
        <f aca="false">P28-P31</f>
        <v>-42408.5030711885</v>
      </c>
      <c r="Q32" s="41" t="n">
        <f aca="false">Q28-Q31</f>
        <v>-43185.6685177895</v>
      </c>
      <c r="R32" s="41" t="n">
        <f aca="false">R28-R31</f>
        <v>-45583.1769566541</v>
      </c>
      <c r="S32" s="41" t="n">
        <f aca="false">S28-S31</f>
        <v>-45661.5810181755</v>
      </c>
      <c r="T32" s="41" t="n">
        <f aca="false">T28-T31</f>
        <v>-46048.803389395</v>
      </c>
      <c r="U32" s="41" t="n">
        <f aca="false">U28-U31</f>
        <v>-52564.012788996</v>
      </c>
      <c r="V32" s="41" t="n">
        <f aca="false">V28-V31</f>
        <v>-49070.5671372636</v>
      </c>
      <c r="W32" s="41" t="n">
        <f aca="false">W28-W31</f>
        <v>-49838.6123241968</v>
      </c>
      <c r="X32" s="41" t="n">
        <f aca="false">X28-X31</f>
        <v>-50618.834437751</v>
      </c>
      <c r="Y32" s="41" t="n">
        <f aca="false">Y28-Y31</f>
        <v>-51406.2023680904</v>
      </c>
      <c r="Z32" s="41" t="n">
        <f aca="false">Z28-Z31</f>
        <v>-52189.0285856516</v>
      </c>
      <c r="AA32" s="41" t="n">
        <f aca="false">AA28-AA31</f>
        <v>-56679.6716703805</v>
      </c>
      <c r="AB32" s="41" t="n">
        <f aca="false">AB28-AB31</f>
        <v>-54952.4690692832</v>
      </c>
      <c r="AC32" s="41" t="n">
        <f aca="false">AC28-AC31</f>
        <v>-55685.8462868004</v>
      </c>
      <c r="AD32" s="41" t="n">
        <f aca="false">AD28-AD31</f>
        <v>-58037.7135013265</v>
      </c>
      <c r="AE32" s="41" t="n">
        <f aca="false">AE28-AE31</f>
        <v>-58098.7256401432</v>
      </c>
      <c r="AF32" s="41" t="n">
        <f aca="false">AF28-AF31</f>
        <v>-58469.5572839457</v>
      </c>
      <c r="AG32" s="41" t="n">
        <f aca="false">AG28-AG31</f>
        <v>-64981.6656986072</v>
      </c>
      <c r="AH32" s="41" t="n">
        <f aca="false">AH28-AH31</f>
        <v>-61493.6108520852</v>
      </c>
      <c r="AI32" s="41" t="n">
        <f aca="false">AI28-AI31</f>
        <v>-62267.1759637548</v>
      </c>
      <c r="AJ32" s="41" t="n">
        <f aca="false">AJ28-AJ31</f>
        <v>-63063.9092521896</v>
      </c>
      <c r="AK32" s="41" t="n">
        <f aca="false">AK28-AK31</f>
        <v>-63877.5424305152</v>
      </c>
      <c r="AL32" s="41" t="n">
        <f aca="false">AL28-AL31</f>
        <v>-64693.0528157922</v>
      </c>
      <c r="AM32" s="45" t="n">
        <f aca="false">N32</f>
        <v>-39375.8520385284</v>
      </c>
      <c r="AN32" s="45" t="n">
        <f aca="false">Z32</f>
        <v>-52189.0285856516</v>
      </c>
      <c r="AO32" s="45" t="n">
        <f aca="false">AL32</f>
        <v>-64693.0528157922</v>
      </c>
      <c r="AP32" s="45" t="n">
        <f aca="false">AL32</f>
        <v>-64693.0528157922</v>
      </c>
    </row>
    <row r="33" customFormat="false" ht="15" hidden="false" customHeight="false" outlineLevel="0" collapsed="false">
      <c r="A33" s="7" t="s">
        <v>824</v>
      </c>
      <c r="C33" s="42" t="str">
        <f aca="false">IF(COUNTIF(C28:$AL28,"&lt;0")=0,C$4,"")</f>
        <v/>
      </c>
      <c r="D33" s="42" t="str">
        <f aca="false">IF(COUNTIF(D28:$AL28,"&lt;0")=0,D$4,"")</f>
        <v/>
      </c>
      <c r="E33" s="42" t="str">
        <f aca="false">IF(COUNTIF(E28:$AL28,"&lt;0")=0,E$4,"")</f>
        <v/>
      </c>
      <c r="F33" s="42" t="str">
        <f aca="false">IF(COUNTIF(F28:$AL28,"&lt;0")=0,F$4,"")</f>
        <v/>
      </c>
      <c r="G33" s="42" t="str">
        <f aca="false">IF(COUNTIF(G28:$AL28,"&lt;0")=0,G$4,"")</f>
        <v/>
      </c>
      <c r="H33" s="42" t="str">
        <f aca="false">IF(COUNTIF(H28:$AL28,"&lt;0")=0,H$4,"")</f>
        <v/>
      </c>
      <c r="I33" s="42" t="str">
        <f aca="false">IF(COUNTIF(I28:$AL28,"&lt;0")=0,I$4,"")</f>
        <v/>
      </c>
      <c r="J33" s="42" t="str">
        <f aca="false">IF(COUNTIF(J28:$AL28,"&lt;0")=0,J$4,"")</f>
        <v/>
      </c>
      <c r="K33" s="42" t="str">
        <f aca="false">IF(COUNTIF(K28:$AL28,"&lt;0")=0,K$4,"")</f>
        <v/>
      </c>
      <c r="L33" s="42" t="str">
        <f aca="false">IF(COUNTIF(L28:$AL28,"&lt;0")=0,L$4,"")</f>
        <v/>
      </c>
      <c r="M33" s="42" t="str">
        <f aca="false">IF(COUNTIF(M28:$AL28,"&lt;0")=0,M$4,"")</f>
        <v/>
      </c>
      <c r="N33" s="42" t="str">
        <f aca="false">IF(COUNTIF(N28:$AL28,"&lt;0")=0,N$4,"")</f>
        <v/>
      </c>
      <c r="O33" s="42" t="str">
        <f aca="false">IF(COUNTIF(O28:$AL28,"&lt;0")=0,O$4,"")</f>
        <v/>
      </c>
      <c r="P33" s="42" t="str">
        <f aca="false">IF(COUNTIF(P28:$AL28,"&lt;0")=0,P$4,"")</f>
        <v/>
      </c>
      <c r="Q33" s="42" t="str">
        <f aca="false">IF(COUNTIF(Q28:$AL28,"&lt;0")=0,Q$4,"")</f>
        <v/>
      </c>
      <c r="R33" s="42" t="str">
        <f aca="false">IF(COUNTIF(R28:$AL28,"&lt;0")=0,R$4,"")</f>
        <v/>
      </c>
      <c r="S33" s="42" t="str">
        <f aca="false">IF(COUNTIF(S28:$AL28,"&lt;0")=0,S$4,"")</f>
        <v/>
      </c>
      <c r="T33" s="42" t="str">
        <f aca="false">IF(COUNTIF(T28:$AL28,"&lt;0")=0,T$4,"")</f>
        <v/>
      </c>
      <c r="U33" s="42" t="str">
        <f aca="false">IF(COUNTIF(U28:$AL28,"&lt;0")=0,U$4,"")</f>
        <v/>
      </c>
      <c r="V33" s="42" t="str">
        <f aca="false">IF(COUNTIF(V28:$AL28,"&lt;0")=0,V$4,"")</f>
        <v/>
      </c>
      <c r="W33" s="42" t="str">
        <f aca="false">IF(COUNTIF(W28:$AL28,"&lt;0")=0,W$4,"")</f>
        <v/>
      </c>
      <c r="X33" s="42" t="str">
        <f aca="false">IF(COUNTIF(X28:$AL28,"&lt;0")=0,X$4,"")</f>
        <v/>
      </c>
      <c r="Y33" s="42" t="str">
        <f aca="false">IF(COUNTIF(Y28:$AL28,"&lt;0")=0,Y$4,"")</f>
        <v/>
      </c>
      <c r="Z33" s="42" t="str">
        <f aca="false">IF(COUNTIF(Z28:$AL28,"&lt;0")=0,Z$4,"")</f>
        <v/>
      </c>
      <c r="AA33" s="42" t="str">
        <f aca="false">IF(COUNTIF(AA28:$AL28,"&lt;0")=0,AA$4,"")</f>
        <v/>
      </c>
      <c r="AB33" s="42" t="str">
        <f aca="false">IF(COUNTIF(AB28:$AL28,"&lt;0")=0,AB$4,"")</f>
        <v/>
      </c>
      <c r="AC33" s="42" t="str">
        <f aca="false">IF(COUNTIF(AC28:$AL28,"&lt;0")=0,AC$4,"")</f>
        <v/>
      </c>
      <c r="AD33" s="42" t="str">
        <f aca="false">IF(COUNTIF(AD28:$AL28,"&lt;0")=0,AD$4,"")</f>
        <v/>
      </c>
      <c r="AE33" s="42" t="str">
        <f aca="false">IF(COUNTIF(AE28:$AL28,"&lt;0")=0,AE$4,"")</f>
        <v/>
      </c>
      <c r="AF33" s="42" t="str">
        <f aca="false">IF(COUNTIF(AF28:$AL28,"&lt;0")=0,AF$4,"")</f>
        <v/>
      </c>
      <c r="AG33" s="42" t="str">
        <f aca="false">IF(COUNTIF(AG28:$AL28,"&lt;0")=0,AG$4,"")</f>
        <v/>
      </c>
      <c r="AH33" s="42" t="str">
        <f aca="false">IF(COUNTIF(AH28:$AL28,"&lt;0")=0,AH$4,"")</f>
        <v/>
      </c>
      <c r="AI33" s="42" t="str">
        <f aca="false">IF(COUNTIF(AI28:$AL28,"&lt;0")=0,AI$4,"")</f>
        <v/>
      </c>
      <c r="AJ33" s="42" t="str">
        <f aca="false">IF(COUNTIF(AJ28:$AL28,"&lt;0")=0,AJ$4,"")</f>
        <v/>
      </c>
      <c r="AK33" s="42" t="str">
        <f aca="false">IF(COUNTIF(AK28:$AL28,"&lt;0")=0,AK$4,"")</f>
        <v/>
      </c>
      <c r="AL33" s="42" t="str">
        <f aca="false">IF(COUNTIF(AL28:$AL28,"&lt;0")=0,AL$4,"")</f>
        <v/>
      </c>
    </row>
    <row r="35" customFormat="false" ht="15" hidden="false" customHeight="false" outlineLevel="0" collapsed="false">
      <c r="A35" s="3" t="s">
        <v>797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customFormat="false" ht="15" hidden="false" customHeight="false" outlineLevel="0" collapsed="false">
      <c r="A36" s="7" t="s">
        <v>801</v>
      </c>
      <c r="C36" s="8" t="n">
        <f aca="false">IF(C$4-Assumptions!$C$69&gt;=1,INDEX('36-Month Forecast'!$C$150:$AL$150,1,C$4-Assumptions!$C$69)+INDEX('36-Month Forecast'!$C$147:$AL$147,1,C$4-Assumptions!$C$69)*'Unit Economics'!$H$50,0)</f>
        <v>14.480995884375</v>
      </c>
      <c r="D36" s="8" t="n">
        <f aca="false">IF(D$4-Assumptions!$C$69&gt;=1,INDEX('36-Month Forecast'!$C$150:$AL$150,1,D$4-Assumptions!$C$69)+INDEX('36-Month Forecast'!$C$147:$AL$147,1,D$4-Assumptions!$C$69)*'Unit Economics'!$H$50,0)</f>
        <v>44.388063174</v>
      </c>
      <c r="E36" s="8" t="n">
        <f aca="false">IF(E$4-Assumptions!$C$69&gt;=1,INDEX('36-Month Forecast'!$C$150:$AL$150,1,E$4-Assumptions!$C$69)+INDEX('36-Month Forecast'!$C$147:$AL$147,1,E$4-Assumptions!$C$69)*'Unit Economics'!$H$50,0)</f>
        <v>77.44009790664</v>
      </c>
      <c r="F36" s="8" t="n">
        <f aca="false">IF(F$4-Assumptions!$C$69&gt;=1,INDEX('36-Month Forecast'!$C$150:$AL$150,1,F$4-Assumptions!$C$69)+INDEX('36-Month Forecast'!$C$147:$AL$147,1,F$4-Assumptions!$C$69)*'Unit Economics'!$H$50,0)</f>
        <v>85.662132993024</v>
      </c>
      <c r="G36" s="8" t="n">
        <f aca="false">IF(G$4-Assumptions!$C$69&gt;=1,INDEX('36-Month Forecast'!$C$150:$AL$150,1,G$4-Assumptions!$C$69)+INDEX('36-Month Forecast'!$C$147:$AL$147,1,G$4-Assumptions!$C$69)*'Unit Economics'!$H$50,0)</f>
        <v>86.3474300569682</v>
      </c>
      <c r="H36" s="8" t="n">
        <f aca="false">IF(H$4-Assumptions!$C$69&gt;=1,INDEX('36-Month Forecast'!$C$150:$AL$150,1,H$4-Assumptions!$C$69)+INDEX('36-Month Forecast'!$C$147:$AL$147,1,H$4-Assumptions!$C$69)*'Unit Economics'!$H$50,0)</f>
        <v>128.945495551739</v>
      </c>
      <c r="I36" s="8" t="n">
        <f aca="false">IF(I$4-Assumptions!$C$69&gt;=1,INDEX('36-Month Forecast'!$C$150:$AL$150,1,I$4-Assumptions!$C$69)+INDEX('36-Month Forecast'!$C$147:$AL$147,1,I$4-Assumptions!$C$69)*'Unit Economics'!$H$50,0)</f>
        <v>151.639902768845</v>
      </c>
      <c r="J36" s="8" t="n">
        <f aca="false">IF(J$4-Assumptions!$C$69&gt;=1,INDEX('36-Month Forecast'!$C$150:$AL$150,1,J$4-Assumptions!$C$69)+INDEX('36-Month Forecast'!$C$147:$AL$147,1,J$4-Assumptions!$C$69)*'Unit Economics'!$H$50,0)</f>
        <v>153.661768139097</v>
      </c>
      <c r="K36" s="8" t="n">
        <f aca="false">IF(K$4-Assumptions!$C$69&gt;=1,INDEX('36-Month Forecast'!$C$150:$AL$150,1,K$4-Assumptions!$C$69)+INDEX('36-Month Forecast'!$C$147:$AL$147,1,K$4-Assumptions!$C$69)*'Unit Economics'!$H$50,0)</f>
        <v>181.159137174514</v>
      </c>
      <c r="L36" s="8" t="n">
        <f aca="false">IF(L$4-Assumptions!$C$69&gt;=1,INDEX('36-Month Forecast'!$C$150:$AL$150,1,L$4-Assumptions!$C$69)+INDEX('36-Month Forecast'!$C$147:$AL$147,1,L$4-Assumptions!$C$69)*'Unit Economics'!$H$50,0)</f>
        <v>192.753321953683</v>
      </c>
      <c r="M36" s="8" t="n">
        <f aca="false">IF(M$4-Assumptions!$C$69&gt;=1,INDEX('36-Month Forecast'!$C$150:$AL$150,1,M$4-Assumptions!$C$69)+INDEX('36-Month Forecast'!$C$147:$AL$147,1,M$4-Assumptions!$C$69)*'Unit Economics'!$H$50,0)</f>
        <v>193.159118420954</v>
      </c>
      <c r="N36" s="8" t="n">
        <f aca="false">IF(N$4-Assumptions!$C$69&gt;=1,INDEX('36-Month Forecast'!$C$150:$AL$150,1,N$4-Assumptions!$C$69)+INDEX('36-Month Forecast'!$C$147:$AL$147,1,N$4-Assumptions!$C$69)*'Unit Economics'!$H$50,0)</f>
        <v>216.338212631468</v>
      </c>
      <c r="O36" s="8" t="n">
        <f aca="false">IF(O$4-Assumptions!$C$69&gt;=1,INDEX('36-Month Forecast'!$C$150:$AL$150,1,O$4-Assumptions!$C$69)+INDEX('36-Month Forecast'!$C$147:$AL$147,1,O$4-Assumptions!$C$69)*'Unit Economics'!$H$50,0)</f>
        <v>256.297153082222</v>
      </c>
      <c r="P36" s="8" t="n">
        <f aca="false">IF(P$4-Assumptions!$C$69&gt;=1,INDEX('36-Month Forecast'!$C$150:$AL$150,1,P$4-Assumptions!$C$69)+INDEX('36-Month Forecast'!$C$147:$AL$147,1,P$4-Assumptions!$C$69)*'Unit Economics'!$H$50,0)</f>
        <v>371.765765207686</v>
      </c>
      <c r="Q36" s="8" t="n">
        <f aca="false">IF(Q$4-Assumptions!$C$69&gt;=1,INDEX('36-Month Forecast'!$C$150:$AL$150,1,Q$4-Assumptions!$C$69)+INDEX('36-Month Forecast'!$C$147:$AL$147,1,Q$4-Assumptions!$C$69)*'Unit Economics'!$H$50,0)</f>
        <v>409.228315393999</v>
      </c>
      <c r="R36" s="8" t="n">
        <f aca="false">IF(R$4-Assumptions!$C$69&gt;=1,INDEX('36-Month Forecast'!$C$150:$AL$150,1,R$4-Assumptions!$C$69)+INDEX('36-Month Forecast'!$C$147:$AL$147,1,R$4-Assumptions!$C$69)*'Unit Economics'!$H$50,0)</f>
        <v>401.650013257073</v>
      </c>
      <c r="S36" s="8" t="n">
        <f aca="false">IF(S$4-Assumptions!$C$69&gt;=1,INDEX('36-Month Forecast'!$C$150:$AL$150,1,S$4-Assumptions!$C$69)+INDEX('36-Month Forecast'!$C$147:$AL$147,1,S$4-Assumptions!$C$69)*'Unit Economics'!$H$50,0)</f>
        <v>306.539290117798</v>
      </c>
      <c r="T36" s="8" t="n">
        <f aca="false">IF(T$4-Assumptions!$C$69&gt;=1,INDEX('36-Month Forecast'!$C$150:$AL$150,1,T$4-Assumptions!$C$69)+INDEX('36-Month Forecast'!$C$147:$AL$147,1,T$4-Assumptions!$C$69)*'Unit Economics'!$H$50,0)</f>
        <v>361.035163916518</v>
      </c>
      <c r="U36" s="8" t="n">
        <f aca="false">IF(U$4-Assumptions!$C$69&gt;=1,INDEX('36-Month Forecast'!$C$150:$AL$150,1,U$4-Assumptions!$C$69)+INDEX('36-Month Forecast'!$C$147:$AL$147,1,U$4-Assumptions!$C$69)*'Unit Economics'!$H$50,0)</f>
        <v>401.832137439084</v>
      </c>
      <c r="V36" s="8" t="n">
        <f aca="false">IF(V$4-Assumptions!$C$69&gt;=1,INDEX('36-Month Forecast'!$C$150:$AL$150,1,V$4-Assumptions!$C$69)+INDEX('36-Month Forecast'!$C$147:$AL$147,1,V$4-Assumptions!$C$69)*'Unit Economics'!$H$50,0)</f>
        <v>385.37615466777</v>
      </c>
      <c r="W36" s="8" t="n">
        <f aca="false">IF(W$4-Assumptions!$C$69&gt;=1,INDEX('36-Month Forecast'!$C$150:$AL$150,1,W$4-Assumptions!$C$69)+INDEX('36-Month Forecast'!$C$147:$AL$147,1,W$4-Assumptions!$C$69)*'Unit Economics'!$H$50,0)</f>
        <v>429.998656787195</v>
      </c>
      <c r="X36" s="8" t="n">
        <f aca="false">IF(X$4-Assumptions!$C$69&gt;=1,INDEX('36-Month Forecast'!$C$150:$AL$150,1,X$4-Assumptions!$C$69)+INDEX('36-Month Forecast'!$C$147:$AL$147,1,X$4-Assumptions!$C$69)*'Unit Economics'!$H$50,0)</f>
        <v>433.008647384706</v>
      </c>
      <c r="Y36" s="8" t="n">
        <f aca="false">IF(Y$4-Assumptions!$C$69&gt;=1,INDEX('36-Month Forecast'!$C$150:$AL$150,1,Y$4-Assumptions!$C$69)+INDEX('36-Month Forecast'!$C$147:$AL$147,1,Y$4-Assumptions!$C$69)*'Unit Economics'!$H$50,0)</f>
        <v>410.674517151179</v>
      </c>
      <c r="Z36" s="8" t="n">
        <f aca="false">IF(Z$4-Assumptions!$C$69&gt;=1,INDEX('36-Month Forecast'!$C$150:$AL$150,1,Z$4-Assumptions!$C$69)+INDEX('36-Month Forecast'!$C$147:$AL$147,1,Z$4-Assumptions!$C$69)*'Unit Economics'!$H$50,0)</f>
        <v>435.31498818025</v>
      </c>
      <c r="AA36" s="8" t="n">
        <f aca="false">IF(AA$4-Assumptions!$C$69&gt;=1,INDEX('36-Month Forecast'!$C$150:$AL$150,1,AA$4-Assumptions!$C$69)+INDEX('36-Month Forecast'!$C$147:$AL$147,1,AA$4-Assumptions!$C$69)*'Unit Economics'!$H$50,0)</f>
        <v>501.124371687499</v>
      </c>
      <c r="AB36" s="8" t="n">
        <f aca="false">IF(AB$4-Assumptions!$C$69&gt;=1,INDEX('36-Month Forecast'!$C$150:$AL$150,1,AB$4-Assumptions!$C$69)+INDEX('36-Month Forecast'!$C$147:$AL$147,1,AB$4-Assumptions!$C$69)*'Unit Economics'!$H$50,0)</f>
        <v>706.321614410065</v>
      </c>
      <c r="AC36" s="8" t="n">
        <f aca="false">IF(AC$4-Assumptions!$C$69&gt;=1,INDEX('36-Month Forecast'!$C$150:$AL$150,1,AC$4-Assumptions!$C$69)+INDEX('36-Month Forecast'!$C$147:$AL$147,1,AC$4-Assumptions!$C$69)*'Unit Economics'!$H$50,0)</f>
        <v>755.492465259381</v>
      </c>
      <c r="AD36" s="8" t="n">
        <f aca="false">IF(AD$4-Assumptions!$C$69&gt;=1,INDEX('36-Month Forecast'!$C$150:$AL$150,1,AD$4-Assumptions!$C$69)+INDEX('36-Month Forecast'!$C$147:$AL$147,1,AD$4-Assumptions!$C$69)*'Unit Economics'!$H$50,0)</f>
        <v>720.515962238113</v>
      </c>
      <c r="AE36" s="8" t="n">
        <f aca="false">IF(AE$4-Assumptions!$C$69&gt;=1,INDEX('36-Month Forecast'!$C$150:$AL$150,1,AE$4-Assumptions!$C$69)+INDEX('36-Month Forecast'!$C$147:$AL$147,1,AE$4-Assumptions!$C$69)*'Unit Economics'!$H$50,0)</f>
        <v>534.334637595785</v>
      </c>
      <c r="AF36" s="8" t="n">
        <f aca="false">IF(AF$4-Assumptions!$C$69&gt;=1,INDEX('36-Month Forecast'!$C$150:$AL$150,1,AF$4-Assumptions!$C$69)+INDEX('36-Month Forecast'!$C$147:$AL$147,1,AF$4-Assumptions!$C$69)*'Unit Economics'!$H$50,0)</f>
        <v>611.516307470731</v>
      </c>
      <c r="AG36" s="8" t="n">
        <f aca="false">IF(AG$4-Assumptions!$C$69&gt;=1,INDEX('36-Month Forecast'!$C$150:$AL$150,1,AG$4-Assumptions!$C$69)+INDEX('36-Month Forecast'!$C$147:$AL$147,1,AG$4-Assumptions!$C$69)*'Unit Economics'!$H$50,0)</f>
        <v>661.354886529596</v>
      </c>
      <c r="AH36" s="8" t="n">
        <f aca="false">IF(AH$4-Assumptions!$C$69&gt;=1,INDEX('36-Month Forecast'!$C$150:$AL$150,1,AH$4-Assumptions!$C$69)+INDEX('36-Month Forecast'!$C$147:$AL$147,1,AH$4-Assumptions!$C$69)*'Unit Economics'!$H$50,0)</f>
        <v>616.319768065914</v>
      </c>
      <c r="AI36" s="8" t="n">
        <f aca="false">IF(AI$4-Assumptions!$C$69&gt;=1,INDEX('36-Month Forecast'!$C$150:$AL$150,1,AI$4-Assumptions!$C$69)+INDEX('36-Month Forecast'!$C$147:$AL$147,1,AI$4-Assumptions!$C$69)*'Unit Economics'!$H$50,0)</f>
        <v>668.22038011357</v>
      </c>
      <c r="AJ36" s="8" t="n">
        <f aca="false">IF(AJ$4-Assumptions!$C$69&gt;=1,INDEX('36-Month Forecast'!$C$150:$AL$150,1,AJ$4-Assumptions!$C$69)+INDEX('36-Month Forecast'!$C$147:$AL$147,1,AJ$4-Assumptions!$C$69)*'Unit Economics'!$H$50,0)</f>
        <v>653.853641941128</v>
      </c>
      <c r="AK36" s="8" t="n">
        <f aca="false">IF(AK$4-Assumptions!$C$69&gt;=1,INDEX('36-Month Forecast'!$C$150:$AL$150,1,AK$4-Assumptions!$C$69)+INDEX('36-Month Forecast'!$C$147:$AL$147,1,AK$4-Assumptions!$C$69)*'Unit Economics'!$H$50,0)</f>
        <v>602.577751073113</v>
      </c>
      <c r="AL36" s="8" t="n">
        <f aca="false">IF(AL$4-Assumptions!$C$69&gt;=1,INDEX('36-Month Forecast'!$C$150:$AL$150,1,AL$4-Assumptions!$C$69)+INDEX('36-Month Forecast'!$C$147:$AL$147,1,AL$4-Assumptions!$C$69)*'Unit Economics'!$H$50,0)</f>
        <v>620.655083605307</v>
      </c>
      <c r="AM36" s="45" t="n">
        <f aca="false">SUMIF($C$6:$AL$6,1,C36:AL36)</f>
        <v>1525.97567665531</v>
      </c>
      <c r="AN36" s="45" t="n">
        <f aca="false">SUMIF($C$6:$AL$6,2,C36:AL36)</f>
        <v>4602.72080258548</v>
      </c>
      <c r="AO36" s="45" t="n">
        <f aca="false">SUMIF($C$6:$AL$6,3,C36:AL36)</f>
        <v>7652.2868699902</v>
      </c>
      <c r="AP36" s="45" t="n">
        <f aca="false">SUM(C36:AL36)</f>
        <v>13780.983349231</v>
      </c>
    </row>
    <row r="37" customFormat="false" ht="15" hidden="false" customHeight="false" outlineLevel="0" collapsed="false">
      <c r="A37" s="7" t="s">
        <v>802</v>
      </c>
      <c r="C37" s="8" t="n">
        <f aca="false">IF(C$4-Assumptions!$C$70&gt;=1,INDEX('36-Month Forecast'!$C$160:$AL$160,1,C$4-Assumptions!$C$70)+INDEX('36-Month Forecast'!$C$157:$AL$157,1,C$4-Assumptions!$C$70)*'Unit Economics'!$H$51,0)</f>
        <v>21.8061154285714</v>
      </c>
      <c r="D37" s="8" t="n">
        <f aca="false">IF(D$4-Assumptions!$C$70&gt;=1,INDEX('36-Month Forecast'!$C$160:$AL$160,1,D$4-Assumptions!$C$70)+INDEX('36-Month Forecast'!$C$157:$AL$157,1,D$4-Assumptions!$C$70)*'Unit Economics'!$H$51,0)</f>
        <v>66.84148224</v>
      </c>
      <c r="E37" s="8" t="n">
        <f aca="false">IF(E$4-Assumptions!$C$70&gt;=1,INDEX('36-Month Forecast'!$C$160:$AL$160,1,E$4-Assumptions!$C$70)+INDEX('36-Month Forecast'!$C$157:$AL$157,1,E$4-Assumptions!$C$70)*'Unit Economics'!$H$51,0)</f>
        <v>116.6126782464</v>
      </c>
      <c r="F37" s="8" t="n">
        <f aca="false">IF(F$4-Assumptions!$C$70&gt;=1,INDEX('36-Month Forecast'!$C$160:$AL$160,1,F$4-Assumptions!$C$70)+INDEX('36-Month Forecast'!$C$157:$AL$157,1,F$4-Assumptions!$C$70)*'Unit Economics'!$H$51,0)</f>
        <v>161.2422217728</v>
      </c>
      <c r="G37" s="8" t="n">
        <f aca="false">IF(G$4-Assumptions!$C$70&gt;=1,INDEX('36-Month Forecast'!$C$160:$AL$160,1,G$4-Assumptions!$C$70)+INDEX('36-Month Forecast'!$C$157:$AL$157,1,G$4-Assumptions!$C$70)*'Unit Economics'!$H$51,0)</f>
        <v>162.532159546982</v>
      </c>
      <c r="H37" s="8" t="n">
        <f aca="false">IF(H$4-Assumptions!$C$70&gt;=1,INDEX('36-Month Forecast'!$C$160:$AL$160,1,H$4-Assumptions!$C$70)+INDEX('36-Month Forecast'!$C$157:$AL$157,1,H$4-Assumptions!$C$70)*'Unit Economics'!$H$51,0)</f>
        <v>242.71469159016</v>
      </c>
      <c r="I37" s="8" t="n">
        <f aca="false">IF(I$4-Assumptions!$C$70&gt;=1,INDEX('36-Month Forecast'!$C$160:$AL$160,1,I$4-Assumptions!$C$70)+INDEX('36-Month Forecast'!$C$157:$AL$157,1,I$4-Assumptions!$C$70)*'Unit Economics'!$H$51,0)</f>
        <v>285.432477310029</v>
      </c>
      <c r="J37" s="8" t="n">
        <f aca="false">IF(J$4-Assumptions!$C$70&gt;=1,INDEX('36-Month Forecast'!$C$160:$AL$160,1,J$4-Assumptions!$C$70)+INDEX('36-Month Forecast'!$C$157:$AL$157,1,J$4-Assumptions!$C$70)*'Unit Economics'!$H$51,0)</f>
        <v>289.238243674162</v>
      </c>
      <c r="K37" s="8" t="n">
        <f aca="false">IF(K$4-Assumptions!$C$70&gt;=1,INDEX('36-Month Forecast'!$C$160:$AL$160,1,K$4-Assumptions!$C$70)+INDEX('36-Month Forecast'!$C$157:$AL$157,1,K$4-Assumptions!$C$70)*'Unit Economics'!$H$51,0)</f>
        <v>340.996666226381</v>
      </c>
      <c r="L37" s="8" t="n">
        <f aca="false">IF(L$4-Assumptions!$C$70&gt;=1,INDEX('36-Month Forecast'!$C$160:$AL$160,1,L$4-Assumptions!$C$70)+INDEX('36-Month Forecast'!$C$157:$AL$157,1,L$4-Assumptions!$C$70)*'Unit Economics'!$H$51,0)</f>
        <v>362.820452864869</v>
      </c>
      <c r="M37" s="8" t="n">
        <f aca="false">IF(M$4-Assumptions!$C$70&gt;=1,INDEX('36-Month Forecast'!$C$160:$AL$160,1,M$4-Assumptions!$C$70)+INDEX('36-Month Forecast'!$C$157:$AL$157,1,M$4-Assumptions!$C$70)*'Unit Economics'!$H$51,0)</f>
        <v>363.584285397217</v>
      </c>
      <c r="N37" s="8" t="n">
        <f aca="false">IF(N$4-Assumptions!$C$70&gt;=1,INDEX('36-Month Forecast'!$C$160:$AL$160,1,N$4-Assumptions!$C$70)+INDEX('36-Month Forecast'!$C$157:$AL$157,1,N$4-Assumptions!$C$70)*'Unit Economics'!$H$51,0)</f>
        <v>407.214399644883</v>
      </c>
      <c r="O37" s="8" t="n">
        <f aca="false">IF(O$4-Assumptions!$C$70&gt;=1,INDEX('36-Month Forecast'!$C$160:$AL$160,1,O$4-Assumptions!$C$70)+INDEX('36-Month Forecast'!$C$157:$AL$157,1,O$4-Assumptions!$C$70)*'Unit Economics'!$H$51,0)</f>
        <v>477.878074877377</v>
      </c>
      <c r="P37" s="8" t="n">
        <f aca="false">IF(P$4-Assumptions!$C$70&gt;=1,INDEX('36-Month Forecast'!$C$160:$AL$160,1,P$4-Assumptions!$C$70)+INDEX('36-Month Forecast'!$C$157:$AL$157,1,P$4-Assumptions!$C$70)*'Unit Economics'!$H$51,0)</f>
        <v>686.635339165915</v>
      </c>
      <c r="Q37" s="8" t="n">
        <f aca="false">IF(Q$4-Assumptions!$C$70&gt;=1,INDEX('36-Month Forecast'!$C$160:$AL$160,1,Q$4-Assumptions!$C$70)+INDEX('36-Month Forecast'!$C$157:$AL$157,1,Q$4-Assumptions!$C$70)*'Unit Economics'!$H$51,0)</f>
        <v>748.696610205912</v>
      </c>
      <c r="R37" s="8" t="n">
        <f aca="false">IF(R$4-Assumptions!$C$70&gt;=1,INDEX('36-Month Forecast'!$C$160:$AL$160,1,R$4-Assumptions!$C$70)+INDEX('36-Month Forecast'!$C$157:$AL$157,1,R$4-Assumptions!$C$70)*'Unit Economics'!$H$51,0)</f>
        <v>727.899482144636</v>
      </c>
      <c r="S37" s="8" t="n">
        <f aca="false">IF(S$4-Assumptions!$C$70&gt;=1,INDEX('36-Month Forecast'!$C$160:$AL$160,1,S$4-Assumptions!$C$70)+INDEX('36-Month Forecast'!$C$157:$AL$157,1,S$4-Assumptions!$C$70)*'Unit Economics'!$H$51,0)</f>
        <v>550.292008501345</v>
      </c>
      <c r="T37" s="8" t="n">
        <f aca="false">IF(T$4-Assumptions!$C$70&gt;=1,INDEX('36-Month Forecast'!$C$160:$AL$160,1,T$4-Assumptions!$C$70)+INDEX('36-Month Forecast'!$C$157:$AL$157,1,T$4-Assumptions!$C$70)*'Unit Economics'!$H$51,0)</f>
        <v>642.007343251569</v>
      </c>
      <c r="U37" s="8" t="n">
        <f aca="false">IF(U$4-Assumptions!$C$70&gt;=1,INDEX('36-Month Forecast'!$C$160:$AL$160,1,U$4-Assumptions!$C$70)+INDEX('36-Month Forecast'!$C$157:$AL$157,1,U$4-Assumptions!$C$70)*'Unit Economics'!$H$51,0)</f>
        <v>707.813095934855</v>
      </c>
      <c r="V37" s="8" t="n">
        <f aca="false">IF(V$4-Assumptions!$C$70&gt;=1,INDEX('36-Month Forecast'!$C$160:$AL$160,1,V$4-Assumptions!$C$70)+INDEX('36-Month Forecast'!$C$157:$AL$157,1,V$4-Assumptions!$C$70)*'Unit Economics'!$H$51,0)</f>
        <v>672.422441138112</v>
      </c>
      <c r="W37" s="8" t="n">
        <f aca="false">IF(W$4-Assumptions!$C$70&gt;=1,INDEX('36-Month Forecast'!$C$160:$AL$160,1,W$4-Assumptions!$C$70)+INDEX('36-Month Forecast'!$C$157:$AL$157,1,W$4-Assumptions!$C$70)*'Unit Economics'!$H$51,0)</f>
        <v>743.203750731598</v>
      </c>
      <c r="X37" s="8" t="n">
        <f aca="false">IF(X$4-Assumptions!$C$70&gt;=1,INDEX('36-Month Forecast'!$C$160:$AL$160,1,X$4-Assumptions!$C$70)+INDEX('36-Month Forecast'!$C$157:$AL$157,1,X$4-Assumptions!$C$70)*'Unit Economics'!$H$51,0)</f>
        <v>741.345741354769</v>
      </c>
      <c r="Y37" s="8" t="n">
        <f aca="false">IF(Y$4-Assumptions!$C$70&gt;=1,INDEX('36-Month Forecast'!$C$160:$AL$160,1,Y$4-Assumptions!$C$70)+INDEX('36-Month Forecast'!$C$157:$AL$157,1,Y$4-Assumptions!$C$70)*'Unit Economics'!$H$51,0)</f>
        <v>696.474814904349</v>
      </c>
      <c r="Z37" s="8" t="n">
        <f aca="false">IF(Z$4-Assumptions!$C$70&gt;=1,INDEX('36-Month Forecast'!$C$160:$AL$160,1,Z$4-Assumptions!$C$70)+INDEX('36-Month Forecast'!$C$157:$AL$157,1,Z$4-Assumptions!$C$70)*'Unit Economics'!$H$51,0)</f>
        <v>731.298555649566</v>
      </c>
      <c r="AA37" s="8" t="n">
        <f aca="false">IF(AA$4-Assumptions!$C$70&gt;=1,INDEX('36-Month Forecast'!$C$160:$AL$160,1,AA$4-Assumptions!$C$70)+INDEX('36-Month Forecast'!$C$157:$AL$157,1,AA$4-Assumptions!$C$70)*'Unit Economics'!$H$51,0)</f>
        <v>833.680353440505</v>
      </c>
      <c r="AB37" s="8" t="n">
        <f aca="false">IF(AB$4-Assumptions!$C$70&gt;=1,INDEX('36-Month Forecast'!$C$160:$AL$160,1,AB$4-Assumptions!$C$70)+INDEX('36-Month Forecast'!$C$157:$AL$157,1,AB$4-Assumptions!$C$70)*'Unit Economics'!$H$51,0)</f>
        <v>1163.64226174959</v>
      </c>
      <c r="AC37" s="8" t="n">
        <f aca="false">IF(AC$4-Assumptions!$C$70&gt;=1,INDEX('36-Month Forecast'!$C$160:$AL$160,1,AC$4-Assumptions!$C$70)+INDEX('36-Month Forecast'!$C$157:$AL$157,1,AC$4-Assumptions!$C$70)*'Unit Economics'!$H$51,0)</f>
        <v>1232.56568802245</v>
      </c>
      <c r="AD37" s="8" t="n">
        <f aca="false">IF(AD$4-Assumptions!$C$70&gt;=1,INDEX('36-Month Forecast'!$C$160:$AL$160,1,AD$4-Assumptions!$C$70)+INDEX('36-Month Forecast'!$C$157:$AL$157,1,AD$4-Assumptions!$C$70)*'Unit Economics'!$H$51,0)</f>
        <v>1164.08981646565</v>
      </c>
      <c r="AE37" s="8" t="n">
        <f aca="false">IF(AE$4-Assumptions!$C$70&gt;=1,INDEX('36-Month Forecast'!$C$160:$AL$160,1,AE$4-Assumptions!$C$70)+INDEX('36-Month Forecast'!$C$157:$AL$157,1,AE$4-Assumptions!$C$70)*'Unit Economics'!$H$51,0)</f>
        <v>854.907561212372</v>
      </c>
      <c r="AF37" s="8" t="n">
        <f aca="false">IF(AF$4-Assumptions!$C$70&gt;=1,INDEX('36-Month Forecast'!$C$160:$AL$160,1,AF$4-Assumptions!$C$70)+INDEX('36-Month Forecast'!$C$157:$AL$157,1,AF$4-Assumptions!$C$70)*'Unit Economics'!$H$51,0)</f>
        <v>968.895236040688</v>
      </c>
      <c r="AG37" s="8" t="n">
        <f aca="false">IF(AG$4-Assumptions!$C$70&gt;=1,INDEX('36-Month Forecast'!$C$160:$AL$160,1,AG$4-Assumptions!$C$70)+INDEX('36-Month Forecast'!$C$157:$AL$157,1,AG$4-Assumptions!$C$70)*'Unit Economics'!$H$51,0)</f>
        <v>1037.68679779958</v>
      </c>
      <c r="AH37" s="8" t="n">
        <f aca="false">IF(AH$4-Assumptions!$C$70&gt;=1,INDEX('36-Month Forecast'!$C$160:$AL$160,1,AH$4-Assumptions!$C$70)+INDEX('36-Month Forecast'!$C$157:$AL$157,1,AH$4-Assumptions!$C$70)*'Unit Economics'!$H$51,0)</f>
        <v>957.636673397895</v>
      </c>
      <c r="AI37" s="8" t="n">
        <f aca="false">IF(AI$4-Assumptions!$C$70&gt;=1,INDEX('36-Month Forecast'!$C$160:$AL$160,1,AI$4-Assumptions!$C$70)+INDEX('36-Month Forecast'!$C$157:$AL$157,1,AI$4-Assumptions!$C$70)*'Unit Economics'!$H$51,0)</f>
        <v>1028.19937564827</v>
      </c>
      <c r="AJ37" s="8" t="n">
        <f aca="false">IF(AJ$4-Assumptions!$C$70&gt;=1,INDEX('36-Month Forecast'!$C$160:$AL$160,1,AJ$4-Assumptions!$C$70)+INDEX('36-Month Forecast'!$C$157:$AL$157,1,AJ$4-Assumptions!$C$70)*'Unit Economics'!$H$51,0)</f>
        <v>996.32519500317</v>
      </c>
      <c r="AK37" s="8" t="n">
        <f aca="false">IF(AK$4-Assumptions!$C$70&gt;=1,INDEX('36-Month Forecast'!$C$160:$AL$160,1,AK$4-Assumptions!$C$70)+INDEX('36-Month Forecast'!$C$157:$AL$157,1,AK$4-Assumptions!$C$70)*'Unit Economics'!$H$51,0)</f>
        <v>909.277835860788</v>
      </c>
      <c r="AL37" s="8" t="n">
        <f aca="false">IF(AL$4-Assumptions!$C$70&gt;=1,INDEX('36-Month Forecast'!$C$160:$AL$160,1,AL$4-Assumptions!$C$70)+INDEX('36-Month Forecast'!$C$157:$AL$157,1,AL$4-Assumptions!$C$70)*'Unit Economics'!$H$51,0)</f>
        <v>927.463392578003</v>
      </c>
      <c r="AM37" s="45" t="n">
        <f aca="false">SUMIF($C$6:$AL$6,1,C37:AL37)</f>
        <v>2821.03587394246</v>
      </c>
      <c r="AN37" s="45" t="n">
        <f aca="false">SUMIF($C$6:$AL$6,2,C37:AL37)</f>
        <v>8125.96725786</v>
      </c>
      <c r="AO37" s="45" t="n">
        <f aca="false">SUMIF($C$6:$AL$6,3,C37:AL37)</f>
        <v>12074.370187219</v>
      </c>
      <c r="AP37" s="45" t="n">
        <f aca="false">SUM(C37:AL37)</f>
        <v>23021.3733190214</v>
      </c>
    </row>
    <row r="38" customFormat="false" ht="15" hidden="false" customHeight="false" outlineLevel="0" collapsed="false">
      <c r="A38" s="7" t="s">
        <v>803</v>
      </c>
      <c r="C38" s="8" t="n">
        <f aca="false">IF(C$4-Assumptions!$C$71&gt;=1,INDEX('36-Month Forecast'!$C$170:$AL$170,1,C$4-Assumptions!$C$71)+INDEX('36-Month Forecast'!$C$167:$AL$167,1,C$4-Assumptions!$C$71)*'Unit Economics'!$H$52,0)</f>
        <v>0</v>
      </c>
      <c r="D38" s="8" t="n">
        <f aca="false">IF(D$4-Assumptions!$C$71&gt;=1,INDEX('36-Month Forecast'!$C$170:$AL$170,1,D$4-Assumptions!$C$71)+INDEX('36-Month Forecast'!$C$167:$AL$167,1,D$4-Assumptions!$C$71)*'Unit Economics'!$H$52,0)</f>
        <v>0</v>
      </c>
      <c r="E38" s="8" t="n">
        <f aca="false">IF(E$4-Assumptions!$C$71&gt;=1,INDEX('36-Month Forecast'!$C$170:$AL$170,1,E$4-Assumptions!$C$71)+INDEX('36-Month Forecast'!$C$167:$AL$167,1,E$4-Assumptions!$C$71)*'Unit Economics'!$H$52,0)</f>
        <v>0</v>
      </c>
      <c r="F38" s="8" t="n">
        <f aca="false">IF(F$4-Assumptions!$C$71&gt;=1,INDEX('36-Month Forecast'!$C$170:$AL$170,1,F$4-Assumptions!$C$71)+INDEX('36-Month Forecast'!$C$167:$AL$167,1,F$4-Assumptions!$C$71)*'Unit Economics'!$H$52,0)</f>
        <v>41.50965</v>
      </c>
      <c r="G38" s="8" t="n">
        <f aca="false">IF(G$4-Assumptions!$C$71&gt;=1,INDEX('36-Month Forecast'!$C$170:$AL$170,1,G$4-Assumptions!$C$71)+INDEX('36-Month Forecast'!$C$167:$AL$167,1,G$4-Assumptions!$C$71)*'Unit Economics'!$H$52,0)</f>
        <v>94.833585</v>
      </c>
      <c r="H38" s="8" t="n">
        <f aca="false">IF(H$4-Assumptions!$C$71&gt;=1,INDEX('36-Month Forecast'!$C$170:$AL$170,1,H$4-Assumptions!$C$71)+INDEX('36-Month Forecast'!$C$167:$AL$167,1,H$4-Assumptions!$C$71)*'Unit Economics'!$H$52,0)</f>
        <v>144.88464375</v>
      </c>
      <c r="I38" s="8" t="n">
        <f aca="false">IF(I$4-Assumptions!$C$71&gt;=1,INDEX('36-Month Forecast'!$C$170:$AL$170,1,I$4-Assumptions!$C$71)+INDEX('36-Month Forecast'!$C$167:$AL$167,1,I$4-Assumptions!$C$71)*'Unit Economics'!$H$52,0)</f>
        <v>152.9981838</v>
      </c>
      <c r="J38" s="8" t="n">
        <f aca="false">IF(J$4-Assumptions!$C$71&gt;=1,INDEX('36-Month Forecast'!$C$170:$AL$170,1,J$4-Assumptions!$C$71)+INDEX('36-Month Forecast'!$C$167:$AL$167,1,J$4-Assumptions!$C$71)*'Unit Economics'!$H$52,0)</f>
        <v>233.74722525</v>
      </c>
      <c r="K38" s="8" t="n">
        <f aca="false">IF(K$4-Assumptions!$C$71&gt;=1,INDEX('36-Month Forecast'!$C$170:$AL$170,1,K$4-Assumptions!$C$71)+INDEX('36-Month Forecast'!$C$167:$AL$167,1,K$4-Assumptions!$C$71)*'Unit Economics'!$H$52,0)</f>
        <v>323.9736541965</v>
      </c>
      <c r="L38" s="8" t="n">
        <f aca="false">IF(L$4-Assumptions!$C$71&gt;=1,INDEX('36-Month Forecast'!$C$170:$AL$170,1,L$4-Assumptions!$C$71)+INDEX('36-Month Forecast'!$C$167:$AL$167,1,L$4-Assumptions!$C$71)*'Unit Economics'!$H$52,0)</f>
        <v>322.43092250985</v>
      </c>
      <c r="M38" s="8" t="n">
        <f aca="false">IF(M$4-Assumptions!$C$71&gt;=1,INDEX('36-Month Forecast'!$C$170:$AL$170,1,M$4-Assumptions!$C$71)+INDEX('36-Month Forecast'!$C$167:$AL$167,1,M$4-Assumptions!$C$71)*'Unit Economics'!$H$52,0)</f>
        <v>373.3410681693</v>
      </c>
      <c r="N38" s="8" t="n">
        <f aca="false">IF(N$4-Assumptions!$C$71&gt;=1,INDEX('36-Month Forecast'!$C$170:$AL$170,1,N$4-Assumptions!$C$71)+INDEX('36-Month Forecast'!$C$167:$AL$167,1,N$4-Assumptions!$C$71)*'Unit Economics'!$H$52,0)</f>
        <v>390.141416236919</v>
      </c>
      <c r="O38" s="8" t="n">
        <f aca="false">IF(O$4-Assumptions!$C$71&gt;=1,INDEX('36-Month Forecast'!$C$170:$AL$170,1,O$4-Assumptions!$C$71)+INDEX('36-Month Forecast'!$C$167:$AL$167,1,O$4-Assumptions!$C$71)*'Unit Economics'!$H$52,0)</f>
        <v>383.981288612125</v>
      </c>
      <c r="P38" s="8" t="n">
        <f aca="false">IF(P$4-Assumptions!$C$71&gt;=1,INDEX('36-Month Forecast'!$C$170:$AL$170,1,P$4-Assumptions!$C$71)+INDEX('36-Month Forecast'!$C$167:$AL$167,1,P$4-Assumptions!$C$71)*'Unit Economics'!$H$52,0)</f>
        <v>422.379417473338</v>
      </c>
      <c r="Q38" s="8" t="n">
        <f aca="false">IF(Q$4-Assumptions!$C$71&gt;=1,INDEX('36-Month Forecast'!$C$170:$AL$170,1,Q$4-Assumptions!$C$71)+INDEX('36-Month Forecast'!$C$167:$AL$167,1,Q$4-Assumptions!$C$71)*'Unit Economics'!$H$52,0)</f>
        <v>490.953958192539</v>
      </c>
      <c r="R38" s="8" t="n">
        <f aca="false">IF(R$4-Assumptions!$C$71&gt;=1,INDEX('36-Month Forecast'!$C$170:$AL$170,1,R$4-Assumptions!$C$71)+INDEX('36-Month Forecast'!$C$167:$AL$167,1,R$4-Assumptions!$C$71)*'Unit Economics'!$H$52,0)</f>
        <v>698.705001554013</v>
      </c>
      <c r="S38" s="8" t="n">
        <f aca="false">IF(S$4-Assumptions!$C$71&gt;=1,INDEX('36-Month Forecast'!$C$170:$AL$170,1,S$4-Assumptions!$C$71)+INDEX('36-Month Forecast'!$C$167:$AL$167,1,S$4-Assumptions!$C$71)*'Unit Economics'!$H$52,0)</f>
        <v>754.601401678334</v>
      </c>
      <c r="T38" s="8" t="n">
        <f aca="false">IF(T$4-Assumptions!$C$71&gt;=1,INDEX('36-Month Forecast'!$C$170:$AL$170,1,T$4-Assumptions!$C$71)+INDEX('36-Month Forecast'!$C$167:$AL$167,1,T$4-Assumptions!$C$71)*'Unit Economics'!$H$52,0)</f>
        <v>726.653201616173</v>
      </c>
      <c r="U38" s="8" t="n">
        <f aca="false">IF(U$4-Assumptions!$C$71&gt;=1,INDEX('36-Month Forecast'!$C$170:$AL$170,1,U$4-Assumptions!$C$71)+INDEX('36-Month Forecast'!$C$167:$AL$167,1,U$4-Assumptions!$C$71)*'Unit Economics'!$H$52,0)</f>
        <v>544.117917370191</v>
      </c>
      <c r="V38" s="8" t="n">
        <f aca="false">IF(V$4-Assumptions!$C$71&gt;=1,INDEX('36-Month Forecast'!$C$170:$AL$170,1,V$4-Assumptions!$C$71)+INDEX('36-Month Forecast'!$C$167:$AL$167,1,V$4-Assumptions!$C$71)*'Unit Economics'!$H$52,0)</f>
        <v>628.758482294442</v>
      </c>
      <c r="W38" s="8" t="n">
        <f aca="false">IF(W$4-Assumptions!$C$71&gt;=1,INDEX('36-Month Forecast'!$C$170:$AL$170,1,W$4-Assumptions!$C$71)+INDEX('36-Month Forecast'!$C$167:$AL$167,1,W$4-Assumptions!$C$71)*'Unit Economics'!$H$52,0)</f>
        <v>686.604262665531</v>
      </c>
      <c r="X38" s="8" t="n">
        <f aca="false">IF(X$4-Assumptions!$C$71&gt;=1,INDEX('36-Month Forecast'!$C$170:$AL$170,1,X$4-Assumptions!$C$71)+INDEX('36-Month Forecast'!$C$167:$AL$167,1,X$4-Assumptions!$C$71)*'Unit Economics'!$H$52,0)</f>
        <v>646.061915727186</v>
      </c>
      <c r="Y38" s="8" t="n">
        <f aca="false">IF(Y$4-Assumptions!$C$71&gt;=1,INDEX('36-Month Forecast'!$C$170:$AL$170,1,Y$4-Assumptions!$C$71)+INDEX('36-Month Forecast'!$C$167:$AL$167,1,Y$4-Assumptions!$C$71)*'Unit Economics'!$H$52,0)</f>
        <v>707.267781427656</v>
      </c>
      <c r="Z38" s="8" t="n">
        <f aca="false">IF(Z$4-Assumptions!$C$71&gt;=1,INDEX('36-Month Forecast'!$C$170:$AL$170,1,Z$4-Assumptions!$C$71)+INDEX('36-Month Forecast'!$C$167:$AL$167,1,Z$4-Assumptions!$C$71)*'Unit Economics'!$H$52,0)</f>
        <v>698.780568050524</v>
      </c>
      <c r="AA38" s="8" t="n">
        <f aca="false">IF(AA$4-Assumptions!$C$71&gt;=1,INDEX('36-Month Forecast'!$C$170:$AL$170,1,AA$4-Assumptions!$C$71)+INDEX('36-Month Forecast'!$C$167:$AL$167,1,AA$4-Assumptions!$C$71)*'Unit Economics'!$H$52,0)</f>
        <v>650.23370753333</v>
      </c>
      <c r="AB38" s="8" t="n">
        <f aca="false">IF(AB$4-Assumptions!$C$71&gt;=1,INDEX('36-Month Forecast'!$C$170:$AL$170,1,AB$4-Assumptions!$C$71)+INDEX('36-Month Forecast'!$C$167:$AL$167,1,AB$4-Assumptions!$C$71)*'Unit Economics'!$H$52,0)</f>
        <v>676.243055834663</v>
      </c>
      <c r="AC38" s="8" t="n">
        <f aca="false">IF(AC$4-Assumptions!$C$71&gt;=1,INDEX('36-Month Forecast'!$C$170:$AL$170,1,AC$4-Assumptions!$C$71)+INDEX('36-Month Forecast'!$C$167:$AL$167,1,AC$4-Assumptions!$C$71)*'Unit Economics'!$H$52,0)</f>
        <v>770.917083651516</v>
      </c>
      <c r="AD38" s="8" t="n">
        <f aca="false">IF(AD$4-Assumptions!$C$71&gt;=1,INDEX('36-Month Forecast'!$C$170:$AL$170,1,AD$4-Assumptions!$C$71)+INDEX('36-Month Forecast'!$C$167:$AL$167,1,AD$4-Assumptions!$C$71)*'Unit Economics'!$H$52,0)</f>
        <v>1076.03795044412</v>
      </c>
      <c r="AE38" s="8" t="n">
        <f aca="false">IF(AE$4-Assumptions!$C$71&gt;=1,INDEX('36-Month Forecast'!$C$170:$AL$170,1,AE$4-Assumptions!$C$71)+INDEX('36-Month Forecast'!$C$167:$AL$167,1,AE$4-Assumptions!$C$71)*'Unit Economics'!$H$52,0)</f>
        <v>1139.77250597042</v>
      </c>
      <c r="AF38" s="8" t="n">
        <f aca="false">IF(AF$4-Assumptions!$C$71&gt;=1,INDEX('36-Month Forecast'!$C$170:$AL$170,1,AF$4-Assumptions!$C$71)+INDEX('36-Month Forecast'!$C$167:$AL$167,1,AF$4-Assumptions!$C$71)*'Unit Economics'!$H$52,0)</f>
        <v>1076.45181119429</v>
      </c>
      <c r="AG38" s="8" t="n">
        <f aca="false">IF(AG$4-Assumptions!$C$71&gt;=1,INDEX('36-Month Forecast'!$C$170:$AL$170,1,AG$4-Assumptions!$C$71)+INDEX('36-Month Forecast'!$C$167:$AL$167,1,AG$4-Assumptions!$C$71)*'Unit Economics'!$H$52,0)</f>
        <v>790.546210141084</v>
      </c>
      <c r="AH38" s="8" t="n">
        <f aca="false">IF(AH$4-Assumptions!$C$71&gt;=1,INDEX('36-Month Forecast'!$C$170:$AL$170,1,AH$4-Assumptions!$C$71)+INDEX('36-Month Forecast'!$C$167:$AL$167,1,AH$4-Assumptions!$C$71)*'Unit Economics'!$H$52,0)</f>
        <v>895.952371493228</v>
      </c>
      <c r="AI38" s="8" t="n">
        <f aca="false">IF(AI$4-Assumptions!$C$71&gt;=1,INDEX('36-Month Forecast'!$C$170:$AL$170,1,AI$4-Assumptions!$C$71)+INDEX('36-Month Forecast'!$C$167:$AL$167,1,AI$4-Assumptions!$C$71)*'Unit Economics'!$H$52,0)</f>
        <v>959.564989869248</v>
      </c>
      <c r="AJ38" s="8" t="n">
        <f aca="false">IF(AJ$4-Assumptions!$C$71&gt;=1,INDEX('36-Month Forecast'!$C$170:$AL$170,1,AJ$4-Assumptions!$C$71)+INDEX('36-Month Forecast'!$C$167:$AL$167,1,AJ$4-Assumptions!$C$71)*'Unit Economics'!$H$52,0)</f>
        <v>885.541404936477</v>
      </c>
      <c r="AK38" s="8" t="n">
        <f aca="false">IF(AK$4-Assumptions!$C$71&gt;=1,INDEX('36-Month Forecast'!$C$170:$AL$170,1,AK$4-Assumptions!$C$71)+INDEX('36-Month Forecast'!$C$167:$AL$167,1,AK$4-Assumptions!$C$71)*'Unit Economics'!$H$52,0)</f>
        <v>950.791824247586</v>
      </c>
      <c r="AL38" s="8" t="n">
        <f aca="false">IF(AL$4-Assumptions!$C$71&gt;=1,INDEX('36-Month Forecast'!$C$170:$AL$170,1,AL$4-Assumptions!$C$71)+INDEX('36-Month Forecast'!$C$167:$AL$167,1,AL$4-Assumptions!$C$71)*'Unit Economics'!$H$52,0)</f>
        <v>921.317277695911</v>
      </c>
      <c r="AM38" s="45" t="n">
        <f aca="false">SUMIF($C$6:$AL$6,1,C38:AL38)</f>
        <v>2077.86034891257</v>
      </c>
      <c r="AN38" s="45" t="n">
        <f aca="false">SUMIF($C$6:$AL$6,2,C38:AL38)</f>
        <v>7388.86519666205</v>
      </c>
      <c r="AO38" s="45" t="n">
        <f aca="false">SUMIF($C$6:$AL$6,3,C38:AL38)</f>
        <v>10793.3701930119</v>
      </c>
      <c r="AP38" s="45" t="n">
        <f aca="false">SUM(C38:AL38)</f>
        <v>20260.0957385865</v>
      </c>
    </row>
    <row r="39" customFormat="false" ht="15" hidden="false" customHeight="false" outlineLevel="0" collapsed="false">
      <c r="A39" s="7" t="s">
        <v>804</v>
      </c>
      <c r="C39" s="8" t="n">
        <f aca="false">IF(C$4-Assumptions!$C$72&gt;=1,INDEX('36-Month Forecast'!$C$180:$AL$180,1,C$4-Assumptions!$C$72)+INDEX('36-Month Forecast'!$C$177:$AL$177,1,C$4-Assumptions!$C$72)*'Unit Economics'!$H$53,0)</f>
        <v>0</v>
      </c>
      <c r="D39" s="8" t="n">
        <f aca="false">IF(D$4-Assumptions!$C$72&gt;=1,INDEX('36-Month Forecast'!$C$180:$AL$180,1,D$4-Assumptions!$C$72)+INDEX('36-Month Forecast'!$C$177:$AL$177,1,D$4-Assumptions!$C$72)*'Unit Economics'!$H$53,0)</f>
        <v>0</v>
      </c>
      <c r="E39" s="8" t="n">
        <f aca="false">IF(E$4-Assumptions!$C$72&gt;=1,INDEX('36-Month Forecast'!$C$180:$AL$180,1,E$4-Assumptions!$C$72)+INDEX('36-Month Forecast'!$C$177:$AL$177,1,E$4-Assumptions!$C$72)*'Unit Economics'!$H$53,0)</f>
        <v>0</v>
      </c>
      <c r="F39" s="8" t="n">
        <f aca="false">IF(F$4-Assumptions!$C$72&gt;=1,INDEX('36-Month Forecast'!$C$180:$AL$180,1,F$4-Assumptions!$C$72)+INDEX('36-Month Forecast'!$C$177:$AL$177,1,F$4-Assumptions!$C$72)*'Unit Economics'!$H$53,0)</f>
        <v>-0</v>
      </c>
      <c r="G39" s="8" t="n">
        <f aca="false">IF(G$4-Assumptions!$C$72&gt;=1,INDEX('36-Month Forecast'!$C$180:$AL$180,1,G$4-Assumptions!$C$72)+INDEX('36-Month Forecast'!$C$177:$AL$177,1,G$4-Assumptions!$C$72)*'Unit Economics'!$H$53,0)</f>
        <v>0</v>
      </c>
      <c r="H39" s="8" t="n">
        <f aca="false">IF(H$4-Assumptions!$C$72&gt;=1,INDEX('36-Month Forecast'!$C$180:$AL$180,1,H$4-Assumptions!$C$72)+INDEX('36-Month Forecast'!$C$177:$AL$177,1,H$4-Assumptions!$C$72)*'Unit Economics'!$H$53,0)</f>
        <v>2.511945</v>
      </c>
      <c r="I39" s="8" t="n">
        <f aca="false">IF(I$4-Assumptions!$C$72&gt;=1,INDEX('36-Month Forecast'!$C$180:$AL$180,1,I$4-Assumptions!$C$72)+INDEX('36-Month Forecast'!$C$177:$AL$177,1,I$4-Assumptions!$C$72)*'Unit Economics'!$H$53,0)</f>
        <v>4.93085499999999</v>
      </c>
      <c r="J39" s="8" t="n">
        <f aca="false">IF(J$4-Assumptions!$C$72&gt;=1,INDEX('36-Month Forecast'!$C$180:$AL$180,1,J$4-Assumptions!$C$72)+INDEX('36-Month Forecast'!$C$177:$AL$177,1,J$4-Assumptions!$C$72)*'Unit Economics'!$H$53,0)</f>
        <v>5.64484280399999</v>
      </c>
      <c r="K39" s="8" t="n">
        <f aca="false">IF(K$4-Assumptions!$C$72&gt;=1,INDEX('36-Month Forecast'!$C$180:$AL$180,1,K$4-Assumptions!$C$72)+INDEX('36-Month Forecast'!$C$177:$AL$177,1,K$4-Assumptions!$C$72)*'Unit Economics'!$H$53,0)</f>
        <v>8.86449388479999</v>
      </c>
      <c r="L39" s="8" t="n">
        <f aca="false">IF(L$4-Assumptions!$C$72&gt;=1,INDEX('36-Month Forecast'!$C$180:$AL$180,1,L$4-Assumptions!$C$72)+INDEX('36-Month Forecast'!$C$177:$AL$177,1,L$4-Assumptions!$C$72)*'Unit Economics'!$H$53,0)</f>
        <v>12.332727117228</v>
      </c>
      <c r="M39" s="8" t="n">
        <f aca="false">IF(M$4-Assumptions!$C$72&gt;=1,INDEX('36-Month Forecast'!$C$180:$AL$180,1,M$4-Assumptions!$C$72)+INDEX('36-Month Forecast'!$C$177:$AL$177,1,M$4-Assumptions!$C$72)*'Unit Economics'!$H$53,0)</f>
        <v>14.1932070937698</v>
      </c>
      <c r="N39" s="8" t="n">
        <f aca="false">IF(N$4-Assumptions!$C$72&gt;=1,INDEX('36-Month Forecast'!$C$180:$AL$180,1,N$4-Assumptions!$C$72)+INDEX('36-Month Forecast'!$C$177:$AL$177,1,N$4-Assumptions!$C$72)*'Unit Economics'!$H$53,0)</f>
        <v>15.8366310730484</v>
      </c>
      <c r="O39" s="8" t="n">
        <f aca="false">IF(O$4-Assumptions!$C$72&gt;=1,INDEX('36-Month Forecast'!$C$180:$AL$180,1,O$4-Assumptions!$C$72)+INDEX('36-Month Forecast'!$C$177:$AL$177,1,O$4-Assumptions!$C$72)*'Unit Economics'!$H$53,0)</f>
        <v>15.9474874905598</v>
      </c>
      <c r="P39" s="8" t="n">
        <f aca="false">IF(P$4-Assumptions!$C$72&gt;=1,INDEX('36-Month Forecast'!$C$180:$AL$180,1,P$4-Assumptions!$C$72)+INDEX('36-Month Forecast'!$C$177:$AL$177,1,P$4-Assumptions!$C$72)*'Unit Economics'!$H$53,0)</f>
        <v>15.1249328726256</v>
      </c>
      <c r="Q39" s="8" t="n">
        <f aca="false">IF(Q$4-Assumptions!$C$72&gt;=1,INDEX('36-Month Forecast'!$C$180:$AL$180,1,Q$4-Assumptions!$C$72)+INDEX('36-Month Forecast'!$C$177:$AL$177,1,Q$4-Assumptions!$C$72)*'Unit Economics'!$H$53,0)</f>
        <v>16.0324288449832</v>
      </c>
      <c r="R39" s="8" t="n">
        <f aca="false">IF(R$4-Assumptions!$C$72&gt;=1,INDEX('36-Month Forecast'!$C$180:$AL$180,1,R$4-Assumptions!$C$72)+INDEX('36-Month Forecast'!$C$177:$AL$177,1,R$4-Assumptions!$C$72)*'Unit Economics'!$H$53,0)</f>
        <v>18.4561548527247</v>
      </c>
      <c r="S39" s="8" t="n">
        <f aca="false">IF(S$4-Assumptions!$C$72&gt;=1,INDEX('36-Month Forecast'!$C$180:$AL$180,1,S$4-Assumptions!$C$72)+INDEX('36-Month Forecast'!$C$177:$AL$177,1,S$4-Assumptions!$C$72)*'Unit Economics'!$H$53,0)</f>
        <v>26.0134645766299</v>
      </c>
      <c r="T39" s="8" t="n">
        <f aca="false">IF(T$4-Assumptions!$C$72&gt;=1,INDEX('36-Month Forecast'!$C$180:$AL$180,1,T$4-Assumptions!$C$72)+INDEX('36-Month Forecast'!$C$177:$AL$177,1,T$4-Assumptions!$C$72)*'Unit Economics'!$H$53,0)</f>
        <v>27.8244019183107</v>
      </c>
      <c r="U39" s="8" t="n">
        <f aca="false">IF(U$4-Assumptions!$C$72&gt;=1,INDEX('36-Month Forecast'!$C$180:$AL$180,1,U$4-Assumptions!$C$72)+INDEX('36-Month Forecast'!$C$177:$AL$177,1,U$4-Assumptions!$C$72)*'Unit Economics'!$H$53,0)</f>
        <v>26.5362351628333</v>
      </c>
      <c r="V39" s="8" t="n">
        <f aca="false">IF(V$4-Assumptions!$C$72&gt;=1,INDEX('36-Month Forecast'!$C$180:$AL$180,1,V$4-Assumptions!$C$72)+INDEX('36-Month Forecast'!$C$177:$AL$177,1,V$4-Assumptions!$C$72)*'Unit Economics'!$H$53,0)</f>
        <v>19.6792719967572</v>
      </c>
      <c r="W39" s="8" t="n">
        <f aca="false">IF(W$4-Assumptions!$C$72&gt;=1,INDEX('36-Month Forecast'!$C$180:$AL$180,1,W$4-Assumptions!$C$72)+INDEX('36-Month Forecast'!$C$177:$AL$177,1,W$4-Assumptions!$C$72)*'Unit Economics'!$H$53,0)</f>
        <v>22.5218335073999</v>
      </c>
      <c r="X39" s="8" t="n">
        <f aca="false">IF(X$4-Assumptions!$C$72&gt;=1,INDEX('36-Month Forecast'!$C$180:$AL$180,1,X$4-Assumptions!$C$72)+INDEX('36-Month Forecast'!$C$177:$AL$177,1,X$4-Assumptions!$C$72)*'Unit Economics'!$H$53,0)</f>
        <v>24.357362938253</v>
      </c>
      <c r="Y39" s="8" t="n">
        <f aca="false">IF(Y$4-Assumptions!$C$72&gt;=1,INDEX('36-Month Forecast'!$C$180:$AL$180,1,Y$4-Assumptions!$C$72)+INDEX('36-Month Forecast'!$C$177:$AL$177,1,Y$4-Assumptions!$C$72)*'Unit Economics'!$H$53,0)</f>
        <v>22.6987425096005</v>
      </c>
      <c r="Z39" s="8" t="n">
        <f aca="false">IF(Z$4-Assumptions!$C$72&gt;=1,INDEX('36-Month Forecast'!$C$180:$AL$180,1,Z$4-Assumptions!$C$72)+INDEX('36-Month Forecast'!$C$177:$AL$177,1,Z$4-Assumptions!$C$72)*'Unit Economics'!$H$53,0)</f>
        <v>24.6102155630406</v>
      </c>
      <c r="AA39" s="8" t="n">
        <f aca="false">IF(AA$4-Assumptions!$C$72&gt;=1,INDEX('36-Month Forecast'!$C$180:$AL$180,1,AA$4-Assumptions!$C$72)+INDEX('36-Month Forecast'!$C$177:$AL$177,1,AA$4-Assumptions!$C$72)*'Unit Economics'!$H$53,0)</f>
        <v>24.0810959284352</v>
      </c>
      <c r="AB39" s="8" t="n">
        <f aca="false">IF(AB$4-Assumptions!$C$72&gt;=1,INDEX('36-Month Forecast'!$C$180:$AL$180,1,AB$4-Assumptions!$C$72)+INDEX('36-Month Forecast'!$C$177:$AL$177,1,AB$4-Assumptions!$C$72)*'Unit Economics'!$H$53,0)</f>
        <v>22.1926310372053</v>
      </c>
      <c r="AC39" s="8" t="n">
        <f aca="false">IF(AC$4-Assumptions!$C$72&gt;=1,INDEX('36-Month Forecast'!$C$180:$AL$180,1,AC$4-Assumptions!$C$72)+INDEX('36-Month Forecast'!$C$177:$AL$177,1,AC$4-Assumptions!$C$72)*'Unit Economics'!$H$53,0)</f>
        <v>22.8584099683215</v>
      </c>
      <c r="AD39" s="8" t="n">
        <f aca="false">IF(AD$4-Assumptions!$C$72&gt;=1,INDEX('36-Month Forecast'!$C$180:$AL$180,1,AD$4-Assumptions!$C$72)+INDEX('36-Month Forecast'!$C$177:$AL$177,1,AD$4-Assumptions!$C$72)*'Unit Economics'!$H$53,0)</f>
        <v>26.0585873638865</v>
      </c>
      <c r="AE39" s="8" t="n">
        <f aca="false">IF(AE$4-Assumptions!$C$72&gt;=1,INDEX('36-Month Forecast'!$C$180:$AL$180,1,AE$4-Assumptions!$C$72)+INDEX('36-Month Forecast'!$C$177:$AL$177,1,AE$4-Assumptions!$C$72)*'Unit Economics'!$H$53,0)</f>
        <v>36.3723019415931</v>
      </c>
      <c r="AF39" s="8" t="n">
        <f aca="false">IF(AF$4-Assumptions!$C$72&gt;=1,INDEX('36-Month Forecast'!$C$180:$AL$180,1,AF$4-Assumptions!$C$72)+INDEX('36-Month Forecast'!$C$177:$AL$177,1,AF$4-Assumptions!$C$72)*'Unit Economics'!$H$53,0)</f>
        <v>38.5266613642875</v>
      </c>
      <c r="AG39" s="8" t="n">
        <f aca="false">IF(AG$4-Assumptions!$C$72&gt;=1,INDEX('36-Month Forecast'!$C$180:$AL$180,1,AG$4-Assumptions!$C$72)+INDEX('36-Month Forecast'!$C$177:$AL$177,1,AG$4-Assumptions!$C$72)*'Unit Economics'!$H$53,0)</f>
        <v>36.3862912884937</v>
      </c>
      <c r="AH39" s="8" t="n">
        <f aca="false">IF(AH$4-Assumptions!$C$72&gt;=1,INDEX('36-Month Forecast'!$C$180:$AL$180,1,AH$4-Assumptions!$C$72)+INDEX('36-Month Forecast'!$C$177:$AL$177,1,AH$4-Assumptions!$C$72)*'Unit Economics'!$H$53,0)</f>
        <v>26.7220923222698</v>
      </c>
      <c r="AI39" s="8" t="n">
        <f aca="false">IF(AI$4-Assumptions!$C$72&gt;=1,INDEX('36-Month Forecast'!$C$180:$AL$180,1,AI$4-Assumptions!$C$72)+INDEX('36-Month Forecast'!$C$177:$AL$177,1,AI$4-Assumptions!$C$72)*'Unit Economics'!$H$53,0)</f>
        <v>30.2850379652391</v>
      </c>
      <c r="AJ39" s="8" t="n">
        <f aca="false">IF(AJ$4-Assumptions!$C$72&gt;=1,INDEX('36-Month Forecast'!$C$180:$AL$180,1,AJ$4-Assumptions!$C$72)+INDEX('36-Month Forecast'!$C$177:$AL$177,1,AJ$4-Assumptions!$C$72)*'Unit Economics'!$H$53,0)</f>
        <v>32.4352756607711</v>
      </c>
      <c r="AK39" s="8" t="n">
        <f aca="false">IF(AK$4-Assumptions!$C$72&gt;=1,INDEX('36-Month Forecast'!$C$180:$AL$180,1,AK$4-Assumptions!$C$72)+INDEX('36-Month Forecast'!$C$177:$AL$177,1,AK$4-Assumptions!$C$72)*'Unit Economics'!$H$53,0)</f>
        <v>29.933125824083</v>
      </c>
      <c r="AL39" s="8" t="n">
        <f aca="false">IF(AL$4-Assumptions!$C$72&gt;=1,INDEX('36-Month Forecast'!$C$180:$AL$180,1,AL$4-Assumptions!$C$72)+INDEX('36-Month Forecast'!$C$177:$AL$177,1,AL$4-Assumptions!$C$72)*'Unit Economics'!$H$53,0)</f>
        <v>32.1387245690155</v>
      </c>
      <c r="AM39" s="45" t="n">
        <f aca="false">SUMIF($C$6:$AL$6,1,C39:AL39)</f>
        <v>64.3147019728462</v>
      </c>
      <c r="AN39" s="45" t="n">
        <f aca="false">SUMIF($C$6:$AL$6,2,C39:AL39)</f>
        <v>259.802532233719</v>
      </c>
      <c r="AO39" s="45" t="n">
        <f aca="false">SUMIF($C$6:$AL$6,3,C39:AL39)</f>
        <v>357.990235233601</v>
      </c>
      <c r="AP39" s="45" t="n">
        <f aca="false">SUM(C39:AL39)</f>
        <v>682.107469440166</v>
      </c>
    </row>
    <row r="40" customFormat="false" ht="15" hidden="false" customHeight="false" outlineLevel="0" collapsed="false">
      <c r="A40" s="7" t="s">
        <v>805</v>
      </c>
      <c r="C40" s="8" t="n">
        <f aca="false">IF(C$4-Assumptions!$C$73&gt;=1,INDEX('36-Month Forecast'!$C$190:$AL$190,1,C$4-Assumptions!$C$73)+INDEX('36-Month Forecast'!$C$187:$AL$187,1,C$4-Assumptions!$C$73)*'Unit Economics'!$H$54,0)</f>
        <v>-0</v>
      </c>
      <c r="D40" s="8" t="n">
        <f aca="false">IF(D$4-Assumptions!$C$73&gt;=1,INDEX('36-Month Forecast'!$C$190:$AL$190,1,D$4-Assumptions!$C$73)+INDEX('36-Month Forecast'!$C$187:$AL$187,1,D$4-Assumptions!$C$73)*'Unit Economics'!$H$54,0)</f>
        <v>-0</v>
      </c>
      <c r="E40" s="8" t="n">
        <f aca="false">IF(E$4-Assumptions!$C$73&gt;=1,INDEX('36-Month Forecast'!$C$190:$AL$190,1,E$4-Assumptions!$C$73)+INDEX('36-Month Forecast'!$C$187:$AL$187,1,E$4-Assumptions!$C$73)*'Unit Economics'!$H$54,0)</f>
        <v>0</v>
      </c>
      <c r="F40" s="8" t="n">
        <f aca="false">IF(F$4-Assumptions!$C$73&gt;=1,INDEX('36-Month Forecast'!$C$190:$AL$190,1,F$4-Assumptions!$C$73)+INDEX('36-Month Forecast'!$C$187:$AL$187,1,F$4-Assumptions!$C$73)*'Unit Economics'!$H$54,0)</f>
        <v>3.771658469376</v>
      </c>
      <c r="G40" s="8" t="n">
        <f aca="false">IF(G$4-Assumptions!$C$73&gt;=1,INDEX('36-Month Forecast'!$C$190:$AL$190,1,G$4-Assumptions!$C$73)+INDEX('36-Month Forecast'!$C$187:$AL$187,1,G$4-Assumptions!$C$73)*'Unit Economics'!$H$54,0)</f>
        <v>6.08293077940962</v>
      </c>
      <c r="H40" s="8" t="n">
        <f aca="false">IF(H$4-Assumptions!$C$73&gt;=1,INDEX('36-Month Forecast'!$C$190:$AL$190,1,H$4-Assumptions!$C$73)+INDEX('36-Month Forecast'!$C$187:$AL$187,1,H$4-Assumptions!$C$73)*'Unit Economics'!$H$54,0)</f>
        <v>11.3548041215646</v>
      </c>
      <c r="I40" s="8" t="n">
        <f aca="false">IF(I$4-Assumptions!$C$73&gt;=1,INDEX('36-Month Forecast'!$C$190:$AL$190,1,I$4-Assumptions!$C$73)+INDEX('36-Month Forecast'!$C$187:$AL$187,1,I$4-Assumptions!$C$73)*'Unit Economics'!$H$54,0)</f>
        <v>17.8043328626133</v>
      </c>
      <c r="J40" s="8" t="n">
        <f aca="false">IF(J$4-Assumptions!$C$73&gt;=1,INDEX('36-Month Forecast'!$C$190:$AL$190,1,J$4-Assumptions!$C$73)+INDEX('36-Month Forecast'!$C$187:$AL$187,1,J$4-Assumptions!$C$73)*'Unit Economics'!$H$54,0)</f>
        <v>22.5521549593102</v>
      </c>
      <c r="K40" s="8" t="n">
        <f aca="false">IF(K$4-Assumptions!$C$73&gt;=1,INDEX('36-Month Forecast'!$C$190:$AL$190,1,K$4-Assumptions!$C$73)+INDEX('36-Month Forecast'!$C$187:$AL$187,1,K$4-Assumptions!$C$73)*'Unit Economics'!$H$54,0)</f>
        <v>31.9053644898031</v>
      </c>
      <c r="L40" s="8" t="n">
        <f aca="false">IF(L$4-Assumptions!$C$73&gt;=1,INDEX('36-Month Forecast'!$C$190:$AL$190,1,L$4-Assumptions!$C$73)+INDEX('36-Month Forecast'!$C$187:$AL$187,1,L$4-Assumptions!$C$73)*'Unit Economics'!$H$54,0)</f>
        <v>33.9473078171505</v>
      </c>
      <c r="M40" s="8" t="n">
        <f aca="false">IF(M$4-Assumptions!$C$73&gt;=1,INDEX('36-Month Forecast'!$C$190:$AL$190,1,M$4-Assumptions!$C$73)+INDEX('36-Month Forecast'!$C$187:$AL$187,1,M$4-Assumptions!$C$73)*'Unit Economics'!$H$54,0)</f>
        <v>34.0187758336076</v>
      </c>
      <c r="N40" s="8" t="n">
        <f aca="false">IF(N$4-Assumptions!$C$73&gt;=1,INDEX('36-Month Forecast'!$C$190:$AL$190,1,N$4-Assumptions!$C$73)+INDEX('36-Month Forecast'!$C$187:$AL$187,1,N$4-Assumptions!$C$73)*'Unit Economics'!$H$54,0)</f>
        <v>38.1010289336406</v>
      </c>
      <c r="O40" s="8" t="n">
        <f aca="false">IF(O$4-Assumptions!$C$73&gt;=1,INDEX('36-Month Forecast'!$C$190:$AL$190,1,O$4-Assumptions!$C$73)+INDEX('36-Month Forecast'!$C$187:$AL$187,1,O$4-Assumptions!$C$73)*'Unit Economics'!$H$54,0)</f>
        <v>45.1385131013836</v>
      </c>
      <c r="P40" s="8" t="n">
        <f aca="false">IF(P$4-Assumptions!$C$73&gt;=1,INDEX('36-Month Forecast'!$C$190:$AL$190,1,P$4-Assumptions!$C$73)+INDEX('36-Month Forecast'!$C$187:$AL$187,1,P$4-Assumptions!$C$73)*'Unit Economics'!$H$54,0)</f>
        <v>65.4746011091648</v>
      </c>
      <c r="Q40" s="8" t="n">
        <f aca="false">IF(Q$4-Assumptions!$C$73&gt;=1,INDEX('36-Month Forecast'!$C$190:$AL$190,1,Q$4-Assumptions!$C$73)+INDEX('36-Month Forecast'!$C$187:$AL$187,1,Q$4-Assumptions!$C$73)*'Unit Economics'!$H$54,0)</f>
        <v>72.0724262978576</v>
      </c>
      <c r="R40" s="8" t="n">
        <f aca="false">IF(R$4-Assumptions!$C$73&gt;=1,INDEX('36-Month Forecast'!$C$190:$AL$190,1,R$4-Assumptions!$C$73)+INDEX('36-Month Forecast'!$C$187:$AL$187,1,R$4-Assumptions!$C$73)*'Unit Economics'!$H$54,0)</f>
        <v>70.7377517367862</v>
      </c>
      <c r="S40" s="8" t="n">
        <f aca="false">IF(S$4-Assumptions!$C$73&gt;=1,INDEX('36-Month Forecast'!$C$190:$AL$190,1,S$4-Assumptions!$C$73)+INDEX('36-Month Forecast'!$C$187:$AL$187,1,S$4-Assumptions!$C$73)*'Unit Economics'!$H$54,0)</f>
        <v>53.9870521255152</v>
      </c>
      <c r="T40" s="8" t="n">
        <f aca="false">IF(T$4-Assumptions!$C$73&gt;=1,INDEX('36-Month Forecast'!$C$190:$AL$190,1,T$4-Assumptions!$C$73)+INDEX('36-Month Forecast'!$C$187:$AL$187,1,T$4-Assumptions!$C$73)*'Unit Economics'!$H$54,0)</f>
        <v>63.5847502811623</v>
      </c>
      <c r="U40" s="8" t="n">
        <f aca="false">IF(U$4-Assumptions!$C$73&gt;=1,INDEX('36-Month Forecast'!$C$190:$AL$190,1,U$4-Assumptions!$C$73)+INDEX('36-Month Forecast'!$C$187:$AL$187,1,U$4-Assumptions!$C$73)*'Unit Economics'!$H$54,0)</f>
        <v>70.7698270629337</v>
      </c>
      <c r="V40" s="8" t="n">
        <f aca="false">IF(V$4-Assumptions!$C$73&gt;=1,INDEX('36-Month Forecast'!$C$190:$AL$190,1,V$4-Assumptions!$C$73)+INDEX('36-Month Forecast'!$C$187:$AL$187,1,V$4-Assumptions!$C$73)*'Unit Economics'!$H$54,0)</f>
        <v>67.8716341451183</v>
      </c>
      <c r="W40" s="8" t="n">
        <f aca="false">IF(W$4-Assumptions!$C$73&gt;=1,INDEX('36-Month Forecast'!$C$190:$AL$190,1,W$4-Assumptions!$C$73)+INDEX('36-Month Forecast'!$C$187:$AL$187,1,W$4-Assumptions!$C$73)*'Unit Economics'!$H$54,0)</f>
        <v>75.7304549408689</v>
      </c>
      <c r="X40" s="8" t="n">
        <f aca="false">IF(X$4-Assumptions!$C$73&gt;=1,INDEX('36-Month Forecast'!$C$190:$AL$190,1,X$4-Assumptions!$C$73)+INDEX('36-Month Forecast'!$C$187:$AL$187,1,X$4-Assumptions!$C$73)*'Unit Economics'!$H$54,0)</f>
        <v>76.2605681254549</v>
      </c>
      <c r="Y40" s="8" t="n">
        <f aca="false">IF(Y$4-Assumptions!$C$73&gt;=1,INDEX('36-Month Forecast'!$C$190:$AL$190,1,Y$4-Assumptions!$C$73)+INDEX('36-Month Forecast'!$C$187:$AL$187,1,Y$4-Assumptions!$C$73)*'Unit Economics'!$H$54,0)</f>
        <v>72.3271282958262</v>
      </c>
      <c r="Z40" s="8" t="n">
        <f aca="false">IF(Z$4-Assumptions!$C$73&gt;=1,INDEX('36-Month Forecast'!$C$190:$AL$190,1,Z$4-Assumptions!$C$73)+INDEX('36-Month Forecast'!$C$187:$AL$187,1,Z$4-Assumptions!$C$73)*'Unit Economics'!$H$54,0)</f>
        <v>76.6667559935758</v>
      </c>
      <c r="AA40" s="8" t="n">
        <f aca="false">IF(AA$4-Assumptions!$C$73&gt;=1,INDEX('36-Month Forecast'!$C$190:$AL$190,1,AA$4-Assumptions!$C$73)+INDEX('36-Month Forecast'!$C$187:$AL$187,1,AA$4-Assumptions!$C$73)*'Unit Economics'!$H$54,0)</f>
        <v>88.256965576134</v>
      </c>
      <c r="AB40" s="8" t="n">
        <f aca="false">IF(AB$4-Assumptions!$C$73&gt;=1,INDEX('36-Month Forecast'!$C$190:$AL$190,1,AB$4-Assumptions!$C$73)+INDEX('36-Month Forecast'!$C$187:$AL$187,1,AB$4-Assumptions!$C$73)*'Unit Economics'!$H$54,0)</f>
        <v>124.395870427835</v>
      </c>
      <c r="AC40" s="8" t="n">
        <f aca="false">IF(AC$4-Assumptions!$C$73&gt;=1,INDEX('36-Month Forecast'!$C$190:$AL$190,1,AC$4-Assumptions!$C$73)+INDEX('36-Month Forecast'!$C$187:$AL$187,1,AC$4-Assumptions!$C$73)*'Unit Economics'!$H$54,0)</f>
        <v>133.055736792235</v>
      </c>
      <c r="AD40" s="8" t="n">
        <f aca="false">IF(AD$4-Assumptions!$C$73&gt;=1,INDEX('36-Month Forecast'!$C$190:$AL$190,1,AD$4-Assumptions!$C$73)+INDEX('36-Month Forecast'!$C$187:$AL$187,1,AD$4-Assumptions!$C$73)*'Unit Economics'!$H$54,0)</f>
        <v>126.895748977779</v>
      </c>
      <c r="AE40" s="8" t="n">
        <f aca="false">IF(AE$4-Assumptions!$C$73&gt;=1,INDEX('36-Month Forecast'!$C$190:$AL$190,1,AE$4-Assumptions!$C$73)+INDEX('36-Month Forecast'!$C$187:$AL$187,1,AE$4-Assumptions!$C$73)*'Unit Economics'!$H$54,0)</f>
        <v>94.1058874419211</v>
      </c>
      <c r="AF40" s="8" t="n">
        <f aca="false">IF(AF$4-Assumptions!$C$73&gt;=1,INDEX('36-Month Forecast'!$C$190:$AL$190,1,AF$4-Assumptions!$C$73)+INDEX('36-Month Forecast'!$C$187:$AL$187,1,AF$4-Assumptions!$C$73)*'Unit Economics'!$H$54,0)</f>
        <v>107.698960072421</v>
      </c>
      <c r="AG40" s="8" t="n">
        <f aca="false">IF(AG$4-Assumptions!$C$73&gt;=1,INDEX('36-Month Forecast'!$C$190:$AL$190,1,AG$4-Assumptions!$C$73)+INDEX('36-Month Forecast'!$C$187:$AL$187,1,AG$4-Assumptions!$C$73)*'Unit Economics'!$H$54,0)</f>
        <v>116.476425318323</v>
      </c>
      <c r="AH40" s="8" t="n">
        <f aca="false">IF(AH$4-Assumptions!$C$73&gt;=1,INDEX('36-Month Forecast'!$C$190:$AL$190,1,AH$4-Assumptions!$C$73)+INDEX('36-Month Forecast'!$C$187:$AL$187,1,AH$4-Assumptions!$C$73)*'Unit Economics'!$H$54,0)</f>
        <v>108.54493540379</v>
      </c>
      <c r="AI40" s="8" t="n">
        <f aca="false">IF(AI$4-Assumptions!$C$73&gt;=1,INDEX('36-Month Forecast'!$C$190:$AL$190,1,AI$4-Assumptions!$C$73)+INDEX('36-Month Forecast'!$C$187:$AL$187,1,AI$4-Assumptions!$C$73)*'Unit Economics'!$H$54,0)</f>
        <v>117.685561543056</v>
      </c>
      <c r="AJ40" s="8" t="n">
        <f aca="false">IF(AJ$4-Assumptions!$C$73&gt;=1,INDEX('36-Month Forecast'!$C$190:$AL$190,1,AJ$4-Assumptions!$C$73)+INDEX('36-Month Forecast'!$C$187:$AL$187,1,AJ$4-Assumptions!$C$73)*'Unit Economics'!$H$54,0)</f>
        <v>115.15532196988</v>
      </c>
      <c r="AK40" s="8" t="n">
        <f aca="false">IF(AK$4-Assumptions!$C$73&gt;=1,INDEX('36-Month Forecast'!$C$190:$AL$190,1,AK$4-Assumptions!$C$73)+INDEX('36-Month Forecast'!$C$187:$AL$187,1,AK$4-Assumptions!$C$73)*'Unit Economics'!$H$54,0)</f>
        <v>106.124720404874</v>
      </c>
      <c r="AL40" s="8" t="n">
        <f aca="false">IF(AL$4-Assumptions!$C$73&gt;=1,INDEX('36-Month Forecast'!$C$190:$AL$190,1,AL$4-Assumptions!$C$73)+INDEX('36-Month Forecast'!$C$187:$AL$187,1,AL$4-Assumptions!$C$73)*'Unit Economics'!$H$54,0)</f>
        <v>109.30846201702</v>
      </c>
      <c r="AM40" s="45" t="n">
        <f aca="false">SUMIF($C$6:$AL$6,1,C40:AL40)</f>
        <v>199.538358266476</v>
      </c>
      <c r="AN40" s="45" t="n">
        <f aca="false">SUMIF($C$6:$AL$6,2,C40:AL40)</f>
        <v>810.621463215648</v>
      </c>
      <c r="AO40" s="45" t="n">
        <f aca="false">SUMIF($C$6:$AL$6,3,C40:AL40)</f>
        <v>1347.70459594527</v>
      </c>
      <c r="AP40" s="45" t="n">
        <f aca="false">SUM(C40:AL40)</f>
        <v>2357.86441742739</v>
      </c>
    </row>
    <row r="41" customFormat="false" ht="15" hidden="false" customHeight="false" outlineLevel="0" collapsed="false">
      <c r="A41" s="7" t="s">
        <v>806</v>
      </c>
      <c r="C41" s="8" t="n">
        <f aca="false">IF(C$4-Assumptions!$C$74&gt;=1,INDEX('36-Month Forecast'!$C$200:$AL$200,1,C$4-Assumptions!$C$74)+INDEX('36-Month Forecast'!$C$197:$AL$197,1,C$4-Assumptions!$C$74)*'Unit Economics'!$H$55,0)</f>
        <v>-0</v>
      </c>
      <c r="D41" s="8" t="n">
        <f aca="false">IF(D$4-Assumptions!$C$74&gt;=1,INDEX('36-Month Forecast'!$C$200:$AL$200,1,D$4-Assumptions!$C$74)+INDEX('36-Month Forecast'!$C$197:$AL$197,1,D$4-Assumptions!$C$74)*'Unit Economics'!$H$55,0)</f>
        <v>-0</v>
      </c>
      <c r="E41" s="8" t="n">
        <f aca="false">IF(E$4-Assumptions!$C$74&gt;=1,INDEX('36-Month Forecast'!$C$200:$AL$200,1,E$4-Assumptions!$C$74)+INDEX('36-Month Forecast'!$C$197:$AL$197,1,E$4-Assumptions!$C$74)*'Unit Economics'!$H$55,0)</f>
        <v>0</v>
      </c>
      <c r="F41" s="8" t="n">
        <f aca="false">IF(F$4-Assumptions!$C$74&gt;=1,INDEX('36-Month Forecast'!$C$200:$AL$200,1,F$4-Assumptions!$C$74)+INDEX('36-Month Forecast'!$C$197:$AL$197,1,F$4-Assumptions!$C$74)*'Unit Economics'!$H$55,0)</f>
        <v>1.17538316572342</v>
      </c>
      <c r="G41" s="8" t="n">
        <f aca="false">IF(G$4-Assumptions!$C$74&gt;=1,INDEX('36-Month Forecast'!$C$200:$AL$200,1,G$4-Assumptions!$C$74)+INDEX('36-Month Forecast'!$C$197:$AL$197,1,G$4-Assumptions!$C$74)*'Unit Economics'!$H$55,0)</f>
        <v>2.4852657669987</v>
      </c>
      <c r="H41" s="8" t="n">
        <f aca="false">IF(H$4-Assumptions!$C$74&gt;=1,INDEX('36-Month Forecast'!$C$200:$AL$200,1,H$4-Assumptions!$C$74)+INDEX('36-Month Forecast'!$C$197:$AL$197,1,H$4-Assumptions!$C$74)*'Unit Economics'!$H$55,0)</f>
        <v>5.24932343274813</v>
      </c>
      <c r="I41" s="8" t="n">
        <f aca="false">IF(I$4-Assumptions!$C$74&gt;=1,INDEX('36-Month Forecast'!$C$200:$AL$200,1,I$4-Assumptions!$C$74)+INDEX('36-Month Forecast'!$C$197:$AL$197,1,I$4-Assumptions!$C$74)*'Unit Economics'!$H$55,0)</f>
        <v>9.39382998006768</v>
      </c>
      <c r="J41" s="8" t="n">
        <f aca="false">IF(J$4-Assumptions!$C$74&gt;=1,INDEX('36-Month Forecast'!$C$200:$AL$200,1,J$4-Assumptions!$C$74)+INDEX('36-Month Forecast'!$C$197:$AL$197,1,J$4-Assumptions!$C$74)*'Unit Economics'!$H$55,0)</f>
        <v>13.4168978592251</v>
      </c>
      <c r="K41" s="8" t="n">
        <f aca="false">IF(K$4-Assumptions!$C$74&gt;=1,INDEX('36-Month Forecast'!$C$200:$AL$200,1,K$4-Assumptions!$C$74)+INDEX('36-Month Forecast'!$C$197:$AL$197,1,K$4-Assumptions!$C$74)*'Unit Economics'!$H$55,0)</f>
        <v>20.489658270283</v>
      </c>
      <c r="L41" s="8" t="n">
        <f aca="false">IF(L$4-Assumptions!$C$74&gt;=1,INDEX('36-Month Forecast'!$C$200:$AL$200,1,L$4-Assumptions!$C$74)+INDEX('36-Month Forecast'!$C$197:$AL$197,1,L$4-Assumptions!$C$74)*'Unit Economics'!$H$55,0)</f>
        <v>23.4276121187872</v>
      </c>
      <c r="M41" s="8" t="n">
        <f aca="false">IF(M$4-Assumptions!$C$74&gt;=1,INDEX('36-Month Forecast'!$C$200:$AL$200,1,M$4-Assumptions!$C$74)+INDEX('36-Month Forecast'!$C$197:$AL$197,1,M$4-Assumptions!$C$74)*'Unit Economics'!$H$55,0)</f>
        <v>24.6933135236623</v>
      </c>
      <c r="N41" s="8" t="n">
        <f aca="false">IF(N$4-Assumptions!$C$74&gt;=1,INDEX('36-Month Forecast'!$C$200:$AL$200,1,N$4-Assumptions!$C$74)+INDEX('36-Month Forecast'!$C$197:$AL$197,1,N$4-Assumptions!$C$74)*'Unit Economics'!$H$55,0)</f>
        <v>28.3594649419697</v>
      </c>
      <c r="O41" s="8" t="n">
        <f aca="false">IF(O$4-Assumptions!$C$74&gt;=1,INDEX('36-Month Forecast'!$C$200:$AL$200,1,O$4-Assumptions!$C$74)+INDEX('36-Month Forecast'!$C$197:$AL$197,1,O$4-Assumptions!$C$74)*'Unit Economics'!$H$55,0)</f>
        <v>36.2513072614187</v>
      </c>
      <c r="P41" s="8" t="n">
        <f aca="false">IF(P$4-Assumptions!$C$74&gt;=1,INDEX('36-Month Forecast'!$C$200:$AL$200,1,P$4-Assumptions!$C$74)+INDEX('36-Month Forecast'!$C$197:$AL$197,1,P$4-Assumptions!$C$74)*'Unit Economics'!$H$55,0)</f>
        <v>56.9851253839596</v>
      </c>
      <c r="Q41" s="8" t="n">
        <f aca="false">IF(Q$4-Assumptions!$C$74&gt;=1,INDEX('36-Month Forecast'!$C$200:$AL$200,1,Q$4-Assumptions!$C$74)+INDEX('36-Month Forecast'!$C$197:$AL$197,1,Q$4-Assumptions!$C$74)*'Unit Economics'!$H$55,0)</f>
        <v>70.4738448677593</v>
      </c>
      <c r="R41" s="8" t="n">
        <f aca="false">IF(R$4-Assumptions!$C$74&gt;=1,INDEX('36-Month Forecast'!$C$200:$AL$200,1,R$4-Assumptions!$C$74)+INDEX('36-Month Forecast'!$C$197:$AL$197,1,R$4-Assumptions!$C$74)*'Unit Economics'!$H$55,0)</f>
        <v>76.643736228024</v>
      </c>
      <c r="S41" s="8" t="n">
        <f aca="false">IF(S$4-Assumptions!$C$74&gt;=1,INDEX('36-Month Forecast'!$C$200:$AL$200,1,S$4-Assumptions!$C$74)+INDEX('36-Month Forecast'!$C$197:$AL$197,1,S$4-Assumptions!$C$74)*'Unit Economics'!$H$55,0)</f>
        <v>63.0617985899987</v>
      </c>
      <c r="T41" s="8" t="n">
        <f aca="false">IF(T$4-Assumptions!$C$74&gt;=1,INDEX('36-Month Forecast'!$C$200:$AL$200,1,T$4-Assumptions!$C$74)+INDEX('36-Month Forecast'!$C$197:$AL$197,1,T$4-Assumptions!$C$74)*'Unit Economics'!$H$55,0)</f>
        <v>76.3714880152831</v>
      </c>
      <c r="U41" s="8" t="n">
        <f aca="false">IF(U$4-Assumptions!$C$74&gt;=1,INDEX('36-Month Forecast'!$C$200:$AL$200,1,U$4-Assumptions!$C$74)+INDEX('36-Month Forecast'!$C$197:$AL$197,1,U$4-Assumptions!$C$74)*'Unit Economics'!$H$55,0)</f>
        <v>88.0463907100939</v>
      </c>
      <c r="V41" s="8" t="n">
        <f aca="false">IF(V$4-Assumptions!$C$74&gt;=1,INDEX('36-Month Forecast'!$C$200:$AL$200,1,V$4-Assumptions!$C$74)+INDEX('36-Month Forecast'!$C$197:$AL$197,1,V$4-Assumptions!$C$74)*'Unit Economics'!$H$55,0)</f>
        <v>87.5539969484482</v>
      </c>
      <c r="W41" s="8" t="n">
        <f aca="false">IF(W$4-Assumptions!$C$74&gt;=1,INDEX('36-Month Forecast'!$C$200:$AL$200,1,W$4-Assumptions!$C$74)+INDEX('36-Month Forecast'!$C$197:$AL$197,1,W$4-Assumptions!$C$74)*'Unit Economics'!$H$55,0)</f>
        <v>99.9197054407522</v>
      </c>
      <c r="X41" s="8" t="n">
        <f aca="false">IF(X$4-Assumptions!$C$74&gt;=1,INDEX('36-Month Forecast'!$C$200:$AL$200,1,X$4-Assumptions!$C$74)+INDEX('36-Month Forecast'!$C$197:$AL$197,1,X$4-Assumptions!$C$74)*'Unit Economics'!$H$55,0)</f>
        <v>103.152476323363</v>
      </c>
      <c r="Y41" s="8" t="n">
        <f aca="false">IF(Y$4-Assumptions!$C$74&gt;=1,INDEX('36-Month Forecast'!$C$200:$AL$200,1,Y$4-Assumptions!$C$74)+INDEX('36-Month Forecast'!$C$197:$AL$197,1,Y$4-Assumptions!$C$74)*'Unit Economics'!$H$55,0)</f>
        <v>99.575203625006</v>
      </c>
      <c r="Z41" s="8" t="n">
        <f aca="false">IF(Z$4-Assumptions!$C$74&gt;=1,INDEX('36-Month Forecast'!$C$200:$AL$200,1,Z$4-Assumptions!$C$74)+INDEX('36-Month Forecast'!$C$197:$AL$197,1,Z$4-Assumptions!$C$74)*'Unit Economics'!$H$55,0)</f>
        <v>106.270388160991</v>
      </c>
      <c r="AA41" s="8" t="n">
        <f aca="false">IF(AA$4-Assumptions!$C$74&gt;=1,INDEX('36-Month Forecast'!$C$200:$AL$200,1,AA$4-Assumptions!$C$74)+INDEX('36-Month Forecast'!$C$197:$AL$197,1,AA$4-Assumptions!$C$74)*'Unit Economics'!$H$55,0)</f>
        <v>126.658154243522</v>
      </c>
      <c r="AB41" s="8" t="n">
        <f aca="false">IF(AB$4-Assumptions!$C$74&gt;=1,INDEX('36-Month Forecast'!$C$200:$AL$200,1,AB$4-Assumptions!$C$74)+INDEX('36-Month Forecast'!$C$197:$AL$197,1,AB$4-Assumptions!$C$74)*'Unit Economics'!$H$55,0)</f>
        <v>185.917330701632</v>
      </c>
      <c r="AC41" s="8" t="n">
        <f aca="false">IF(AC$4-Assumptions!$C$74&gt;=1,INDEX('36-Month Forecast'!$C$200:$AL$200,1,AC$4-Assumptions!$C$74)+INDEX('36-Month Forecast'!$C$197:$AL$197,1,AC$4-Assumptions!$C$74)*'Unit Economics'!$H$55,0)</f>
        <v>212.365758227445</v>
      </c>
      <c r="AD41" s="8" t="n">
        <f aca="false">IF(AD$4-Assumptions!$C$74&gt;=1,INDEX('36-Month Forecast'!$C$200:$AL$200,1,AD$4-Assumptions!$C$74)+INDEX('36-Month Forecast'!$C$197:$AL$197,1,AD$4-Assumptions!$C$74)*'Unit Economics'!$H$55,0)</f>
        <v>215.619140906285</v>
      </c>
      <c r="AE41" s="8" t="n">
        <f aca="false">IF(AE$4-Assumptions!$C$74&gt;=1,INDEX('36-Month Forecast'!$C$200:$AL$200,1,AE$4-Assumptions!$C$74)+INDEX('36-Month Forecast'!$C$197:$AL$197,1,AE$4-Assumptions!$C$74)*'Unit Economics'!$H$55,0)</f>
        <v>167.946499027848</v>
      </c>
      <c r="AF41" s="8" t="n">
        <f aca="false">IF(AF$4-Assumptions!$C$74&gt;=1,INDEX('36-Month Forecast'!$C$200:$AL$200,1,AF$4-Assumptions!$C$74)+INDEX('36-Month Forecast'!$C$197:$AL$197,1,AF$4-Assumptions!$C$74)*'Unit Economics'!$H$55,0)</f>
        <v>196.166442844437</v>
      </c>
      <c r="AG41" s="8" t="n">
        <f aca="false">IF(AG$4-Assumptions!$C$74&gt;=1,INDEX('36-Month Forecast'!$C$200:$AL$200,1,AG$4-Assumptions!$C$74)+INDEX('36-Month Forecast'!$C$197:$AL$197,1,AG$4-Assumptions!$C$74)*'Unit Economics'!$H$55,0)</f>
        <v>217.704916797625</v>
      </c>
      <c r="AH41" s="8" t="n">
        <f aca="false">IF(AH$4-Assumptions!$C$74&gt;=1,INDEX('36-Month Forecast'!$C$200:$AL$200,1,AH$4-Assumptions!$C$74)+INDEX('36-Month Forecast'!$C$197:$AL$197,1,AH$4-Assumptions!$C$74)*'Unit Economics'!$H$55,0)</f>
        <v>208.487832094237</v>
      </c>
      <c r="AI41" s="8" t="n">
        <f aca="false">IF(AI$4-Assumptions!$C$74&gt;=1,INDEX('36-Month Forecast'!$C$200:$AL$200,1,AI$4-Assumptions!$C$74)+INDEX('36-Month Forecast'!$C$197:$AL$197,1,AI$4-Assumptions!$C$74)*'Unit Economics'!$H$55,0)</f>
        <v>230.335591613771</v>
      </c>
      <c r="AJ41" s="8" t="n">
        <f aca="false">IF(AJ$4-Assumptions!$C$74&gt;=1,INDEX('36-Month Forecast'!$C$200:$AL$200,1,AJ$4-Assumptions!$C$74)+INDEX('36-Month Forecast'!$C$197:$AL$197,1,AJ$4-Assumptions!$C$74)*'Unit Economics'!$H$55,0)</f>
        <v>230.098566093337</v>
      </c>
      <c r="AK41" s="8" t="n">
        <f aca="false">IF(AK$4-Assumptions!$C$74&gt;=1,INDEX('36-Month Forecast'!$C$200:$AL$200,1,AK$4-Assumptions!$C$74)+INDEX('36-Month Forecast'!$C$197:$AL$197,1,AK$4-Assumptions!$C$74)*'Unit Economics'!$H$55,0)</f>
        <v>215.512906341488</v>
      </c>
      <c r="AL41" s="8" t="n">
        <f aca="false">IF(AL$4-Assumptions!$C$74&gt;=1,INDEX('36-Month Forecast'!$C$200:$AL$200,1,AL$4-Assumptions!$C$74)+INDEX('36-Month Forecast'!$C$197:$AL$197,1,AL$4-Assumptions!$C$74)*'Unit Economics'!$H$55,0)</f>
        <v>223.982422379678</v>
      </c>
      <c r="AM41" s="45" t="n">
        <f aca="false">SUMIF($C$6:$AL$6,1,C41:AL41)</f>
        <v>128.690749059465</v>
      </c>
      <c r="AN41" s="45" t="n">
        <f aca="false">SUMIF($C$6:$AL$6,2,C41:AL41)</f>
        <v>964.305461555097</v>
      </c>
      <c r="AO41" s="45" t="n">
        <f aca="false">SUMIF($C$6:$AL$6,3,C41:AL41)</f>
        <v>2430.79556127131</v>
      </c>
      <c r="AP41" s="45" t="n">
        <f aca="false">SUM(C41:AL41)</f>
        <v>3523.79177188587</v>
      </c>
    </row>
    <row r="42" customFormat="false" ht="15" hidden="false" customHeight="false" outlineLevel="0" collapsed="false">
      <c r="A42" s="7" t="s">
        <v>807</v>
      </c>
      <c r="C42" s="8" t="n">
        <f aca="false">IF(C$4-Assumptions!$C$75&gt;=1,INDEX('36-Month Forecast'!$C$210:$AL$210,1,C$4-Assumptions!$C$75)+INDEX('36-Month Forecast'!$C$207:$AL$207,1,C$4-Assumptions!$C$75)*'Unit Economics'!$H$56,0)</f>
        <v>-0</v>
      </c>
      <c r="D42" s="8" t="n">
        <f aca="false">IF(D$4-Assumptions!$C$75&gt;=1,INDEX('36-Month Forecast'!$C$210:$AL$210,1,D$4-Assumptions!$C$75)+INDEX('36-Month Forecast'!$C$207:$AL$207,1,D$4-Assumptions!$C$75)*'Unit Economics'!$H$56,0)</f>
        <v>-0</v>
      </c>
      <c r="E42" s="8" t="n">
        <f aca="false">IF(E$4-Assumptions!$C$75&gt;=1,INDEX('36-Month Forecast'!$C$210:$AL$210,1,E$4-Assumptions!$C$75)+INDEX('36-Month Forecast'!$C$207:$AL$207,1,E$4-Assumptions!$C$75)*'Unit Economics'!$H$56,0)</f>
        <v>-0</v>
      </c>
      <c r="F42" s="8" t="n">
        <f aca="false">IF(F$4-Assumptions!$C$75&gt;=1,INDEX('36-Month Forecast'!$C$210:$AL$210,1,F$4-Assumptions!$C$75)+INDEX('36-Month Forecast'!$C$207:$AL$207,1,F$4-Assumptions!$C$75)*'Unit Economics'!$H$56,0)</f>
        <v>0</v>
      </c>
      <c r="G42" s="8" t="n">
        <f aca="false">IF(G$4-Assumptions!$C$75&gt;=1,INDEX('36-Month Forecast'!$C$210:$AL$210,1,G$4-Assumptions!$C$75)+INDEX('36-Month Forecast'!$C$207:$AL$207,1,G$4-Assumptions!$C$75)*'Unit Economics'!$H$56,0)</f>
        <v>11.0007369</v>
      </c>
      <c r="H42" s="8" t="n">
        <f aca="false">IF(H$4-Assumptions!$C$75&gt;=1,INDEX('36-Month Forecast'!$C$210:$AL$210,1,H$4-Assumptions!$C$75)+INDEX('36-Month Forecast'!$C$207:$AL$207,1,H$4-Assumptions!$C$75)*'Unit Economics'!$H$56,0)</f>
        <v>25.91284692</v>
      </c>
      <c r="I42" s="8" t="n">
        <f aca="false">IF(I$4-Assumptions!$C$75&gt;=1,INDEX('36-Month Forecast'!$C$210:$AL$210,1,I$4-Assumptions!$C$75)+INDEX('36-Month Forecast'!$C$207:$AL$207,1,I$4-Assumptions!$C$75)*'Unit Economics'!$H$56,0)</f>
        <v>43.26149793294</v>
      </c>
      <c r="J42" s="8" t="n">
        <f aca="false">IF(J$4-Assumptions!$C$75&gt;=1,INDEX('36-Month Forecast'!$C$210:$AL$210,1,J$4-Assumptions!$C$75)+INDEX('36-Month Forecast'!$C$207:$AL$207,1,J$4-Assumptions!$C$75)*'Unit Economics'!$H$56,0)</f>
        <v>55.3197821186928</v>
      </c>
      <c r="K42" s="8" t="n">
        <f aca="false">IF(K$4-Assumptions!$C$75&gt;=1,INDEX('36-Month Forecast'!$C$210:$AL$210,1,K$4-Assumptions!$C$75)+INDEX('36-Month Forecast'!$C$207:$AL$207,1,K$4-Assumptions!$C$75)*'Unit Economics'!$H$56,0)</f>
        <v>77.1565382181768</v>
      </c>
      <c r="L42" s="8" t="n">
        <f aca="false">IF(L$4-Assumptions!$C$75&gt;=1,INDEX('36-Month Forecast'!$C$210:$AL$210,1,L$4-Assumptions!$C$75)+INDEX('36-Month Forecast'!$C$207:$AL$207,1,L$4-Assumptions!$C$75)*'Unit Economics'!$H$56,0)</f>
        <v>93.2359607828449</v>
      </c>
      <c r="M42" s="8" t="n">
        <f aca="false">IF(M$4-Assumptions!$C$75&gt;=1,INDEX('36-Month Forecast'!$C$210:$AL$210,1,M$4-Assumptions!$C$75)+INDEX('36-Month Forecast'!$C$207:$AL$207,1,M$4-Assumptions!$C$75)*'Unit Economics'!$H$56,0)</f>
        <v>88.4269480687823</v>
      </c>
      <c r="N42" s="8" t="n">
        <f aca="false">IF(N$4-Assumptions!$C$75&gt;=1,INDEX('36-Month Forecast'!$C$210:$AL$210,1,N$4-Assumptions!$C$75)+INDEX('36-Month Forecast'!$C$207:$AL$207,1,N$4-Assumptions!$C$75)*'Unit Economics'!$H$56,0)</f>
        <v>93.7325649529093</v>
      </c>
      <c r="O42" s="8" t="n">
        <f aca="false">IF(O$4-Assumptions!$C$75&gt;=1,INDEX('36-Month Forecast'!$C$210:$AL$210,1,O$4-Assumptions!$C$75)+INDEX('36-Month Forecast'!$C$207:$AL$207,1,O$4-Assumptions!$C$75)*'Unit Economics'!$H$56,0)</f>
        <v>108.950322557029</v>
      </c>
      <c r="P42" s="8" t="n">
        <f aca="false">IF(P$4-Assumptions!$C$75&gt;=1,INDEX('36-Month Forecast'!$C$210:$AL$210,1,P$4-Assumptions!$C$75)+INDEX('36-Month Forecast'!$C$207:$AL$207,1,P$4-Assumptions!$C$75)*'Unit Economics'!$H$56,0)</f>
        <v>155.053511681161</v>
      </c>
      <c r="Q42" s="8" t="n">
        <f aca="false">IF(Q$4-Assumptions!$C$75&gt;=1,INDEX('36-Month Forecast'!$C$210:$AL$210,1,Q$4-Assumptions!$C$75)+INDEX('36-Month Forecast'!$C$207:$AL$207,1,Q$4-Assumptions!$C$75)*'Unit Economics'!$H$56,0)</f>
        <v>167.457792615654</v>
      </c>
      <c r="R42" s="8" t="n">
        <f aca="false">IF(R$4-Assumptions!$C$75&gt;=1,INDEX('36-Month Forecast'!$C$210:$AL$210,1,R$4-Assumptions!$C$75)+INDEX('36-Month Forecast'!$C$207:$AL$207,1,R$4-Assumptions!$C$75)*'Unit Economics'!$H$56,0)</f>
        <v>161.255652148407</v>
      </c>
      <c r="S42" s="8" t="n">
        <f aca="false">IF(S$4-Assumptions!$C$75&gt;=1,INDEX('36-Month Forecast'!$C$210:$AL$210,1,S$4-Assumptions!$C$75)+INDEX('36-Month Forecast'!$C$207:$AL$207,1,S$4-Assumptions!$C$75)*'Unit Economics'!$H$56,0)</f>
        <v>120.748232328727</v>
      </c>
      <c r="T42" s="8" t="n">
        <f aca="false">IF(T$4-Assumptions!$C$75&gt;=1,INDEX('36-Month Forecast'!$C$210:$AL$210,1,T$4-Assumptions!$C$75)+INDEX('36-Month Forecast'!$C$207:$AL$207,1,T$4-Assumptions!$C$75)*'Unit Economics'!$H$56,0)</f>
        <v>139.531290690974</v>
      </c>
      <c r="U42" s="8" t="n">
        <f aca="false">IF(U$4-Assumptions!$C$75&gt;=1,INDEX('36-Month Forecast'!$C$210:$AL$210,1,U$4-Assumptions!$C$75)+INDEX('36-Month Forecast'!$C$207:$AL$207,1,U$4-Assumptions!$C$75)*'Unit Economics'!$H$56,0)</f>
        <v>152.368169434543</v>
      </c>
      <c r="V42" s="8" t="n">
        <f aca="false">IF(V$4-Assumptions!$C$75&gt;=1,INDEX('36-Month Forecast'!$C$210:$AL$210,1,V$4-Assumptions!$C$75)+INDEX('36-Month Forecast'!$C$207:$AL$207,1,V$4-Assumptions!$C$75)*'Unit Economics'!$H$56,0)</f>
        <v>143.371191810789</v>
      </c>
      <c r="W42" s="8" t="n">
        <f aca="false">IF(W$4-Assumptions!$C$75&gt;=1,INDEX('36-Month Forecast'!$C$210:$AL$210,1,W$4-Assumptions!$C$75)+INDEX('36-Month Forecast'!$C$207:$AL$207,1,W$4-Assumptions!$C$75)*'Unit Economics'!$H$56,0)</f>
        <v>156.953725771812</v>
      </c>
      <c r="X42" s="8" t="n">
        <f aca="false">IF(X$4-Assumptions!$C$75&gt;=1,INDEX('36-Month Forecast'!$C$210:$AL$210,1,X$4-Assumptions!$C$75)+INDEX('36-Month Forecast'!$C$207:$AL$207,1,X$4-Assumptions!$C$75)*'Unit Economics'!$H$56,0)</f>
        <v>155.07028106255</v>
      </c>
      <c r="Y42" s="8" t="n">
        <f aca="false">IF(Y$4-Assumptions!$C$75&gt;=1,INDEX('36-Month Forecast'!$C$210:$AL$210,1,Y$4-Assumptions!$C$75)+INDEX('36-Month Forecast'!$C$207:$AL$207,1,Y$4-Assumptions!$C$75)*'Unit Economics'!$H$56,0)</f>
        <v>144.296977325573</v>
      </c>
      <c r="Z42" s="8" t="n">
        <f aca="false">IF(Z$4-Assumptions!$C$75&gt;=1,INDEX('36-Month Forecast'!$C$210:$AL$210,1,Z$4-Assumptions!$C$75)+INDEX('36-Month Forecast'!$C$207:$AL$207,1,Z$4-Assumptions!$C$75)*'Unit Economics'!$H$56,0)</f>
        <v>150.068856418596</v>
      </c>
      <c r="AA42" s="8" t="n">
        <f aca="false">IF(AA$4-Assumptions!$C$75&gt;=1,INDEX('36-Month Forecast'!$C$210:$AL$210,1,AA$4-Assumptions!$C$75)+INDEX('36-Month Forecast'!$C$207:$AL$207,1,AA$4-Assumptions!$C$75)*'Unit Economics'!$H$56,0)</f>
        <v>171.078496317199</v>
      </c>
      <c r="AB42" s="8" t="n">
        <f aca="false">IF(AB$4-Assumptions!$C$75&gt;=1,INDEX('36-Month Forecast'!$C$210:$AL$210,1,AB$4-Assumptions!$C$75)+INDEX('36-Month Forecast'!$C$207:$AL$207,1,AB$4-Assumptions!$C$75)*'Unit Economics'!$H$56,0)</f>
        <v>238.789564333269</v>
      </c>
      <c r="AC42" s="8" t="n">
        <f aca="false">IF(AC$4-Assumptions!$C$75&gt;=1,INDEX('36-Month Forecast'!$C$210:$AL$210,1,AC$4-Assumptions!$C$75)+INDEX('36-Month Forecast'!$C$207:$AL$207,1,AC$4-Assumptions!$C$75)*'Unit Economics'!$H$56,0)</f>
        <v>252.933253913009</v>
      </c>
      <c r="AD42" s="8" t="n">
        <f aca="false">IF(AD$4-Assumptions!$C$75&gt;=1,INDEX('36-Month Forecast'!$C$210:$AL$210,1,AD$4-Assumptions!$C$75)+INDEX('36-Month Forecast'!$C$207:$AL$207,1,AD$4-Assumptions!$C$75)*'Unit Economics'!$H$56,0)</f>
        <v>238.881406473398</v>
      </c>
      <c r="AE42" s="8" t="n">
        <f aca="false">IF(AE$4-Assumptions!$C$75&gt;=1,INDEX('36-Month Forecast'!$C$210:$AL$210,1,AE$4-Assumptions!$C$75)+INDEX('36-Month Forecast'!$C$207:$AL$207,1,AE$4-Assumptions!$C$75)*'Unit Economics'!$H$56,0)</f>
        <v>175.434504914063</v>
      </c>
      <c r="AF42" s="8" t="n">
        <f aca="false">IF(AF$4-Assumptions!$C$75&gt;=1,INDEX('36-Month Forecast'!$C$210:$AL$210,1,AF$4-Assumptions!$C$75)+INDEX('36-Month Forecast'!$C$207:$AL$207,1,AF$4-Assumptions!$C$75)*'Unit Economics'!$H$56,0)</f>
        <v>198.825772235938</v>
      </c>
      <c r="AG42" s="8" t="n">
        <f aca="false">IF(AG$4-Assumptions!$C$75&gt;=1,INDEX('36-Month Forecast'!$C$210:$AL$210,1,AG$4-Assumptions!$C$75)+INDEX('36-Month Forecast'!$C$207:$AL$207,1,AG$4-Assumptions!$C$75)*'Unit Economics'!$H$56,0)</f>
        <v>212.94240206469</v>
      </c>
      <c r="AH42" s="8" t="n">
        <f aca="false">IF(AH$4-Assumptions!$C$75&gt;=1,INDEX('36-Month Forecast'!$C$210:$AL$210,1,AH$4-Assumptions!$C$75)+INDEX('36-Month Forecast'!$C$207:$AL$207,1,AH$4-Assumptions!$C$75)*'Unit Economics'!$H$56,0)</f>
        <v>196.515416762557</v>
      </c>
      <c r="AI42" s="8" t="n">
        <f aca="false">IF(AI$4-Assumptions!$C$75&gt;=1,INDEX('36-Month Forecast'!$C$210:$AL$210,1,AI$4-Assumptions!$C$75)+INDEX('36-Month Forecast'!$C$207:$AL$207,1,AI$4-Assumptions!$C$75)*'Unit Economics'!$H$56,0)</f>
        <v>210.995500102956</v>
      </c>
      <c r="AJ42" s="8" t="n">
        <f aca="false">IF(AJ$4-Assumptions!$C$75&gt;=1,INDEX('36-Month Forecast'!$C$210:$AL$210,1,AJ$4-Assumptions!$C$75)+INDEX('36-Month Forecast'!$C$207:$AL$207,1,AJ$4-Assumptions!$C$75)*'Unit Economics'!$H$56,0)</f>
        <v>204.454639599764</v>
      </c>
      <c r="AK42" s="8" t="n">
        <f aca="false">IF(AK$4-Assumptions!$C$75&gt;=1,INDEX('36-Month Forecast'!$C$210:$AL$210,1,AK$4-Assumptions!$C$75)+INDEX('36-Month Forecast'!$C$207:$AL$207,1,AK$4-Assumptions!$C$75)*'Unit Economics'!$H$56,0)</f>
        <v>186.591760561048</v>
      </c>
      <c r="AL42" s="8" t="n">
        <f aca="false">IF(AL$4-Assumptions!$C$75&gt;=1,INDEX('36-Month Forecast'!$C$210:$AL$210,1,AL$4-Assumptions!$C$75)+INDEX('36-Month Forecast'!$C$207:$AL$207,1,AL$4-Assumptions!$C$75)*'Unit Economics'!$H$56,0)</f>
        <v>190.323595772269</v>
      </c>
      <c r="AM42" s="45" t="n">
        <f aca="false">SUMIF($C$6:$AL$6,1,C42:AL42)</f>
        <v>488.046875894346</v>
      </c>
      <c r="AN42" s="45" t="n">
        <f aca="false">SUMIF($C$6:$AL$6,2,C42:AL42)</f>
        <v>1755.12600384581</v>
      </c>
      <c r="AO42" s="45" t="n">
        <f aca="false">SUMIF($C$6:$AL$6,3,C42:AL42)</f>
        <v>2477.76631305016</v>
      </c>
      <c r="AP42" s="45" t="n">
        <f aca="false">SUM(C42:AL42)</f>
        <v>4720.93919279032</v>
      </c>
    </row>
    <row r="43" customFormat="false" ht="15" hidden="false" customHeight="false" outlineLevel="0" collapsed="false">
      <c r="A43" s="7" t="s">
        <v>808</v>
      </c>
      <c r="C43" s="8" t="n">
        <f aca="false">IF(C$4-Assumptions!$C$76&gt;=1,INDEX('36-Month Forecast'!$C$220:$AL$220,1,C$4-Assumptions!$C$76)+INDEX('36-Month Forecast'!$C$217:$AL$217,1,C$4-Assumptions!$C$76)*'Unit Economics'!$H$57,0)</f>
        <v>0</v>
      </c>
      <c r="D43" s="8" t="n">
        <f aca="false">IF(D$4-Assumptions!$C$76&gt;=1,INDEX('36-Month Forecast'!$C$220:$AL$220,1,D$4-Assumptions!$C$76)+INDEX('36-Month Forecast'!$C$217:$AL$217,1,D$4-Assumptions!$C$76)*'Unit Economics'!$H$57,0)</f>
        <v>-0</v>
      </c>
      <c r="E43" s="8" t="n">
        <f aca="false">IF(E$4-Assumptions!$C$76&gt;=1,INDEX('36-Month Forecast'!$C$220:$AL$220,1,E$4-Assumptions!$C$76)+INDEX('36-Month Forecast'!$C$217:$AL$217,1,E$4-Assumptions!$C$76)*'Unit Economics'!$H$57,0)</f>
        <v>-0</v>
      </c>
      <c r="F43" s="8" t="n">
        <f aca="false">IF(F$4-Assumptions!$C$76&gt;=1,INDEX('36-Month Forecast'!$C$220:$AL$220,1,F$4-Assumptions!$C$76)+INDEX('36-Month Forecast'!$C$217:$AL$217,1,F$4-Assumptions!$C$76)*'Unit Economics'!$H$57,0)</f>
        <v>-0</v>
      </c>
      <c r="G43" s="8" t="n">
        <f aca="false">IF(G$4-Assumptions!$C$76&gt;=1,INDEX('36-Month Forecast'!$C$220:$AL$220,1,G$4-Assumptions!$C$76)+INDEX('36-Month Forecast'!$C$217:$AL$217,1,G$4-Assumptions!$C$76)*'Unit Economics'!$H$57,0)</f>
        <v>-0</v>
      </c>
      <c r="H43" s="8" t="n">
        <f aca="false">IF(H$4-Assumptions!$C$76&gt;=1,INDEX('36-Month Forecast'!$C$220:$AL$220,1,H$4-Assumptions!$C$76)+INDEX('36-Month Forecast'!$C$217:$AL$217,1,H$4-Assumptions!$C$76)*'Unit Economics'!$H$57,0)</f>
        <v>-0</v>
      </c>
      <c r="I43" s="8" t="n">
        <f aca="false">IF(I$4-Assumptions!$C$76&gt;=1,INDEX('36-Month Forecast'!$C$220:$AL$220,1,I$4-Assumptions!$C$76)+INDEX('36-Month Forecast'!$C$217:$AL$217,1,I$4-Assumptions!$C$76)*'Unit Economics'!$H$57,0)</f>
        <v>-0</v>
      </c>
      <c r="J43" s="8" t="n">
        <f aca="false">IF(J$4-Assumptions!$C$76&gt;=1,INDEX('36-Month Forecast'!$C$220:$AL$220,1,J$4-Assumptions!$C$76)+INDEX('36-Month Forecast'!$C$217:$AL$217,1,J$4-Assumptions!$C$76)*'Unit Economics'!$H$57,0)</f>
        <v>-0</v>
      </c>
      <c r="K43" s="8" t="n">
        <f aca="false">IF(K$4-Assumptions!$C$76&gt;=1,INDEX('36-Month Forecast'!$C$220:$AL$220,1,K$4-Assumptions!$C$76)+INDEX('36-Month Forecast'!$C$217:$AL$217,1,K$4-Assumptions!$C$76)*'Unit Economics'!$H$57,0)</f>
        <v>-0</v>
      </c>
      <c r="L43" s="8" t="n">
        <f aca="false">IF(L$4-Assumptions!$C$76&gt;=1,INDEX('36-Month Forecast'!$C$220:$AL$220,1,L$4-Assumptions!$C$76)+INDEX('36-Month Forecast'!$C$217:$AL$217,1,L$4-Assumptions!$C$76)*'Unit Economics'!$H$57,0)</f>
        <v>-0</v>
      </c>
      <c r="M43" s="8" t="n">
        <f aca="false">IF(M$4-Assumptions!$C$76&gt;=1,INDEX('36-Month Forecast'!$C$220:$AL$220,1,M$4-Assumptions!$C$76)+INDEX('36-Month Forecast'!$C$217:$AL$217,1,M$4-Assumptions!$C$76)*'Unit Economics'!$H$57,0)</f>
        <v>-0</v>
      </c>
      <c r="N43" s="8" t="n">
        <f aca="false">IF(N$4-Assumptions!$C$76&gt;=1,INDEX('36-Month Forecast'!$C$220:$AL$220,1,N$4-Assumptions!$C$76)+INDEX('36-Month Forecast'!$C$217:$AL$217,1,N$4-Assumptions!$C$76)*'Unit Economics'!$H$57,0)</f>
        <v>-0</v>
      </c>
      <c r="O43" s="8" t="n">
        <f aca="false">IF(O$4-Assumptions!$C$76&gt;=1,INDEX('36-Month Forecast'!$C$220:$AL$220,1,O$4-Assumptions!$C$76)+INDEX('36-Month Forecast'!$C$217:$AL$217,1,O$4-Assumptions!$C$76)*'Unit Economics'!$H$57,0)</f>
        <v>0</v>
      </c>
      <c r="P43" s="8" t="n">
        <f aca="false">IF(P$4-Assumptions!$C$76&gt;=1,INDEX('36-Month Forecast'!$C$220:$AL$220,1,P$4-Assumptions!$C$76)+INDEX('36-Month Forecast'!$C$217:$AL$217,1,P$4-Assumptions!$C$76)*'Unit Economics'!$H$57,0)</f>
        <v>39.332304</v>
      </c>
      <c r="Q43" s="8" t="n">
        <f aca="false">IF(Q$4-Assumptions!$C$76&gt;=1,INDEX('36-Month Forecast'!$C$220:$AL$220,1,Q$4-Assumptions!$C$76)+INDEX('36-Month Forecast'!$C$217:$AL$217,1,Q$4-Assumptions!$C$76)*'Unit Economics'!$H$57,0)</f>
        <v>69.4870704</v>
      </c>
      <c r="R43" s="8" t="n">
        <f aca="false">IF(R$4-Assumptions!$C$76&gt;=1,INDEX('36-Month Forecast'!$C$220:$AL$220,1,R$4-Assumptions!$C$76)+INDEX('36-Month Forecast'!$C$217:$AL$217,1,R$4-Assumptions!$C$76)*'Unit Economics'!$H$57,0)</f>
        <v>77.3391093552</v>
      </c>
      <c r="S43" s="8" t="n">
        <f aca="false">IF(S$4-Assumptions!$C$76&gt;=1,INDEX('36-Month Forecast'!$C$220:$AL$220,1,S$4-Assumptions!$C$76)+INDEX('36-Month Forecast'!$C$217:$AL$217,1,S$4-Assumptions!$C$76)*'Unit Economics'!$H$57,0)</f>
        <v>171.766479063168</v>
      </c>
      <c r="T43" s="8" t="n">
        <f aca="false">IF(T$4-Assumptions!$C$76&gt;=1,INDEX('36-Month Forecast'!$C$220:$AL$220,1,T$4-Assumptions!$C$76)+INDEX('36-Month Forecast'!$C$217:$AL$217,1,T$4-Assumptions!$C$76)*'Unit Economics'!$H$57,0)</f>
        <v>206.900531598816</v>
      </c>
      <c r="U43" s="8" t="n">
        <f aca="false">IF(U$4-Assumptions!$C$76&gt;=1,INDEX('36-Month Forecast'!$C$220:$AL$220,1,U$4-Assumptions!$C$76)+INDEX('36-Month Forecast'!$C$217:$AL$217,1,U$4-Assumptions!$C$76)*'Unit Economics'!$H$57,0)</f>
        <v>263.177476193694</v>
      </c>
      <c r="V43" s="8" t="n">
        <f aca="false">IF(V$4-Assumptions!$C$76&gt;=1,INDEX('36-Month Forecast'!$C$220:$AL$220,1,V$4-Assumptions!$C$76)+INDEX('36-Month Forecast'!$C$217:$AL$217,1,V$4-Assumptions!$C$76)*'Unit Economics'!$H$57,0)</f>
        <v>251.071312288784</v>
      </c>
      <c r="W43" s="8" t="n">
        <f aca="false">IF(W$4-Assumptions!$C$76&gt;=1,INDEX('36-Month Forecast'!$C$220:$AL$220,1,W$4-Assumptions!$C$76)+INDEX('36-Month Forecast'!$C$217:$AL$217,1,W$4-Assumptions!$C$76)*'Unit Economics'!$H$57,0)</f>
        <v>206.994348575864</v>
      </c>
      <c r="X43" s="8" t="n">
        <f aca="false">IF(X$4-Assumptions!$C$76&gt;=1,INDEX('36-Month Forecast'!$C$220:$AL$220,1,X$4-Assumptions!$C$76)+INDEX('36-Month Forecast'!$C$217:$AL$217,1,X$4-Assumptions!$C$76)*'Unit Economics'!$H$57,0)</f>
        <v>125.379433994523</v>
      </c>
      <c r="Y43" s="8" t="n">
        <f aca="false">IF(Y$4-Assumptions!$C$76&gt;=1,INDEX('36-Month Forecast'!$C$220:$AL$220,1,Y$4-Assumptions!$C$76)+INDEX('36-Month Forecast'!$C$217:$AL$217,1,Y$4-Assumptions!$C$76)*'Unit Economics'!$H$57,0)</f>
        <v>199.353300051292</v>
      </c>
      <c r="Z43" s="8" t="n">
        <f aca="false">IF(Z$4-Assumptions!$C$76&gt;=1,INDEX('36-Month Forecast'!$C$220:$AL$220,1,Z$4-Assumptions!$C$76)+INDEX('36-Month Forecast'!$C$217:$AL$217,1,Z$4-Assumptions!$C$76)*'Unit Economics'!$H$57,0)</f>
        <v>457.848079117802</v>
      </c>
      <c r="AA43" s="8" t="n">
        <f aca="false">IF(AA$4-Assumptions!$C$76&gt;=1,INDEX('36-Month Forecast'!$C$220:$AL$220,1,AA$4-Assumptions!$C$76)+INDEX('36-Month Forecast'!$C$217:$AL$217,1,AA$4-Assumptions!$C$76)*'Unit Economics'!$H$57,0)</f>
        <v>522.651191854475</v>
      </c>
      <c r="AB43" s="8" t="n">
        <f aca="false">IF(AB$4-Assumptions!$C$76&gt;=1,INDEX('36-Month Forecast'!$C$220:$AL$220,1,AB$4-Assumptions!$C$76)+INDEX('36-Month Forecast'!$C$217:$AL$217,1,AB$4-Assumptions!$C$76)*'Unit Economics'!$H$57,0)</f>
        <v>461.426337951522</v>
      </c>
      <c r="AC43" s="8" t="n">
        <f aca="false">IF(AC$4-Assumptions!$C$76&gt;=1,INDEX('36-Month Forecast'!$C$220:$AL$220,1,AC$4-Assumptions!$C$76)+INDEX('36-Month Forecast'!$C$217:$AL$217,1,AC$4-Assumptions!$C$76)*'Unit Economics'!$H$57,0)</f>
        <v>396.057606741723</v>
      </c>
      <c r="AD43" s="8" t="n">
        <f aca="false">IF(AD$4-Assumptions!$C$76&gt;=1,INDEX('36-Month Forecast'!$C$220:$AL$220,1,AD$4-Assumptions!$C$76)+INDEX('36-Month Forecast'!$C$217:$AL$217,1,AD$4-Assumptions!$C$76)*'Unit Economics'!$H$57,0)</f>
        <v>285.557534460782</v>
      </c>
      <c r="AE43" s="8" t="n">
        <f aca="false">IF(AE$4-Assumptions!$C$76&gt;=1,INDEX('36-Month Forecast'!$C$220:$AL$220,1,AE$4-Assumptions!$C$76)+INDEX('36-Month Forecast'!$C$217:$AL$217,1,AE$4-Assumptions!$C$76)*'Unit Economics'!$H$57,0)</f>
        <v>462.195266491524</v>
      </c>
      <c r="AF43" s="8" t="n">
        <f aca="false">IF(AF$4-Assumptions!$C$76&gt;=1,INDEX('36-Month Forecast'!$C$220:$AL$220,1,AF$4-Assumptions!$C$76)+INDEX('36-Month Forecast'!$C$217:$AL$217,1,AF$4-Assumptions!$C$76)*'Unit Economics'!$H$57,0)</f>
        <v>432.782840442063</v>
      </c>
      <c r="AG43" s="8" t="n">
        <f aca="false">IF(AG$4-Assumptions!$C$76&gt;=1,INDEX('36-Month Forecast'!$C$220:$AL$220,1,AG$4-Assumptions!$C$76)+INDEX('36-Month Forecast'!$C$217:$AL$217,1,AG$4-Assumptions!$C$76)*'Unit Economics'!$H$57,0)</f>
        <v>445.766325655325</v>
      </c>
      <c r="AH43" s="8" t="n">
        <f aca="false">IF(AH$4-Assumptions!$C$76&gt;=1,INDEX('36-Month Forecast'!$C$220:$AL$220,1,AH$4-Assumptions!$C$76)+INDEX('36-Month Forecast'!$C$217:$AL$217,1,AH$4-Assumptions!$C$76)*'Unit Economics'!$H$57,0)</f>
        <v>413.225383882486</v>
      </c>
      <c r="AI43" s="8" t="n">
        <f aca="false">IF(AI$4-Assumptions!$C$76&gt;=1,INDEX('36-Month Forecast'!$C$220:$AL$220,1,AI$4-Assumptions!$C$76)+INDEX('36-Month Forecast'!$C$217:$AL$217,1,AI$4-Assumptions!$C$76)*'Unit Economics'!$H$57,0)</f>
        <v>331.039446421414</v>
      </c>
      <c r="AJ43" s="8" t="n">
        <f aca="false">IF(AJ$4-Assumptions!$C$76&gt;=1,INDEX('36-Month Forecast'!$C$220:$AL$220,1,AJ$4-Assumptions!$C$76)+INDEX('36-Month Forecast'!$C$217:$AL$217,1,AJ$4-Assumptions!$C$76)*'Unit Economics'!$H$57,0)</f>
        <v>194.840359893747</v>
      </c>
      <c r="AK43" s="8" t="n">
        <f aca="false">IF(AK$4-Assumptions!$C$76&gt;=1,INDEX('36-Month Forecast'!$C$220:$AL$220,1,AK$4-Assumptions!$C$76)+INDEX('36-Month Forecast'!$C$217:$AL$217,1,AK$4-Assumptions!$C$76)*'Unit Economics'!$H$57,0)</f>
        <v>301.028356035838</v>
      </c>
      <c r="AL43" s="8" t="n">
        <f aca="false">IF(AL$4-Assumptions!$C$76&gt;=1,INDEX('36-Month Forecast'!$C$220:$AL$220,1,AL$4-Assumptions!$C$76)+INDEX('36-Month Forecast'!$C$217:$AL$217,1,AL$4-Assumptions!$C$76)*'Unit Economics'!$H$57,0)</f>
        <v>671.794947886646</v>
      </c>
      <c r="AM43" s="45" t="n">
        <f aca="false">SUMIF($C$6:$AL$6,1,C43:AL43)</f>
        <v>0</v>
      </c>
      <c r="AN43" s="45" t="n">
        <f aca="false">SUMIF($C$6:$AL$6,2,C43:AL43)</f>
        <v>2068.64944463914</v>
      </c>
      <c r="AO43" s="45" t="n">
        <f aca="false">SUMIF($C$6:$AL$6,3,C43:AL43)</f>
        <v>4918.36559771755</v>
      </c>
      <c r="AP43" s="45" t="n">
        <f aca="false">SUM(C43:AL43)</f>
        <v>6987.01504235669</v>
      </c>
    </row>
    <row r="44" customFormat="false" ht="15" hidden="false" customHeight="false" outlineLevel="0" collapsed="false">
      <c r="A44" s="7" t="s">
        <v>809</v>
      </c>
      <c r="C44" s="8" t="n">
        <f aca="false">IF(C$4-Assumptions!$C$77&gt;=1,INDEX('36-Month Forecast'!$C$230:$AL$230,1,C$4-Assumptions!$C$77)+INDEX('36-Month Forecast'!$C$227:$AL$227,1,C$4-Assumptions!$C$77)*'Unit Economics'!$H$58,0)</f>
        <v>0</v>
      </c>
      <c r="D44" s="8" t="n">
        <f aca="false">IF(D$4-Assumptions!$C$77&gt;=1,INDEX('36-Month Forecast'!$C$230:$AL$230,1,D$4-Assumptions!$C$77)+INDEX('36-Month Forecast'!$C$227:$AL$227,1,D$4-Assumptions!$C$77)*'Unit Economics'!$H$58,0)</f>
        <v>-0</v>
      </c>
      <c r="E44" s="8" t="n">
        <f aca="false">IF(E$4-Assumptions!$C$77&gt;=1,INDEX('36-Month Forecast'!$C$230:$AL$230,1,E$4-Assumptions!$C$77)+INDEX('36-Month Forecast'!$C$227:$AL$227,1,E$4-Assumptions!$C$77)*'Unit Economics'!$H$58,0)</f>
        <v>-0</v>
      </c>
      <c r="F44" s="8" t="n">
        <f aca="false">IF(F$4-Assumptions!$C$77&gt;=1,INDEX('36-Month Forecast'!$C$230:$AL$230,1,F$4-Assumptions!$C$77)+INDEX('36-Month Forecast'!$C$227:$AL$227,1,F$4-Assumptions!$C$77)*'Unit Economics'!$H$58,0)</f>
        <v>-0</v>
      </c>
      <c r="G44" s="8" t="n">
        <f aca="false">IF(G$4-Assumptions!$C$77&gt;=1,INDEX('36-Month Forecast'!$C$230:$AL$230,1,G$4-Assumptions!$C$77)+INDEX('36-Month Forecast'!$C$227:$AL$227,1,G$4-Assumptions!$C$77)*'Unit Economics'!$H$58,0)</f>
        <v>-0</v>
      </c>
      <c r="H44" s="8" t="n">
        <f aca="false">IF(H$4-Assumptions!$C$77&gt;=1,INDEX('36-Month Forecast'!$C$230:$AL$230,1,H$4-Assumptions!$C$77)+INDEX('36-Month Forecast'!$C$227:$AL$227,1,H$4-Assumptions!$C$77)*'Unit Economics'!$H$58,0)</f>
        <v>-0</v>
      </c>
      <c r="I44" s="8" t="n">
        <f aca="false">IF(I$4-Assumptions!$C$77&gt;=1,INDEX('36-Month Forecast'!$C$230:$AL$230,1,I$4-Assumptions!$C$77)+INDEX('36-Month Forecast'!$C$227:$AL$227,1,I$4-Assumptions!$C$77)*'Unit Economics'!$H$58,0)</f>
        <v>-0</v>
      </c>
      <c r="J44" s="8" t="n">
        <f aca="false">IF(J$4-Assumptions!$C$77&gt;=1,INDEX('36-Month Forecast'!$C$230:$AL$230,1,J$4-Assumptions!$C$77)+INDEX('36-Month Forecast'!$C$227:$AL$227,1,J$4-Assumptions!$C$77)*'Unit Economics'!$H$58,0)</f>
        <v>-0</v>
      </c>
      <c r="K44" s="8" t="n">
        <f aca="false">IF(K$4-Assumptions!$C$77&gt;=1,INDEX('36-Month Forecast'!$C$230:$AL$230,1,K$4-Assumptions!$C$77)+INDEX('36-Month Forecast'!$C$227:$AL$227,1,K$4-Assumptions!$C$77)*'Unit Economics'!$H$58,0)</f>
        <v>-0</v>
      </c>
      <c r="L44" s="8" t="n">
        <f aca="false">IF(L$4-Assumptions!$C$77&gt;=1,INDEX('36-Month Forecast'!$C$230:$AL$230,1,L$4-Assumptions!$C$77)+INDEX('36-Month Forecast'!$C$227:$AL$227,1,L$4-Assumptions!$C$77)*'Unit Economics'!$H$58,0)</f>
        <v>-0</v>
      </c>
      <c r="M44" s="8" t="n">
        <f aca="false">IF(M$4-Assumptions!$C$77&gt;=1,INDEX('36-Month Forecast'!$C$230:$AL$230,1,M$4-Assumptions!$C$77)+INDEX('36-Month Forecast'!$C$227:$AL$227,1,M$4-Assumptions!$C$77)*'Unit Economics'!$H$58,0)</f>
        <v>-0</v>
      </c>
      <c r="N44" s="8" t="n">
        <f aca="false">IF(N$4-Assumptions!$C$77&gt;=1,INDEX('36-Month Forecast'!$C$230:$AL$230,1,N$4-Assumptions!$C$77)+INDEX('36-Month Forecast'!$C$227:$AL$227,1,N$4-Assumptions!$C$77)*'Unit Economics'!$H$58,0)</f>
        <v>-0</v>
      </c>
      <c r="O44" s="8" t="n">
        <f aca="false">IF(O$4-Assumptions!$C$77&gt;=1,INDEX('36-Month Forecast'!$C$230:$AL$230,1,O$4-Assumptions!$C$77)+INDEX('36-Month Forecast'!$C$227:$AL$227,1,O$4-Assumptions!$C$77)*'Unit Economics'!$H$58,0)</f>
        <v>-0</v>
      </c>
      <c r="P44" s="8" t="n">
        <f aca="false">IF(P$4-Assumptions!$C$77&gt;=1,INDEX('36-Month Forecast'!$C$230:$AL$230,1,P$4-Assumptions!$C$77)+INDEX('36-Month Forecast'!$C$227:$AL$227,1,P$4-Assumptions!$C$77)*'Unit Economics'!$H$58,0)</f>
        <v>-0</v>
      </c>
      <c r="Q44" s="8" t="n">
        <f aca="false">IF(Q$4-Assumptions!$C$77&gt;=1,INDEX('36-Month Forecast'!$C$230:$AL$230,1,Q$4-Assumptions!$C$77)+INDEX('36-Month Forecast'!$C$227:$AL$227,1,Q$4-Assumptions!$C$77)*'Unit Economics'!$H$58,0)</f>
        <v>-0</v>
      </c>
      <c r="R44" s="8" t="n">
        <f aca="false">IF(R$4-Assumptions!$C$77&gt;=1,INDEX('36-Month Forecast'!$C$230:$AL$230,1,R$4-Assumptions!$C$77)+INDEX('36-Month Forecast'!$C$227:$AL$227,1,R$4-Assumptions!$C$77)*'Unit Economics'!$H$58,0)</f>
        <v>-0</v>
      </c>
      <c r="S44" s="8" t="n">
        <f aca="false">IF(S$4-Assumptions!$C$77&gt;=1,INDEX('36-Month Forecast'!$C$230:$AL$230,1,S$4-Assumptions!$C$77)+INDEX('36-Month Forecast'!$C$227:$AL$227,1,S$4-Assumptions!$C$77)*'Unit Economics'!$H$58,0)</f>
        <v>-0</v>
      </c>
      <c r="T44" s="8" t="n">
        <f aca="false">IF(T$4-Assumptions!$C$77&gt;=1,INDEX('36-Month Forecast'!$C$230:$AL$230,1,T$4-Assumptions!$C$77)+INDEX('36-Month Forecast'!$C$227:$AL$227,1,T$4-Assumptions!$C$77)*'Unit Economics'!$H$58,0)</f>
        <v>-0</v>
      </c>
      <c r="U44" s="8" t="n">
        <f aca="false">IF(U$4-Assumptions!$C$77&gt;=1,INDEX('36-Month Forecast'!$C$230:$AL$230,1,U$4-Assumptions!$C$77)+INDEX('36-Month Forecast'!$C$227:$AL$227,1,U$4-Assumptions!$C$77)*'Unit Economics'!$H$58,0)</f>
        <v>-0</v>
      </c>
      <c r="V44" s="8" t="n">
        <f aca="false">IF(V$4-Assumptions!$C$77&gt;=1,INDEX('36-Month Forecast'!$C$230:$AL$230,1,V$4-Assumptions!$C$77)+INDEX('36-Month Forecast'!$C$227:$AL$227,1,V$4-Assumptions!$C$77)*'Unit Economics'!$H$58,0)</f>
        <v>-0</v>
      </c>
      <c r="W44" s="8" t="n">
        <f aca="false">IF(W$4-Assumptions!$C$77&gt;=1,INDEX('36-Month Forecast'!$C$230:$AL$230,1,W$4-Assumptions!$C$77)+INDEX('36-Month Forecast'!$C$227:$AL$227,1,W$4-Assumptions!$C$77)*'Unit Economics'!$H$58,0)</f>
        <v>-0</v>
      </c>
      <c r="X44" s="8" t="n">
        <f aca="false">IF(X$4-Assumptions!$C$77&gt;=1,INDEX('36-Month Forecast'!$C$230:$AL$230,1,X$4-Assumptions!$C$77)+INDEX('36-Month Forecast'!$C$227:$AL$227,1,X$4-Assumptions!$C$77)*'Unit Economics'!$H$58,0)</f>
        <v>-0</v>
      </c>
      <c r="Y44" s="8" t="n">
        <f aca="false">IF(Y$4-Assumptions!$C$77&gt;=1,INDEX('36-Month Forecast'!$C$230:$AL$230,1,Y$4-Assumptions!$C$77)+INDEX('36-Month Forecast'!$C$227:$AL$227,1,Y$4-Assumptions!$C$77)*'Unit Economics'!$H$58,0)</f>
        <v>-0</v>
      </c>
      <c r="Z44" s="8" t="n">
        <f aca="false">IF(Z$4-Assumptions!$C$77&gt;=1,INDEX('36-Month Forecast'!$C$230:$AL$230,1,Z$4-Assumptions!$C$77)+INDEX('36-Month Forecast'!$C$227:$AL$227,1,Z$4-Assumptions!$C$77)*'Unit Economics'!$H$58,0)</f>
        <v>-0</v>
      </c>
      <c r="AA44" s="8" t="n">
        <f aca="false">IF(AA$4-Assumptions!$C$77&gt;=1,INDEX('36-Month Forecast'!$C$230:$AL$230,1,AA$4-Assumptions!$C$77)+INDEX('36-Month Forecast'!$C$227:$AL$227,1,AA$4-Assumptions!$C$77)*'Unit Economics'!$H$58,0)</f>
        <v>0</v>
      </c>
      <c r="AB44" s="8" t="n">
        <f aca="false">IF(AB$4-Assumptions!$C$77&gt;=1,INDEX('36-Month Forecast'!$C$230:$AL$230,1,AB$4-Assumptions!$C$77)+INDEX('36-Month Forecast'!$C$227:$AL$227,1,AB$4-Assumptions!$C$77)*'Unit Economics'!$H$58,0)</f>
        <v>20.696985</v>
      </c>
      <c r="AC44" s="8" t="n">
        <f aca="false">IF(AC$4-Assumptions!$C$77&gt;=1,INDEX('36-Month Forecast'!$C$230:$AL$230,1,AC$4-Assumptions!$C$77)+INDEX('36-Month Forecast'!$C$227:$AL$227,1,AC$4-Assumptions!$C$77)*'Unit Economics'!$H$58,0)</f>
        <v>59.476599</v>
      </c>
      <c r="AD44" s="8" t="n">
        <f aca="false">IF(AD$4-Assumptions!$C$77&gt;=1,INDEX('36-Month Forecast'!$C$230:$AL$230,1,AD$4-Assumptions!$C$77)+INDEX('36-Month Forecast'!$C$227:$AL$227,1,AD$4-Assumptions!$C$77)*'Unit Economics'!$H$58,0)</f>
        <v>97.2785527875</v>
      </c>
      <c r="AE44" s="8" t="n">
        <f aca="false">IF(AE$4-Assumptions!$C$77&gt;=1,INDEX('36-Month Forecast'!$C$230:$AL$230,1,AE$4-Assumptions!$C$77)+INDEX('36-Month Forecast'!$C$227:$AL$227,1,AE$4-Assumptions!$C$77)*'Unit Economics'!$H$58,0)</f>
        <v>126.1018276875</v>
      </c>
      <c r="AF44" s="8" t="n">
        <f aca="false">IF(AF$4-Assumptions!$C$77&gt;=1,INDEX('36-Month Forecast'!$C$230:$AL$230,1,AF$4-Assumptions!$C$77)+INDEX('36-Month Forecast'!$C$227:$AL$227,1,AF$4-Assumptions!$C$77)*'Unit Economics'!$H$58,0)</f>
        <v>119.166227164688</v>
      </c>
      <c r="AG44" s="8" t="n">
        <f aca="false">IF(AG$4-Assumptions!$C$77&gt;=1,INDEX('36-Month Forecast'!$C$230:$AL$230,1,AG$4-Assumptions!$C$77)+INDEX('36-Month Forecast'!$C$227:$AL$227,1,AG$4-Assumptions!$C$77)*'Unit Economics'!$H$58,0)</f>
        <v>166.832718030563</v>
      </c>
      <c r="AH44" s="8" t="n">
        <f aca="false">IF(AH$4-Assumptions!$C$77&gt;=1,INDEX('36-Month Forecast'!$C$230:$AL$230,1,AH$4-Assumptions!$C$77)+INDEX('36-Month Forecast'!$C$227:$AL$227,1,AH$4-Assumptions!$C$77)*'Unit Economics'!$H$58,0)</f>
        <v>183.933071628695</v>
      </c>
      <c r="AI44" s="8" t="n">
        <f aca="false">IF(AI$4-Assumptions!$C$77&gt;=1,INDEX('36-Month Forecast'!$C$230:$AL$230,1,AI$4-Assumptions!$C$77)+INDEX('36-Month Forecast'!$C$227:$AL$227,1,AI$4-Assumptions!$C$77)*'Unit Economics'!$H$58,0)</f>
        <v>174.73641804726</v>
      </c>
      <c r="AJ44" s="8" t="n">
        <f aca="false">IF(AJ$4-Assumptions!$C$77&gt;=1,INDEX('36-Month Forecast'!$C$230:$AL$230,1,AJ$4-Assumptions!$C$77)+INDEX('36-Month Forecast'!$C$227:$AL$227,1,AJ$4-Assumptions!$C$77)*'Unit Economics'!$H$58,0)</f>
        <v>193.12972521013</v>
      </c>
      <c r="AK44" s="8" t="n">
        <f aca="false">IF(AK$4-Assumptions!$C$77&gt;=1,INDEX('36-Month Forecast'!$C$230:$AL$230,1,AK$4-Assumptions!$C$77)+INDEX('36-Month Forecast'!$C$227:$AL$227,1,AK$4-Assumptions!$C$77)*'Unit Economics'!$H$58,0)</f>
        <v>192.646900897105</v>
      </c>
      <c r="AL44" s="8" t="n">
        <f aca="false">IF(AL$4-Assumptions!$C$77&gt;=1,INDEX('36-Month Forecast'!$C$230:$AL$230,1,AL$4-Assumptions!$C$77)+INDEX('36-Month Forecast'!$C$227:$AL$227,1,AL$4-Assumptions!$C$77)*'Unit Economics'!$H$58,0)</f>
        <v>180.986693737543</v>
      </c>
      <c r="AM44" s="45" t="n">
        <f aca="false">SUMIF($C$6:$AL$6,1,C44:AL44)</f>
        <v>0</v>
      </c>
      <c r="AN44" s="45" t="n">
        <f aca="false">SUMIF($C$6:$AL$6,2,C44:AL44)</f>
        <v>0</v>
      </c>
      <c r="AO44" s="45" t="n">
        <f aca="false">SUMIF($C$6:$AL$6,3,C44:AL44)</f>
        <v>1514.98571919098</v>
      </c>
      <c r="AP44" s="45" t="n">
        <f aca="false">SUM(C44:AL44)</f>
        <v>1514.98571919098</v>
      </c>
    </row>
    <row r="45" customFormat="false" ht="15" hidden="false" customHeight="false" outlineLevel="0" collapsed="false">
      <c r="A45" s="10" t="s">
        <v>810</v>
      </c>
      <c r="C45" s="41" t="n">
        <f aca="false">SUM(C36:C44)</f>
        <v>36.2871113129464</v>
      </c>
      <c r="D45" s="41" t="n">
        <f aca="false">SUM(D36:D44)</f>
        <v>111.229545414</v>
      </c>
      <c r="E45" s="41" t="n">
        <f aca="false">SUM(E36:E44)</f>
        <v>194.05277615304</v>
      </c>
      <c r="F45" s="41" t="n">
        <f aca="false">SUM(F36:F44)</f>
        <v>293.361046400923</v>
      </c>
      <c r="G45" s="41" t="n">
        <f aca="false">SUM(G36:G44)</f>
        <v>363.282108050359</v>
      </c>
      <c r="H45" s="41" t="n">
        <f aca="false">SUM(H36:H44)</f>
        <v>561.573750366212</v>
      </c>
      <c r="I45" s="41" t="n">
        <f aca="false">SUM(I36:I44)</f>
        <v>665.461079654495</v>
      </c>
      <c r="J45" s="41" t="n">
        <f aca="false">SUM(J36:J44)</f>
        <v>773.580914804487</v>
      </c>
      <c r="K45" s="41" t="n">
        <f aca="false">SUM(K36:K44)</f>
        <v>984.545512460458</v>
      </c>
      <c r="L45" s="41" t="n">
        <f aca="false">SUM(L36:L44)</f>
        <v>1040.94830516441</v>
      </c>
      <c r="M45" s="41" t="n">
        <f aca="false">SUM(M36:M44)</f>
        <v>1091.41671650729</v>
      </c>
      <c r="N45" s="41" t="n">
        <f aca="false">SUM(N36:N44)</f>
        <v>1189.72371841484</v>
      </c>
      <c r="O45" s="41" t="n">
        <f aca="false">SUM(O36:O44)</f>
        <v>1324.44414698211</v>
      </c>
      <c r="P45" s="41" t="n">
        <f aca="false">SUM(P36:P44)</f>
        <v>1812.75099689385</v>
      </c>
      <c r="Q45" s="41" t="n">
        <f aca="false">SUM(Q36:Q44)</f>
        <v>2044.4024468187</v>
      </c>
      <c r="R45" s="41" t="n">
        <f aca="false">SUM(R36:R44)</f>
        <v>2232.68690127686</v>
      </c>
      <c r="S45" s="41" t="n">
        <f aca="false">SUM(S36:S44)</f>
        <v>2047.00972698152</v>
      </c>
      <c r="T45" s="41" t="n">
        <f aca="false">SUM(T36:T44)</f>
        <v>2243.90817128881</v>
      </c>
      <c r="U45" s="41" t="n">
        <f aca="false">SUM(U36:U44)</f>
        <v>2254.66124930823</v>
      </c>
      <c r="V45" s="41" t="n">
        <f aca="false">SUM(V36:V44)</f>
        <v>2256.10448529022</v>
      </c>
      <c r="W45" s="41" t="n">
        <f aca="false">SUM(W36:W44)</f>
        <v>2421.92673842102</v>
      </c>
      <c r="X45" s="41" t="n">
        <f aca="false">SUM(X36:X44)</f>
        <v>2304.6364269108</v>
      </c>
      <c r="Y45" s="41" t="n">
        <f aca="false">SUM(Y36:Y44)</f>
        <v>2352.66846529048</v>
      </c>
      <c r="Z45" s="41" t="n">
        <f aca="false">SUM(Z36:Z44)</f>
        <v>2680.85840713434</v>
      </c>
      <c r="AA45" s="41" t="n">
        <f aca="false">SUM(AA36:AA44)</f>
        <v>2917.7643365811</v>
      </c>
      <c r="AB45" s="41" t="n">
        <f aca="false">SUM(AB36:AB44)</f>
        <v>3599.62565144578</v>
      </c>
      <c r="AC45" s="41" t="n">
        <f aca="false">SUM(AC36:AC44)</f>
        <v>3835.72260157608</v>
      </c>
      <c r="AD45" s="41" t="n">
        <f aca="false">SUM(AD36:AD44)</f>
        <v>3950.93470011751</v>
      </c>
      <c r="AE45" s="41" t="n">
        <f aca="false">SUM(AE36:AE44)</f>
        <v>3591.17099228303</v>
      </c>
      <c r="AF45" s="41" t="n">
        <f aca="false">SUM(AF36:AF44)</f>
        <v>3750.03025882954</v>
      </c>
      <c r="AG45" s="41" t="n">
        <f aca="false">SUM(AG36:AG44)</f>
        <v>3685.69697362528</v>
      </c>
      <c r="AH45" s="41" t="n">
        <f aca="false">SUM(AH36:AH44)</f>
        <v>3607.33754505107</v>
      </c>
      <c r="AI45" s="41" t="n">
        <f aca="false">SUM(AI36:AI44)</f>
        <v>3751.06230132478</v>
      </c>
      <c r="AJ45" s="41" t="n">
        <f aca="false">SUM(AJ36:AJ44)</f>
        <v>3505.83413030841</v>
      </c>
      <c r="AK45" s="41" t="n">
        <f aca="false">SUM(AK36:AK44)</f>
        <v>3494.48518124592</v>
      </c>
      <c r="AL45" s="41" t="n">
        <f aca="false">SUM(AL36:AL44)</f>
        <v>3877.97060024139</v>
      </c>
      <c r="AM45" s="45" t="n">
        <f aca="false">SUMIF($C$6:$AL$6,1,C45:AL45)</f>
        <v>7305.46258470347</v>
      </c>
      <c r="AN45" s="45" t="n">
        <f aca="false">SUMIF($C$6:$AL$6,2,C45:AL45)</f>
        <v>25976.058162597</v>
      </c>
      <c r="AO45" s="45" t="n">
        <f aca="false">SUMIF($C$6:$AL$6,3,C45:AL45)</f>
        <v>43567.6352726299</v>
      </c>
      <c r="AP45" s="45" t="n">
        <f aca="false">SUM(C45:AL45)</f>
        <v>76849.1560199303</v>
      </c>
    </row>
    <row r="46" customFormat="false" ht="15" hidden="false" customHeight="false" outlineLevel="0" collapsed="false">
      <c r="A46" s="7" t="s">
        <v>811</v>
      </c>
      <c r="C46" s="8" t="n">
        <f aca="false">Assumptions!$C$16</f>
        <v>0</v>
      </c>
      <c r="D46" s="41" t="n">
        <f aca="false">0</f>
        <v>0</v>
      </c>
      <c r="E46" s="41" t="n">
        <f aca="false">0</f>
        <v>0</v>
      </c>
      <c r="F46" s="41" t="n">
        <f aca="false">0</f>
        <v>0</v>
      </c>
      <c r="G46" s="41" t="n">
        <f aca="false">0</f>
        <v>0</v>
      </c>
      <c r="H46" s="41" t="n">
        <f aca="false">0</f>
        <v>0</v>
      </c>
      <c r="I46" s="41" t="n">
        <f aca="false">0</f>
        <v>0</v>
      </c>
      <c r="J46" s="41" t="n">
        <f aca="false">0</f>
        <v>0</v>
      </c>
      <c r="K46" s="41" t="n">
        <f aca="false">0</f>
        <v>0</v>
      </c>
      <c r="L46" s="41" t="n">
        <f aca="false">0</f>
        <v>0</v>
      </c>
      <c r="M46" s="41" t="n">
        <f aca="false">0</f>
        <v>0</v>
      </c>
      <c r="N46" s="41" t="n">
        <f aca="false">0</f>
        <v>0</v>
      </c>
      <c r="O46" s="41" t="n">
        <f aca="false">0</f>
        <v>0</v>
      </c>
      <c r="P46" s="41" t="n">
        <f aca="false">0</f>
        <v>0</v>
      </c>
      <c r="Q46" s="41" t="n">
        <f aca="false">0</f>
        <v>0</v>
      </c>
      <c r="R46" s="41" t="n">
        <f aca="false">0</f>
        <v>0</v>
      </c>
      <c r="S46" s="41" t="n">
        <f aca="false">0</f>
        <v>0</v>
      </c>
      <c r="T46" s="41" t="n">
        <f aca="false">0</f>
        <v>0</v>
      </c>
      <c r="U46" s="41" t="n">
        <f aca="false">0</f>
        <v>0</v>
      </c>
      <c r="V46" s="41" t="n">
        <f aca="false">0</f>
        <v>0</v>
      </c>
      <c r="W46" s="41" t="n">
        <f aca="false">0</f>
        <v>0</v>
      </c>
      <c r="X46" s="41" t="n">
        <f aca="false">0</f>
        <v>0</v>
      </c>
      <c r="Y46" s="41" t="n">
        <f aca="false">0</f>
        <v>0</v>
      </c>
      <c r="Z46" s="41" t="n">
        <f aca="false">0</f>
        <v>0</v>
      </c>
      <c r="AA46" s="41" t="n">
        <f aca="false">0</f>
        <v>0</v>
      </c>
      <c r="AB46" s="41" t="n">
        <f aca="false">0</f>
        <v>0</v>
      </c>
      <c r="AC46" s="41" t="n">
        <f aca="false">0</f>
        <v>0</v>
      </c>
      <c r="AD46" s="41" t="n">
        <f aca="false">0</f>
        <v>0</v>
      </c>
      <c r="AE46" s="41" t="n">
        <f aca="false">0</f>
        <v>0</v>
      </c>
      <c r="AF46" s="41" t="n">
        <f aca="false">0</f>
        <v>0</v>
      </c>
      <c r="AG46" s="41" t="n">
        <f aca="false">0</f>
        <v>0</v>
      </c>
      <c r="AH46" s="41" t="n">
        <f aca="false">0</f>
        <v>0</v>
      </c>
      <c r="AI46" s="41" t="n">
        <f aca="false">0</f>
        <v>0</v>
      </c>
      <c r="AJ46" s="41" t="n">
        <f aca="false">0</f>
        <v>0</v>
      </c>
      <c r="AK46" s="41" t="n">
        <f aca="false">0</f>
        <v>0</v>
      </c>
      <c r="AL46" s="41" t="n">
        <f aca="false">0</f>
        <v>0</v>
      </c>
      <c r="AM46" s="45" t="n">
        <f aca="false">SUMIF($C$6:$AL$6,1,C46:AL46)</f>
        <v>0</v>
      </c>
      <c r="AN46" s="45" t="n">
        <f aca="false">SUMIF($C$6:$AL$6,2,C46:AL46)</f>
        <v>0</v>
      </c>
      <c r="AO46" s="45" t="n">
        <f aca="false">SUMIF($C$6:$AL$6,3,C46:AL46)</f>
        <v>0</v>
      </c>
      <c r="AP46" s="45" t="n">
        <f aca="false">SUM(C46:AL46)</f>
        <v>0</v>
      </c>
    </row>
    <row r="47" customFormat="false" ht="15" hidden="false" customHeight="false" outlineLevel="0" collapsed="false">
      <c r="A47" s="7" t="s">
        <v>812</v>
      </c>
      <c r="C47" s="8" t="n">
        <f aca="false">-'36-Month Forecast'!C255</f>
        <v>-0</v>
      </c>
      <c r="D47" s="8" t="n">
        <f aca="false">-'36-Month Forecast'!D255</f>
        <v>-0</v>
      </c>
      <c r="E47" s="8" t="n">
        <f aca="false">-'36-Month Forecast'!E255</f>
        <v>-0</v>
      </c>
      <c r="F47" s="8" t="n">
        <f aca="false">-'36-Month Forecast'!F255</f>
        <v>-0</v>
      </c>
      <c r="G47" s="8" t="n">
        <f aca="false">-'36-Month Forecast'!G255</f>
        <v>-0</v>
      </c>
      <c r="H47" s="8" t="n">
        <f aca="false">-'36-Month Forecast'!H255</f>
        <v>-0</v>
      </c>
      <c r="I47" s="8" t="n">
        <f aca="false">-'36-Month Forecast'!I255</f>
        <v>-0</v>
      </c>
      <c r="J47" s="8" t="n">
        <f aca="false">-'36-Month Forecast'!J255</f>
        <v>-3625</v>
      </c>
      <c r="K47" s="8" t="n">
        <f aca="false">-'36-Month Forecast'!K255</f>
        <v>-0</v>
      </c>
      <c r="L47" s="8" t="n">
        <f aca="false">-'36-Month Forecast'!L255</f>
        <v>-0</v>
      </c>
      <c r="M47" s="8" t="n">
        <f aca="false">-'36-Month Forecast'!M255</f>
        <v>-0</v>
      </c>
      <c r="N47" s="8" t="n">
        <f aca="false">-'36-Month Forecast'!N255</f>
        <v>-0</v>
      </c>
      <c r="O47" s="8" t="n">
        <f aca="false">-'36-Month Forecast'!O255</f>
        <v>-0</v>
      </c>
      <c r="P47" s="8" t="n">
        <f aca="false">-'36-Month Forecast'!P255</f>
        <v>-0</v>
      </c>
      <c r="Q47" s="8" t="n">
        <f aca="false">-'36-Month Forecast'!Q255</f>
        <v>-0</v>
      </c>
      <c r="R47" s="8" t="n">
        <f aca="false">-'36-Month Forecast'!R255</f>
        <v>-0</v>
      </c>
      <c r="S47" s="8" t="n">
        <f aca="false">-'36-Month Forecast'!S255</f>
        <v>-0</v>
      </c>
      <c r="T47" s="8" t="n">
        <f aca="false">-'36-Month Forecast'!T255</f>
        <v>-0</v>
      </c>
      <c r="U47" s="8" t="n">
        <f aca="false">-'36-Month Forecast'!U255</f>
        <v>-0</v>
      </c>
      <c r="V47" s="8" t="n">
        <f aca="false">-'36-Month Forecast'!V255</f>
        <v>-0</v>
      </c>
      <c r="W47" s="8" t="n">
        <f aca="false">-'36-Month Forecast'!W255</f>
        <v>-0</v>
      </c>
      <c r="X47" s="8" t="n">
        <f aca="false">-'36-Month Forecast'!X255</f>
        <v>-0</v>
      </c>
      <c r="Y47" s="8" t="n">
        <f aca="false">-'36-Month Forecast'!Y255</f>
        <v>-0</v>
      </c>
      <c r="Z47" s="8" t="n">
        <f aca="false">-'36-Month Forecast'!Z255</f>
        <v>-0</v>
      </c>
      <c r="AA47" s="8" t="n">
        <f aca="false">-'36-Month Forecast'!AA255</f>
        <v>-0</v>
      </c>
      <c r="AB47" s="8" t="n">
        <f aca="false">-'36-Month Forecast'!AB255</f>
        <v>-0</v>
      </c>
      <c r="AC47" s="8" t="n">
        <f aca="false">-'36-Month Forecast'!AC255</f>
        <v>-0</v>
      </c>
      <c r="AD47" s="8" t="n">
        <f aca="false">-'36-Month Forecast'!AD255</f>
        <v>-0</v>
      </c>
      <c r="AE47" s="8" t="n">
        <f aca="false">-'36-Month Forecast'!AE255</f>
        <v>-0</v>
      </c>
      <c r="AF47" s="8" t="n">
        <f aca="false">-'36-Month Forecast'!AF255</f>
        <v>-0</v>
      </c>
      <c r="AG47" s="8" t="n">
        <f aca="false">-'36-Month Forecast'!AG255</f>
        <v>-0</v>
      </c>
      <c r="AH47" s="8" t="n">
        <f aca="false">-'36-Month Forecast'!AH255</f>
        <v>-0</v>
      </c>
      <c r="AI47" s="8" t="n">
        <f aca="false">-'36-Month Forecast'!AI255</f>
        <v>-0</v>
      </c>
      <c r="AJ47" s="8" t="n">
        <f aca="false">-'36-Month Forecast'!AJ255</f>
        <v>-0</v>
      </c>
      <c r="AK47" s="8" t="n">
        <f aca="false">-'36-Month Forecast'!AK255</f>
        <v>-0</v>
      </c>
      <c r="AL47" s="8" t="n">
        <f aca="false">-'36-Month Forecast'!AL255</f>
        <v>-0</v>
      </c>
      <c r="AM47" s="45" t="n">
        <f aca="false">SUMIF($C$6:$AL$6,1,C47:AL47)</f>
        <v>-3625</v>
      </c>
      <c r="AN47" s="45" t="n">
        <f aca="false">SUMIF($C$6:$AL$6,2,C47:AL47)</f>
        <v>0</v>
      </c>
      <c r="AO47" s="45" t="n">
        <f aca="false">SUMIF($C$6:$AL$6,3,C47:AL47)</f>
        <v>0</v>
      </c>
      <c r="AP47" s="45" t="n">
        <f aca="false">SUM(C47:AL47)</f>
        <v>-3625</v>
      </c>
    </row>
    <row r="48" customFormat="false" ht="15" hidden="false" customHeight="false" outlineLevel="0" collapsed="false">
      <c r="A48" s="7" t="s">
        <v>779</v>
      </c>
      <c r="C48" s="8" t="n">
        <f aca="false">-'36-Month Forecast'!C243</f>
        <v>-0</v>
      </c>
      <c r="D48" s="8" t="n">
        <f aca="false">-'36-Month Forecast'!D243</f>
        <v>-150</v>
      </c>
      <c r="E48" s="8" t="n">
        <f aca="false">-'36-Month Forecast'!E243</f>
        <v>-150</v>
      </c>
      <c r="F48" s="8" t="n">
        <f aca="false">-'36-Month Forecast'!F243</f>
        <v>-150</v>
      </c>
      <c r="G48" s="8" t="n">
        <f aca="false">-'36-Month Forecast'!G243</f>
        <v>-150</v>
      </c>
      <c r="H48" s="8" t="n">
        <f aca="false">-'36-Month Forecast'!H243</f>
        <v>-150</v>
      </c>
      <c r="I48" s="8" t="n">
        <f aca="false">-'36-Month Forecast'!I243</f>
        <v>-150</v>
      </c>
      <c r="J48" s="8" t="n">
        <f aca="false">-'36-Month Forecast'!J243</f>
        <v>-150</v>
      </c>
      <c r="K48" s="8" t="n">
        <f aca="false">-'36-Month Forecast'!K243</f>
        <v>-150</v>
      </c>
      <c r="L48" s="8" t="n">
        <f aca="false">-'36-Month Forecast'!L243</f>
        <v>-150</v>
      </c>
      <c r="M48" s="8" t="n">
        <f aca="false">-'36-Month Forecast'!M243</f>
        <v>-150</v>
      </c>
      <c r="N48" s="8" t="n">
        <f aca="false">-'36-Month Forecast'!N243</f>
        <v>-150</v>
      </c>
      <c r="O48" s="8" t="n">
        <f aca="false">-'36-Month Forecast'!O243</f>
        <v>-300</v>
      </c>
      <c r="P48" s="8" t="n">
        <f aca="false">-'36-Month Forecast'!P243</f>
        <v>-300</v>
      </c>
      <c r="Q48" s="8" t="n">
        <f aca="false">-'36-Month Forecast'!Q243</f>
        <v>-300</v>
      </c>
      <c r="R48" s="8" t="n">
        <f aca="false">-'36-Month Forecast'!R243</f>
        <v>-300</v>
      </c>
      <c r="S48" s="8" t="n">
        <f aca="false">-'36-Month Forecast'!S243</f>
        <v>-300</v>
      </c>
      <c r="T48" s="8" t="n">
        <f aca="false">-'36-Month Forecast'!T243</f>
        <v>-300</v>
      </c>
      <c r="U48" s="8" t="n">
        <f aca="false">-'36-Month Forecast'!U243</f>
        <v>-300</v>
      </c>
      <c r="V48" s="8" t="n">
        <f aca="false">-'36-Month Forecast'!V243</f>
        <v>-300</v>
      </c>
      <c r="W48" s="8" t="n">
        <f aca="false">-'36-Month Forecast'!W243</f>
        <v>-300</v>
      </c>
      <c r="X48" s="8" t="n">
        <f aca="false">-'36-Month Forecast'!X243</f>
        <v>-300</v>
      </c>
      <c r="Y48" s="8" t="n">
        <f aca="false">-'36-Month Forecast'!Y243</f>
        <v>-300</v>
      </c>
      <c r="Z48" s="8" t="n">
        <f aca="false">-'36-Month Forecast'!Z243</f>
        <v>-300</v>
      </c>
      <c r="AA48" s="8" t="n">
        <f aca="false">-'36-Month Forecast'!AA243</f>
        <v>-450</v>
      </c>
      <c r="AB48" s="8" t="n">
        <f aca="false">-'36-Month Forecast'!AB243</f>
        <v>-450</v>
      </c>
      <c r="AC48" s="8" t="n">
        <f aca="false">-'36-Month Forecast'!AC243</f>
        <v>-450</v>
      </c>
      <c r="AD48" s="8" t="n">
        <f aca="false">-'36-Month Forecast'!AD243</f>
        <v>-450</v>
      </c>
      <c r="AE48" s="8" t="n">
        <f aca="false">-'36-Month Forecast'!AE243</f>
        <v>-450</v>
      </c>
      <c r="AF48" s="8" t="n">
        <f aca="false">-'36-Month Forecast'!AF243</f>
        <v>-450</v>
      </c>
      <c r="AG48" s="8" t="n">
        <f aca="false">-'36-Month Forecast'!AG243</f>
        <v>-450</v>
      </c>
      <c r="AH48" s="8" t="n">
        <f aca="false">-'36-Month Forecast'!AH243</f>
        <v>-450</v>
      </c>
      <c r="AI48" s="8" t="n">
        <f aca="false">-'36-Month Forecast'!AI243</f>
        <v>-450</v>
      </c>
      <c r="AJ48" s="8" t="n">
        <f aca="false">-'36-Month Forecast'!AJ243</f>
        <v>-450</v>
      </c>
      <c r="AK48" s="8" t="n">
        <f aca="false">-'36-Month Forecast'!AK243</f>
        <v>-450</v>
      </c>
      <c r="AL48" s="8" t="n">
        <f aca="false">-'36-Month Forecast'!AL243</f>
        <v>-450</v>
      </c>
      <c r="AM48" s="45" t="n">
        <f aca="false">SUMIF($C$6:$AL$6,1,C48:AL48)</f>
        <v>-1650</v>
      </c>
      <c r="AN48" s="45" t="n">
        <f aca="false">SUMIF($C$6:$AL$6,2,C48:AL48)</f>
        <v>-3600</v>
      </c>
      <c r="AO48" s="45" t="n">
        <f aca="false">SUMIF($C$6:$AL$6,3,C48:AL48)</f>
        <v>-5400</v>
      </c>
      <c r="AP48" s="45" t="n">
        <f aca="false">SUM(C48:AL48)</f>
        <v>-10650</v>
      </c>
    </row>
    <row r="49" customFormat="false" ht="15" hidden="false" customHeight="false" outlineLevel="0" collapsed="false">
      <c r="A49" s="7" t="s">
        <v>813</v>
      </c>
      <c r="C49" s="8" t="n">
        <f aca="false">-'36-Month Forecast'!C244</f>
        <v>-1237.3185</v>
      </c>
      <c r="D49" s="8" t="n">
        <f aca="false">-'36-Month Forecast'!D244</f>
        <v>-735.7185</v>
      </c>
      <c r="E49" s="8" t="n">
        <f aca="false">-'36-Month Forecast'!E244</f>
        <v>-814.3685</v>
      </c>
      <c r="F49" s="8" t="n">
        <f aca="false">-'36-Month Forecast'!F244</f>
        <v>-1226.8685</v>
      </c>
      <c r="G49" s="8" t="n">
        <f aca="false">-'36-Month Forecast'!G244</f>
        <v>-944.1685</v>
      </c>
      <c r="H49" s="8" t="n">
        <f aca="false">-'36-Month Forecast'!H244</f>
        <v>-814.3685</v>
      </c>
      <c r="I49" s="8" t="n">
        <f aca="false">-'36-Month Forecast'!I244</f>
        <v>-2244.3685</v>
      </c>
      <c r="J49" s="8" t="n">
        <f aca="false">-'36-Month Forecast'!J244</f>
        <v>-814.3685</v>
      </c>
      <c r="K49" s="8" t="n">
        <f aca="false">-'36-Month Forecast'!K244</f>
        <v>-814.3685</v>
      </c>
      <c r="L49" s="8" t="n">
        <f aca="false">-'36-Month Forecast'!L244</f>
        <v>-814.3685</v>
      </c>
      <c r="M49" s="8" t="n">
        <f aca="false">-'36-Month Forecast'!M244</f>
        <v>-814.3685</v>
      </c>
      <c r="N49" s="8" t="n">
        <f aca="false">-'36-Month Forecast'!N244</f>
        <v>-814.3685</v>
      </c>
      <c r="O49" s="8" t="n">
        <f aca="false">-'36-Month Forecast'!O244</f>
        <v>-1667.4185</v>
      </c>
      <c r="P49" s="8" t="n">
        <f aca="false">-'36-Month Forecast'!P244</f>
        <v>-835.8185</v>
      </c>
      <c r="Q49" s="8" t="n">
        <f aca="false">-'36-Month Forecast'!Q244</f>
        <v>-835.8185</v>
      </c>
      <c r="R49" s="8" t="n">
        <f aca="false">-'36-Month Forecast'!R244</f>
        <v>-1248.3185</v>
      </c>
      <c r="S49" s="8" t="n">
        <f aca="false">-'36-Month Forecast'!S244</f>
        <v>-965.6185</v>
      </c>
      <c r="T49" s="8" t="n">
        <f aca="false">-'36-Month Forecast'!T244</f>
        <v>-835.8185</v>
      </c>
      <c r="U49" s="8" t="n">
        <f aca="false">-'36-Month Forecast'!U244</f>
        <v>-2265.8185</v>
      </c>
      <c r="V49" s="8" t="n">
        <f aca="false">-'36-Month Forecast'!V244</f>
        <v>-835.8185</v>
      </c>
      <c r="W49" s="8" t="n">
        <f aca="false">-'36-Month Forecast'!W244</f>
        <v>-835.8185</v>
      </c>
      <c r="X49" s="8" t="n">
        <f aca="false">-'36-Month Forecast'!X244</f>
        <v>-835.8185</v>
      </c>
      <c r="Y49" s="8" t="n">
        <f aca="false">-'36-Month Forecast'!Y244</f>
        <v>-835.8185</v>
      </c>
      <c r="Z49" s="8" t="n">
        <f aca="false">-'36-Month Forecast'!Z244</f>
        <v>-835.8185</v>
      </c>
      <c r="AA49" s="8" t="n">
        <f aca="false">-'36-Month Forecast'!AA244</f>
        <v>-1667.4185</v>
      </c>
      <c r="AB49" s="8" t="n">
        <f aca="false">-'36-Month Forecast'!AB244</f>
        <v>-835.8185</v>
      </c>
      <c r="AC49" s="8" t="n">
        <f aca="false">-'36-Month Forecast'!AC244</f>
        <v>-835.8185</v>
      </c>
      <c r="AD49" s="8" t="n">
        <f aca="false">-'36-Month Forecast'!AD244</f>
        <v>-1248.3185</v>
      </c>
      <c r="AE49" s="8" t="n">
        <f aca="false">-'36-Month Forecast'!AE244</f>
        <v>-965.6185</v>
      </c>
      <c r="AF49" s="8" t="n">
        <f aca="false">-'36-Month Forecast'!AF244</f>
        <v>-835.8185</v>
      </c>
      <c r="AG49" s="8" t="n">
        <f aca="false">-'36-Month Forecast'!AG244</f>
        <v>-2265.8185</v>
      </c>
      <c r="AH49" s="8" t="n">
        <f aca="false">-'36-Month Forecast'!AH244</f>
        <v>-835.8185</v>
      </c>
      <c r="AI49" s="8" t="n">
        <f aca="false">-'36-Month Forecast'!AI244</f>
        <v>-835.8185</v>
      </c>
      <c r="AJ49" s="8" t="n">
        <f aca="false">-'36-Month Forecast'!AJ244</f>
        <v>-835.8185</v>
      </c>
      <c r="AK49" s="8" t="n">
        <f aca="false">-'36-Month Forecast'!AK244</f>
        <v>-835.8185</v>
      </c>
      <c r="AL49" s="8" t="n">
        <f aca="false">-'36-Month Forecast'!AL244</f>
        <v>-835.8185</v>
      </c>
      <c r="AM49" s="45" t="n">
        <f aca="false">SUMIF($C$6:$AL$6,1,C49:AL49)</f>
        <v>-12089.022</v>
      </c>
      <c r="AN49" s="45" t="n">
        <f aca="false">SUMIF($C$6:$AL$6,2,C49:AL49)</f>
        <v>-12833.722</v>
      </c>
      <c r="AO49" s="45" t="n">
        <f aca="false">SUMIF($C$6:$AL$6,3,C49:AL49)</f>
        <v>-12833.722</v>
      </c>
      <c r="AP49" s="45" t="n">
        <f aca="false">SUM(C49:AL49)</f>
        <v>-37756.466</v>
      </c>
    </row>
    <row r="50" customFormat="false" ht="15" hidden="false" customHeight="false" outlineLevel="0" collapsed="false">
      <c r="A50" s="7" t="s">
        <v>814</v>
      </c>
      <c r="C50" s="8" t="n">
        <f aca="false">-'36-Month Forecast'!C245</f>
        <v>-0</v>
      </c>
      <c r="D50" s="8" t="n">
        <f aca="false">-'36-Month Forecast'!D245</f>
        <v>-0</v>
      </c>
      <c r="E50" s="8" t="n">
        <f aca="false">-'36-Month Forecast'!E245</f>
        <v>-0</v>
      </c>
      <c r="F50" s="8" t="n">
        <f aca="false">-'36-Month Forecast'!F245</f>
        <v>-0</v>
      </c>
      <c r="G50" s="8" t="n">
        <f aca="false">-'36-Month Forecast'!G245</f>
        <v>-0</v>
      </c>
      <c r="H50" s="8" t="n">
        <f aca="false">-'36-Month Forecast'!H245</f>
        <v>-0</v>
      </c>
      <c r="I50" s="8" t="n">
        <f aca="false">-'36-Month Forecast'!I245</f>
        <v>-0</v>
      </c>
      <c r="J50" s="8" t="n">
        <f aca="false">-'36-Month Forecast'!J245</f>
        <v>-139.99</v>
      </c>
      <c r="K50" s="8" t="n">
        <f aca="false">-'36-Month Forecast'!K245</f>
        <v>-139.99</v>
      </c>
      <c r="L50" s="8" t="n">
        <f aca="false">-'36-Month Forecast'!L245</f>
        <v>-139.99</v>
      </c>
      <c r="M50" s="8" t="n">
        <f aca="false">-'36-Month Forecast'!M245</f>
        <v>-139.99</v>
      </c>
      <c r="N50" s="8" t="n">
        <f aca="false">-'36-Month Forecast'!N245</f>
        <v>-139.99</v>
      </c>
      <c r="O50" s="8" t="n">
        <f aca="false">-'36-Month Forecast'!O245</f>
        <v>-139.99</v>
      </c>
      <c r="P50" s="8" t="n">
        <f aca="false">-'36-Month Forecast'!P245</f>
        <v>-139.99</v>
      </c>
      <c r="Q50" s="8" t="n">
        <f aca="false">-'36-Month Forecast'!Q245</f>
        <v>-139.99</v>
      </c>
      <c r="R50" s="8" t="n">
        <f aca="false">-'36-Month Forecast'!R245</f>
        <v>-139.99</v>
      </c>
      <c r="S50" s="8" t="n">
        <f aca="false">-'36-Month Forecast'!S245</f>
        <v>-139.99</v>
      </c>
      <c r="T50" s="8" t="n">
        <f aca="false">-'36-Month Forecast'!T245</f>
        <v>-139.99</v>
      </c>
      <c r="U50" s="8" t="n">
        <f aca="false">-'36-Month Forecast'!U245</f>
        <v>-139.99</v>
      </c>
      <c r="V50" s="8" t="n">
        <f aca="false">-'36-Month Forecast'!V245</f>
        <v>-139.99</v>
      </c>
      <c r="W50" s="8" t="n">
        <f aca="false">-'36-Month Forecast'!W245</f>
        <v>-139.99</v>
      </c>
      <c r="X50" s="8" t="n">
        <f aca="false">-'36-Month Forecast'!X245</f>
        <v>-139.99</v>
      </c>
      <c r="Y50" s="8" t="n">
        <f aca="false">-'36-Month Forecast'!Y245</f>
        <v>-139.99</v>
      </c>
      <c r="Z50" s="8" t="n">
        <f aca="false">-'36-Month Forecast'!Z245</f>
        <v>-139.99</v>
      </c>
      <c r="AA50" s="8" t="n">
        <f aca="false">-'36-Month Forecast'!AA245</f>
        <v>-498.49</v>
      </c>
      <c r="AB50" s="8" t="n">
        <f aca="false">-'36-Month Forecast'!AB245</f>
        <v>-498.49</v>
      </c>
      <c r="AC50" s="8" t="n">
        <f aca="false">-'36-Month Forecast'!AC245</f>
        <v>-498.49</v>
      </c>
      <c r="AD50" s="8" t="n">
        <f aca="false">-'36-Month Forecast'!AD245</f>
        <v>-498.49</v>
      </c>
      <c r="AE50" s="8" t="n">
        <f aca="false">-'36-Month Forecast'!AE245</f>
        <v>-498.49</v>
      </c>
      <c r="AF50" s="8" t="n">
        <f aca="false">-'36-Month Forecast'!AF245</f>
        <v>-498.49</v>
      </c>
      <c r="AG50" s="8" t="n">
        <f aca="false">-'36-Month Forecast'!AG245</f>
        <v>-498.49</v>
      </c>
      <c r="AH50" s="8" t="n">
        <f aca="false">-'36-Month Forecast'!AH245</f>
        <v>-498.49</v>
      </c>
      <c r="AI50" s="8" t="n">
        <f aca="false">-'36-Month Forecast'!AI245</f>
        <v>-498.49</v>
      </c>
      <c r="AJ50" s="8" t="n">
        <f aca="false">-'36-Month Forecast'!AJ245</f>
        <v>-498.49</v>
      </c>
      <c r="AK50" s="8" t="n">
        <f aca="false">-'36-Month Forecast'!AK245</f>
        <v>-498.49</v>
      </c>
      <c r="AL50" s="8" t="n">
        <f aca="false">-'36-Month Forecast'!AL245</f>
        <v>-498.49</v>
      </c>
      <c r="AM50" s="45" t="n">
        <f aca="false">SUMIF($C$6:$AL$6,1,C50:AL50)</f>
        <v>-699.95</v>
      </c>
      <c r="AN50" s="45" t="n">
        <f aca="false">SUMIF($C$6:$AL$6,2,C50:AL50)</f>
        <v>-1679.88</v>
      </c>
      <c r="AO50" s="45" t="n">
        <f aca="false">SUMIF($C$6:$AL$6,3,C50:AL50)</f>
        <v>-5981.88</v>
      </c>
      <c r="AP50" s="45" t="n">
        <f aca="false">SUM(C50:AL50)</f>
        <v>-8361.71</v>
      </c>
    </row>
    <row r="51" customFormat="false" ht="15" hidden="false" customHeight="false" outlineLevel="0" collapsed="false">
      <c r="A51" s="7" t="s">
        <v>815</v>
      </c>
      <c r="C51" s="8" t="n">
        <f aca="false">-'36-Month Forecast'!C247</f>
        <v>-4253.5</v>
      </c>
      <c r="D51" s="8" t="n">
        <f aca="false">-'36-Month Forecast'!D247</f>
        <v>-1420</v>
      </c>
      <c r="E51" s="8" t="n">
        <f aca="false">-'36-Month Forecast'!E247</f>
        <v>-1975</v>
      </c>
      <c r="F51" s="8" t="n">
        <f aca="false">-'36-Month Forecast'!F247</f>
        <v>-650</v>
      </c>
      <c r="G51" s="8" t="n">
        <f aca="false">-'36-Month Forecast'!G247</f>
        <v>-1037.5</v>
      </c>
      <c r="H51" s="8" t="n">
        <f aca="false">-'36-Month Forecast'!H247</f>
        <v>-4250</v>
      </c>
      <c r="I51" s="8" t="n">
        <f aca="false">-'36-Month Forecast'!I247</f>
        <v>-5250</v>
      </c>
      <c r="J51" s="8" t="n">
        <f aca="false">-'36-Month Forecast'!J247</f>
        <v>-0</v>
      </c>
      <c r="K51" s="8" t="n">
        <f aca="false">-'36-Month Forecast'!K247</f>
        <v>-687.5</v>
      </c>
      <c r="L51" s="8" t="n">
        <f aca="false">-'36-Month Forecast'!L247</f>
        <v>-262.5</v>
      </c>
      <c r="M51" s="8" t="n">
        <f aca="false">-'36-Month Forecast'!M247</f>
        <v>-0</v>
      </c>
      <c r="N51" s="8" t="n">
        <f aca="false">-'36-Month Forecast'!N247</f>
        <v>-0</v>
      </c>
      <c r="O51" s="8" t="n">
        <f aca="false">-'36-Month Forecast'!O247</f>
        <v>-0</v>
      </c>
      <c r="P51" s="8" t="n">
        <f aca="false">-'36-Month Forecast'!P247</f>
        <v>-0</v>
      </c>
      <c r="Q51" s="8" t="n">
        <f aca="false">-'36-Month Forecast'!Q247</f>
        <v>-0</v>
      </c>
      <c r="R51" s="8" t="n">
        <f aca="false">-'36-Month Forecast'!R247</f>
        <v>-0</v>
      </c>
      <c r="S51" s="8" t="n">
        <f aca="false">-'36-Month Forecast'!S247</f>
        <v>-0</v>
      </c>
      <c r="T51" s="8" t="n">
        <f aca="false">-'36-Month Forecast'!T247</f>
        <v>-0</v>
      </c>
      <c r="U51" s="8" t="n">
        <f aca="false">-'36-Month Forecast'!U247</f>
        <v>-0</v>
      </c>
      <c r="V51" s="8" t="n">
        <f aca="false">-'36-Month Forecast'!V247</f>
        <v>-0</v>
      </c>
      <c r="W51" s="8" t="n">
        <f aca="false">-'36-Month Forecast'!W247</f>
        <v>-0</v>
      </c>
      <c r="X51" s="8" t="n">
        <f aca="false">-'36-Month Forecast'!X247</f>
        <v>-0</v>
      </c>
      <c r="Y51" s="8" t="n">
        <f aca="false">-'36-Month Forecast'!Y247</f>
        <v>-0</v>
      </c>
      <c r="Z51" s="8" t="n">
        <f aca="false">-'36-Month Forecast'!Z247</f>
        <v>-0</v>
      </c>
      <c r="AA51" s="8" t="n">
        <f aca="false">-'36-Month Forecast'!AA247</f>
        <v>-0</v>
      </c>
      <c r="AB51" s="8" t="n">
        <f aca="false">-'36-Month Forecast'!AB247</f>
        <v>-0</v>
      </c>
      <c r="AC51" s="8" t="n">
        <f aca="false">-'36-Month Forecast'!AC247</f>
        <v>-0</v>
      </c>
      <c r="AD51" s="8" t="n">
        <f aca="false">-'36-Month Forecast'!AD247</f>
        <v>-0</v>
      </c>
      <c r="AE51" s="8" t="n">
        <f aca="false">-'36-Month Forecast'!AE247</f>
        <v>-0</v>
      </c>
      <c r="AF51" s="8" t="n">
        <f aca="false">-'36-Month Forecast'!AF247</f>
        <v>-0</v>
      </c>
      <c r="AG51" s="8" t="n">
        <f aca="false">-'36-Month Forecast'!AG247</f>
        <v>-0</v>
      </c>
      <c r="AH51" s="8" t="n">
        <f aca="false">-'36-Month Forecast'!AH247</f>
        <v>-0</v>
      </c>
      <c r="AI51" s="8" t="n">
        <f aca="false">-'36-Month Forecast'!AI247</f>
        <v>-0</v>
      </c>
      <c r="AJ51" s="8" t="n">
        <f aca="false">-'36-Month Forecast'!AJ247</f>
        <v>-0</v>
      </c>
      <c r="AK51" s="8" t="n">
        <f aca="false">-'36-Month Forecast'!AK247</f>
        <v>-0</v>
      </c>
      <c r="AL51" s="8" t="n">
        <f aca="false">-'36-Month Forecast'!AL247</f>
        <v>-0</v>
      </c>
      <c r="AM51" s="45" t="n">
        <f aca="false">SUMIF($C$6:$AL$6,1,C51:AL51)</f>
        <v>-19786</v>
      </c>
      <c r="AN51" s="45" t="n">
        <f aca="false">SUMIF($C$6:$AL$6,2,C51:AL51)</f>
        <v>0</v>
      </c>
      <c r="AO51" s="45" t="n">
        <f aca="false">SUMIF($C$6:$AL$6,3,C51:AL51)</f>
        <v>0</v>
      </c>
      <c r="AP51" s="45" t="n">
        <f aca="false">SUM(C51:AL51)</f>
        <v>-19786</v>
      </c>
    </row>
    <row r="52" customFormat="false" ht="15" hidden="false" customHeight="false" outlineLevel="0" collapsed="false">
      <c r="A52" s="7" t="s">
        <v>816</v>
      </c>
      <c r="C52" s="8" t="n">
        <f aca="false">-'36-Month Forecast'!C248</f>
        <v>-0</v>
      </c>
      <c r="D52" s="8" t="n">
        <f aca="false">-'36-Month Forecast'!D248</f>
        <v>-0</v>
      </c>
      <c r="E52" s="8" t="n">
        <f aca="false">-'36-Month Forecast'!E248</f>
        <v>-0</v>
      </c>
      <c r="F52" s="8" t="n">
        <f aca="false">-'36-Month Forecast'!F248</f>
        <v>-0</v>
      </c>
      <c r="G52" s="8" t="n">
        <f aca="false">-'36-Month Forecast'!G248</f>
        <v>-0</v>
      </c>
      <c r="H52" s="8" t="n">
        <f aca="false">-'36-Month Forecast'!H248</f>
        <v>-0</v>
      </c>
      <c r="I52" s="8" t="n">
        <f aca="false">-'36-Month Forecast'!I248</f>
        <v>-0</v>
      </c>
      <c r="J52" s="8" t="n">
        <f aca="false">-'36-Month Forecast'!J248</f>
        <v>-1875</v>
      </c>
      <c r="K52" s="8" t="n">
        <f aca="false">-'36-Month Forecast'!K248</f>
        <v>-0</v>
      </c>
      <c r="L52" s="8" t="n">
        <f aca="false">-'36-Month Forecast'!L248</f>
        <v>-0</v>
      </c>
      <c r="M52" s="8" t="n">
        <f aca="false">-'36-Month Forecast'!M248</f>
        <v>-0</v>
      </c>
      <c r="N52" s="8" t="n">
        <f aca="false">-'36-Month Forecast'!N248</f>
        <v>-0</v>
      </c>
      <c r="O52" s="8" t="n">
        <f aca="false">-'36-Month Forecast'!O248</f>
        <v>-179</v>
      </c>
      <c r="P52" s="8" t="n">
        <f aca="false">-'36-Month Forecast'!P248</f>
        <v>-0</v>
      </c>
      <c r="Q52" s="8" t="n">
        <f aca="false">-'36-Month Forecast'!Q248</f>
        <v>-0</v>
      </c>
      <c r="R52" s="8" t="n">
        <f aca="false">-'36-Month Forecast'!R248</f>
        <v>-0</v>
      </c>
      <c r="S52" s="8" t="n">
        <f aca="false">-'36-Month Forecast'!S248</f>
        <v>-0</v>
      </c>
      <c r="T52" s="8" t="n">
        <f aca="false">-'36-Month Forecast'!T248</f>
        <v>-0</v>
      </c>
      <c r="U52" s="8" t="n">
        <f aca="false">-'36-Month Forecast'!U248</f>
        <v>-0</v>
      </c>
      <c r="V52" s="8" t="n">
        <f aca="false">-'36-Month Forecast'!V248</f>
        <v>-0</v>
      </c>
      <c r="W52" s="8" t="n">
        <f aca="false">-'36-Month Forecast'!W248</f>
        <v>-0</v>
      </c>
      <c r="X52" s="8" t="n">
        <f aca="false">-'36-Month Forecast'!X248</f>
        <v>-5100</v>
      </c>
      <c r="Y52" s="8" t="n">
        <f aca="false">-'36-Month Forecast'!Y248</f>
        <v>-0</v>
      </c>
      <c r="Z52" s="8" t="n">
        <f aca="false">-'36-Month Forecast'!Z248</f>
        <v>-0</v>
      </c>
      <c r="AA52" s="8" t="n">
        <f aca="false">-'36-Month Forecast'!AA248</f>
        <v>-0</v>
      </c>
      <c r="AB52" s="8" t="n">
        <f aca="false">-'36-Month Forecast'!AB248</f>
        <v>-0</v>
      </c>
      <c r="AC52" s="8" t="n">
        <f aca="false">-'36-Month Forecast'!AC248</f>
        <v>-0</v>
      </c>
      <c r="AD52" s="8" t="n">
        <f aca="false">-'36-Month Forecast'!AD248</f>
        <v>-0</v>
      </c>
      <c r="AE52" s="8" t="n">
        <f aca="false">-'36-Month Forecast'!AE248</f>
        <v>-0</v>
      </c>
      <c r="AF52" s="8" t="n">
        <f aca="false">-'36-Month Forecast'!AF248</f>
        <v>-0</v>
      </c>
      <c r="AG52" s="8" t="n">
        <f aca="false">-'36-Month Forecast'!AG248</f>
        <v>-0</v>
      </c>
      <c r="AH52" s="8" t="n">
        <f aca="false">-'36-Month Forecast'!AH248</f>
        <v>-0</v>
      </c>
      <c r="AI52" s="8" t="n">
        <f aca="false">-'36-Month Forecast'!AI248</f>
        <v>-0</v>
      </c>
      <c r="AJ52" s="8" t="n">
        <f aca="false">-'36-Month Forecast'!AJ248</f>
        <v>-0</v>
      </c>
      <c r="AK52" s="8" t="n">
        <f aca="false">-'36-Month Forecast'!AK248</f>
        <v>-0</v>
      </c>
      <c r="AL52" s="8" t="n">
        <f aca="false">-'36-Month Forecast'!AL248</f>
        <v>-0</v>
      </c>
      <c r="AM52" s="45" t="n">
        <f aca="false">SUMIF($C$6:$AL$6,1,C52:AL52)</f>
        <v>-1875</v>
      </c>
      <c r="AN52" s="45" t="n">
        <f aca="false">SUMIF($C$6:$AL$6,2,C52:AL52)</f>
        <v>-5279</v>
      </c>
      <c r="AO52" s="45" t="n">
        <f aca="false">SUMIF($C$6:$AL$6,3,C52:AL52)</f>
        <v>0</v>
      </c>
      <c r="AP52" s="45" t="n">
        <f aca="false">SUM(C52:AL52)</f>
        <v>-7154</v>
      </c>
    </row>
    <row r="53" customFormat="false" ht="15" hidden="false" customHeight="false" outlineLevel="0" collapsed="false">
      <c r="A53" s="57" t="s">
        <v>817</v>
      </c>
      <c r="B53" s="61"/>
      <c r="C53" s="59" t="n">
        <f aca="false">SUM(C45:C52)</f>
        <v>-5454.53138868705</v>
      </c>
      <c r="D53" s="59" t="n">
        <f aca="false">SUM(D45:D52)</f>
        <v>-2194.488954586</v>
      </c>
      <c r="E53" s="59" t="n">
        <f aca="false">SUM(E45:E52)</f>
        <v>-2745.31572384696</v>
      </c>
      <c r="F53" s="59" t="n">
        <f aca="false">SUM(F45:F52)</f>
        <v>-1733.50745359908</v>
      </c>
      <c r="G53" s="59" t="n">
        <f aca="false">SUM(G45:G52)</f>
        <v>-1768.38639194964</v>
      </c>
      <c r="H53" s="59" t="n">
        <f aca="false">SUM(H45:H52)</f>
        <v>-4652.79474963379</v>
      </c>
      <c r="I53" s="59" t="n">
        <f aca="false">SUM(I45:I52)</f>
        <v>-6978.90742034551</v>
      </c>
      <c r="J53" s="59" t="n">
        <f aca="false">SUM(J45:J52)</f>
        <v>-5830.77758519551</v>
      </c>
      <c r="K53" s="59" t="n">
        <f aca="false">SUM(K45:K52)</f>
        <v>-807.312987539542</v>
      </c>
      <c r="L53" s="59" t="n">
        <f aca="false">SUM(L45:L52)</f>
        <v>-325.910194835587</v>
      </c>
      <c r="M53" s="59" t="n">
        <f aca="false">SUM(M45:M52)</f>
        <v>-12.9417834927074</v>
      </c>
      <c r="N53" s="59" t="n">
        <f aca="false">SUM(N45:N52)</f>
        <v>85.3652184148375</v>
      </c>
      <c r="O53" s="59" t="n">
        <f aca="false">SUM(O45:O52)</f>
        <v>-961.964353017885</v>
      </c>
      <c r="P53" s="59" t="n">
        <f aca="false">SUM(P45:P52)</f>
        <v>536.94249689385</v>
      </c>
      <c r="Q53" s="59" t="n">
        <f aca="false">SUM(Q45:Q52)</f>
        <v>768.593946818703</v>
      </c>
      <c r="R53" s="59" t="n">
        <f aca="false">SUM(R45:R52)</f>
        <v>544.378401276864</v>
      </c>
      <c r="S53" s="59" t="n">
        <f aca="false">SUM(S45:S52)</f>
        <v>641.401226981516</v>
      </c>
      <c r="T53" s="59" t="n">
        <f aca="false">SUM(T45:T52)</f>
        <v>968.099671288806</v>
      </c>
      <c r="U53" s="59" t="n">
        <f aca="false">SUM(U45:U52)</f>
        <v>-451.147250691771</v>
      </c>
      <c r="V53" s="59" t="n">
        <f aca="false">SUM(V45:V52)</f>
        <v>980.295985290221</v>
      </c>
      <c r="W53" s="59" t="n">
        <f aca="false">SUM(W45:W52)</f>
        <v>1146.11823842102</v>
      </c>
      <c r="X53" s="59" t="n">
        <f aca="false">SUM(X45:X52)</f>
        <v>-4071.1720730892</v>
      </c>
      <c r="Y53" s="59" t="n">
        <f aca="false">SUM(Y45:Y52)</f>
        <v>1076.85996529048</v>
      </c>
      <c r="Z53" s="59" t="n">
        <f aca="false">SUM(Z45:Z52)</f>
        <v>1405.04990713434</v>
      </c>
      <c r="AA53" s="59" t="n">
        <f aca="false">SUM(AA45:AA52)</f>
        <v>301.855836581099</v>
      </c>
      <c r="AB53" s="59" t="n">
        <f aca="false">SUM(AB45:AB52)</f>
        <v>1815.31715144578</v>
      </c>
      <c r="AC53" s="59" t="n">
        <f aca="false">SUM(AC45:AC52)</f>
        <v>2051.41410157608</v>
      </c>
      <c r="AD53" s="59" t="n">
        <f aca="false">SUM(AD45:AD52)</f>
        <v>1754.12620011751</v>
      </c>
      <c r="AE53" s="59" t="n">
        <f aca="false">SUM(AE45:AE52)</f>
        <v>1677.06249228303</v>
      </c>
      <c r="AF53" s="59" t="n">
        <f aca="false">SUM(AF45:AF52)</f>
        <v>1965.72175882954</v>
      </c>
      <c r="AG53" s="59" t="n">
        <f aca="false">SUM(AG45:AG52)</f>
        <v>471.388473625275</v>
      </c>
      <c r="AH53" s="59" t="n">
        <f aca="false">SUM(AH45:AH52)</f>
        <v>1823.02904505107</v>
      </c>
      <c r="AI53" s="59" t="n">
        <f aca="false">SUM(AI45:AI52)</f>
        <v>1966.75380132478</v>
      </c>
      <c r="AJ53" s="59" t="n">
        <f aca="false">SUM(AJ45:AJ52)</f>
        <v>1721.52563030841</v>
      </c>
      <c r="AK53" s="59" t="n">
        <f aca="false">SUM(AK45:AK52)</f>
        <v>1710.17668124592</v>
      </c>
      <c r="AL53" s="59" t="n">
        <f aca="false">SUM(AL45:AL52)</f>
        <v>2093.66210024139</v>
      </c>
      <c r="AM53" s="60" t="n">
        <f aca="false">SUMIF($C$6:$AL$6,1,C53:AL53)</f>
        <v>-32419.5094152965</v>
      </c>
      <c r="AN53" s="60" t="n">
        <f aca="false">SUMIF($C$6:$AL$6,2,C53:AL53)</f>
        <v>2583.45616259695</v>
      </c>
      <c r="AO53" s="60" t="n">
        <f aca="false">SUMIF($C$6:$AL$6,3,C53:AL53)</f>
        <v>19352.0332726299</v>
      </c>
      <c r="AP53" s="60" t="n">
        <f aca="false">SUM(C53:AL53)</f>
        <v>-10484.0199800697</v>
      </c>
    </row>
    <row r="54" customFormat="false" ht="15" hidden="false" customHeight="false" outlineLevel="0" collapsed="false">
      <c r="A54" s="7" t="s">
        <v>818</v>
      </c>
      <c r="C54" s="8" t="n">
        <f aca="false">-Assumptions!$C$14*MAX(0,C53)</f>
        <v>-0</v>
      </c>
      <c r="D54" s="8" t="n">
        <f aca="false">-Assumptions!$C$14*MAX(0,D53)</f>
        <v>-0</v>
      </c>
      <c r="E54" s="8" t="n">
        <f aca="false">-Assumptions!$C$14*MAX(0,E53)</f>
        <v>-0</v>
      </c>
      <c r="F54" s="8" t="n">
        <f aca="false">-Assumptions!$C$14*MAX(0,F53)</f>
        <v>-0</v>
      </c>
      <c r="G54" s="8" t="n">
        <f aca="false">-Assumptions!$C$14*MAX(0,G53)</f>
        <v>-0</v>
      </c>
      <c r="H54" s="8" t="n">
        <f aca="false">-Assumptions!$C$14*MAX(0,H53)</f>
        <v>-0</v>
      </c>
      <c r="I54" s="8" t="n">
        <f aca="false">-Assumptions!$C$14*MAX(0,I53)</f>
        <v>-0</v>
      </c>
      <c r="J54" s="8" t="n">
        <f aca="false">-Assumptions!$C$14*MAX(0,J53)</f>
        <v>-0</v>
      </c>
      <c r="K54" s="8" t="n">
        <f aca="false">-Assumptions!$C$14*MAX(0,K53)</f>
        <v>-0</v>
      </c>
      <c r="L54" s="8" t="n">
        <f aca="false">-Assumptions!$C$14*MAX(0,L53)</f>
        <v>-0</v>
      </c>
      <c r="M54" s="8" t="n">
        <f aca="false">-Assumptions!$C$14*MAX(0,M53)</f>
        <v>-0</v>
      </c>
      <c r="N54" s="8" t="n">
        <f aca="false">-Assumptions!$C$14*MAX(0,N53)</f>
        <v>-21.3413046037094</v>
      </c>
      <c r="O54" s="8" t="n">
        <f aca="false">-Assumptions!$C$14*MAX(0,O53)</f>
        <v>-0</v>
      </c>
      <c r="P54" s="8" t="n">
        <f aca="false">-Assumptions!$C$14*MAX(0,P53)</f>
        <v>-134.235624223462</v>
      </c>
      <c r="Q54" s="8" t="n">
        <f aca="false">-Assumptions!$C$14*MAX(0,Q53)</f>
        <v>-192.148486704676</v>
      </c>
      <c r="R54" s="8" t="n">
        <f aca="false">-Assumptions!$C$14*MAX(0,R53)</f>
        <v>-136.094600319216</v>
      </c>
      <c r="S54" s="8" t="n">
        <f aca="false">-Assumptions!$C$14*MAX(0,S53)</f>
        <v>-160.350306745379</v>
      </c>
      <c r="T54" s="8" t="n">
        <f aca="false">-Assumptions!$C$14*MAX(0,T53)</f>
        <v>-242.024917822201</v>
      </c>
      <c r="U54" s="8" t="n">
        <f aca="false">-Assumptions!$C$14*MAX(0,U53)</f>
        <v>-0</v>
      </c>
      <c r="V54" s="8" t="n">
        <f aca="false">-Assumptions!$C$14*MAX(0,V53)</f>
        <v>-245.073996322555</v>
      </c>
      <c r="W54" s="8" t="n">
        <f aca="false">-Assumptions!$C$14*MAX(0,W53)</f>
        <v>-286.529559605255</v>
      </c>
      <c r="X54" s="8" t="n">
        <f aca="false">-Assumptions!$C$14*MAX(0,X53)</f>
        <v>-0</v>
      </c>
      <c r="Y54" s="8" t="n">
        <f aca="false">-Assumptions!$C$14*MAX(0,Y53)</f>
        <v>-269.21499132262</v>
      </c>
      <c r="Z54" s="8" t="n">
        <f aca="false">-Assumptions!$C$14*MAX(0,Z53)</f>
        <v>-351.262476783586</v>
      </c>
      <c r="AA54" s="8" t="n">
        <f aca="false">-Assumptions!$C$14*MAX(0,AA53)</f>
        <v>-75.4639591452748</v>
      </c>
      <c r="AB54" s="8" t="n">
        <f aca="false">-Assumptions!$C$14*MAX(0,AB53)</f>
        <v>-453.829287861445</v>
      </c>
      <c r="AC54" s="8" t="n">
        <f aca="false">-Assumptions!$C$14*MAX(0,AC53)</f>
        <v>-512.85352539402</v>
      </c>
      <c r="AD54" s="8" t="n">
        <f aca="false">-Assumptions!$C$14*MAX(0,AD53)</f>
        <v>-438.531550029377</v>
      </c>
      <c r="AE54" s="8" t="n">
        <f aca="false">-Assumptions!$C$14*MAX(0,AE53)</f>
        <v>-419.265623070757</v>
      </c>
      <c r="AF54" s="8" t="n">
        <f aca="false">-Assumptions!$C$14*MAX(0,AF53)</f>
        <v>-491.430439707385</v>
      </c>
      <c r="AG54" s="8" t="n">
        <f aca="false">-Assumptions!$C$14*MAX(0,AG53)</f>
        <v>-117.847118406319</v>
      </c>
      <c r="AH54" s="8" t="n">
        <f aca="false">-Assumptions!$C$14*MAX(0,AH53)</f>
        <v>-455.757261262768</v>
      </c>
      <c r="AI54" s="8" t="n">
        <f aca="false">-Assumptions!$C$14*MAX(0,AI53)</f>
        <v>-491.688450331195</v>
      </c>
      <c r="AJ54" s="8" t="n">
        <f aca="false">-Assumptions!$C$14*MAX(0,AJ53)</f>
        <v>-430.381407577101</v>
      </c>
      <c r="AK54" s="8" t="n">
        <f aca="false">-Assumptions!$C$14*MAX(0,AK53)</f>
        <v>-427.544170311481</v>
      </c>
      <c r="AL54" s="8" t="n">
        <f aca="false">-Assumptions!$C$14*MAX(0,AL53)</f>
        <v>-523.415525060348</v>
      </c>
      <c r="AM54" s="45" t="n">
        <f aca="false">SUMIF($C$6:$AL$6,1,C54:AL54)</f>
        <v>-21.3413046037094</v>
      </c>
      <c r="AN54" s="45" t="n">
        <f aca="false">SUMIF($C$6:$AL$6,2,C54:AL54)</f>
        <v>-2016.93495984895</v>
      </c>
      <c r="AO54" s="45" t="n">
        <f aca="false">SUMIF($C$6:$AL$6,3,C54:AL54)</f>
        <v>-4838.00831815747</v>
      </c>
      <c r="AP54" s="45" t="n">
        <f aca="false">SUM(C54:AL54)</f>
        <v>-6876.28458261013</v>
      </c>
    </row>
    <row r="55" customFormat="false" ht="15" hidden="false" customHeight="false" outlineLevel="0" collapsed="false">
      <c r="A55" s="57" t="s">
        <v>819</v>
      </c>
      <c r="B55" s="61"/>
      <c r="C55" s="62" t="n">
        <f aca="false">Assumptions!$C$15+C53+C54</f>
        <v>-5454.53138868705</v>
      </c>
      <c r="D55" s="59" t="n">
        <f aca="false">C55+D53+D54</f>
        <v>-7649.02034327305</v>
      </c>
      <c r="E55" s="59" t="n">
        <f aca="false">D55+E53+E54</f>
        <v>-10394.33606712</v>
      </c>
      <c r="F55" s="59" t="n">
        <f aca="false">E55+F53+F54</f>
        <v>-12127.8435207191</v>
      </c>
      <c r="G55" s="59" t="n">
        <f aca="false">F55+G53+G54</f>
        <v>-13896.2299126687</v>
      </c>
      <c r="H55" s="59" t="n">
        <f aca="false">G55+H53+H54</f>
        <v>-18549.0246623025</v>
      </c>
      <c r="I55" s="59" t="n">
        <f aca="false">H55+I53+I54</f>
        <v>-25527.932082648</v>
      </c>
      <c r="J55" s="59" t="n">
        <f aca="false">I55+J53+J54</f>
        <v>-31358.7096678435</v>
      </c>
      <c r="K55" s="59" t="n">
        <f aca="false">J55+K53+K54</f>
        <v>-32166.0226553831</v>
      </c>
      <c r="L55" s="59" t="n">
        <f aca="false">K55+L53+L54</f>
        <v>-32491.9328502187</v>
      </c>
      <c r="M55" s="59" t="n">
        <f aca="false">L55+M53+M54</f>
        <v>-32504.8746337114</v>
      </c>
      <c r="N55" s="59" t="n">
        <f aca="false">M55+N53+N54</f>
        <v>-32440.8507199002</v>
      </c>
      <c r="O55" s="59" t="n">
        <f aca="false">N55+O53+O54</f>
        <v>-33402.8150729181</v>
      </c>
      <c r="P55" s="59" t="n">
        <f aca="false">O55+P53+P54</f>
        <v>-33000.1082002477</v>
      </c>
      <c r="Q55" s="59" t="n">
        <f aca="false">P55+Q53+Q54</f>
        <v>-32423.6627401337</v>
      </c>
      <c r="R55" s="59" t="n">
        <f aca="false">Q55+R53+R54</f>
        <v>-32015.3789391761</v>
      </c>
      <c r="S55" s="59" t="n">
        <f aca="false">R55+S53+S54</f>
        <v>-31534.3280189399</v>
      </c>
      <c r="T55" s="59" t="n">
        <f aca="false">S55+T53+T54</f>
        <v>-30808.2532654733</v>
      </c>
      <c r="U55" s="59" t="n">
        <f aca="false">T55+U53+U54</f>
        <v>-31259.4005161651</v>
      </c>
      <c r="V55" s="59" t="n">
        <f aca="false">U55+V53+V54</f>
        <v>-30524.1785271974</v>
      </c>
      <c r="W55" s="59" t="n">
        <f aca="false">V55+W53+W54</f>
        <v>-29664.5898483817</v>
      </c>
      <c r="X55" s="59" t="n">
        <f aca="false">W55+X53+X54</f>
        <v>-33735.7619214709</v>
      </c>
      <c r="Y55" s="59" t="n">
        <f aca="false">X55+Y53+Y54</f>
        <v>-32928.116947503</v>
      </c>
      <c r="Z55" s="59" t="n">
        <f aca="false">Y55+Z53+Z54</f>
        <v>-31874.3295171522</v>
      </c>
      <c r="AA55" s="59" t="n">
        <f aca="false">Z55+AA53+AA54</f>
        <v>-31647.9376397164</v>
      </c>
      <c r="AB55" s="59" t="n">
        <f aca="false">AA55+AB53+AB54</f>
        <v>-30286.4497761321</v>
      </c>
      <c r="AC55" s="59" t="n">
        <f aca="false">AB55+AC53+AC54</f>
        <v>-28747.88919995</v>
      </c>
      <c r="AD55" s="59" t="n">
        <f aca="false">AC55+AD53+AD54</f>
        <v>-27432.2945498619</v>
      </c>
      <c r="AE55" s="59" t="n">
        <f aca="false">AD55+AE53+AE54</f>
        <v>-26174.4976806496</v>
      </c>
      <c r="AF55" s="59" t="n">
        <f aca="false">AE55+AF53+AF54</f>
        <v>-24700.2063615275</v>
      </c>
      <c r="AG55" s="59" t="n">
        <f aca="false">AF55+AG53+AG54</f>
        <v>-24346.6650063085</v>
      </c>
      <c r="AH55" s="59" t="n">
        <f aca="false">AG55+AH53+AH54</f>
        <v>-22979.3932225202</v>
      </c>
      <c r="AI55" s="59" t="n">
        <f aca="false">AH55+AI53+AI54</f>
        <v>-21504.3278715266</v>
      </c>
      <c r="AJ55" s="59" t="n">
        <f aca="false">AI55+AJ53+AJ54</f>
        <v>-20213.1836487953</v>
      </c>
      <c r="AK55" s="59" t="n">
        <f aca="false">AJ55+AK53+AK54</f>
        <v>-18930.5511378609</v>
      </c>
      <c r="AL55" s="59" t="n">
        <f aca="false">AK55+AL53+AL54</f>
        <v>-17360.3045626798</v>
      </c>
      <c r="AM55" s="60" t="n">
        <f aca="false">N55</f>
        <v>-32440.8507199002</v>
      </c>
      <c r="AN55" s="60" t="n">
        <f aca="false">Z55</f>
        <v>-31874.3295171522</v>
      </c>
      <c r="AO55" s="60" t="n">
        <f aca="false">AL55</f>
        <v>-17360.3045626798</v>
      </c>
      <c r="AP55" s="60" t="n">
        <f aca="false">AL55</f>
        <v>-17360.3045626798</v>
      </c>
    </row>
    <row r="56" customFormat="false" ht="15" hidden="false" customHeight="false" outlineLevel="0" collapsed="false">
      <c r="A56" s="7" t="s">
        <v>820</v>
      </c>
      <c r="C56" s="41" t="n">
        <f aca="false">-C54</f>
        <v>0</v>
      </c>
      <c r="D56" s="41" t="n">
        <f aca="false">-D54+C56</f>
        <v>0</v>
      </c>
      <c r="E56" s="41" t="n">
        <f aca="false">-E54+D56</f>
        <v>0</v>
      </c>
      <c r="F56" s="41" t="n">
        <f aca="false">-F54+E56</f>
        <v>0</v>
      </c>
      <c r="G56" s="41" t="n">
        <f aca="false">-G54+F56</f>
        <v>0</v>
      </c>
      <c r="H56" s="41" t="n">
        <f aca="false">-H54+G56</f>
        <v>0</v>
      </c>
      <c r="I56" s="41" t="n">
        <f aca="false">-I54+H56</f>
        <v>0</v>
      </c>
      <c r="J56" s="41" t="n">
        <f aca="false">-J54+I56</f>
        <v>0</v>
      </c>
      <c r="K56" s="41" t="n">
        <f aca="false">-K54+J56</f>
        <v>0</v>
      </c>
      <c r="L56" s="41" t="n">
        <f aca="false">-L54+K56</f>
        <v>0</v>
      </c>
      <c r="M56" s="41" t="n">
        <f aca="false">-M54+L56</f>
        <v>0</v>
      </c>
      <c r="N56" s="41" t="n">
        <f aca="false">-N54+M56</f>
        <v>21.3413046037094</v>
      </c>
      <c r="O56" s="41" t="n">
        <f aca="false">-O54+N56</f>
        <v>21.3413046037094</v>
      </c>
      <c r="P56" s="41" t="n">
        <f aca="false">-P54+O56</f>
        <v>155.576928827172</v>
      </c>
      <c r="Q56" s="41" t="n">
        <f aca="false">-Q54+P56</f>
        <v>347.725415531848</v>
      </c>
      <c r="R56" s="41" t="n">
        <f aca="false">-R54+Q56</f>
        <v>483.820015851064</v>
      </c>
      <c r="S56" s="41" t="n">
        <f aca="false">-S54+R56</f>
        <v>644.170322596443</v>
      </c>
      <c r="T56" s="41" t="n">
        <f aca="false">-T54+S56</f>
        <v>886.195240418644</v>
      </c>
      <c r="U56" s="41" t="n">
        <f aca="false">-U54+T56</f>
        <v>886.195240418644</v>
      </c>
      <c r="V56" s="41" t="n">
        <f aca="false">-V54+U56</f>
        <v>1131.2692367412</v>
      </c>
      <c r="W56" s="41" t="n">
        <f aca="false">-W54+V56</f>
        <v>1417.79879634645</v>
      </c>
      <c r="X56" s="41" t="n">
        <f aca="false">-X54+W56</f>
        <v>1417.79879634645</v>
      </c>
      <c r="Y56" s="41" t="n">
        <f aca="false">-Y54+X56</f>
        <v>1687.01378766907</v>
      </c>
      <c r="Z56" s="41" t="n">
        <f aca="false">-Z54+Y56</f>
        <v>2038.27626445266</v>
      </c>
      <c r="AA56" s="41" t="n">
        <f aca="false">-AA54+Z56</f>
        <v>2113.74022359794</v>
      </c>
      <c r="AB56" s="41" t="n">
        <f aca="false">-AB54+AA56</f>
        <v>2567.56951145938</v>
      </c>
      <c r="AC56" s="41" t="n">
        <f aca="false">-AC54+AB56</f>
        <v>3080.4230368534</v>
      </c>
      <c r="AD56" s="41" t="n">
        <f aca="false">-AD54+AC56</f>
        <v>3518.95458688278</v>
      </c>
      <c r="AE56" s="41" t="n">
        <f aca="false">-AE54+AD56</f>
        <v>3938.22020995353</v>
      </c>
      <c r="AF56" s="41" t="n">
        <f aca="false">-AF54+AE56</f>
        <v>4429.65064966092</v>
      </c>
      <c r="AG56" s="41" t="n">
        <f aca="false">-AG54+AF56</f>
        <v>4547.49776806724</v>
      </c>
      <c r="AH56" s="41" t="n">
        <f aca="false">-AH54+AG56</f>
        <v>5003.25502933001</v>
      </c>
      <c r="AI56" s="41" t="n">
        <f aca="false">-AI54+AH56</f>
        <v>5494.9434796612</v>
      </c>
      <c r="AJ56" s="41" t="n">
        <f aca="false">-AJ54+AI56</f>
        <v>5925.3248872383</v>
      </c>
      <c r="AK56" s="41" t="n">
        <f aca="false">-AK54+AJ56</f>
        <v>6352.86905754978</v>
      </c>
      <c r="AL56" s="41" t="n">
        <f aca="false">-AL54+AK56</f>
        <v>6876.28458261013</v>
      </c>
      <c r="AM56" s="45" t="n">
        <f aca="false">N56</f>
        <v>21.3413046037094</v>
      </c>
      <c r="AN56" s="45" t="n">
        <f aca="false">Z56</f>
        <v>2038.27626445266</v>
      </c>
      <c r="AO56" s="45" t="n">
        <f aca="false">AL56</f>
        <v>6876.28458261013</v>
      </c>
      <c r="AP56" s="45" t="n">
        <f aca="false">AL56</f>
        <v>6876.28458261013</v>
      </c>
    </row>
    <row r="57" customFormat="false" ht="15" hidden="false" customHeight="false" outlineLevel="0" collapsed="false">
      <c r="A57" s="7" t="s">
        <v>821</v>
      </c>
      <c r="C57" s="41" t="n">
        <f aca="false">C55+C56</f>
        <v>-5454.53138868705</v>
      </c>
      <c r="D57" s="41" t="n">
        <f aca="false">D55+D56</f>
        <v>-7649.02034327305</v>
      </c>
      <c r="E57" s="41" t="n">
        <f aca="false">E55+E56</f>
        <v>-10394.33606712</v>
      </c>
      <c r="F57" s="41" t="n">
        <f aca="false">F55+F56</f>
        <v>-12127.8435207191</v>
      </c>
      <c r="G57" s="41" t="n">
        <f aca="false">G55+G56</f>
        <v>-13896.2299126687</v>
      </c>
      <c r="H57" s="41" t="n">
        <f aca="false">H55+H56</f>
        <v>-18549.0246623025</v>
      </c>
      <c r="I57" s="41" t="n">
        <f aca="false">I55+I56</f>
        <v>-25527.932082648</v>
      </c>
      <c r="J57" s="41" t="n">
        <f aca="false">J55+J56</f>
        <v>-31358.7096678435</v>
      </c>
      <c r="K57" s="41" t="n">
        <f aca="false">K55+K56</f>
        <v>-32166.0226553831</v>
      </c>
      <c r="L57" s="41" t="n">
        <f aca="false">L55+L56</f>
        <v>-32491.9328502187</v>
      </c>
      <c r="M57" s="41" t="n">
        <f aca="false">M55+M56</f>
        <v>-32504.8746337114</v>
      </c>
      <c r="N57" s="41" t="n">
        <f aca="false">N55+N56</f>
        <v>-32419.5094152965</v>
      </c>
      <c r="O57" s="41" t="n">
        <f aca="false">O55+O56</f>
        <v>-33381.4737683144</v>
      </c>
      <c r="P57" s="41" t="n">
        <f aca="false">P55+P56</f>
        <v>-32844.5312714206</v>
      </c>
      <c r="Q57" s="41" t="n">
        <f aca="false">Q55+Q56</f>
        <v>-32075.9373246019</v>
      </c>
      <c r="R57" s="41" t="n">
        <f aca="false">R55+R56</f>
        <v>-31531.558923325</v>
      </c>
      <c r="S57" s="41" t="n">
        <f aca="false">S55+S56</f>
        <v>-30890.1576963435</v>
      </c>
      <c r="T57" s="41" t="n">
        <f aca="false">T55+T56</f>
        <v>-29922.0580250547</v>
      </c>
      <c r="U57" s="41" t="n">
        <f aca="false">U55+U56</f>
        <v>-30373.2052757464</v>
      </c>
      <c r="V57" s="41" t="n">
        <f aca="false">V55+V56</f>
        <v>-29392.9092904562</v>
      </c>
      <c r="W57" s="41" t="n">
        <f aca="false">W55+W56</f>
        <v>-28246.7910520352</v>
      </c>
      <c r="X57" s="41" t="n">
        <f aca="false">X55+X56</f>
        <v>-32317.9631251244</v>
      </c>
      <c r="Y57" s="41" t="n">
        <f aca="false">Y55+Y56</f>
        <v>-31241.1031598339</v>
      </c>
      <c r="Z57" s="41" t="n">
        <f aca="false">Z55+Z56</f>
        <v>-29836.0532526996</v>
      </c>
      <c r="AA57" s="41" t="n">
        <f aca="false">AA55+AA56</f>
        <v>-29534.1974161185</v>
      </c>
      <c r="AB57" s="41" t="n">
        <f aca="false">AB55+AB56</f>
        <v>-27718.8802646727</v>
      </c>
      <c r="AC57" s="41" t="n">
        <f aca="false">AC55+AC56</f>
        <v>-25667.4661630966</v>
      </c>
      <c r="AD57" s="41" t="n">
        <f aca="false">AD55+AD56</f>
        <v>-23913.3399629791</v>
      </c>
      <c r="AE57" s="41" t="n">
        <f aca="false">AE55+AE56</f>
        <v>-22236.2774706961</v>
      </c>
      <c r="AF57" s="41" t="n">
        <f aca="false">AF55+AF56</f>
        <v>-20270.5557118666</v>
      </c>
      <c r="AG57" s="41" t="n">
        <f aca="false">AG55+AG56</f>
        <v>-19799.1672382413</v>
      </c>
      <c r="AH57" s="41" t="n">
        <f aca="false">AH55+AH56</f>
        <v>-17976.1381931902</v>
      </c>
      <c r="AI57" s="41" t="n">
        <f aca="false">AI55+AI56</f>
        <v>-16009.3843918654</v>
      </c>
      <c r="AJ57" s="41" t="n">
        <f aca="false">AJ55+AJ56</f>
        <v>-14287.858761557</v>
      </c>
      <c r="AK57" s="41" t="n">
        <f aca="false">AK55+AK56</f>
        <v>-12577.6820803111</v>
      </c>
      <c r="AL57" s="41" t="n">
        <f aca="false">AL55+AL56</f>
        <v>-10484.0199800697</v>
      </c>
      <c r="AM57" s="45" t="n">
        <f aca="false">N57</f>
        <v>-32419.5094152965</v>
      </c>
      <c r="AN57" s="45" t="n">
        <f aca="false">Z57</f>
        <v>-29836.0532526996</v>
      </c>
      <c r="AO57" s="45" t="n">
        <f aca="false">AL57</f>
        <v>-10484.0199800697</v>
      </c>
      <c r="AP57" s="45" t="n">
        <f aca="false">AL57</f>
        <v>-10484.0199800697</v>
      </c>
    </row>
    <row r="58" customFormat="false" ht="15" hidden="false" customHeight="false" outlineLevel="0" collapsed="false">
      <c r="A58" s="7" t="s">
        <v>822</v>
      </c>
      <c r="C58" s="8" t="n">
        <f aca="false">Assumptions!$C$18*('36-Month Forecast'!C244+'36-Month Forecast'!C245+'36-Month Forecast'!C243)</f>
        <v>3711.9555</v>
      </c>
      <c r="D58" s="8" t="n">
        <f aca="false">Assumptions!$C$18*('36-Month Forecast'!D244+'36-Month Forecast'!D245+'36-Month Forecast'!D243)</f>
        <v>2657.1555</v>
      </c>
      <c r="E58" s="8" t="n">
        <f aca="false">Assumptions!$C$18*('36-Month Forecast'!E244+'36-Month Forecast'!E245+'36-Month Forecast'!E243)</f>
        <v>2893.1055</v>
      </c>
      <c r="F58" s="8" t="n">
        <f aca="false">Assumptions!$C$18*('36-Month Forecast'!F244+'36-Month Forecast'!F245+'36-Month Forecast'!F243)</f>
        <v>4130.6055</v>
      </c>
      <c r="G58" s="8" t="n">
        <f aca="false">Assumptions!$C$18*('36-Month Forecast'!G244+'36-Month Forecast'!G245+'36-Month Forecast'!G243)</f>
        <v>3282.5055</v>
      </c>
      <c r="H58" s="8" t="n">
        <f aca="false">Assumptions!$C$18*('36-Month Forecast'!H244+'36-Month Forecast'!H245+'36-Month Forecast'!H243)</f>
        <v>2893.1055</v>
      </c>
      <c r="I58" s="8" t="n">
        <f aca="false">Assumptions!$C$18*('36-Month Forecast'!I244+'36-Month Forecast'!I245+'36-Month Forecast'!I243)</f>
        <v>7183.1055</v>
      </c>
      <c r="J58" s="8" t="n">
        <f aca="false">Assumptions!$C$18*('36-Month Forecast'!J244+'36-Month Forecast'!J245+'36-Month Forecast'!J243)</f>
        <v>3313.0755</v>
      </c>
      <c r="K58" s="8" t="n">
        <f aca="false">Assumptions!$C$18*('36-Month Forecast'!K244+'36-Month Forecast'!K245+'36-Month Forecast'!K243)</f>
        <v>3313.0755</v>
      </c>
      <c r="L58" s="8" t="n">
        <f aca="false">Assumptions!$C$18*('36-Month Forecast'!L244+'36-Month Forecast'!L245+'36-Month Forecast'!L243)</f>
        <v>3313.0755</v>
      </c>
      <c r="M58" s="8" t="n">
        <f aca="false">Assumptions!$C$18*('36-Month Forecast'!M244+'36-Month Forecast'!M245+'36-Month Forecast'!M243)</f>
        <v>3313.0755</v>
      </c>
      <c r="N58" s="8" t="n">
        <f aca="false">Assumptions!$C$18*('36-Month Forecast'!N244+'36-Month Forecast'!N245+'36-Month Forecast'!N243)</f>
        <v>3313.0755</v>
      </c>
      <c r="O58" s="8" t="n">
        <f aca="false">Assumptions!$C$18*('36-Month Forecast'!O244+'36-Month Forecast'!O245+'36-Month Forecast'!O243)</f>
        <v>6322.2255</v>
      </c>
      <c r="P58" s="8" t="n">
        <f aca="false">Assumptions!$C$18*('36-Month Forecast'!P244+'36-Month Forecast'!P245+'36-Month Forecast'!P243)</f>
        <v>3827.4255</v>
      </c>
      <c r="Q58" s="8" t="n">
        <f aca="false">Assumptions!$C$18*('36-Month Forecast'!Q244+'36-Month Forecast'!Q245+'36-Month Forecast'!Q243)</f>
        <v>3827.4255</v>
      </c>
      <c r="R58" s="8" t="n">
        <f aca="false">Assumptions!$C$18*('36-Month Forecast'!R244+'36-Month Forecast'!R245+'36-Month Forecast'!R243)</f>
        <v>5064.9255</v>
      </c>
      <c r="S58" s="8" t="n">
        <f aca="false">Assumptions!$C$18*('36-Month Forecast'!S244+'36-Month Forecast'!S245+'36-Month Forecast'!S243)</f>
        <v>4216.8255</v>
      </c>
      <c r="T58" s="8" t="n">
        <f aca="false">Assumptions!$C$18*('36-Month Forecast'!T244+'36-Month Forecast'!T245+'36-Month Forecast'!T243)</f>
        <v>3827.4255</v>
      </c>
      <c r="U58" s="8" t="n">
        <f aca="false">Assumptions!$C$18*('36-Month Forecast'!U244+'36-Month Forecast'!U245+'36-Month Forecast'!U243)</f>
        <v>8117.4255</v>
      </c>
      <c r="V58" s="8" t="n">
        <f aca="false">Assumptions!$C$18*('36-Month Forecast'!V244+'36-Month Forecast'!V245+'36-Month Forecast'!V243)</f>
        <v>3827.4255</v>
      </c>
      <c r="W58" s="8" t="n">
        <f aca="false">Assumptions!$C$18*('36-Month Forecast'!W244+'36-Month Forecast'!W245+'36-Month Forecast'!W243)</f>
        <v>3827.4255</v>
      </c>
      <c r="X58" s="8" t="n">
        <f aca="false">Assumptions!$C$18*('36-Month Forecast'!X244+'36-Month Forecast'!X245+'36-Month Forecast'!X243)</f>
        <v>3827.4255</v>
      </c>
      <c r="Y58" s="8" t="n">
        <f aca="false">Assumptions!$C$18*('36-Month Forecast'!Y244+'36-Month Forecast'!Y245+'36-Month Forecast'!Y243)</f>
        <v>3827.4255</v>
      </c>
      <c r="Z58" s="8" t="n">
        <f aca="false">Assumptions!$C$18*('36-Month Forecast'!Z244+'36-Month Forecast'!Z245+'36-Month Forecast'!Z243)</f>
        <v>3827.4255</v>
      </c>
      <c r="AA58" s="8" t="n">
        <f aca="false">Assumptions!$C$18*('36-Month Forecast'!AA244+'36-Month Forecast'!AA245+'36-Month Forecast'!AA243)</f>
        <v>7847.7255</v>
      </c>
      <c r="AB58" s="8" t="n">
        <f aca="false">Assumptions!$C$18*('36-Month Forecast'!AB244+'36-Month Forecast'!AB245+'36-Month Forecast'!AB243)</f>
        <v>5352.9255</v>
      </c>
      <c r="AC58" s="8" t="n">
        <f aca="false">Assumptions!$C$18*('36-Month Forecast'!AC244+'36-Month Forecast'!AC245+'36-Month Forecast'!AC243)</f>
        <v>5352.9255</v>
      </c>
      <c r="AD58" s="8" t="n">
        <f aca="false">Assumptions!$C$18*('36-Month Forecast'!AD244+'36-Month Forecast'!AD245+'36-Month Forecast'!AD243)</f>
        <v>6590.4255</v>
      </c>
      <c r="AE58" s="8" t="n">
        <f aca="false">Assumptions!$C$18*('36-Month Forecast'!AE244+'36-Month Forecast'!AE245+'36-Month Forecast'!AE243)</f>
        <v>5742.3255</v>
      </c>
      <c r="AF58" s="8" t="n">
        <f aca="false">Assumptions!$C$18*('36-Month Forecast'!AF244+'36-Month Forecast'!AF245+'36-Month Forecast'!AF243)</f>
        <v>5352.9255</v>
      </c>
      <c r="AG58" s="8" t="n">
        <f aca="false">Assumptions!$C$18*('36-Month Forecast'!AG244+'36-Month Forecast'!AG245+'36-Month Forecast'!AG243)</f>
        <v>9642.9255</v>
      </c>
      <c r="AH58" s="8" t="n">
        <f aca="false">Assumptions!$C$18*('36-Month Forecast'!AH244+'36-Month Forecast'!AH245+'36-Month Forecast'!AH243)</f>
        <v>5352.9255</v>
      </c>
      <c r="AI58" s="8" t="n">
        <f aca="false">Assumptions!$C$18*('36-Month Forecast'!AI244+'36-Month Forecast'!AI245+'36-Month Forecast'!AI243)</f>
        <v>5352.9255</v>
      </c>
      <c r="AJ58" s="8" t="n">
        <f aca="false">Assumptions!$C$18*('36-Month Forecast'!AJ244+'36-Month Forecast'!AJ245+'36-Month Forecast'!AJ243)</f>
        <v>5352.9255</v>
      </c>
      <c r="AK58" s="8" t="n">
        <f aca="false">Assumptions!$C$18*('36-Month Forecast'!AK244+'36-Month Forecast'!AK245+'36-Month Forecast'!AK243)</f>
        <v>5352.9255</v>
      </c>
      <c r="AL58" s="8" t="n">
        <f aca="false">Assumptions!$C$18*('36-Month Forecast'!AL244+'36-Month Forecast'!AL245+'36-Month Forecast'!AL243)</f>
        <v>5352.9255</v>
      </c>
      <c r="AM58" s="45" t="n">
        <f aca="false">N58</f>
        <v>3313.0755</v>
      </c>
      <c r="AN58" s="45" t="n">
        <f aca="false">Z58</f>
        <v>3827.4255</v>
      </c>
      <c r="AO58" s="45" t="n">
        <f aca="false">AL58</f>
        <v>5352.9255</v>
      </c>
      <c r="AP58" s="45" t="n">
        <f aca="false">AL58</f>
        <v>5352.9255</v>
      </c>
    </row>
    <row r="59" customFormat="false" ht="15" hidden="false" customHeight="false" outlineLevel="0" collapsed="false">
      <c r="A59" s="7" t="s">
        <v>823</v>
      </c>
      <c r="C59" s="41" t="n">
        <f aca="false">C55-C58</f>
        <v>-9166.48688868705</v>
      </c>
      <c r="D59" s="41" t="n">
        <f aca="false">D55-D58</f>
        <v>-10306.1758432731</v>
      </c>
      <c r="E59" s="41" t="n">
        <f aca="false">E55-E58</f>
        <v>-13287.44156712</v>
      </c>
      <c r="F59" s="41" t="n">
        <f aca="false">F55-F58</f>
        <v>-16258.4490207191</v>
      </c>
      <c r="G59" s="41" t="n">
        <f aca="false">G55-G58</f>
        <v>-17178.7354126687</v>
      </c>
      <c r="H59" s="41" t="n">
        <f aca="false">H55-H58</f>
        <v>-21442.1301623025</v>
      </c>
      <c r="I59" s="41" t="n">
        <f aca="false">I55-I58</f>
        <v>-32711.037582648</v>
      </c>
      <c r="J59" s="41" t="n">
        <f aca="false">J55-J58</f>
        <v>-34671.7851678435</v>
      </c>
      <c r="K59" s="41" t="n">
        <f aca="false">K55-K58</f>
        <v>-35479.0981553831</v>
      </c>
      <c r="L59" s="41" t="n">
        <f aca="false">L55-L58</f>
        <v>-35805.0083502187</v>
      </c>
      <c r="M59" s="41" t="n">
        <f aca="false">M55-M58</f>
        <v>-35817.9501337114</v>
      </c>
      <c r="N59" s="41" t="n">
        <f aca="false">N55-N58</f>
        <v>-35753.9262199003</v>
      </c>
      <c r="O59" s="41" t="n">
        <f aca="false">O55-O58</f>
        <v>-39725.0405729181</v>
      </c>
      <c r="P59" s="41" t="n">
        <f aca="false">P55-P58</f>
        <v>-36827.5337002477</v>
      </c>
      <c r="Q59" s="41" t="n">
        <f aca="false">Q55-Q58</f>
        <v>-36251.0882401337</v>
      </c>
      <c r="R59" s="41" t="n">
        <f aca="false">R55-R58</f>
        <v>-37080.3044391761</v>
      </c>
      <c r="S59" s="41" t="n">
        <f aca="false">S55-S58</f>
        <v>-35751.1535189399</v>
      </c>
      <c r="T59" s="41" t="n">
        <f aca="false">T55-T58</f>
        <v>-34635.6787654733</v>
      </c>
      <c r="U59" s="41" t="n">
        <f aca="false">U55-U58</f>
        <v>-39376.8260161651</v>
      </c>
      <c r="V59" s="41" t="n">
        <f aca="false">V55-V58</f>
        <v>-34351.6040271974</v>
      </c>
      <c r="W59" s="41" t="n">
        <f aca="false">W55-W58</f>
        <v>-33492.0153483817</v>
      </c>
      <c r="X59" s="41" t="n">
        <f aca="false">X55-X58</f>
        <v>-37563.1874214709</v>
      </c>
      <c r="Y59" s="41" t="n">
        <f aca="false">Y55-Y58</f>
        <v>-36755.542447503</v>
      </c>
      <c r="Z59" s="41" t="n">
        <f aca="false">Z55-Z58</f>
        <v>-35701.7550171522</v>
      </c>
      <c r="AA59" s="41" t="n">
        <f aca="false">AA55-AA58</f>
        <v>-39495.6631397164</v>
      </c>
      <c r="AB59" s="41" t="n">
        <f aca="false">AB55-AB58</f>
        <v>-35639.3752761321</v>
      </c>
      <c r="AC59" s="41" t="n">
        <f aca="false">AC55-AC58</f>
        <v>-34100.81469995</v>
      </c>
      <c r="AD59" s="41" t="n">
        <f aca="false">AD55-AD58</f>
        <v>-34022.7200498619</v>
      </c>
      <c r="AE59" s="41" t="n">
        <f aca="false">AE55-AE58</f>
        <v>-31916.8231806496</v>
      </c>
      <c r="AF59" s="41" t="n">
        <f aca="false">AF55-AF58</f>
        <v>-30053.1318615275</v>
      </c>
      <c r="AG59" s="41" t="n">
        <f aca="false">AG55-AG58</f>
        <v>-33989.5905063085</v>
      </c>
      <c r="AH59" s="41" t="n">
        <f aca="false">AH55-AH58</f>
        <v>-28332.3187225202</v>
      </c>
      <c r="AI59" s="41" t="n">
        <f aca="false">AI55-AI58</f>
        <v>-26857.2533715266</v>
      </c>
      <c r="AJ59" s="41" t="n">
        <f aca="false">AJ55-AJ58</f>
        <v>-25566.1091487953</v>
      </c>
      <c r="AK59" s="41" t="n">
        <f aca="false">AK55-AK58</f>
        <v>-24283.4766378609</v>
      </c>
      <c r="AL59" s="41" t="n">
        <f aca="false">AL55-AL58</f>
        <v>-22713.2300626798</v>
      </c>
      <c r="AM59" s="45" t="n">
        <f aca="false">N59</f>
        <v>-35753.9262199003</v>
      </c>
      <c r="AN59" s="45" t="n">
        <f aca="false">Z59</f>
        <v>-35701.7550171522</v>
      </c>
      <c r="AO59" s="45" t="n">
        <f aca="false">AL59</f>
        <v>-22713.2300626798</v>
      </c>
      <c r="AP59" s="45" t="n">
        <f aca="false">AL59</f>
        <v>-22713.2300626798</v>
      </c>
    </row>
    <row r="60" customFormat="false" ht="15" hidden="false" customHeight="false" outlineLevel="0" collapsed="false">
      <c r="A60" s="7" t="s">
        <v>824</v>
      </c>
      <c r="C60" s="42" t="str">
        <f aca="false">IF(COUNTIF(C55:$AL55,"&lt;0")=0,C$4,"")</f>
        <v/>
      </c>
      <c r="D60" s="42" t="str">
        <f aca="false">IF(COUNTIF(D55:$AL55,"&lt;0")=0,D$4,"")</f>
        <v/>
      </c>
      <c r="E60" s="42" t="str">
        <f aca="false">IF(COUNTIF(E55:$AL55,"&lt;0")=0,E$4,"")</f>
        <v/>
      </c>
      <c r="F60" s="42" t="str">
        <f aca="false">IF(COUNTIF(F55:$AL55,"&lt;0")=0,F$4,"")</f>
        <v/>
      </c>
      <c r="G60" s="42" t="str">
        <f aca="false">IF(COUNTIF(G55:$AL55,"&lt;0")=0,G$4,"")</f>
        <v/>
      </c>
      <c r="H60" s="42" t="str">
        <f aca="false">IF(COUNTIF(H55:$AL55,"&lt;0")=0,H$4,"")</f>
        <v/>
      </c>
      <c r="I60" s="42" t="str">
        <f aca="false">IF(COUNTIF(I55:$AL55,"&lt;0")=0,I$4,"")</f>
        <v/>
      </c>
      <c r="J60" s="42" t="str">
        <f aca="false">IF(COUNTIF(J55:$AL55,"&lt;0")=0,J$4,"")</f>
        <v/>
      </c>
      <c r="K60" s="42" t="str">
        <f aca="false">IF(COUNTIF(K55:$AL55,"&lt;0")=0,K$4,"")</f>
        <v/>
      </c>
      <c r="L60" s="42" t="str">
        <f aca="false">IF(COUNTIF(L55:$AL55,"&lt;0")=0,L$4,"")</f>
        <v/>
      </c>
      <c r="M60" s="42" t="str">
        <f aca="false">IF(COUNTIF(M55:$AL55,"&lt;0")=0,M$4,"")</f>
        <v/>
      </c>
      <c r="N60" s="42" t="str">
        <f aca="false">IF(COUNTIF(N55:$AL55,"&lt;0")=0,N$4,"")</f>
        <v/>
      </c>
      <c r="O60" s="42" t="str">
        <f aca="false">IF(COUNTIF(O55:$AL55,"&lt;0")=0,O$4,"")</f>
        <v/>
      </c>
      <c r="P60" s="42" t="str">
        <f aca="false">IF(COUNTIF(P55:$AL55,"&lt;0")=0,P$4,"")</f>
        <v/>
      </c>
      <c r="Q60" s="42" t="str">
        <f aca="false">IF(COUNTIF(Q55:$AL55,"&lt;0")=0,Q$4,"")</f>
        <v/>
      </c>
      <c r="R60" s="42" t="str">
        <f aca="false">IF(COUNTIF(R55:$AL55,"&lt;0")=0,R$4,"")</f>
        <v/>
      </c>
      <c r="S60" s="42" t="str">
        <f aca="false">IF(COUNTIF(S55:$AL55,"&lt;0")=0,S$4,"")</f>
        <v/>
      </c>
      <c r="T60" s="42" t="str">
        <f aca="false">IF(COUNTIF(T55:$AL55,"&lt;0")=0,T$4,"")</f>
        <v/>
      </c>
      <c r="U60" s="42" t="str">
        <f aca="false">IF(COUNTIF(U55:$AL55,"&lt;0")=0,U$4,"")</f>
        <v/>
      </c>
      <c r="V60" s="42" t="str">
        <f aca="false">IF(COUNTIF(V55:$AL55,"&lt;0")=0,V$4,"")</f>
        <v/>
      </c>
      <c r="W60" s="42" t="str">
        <f aca="false">IF(COUNTIF(W55:$AL55,"&lt;0")=0,W$4,"")</f>
        <v/>
      </c>
      <c r="X60" s="42" t="str">
        <f aca="false">IF(COUNTIF(X55:$AL55,"&lt;0")=0,X$4,"")</f>
        <v/>
      </c>
      <c r="Y60" s="42" t="str">
        <f aca="false">IF(COUNTIF(Y55:$AL55,"&lt;0")=0,Y$4,"")</f>
        <v/>
      </c>
      <c r="Z60" s="42" t="str">
        <f aca="false">IF(COUNTIF(Z55:$AL55,"&lt;0")=0,Z$4,"")</f>
        <v/>
      </c>
      <c r="AA60" s="42" t="str">
        <f aca="false">IF(COUNTIF(AA55:$AL55,"&lt;0")=0,AA$4,"")</f>
        <v/>
      </c>
      <c r="AB60" s="42" t="str">
        <f aca="false">IF(COUNTIF(AB55:$AL55,"&lt;0")=0,AB$4,"")</f>
        <v/>
      </c>
      <c r="AC60" s="42" t="str">
        <f aca="false">IF(COUNTIF(AC55:$AL55,"&lt;0")=0,AC$4,"")</f>
        <v/>
      </c>
      <c r="AD60" s="42" t="str">
        <f aca="false">IF(COUNTIF(AD55:$AL55,"&lt;0")=0,AD$4,"")</f>
        <v/>
      </c>
      <c r="AE60" s="42" t="str">
        <f aca="false">IF(COUNTIF(AE55:$AL55,"&lt;0")=0,AE$4,"")</f>
        <v/>
      </c>
      <c r="AF60" s="42" t="str">
        <f aca="false">IF(COUNTIF(AF55:$AL55,"&lt;0")=0,AF$4,"")</f>
        <v/>
      </c>
      <c r="AG60" s="42" t="str">
        <f aca="false">IF(COUNTIF(AG55:$AL55,"&lt;0")=0,AG$4,"")</f>
        <v/>
      </c>
      <c r="AH60" s="42" t="str">
        <f aca="false">IF(COUNTIF(AH55:$AL55,"&lt;0")=0,AH$4,"")</f>
        <v/>
      </c>
      <c r="AI60" s="42" t="str">
        <f aca="false">IF(COUNTIF(AI55:$AL55,"&lt;0")=0,AI$4,"")</f>
        <v/>
      </c>
      <c r="AJ60" s="42" t="str">
        <f aca="false">IF(COUNTIF(AJ55:$AL55,"&lt;0")=0,AJ$4,"")</f>
        <v/>
      </c>
      <c r="AK60" s="42" t="str">
        <f aca="false">IF(COUNTIF(AK55:$AL55,"&lt;0")=0,AK$4,"")</f>
        <v/>
      </c>
      <c r="AL60" s="42" t="str">
        <f aca="false">IF(COUNTIF(AL55:$AL55,"&lt;0")=0,AL$4,"")</f>
        <v/>
      </c>
    </row>
    <row r="62" customFormat="false" ht="15" hidden="false" customHeight="false" outlineLevel="0" collapsed="false">
      <c r="A62" s="3" t="s">
        <v>798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</row>
    <row r="63" customFormat="false" ht="15" hidden="false" customHeight="false" outlineLevel="0" collapsed="false">
      <c r="A63" s="7" t="s">
        <v>801</v>
      </c>
      <c r="C63" s="8" t="n">
        <f aca="false">IF(C$4-Assumptions!$C$69&gt;=1,INDEX('36-Month Forecast'!$C$276:$AL$276,1,C$4-Assumptions!$C$69)+INDEX('36-Month Forecast'!$C$273:$AL$273,1,C$4-Assumptions!$C$69)*'Unit Economics'!$H$50,0)</f>
        <v>34.7543901225</v>
      </c>
      <c r="D63" s="8" t="n">
        <f aca="false">IF(D$4-Assumptions!$C$69&gt;=1,INDEX('36-Month Forecast'!$C$276:$AL$276,1,D$4-Assumptions!$C$69)+INDEX('36-Month Forecast'!$C$273:$AL$273,1,D$4-Assumptions!$C$69)*'Unit Economics'!$H$50,0)</f>
        <v>106.5313516176</v>
      </c>
      <c r="E63" s="8" t="n">
        <f aca="false">IF(E$4-Assumptions!$C$69&gt;=1,INDEX('36-Month Forecast'!$C$276:$AL$276,1,E$4-Assumptions!$C$69)+INDEX('36-Month Forecast'!$C$273:$AL$273,1,E$4-Assumptions!$C$69)*'Unit Economics'!$H$50,0)</f>
        <v>185.856234975936</v>
      </c>
      <c r="F63" s="8" t="n">
        <f aca="false">IF(F$4-Assumptions!$C$69&gt;=1,INDEX('36-Month Forecast'!$C$276:$AL$276,1,F$4-Assumptions!$C$69)+INDEX('36-Month Forecast'!$C$273:$AL$273,1,F$4-Assumptions!$C$69)*'Unit Economics'!$H$50,0)</f>
        <v>192.739799234304</v>
      </c>
      <c r="G63" s="8" t="n">
        <f aca="false">IF(G$4-Assumptions!$C$69&gt;=1,INDEX('36-Month Forecast'!$C$276:$AL$276,1,G$4-Assumptions!$C$69)+INDEX('36-Month Forecast'!$C$273:$AL$273,1,G$4-Assumptions!$C$69)*'Unit Economics'!$H$50,0)</f>
        <v>194.281717628179</v>
      </c>
      <c r="H63" s="8" t="n">
        <f aca="false">IF(H$4-Assumptions!$C$69&gt;=1,INDEX('36-Month Forecast'!$C$276:$AL$276,1,H$4-Assumptions!$C$69)+INDEX('36-Month Forecast'!$C$273:$AL$273,1,H$4-Assumptions!$C$69)*'Unit Economics'!$H$50,0)</f>
        <v>290.127364991413</v>
      </c>
      <c r="I63" s="8" t="n">
        <f aca="false">IF(I$4-Assumptions!$C$69&gt;=1,INDEX('36-Month Forecast'!$C$276:$AL$276,1,I$4-Assumptions!$C$69)+INDEX('36-Month Forecast'!$C$273:$AL$273,1,I$4-Assumptions!$C$69)*'Unit Economics'!$H$50,0)</f>
        <v>341.189781229902</v>
      </c>
      <c r="J63" s="8" t="n">
        <f aca="false">IF(J$4-Assumptions!$C$69&gt;=1,INDEX('36-Month Forecast'!$C$276:$AL$276,1,J$4-Assumptions!$C$69)+INDEX('36-Month Forecast'!$C$273:$AL$273,1,J$4-Assumptions!$C$69)*'Unit Economics'!$H$50,0)</f>
        <v>345.738978312967</v>
      </c>
      <c r="K63" s="8" t="n">
        <f aca="false">IF(K$4-Assumptions!$C$69&gt;=1,INDEX('36-Month Forecast'!$C$276:$AL$276,1,K$4-Assumptions!$C$69)+INDEX('36-Month Forecast'!$C$273:$AL$273,1,K$4-Assumptions!$C$69)*'Unit Economics'!$H$50,0)</f>
        <v>407.608058642656</v>
      </c>
      <c r="L63" s="8" t="n">
        <f aca="false">IF(L$4-Assumptions!$C$69&gt;=1,INDEX('36-Month Forecast'!$C$276:$AL$276,1,L$4-Assumptions!$C$69)+INDEX('36-Month Forecast'!$C$273:$AL$273,1,L$4-Assumptions!$C$69)*'Unit Economics'!$H$50,0)</f>
        <v>433.694974395786</v>
      </c>
      <c r="M63" s="8" t="n">
        <f aca="false">IF(M$4-Assumptions!$C$69&gt;=1,INDEX('36-Month Forecast'!$C$276:$AL$276,1,M$4-Assumptions!$C$69)+INDEX('36-Month Forecast'!$C$273:$AL$273,1,M$4-Assumptions!$C$69)*'Unit Economics'!$H$50,0)</f>
        <v>434.608016447146</v>
      </c>
      <c r="N63" s="8" t="n">
        <f aca="false">IF(N$4-Assumptions!$C$69&gt;=1,INDEX('36-Month Forecast'!$C$276:$AL$276,1,N$4-Assumptions!$C$69)+INDEX('36-Month Forecast'!$C$273:$AL$273,1,N$4-Assumptions!$C$69)*'Unit Economics'!$H$50,0)</f>
        <v>486.760978420804</v>
      </c>
      <c r="O63" s="8" t="n">
        <f aca="false">IF(O$4-Assumptions!$C$69&gt;=1,INDEX('36-Month Forecast'!$C$276:$AL$276,1,O$4-Assumptions!$C$69)+INDEX('36-Month Forecast'!$C$273:$AL$273,1,O$4-Assumptions!$C$69)*'Unit Economics'!$H$50,0)</f>
        <v>582.10886419382</v>
      </c>
      <c r="P63" s="8" t="n">
        <f aca="false">IF(P$4-Assumptions!$C$69&gt;=1,INDEX('36-Month Forecast'!$C$276:$AL$276,1,P$4-Assumptions!$C$69)+INDEX('36-Month Forecast'!$C$273:$AL$273,1,P$4-Assumptions!$C$69)*'Unit Economics'!$H$50,0)</f>
        <v>852.329926414319</v>
      </c>
      <c r="Q63" s="8" t="n">
        <f aca="false">IF(Q$4-Assumptions!$C$69&gt;=1,INDEX('36-Month Forecast'!$C$276:$AL$276,1,Q$4-Assumptions!$C$69)+INDEX('36-Month Forecast'!$C$273:$AL$273,1,Q$4-Assumptions!$C$69)*'Unit Economics'!$H$50,0)</f>
        <v>947.069675927296</v>
      </c>
      <c r="R63" s="8" t="n">
        <f aca="false">IF(R$4-Assumptions!$C$69&gt;=1,INDEX('36-Month Forecast'!$C$276:$AL$276,1,R$4-Assumptions!$C$69)+INDEX('36-Month Forecast'!$C$273:$AL$273,1,R$4-Assumptions!$C$69)*'Unit Economics'!$H$50,0)</f>
        <v>938.300512261302</v>
      </c>
      <c r="S63" s="8" t="n">
        <f aca="false">IF(S$4-Assumptions!$C$69&gt;=1,INDEX('36-Month Forecast'!$C$276:$AL$276,1,S$4-Assumptions!$C$69)+INDEX('36-Month Forecast'!$C$273:$AL$273,1,S$4-Assumptions!$C$69)*'Unit Economics'!$H$50,0)</f>
        <v>722.866714646107</v>
      </c>
      <c r="T63" s="8" t="n">
        <f aca="false">IF(T$4-Assumptions!$C$69&gt;=1,INDEX('36-Month Forecast'!$C$276:$AL$276,1,T$4-Assumptions!$C$69)+INDEX('36-Month Forecast'!$C$273:$AL$273,1,T$4-Assumptions!$C$69)*'Unit Economics'!$H$50,0)</f>
        <v>859.408205190372</v>
      </c>
      <c r="U63" s="8" t="n">
        <f aca="false">IF(U$4-Assumptions!$C$69&gt;=1,INDEX('36-Month Forecast'!$C$276:$AL$276,1,U$4-Assumptions!$C$69)+INDEX('36-Month Forecast'!$C$273:$AL$273,1,U$4-Assumptions!$C$69)*'Unit Economics'!$H$50,0)</f>
        <v>965.545118531383</v>
      </c>
      <c r="V63" s="8" t="n">
        <f aca="false">IF(V$4-Assumptions!$C$69&gt;=1,INDEX('36-Month Forecast'!$C$276:$AL$276,1,V$4-Assumptions!$C$69)+INDEX('36-Month Forecast'!$C$273:$AL$273,1,V$4-Assumptions!$C$69)*'Unit Economics'!$H$50,0)</f>
        <v>934.739631416335</v>
      </c>
      <c r="W63" s="8" t="n">
        <f aca="false">IF(W$4-Assumptions!$C$69&gt;=1,INDEX('36-Month Forecast'!$C$276:$AL$276,1,W$4-Assumptions!$C$69)+INDEX('36-Month Forecast'!$C$273:$AL$273,1,W$4-Assumptions!$C$69)*'Unit Economics'!$H$50,0)</f>
        <v>1052.81200591103</v>
      </c>
      <c r="X63" s="8" t="n">
        <f aca="false">IF(X$4-Assumptions!$C$69&gt;=1,INDEX('36-Month Forecast'!$C$276:$AL$276,1,X$4-Assumptions!$C$69)+INDEX('36-Month Forecast'!$C$273:$AL$273,1,X$4-Assumptions!$C$69)*'Unit Economics'!$H$50,0)</f>
        <v>1070.18340400856</v>
      </c>
      <c r="Y63" s="8" t="n">
        <f aca="false">IF(Y$4-Assumptions!$C$69&gt;=1,INDEX('36-Month Forecast'!$C$276:$AL$276,1,Y$4-Assumptions!$C$69)+INDEX('36-Month Forecast'!$C$273:$AL$273,1,Y$4-Assumptions!$C$69)*'Unit Economics'!$H$50,0)</f>
        <v>1024.55979573241</v>
      </c>
      <c r="Z63" s="8" t="n">
        <f aca="false">IF(Z$4-Assumptions!$C$69&gt;=1,INDEX('36-Month Forecast'!$C$276:$AL$276,1,Z$4-Assumptions!$C$69)+INDEX('36-Month Forecast'!$C$273:$AL$273,1,Z$4-Assumptions!$C$69)*'Unit Economics'!$H$50,0)</f>
        <v>1096.27898143368</v>
      </c>
      <c r="AA63" s="8" t="n">
        <f aca="false">IF(AA$4-Assumptions!$C$69&gt;=1,INDEX('36-Month Forecast'!$C$276:$AL$276,1,AA$4-Assumptions!$C$69)+INDEX('36-Month Forecast'!$C$273:$AL$273,1,AA$4-Assumptions!$C$69)*'Unit Economics'!$H$50,0)</f>
        <v>1274.26309841938</v>
      </c>
      <c r="AB63" s="8" t="n">
        <f aca="false">IF(AB$4-Assumptions!$C$69&gt;=1,INDEX('36-Month Forecast'!$C$276:$AL$276,1,AB$4-Assumptions!$C$69)+INDEX('36-Month Forecast'!$C$273:$AL$273,1,AB$4-Assumptions!$C$69)*'Unit Economics'!$H$50,0)</f>
        <v>1813.47758848737</v>
      </c>
      <c r="AC63" s="8" t="n">
        <f aca="false">IF(AC$4-Assumptions!$C$69&gt;=1,INDEX('36-Month Forecast'!$C$276:$AL$276,1,AC$4-Assumptions!$C$69)+INDEX('36-Month Forecast'!$C$273:$AL$273,1,AC$4-Assumptions!$C$69)*'Unit Economics'!$H$50,0)</f>
        <v>1958.55579556636</v>
      </c>
      <c r="AD63" s="8" t="n">
        <f aca="false">IF(AD$4-Assumptions!$C$69&gt;=1,INDEX('36-Month Forecast'!$C$276:$AL$276,1,AD$4-Assumptions!$C$69)+INDEX('36-Month Forecast'!$C$273:$AL$273,1,AD$4-Assumptions!$C$69)*'Unit Economics'!$H$50,0)</f>
        <v>1886.01669202686</v>
      </c>
      <c r="AE63" s="8" t="n">
        <f aca="false">IF(AE$4-Assumptions!$C$69&gt;=1,INDEX('36-Month Forecast'!$C$276:$AL$276,1,AE$4-Assumptions!$C$69)+INDEX('36-Month Forecast'!$C$273:$AL$273,1,AE$4-Assumptions!$C$69)*'Unit Economics'!$H$50,0)</f>
        <v>1412.24929898971</v>
      </c>
      <c r="AF63" s="8" t="n">
        <f aca="false">IF(AF$4-Assumptions!$C$69&gt;=1,INDEX('36-Month Forecast'!$C$276:$AL$276,1,AF$4-Assumptions!$C$69)+INDEX('36-Month Forecast'!$C$273:$AL$273,1,AF$4-Assumptions!$C$69)*'Unit Economics'!$H$50,0)</f>
        <v>1631.932523277</v>
      </c>
      <c r="AG63" s="8" t="n">
        <f aca="false">IF(AG$4-Assumptions!$C$69&gt;=1,INDEX('36-Month Forecast'!$C$276:$AL$276,1,AG$4-Assumptions!$C$69)+INDEX('36-Month Forecast'!$C$273:$AL$273,1,AG$4-Assumptions!$C$69)*'Unit Economics'!$H$50,0)</f>
        <v>1782.07031541849</v>
      </c>
      <c r="AH63" s="8" t="n">
        <f aca="false">IF(AH$4-Assumptions!$C$69&gt;=1,INDEX('36-Month Forecast'!$C$276:$AL$276,1,AH$4-Assumptions!$C$69)+INDEX('36-Month Forecast'!$C$273:$AL$273,1,AH$4-Assumptions!$C$69)*'Unit Economics'!$H$50,0)</f>
        <v>1676.84330631759</v>
      </c>
      <c r="AI63" s="8" t="n">
        <f aca="false">IF(AI$4-Assumptions!$C$69&gt;=1,INDEX('36-Month Forecast'!$C$276:$AL$276,1,AI$4-Assumptions!$C$69)+INDEX('36-Month Forecast'!$C$273:$AL$273,1,AI$4-Assumptions!$C$69)*'Unit Economics'!$H$50,0)</f>
        <v>1835.70214586346</v>
      </c>
      <c r="AJ63" s="8" t="n">
        <f aca="false">IF(AJ$4-Assumptions!$C$69&gt;=1,INDEX('36-Month Forecast'!$C$276:$AL$276,1,AJ$4-Assumptions!$C$69)+INDEX('36-Month Forecast'!$C$273:$AL$273,1,AJ$4-Assumptions!$C$69)*'Unit Economics'!$H$50,0)</f>
        <v>1813.6737201131</v>
      </c>
      <c r="AK63" s="8" t="n">
        <f aca="false">IF(AK$4-Assumptions!$C$69&gt;=1,INDEX('36-Month Forecast'!$C$276:$AL$276,1,AK$4-Assumptions!$C$69)+INDEX('36-Month Forecast'!$C$273:$AL$273,1,AK$4-Assumptions!$C$69)*'Unit Economics'!$H$50,0)</f>
        <v>1687.67112482103</v>
      </c>
      <c r="AL63" s="8" t="n">
        <f aca="false">IF(AL$4-Assumptions!$C$69&gt;=1,INDEX('36-Month Forecast'!$C$276:$AL$276,1,AL$4-Assumptions!$C$69)+INDEX('36-Month Forecast'!$C$273:$AL$273,1,AL$4-Assumptions!$C$69)*'Unit Economics'!$H$50,0)</f>
        <v>1755.17796981388</v>
      </c>
      <c r="AM63" s="45" t="n">
        <f aca="false">SUMIF($C$6:$AL$6,1,C63:AL63)</f>
        <v>3453.89164601919</v>
      </c>
      <c r="AN63" s="45" t="n">
        <f aca="false">SUMIF($C$6:$AL$6,2,C63:AL63)</f>
        <v>11046.2028356666</v>
      </c>
      <c r="AO63" s="45" t="n">
        <f aca="false">SUMIF($C$6:$AL$6,3,C63:AL63)</f>
        <v>20527.6335791142</v>
      </c>
      <c r="AP63" s="45" t="n">
        <f aca="false">SUM(C63:AL63)</f>
        <v>35027.7280608</v>
      </c>
    </row>
    <row r="64" customFormat="false" ht="15" hidden="false" customHeight="false" outlineLevel="0" collapsed="false">
      <c r="A64" s="7" t="s">
        <v>802</v>
      </c>
      <c r="C64" s="8" t="n">
        <f aca="false">IF(C$4-Assumptions!$C$70&gt;=1,INDEX('36-Month Forecast'!$C$286:$AL$286,1,C$4-Assumptions!$C$70)+INDEX('36-Month Forecast'!$C$283:$AL$283,1,C$4-Assumptions!$C$70)*'Unit Economics'!$H$51,0)</f>
        <v>44.2936719642857</v>
      </c>
      <c r="D64" s="8" t="n">
        <f aca="false">IF(D$4-Assumptions!$C$70&gt;=1,INDEX('36-Month Forecast'!$C$286:$AL$286,1,D$4-Assumptions!$C$70)+INDEX('36-Month Forecast'!$C$283:$AL$283,1,D$4-Assumptions!$C$70)*'Unit Economics'!$H$51,0)</f>
        <v>135.7717608</v>
      </c>
      <c r="E64" s="8" t="n">
        <f aca="false">IF(E$4-Assumptions!$C$70&gt;=1,INDEX('36-Month Forecast'!$C$286:$AL$286,1,E$4-Assumptions!$C$70)+INDEX('36-Month Forecast'!$C$283:$AL$283,1,E$4-Assumptions!$C$70)*'Unit Economics'!$H$51,0)</f>
        <v>236.869502688</v>
      </c>
      <c r="F64" s="8" t="n">
        <f aca="false">IF(F$4-Assumptions!$C$70&gt;=1,INDEX('36-Month Forecast'!$C$286:$AL$286,1,F$4-Assumptions!$C$70)+INDEX('36-Month Forecast'!$C$283:$AL$283,1,F$4-Assumptions!$C$70)*'Unit Economics'!$H$51,0)</f>
        <v>327.523262976</v>
      </c>
      <c r="G64" s="8" t="n">
        <f aca="false">IF(G$4-Assumptions!$C$70&gt;=1,INDEX('36-Month Forecast'!$C$286:$AL$286,1,G$4-Assumptions!$C$70)+INDEX('36-Month Forecast'!$C$283:$AL$283,1,G$4-Assumptions!$C$70)*'Unit Economics'!$H$51,0)</f>
        <v>330.143449079808</v>
      </c>
      <c r="H64" s="8" t="n">
        <f aca="false">IF(H$4-Assumptions!$C$70&gt;=1,INDEX('36-Month Forecast'!$C$286:$AL$286,1,H$4-Assumptions!$C$70)+INDEX('36-Month Forecast'!$C$283:$AL$283,1,H$4-Assumptions!$C$70)*'Unit Economics'!$H$51,0)</f>
        <v>493.014217292514</v>
      </c>
      <c r="I64" s="8" t="n">
        <f aca="false">IF(I$4-Assumptions!$C$70&gt;=1,INDEX('36-Month Forecast'!$C$286:$AL$286,1,I$4-Assumptions!$C$70)+INDEX('36-Month Forecast'!$C$283:$AL$283,1,I$4-Assumptions!$C$70)*'Unit Economics'!$H$51,0)</f>
        <v>579.784719535996</v>
      </c>
      <c r="J64" s="8" t="n">
        <f aca="false">IF(J$4-Assumptions!$C$70&gt;=1,INDEX('36-Month Forecast'!$C$286:$AL$286,1,J$4-Assumptions!$C$70)+INDEX('36-Month Forecast'!$C$283:$AL$283,1,J$4-Assumptions!$C$70)*'Unit Economics'!$H$51,0)</f>
        <v>587.515182463143</v>
      </c>
      <c r="K64" s="8" t="n">
        <f aca="false">IF(K$4-Assumptions!$C$70&gt;=1,INDEX('36-Month Forecast'!$C$286:$AL$286,1,K$4-Assumptions!$C$70)+INDEX('36-Month Forecast'!$C$283:$AL$283,1,K$4-Assumptions!$C$70)*'Unit Economics'!$H$51,0)</f>
        <v>692.649478272337</v>
      </c>
      <c r="L64" s="8" t="n">
        <f aca="false">IF(L$4-Assumptions!$C$70&gt;=1,INDEX('36-Month Forecast'!$C$286:$AL$286,1,L$4-Assumptions!$C$70)+INDEX('36-Month Forecast'!$C$283:$AL$283,1,L$4-Assumptions!$C$70)*'Unit Economics'!$H$51,0)</f>
        <v>736.979044881766</v>
      </c>
      <c r="M64" s="8" t="n">
        <f aca="false">IF(M$4-Assumptions!$C$70&gt;=1,INDEX('36-Month Forecast'!$C$286:$AL$286,1,M$4-Assumptions!$C$70)+INDEX('36-Month Forecast'!$C$283:$AL$283,1,M$4-Assumptions!$C$70)*'Unit Economics'!$H$51,0)</f>
        <v>738.530579713097</v>
      </c>
      <c r="N64" s="8" t="n">
        <f aca="false">IF(N$4-Assumptions!$C$70&gt;=1,INDEX('36-Month Forecast'!$C$286:$AL$286,1,N$4-Assumptions!$C$70)+INDEX('36-Month Forecast'!$C$283:$AL$283,1,N$4-Assumptions!$C$70)*'Unit Economics'!$H$51,0)</f>
        <v>827.154249278668</v>
      </c>
      <c r="O64" s="8" t="n">
        <f aca="false">IF(O$4-Assumptions!$C$70&gt;=1,INDEX('36-Month Forecast'!$C$286:$AL$286,1,O$4-Assumptions!$C$70)+INDEX('36-Month Forecast'!$C$283:$AL$283,1,O$4-Assumptions!$C$70)*'Unit Economics'!$H$51,0)</f>
        <v>979.934504733669</v>
      </c>
      <c r="P64" s="8" t="n">
        <f aca="false">IF(P$4-Assumptions!$C$70&gt;=1,INDEX('36-Month Forecast'!$C$286:$AL$286,1,P$4-Assumptions!$C$70)+INDEX('36-Month Forecast'!$C$283:$AL$283,1,P$4-Assumptions!$C$70)*'Unit Economics'!$H$51,0)</f>
        <v>1421.42078686631</v>
      </c>
      <c r="Q64" s="8" t="n">
        <f aca="false">IF(Q$4-Assumptions!$C$70&gt;=1,INDEX('36-Month Forecast'!$C$286:$AL$286,1,Q$4-Assumptions!$C$70)+INDEX('36-Month Forecast'!$C$283:$AL$283,1,Q$4-Assumptions!$C$70)*'Unit Economics'!$H$51,0)</f>
        <v>1564.65626615822</v>
      </c>
      <c r="R64" s="8" t="n">
        <f aca="false">IF(R$4-Assumptions!$C$70&gt;=1,INDEX('36-Month Forecast'!$C$286:$AL$286,1,R$4-Assumptions!$C$70)+INDEX('36-Month Forecast'!$C$283:$AL$283,1,R$4-Assumptions!$C$70)*'Unit Economics'!$H$51,0)</f>
        <v>1535.68115011826</v>
      </c>
      <c r="S64" s="8" t="n">
        <f aca="false">IF(S$4-Assumptions!$C$70&gt;=1,INDEX('36-Month Forecast'!$C$286:$AL$286,1,S$4-Assumptions!$C$70)+INDEX('36-Month Forecast'!$C$283:$AL$283,1,S$4-Assumptions!$C$70)*'Unit Economics'!$H$51,0)</f>
        <v>1172.03185377025</v>
      </c>
      <c r="T64" s="8" t="n">
        <f aca="false">IF(T$4-Assumptions!$C$70&gt;=1,INDEX('36-Month Forecast'!$C$286:$AL$286,1,T$4-Assumptions!$C$70)+INDEX('36-Month Forecast'!$C$283:$AL$283,1,T$4-Assumptions!$C$70)*'Unit Economics'!$H$51,0)</f>
        <v>1380.3930722183</v>
      </c>
      <c r="U64" s="8" t="n">
        <f aca="false">IF(U$4-Assumptions!$C$70&gt;=1,INDEX('36-Month Forecast'!$C$286:$AL$286,1,U$4-Assumptions!$C$70)+INDEX('36-Month Forecast'!$C$283:$AL$283,1,U$4-Assumptions!$C$70)*'Unit Economics'!$H$51,0)</f>
        <v>1536.37748937897</v>
      </c>
      <c r="V64" s="8" t="n">
        <f aca="false">IF(V$4-Assumptions!$C$70&gt;=1,INDEX('36-Month Forecast'!$C$286:$AL$286,1,V$4-Assumptions!$C$70)+INDEX('36-Month Forecast'!$C$283:$AL$283,1,V$4-Assumptions!$C$70)*'Unit Economics'!$H$51,0)</f>
        <v>1473.45917314726</v>
      </c>
      <c r="W64" s="8" t="n">
        <f aca="false">IF(W$4-Assumptions!$C$70&gt;=1,INDEX('36-Month Forecast'!$C$286:$AL$286,1,W$4-Assumptions!$C$70)+INDEX('36-Month Forecast'!$C$283:$AL$283,1,W$4-Assumptions!$C$70)*'Unit Economics'!$H$51,0)</f>
        <v>1644.07023530115</v>
      </c>
      <c r="X64" s="8" t="n">
        <f aca="false">IF(X$4-Assumptions!$C$70&gt;=1,INDEX('36-Month Forecast'!$C$286:$AL$286,1,X$4-Assumptions!$C$70)+INDEX('36-Month Forecast'!$C$283:$AL$283,1,X$4-Assumptions!$C$70)*'Unit Economics'!$H$51,0)</f>
        <v>1655.57872694826</v>
      </c>
      <c r="Y64" s="8" t="n">
        <f aca="false">IF(Y$4-Assumptions!$C$70&gt;=1,INDEX('36-Month Forecast'!$C$286:$AL$286,1,Y$4-Assumptions!$C$70)+INDEX('36-Month Forecast'!$C$283:$AL$283,1,Y$4-Assumptions!$C$70)*'Unit Economics'!$H$51,0)</f>
        <v>1570.18571892672</v>
      </c>
      <c r="Z64" s="8" t="n">
        <f aca="false">IF(Z$4-Assumptions!$C$70&gt;=1,INDEX('36-Month Forecast'!$C$286:$AL$286,1,Z$4-Assumptions!$C$70)+INDEX('36-Month Forecast'!$C$283:$AL$283,1,Z$4-Assumptions!$C$70)*'Unit Economics'!$H$51,0)</f>
        <v>1664.39686206232</v>
      </c>
      <c r="AA64" s="8" t="n">
        <f aca="false">IF(AA$4-Assumptions!$C$70&gt;=1,INDEX('36-Month Forecast'!$C$286:$AL$286,1,AA$4-Assumptions!$C$70)+INDEX('36-Month Forecast'!$C$283:$AL$283,1,AA$4-Assumptions!$C$70)*'Unit Economics'!$H$51,0)</f>
        <v>1916.01450532704</v>
      </c>
      <c r="AB64" s="8" t="n">
        <f aca="false">IF(AB$4-Assumptions!$C$70&gt;=1,INDEX('36-Month Forecast'!$C$286:$AL$286,1,AB$4-Assumptions!$C$70)+INDEX('36-Month Forecast'!$C$283:$AL$283,1,AB$4-Assumptions!$C$70)*'Unit Economics'!$H$51,0)</f>
        <v>2700.57202382411</v>
      </c>
      <c r="AC64" s="8" t="n">
        <f aca="false">IF(AC$4-Assumptions!$C$70&gt;=1,INDEX('36-Month Forecast'!$C$286:$AL$286,1,AC$4-Assumptions!$C$70)+INDEX('36-Month Forecast'!$C$283:$AL$283,1,AC$4-Assumptions!$C$70)*'Unit Economics'!$H$51,0)</f>
        <v>2888.57338394417</v>
      </c>
      <c r="AD64" s="8" t="n">
        <f aca="false">IF(AD$4-Assumptions!$C$70&gt;=1,INDEX('36-Month Forecast'!$C$286:$AL$286,1,AD$4-Assumptions!$C$70)+INDEX('36-Month Forecast'!$C$283:$AL$283,1,AD$4-Assumptions!$C$70)*'Unit Economics'!$H$51,0)</f>
        <v>2754.84313468749</v>
      </c>
      <c r="AE64" s="8" t="n">
        <f aca="false">IF(AE$4-Assumptions!$C$70&gt;=1,INDEX('36-Month Forecast'!$C$286:$AL$286,1,AE$4-Assumptions!$C$70)+INDEX('36-Month Forecast'!$C$283:$AL$283,1,AE$4-Assumptions!$C$70)*'Unit Economics'!$H$51,0)</f>
        <v>2042.99166868425</v>
      </c>
      <c r="AF64" s="8" t="n">
        <f aca="false">IF(AF$4-Assumptions!$C$70&gt;=1,INDEX('36-Month Forecast'!$C$286:$AL$286,1,AF$4-Assumptions!$C$70)+INDEX('36-Month Forecast'!$C$283:$AL$283,1,AF$4-Assumptions!$C$70)*'Unit Economics'!$H$51,0)</f>
        <v>2338.09046527197</v>
      </c>
      <c r="AG64" s="8" t="n">
        <f aca="false">IF(AG$4-Assumptions!$C$70&gt;=1,INDEX('36-Month Forecast'!$C$286:$AL$286,1,AG$4-Assumptions!$C$70)+INDEX('36-Month Forecast'!$C$283:$AL$283,1,AG$4-Assumptions!$C$70)*'Unit Economics'!$H$51,0)</f>
        <v>2528.64483819164</v>
      </c>
      <c r="AH64" s="8" t="n">
        <f aca="false">IF(AH$4-Assumptions!$C$70&gt;=1,INDEX('36-Month Forecast'!$C$286:$AL$286,1,AH$4-Assumptions!$C$70)+INDEX('36-Month Forecast'!$C$283:$AL$283,1,AH$4-Assumptions!$C$70)*'Unit Economics'!$H$51,0)</f>
        <v>2356.45616587668</v>
      </c>
      <c r="AI64" s="8" t="n">
        <f aca="false">IF(AI$4-Assumptions!$C$70&gt;=1,INDEX('36-Month Forecast'!$C$286:$AL$286,1,AI$4-Assumptions!$C$70)+INDEX('36-Month Forecast'!$C$283:$AL$283,1,AI$4-Assumptions!$C$70)*'Unit Economics'!$H$51,0)</f>
        <v>2554.89457984524</v>
      </c>
      <c r="AJ64" s="8" t="n">
        <f aca="false">IF(AJ$4-Assumptions!$C$70&gt;=1,INDEX('36-Month Forecast'!$C$286:$AL$286,1,AJ$4-Assumptions!$C$70)+INDEX('36-Month Forecast'!$C$283:$AL$283,1,AJ$4-Assumptions!$C$70)*'Unit Economics'!$H$51,0)</f>
        <v>2499.96434637857</v>
      </c>
      <c r="AK64" s="8" t="n">
        <f aca="false">IF(AK$4-Assumptions!$C$70&gt;=1,INDEX('36-Month Forecast'!$C$286:$AL$286,1,AK$4-Assumptions!$C$70)+INDEX('36-Month Forecast'!$C$283:$AL$283,1,AK$4-Assumptions!$C$70)*'Unit Economics'!$H$51,0)</f>
        <v>2303.91451079415</v>
      </c>
      <c r="AL64" s="8" t="n">
        <f aca="false">IF(AL$4-Assumptions!$C$70&gt;=1,INDEX('36-Month Forecast'!$C$286:$AL$286,1,AL$4-Assumptions!$C$70)+INDEX('36-Month Forecast'!$C$283:$AL$283,1,AL$4-Assumptions!$C$70)*'Unit Economics'!$H$51,0)</f>
        <v>2373.03194611797</v>
      </c>
      <c r="AM64" s="45" t="n">
        <f aca="false">SUMIF($C$6:$AL$6,1,C64:AL64)</f>
        <v>5730.22911894561</v>
      </c>
      <c r="AN64" s="45" t="n">
        <f aca="false">SUMIF($C$6:$AL$6,2,C64:AL64)</f>
        <v>17598.1858396297</v>
      </c>
      <c r="AO64" s="45" t="n">
        <f aca="false">SUMIF($C$6:$AL$6,3,C64:AL64)</f>
        <v>29257.9915689433</v>
      </c>
      <c r="AP64" s="45" t="n">
        <f aca="false">SUM(C64:AL64)</f>
        <v>52586.4065275186</v>
      </c>
    </row>
    <row r="65" customFormat="false" ht="15" hidden="false" customHeight="false" outlineLevel="0" collapsed="false">
      <c r="A65" s="7" t="s">
        <v>803</v>
      </c>
      <c r="C65" s="8" t="n">
        <f aca="false">IF(C$4-Assumptions!$C$71&gt;=1,INDEX('36-Month Forecast'!$C$296:$AL$296,1,C$4-Assumptions!$C$71)+INDEX('36-Month Forecast'!$C$293:$AL$293,1,C$4-Assumptions!$C$71)*'Unit Economics'!$H$52,0)</f>
        <v>0</v>
      </c>
      <c r="D65" s="8" t="n">
        <f aca="false">IF(D$4-Assumptions!$C$71&gt;=1,INDEX('36-Month Forecast'!$C$296:$AL$296,1,D$4-Assumptions!$C$71)+INDEX('36-Month Forecast'!$C$293:$AL$293,1,D$4-Assumptions!$C$71)*'Unit Economics'!$H$52,0)</f>
        <v>0</v>
      </c>
      <c r="E65" s="8" t="n">
        <f aca="false">IF(E$4-Assumptions!$C$71&gt;=1,INDEX('36-Month Forecast'!$C$296:$AL$296,1,E$4-Assumptions!$C$71)+INDEX('36-Month Forecast'!$C$293:$AL$293,1,E$4-Assumptions!$C$71)*'Unit Economics'!$H$52,0)</f>
        <v>0</v>
      </c>
      <c r="F65" s="8" t="n">
        <f aca="false">IF(F$4-Assumptions!$C$71&gt;=1,INDEX('36-Month Forecast'!$C$296:$AL$296,1,F$4-Assumptions!$C$71)+INDEX('36-Month Forecast'!$C$293:$AL$293,1,F$4-Assumptions!$C$71)*'Unit Economics'!$H$52,0)</f>
        <v>78.27534</v>
      </c>
      <c r="G65" s="8" t="n">
        <f aca="false">IF(G$4-Assumptions!$C$71&gt;=1,INDEX('36-Month Forecast'!$C$296:$AL$296,1,G$4-Assumptions!$C$71)+INDEX('36-Month Forecast'!$C$293:$AL$293,1,G$4-Assumptions!$C$71)*'Unit Economics'!$H$52,0)</f>
        <v>178.829046</v>
      </c>
      <c r="H65" s="8" t="n">
        <f aca="false">IF(H$4-Assumptions!$C$71&gt;=1,INDEX('36-Month Forecast'!$C$296:$AL$296,1,H$4-Assumptions!$C$71)+INDEX('36-Month Forecast'!$C$293:$AL$293,1,H$4-Assumptions!$C$71)*'Unit Economics'!$H$52,0)</f>
        <v>273.2110425</v>
      </c>
      <c r="I65" s="8" t="n">
        <f aca="false">IF(I$4-Assumptions!$C$71&gt;=1,INDEX('36-Month Forecast'!$C$296:$AL$296,1,I$4-Assumptions!$C$71)+INDEX('36-Month Forecast'!$C$293:$AL$293,1,I$4-Assumptions!$C$71)*'Unit Economics'!$H$52,0)</f>
        <v>288.51086088</v>
      </c>
      <c r="J65" s="8" t="n">
        <f aca="false">IF(J$4-Assumptions!$C$71&gt;=1,INDEX('36-Month Forecast'!$C$296:$AL$296,1,J$4-Assumptions!$C$71)+INDEX('36-Month Forecast'!$C$293:$AL$293,1,J$4-Assumptions!$C$71)*'Unit Economics'!$H$52,0)</f>
        <v>440.7804819</v>
      </c>
      <c r="K65" s="8" t="n">
        <f aca="false">IF(K$4-Assumptions!$C$71&gt;=1,INDEX('36-Month Forecast'!$C$296:$AL$296,1,K$4-Assumptions!$C$71)+INDEX('36-Month Forecast'!$C$293:$AL$293,1,K$4-Assumptions!$C$71)*'Unit Economics'!$H$52,0)</f>
        <v>610.9217479134</v>
      </c>
      <c r="L65" s="8" t="n">
        <f aca="false">IF(L$4-Assumptions!$C$71&gt;=1,INDEX('36-Month Forecast'!$C$296:$AL$296,1,L$4-Assumptions!$C$71)+INDEX('36-Month Forecast'!$C$293:$AL$293,1,L$4-Assumptions!$C$71)*'Unit Economics'!$H$52,0)</f>
        <v>608.01259673286</v>
      </c>
      <c r="M65" s="8" t="n">
        <f aca="false">IF(M$4-Assumptions!$C$71&gt;=1,INDEX('36-Month Forecast'!$C$296:$AL$296,1,M$4-Assumptions!$C$71)+INDEX('36-Month Forecast'!$C$293:$AL$293,1,M$4-Assumptions!$C$71)*'Unit Economics'!$H$52,0)</f>
        <v>704.01458569068</v>
      </c>
      <c r="N65" s="8" t="n">
        <f aca="false">IF(N$4-Assumptions!$C$71&gt;=1,INDEX('36-Month Forecast'!$C$296:$AL$296,1,N$4-Assumptions!$C$71)+INDEX('36-Month Forecast'!$C$293:$AL$293,1,N$4-Assumptions!$C$71)*'Unit Economics'!$H$52,0)</f>
        <v>735.695242046761</v>
      </c>
      <c r="O65" s="8" t="n">
        <f aca="false">IF(O$4-Assumptions!$C$71&gt;=1,INDEX('36-Month Forecast'!$C$296:$AL$296,1,O$4-Assumptions!$C$71)+INDEX('36-Month Forecast'!$C$293:$AL$293,1,O$4-Assumptions!$C$71)*'Unit Economics'!$H$52,0)</f>
        <v>724.079001382865</v>
      </c>
      <c r="P65" s="8" t="n">
        <f aca="false">IF(P$4-Assumptions!$C$71&gt;=1,INDEX('36-Month Forecast'!$C$296:$AL$296,1,P$4-Assumptions!$C$71)+INDEX('36-Month Forecast'!$C$293:$AL$293,1,P$4-Assumptions!$C$71)*'Unit Economics'!$H$52,0)</f>
        <v>796.486901521152</v>
      </c>
      <c r="Q65" s="8" t="n">
        <f aca="false">IF(Q$4-Assumptions!$C$71&gt;=1,INDEX('36-Month Forecast'!$C$296:$AL$296,1,Q$4-Assumptions!$C$71)+INDEX('36-Month Forecast'!$C$293:$AL$293,1,Q$4-Assumptions!$C$71)*'Unit Economics'!$H$52,0)</f>
        <v>934.70080502041</v>
      </c>
      <c r="R65" s="8" t="n">
        <f aca="false">IF(R$4-Assumptions!$C$71&gt;=1,INDEX('36-Month Forecast'!$C$296:$AL$296,1,R$4-Assumptions!$C$71)+INDEX('36-Month Forecast'!$C$293:$AL$293,1,R$4-Assumptions!$C$71)*'Unit Economics'!$H$52,0)</f>
        <v>1343.01747247669</v>
      </c>
      <c r="S65" s="8" t="n">
        <f aca="false">IF(S$4-Assumptions!$C$71&gt;=1,INDEX('36-Month Forecast'!$C$296:$AL$296,1,S$4-Assumptions!$C$71)+INDEX('36-Month Forecast'!$C$293:$AL$293,1,S$4-Assumptions!$C$71)*'Unit Economics'!$H$52,0)</f>
        <v>1464.40559018132</v>
      </c>
      <c r="T65" s="8" t="n">
        <f aca="false">IF(T$4-Assumptions!$C$71&gt;=1,INDEX('36-Month Forecast'!$C$296:$AL$296,1,T$4-Assumptions!$C$71)+INDEX('36-Month Forecast'!$C$293:$AL$293,1,T$4-Assumptions!$C$71)*'Unit Economics'!$H$52,0)</f>
        <v>1423.72765712073</v>
      </c>
      <c r="U65" s="8" t="n">
        <f aca="false">IF(U$4-Assumptions!$C$71&gt;=1,INDEX('36-Month Forecast'!$C$296:$AL$296,1,U$4-Assumptions!$C$71)+INDEX('36-Month Forecast'!$C$293:$AL$293,1,U$4-Assumptions!$C$71)*'Unit Economics'!$H$52,0)</f>
        <v>1076.33810878327</v>
      </c>
      <c r="V65" s="8" t="n">
        <f aca="false">IF(V$4-Assumptions!$C$71&gt;=1,INDEX('36-Month Forecast'!$C$296:$AL$296,1,V$4-Assumptions!$C$71)+INDEX('36-Month Forecast'!$C$293:$AL$293,1,V$4-Assumptions!$C$71)*'Unit Economics'!$H$52,0)</f>
        <v>1255.72779358048</v>
      </c>
      <c r="W65" s="8" t="n">
        <f aca="false">IF(W$4-Assumptions!$C$71&gt;=1,INDEX('36-Month Forecast'!$C$296:$AL$296,1,W$4-Assumptions!$C$71)+INDEX('36-Month Forecast'!$C$293:$AL$293,1,W$4-Assumptions!$C$71)*'Unit Economics'!$H$52,0)</f>
        <v>1384.43989242248</v>
      </c>
      <c r="X65" s="8" t="n">
        <f aca="false">IF(X$4-Assumptions!$C$71&gt;=1,INDEX('36-Month Forecast'!$C$296:$AL$296,1,X$4-Assumptions!$C$71)+INDEX('36-Month Forecast'!$C$293:$AL$293,1,X$4-Assumptions!$C$71)*'Unit Economics'!$H$52,0)</f>
        <v>1315.21789780136</v>
      </c>
      <c r="Y65" s="8" t="n">
        <f aca="false">IF(Y$4-Assumptions!$C$71&gt;=1,INDEX('36-Month Forecast'!$C$296:$AL$296,1,Y$4-Assumptions!$C$71)+INDEX('36-Month Forecast'!$C$293:$AL$293,1,Y$4-Assumptions!$C$71)*'Unit Economics'!$H$52,0)</f>
        <v>1453.66188704361</v>
      </c>
      <c r="Z65" s="8" t="n">
        <f aca="false">IF(Z$4-Assumptions!$C$71&gt;=1,INDEX('36-Month Forecast'!$C$296:$AL$296,1,Z$4-Assumptions!$C$71)+INDEX('36-Month Forecast'!$C$293:$AL$293,1,Z$4-Assumptions!$C$71)*'Unit Economics'!$H$52,0)</f>
        <v>1450.027732326</v>
      </c>
      <c r="AA65" s="8" t="n">
        <f aca="false">IF(AA$4-Assumptions!$C$71&gt;=1,INDEX('36-Month Forecast'!$C$296:$AL$296,1,AA$4-Assumptions!$C$71)+INDEX('36-Month Forecast'!$C$293:$AL$293,1,AA$4-Assumptions!$C$71)*'Unit Economics'!$H$52,0)</f>
        <v>1362.26289589574</v>
      </c>
      <c r="AB65" s="8" t="n">
        <f aca="false">IF(AB$4-Assumptions!$C$71&gt;=1,INDEX('36-Month Forecast'!$C$296:$AL$296,1,AB$4-Assumptions!$C$71)+INDEX('36-Month Forecast'!$C$293:$AL$293,1,AB$4-Assumptions!$C$71)*'Unit Economics'!$H$52,0)</f>
        <v>1430.37604069053</v>
      </c>
      <c r="AC65" s="8" t="n">
        <f aca="false">IF(AC$4-Assumptions!$C$71&gt;=1,INDEX('36-Month Forecast'!$C$296:$AL$296,1,AC$4-Assumptions!$C$71)+INDEX('36-Month Forecast'!$C$293:$AL$293,1,AC$4-Assumptions!$C$71)*'Unit Economics'!$H$52,0)</f>
        <v>1646.61524213609</v>
      </c>
      <c r="AD65" s="8" t="n">
        <f aca="false">IF(AD$4-Assumptions!$C$71&gt;=1,INDEX('36-Month Forecast'!$C$296:$AL$296,1,AD$4-Assumptions!$C$71)+INDEX('36-Month Forecast'!$C$293:$AL$293,1,AD$4-Assumptions!$C$71)*'Unit Economics'!$H$52,0)</f>
        <v>2320.86085181077</v>
      </c>
      <c r="AE65" s="8" t="n">
        <f aca="false">IF(AE$4-Assumptions!$C$71&gt;=1,INDEX('36-Month Forecast'!$C$296:$AL$296,1,AE$4-Assumptions!$C$71)+INDEX('36-Month Forecast'!$C$293:$AL$293,1,AE$4-Assumptions!$C$71)*'Unit Economics'!$H$52,0)</f>
        <v>2482.42847264836</v>
      </c>
      <c r="AF65" s="8" t="n">
        <f aca="false">IF(AF$4-Assumptions!$C$71&gt;=1,INDEX('36-Month Forecast'!$C$296:$AL$296,1,AF$4-Assumptions!$C$71)+INDEX('36-Month Forecast'!$C$293:$AL$293,1,AF$4-Assumptions!$C$71)*'Unit Economics'!$H$52,0)</f>
        <v>2367.50122854427</v>
      </c>
      <c r="AG65" s="8" t="n">
        <f aca="false">IF(AG$4-Assumptions!$C$71&gt;=1,INDEX('36-Month Forecast'!$C$296:$AL$296,1,AG$4-Assumptions!$C$71)+INDEX('36-Month Forecast'!$C$293:$AL$293,1,AG$4-Assumptions!$C$71)*'Unit Economics'!$H$52,0)</f>
        <v>1755.73891108843</v>
      </c>
      <c r="AH65" s="8" t="n">
        <f aca="false">IF(AH$4-Assumptions!$C$71&gt;=1,INDEX('36-Month Forecast'!$C$296:$AL$296,1,AH$4-Assumptions!$C$71)+INDEX('36-Month Forecast'!$C$293:$AL$293,1,AH$4-Assumptions!$C$71)*'Unit Economics'!$H$52,0)</f>
        <v>2009.3456426901</v>
      </c>
      <c r="AI65" s="8" t="n">
        <f aca="false">IF(AI$4-Assumptions!$C$71&gt;=1,INDEX('36-Month Forecast'!$C$296:$AL$296,1,AI$4-Assumptions!$C$71)+INDEX('36-Month Forecast'!$C$293:$AL$293,1,AI$4-Assumptions!$C$71)*'Unit Economics'!$H$52,0)</f>
        <v>2173.10731256934</v>
      </c>
      <c r="AJ65" s="8" t="n">
        <f aca="false">IF(AJ$4-Assumptions!$C$71&gt;=1,INDEX('36-Month Forecast'!$C$296:$AL$296,1,AJ$4-Assumptions!$C$71)+INDEX('36-Month Forecast'!$C$293:$AL$293,1,AJ$4-Assumptions!$C$71)*'Unit Economics'!$H$52,0)</f>
        <v>2025.12905271343</v>
      </c>
      <c r="AK65" s="8" t="n">
        <f aca="false">IF(AK$4-Assumptions!$C$71&gt;=1,INDEX('36-Month Forecast'!$C$296:$AL$296,1,AK$4-Assumptions!$C$71)+INDEX('36-Month Forecast'!$C$293:$AL$293,1,AK$4-Assumptions!$C$71)*'Unit Economics'!$H$52,0)</f>
        <v>2195.66623609982</v>
      </c>
      <c r="AL65" s="8" t="n">
        <f aca="false">IF(AL$4-Assumptions!$C$71&gt;=1,INDEX('36-Month Forecast'!$C$296:$AL$296,1,AL$4-Assumptions!$C$71)+INDEX('36-Month Forecast'!$C$293:$AL$293,1,AL$4-Assumptions!$C$71)*'Unit Economics'!$H$52,0)</f>
        <v>2148.45941202367</v>
      </c>
      <c r="AM65" s="45" t="n">
        <f aca="false">SUMIF($C$6:$AL$6,1,C65:AL65)</f>
        <v>3918.2509436637</v>
      </c>
      <c r="AN65" s="45" t="n">
        <f aca="false">SUMIF($C$6:$AL$6,2,C65:AL65)</f>
        <v>14621.8307396604</v>
      </c>
      <c r="AO65" s="45" t="n">
        <f aca="false">SUMIF($C$6:$AL$6,3,C65:AL65)</f>
        <v>23917.4912989105</v>
      </c>
      <c r="AP65" s="45" t="n">
        <f aca="false">SUM(C65:AL65)</f>
        <v>42457.5729822346</v>
      </c>
    </row>
    <row r="66" customFormat="false" ht="15" hidden="false" customHeight="false" outlineLevel="0" collapsed="false">
      <c r="A66" s="7" t="s">
        <v>804</v>
      </c>
      <c r="C66" s="8" t="n">
        <f aca="false">IF(C$4-Assumptions!$C$72&gt;=1,INDEX('36-Month Forecast'!$C$306:$AL$306,1,C$4-Assumptions!$C$72)+INDEX('36-Month Forecast'!$C$303:$AL$303,1,C$4-Assumptions!$C$72)*'Unit Economics'!$H$53,0)</f>
        <v>0</v>
      </c>
      <c r="D66" s="8" t="n">
        <f aca="false">IF(D$4-Assumptions!$C$72&gt;=1,INDEX('36-Month Forecast'!$C$306:$AL$306,1,D$4-Assumptions!$C$72)+INDEX('36-Month Forecast'!$C$303:$AL$303,1,D$4-Assumptions!$C$72)*'Unit Economics'!$H$53,0)</f>
        <v>0</v>
      </c>
      <c r="E66" s="8" t="n">
        <f aca="false">IF(E$4-Assumptions!$C$72&gt;=1,INDEX('36-Month Forecast'!$C$306:$AL$306,1,E$4-Assumptions!$C$72)+INDEX('36-Month Forecast'!$C$303:$AL$303,1,E$4-Assumptions!$C$72)*'Unit Economics'!$H$53,0)</f>
        <v>0</v>
      </c>
      <c r="F66" s="8" t="n">
        <f aca="false">IF(F$4-Assumptions!$C$72&gt;=1,INDEX('36-Month Forecast'!$C$306:$AL$306,1,F$4-Assumptions!$C$72)+INDEX('36-Month Forecast'!$C$303:$AL$303,1,F$4-Assumptions!$C$72)*'Unit Economics'!$H$53,0)</f>
        <v>-0</v>
      </c>
      <c r="G66" s="8" t="n">
        <f aca="false">IF(G$4-Assumptions!$C$72&gt;=1,INDEX('36-Month Forecast'!$C$306:$AL$306,1,G$4-Assumptions!$C$72)+INDEX('36-Month Forecast'!$C$303:$AL$303,1,G$4-Assumptions!$C$72)*'Unit Economics'!$H$53,0)</f>
        <v>0</v>
      </c>
      <c r="H66" s="8" t="n">
        <f aca="false">IF(H$4-Assumptions!$C$72&gt;=1,INDEX('36-Month Forecast'!$C$306:$AL$306,1,H$4-Assumptions!$C$72)+INDEX('36-Month Forecast'!$C$303:$AL$303,1,H$4-Assumptions!$C$72)*'Unit Economics'!$H$53,0)</f>
        <v>4.6156989375</v>
      </c>
      <c r="I66" s="8" t="n">
        <f aca="false">IF(I$4-Assumptions!$C$72&gt;=1,INDEX('36-Month Forecast'!$C$306:$AL$306,1,I$4-Assumptions!$C$72)+INDEX('36-Month Forecast'!$C$303:$AL$303,1,I$4-Assumptions!$C$72)*'Unit Economics'!$H$53,0)</f>
        <v>9.06044606249999</v>
      </c>
      <c r="J66" s="8" t="n">
        <f aca="false">IF(J$4-Assumptions!$C$72&gt;=1,INDEX('36-Month Forecast'!$C$306:$AL$306,1,J$4-Assumptions!$C$72)+INDEX('36-Month Forecast'!$C$303:$AL$303,1,J$4-Assumptions!$C$72)*'Unit Economics'!$H$53,0)</f>
        <v>10.37239865235</v>
      </c>
      <c r="K66" s="8" t="n">
        <f aca="false">IF(K$4-Assumptions!$C$72&gt;=1,INDEX('36-Month Forecast'!$C$306:$AL$306,1,K$4-Assumptions!$C$72)+INDEX('36-Month Forecast'!$C$303:$AL$303,1,K$4-Assumptions!$C$72)*'Unit Economics'!$H$53,0)</f>
        <v>16.28850751332</v>
      </c>
      <c r="L66" s="8" t="n">
        <f aca="false">IF(L$4-Assumptions!$C$72&gt;=1,INDEX('36-Month Forecast'!$C$306:$AL$306,1,L$4-Assumptions!$C$72)+INDEX('36-Month Forecast'!$C$303:$AL$303,1,L$4-Assumptions!$C$72)*'Unit Economics'!$H$53,0)</f>
        <v>22.6613860779064</v>
      </c>
      <c r="M66" s="8" t="n">
        <f aca="false">IF(M$4-Assumptions!$C$72&gt;=1,INDEX('36-Month Forecast'!$C$306:$AL$306,1,M$4-Assumptions!$C$72)+INDEX('36-Month Forecast'!$C$303:$AL$303,1,M$4-Assumptions!$C$72)*'Unit Economics'!$H$53,0)</f>
        <v>26.080018034802</v>
      </c>
      <c r="N66" s="8" t="n">
        <f aca="false">IF(N$4-Assumptions!$C$72&gt;=1,INDEX('36-Month Forecast'!$C$306:$AL$306,1,N$4-Assumptions!$C$72)+INDEX('36-Month Forecast'!$C$303:$AL$303,1,N$4-Assumptions!$C$72)*'Unit Economics'!$H$53,0)</f>
        <v>29.0998095967265</v>
      </c>
      <c r="O66" s="8" t="n">
        <f aca="false">IF(O$4-Assumptions!$C$72&gt;=1,INDEX('36-Month Forecast'!$C$306:$AL$306,1,O$4-Assumptions!$C$72)+INDEX('36-Month Forecast'!$C$303:$AL$303,1,O$4-Assumptions!$C$72)*'Unit Economics'!$H$53,0)</f>
        <v>29.3035082639036</v>
      </c>
      <c r="P66" s="8" t="n">
        <f aca="false">IF(P$4-Assumptions!$C$72&gt;=1,INDEX('36-Month Forecast'!$C$306:$AL$306,1,P$4-Assumptions!$C$72)+INDEX('36-Month Forecast'!$C$303:$AL$303,1,P$4-Assumptions!$C$72)*'Unit Economics'!$H$53,0)</f>
        <v>27.7920641534496</v>
      </c>
      <c r="Q66" s="8" t="n">
        <f aca="false">IF(Q$4-Assumptions!$C$72&gt;=1,INDEX('36-Month Forecast'!$C$306:$AL$306,1,Q$4-Assumptions!$C$72)+INDEX('36-Month Forecast'!$C$303:$AL$303,1,Q$4-Assumptions!$C$72)*'Unit Economics'!$H$53,0)</f>
        <v>29.4595880026566</v>
      </c>
      <c r="R66" s="8" t="n">
        <f aca="false">IF(R$4-Assumptions!$C$72&gt;=1,INDEX('36-Month Forecast'!$C$306:$AL$306,1,R$4-Assumptions!$C$72)+INDEX('36-Month Forecast'!$C$303:$AL$303,1,R$4-Assumptions!$C$72)*'Unit Economics'!$H$53,0)</f>
        <v>34.2424387607349</v>
      </c>
      <c r="S66" s="8" t="n">
        <f aca="false">IF(S$4-Assumptions!$C$72&gt;=1,INDEX('36-Month Forecast'!$C$306:$AL$306,1,S$4-Assumptions!$C$72)+INDEX('36-Month Forecast'!$C$303:$AL$303,1,S$4-Assumptions!$C$72)*'Unit Economics'!$H$53,0)</f>
        <v>48.7323970573828</v>
      </c>
      <c r="T66" s="8" t="n">
        <f aca="false">IF(T$4-Assumptions!$C$72&gt;=1,INDEX('36-Month Forecast'!$C$306:$AL$306,1,T$4-Assumptions!$C$72)+INDEX('36-Month Forecast'!$C$303:$AL$303,1,T$4-Assumptions!$C$72)*'Unit Economics'!$H$53,0)</f>
        <v>52.6309888219734</v>
      </c>
      <c r="U66" s="8" t="n">
        <f aca="false">IF(U$4-Assumptions!$C$72&gt;=1,INDEX('36-Month Forecast'!$C$306:$AL$306,1,U$4-Assumptions!$C$72)+INDEX('36-Month Forecast'!$C$303:$AL$303,1,U$4-Assumptions!$C$72)*'Unit Economics'!$H$53,0)</f>
        <v>50.6816929396781</v>
      </c>
      <c r="V66" s="8" t="n">
        <f aca="false">IF(V$4-Assumptions!$C$72&gt;=1,INDEX('36-Month Forecast'!$C$306:$AL$306,1,V$4-Assumptions!$C$72)+INDEX('36-Month Forecast'!$C$303:$AL$303,1,V$4-Assumptions!$C$72)*'Unit Economics'!$H$53,0)</f>
        <v>37.950451673231</v>
      </c>
      <c r="W66" s="8" t="n">
        <f aca="false">IF(W$4-Assumptions!$C$72&gt;=1,INDEX('36-Month Forecast'!$C$306:$AL$306,1,W$4-Assumptions!$C$72)+INDEX('36-Month Forecast'!$C$303:$AL$303,1,W$4-Assumptions!$C$72)*'Unit Economics'!$H$53,0)</f>
        <v>43.8538552668447</v>
      </c>
      <c r="X66" s="8" t="n">
        <f aca="false">IF(X$4-Assumptions!$C$72&gt;=1,INDEX('36-Month Forecast'!$C$306:$AL$306,1,X$4-Assumptions!$C$72)+INDEX('36-Month Forecast'!$C$303:$AL$303,1,X$4-Assumptions!$C$72)*'Unit Economics'!$H$53,0)</f>
        <v>47.8884099513944</v>
      </c>
      <c r="Y66" s="8" t="n">
        <f aca="false">IF(Y$4-Assumptions!$C$72&gt;=1,INDEX('36-Month Forecast'!$C$306:$AL$306,1,Y$4-Assumptions!$C$72)+INDEX('36-Month Forecast'!$C$303:$AL$303,1,Y$4-Assumptions!$C$72)*'Unit Economics'!$H$53,0)</f>
        <v>45.0607133637882</v>
      </c>
      <c r="Z66" s="8" t="n">
        <f aca="false">IF(Z$4-Assumptions!$C$72&gt;=1,INDEX('36-Month Forecast'!$C$306:$AL$306,1,Z$4-Assumptions!$C$72)+INDEX('36-Month Forecast'!$C$303:$AL$303,1,Z$4-Assumptions!$C$72)*'Unit Economics'!$H$53,0)</f>
        <v>49.329623050884</v>
      </c>
      <c r="AA66" s="8" t="n">
        <f aca="false">IF(AA$4-Assumptions!$C$72&gt;=1,INDEX('36-Month Forecast'!$C$306:$AL$306,1,AA$4-Assumptions!$C$72)+INDEX('36-Month Forecast'!$C$303:$AL$303,1,AA$4-Assumptions!$C$72)*'Unit Economics'!$H$53,0)</f>
        <v>48.7376675742734</v>
      </c>
      <c r="AB66" s="8" t="n">
        <f aca="false">IF(AB$4-Assumptions!$C$72&gt;=1,INDEX('36-Month Forecast'!$C$306:$AL$306,1,AB$4-Assumptions!$C$72)+INDEX('36-Month Forecast'!$C$303:$AL$303,1,AB$4-Assumptions!$C$72)*'Unit Economics'!$H$53,0)</f>
        <v>45.3516822480607</v>
      </c>
      <c r="AC66" s="8" t="n">
        <f aca="false">IF(AC$4-Assumptions!$C$72&gt;=1,INDEX('36-Month Forecast'!$C$306:$AL$306,1,AC$4-Assumptions!$C$72)+INDEX('36-Month Forecast'!$C$303:$AL$303,1,AC$4-Assumptions!$C$72)*'Unit Economics'!$H$53,0)</f>
        <v>47.1657495379831</v>
      </c>
      <c r="AD66" s="8" t="n">
        <f aca="false">IF(AD$4-Assumptions!$C$72&gt;=1,INDEX('36-Month Forecast'!$C$306:$AL$306,1,AD$4-Assumptions!$C$72)+INDEX('36-Month Forecast'!$C$303:$AL$303,1,AD$4-Assumptions!$C$72)*'Unit Economics'!$H$53,0)</f>
        <v>53.7689544733008</v>
      </c>
      <c r="AE66" s="8" t="n">
        <f aca="false">IF(AE$4-Assumptions!$C$72&gt;=1,INDEX('36-Month Forecast'!$C$306:$AL$306,1,AE$4-Assumptions!$C$72)+INDEX('36-Month Forecast'!$C$303:$AL$303,1,AE$4-Assumptions!$C$72)*'Unit Economics'!$H$53,0)</f>
        <v>75.0501406648387</v>
      </c>
      <c r="AF66" s="8" t="n">
        <f aca="false">IF(AF$4-Assumptions!$C$72&gt;=1,INDEX('36-Month Forecast'!$C$306:$AL$306,1,AF$4-Assumptions!$C$72)+INDEX('36-Month Forecast'!$C$303:$AL$303,1,AF$4-Assumptions!$C$72)*'Unit Economics'!$H$53,0)</f>
        <v>79.4954182272946</v>
      </c>
      <c r="AG66" s="8" t="n">
        <f aca="false">IF(AG$4-Assumptions!$C$72&gt;=1,INDEX('36-Month Forecast'!$C$306:$AL$306,1,AG$4-Assumptions!$C$72)+INDEX('36-Month Forecast'!$C$303:$AL$303,1,AG$4-Assumptions!$C$72)*'Unit Economics'!$H$53,0)</f>
        <v>75.079006103556</v>
      </c>
      <c r="AH66" s="8" t="n">
        <f aca="false">IF(AH$4-Assumptions!$C$72&gt;=1,INDEX('36-Month Forecast'!$C$306:$AL$306,1,AH$4-Assumptions!$C$72)+INDEX('36-Month Forecast'!$C$303:$AL$303,1,AH$4-Assumptions!$C$72)*'Unit Economics'!$H$53,0)</f>
        <v>55.1380220824515</v>
      </c>
      <c r="AI66" s="8" t="n">
        <f aca="false">IF(AI$4-Assumptions!$C$72&gt;=1,INDEX('36-Month Forecast'!$C$306:$AL$306,1,AI$4-Assumptions!$C$72)+INDEX('36-Month Forecast'!$C$303:$AL$303,1,AI$4-Assumptions!$C$72)*'Unit Economics'!$H$53,0)</f>
        <v>62.4897583601117</v>
      </c>
      <c r="AJ66" s="8" t="n">
        <f aca="false">IF(AJ$4-Assumptions!$C$72&gt;=1,INDEX('36-Month Forecast'!$C$306:$AL$306,1,AJ$4-Assumptions!$C$72)+INDEX('36-Month Forecast'!$C$303:$AL$303,1,AJ$4-Assumptions!$C$72)*'Unit Economics'!$H$53,0)</f>
        <v>66.9265312036797</v>
      </c>
      <c r="AK66" s="8" t="n">
        <f aca="false">IF(AK$4-Assumptions!$C$72&gt;=1,INDEX('36-Month Forecast'!$C$306:$AL$306,1,AK$4-Assumptions!$C$72)+INDEX('36-Month Forecast'!$C$303:$AL$303,1,AK$4-Assumptions!$C$72)*'Unit Economics'!$H$53,0)</f>
        <v>61.7636273679672</v>
      </c>
      <c r="AL66" s="8" t="n">
        <f aca="false">IF(AL$4-Assumptions!$C$72&gt;=1,INDEX('36-Month Forecast'!$C$306:$AL$306,1,AL$4-Assumptions!$C$72)+INDEX('36-Month Forecast'!$C$303:$AL$303,1,AL$4-Assumptions!$C$72)*'Unit Economics'!$H$53,0)</f>
        <v>66.3146314898175</v>
      </c>
      <c r="AM66" s="45" t="n">
        <f aca="false">SUMIF($C$6:$AL$6,1,C66:AL66)</f>
        <v>118.178264875105</v>
      </c>
      <c r="AN66" s="45" t="n">
        <f aca="false">SUMIF($C$6:$AL$6,2,C66:AL66)</f>
        <v>496.925731305921</v>
      </c>
      <c r="AO66" s="45" t="n">
        <f aca="false">SUMIF($C$6:$AL$6,3,C66:AL66)</f>
        <v>737.281189333335</v>
      </c>
      <c r="AP66" s="45" t="n">
        <f aca="false">SUM(C66:AL66)</f>
        <v>1352.38518551436</v>
      </c>
    </row>
    <row r="67" customFormat="false" ht="15" hidden="false" customHeight="false" outlineLevel="0" collapsed="false">
      <c r="A67" s="7" t="s">
        <v>805</v>
      </c>
      <c r="C67" s="8" t="n">
        <f aca="false">IF(C$4-Assumptions!$C$73&gt;=1,INDEX('36-Month Forecast'!$C$316:$AL$316,1,C$4-Assumptions!$C$73)+INDEX('36-Month Forecast'!$C$313:$AL$313,1,C$4-Assumptions!$C$73)*'Unit Economics'!$H$54,0)</f>
        <v>-0</v>
      </c>
      <c r="D67" s="8" t="n">
        <f aca="false">IF(D$4-Assumptions!$C$73&gt;=1,INDEX('36-Month Forecast'!$C$316:$AL$316,1,D$4-Assumptions!$C$73)+INDEX('36-Month Forecast'!$C$313:$AL$313,1,D$4-Assumptions!$C$73)*'Unit Economics'!$H$54,0)</f>
        <v>-0</v>
      </c>
      <c r="E67" s="8" t="n">
        <f aca="false">IF(E$4-Assumptions!$C$73&gt;=1,INDEX('36-Month Forecast'!$C$316:$AL$316,1,E$4-Assumptions!$C$73)+INDEX('36-Month Forecast'!$C$313:$AL$313,1,E$4-Assumptions!$C$73)*'Unit Economics'!$H$54,0)</f>
        <v>0</v>
      </c>
      <c r="F67" s="8" t="n">
        <f aca="false">IF(F$4-Assumptions!$C$73&gt;=1,INDEX('36-Month Forecast'!$C$316:$AL$316,1,F$4-Assumptions!$C$73)+INDEX('36-Month Forecast'!$C$313:$AL$313,1,F$4-Assumptions!$C$73)*'Unit Economics'!$H$54,0)</f>
        <v>11.3498981717333</v>
      </c>
      <c r="G67" s="8" t="n">
        <f aca="false">IF(G$4-Assumptions!$C$73&gt;=1,INDEX('36-Month Forecast'!$C$316:$AL$316,1,G$4-Assumptions!$C$73)+INDEX('36-Month Forecast'!$C$313:$AL$313,1,G$4-Assumptions!$C$73)*'Unit Economics'!$H$54,0)</f>
        <v>18.3051157713715</v>
      </c>
      <c r="H67" s="8" t="n">
        <f aca="false">IF(H$4-Assumptions!$C$73&gt;=1,INDEX('36-Month Forecast'!$C$316:$AL$316,1,H$4-Assumptions!$C$73)+INDEX('36-Month Forecast'!$C$313:$AL$313,1,H$4-Assumptions!$C$73)*'Unit Economics'!$H$54,0)</f>
        <v>34.1695494398935</v>
      </c>
      <c r="I67" s="8" t="n">
        <f aca="false">IF(I$4-Assumptions!$C$73&gt;=1,INDEX('36-Month Forecast'!$C$316:$AL$316,1,I$4-Assumptions!$C$73)+INDEX('36-Month Forecast'!$C$313:$AL$313,1,I$4-Assumptions!$C$73)*'Unit Economics'!$H$54,0)</f>
        <v>53.577853521753</v>
      </c>
      <c r="J67" s="8" t="n">
        <f aca="false">IF(J$4-Assumptions!$C$73&gt;=1,INDEX('36-Month Forecast'!$C$316:$AL$316,1,J$4-Assumptions!$C$73)+INDEX('36-Month Forecast'!$C$313:$AL$313,1,J$4-Assumptions!$C$73)*'Unit Economics'!$H$54,0)</f>
        <v>67.8652811275539</v>
      </c>
      <c r="K67" s="8" t="n">
        <f aca="false">IF(K$4-Assumptions!$C$73&gt;=1,INDEX('36-Month Forecast'!$C$316:$AL$316,1,K$4-Assumptions!$C$73)+INDEX('36-Month Forecast'!$C$313:$AL$313,1,K$4-Assumptions!$C$73)*'Unit Economics'!$H$54,0)</f>
        <v>96.0115135109815</v>
      </c>
      <c r="L67" s="8" t="n">
        <f aca="false">IF(L$4-Assumptions!$C$73&gt;=1,INDEX('36-Month Forecast'!$C$316:$AL$316,1,L$4-Assumptions!$C$73)+INDEX('36-Month Forecast'!$C$313:$AL$313,1,L$4-Assumptions!$C$73)*'Unit Economics'!$H$54,0)</f>
        <v>102.156250375684</v>
      </c>
      <c r="M67" s="8" t="n">
        <f aca="false">IF(M$4-Assumptions!$C$73&gt;=1,INDEX('36-Month Forecast'!$C$316:$AL$316,1,M$4-Assumptions!$C$73)+INDEX('36-Month Forecast'!$C$313:$AL$313,1,M$4-Assumptions!$C$73)*'Unit Economics'!$H$54,0)</f>
        <v>102.371316165949</v>
      </c>
      <c r="N67" s="8" t="n">
        <f aca="false">IF(N$4-Assumptions!$C$73&gt;=1,INDEX('36-Month Forecast'!$C$316:$AL$316,1,N$4-Assumptions!$C$73)+INDEX('36-Month Forecast'!$C$313:$AL$313,1,N$4-Assumptions!$C$73)*'Unit Economics'!$H$54,0)</f>
        <v>114.655874105863</v>
      </c>
      <c r="O67" s="8" t="n">
        <f aca="false">IF(O$4-Assumptions!$C$73&gt;=1,INDEX('36-Month Forecast'!$C$316:$AL$316,1,O$4-Assumptions!$C$73)+INDEX('36-Month Forecast'!$C$313:$AL$313,1,O$4-Assumptions!$C$73)*'Unit Economics'!$H$54,0)</f>
        <v>137.114936504247</v>
      </c>
      <c r="P67" s="8" t="n">
        <f aca="false">IF(P$4-Assumptions!$C$73&gt;=1,INDEX('36-Month Forecast'!$C$316:$AL$316,1,P$4-Assumptions!$C$73)+INDEX('36-Month Forecast'!$C$313:$AL$313,1,P$4-Assumptions!$C$73)*'Unit Economics'!$H$54,0)</f>
        <v>200.765133344639</v>
      </c>
      <c r="Q67" s="8" t="n">
        <f aca="false">IF(Q$4-Assumptions!$C$73&gt;=1,INDEX('36-Month Forecast'!$C$316:$AL$316,1,Q$4-Assumptions!$C$73)+INDEX('36-Month Forecast'!$C$313:$AL$313,1,Q$4-Assumptions!$C$73)*'Unit Economics'!$H$54,0)</f>
        <v>223.080950089485</v>
      </c>
      <c r="R67" s="8" t="n">
        <f aca="false">IF(R$4-Assumptions!$C$73&gt;=1,INDEX('36-Month Forecast'!$C$316:$AL$316,1,R$4-Assumptions!$C$73)+INDEX('36-Month Forecast'!$C$313:$AL$313,1,R$4-Assumptions!$C$73)*'Unit Economics'!$H$54,0)</f>
        <v>221.015385736805</v>
      </c>
      <c r="S67" s="8" t="n">
        <f aca="false">IF(S$4-Assumptions!$C$73&gt;=1,INDEX('36-Month Forecast'!$C$316:$AL$316,1,S$4-Assumptions!$C$73)+INDEX('36-Month Forecast'!$C$313:$AL$313,1,S$4-Assumptions!$C$73)*'Unit Economics'!$H$54,0)</f>
        <v>170.270253171634</v>
      </c>
      <c r="T67" s="8" t="n">
        <f aca="false">IF(T$4-Assumptions!$C$73&gt;=1,INDEX('36-Month Forecast'!$C$316:$AL$316,1,T$4-Assumptions!$C$73)+INDEX('36-Month Forecast'!$C$313:$AL$313,1,T$4-Assumptions!$C$73)*'Unit Economics'!$H$54,0)</f>
        <v>202.432412104054</v>
      </c>
      <c r="U67" s="8" t="n">
        <f aca="false">IF(U$4-Assumptions!$C$73&gt;=1,INDEX('36-Month Forecast'!$C$316:$AL$316,1,U$4-Assumptions!$C$73)+INDEX('36-Month Forecast'!$C$313:$AL$313,1,U$4-Assumptions!$C$73)*'Unit Economics'!$H$54,0)</f>
        <v>227.432814998905</v>
      </c>
      <c r="V67" s="8" t="n">
        <f aca="false">IF(V$4-Assumptions!$C$73&gt;=1,INDEX('36-Month Forecast'!$C$316:$AL$316,1,V$4-Assumptions!$C$73)+INDEX('36-Month Forecast'!$C$313:$AL$313,1,V$4-Assumptions!$C$73)*'Unit Economics'!$H$54,0)</f>
        <v>220.176625187035</v>
      </c>
      <c r="W67" s="8" t="n">
        <f aca="false">IF(W$4-Assumptions!$C$73&gt;=1,INDEX('36-Month Forecast'!$C$316:$AL$316,1,W$4-Assumptions!$C$73)+INDEX('36-Month Forecast'!$C$313:$AL$313,1,W$4-Assumptions!$C$73)*'Unit Economics'!$H$54,0)</f>
        <v>247.988409421187</v>
      </c>
      <c r="X67" s="8" t="n">
        <f aca="false">IF(X$4-Assumptions!$C$73&gt;=1,INDEX('36-Month Forecast'!$C$316:$AL$316,1,X$4-Assumptions!$C$73)+INDEX('36-Month Forecast'!$C$313:$AL$313,1,X$4-Assumptions!$C$73)*'Unit Economics'!$H$54,0)</f>
        <v>252.080218176637</v>
      </c>
      <c r="Y67" s="8" t="n">
        <f aca="false">IF(Y$4-Assumptions!$C$73&gt;=1,INDEX('36-Month Forecast'!$C$316:$AL$316,1,Y$4-Assumptions!$C$73)+INDEX('36-Month Forecast'!$C$313:$AL$313,1,Y$4-Assumptions!$C$73)*'Unit Economics'!$H$54,0)</f>
        <v>241.33364045437</v>
      </c>
      <c r="Z67" s="8" t="n">
        <f aca="false">IF(Z$4-Assumptions!$C$73&gt;=1,INDEX('36-Month Forecast'!$C$316:$AL$316,1,Z$4-Assumptions!$C$73)+INDEX('36-Month Forecast'!$C$313:$AL$313,1,Z$4-Assumptions!$C$73)*'Unit Economics'!$H$54,0)</f>
        <v>258.226995286175</v>
      </c>
      <c r="AA67" s="8" t="n">
        <f aca="false">IF(AA$4-Assumptions!$C$73&gt;=1,INDEX('36-Month Forecast'!$C$316:$AL$316,1,AA$4-Assumptions!$C$73)+INDEX('36-Month Forecast'!$C$313:$AL$313,1,AA$4-Assumptions!$C$73)*'Unit Economics'!$H$54,0)</f>
        <v>300.150907462049</v>
      </c>
      <c r="AB67" s="8" t="n">
        <f aca="false">IF(AB$4-Assumptions!$C$73&gt;=1,INDEX('36-Month Forecast'!$C$316:$AL$316,1,AB$4-Assumptions!$C$73)+INDEX('36-Month Forecast'!$C$313:$AL$313,1,AB$4-Assumptions!$C$73)*'Unit Economics'!$H$54,0)</f>
        <v>427.162133567042</v>
      </c>
      <c r="AC67" s="8" t="n">
        <f aca="false">IF(AC$4-Assumptions!$C$73&gt;=1,INDEX('36-Month Forecast'!$C$316:$AL$316,1,AC$4-Assumptions!$C$73)+INDEX('36-Month Forecast'!$C$313:$AL$313,1,AC$4-Assumptions!$C$73)*'Unit Economics'!$H$54,0)</f>
        <v>461.335104252405</v>
      </c>
      <c r="AD67" s="8" t="n">
        <f aca="false">IF(AD$4-Assumptions!$C$73&gt;=1,INDEX('36-Month Forecast'!$C$316:$AL$316,1,AD$4-Assumptions!$C$73)+INDEX('36-Month Forecast'!$C$313:$AL$313,1,AD$4-Assumptions!$C$73)*'Unit Economics'!$H$54,0)</f>
        <v>444.248618909724</v>
      </c>
      <c r="AE67" s="8" t="n">
        <f aca="false">IF(AE$4-Assumptions!$C$73&gt;=1,INDEX('36-Month Forecast'!$C$316:$AL$316,1,AE$4-Assumptions!$C$73)+INDEX('36-Month Forecast'!$C$313:$AL$313,1,AE$4-Assumptions!$C$73)*'Unit Economics'!$H$54,0)</f>
        <v>332.653365839601</v>
      </c>
      <c r="AF67" s="8" t="n">
        <f aca="false">IF(AF$4-Assumptions!$C$73&gt;=1,INDEX('36-Month Forecast'!$C$316:$AL$316,1,AF$4-Assumptions!$C$73)+INDEX('36-Month Forecast'!$C$313:$AL$313,1,AF$4-Assumptions!$C$73)*'Unit Economics'!$H$54,0)</f>
        <v>384.399444970206</v>
      </c>
      <c r="AG67" s="8" t="n">
        <f aca="false">IF(AG$4-Assumptions!$C$73&gt;=1,INDEX('36-Month Forecast'!$C$316:$AL$316,1,AG$4-Assumptions!$C$73)+INDEX('36-Month Forecast'!$C$313:$AL$313,1,AG$4-Assumptions!$C$73)*'Unit Economics'!$H$54,0)</f>
        <v>419.764193907465</v>
      </c>
      <c r="AH67" s="8" t="n">
        <f aca="false">IF(AH$4-Assumptions!$C$73&gt;=1,INDEX('36-Month Forecast'!$C$316:$AL$316,1,AH$4-Assumptions!$C$73)+INDEX('36-Month Forecast'!$C$313:$AL$313,1,AH$4-Assumptions!$C$73)*'Unit Economics'!$H$54,0)</f>
        <v>394.978117695786</v>
      </c>
      <c r="AI67" s="8" t="n">
        <f aca="false">IF(AI$4-Assumptions!$C$73&gt;=1,INDEX('36-Month Forecast'!$C$316:$AL$316,1,AI$4-Assumptions!$C$73)+INDEX('36-Month Forecast'!$C$313:$AL$313,1,AI$4-Assumptions!$C$73)*'Unit Economics'!$H$54,0)</f>
        <v>432.397097266965</v>
      </c>
      <c r="AJ67" s="8" t="n">
        <f aca="false">IF(AJ$4-Assumptions!$C$73&gt;=1,INDEX('36-Month Forecast'!$C$316:$AL$316,1,AJ$4-Assumptions!$C$73)+INDEX('36-Month Forecast'!$C$313:$AL$313,1,AJ$4-Assumptions!$C$73)*'Unit Economics'!$H$54,0)</f>
        <v>427.208332099762</v>
      </c>
      <c r="AK67" s="8" t="n">
        <f aca="false">IF(AK$4-Assumptions!$C$73&gt;=1,INDEX('36-Month Forecast'!$C$316:$AL$316,1,AK$4-Assumptions!$C$73)+INDEX('36-Month Forecast'!$C$313:$AL$313,1,AK$4-Assumptions!$C$73)*'Unit Economics'!$H$54,0)</f>
        <v>397.528595343357</v>
      </c>
      <c r="AL67" s="8" t="n">
        <f aca="false">IF(AL$4-Assumptions!$C$73&gt;=1,INDEX('36-Month Forecast'!$C$316:$AL$316,1,AL$4-Assumptions!$C$73)+INDEX('36-Month Forecast'!$C$313:$AL$313,1,AL$4-Assumptions!$C$73)*'Unit Economics'!$H$54,0)</f>
        <v>413.429739157092</v>
      </c>
      <c r="AM67" s="45" t="n">
        <f aca="false">SUMIF($C$6:$AL$6,1,C67:AL67)</f>
        <v>600.462652190783</v>
      </c>
      <c r="AN67" s="45" t="n">
        <f aca="false">SUMIF($C$6:$AL$6,2,C67:AL67)</f>
        <v>2601.91777447517</v>
      </c>
      <c r="AO67" s="45" t="n">
        <f aca="false">SUMIF($C$6:$AL$6,3,C67:AL67)</f>
        <v>4835.25565047145</v>
      </c>
      <c r="AP67" s="45" t="n">
        <f aca="false">SUM(C67:AL67)</f>
        <v>8037.63607713741</v>
      </c>
    </row>
    <row r="68" customFormat="false" ht="15" hidden="false" customHeight="false" outlineLevel="0" collapsed="false">
      <c r="A68" s="7" t="s">
        <v>806</v>
      </c>
      <c r="C68" s="8" t="n">
        <f aca="false">IF(C$4-Assumptions!$C$74&gt;=1,INDEX('36-Month Forecast'!$C$326:$AL$326,1,C$4-Assumptions!$C$74)+INDEX('36-Month Forecast'!$C$323:$AL$323,1,C$4-Assumptions!$C$74)*'Unit Economics'!$H$55,0)</f>
        <v>-0</v>
      </c>
      <c r="D68" s="8" t="n">
        <f aca="false">IF(D$4-Assumptions!$C$74&gt;=1,INDEX('36-Month Forecast'!$C$326:$AL$326,1,D$4-Assumptions!$C$74)+INDEX('36-Month Forecast'!$C$323:$AL$323,1,D$4-Assumptions!$C$74)*'Unit Economics'!$H$55,0)</f>
        <v>-0</v>
      </c>
      <c r="E68" s="8" t="n">
        <f aca="false">IF(E$4-Assumptions!$C$74&gt;=1,INDEX('36-Month Forecast'!$C$326:$AL$326,1,E$4-Assumptions!$C$74)+INDEX('36-Month Forecast'!$C$323:$AL$323,1,E$4-Assumptions!$C$74)*'Unit Economics'!$H$55,0)</f>
        <v>0</v>
      </c>
      <c r="F68" s="8" t="n">
        <f aca="false">IF(F$4-Assumptions!$C$74&gt;=1,INDEX('36-Month Forecast'!$C$326:$AL$326,1,F$4-Assumptions!$C$74)+INDEX('36-Month Forecast'!$C$323:$AL$323,1,F$4-Assumptions!$C$74)*'Unit Economics'!$H$55,0)</f>
        <v>4.73979980865</v>
      </c>
      <c r="G68" s="8" t="n">
        <f aca="false">IF(G$4-Assumptions!$C$74&gt;=1,INDEX('36-Month Forecast'!$C$326:$AL$326,1,G$4-Assumptions!$C$74)+INDEX('36-Month Forecast'!$C$323:$AL$323,1,G$4-Assumptions!$C$74)*'Unit Economics'!$H$55,0)</f>
        <v>10.070921102574</v>
      </c>
      <c r="H68" s="8" t="n">
        <f aca="false">IF(H$4-Assumptions!$C$74&gt;=1,INDEX('36-Month Forecast'!$C$326:$AL$326,1,H$4-Assumptions!$C$74)+INDEX('36-Month Forecast'!$C$323:$AL$323,1,H$4-Assumptions!$C$74)*'Unit Economics'!$H$55,0)</f>
        <v>21.3843890554457</v>
      </c>
      <c r="I68" s="8" t="n">
        <f aca="false">IF(I$4-Assumptions!$C$74&gt;=1,INDEX('36-Month Forecast'!$C$326:$AL$326,1,I$4-Assumptions!$C$74)+INDEX('36-Month Forecast'!$C$323:$AL$323,1,I$4-Assumptions!$C$74)*'Unit Economics'!$H$55,0)</f>
        <v>38.4738653273765</v>
      </c>
      <c r="J68" s="8" t="n">
        <f aca="false">IF(J$4-Assumptions!$C$74&gt;=1,INDEX('36-Month Forecast'!$C$326:$AL$326,1,J$4-Assumptions!$C$74)+INDEX('36-Month Forecast'!$C$323:$AL$323,1,J$4-Assumptions!$C$74)*'Unit Economics'!$H$55,0)</f>
        <v>55.2086227455706</v>
      </c>
      <c r="K68" s="8" t="n">
        <f aca="false">IF(K$4-Assumptions!$C$74&gt;=1,INDEX('36-Month Forecast'!$C$326:$AL$326,1,K$4-Assumptions!$C$74)+INDEX('36-Month Forecast'!$C$323:$AL$323,1,K$4-Assumptions!$C$74)*'Unit Economics'!$H$55,0)</f>
        <v>84.6588221419668</v>
      </c>
      <c r="L68" s="8" t="n">
        <f aca="false">IF(L$4-Assumptions!$C$74&gt;=1,INDEX('36-Month Forecast'!$C$326:$AL$326,1,L$4-Assumptions!$C$74)+INDEX('36-Month Forecast'!$C$323:$AL$323,1,L$4-Assumptions!$C$74)*'Unit Economics'!$H$55,0)</f>
        <v>97.1460001335474</v>
      </c>
      <c r="M68" s="8" t="n">
        <f aca="false">IF(M$4-Assumptions!$C$74&gt;=1,INDEX('36-Month Forecast'!$C$326:$AL$326,1,M$4-Assumptions!$C$74)+INDEX('36-Month Forecast'!$C$323:$AL$323,1,M$4-Assumptions!$C$74)*'Unit Economics'!$H$55,0)</f>
        <v>102.722242271768</v>
      </c>
      <c r="N68" s="8" t="n">
        <f aca="false">IF(N$4-Assumptions!$C$74&gt;=1,INDEX('36-Month Forecast'!$C$326:$AL$326,1,N$4-Assumptions!$C$74)+INDEX('36-Month Forecast'!$C$323:$AL$323,1,N$4-Assumptions!$C$74)*'Unit Economics'!$H$55,0)</f>
        <v>118.322334819054</v>
      </c>
      <c r="O68" s="8" t="n">
        <f aca="false">IF(O$4-Assumptions!$C$74&gt;=1,INDEX('36-Month Forecast'!$C$326:$AL$326,1,O$4-Assumptions!$C$74)+INDEX('36-Month Forecast'!$C$323:$AL$323,1,O$4-Assumptions!$C$74)*'Unit Economics'!$H$55,0)</f>
        <v>151.638101620833</v>
      </c>
      <c r="P68" s="8" t="n">
        <f aca="false">IF(P$4-Assumptions!$C$74&gt;=1,INDEX('36-Month Forecast'!$C$326:$AL$326,1,P$4-Assumptions!$C$74)+INDEX('36-Month Forecast'!$C$323:$AL$323,1,P$4-Assumptions!$C$74)*'Unit Economics'!$H$55,0)</f>
        <v>239.187802786219</v>
      </c>
      <c r="Q68" s="8" t="n">
        <f aca="false">IF(Q$4-Assumptions!$C$74&gt;=1,INDEX('36-Month Forecast'!$C$326:$AL$326,1,Q$4-Assumptions!$C$74)+INDEX('36-Month Forecast'!$C$323:$AL$323,1,Q$4-Assumptions!$C$74)*'Unit Economics'!$H$55,0)</f>
        <v>297.015167244261</v>
      </c>
      <c r="R68" s="8" t="n">
        <f aca="false">IF(R$4-Assumptions!$C$74&gt;=1,INDEX('36-Month Forecast'!$C$326:$AL$326,1,R$4-Assumptions!$C$74)+INDEX('36-Month Forecast'!$C$323:$AL$323,1,R$4-Assumptions!$C$74)*'Unit Economics'!$H$55,0)</f>
        <v>324.62931641303</v>
      </c>
      <c r="S68" s="8" t="n">
        <f aca="false">IF(S$4-Assumptions!$C$74&gt;=1,INDEX('36-Month Forecast'!$C$326:$AL$326,1,S$4-Assumptions!$C$74)+INDEX('36-Month Forecast'!$C$323:$AL$323,1,S$4-Assumptions!$C$74)*'Unit Economics'!$H$55,0)</f>
        <v>268.595137798286</v>
      </c>
      <c r="T68" s="8" t="n">
        <f aca="false">IF(T$4-Assumptions!$C$74&gt;=1,INDEX('36-Month Forecast'!$C$326:$AL$326,1,T$4-Assumptions!$C$74)+INDEX('36-Month Forecast'!$C$323:$AL$323,1,T$4-Assumptions!$C$74)*'Unit Economics'!$H$55,0)</f>
        <v>327.167270245137</v>
      </c>
      <c r="U68" s="8" t="n">
        <f aca="false">IF(U$4-Assumptions!$C$74&gt;=1,INDEX('36-Month Forecast'!$C$326:$AL$326,1,U$4-Assumptions!$C$74)+INDEX('36-Month Forecast'!$C$323:$AL$323,1,U$4-Assumptions!$C$74)*'Unit Economics'!$H$55,0)</f>
        <v>379.518825367834</v>
      </c>
      <c r="V68" s="8" t="n">
        <f aca="false">IF(V$4-Assumptions!$C$74&gt;=1,INDEX('36-Month Forecast'!$C$326:$AL$326,1,V$4-Assumptions!$C$74)+INDEX('36-Month Forecast'!$C$323:$AL$323,1,V$4-Assumptions!$C$74)*'Unit Economics'!$H$55,0)</f>
        <v>379.860195395746</v>
      </c>
      <c r="W68" s="8" t="n">
        <f aca="false">IF(W$4-Assumptions!$C$74&gt;=1,INDEX('36-Month Forecast'!$C$326:$AL$326,1,W$4-Assumptions!$C$74)+INDEX('36-Month Forecast'!$C$323:$AL$323,1,W$4-Assumptions!$C$74)*'Unit Economics'!$H$55,0)</f>
        <v>436.375003655276</v>
      </c>
      <c r="X68" s="8" t="n">
        <f aca="false">IF(X$4-Assumptions!$C$74&gt;=1,INDEX('36-Month Forecast'!$C$326:$AL$326,1,X$4-Assumptions!$C$74)+INDEX('36-Month Forecast'!$C$323:$AL$323,1,X$4-Assumptions!$C$74)*'Unit Economics'!$H$55,0)</f>
        <v>453.600216352188</v>
      </c>
      <c r="Y68" s="8" t="n">
        <f aca="false">IF(Y$4-Assumptions!$C$74&gt;=1,INDEX('36-Month Forecast'!$C$326:$AL$326,1,Y$4-Assumptions!$C$74)+INDEX('36-Month Forecast'!$C$323:$AL$323,1,Y$4-Assumptions!$C$74)*'Unit Economics'!$H$55,0)</f>
        <v>440.925386122422</v>
      </c>
      <c r="Z68" s="8" t="n">
        <f aca="false">IF(Z$4-Assumptions!$C$74&gt;=1,INDEX('36-Month Forecast'!$C$326:$AL$326,1,Z$4-Assumptions!$C$74)+INDEX('36-Month Forecast'!$C$323:$AL$323,1,Z$4-Assumptions!$C$74)*'Unit Economics'!$H$55,0)</f>
        <v>473.83810496762</v>
      </c>
      <c r="AA68" s="8" t="n">
        <f aca="false">IF(AA$4-Assumptions!$C$74&gt;=1,INDEX('36-Month Forecast'!$C$326:$AL$326,1,AA$4-Assumptions!$C$74)+INDEX('36-Month Forecast'!$C$323:$AL$323,1,AA$4-Assumptions!$C$74)*'Unit Economics'!$H$55,0)</f>
        <v>568.755055183243</v>
      </c>
      <c r="AB68" s="8" t="n">
        <f aca="false">IF(AB$4-Assumptions!$C$74&gt;=1,INDEX('36-Month Forecast'!$C$326:$AL$326,1,AB$4-Assumptions!$C$74)+INDEX('36-Month Forecast'!$C$323:$AL$323,1,AB$4-Assumptions!$C$74)*'Unit Economics'!$H$55,0)</f>
        <v>841.073118596992</v>
      </c>
      <c r="AC68" s="8" t="n">
        <f aca="false">IF(AC$4-Assumptions!$C$74&gt;=1,INDEX('36-Month Forecast'!$C$326:$AL$326,1,AC$4-Assumptions!$C$74)+INDEX('36-Month Forecast'!$C$323:$AL$323,1,AC$4-Assumptions!$C$74)*'Unit Economics'!$H$55,0)</f>
        <v>968.720248910223</v>
      </c>
      <c r="AD68" s="8" t="n">
        <f aca="false">IF(AD$4-Assumptions!$C$74&gt;=1,INDEX('36-Month Forecast'!$C$326:$AL$326,1,AD$4-Assumptions!$C$74)+INDEX('36-Month Forecast'!$C$323:$AL$323,1,AD$4-Assumptions!$C$74)*'Unit Economics'!$H$55,0)</f>
        <v>991.781154011499</v>
      </c>
      <c r="AE68" s="8" t="n">
        <f aca="false">IF(AE$4-Assumptions!$C$74&gt;=1,INDEX('36-Month Forecast'!$C$326:$AL$326,1,AE$4-Assumptions!$C$74)+INDEX('36-Month Forecast'!$C$323:$AL$323,1,AE$4-Assumptions!$C$74)*'Unit Economics'!$H$55,0)</f>
        <v>778.733076167407</v>
      </c>
      <c r="AF68" s="8" t="n">
        <f aca="false">IF(AF$4-Assumptions!$C$74&gt;=1,INDEX('36-Month Forecast'!$C$326:$AL$326,1,AF$4-Assumptions!$C$74)+INDEX('36-Month Forecast'!$C$323:$AL$323,1,AF$4-Assumptions!$C$74)*'Unit Economics'!$H$55,0)</f>
        <v>916.198646910013</v>
      </c>
      <c r="AG68" s="8" t="n">
        <f aca="false">IF(AG$4-Assumptions!$C$74&gt;=1,INDEX('36-Month Forecast'!$C$326:$AL$326,1,AG$4-Assumptions!$C$74)+INDEX('36-Month Forecast'!$C$323:$AL$323,1,AG$4-Assumptions!$C$74)*'Unit Economics'!$H$55,0)</f>
        <v>1024.52781311532</v>
      </c>
      <c r="AH68" s="8" t="n">
        <f aca="false">IF(AH$4-Assumptions!$C$74&gt;=1,INDEX('36-Month Forecast'!$C$326:$AL$326,1,AH$4-Assumptions!$C$74)+INDEX('36-Month Forecast'!$C$323:$AL$323,1,AH$4-Assumptions!$C$74)*'Unit Economics'!$H$55,0)</f>
        <v>988.795608031339</v>
      </c>
      <c r="AI68" s="8" t="n">
        <f aca="false">IF(AI$4-Assumptions!$C$74&gt;=1,INDEX('36-Month Forecast'!$C$326:$AL$326,1,AI$4-Assumptions!$C$74)+INDEX('36-Month Forecast'!$C$323:$AL$323,1,AI$4-Assumptions!$C$74)*'Unit Economics'!$H$55,0)</f>
        <v>1100.70426664278</v>
      </c>
      <c r="AJ68" s="8" t="n">
        <f aca="false">IF(AJ$4-Assumptions!$C$74&gt;=1,INDEX('36-Month Forecast'!$C$326:$AL$326,1,AJ$4-Assumptions!$C$74)+INDEX('36-Month Forecast'!$C$323:$AL$323,1,AJ$4-Assumptions!$C$74)*'Unit Economics'!$H$55,0)</f>
        <v>1108.13491161419</v>
      </c>
      <c r="AK68" s="8" t="n">
        <f aca="false">IF(AK$4-Assumptions!$C$74&gt;=1,INDEX('36-Month Forecast'!$C$326:$AL$326,1,AK$4-Assumptions!$C$74)+INDEX('36-Month Forecast'!$C$323:$AL$323,1,AK$4-Assumptions!$C$74)*'Unit Economics'!$H$55,0)</f>
        <v>1045.89465849565</v>
      </c>
      <c r="AL68" s="8" t="n">
        <f aca="false">IF(AL$4-Assumptions!$C$74&gt;=1,INDEX('36-Month Forecast'!$C$326:$AL$326,1,AL$4-Assumptions!$C$74)+INDEX('36-Month Forecast'!$C$323:$AL$323,1,AL$4-Assumptions!$C$74)*'Unit Economics'!$H$55,0)</f>
        <v>1095.15578249634</v>
      </c>
      <c r="AM68" s="45" t="n">
        <f aca="false">SUMIF($C$6:$AL$6,1,C68:AL68)</f>
        <v>532.726997405953</v>
      </c>
      <c r="AN68" s="45" t="n">
        <f aca="false">SUMIF($C$6:$AL$6,2,C68:AL68)</f>
        <v>4172.35052796885</v>
      </c>
      <c r="AO68" s="45" t="n">
        <f aca="false">SUMIF($C$6:$AL$6,3,C68:AL68)</f>
        <v>11428.474340175</v>
      </c>
      <c r="AP68" s="45" t="n">
        <f aca="false">SUM(C68:AL68)</f>
        <v>16133.5518655498</v>
      </c>
    </row>
    <row r="69" customFormat="false" ht="15" hidden="false" customHeight="false" outlineLevel="0" collapsed="false">
      <c r="A69" s="7" t="s">
        <v>807</v>
      </c>
      <c r="C69" s="8" t="n">
        <f aca="false">IF(C$4-Assumptions!$C$75&gt;=1,INDEX('36-Month Forecast'!$C$336:$AL$336,1,C$4-Assumptions!$C$75)+INDEX('36-Month Forecast'!$C$333:$AL$333,1,C$4-Assumptions!$C$75)*'Unit Economics'!$H$56,0)</f>
        <v>-0</v>
      </c>
      <c r="D69" s="8" t="n">
        <f aca="false">IF(D$4-Assumptions!$C$75&gt;=1,INDEX('36-Month Forecast'!$C$336:$AL$336,1,D$4-Assumptions!$C$75)+INDEX('36-Month Forecast'!$C$333:$AL$333,1,D$4-Assumptions!$C$75)*'Unit Economics'!$H$56,0)</f>
        <v>-0</v>
      </c>
      <c r="E69" s="8" t="n">
        <f aca="false">IF(E$4-Assumptions!$C$75&gt;=1,INDEX('36-Month Forecast'!$C$336:$AL$336,1,E$4-Assumptions!$C$75)+INDEX('36-Month Forecast'!$C$333:$AL$333,1,E$4-Assumptions!$C$75)*'Unit Economics'!$H$56,0)</f>
        <v>-0</v>
      </c>
      <c r="F69" s="8" t="n">
        <f aca="false">IF(F$4-Assumptions!$C$75&gt;=1,INDEX('36-Month Forecast'!$C$336:$AL$336,1,F$4-Assumptions!$C$75)+INDEX('36-Month Forecast'!$C$333:$AL$333,1,F$4-Assumptions!$C$75)*'Unit Economics'!$H$56,0)</f>
        <v>0</v>
      </c>
      <c r="G69" s="8" t="n">
        <f aca="false">IF(G$4-Assumptions!$C$75&gt;=1,INDEX('36-Month Forecast'!$C$336:$AL$336,1,G$4-Assumptions!$C$75)+INDEX('36-Month Forecast'!$C$333:$AL$333,1,G$4-Assumptions!$C$75)*'Unit Economics'!$H$56,0)</f>
        <v>23.83492995</v>
      </c>
      <c r="H69" s="8" t="n">
        <f aca="false">IF(H$4-Assumptions!$C$75&gt;=1,INDEX('36-Month Forecast'!$C$336:$AL$336,1,H$4-Assumptions!$C$75)+INDEX('36-Month Forecast'!$C$333:$AL$333,1,H$4-Assumptions!$C$75)*'Unit Economics'!$H$56,0)</f>
        <v>56.14450166</v>
      </c>
      <c r="I69" s="8" t="n">
        <f aca="false">IF(I$4-Assumptions!$C$75&gt;=1,INDEX('36-Month Forecast'!$C$336:$AL$336,1,I$4-Assumptions!$C$75)+INDEX('36-Month Forecast'!$C$333:$AL$333,1,I$4-Assumptions!$C$75)*'Unit Economics'!$H$56,0)</f>
        <v>93.73324552137</v>
      </c>
      <c r="J69" s="8" t="n">
        <f aca="false">IF(J$4-Assumptions!$C$75&gt;=1,INDEX('36-Month Forecast'!$C$336:$AL$336,1,J$4-Assumptions!$C$75)+INDEX('36-Month Forecast'!$C$333:$AL$333,1,J$4-Assumptions!$C$75)*'Unit Economics'!$H$56,0)</f>
        <v>119.859527923834</v>
      </c>
      <c r="K69" s="8" t="n">
        <f aca="false">IF(K$4-Assumptions!$C$75&gt;=1,INDEX('36-Month Forecast'!$C$336:$AL$336,1,K$4-Assumptions!$C$75)+INDEX('36-Month Forecast'!$C$333:$AL$333,1,K$4-Assumptions!$C$75)*'Unit Economics'!$H$56,0)</f>
        <v>167.172499472716</v>
      </c>
      <c r="L69" s="8" t="n">
        <f aca="false">IF(L$4-Assumptions!$C$75&gt;=1,INDEX('36-Month Forecast'!$C$336:$AL$336,1,L$4-Assumptions!$C$75)+INDEX('36-Month Forecast'!$C$333:$AL$333,1,L$4-Assumptions!$C$75)*'Unit Economics'!$H$56,0)</f>
        <v>202.011248362831</v>
      </c>
      <c r="M69" s="8" t="n">
        <f aca="false">IF(M$4-Assumptions!$C$75&gt;=1,INDEX('36-Month Forecast'!$C$336:$AL$336,1,M$4-Assumptions!$C$75)+INDEX('36-Month Forecast'!$C$333:$AL$333,1,M$4-Assumptions!$C$75)*'Unit Economics'!$H$56,0)</f>
        <v>191.591720815695</v>
      </c>
      <c r="N69" s="8" t="n">
        <f aca="false">IF(N$4-Assumptions!$C$75&gt;=1,INDEX('36-Month Forecast'!$C$336:$AL$336,1,N$4-Assumptions!$C$75)+INDEX('36-Month Forecast'!$C$333:$AL$333,1,N$4-Assumptions!$C$75)*'Unit Economics'!$H$56,0)</f>
        <v>203.087224064637</v>
      </c>
      <c r="O69" s="8" t="n">
        <f aca="false">IF(O$4-Assumptions!$C$75&gt;=1,INDEX('36-Month Forecast'!$C$336:$AL$336,1,O$4-Assumptions!$C$75)+INDEX('36-Month Forecast'!$C$333:$AL$333,1,O$4-Assumptions!$C$75)*'Unit Economics'!$H$56,0)</f>
        <v>238.3288305935</v>
      </c>
      <c r="P69" s="8" t="n">
        <f aca="false">IF(P$4-Assumptions!$C$75&gt;=1,INDEX('36-Month Forecast'!$C$336:$AL$336,1,P$4-Assumptions!$C$75)+INDEX('36-Month Forecast'!$C$333:$AL$333,1,P$4-Assumptions!$C$75)*'Unit Economics'!$H$56,0)</f>
        <v>342.440898694871</v>
      </c>
      <c r="Q69" s="8" t="n">
        <f aca="false">IF(Q$4-Assumptions!$C$75&gt;=1,INDEX('36-Month Forecast'!$C$336:$AL$336,1,Q$4-Assumptions!$C$75)+INDEX('36-Month Forecast'!$C$333:$AL$333,1,Q$4-Assumptions!$C$75)*'Unit Economics'!$H$56,0)</f>
        <v>373.392287615369</v>
      </c>
      <c r="R69" s="8" t="n">
        <f aca="false">IF(R$4-Assumptions!$C$75&gt;=1,INDEX('36-Month Forecast'!$C$336:$AL$336,1,R$4-Assumptions!$C$75)+INDEX('36-Month Forecast'!$C$333:$AL$333,1,R$4-Assumptions!$C$75)*'Unit Economics'!$H$56,0)</f>
        <v>363.020279626054</v>
      </c>
      <c r="S69" s="8" t="n">
        <f aca="false">IF(S$4-Assumptions!$C$75&gt;=1,INDEX('36-Month Forecast'!$C$336:$AL$336,1,S$4-Assumptions!$C$75)+INDEX('36-Month Forecast'!$C$333:$AL$333,1,S$4-Assumptions!$C$75)*'Unit Economics'!$H$56,0)</f>
        <v>274.443331397297</v>
      </c>
      <c r="T69" s="8" t="n">
        <f aca="false">IF(T$4-Assumptions!$C$75&gt;=1,INDEX('36-Month Forecast'!$C$336:$AL$336,1,T$4-Assumptions!$C$75)+INDEX('36-Month Forecast'!$C$333:$AL$333,1,T$4-Assumptions!$C$75)*'Unit Economics'!$H$56,0)</f>
        <v>320.183886630179</v>
      </c>
      <c r="U69" s="8" t="n">
        <f aca="false">IF(U$4-Assumptions!$C$75&gt;=1,INDEX('36-Month Forecast'!$C$336:$AL$336,1,U$4-Assumptions!$C$75)+INDEX('36-Month Forecast'!$C$333:$AL$333,1,U$4-Assumptions!$C$75)*'Unit Economics'!$H$56,0)</f>
        <v>353.002735009773</v>
      </c>
      <c r="V69" s="8" t="n">
        <f aca="false">IF(V$4-Assumptions!$C$75&gt;=1,INDEX('36-Month Forecast'!$C$336:$AL$336,1,V$4-Assumptions!$C$75)+INDEX('36-Month Forecast'!$C$333:$AL$333,1,V$4-Assumptions!$C$75)*'Unit Economics'!$H$56,0)</f>
        <v>335.352598259284</v>
      </c>
      <c r="W69" s="8" t="n">
        <f aca="false">IF(W$4-Assumptions!$C$75&gt;=1,INDEX('36-Month Forecast'!$C$336:$AL$336,1,W$4-Assumptions!$C$75)+INDEX('36-Month Forecast'!$C$333:$AL$333,1,W$4-Assumptions!$C$75)*'Unit Economics'!$H$56,0)</f>
        <v>370.652871760261</v>
      </c>
      <c r="X69" s="8" t="n">
        <f aca="false">IF(X$4-Assumptions!$C$75&gt;=1,INDEX('36-Month Forecast'!$C$336:$AL$336,1,X$4-Assumptions!$C$75)+INDEX('36-Month Forecast'!$C$333:$AL$333,1,X$4-Assumptions!$C$75)*'Unit Economics'!$H$56,0)</f>
        <v>369.726239580861</v>
      </c>
      <c r="Y69" s="8" t="n">
        <f aca="false">IF(Y$4-Assumptions!$C$75&gt;=1,INDEX('36-Month Forecast'!$C$336:$AL$336,1,Y$4-Assumptions!$C$75)+INDEX('36-Month Forecast'!$C$333:$AL$333,1,Y$4-Assumptions!$C$75)*'Unit Economics'!$H$56,0)</f>
        <v>347.348072448335</v>
      </c>
      <c r="Z69" s="8" t="n">
        <f aca="false">IF(Z$4-Assumptions!$C$75&gt;=1,INDEX('36-Month Forecast'!$C$336:$AL$336,1,Z$4-Assumptions!$C$75)+INDEX('36-Month Forecast'!$C$333:$AL$333,1,Z$4-Assumptions!$C$75)*'Unit Economics'!$H$56,0)</f>
        <v>364.715476070752</v>
      </c>
      <c r="AA69" s="8" t="n">
        <f aca="false">IF(AA$4-Assumptions!$C$75&gt;=1,INDEX('36-Month Forecast'!$C$336:$AL$336,1,AA$4-Assumptions!$C$75)+INDEX('36-Month Forecast'!$C$333:$AL$333,1,AA$4-Assumptions!$C$75)*'Unit Economics'!$H$56,0)</f>
        <v>419.851874512036</v>
      </c>
      <c r="AB69" s="8" t="n">
        <f aca="false">IF(AB$4-Assumptions!$C$75&gt;=1,INDEX('36-Month Forecast'!$C$336:$AL$336,1,AB$4-Assumptions!$C$75)+INDEX('36-Month Forecast'!$C$333:$AL$333,1,AB$4-Assumptions!$C$75)*'Unit Economics'!$H$56,0)</f>
        <v>591.770168391175</v>
      </c>
      <c r="AC69" s="8" t="n">
        <f aca="false">IF(AC$4-Assumptions!$C$75&gt;=1,INDEX('36-Month Forecast'!$C$336:$AL$336,1,AC$4-Assumptions!$C$75)+INDEX('36-Month Forecast'!$C$333:$AL$333,1,AC$4-Assumptions!$C$75)*'Unit Economics'!$H$56,0)</f>
        <v>632.966476267638</v>
      </c>
      <c r="AD69" s="8" t="n">
        <f aca="false">IF(AD$4-Assumptions!$C$75&gt;=1,INDEX('36-Month Forecast'!$C$336:$AL$336,1,AD$4-Assumptions!$C$75)+INDEX('36-Month Forecast'!$C$333:$AL$333,1,AD$4-Assumptions!$C$75)*'Unit Economics'!$H$56,0)</f>
        <v>603.662472736729</v>
      </c>
      <c r="AE69" s="8" t="n">
        <f aca="false">IF(AE$4-Assumptions!$C$75&gt;=1,INDEX('36-Month Forecast'!$C$336:$AL$336,1,AE$4-Assumptions!$C$75)+INDEX('36-Month Forecast'!$C$333:$AL$333,1,AE$4-Assumptions!$C$75)*'Unit Economics'!$H$56,0)</f>
        <v>447.676089781558</v>
      </c>
      <c r="AF69" s="8" t="n">
        <f aca="false">IF(AF$4-Assumptions!$C$75&gt;=1,INDEX('36-Month Forecast'!$C$336:$AL$336,1,AF$4-Assumptions!$C$75)+INDEX('36-Month Forecast'!$C$333:$AL$333,1,AF$4-Assumptions!$C$75)*'Unit Economics'!$H$56,0)</f>
        <v>512.340413861116</v>
      </c>
      <c r="AG69" s="8" t="n">
        <f aca="false">IF(AG$4-Assumptions!$C$75&gt;=1,INDEX('36-Month Forecast'!$C$336:$AL$336,1,AG$4-Assumptions!$C$75)+INDEX('36-Month Forecast'!$C$333:$AL$333,1,AG$4-Assumptions!$C$75)*'Unit Economics'!$H$56,0)</f>
        <v>554.096157590797</v>
      </c>
      <c r="AH69" s="8" t="n">
        <f aca="false">IF(AH$4-Assumptions!$C$75&gt;=1,INDEX('36-Month Forecast'!$C$336:$AL$336,1,AH$4-Assumptions!$C$75)+INDEX('36-Month Forecast'!$C$333:$AL$333,1,AH$4-Assumptions!$C$75)*'Unit Economics'!$H$56,0)</f>
        <v>516.364847811995</v>
      </c>
      <c r="AI69" s="8" t="n">
        <f aca="false">IF(AI$4-Assumptions!$C$75&gt;=1,INDEX('36-Month Forecast'!$C$336:$AL$336,1,AI$4-Assumptions!$C$75)+INDEX('36-Month Forecast'!$C$333:$AL$333,1,AI$4-Assumptions!$C$75)*'Unit Economics'!$H$56,0)</f>
        <v>559.848203417216</v>
      </c>
      <c r="AJ69" s="8" t="n">
        <f aca="false">IF(AJ$4-Assumptions!$C$75&gt;=1,INDEX('36-Month Forecast'!$C$336:$AL$336,1,AJ$4-Assumptions!$C$75)+INDEX('36-Month Forecast'!$C$333:$AL$333,1,AJ$4-Assumptions!$C$75)*'Unit Economics'!$H$56,0)</f>
        <v>547.811467043746</v>
      </c>
      <c r="AK69" s="8" t="n">
        <f aca="false">IF(AK$4-Assumptions!$C$75&gt;=1,INDEX('36-Month Forecast'!$C$336:$AL$336,1,AK$4-Assumptions!$C$75)+INDEX('36-Month Forecast'!$C$333:$AL$333,1,AK$4-Assumptions!$C$75)*'Unit Economics'!$H$56,0)</f>
        <v>504.851515154526</v>
      </c>
      <c r="AL69" s="8" t="n">
        <f aca="false">IF(AL$4-Assumptions!$C$75&gt;=1,INDEX('36-Month Forecast'!$C$336:$AL$336,1,AL$4-Assumptions!$C$75)+INDEX('36-Month Forecast'!$C$333:$AL$333,1,AL$4-Assumptions!$C$75)*'Unit Economics'!$H$56,0)</f>
        <v>519.997060609162</v>
      </c>
      <c r="AM69" s="45" t="n">
        <f aca="false">SUMIF($C$6:$AL$6,1,C69:AL69)</f>
        <v>1057.43489777108</v>
      </c>
      <c r="AN69" s="45" t="n">
        <f aca="false">SUMIF($C$6:$AL$6,2,C69:AL69)</f>
        <v>4052.60750768654</v>
      </c>
      <c r="AO69" s="45" t="n">
        <f aca="false">SUMIF($C$6:$AL$6,3,C69:AL69)</f>
        <v>6411.23674717769</v>
      </c>
      <c r="AP69" s="45" t="n">
        <f aca="false">SUM(C69:AL69)</f>
        <v>11521.2791526353</v>
      </c>
    </row>
    <row r="70" customFormat="false" ht="15" hidden="false" customHeight="false" outlineLevel="0" collapsed="false">
      <c r="A70" s="7" t="s">
        <v>808</v>
      </c>
      <c r="C70" s="8" t="n">
        <f aca="false">IF(C$4-Assumptions!$C$76&gt;=1,INDEX('36-Month Forecast'!$C$346:$AL$346,1,C$4-Assumptions!$C$76)+INDEX('36-Month Forecast'!$C$343:$AL$343,1,C$4-Assumptions!$C$76)*'Unit Economics'!$H$57,0)</f>
        <v>0</v>
      </c>
      <c r="D70" s="8" t="n">
        <f aca="false">IF(D$4-Assumptions!$C$76&gt;=1,INDEX('36-Month Forecast'!$C$346:$AL$346,1,D$4-Assumptions!$C$76)+INDEX('36-Month Forecast'!$C$343:$AL$343,1,D$4-Assumptions!$C$76)*'Unit Economics'!$H$57,0)</f>
        <v>-0</v>
      </c>
      <c r="E70" s="8" t="n">
        <f aca="false">IF(E$4-Assumptions!$C$76&gt;=1,INDEX('36-Month Forecast'!$C$346:$AL$346,1,E$4-Assumptions!$C$76)+INDEX('36-Month Forecast'!$C$343:$AL$343,1,E$4-Assumptions!$C$76)*'Unit Economics'!$H$57,0)</f>
        <v>-0</v>
      </c>
      <c r="F70" s="8" t="n">
        <f aca="false">IF(F$4-Assumptions!$C$76&gt;=1,INDEX('36-Month Forecast'!$C$346:$AL$346,1,F$4-Assumptions!$C$76)+INDEX('36-Month Forecast'!$C$343:$AL$343,1,F$4-Assumptions!$C$76)*'Unit Economics'!$H$57,0)</f>
        <v>-0</v>
      </c>
      <c r="G70" s="8" t="n">
        <f aca="false">IF(G$4-Assumptions!$C$76&gt;=1,INDEX('36-Month Forecast'!$C$346:$AL$346,1,G$4-Assumptions!$C$76)+INDEX('36-Month Forecast'!$C$343:$AL$343,1,G$4-Assumptions!$C$76)*'Unit Economics'!$H$57,0)</f>
        <v>-0</v>
      </c>
      <c r="H70" s="8" t="n">
        <f aca="false">IF(H$4-Assumptions!$C$76&gt;=1,INDEX('36-Month Forecast'!$C$346:$AL$346,1,H$4-Assumptions!$C$76)+INDEX('36-Month Forecast'!$C$343:$AL$343,1,H$4-Assumptions!$C$76)*'Unit Economics'!$H$57,0)</f>
        <v>-0</v>
      </c>
      <c r="I70" s="8" t="n">
        <f aca="false">IF(I$4-Assumptions!$C$76&gt;=1,INDEX('36-Month Forecast'!$C$346:$AL$346,1,I$4-Assumptions!$C$76)+INDEX('36-Month Forecast'!$C$343:$AL$343,1,I$4-Assumptions!$C$76)*'Unit Economics'!$H$57,0)</f>
        <v>-0</v>
      </c>
      <c r="J70" s="8" t="n">
        <f aca="false">IF(J$4-Assumptions!$C$76&gt;=1,INDEX('36-Month Forecast'!$C$346:$AL$346,1,J$4-Assumptions!$C$76)+INDEX('36-Month Forecast'!$C$343:$AL$343,1,J$4-Assumptions!$C$76)*'Unit Economics'!$H$57,0)</f>
        <v>-0</v>
      </c>
      <c r="K70" s="8" t="n">
        <f aca="false">IF(K$4-Assumptions!$C$76&gt;=1,INDEX('36-Month Forecast'!$C$346:$AL$346,1,K$4-Assumptions!$C$76)+INDEX('36-Month Forecast'!$C$343:$AL$343,1,K$4-Assumptions!$C$76)*'Unit Economics'!$H$57,0)</f>
        <v>-0</v>
      </c>
      <c r="L70" s="8" t="n">
        <f aca="false">IF(L$4-Assumptions!$C$76&gt;=1,INDEX('36-Month Forecast'!$C$346:$AL$346,1,L$4-Assumptions!$C$76)+INDEX('36-Month Forecast'!$C$343:$AL$343,1,L$4-Assumptions!$C$76)*'Unit Economics'!$H$57,0)</f>
        <v>0</v>
      </c>
      <c r="M70" s="8" t="n">
        <f aca="false">IF(M$4-Assumptions!$C$76&gt;=1,INDEX('36-Month Forecast'!$C$346:$AL$346,1,M$4-Assumptions!$C$76)+INDEX('36-Month Forecast'!$C$343:$AL$343,1,M$4-Assumptions!$C$76)*'Unit Economics'!$H$57,0)</f>
        <v>38.140416</v>
      </c>
      <c r="N70" s="8" t="n">
        <f aca="false">IF(N$4-Assumptions!$C$76&gt;=1,INDEX('36-Month Forecast'!$C$346:$AL$346,1,N$4-Assumptions!$C$76)+INDEX('36-Month Forecast'!$C$343:$AL$343,1,N$4-Assumptions!$C$76)*'Unit Economics'!$H$57,0)</f>
        <v>175.19164416</v>
      </c>
      <c r="O70" s="8" t="n">
        <f aca="false">IF(O$4-Assumptions!$C$76&gt;=1,INDEX('36-Month Forecast'!$C$346:$AL$346,1,O$4-Assumptions!$C$76)+INDEX('36-Month Forecast'!$C$343:$AL$343,1,O$4-Assumptions!$C$76)*'Unit Economics'!$H$57,0)</f>
        <v>299.9819999232</v>
      </c>
      <c r="P70" s="8" t="n">
        <f aca="false">IF(P$4-Assumptions!$C$76&gt;=1,INDEX('36-Month Forecast'!$C$346:$AL$346,1,P$4-Assumptions!$C$76)+INDEX('36-Month Forecast'!$C$343:$AL$343,1,P$4-Assumptions!$C$76)*'Unit Economics'!$H$57,0)</f>
        <v>363.406765621248</v>
      </c>
      <c r="Q70" s="8" t="n">
        <f aca="false">IF(Q$4-Assumptions!$C$76&gt;=1,INDEX('36-Month Forecast'!$C$346:$AL$346,1,Q$4-Assumptions!$C$76)+INDEX('36-Month Forecast'!$C$343:$AL$343,1,Q$4-Assumptions!$C$76)*'Unit Economics'!$H$57,0)</f>
        <v>401.261637040128</v>
      </c>
      <c r="R70" s="8" t="n">
        <f aca="false">IF(R$4-Assumptions!$C$76&gt;=1,INDEX('36-Month Forecast'!$C$346:$AL$346,1,R$4-Assumptions!$C$76)+INDEX('36-Month Forecast'!$C$343:$AL$343,1,R$4-Assumptions!$C$76)*'Unit Economics'!$H$57,0)</f>
        <v>357.28336162053</v>
      </c>
      <c r="S70" s="8" t="n">
        <f aca="false">IF(S$4-Assumptions!$C$76&gt;=1,INDEX('36-Month Forecast'!$C$346:$AL$346,1,S$4-Assumptions!$C$76)+INDEX('36-Month Forecast'!$C$343:$AL$343,1,S$4-Assumptions!$C$76)*'Unit Economics'!$H$57,0)</f>
        <v>595.13199949934</v>
      </c>
      <c r="T70" s="8" t="n">
        <f aca="false">IF(T$4-Assumptions!$C$76&gt;=1,INDEX('36-Month Forecast'!$C$346:$AL$346,1,T$4-Assumptions!$C$76)+INDEX('36-Month Forecast'!$C$343:$AL$343,1,T$4-Assumptions!$C$76)*'Unit Economics'!$H$57,0)</f>
        <v>573.490835881182</v>
      </c>
      <c r="U70" s="8" t="n">
        <f aca="false">IF(U$4-Assumptions!$C$76&gt;=1,INDEX('36-Month Forecast'!$C$346:$AL$346,1,U$4-Assumptions!$C$76)+INDEX('36-Month Forecast'!$C$343:$AL$343,1,U$4-Assumptions!$C$76)*'Unit Economics'!$H$57,0)</f>
        <v>607.900286034053</v>
      </c>
      <c r="V70" s="8" t="n">
        <f aca="false">IF(V$4-Assumptions!$C$76&gt;=1,INDEX('36-Month Forecast'!$C$346:$AL$346,1,V$4-Assumptions!$C$76)+INDEX('36-Month Forecast'!$C$343:$AL$343,1,V$4-Assumptions!$C$76)*'Unit Economics'!$H$57,0)</f>
        <v>579.936872876487</v>
      </c>
      <c r="W70" s="8" t="n">
        <f aca="false">IF(W$4-Assumptions!$C$76&gt;=1,INDEX('36-Month Forecast'!$C$346:$AL$346,1,W$4-Assumptions!$C$76)+INDEX('36-Month Forecast'!$C$343:$AL$343,1,W$4-Assumptions!$C$76)*'Unit Economics'!$H$57,0)</f>
        <v>478.125732971504</v>
      </c>
      <c r="X70" s="8" t="n">
        <f aca="false">IF(X$4-Assumptions!$C$76&gt;=1,INDEX('36-Month Forecast'!$C$346:$AL$346,1,X$4-Assumptions!$C$76)+INDEX('36-Month Forecast'!$C$343:$AL$343,1,X$4-Assumptions!$C$76)*'Unit Economics'!$H$57,0)</f>
        <v>289.607586828454</v>
      </c>
      <c r="Y70" s="8" t="n">
        <f aca="false">IF(Y$4-Assumptions!$C$76&gt;=1,INDEX('36-Month Forecast'!$C$346:$AL$346,1,Y$4-Assumptions!$C$76)+INDEX('36-Month Forecast'!$C$343:$AL$343,1,Y$4-Assumptions!$C$76)*'Unit Economics'!$H$57,0)</f>
        <v>460.476063057241</v>
      </c>
      <c r="Z70" s="8" t="n">
        <f aca="false">IF(Z$4-Assumptions!$C$76&gt;=1,INDEX('36-Month Forecast'!$C$346:$AL$346,1,Z$4-Assumptions!$C$76)+INDEX('36-Month Forecast'!$C$343:$AL$343,1,Z$4-Assumptions!$C$76)*'Unit Economics'!$H$57,0)</f>
        <v>1057.56002482146</v>
      </c>
      <c r="AA70" s="8" t="n">
        <f aca="false">IF(AA$4-Assumptions!$C$76&gt;=1,INDEX('36-Month Forecast'!$C$346:$AL$346,1,AA$4-Assumptions!$C$76)+INDEX('36-Month Forecast'!$C$343:$AL$343,1,AA$4-Assumptions!$C$76)*'Unit Economics'!$H$57,0)</f>
        <v>1207.24544371927</v>
      </c>
      <c r="AB70" s="8" t="n">
        <f aca="false">IF(AB$4-Assumptions!$C$76&gt;=1,INDEX('36-Month Forecast'!$C$346:$AL$346,1,AB$4-Assumptions!$C$76)+INDEX('36-Month Forecast'!$C$343:$AL$343,1,AB$4-Assumptions!$C$76)*'Unit Economics'!$H$57,0)</f>
        <v>1065.8252631693</v>
      </c>
      <c r="AC70" s="8" t="n">
        <f aca="false">IF(AC$4-Assumptions!$C$76&gt;=1,INDEX('36-Month Forecast'!$C$346:$AL$346,1,AC$4-Assumptions!$C$76)+INDEX('36-Month Forecast'!$C$343:$AL$343,1,AC$4-Assumptions!$C$76)*'Unit Economics'!$H$57,0)</f>
        <v>914.833350886982</v>
      </c>
      <c r="AD70" s="8" t="n">
        <f aca="false">IF(AD$4-Assumptions!$C$76&gt;=1,INDEX('36-Month Forecast'!$C$346:$AL$346,1,AD$4-Assumptions!$C$76)+INDEX('36-Month Forecast'!$C$343:$AL$343,1,AD$4-Assumptions!$C$76)*'Unit Economics'!$H$57,0)</f>
        <v>659.594845989514</v>
      </c>
      <c r="AE70" s="8" t="n">
        <f aca="false">IF(AE$4-Assumptions!$C$76&gt;=1,INDEX('36-Month Forecast'!$C$346:$AL$346,1,AE$4-Assumptions!$C$76)+INDEX('36-Month Forecast'!$C$343:$AL$343,1,AE$4-Assumptions!$C$76)*'Unit Economics'!$H$57,0)</f>
        <v>1067.6013721516</v>
      </c>
      <c r="AF70" s="8" t="n">
        <f aca="false">IF(AF$4-Assumptions!$C$76&gt;=1,INDEX('36-Month Forecast'!$C$346:$AL$346,1,AF$4-Assumptions!$C$76)+INDEX('36-Month Forecast'!$C$343:$AL$343,1,AF$4-Assumptions!$C$76)*'Unit Economics'!$H$57,0)</f>
        <v>999.663103014679</v>
      </c>
      <c r="AG70" s="8" t="n">
        <f aca="false">IF(AG$4-Assumptions!$C$76&gt;=1,INDEX('36-Month Forecast'!$C$346:$AL$346,1,AG$4-Assumptions!$C$76)+INDEX('36-Month Forecast'!$C$343:$AL$343,1,AG$4-Assumptions!$C$76)*'Unit Economics'!$H$57,0)</f>
        <v>1029.65299610512</v>
      </c>
      <c r="AH70" s="8" t="n">
        <f aca="false">IF(AH$4-Assumptions!$C$76&gt;=1,INDEX('36-Month Forecast'!$C$346:$AL$346,1,AH$4-Assumptions!$C$76)+INDEX('36-Month Forecast'!$C$343:$AL$343,1,AH$4-Assumptions!$C$76)*'Unit Economics'!$H$57,0)</f>
        <v>954.488327389446</v>
      </c>
      <c r="AI70" s="8" t="n">
        <f aca="false">IF(AI$4-Assumptions!$C$76&gt;=1,INDEX('36-Month Forecast'!$C$346:$AL$346,1,AI$4-Assumptions!$C$76)+INDEX('36-Month Forecast'!$C$343:$AL$343,1,AI$4-Assumptions!$C$76)*'Unit Economics'!$H$57,0)</f>
        <v>764.651204497545</v>
      </c>
      <c r="AJ70" s="8" t="n">
        <f aca="false">IF(AJ$4-Assumptions!$C$76&gt;=1,INDEX('36-Month Forecast'!$C$346:$AL$346,1,AJ$4-Assumptions!$C$76)+INDEX('36-Month Forecast'!$C$343:$AL$343,1,AJ$4-Assumptions!$C$76)*'Unit Economics'!$H$57,0)</f>
        <v>450.051851789984</v>
      </c>
      <c r="AK70" s="8" t="n">
        <f aca="false">IF(AK$4-Assumptions!$C$76&gt;=1,INDEX('36-Month Forecast'!$C$346:$AL$346,1,AK$4-Assumptions!$C$76)+INDEX('36-Month Forecast'!$C$343:$AL$343,1,AK$4-Assumptions!$C$76)*'Unit Economics'!$H$57,0)</f>
        <v>695.330111015525</v>
      </c>
      <c r="AL70" s="8" t="n">
        <f aca="false">IF(AL$4-Assumptions!$C$76&gt;=1,INDEX('36-Month Forecast'!$C$346:$AL$346,1,AL$4-Assumptions!$C$76)+INDEX('36-Month Forecast'!$C$343:$AL$343,1,AL$4-Assumptions!$C$76)*'Unit Economics'!$H$57,0)</f>
        <v>1551.74503108298</v>
      </c>
      <c r="AM70" s="45" t="n">
        <f aca="false">SUMIF($C$6:$AL$6,1,C70:AL70)</f>
        <v>213.33206016</v>
      </c>
      <c r="AN70" s="45" t="n">
        <f aca="false">SUMIF($C$6:$AL$6,2,C70:AL70)</f>
        <v>6064.16316617483</v>
      </c>
      <c r="AO70" s="45" t="n">
        <f aca="false">SUMIF($C$6:$AL$6,3,C70:AL70)</f>
        <v>11360.6829008119</v>
      </c>
      <c r="AP70" s="45" t="n">
        <f aca="false">SUM(C70:AL70)</f>
        <v>17638.1781271468</v>
      </c>
    </row>
    <row r="71" customFormat="false" ht="15" hidden="false" customHeight="false" outlineLevel="0" collapsed="false">
      <c r="A71" s="7" t="s">
        <v>809</v>
      </c>
      <c r="C71" s="8" t="n">
        <f aca="false">IF(C$4-Assumptions!$C$77&gt;=1,INDEX('36-Month Forecast'!$C$356:$AL$356,1,C$4-Assumptions!$C$77)+INDEX('36-Month Forecast'!$C$353:$AL$353,1,C$4-Assumptions!$C$77)*'Unit Economics'!$H$58,0)</f>
        <v>0</v>
      </c>
      <c r="D71" s="8" t="n">
        <f aca="false">IF(D$4-Assumptions!$C$77&gt;=1,INDEX('36-Month Forecast'!$C$356:$AL$356,1,D$4-Assumptions!$C$77)+INDEX('36-Month Forecast'!$C$353:$AL$353,1,D$4-Assumptions!$C$77)*'Unit Economics'!$H$58,0)</f>
        <v>-0</v>
      </c>
      <c r="E71" s="8" t="n">
        <f aca="false">IF(E$4-Assumptions!$C$77&gt;=1,INDEX('36-Month Forecast'!$C$356:$AL$356,1,E$4-Assumptions!$C$77)+INDEX('36-Month Forecast'!$C$353:$AL$353,1,E$4-Assumptions!$C$77)*'Unit Economics'!$H$58,0)</f>
        <v>-0</v>
      </c>
      <c r="F71" s="8" t="n">
        <f aca="false">IF(F$4-Assumptions!$C$77&gt;=1,INDEX('36-Month Forecast'!$C$356:$AL$356,1,F$4-Assumptions!$C$77)+INDEX('36-Month Forecast'!$C$353:$AL$353,1,F$4-Assumptions!$C$77)*'Unit Economics'!$H$58,0)</f>
        <v>-0</v>
      </c>
      <c r="G71" s="8" t="n">
        <f aca="false">IF(G$4-Assumptions!$C$77&gt;=1,INDEX('36-Month Forecast'!$C$356:$AL$356,1,G$4-Assumptions!$C$77)+INDEX('36-Month Forecast'!$C$353:$AL$353,1,G$4-Assumptions!$C$77)*'Unit Economics'!$H$58,0)</f>
        <v>-0</v>
      </c>
      <c r="H71" s="8" t="n">
        <f aca="false">IF(H$4-Assumptions!$C$77&gt;=1,INDEX('36-Month Forecast'!$C$356:$AL$356,1,H$4-Assumptions!$C$77)+INDEX('36-Month Forecast'!$C$353:$AL$353,1,H$4-Assumptions!$C$77)*'Unit Economics'!$H$58,0)</f>
        <v>-0</v>
      </c>
      <c r="I71" s="8" t="n">
        <f aca="false">IF(I$4-Assumptions!$C$77&gt;=1,INDEX('36-Month Forecast'!$C$356:$AL$356,1,I$4-Assumptions!$C$77)+INDEX('36-Month Forecast'!$C$353:$AL$353,1,I$4-Assumptions!$C$77)*'Unit Economics'!$H$58,0)</f>
        <v>-0</v>
      </c>
      <c r="J71" s="8" t="n">
        <f aca="false">IF(J$4-Assumptions!$C$77&gt;=1,INDEX('36-Month Forecast'!$C$356:$AL$356,1,J$4-Assumptions!$C$77)+INDEX('36-Month Forecast'!$C$353:$AL$353,1,J$4-Assumptions!$C$77)*'Unit Economics'!$H$58,0)</f>
        <v>-0</v>
      </c>
      <c r="K71" s="8" t="n">
        <f aca="false">IF(K$4-Assumptions!$C$77&gt;=1,INDEX('36-Month Forecast'!$C$356:$AL$356,1,K$4-Assumptions!$C$77)+INDEX('36-Month Forecast'!$C$353:$AL$353,1,K$4-Assumptions!$C$77)*'Unit Economics'!$H$58,0)</f>
        <v>-0</v>
      </c>
      <c r="L71" s="8" t="n">
        <f aca="false">IF(L$4-Assumptions!$C$77&gt;=1,INDEX('36-Month Forecast'!$C$356:$AL$356,1,L$4-Assumptions!$C$77)+INDEX('36-Month Forecast'!$C$353:$AL$353,1,L$4-Assumptions!$C$77)*'Unit Economics'!$H$58,0)</f>
        <v>-0</v>
      </c>
      <c r="M71" s="8" t="n">
        <f aca="false">IF(M$4-Assumptions!$C$77&gt;=1,INDEX('36-Month Forecast'!$C$356:$AL$356,1,M$4-Assumptions!$C$77)+INDEX('36-Month Forecast'!$C$353:$AL$353,1,M$4-Assumptions!$C$77)*'Unit Economics'!$H$58,0)</f>
        <v>-0</v>
      </c>
      <c r="N71" s="8" t="n">
        <f aca="false">IF(N$4-Assumptions!$C$77&gt;=1,INDEX('36-Month Forecast'!$C$356:$AL$356,1,N$4-Assumptions!$C$77)+INDEX('36-Month Forecast'!$C$353:$AL$353,1,N$4-Assumptions!$C$77)*'Unit Economics'!$H$58,0)</f>
        <v>-0</v>
      </c>
      <c r="O71" s="8" t="n">
        <f aca="false">IF(O$4-Assumptions!$C$77&gt;=1,INDEX('36-Month Forecast'!$C$356:$AL$356,1,O$4-Assumptions!$C$77)+INDEX('36-Month Forecast'!$C$353:$AL$353,1,O$4-Assumptions!$C$77)*'Unit Economics'!$H$58,0)</f>
        <v>-0</v>
      </c>
      <c r="P71" s="8" t="n">
        <f aca="false">IF(P$4-Assumptions!$C$77&gt;=1,INDEX('36-Month Forecast'!$C$356:$AL$356,1,P$4-Assumptions!$C$77)+INDEX('36-Month Forecast'!$C$353:$AL$353,1,P$4-Assumptions!$C$77)*'Unit Economics'!$H$58,0)</f>
        <v>-0</v>
      </c>
      <c r="Q71" s="8" t="n">
        <f aca="false">IF(Q$4-Assumptions!$C$77&gt;=1,INDEX('36-Month Forecast'!$C$356:$AL$356,1,Q$4-Assumptions!$C$77)+INDEX('36-Month Forecast'!$C$353:$AL$353,1,Q$4-Assumptions!$C$77)*'Unit Economics'!$H$58,0)</f>
        <v>-0</v>
      </c>
      <c r="R71" s="8" t="n">
        <f aca="false">IF(R$4-Assumptions!$C$77&gt;=1,INDEX('36-Month Forecast'!$C$356:$AL$356,1,R$4-Assumptions!$C$77)+INDEX('36-Month Forecast'!$C$353:$AL$353,1,R$4-Assumptions!$C$77)*'Unit Economics'!$H$58,0)</f>
        <v>-0</v>
      </c>
      <c r="S71" s="8" t="n">
        <f aca="false">IF(S$4-Assumptions!$C$77&gt;=1,INDEX('36-Month Forecast'!$C$356:$AL$356,1,S$4-Assumptions!$C$77)+INDEX('36-Month Forecast'!$C$353:$AL$353,1,S$4-Assumptions!$C$77)*'Unit Economics'!$H$58,0)</f>
        <v>-0</v>
      </c>
      <c r="T71" s="8" t="n">
        <f aca="false">IF(T$4-Assumptions!$C$77&gt;=1,INDEX('36-Month Forecast'!$C$356:$AL$356,1,T$4-Assumptions!$C$77)+INDEX('36-Month Forecast'!$C$353:$AL$353,1,T$4-Assumptions!$C$77)*'Unit Economics'!$H$58,0)</f>
        <v>-0</v>
      </c>
      <c r="U71" s="8" t="n">
        <f aca="false">IF(U$4-Assumptions!$C$77&gt;=1,INDEX('36-Month Forecast'!$C$356:$AL$356,1,U$4-Assumptions!$C$77)+INDEX('36-Month Forecast'!$C$353:$AL$353,1,U$4-Assumptions!$C$77)*'Unit Economics'!$H$58,0)</f>
        <v>-0</v>
      </c>
      <c r="V71" s="8" t="n">
        <f aca="false">IF(V$4-Assumptions!$C$77&gt;=1,INDEX('36-Month Forecast'!$C$356:$AL$356,1,V$4-Assumptions!$C$77)+INDEX('36-Month Forecast'!$C$353:$AL$353,1,V$4-Assumptions!$C$77)*'Unit Economics'!$H$58,0)</f>
        <v>-0</v>
      </c>
      <c r="W71" s="8" t="n">
        <f aca="false">IF(W$4-Assumptions!$C$77&gt;=1,INDEX('36-Month Forecast'!$C$356:$AL$356,1,W$4-Assumptions!$C$77)+INDEX('36-Month Forecast'!$C$353:$AL$353,1,W$4-Assumptions!$C$77)*'Unit Economics'!$H$58,0)</f>
        <v>-0</v>
      </c>
      <c r="X71" s="8" t="n">
        <f aca="false">IF(X$4-Assumptions!$C$77&gt;=1,INDEX('36-Month Forecast'!$C$356:$AL$356,1,X$4-Assumptions!$C$77)+INDEX('36-Month Forecast'!$C$353:$AL$353,1,X$4-Assumptions!$C$77)*'Unit Economics'!$H$58,0)</f>
        <v>0</v>
      </c>
      <c r="Y71" s="8" t="n">
        <f aca="false">IF(Y$4-Assumptions!$C$77&gt;=1,INDEX('36-Month Forecast'!$C$356:$AL$356,1,Y$4-Assumptions!$C$77)+INDEX('36-Month Forecast'!$C$353:$AL$353,1,Y$4-Assumptions!$C$77)*'Unit Economics'!$H$58,0)</f>
        <v>77.61369375</v>
      </c>
      <c r="Z71" s="8" t="n">
        <f aca="false">IF(Z$4-Assumptions!$C$77&gt;=1,INDEX('36-Month Forecast'!$C$356:$AL$356,1,Z$4-Assumptions!$C$77)+INDEX('36-Month Forecast'!$C$353:$AL$353,1,Z$4-Assumptions!$C$77)*'Unit Economics'!$H$58,0)</f>
        <v>149.9986755</v>
      </c>
      <c r="AA71" s="8" t="n">
        <f aca="false">IF(AA$4-Assumptions!$C$77&gt;=1,INDEX('36-Month Forecast'!$C$356:$AL$356,1,AA$4-Assumptions!$C$77)+INDEX('36-Month Forecast'!$C$353:$AL$353,1,AA$4-Assumptions!$C$77)*'Unit Economics'!$H$58,0)</f>
        <v>242.99785431</v>
      </c>
      <c r="AB71" s="8" t="n">
        <f aca="false">IF(AB$4-Assumptions!$C$77&gt;=1,INDEX('36-Month Forecast'!$C$356:$AL$356,1,AB$4-Assumptions!$C$77)+INDEX('36-Month Forecast'!$C$353:$AL$353,1,AB$4-Assumptions!$C$77)*'Unit Economics'!$H$58,0)</f>
        <v>391.0836055248</v>
      </c>
      <c r="AC71" s="8" t="n">
        <f aca="false">IF(AC$4-Assumptions!$C$77&gt;=1,INDEX('36-Month Forecast'!$C$356:$AL$356,1,AC$4-Assumptions!$C$77)+INDEX('36-Month Forecast'!$C$353:$AL$353,1,AC$4-Assumptions!$C$77)*'Unit Economics'!$H$58,0)</f>
        <v>722.47550283792</v>
      </c>
      <c r="AD71" s="8" t="n">
        <f aca="false">IF(AD$4-Assumptions!$C$77&gt;=1,INDEX('36-Month Forecast'!$C$356:$AL$356,1,AD$4-Assumptions!$C$77)+INDEX('36-Month Forecast'!$C$353:$AL$353,1,AD$4-Assumptions!$C$77)*'Unit Economics'!$H$58,0)</f>
        <v>972.340876742481</v>
      </c>
      <c r="AE71" s="8" t="n">
        <f aca="false">IF(AE$4-Assumptions!$C$77&gt;=1,INDEX('36-Month Forecast'!$C$356:$AL$356,1,AE$4-Assumptions!$C$77)+INDEX('36-Month Forecast'!$C$353:$AL$353,1,AE$4-Assumptions!$C$77)*'Unit Economics'!$H$58,0)</f>
        <v>972.340876742481</v>
      </c>
      <c r="AF71" s="8" t="n">
        <f aca="false">IF(AF$4-Assumptions!$C$77&gt;=1,INDEX('36-Month Forecast'!$C$356:$AL$356,1,AF$4-Assumptions!$C$77)+INDEX('36-Month Forecast'!$C$353:$AL$353,1,AF$4-Assumptions!$C$77)*'Unit Economics'!$H$58,0)</f>
        <v>756.092265754953</v>
      </c>
      <c r="AG71" s="8" t="n">
        <f aca="false">IF(AG$4-Assumptions!$C$77&gt;=1,INDEX('36-Month Forecast'!$C$356:$AL$356,1,AG$4-Assumptions!$C$77)+INDEX('36-Month Forecast'!$C$353:$AL$353,1,AG$4-Assumptions!$C$77)*'Unit Economics'!$H$58,0)</f>
        <v>907.310718905944</v>
      </c>
      <c r="AH71" s="8" t="n">
        <f aca="false">IF(AH$4-Assumptions!$C$77&gt;=1,INDEX('36-Month Forecast'!$C$356:$AL$356,1,AH$4-Assumptions!$C$77)+INDEX('36-Month Forecast'!$C$353:$AL$353,1,AH$4-Assumptions!$C$77)*'Unit Economics'!$H$58,0)</f>
        <v>1028.89035523934</v>
      </c>
      <c r="AI71" s="8" t="n">
        <f aca="false">IF(AI$4-Assumptions!$C$77&gt;=1,INDEX('36-Month Forecast'!$C$356:$AL$356,1,AI$4-Assumptions!$C$77)+INDEX('36-Month Forecast'!$C$353:$AL$353,1,AI$4-Assumptions!$C$77)*'Unit Economics'!$H$58,0)</f>
        <v>1005.3728614053</v>
      </c>
      <c r="AJ71" s="8" t="n">
        <f aca="false">IF(AJ$4-Assumptions!$C$77&gt;=1,INDEX('36-Month Forecast'!$C$356:$AL$356,1,AJ$4-Assumptions!$C$77)+INDEX('36-Month Forecast'!$C$353:$AL$353,1,AJ$4-Assumptions!$C$77)*'Unit Economics'!$H$58,0)</f>
        <v>1142.95020033444</v>
      </c>
      <c r="AK71" s="8" t="n">
        <f aca="false">IF(AK$4-Assumptions!$C$77&gt;=1,INDEX('36-Month Forecast'!$C$356:$AL$356,1,AK$4-Assumptions!$C$77)+INDEX('36-Month Forecast'!$C$353:$AL$353,1,AK$4-Assumptions!$C$77)*'Unit Economics'!$H$58,0)</f>
        <v>1172.66690554314</v>
      </c>
      <c r="AL71" s="8" t="n">
        <f aca="false">IF(AL$4-Assumptions!$C$77&gt;=1,INDEX('36-Month Forecast'!$C$356:$AL$356,1,AL$4-Assumptions!$C$77)+INDEX('36-Month Forecast'!$C$353:$AL$353,1,AL$4-Assumptions!$C$77)*'Unit Economics'!$H$58,0)</f>
        <v>1133.16654661958</v>
      </c>
      <c r="AM71" s="45" t="n">
        <f aca="false">SUMIF($C$6:$AL$6,1,C71:AL71)</f>
        <v>0</v>
      </c>
      <c r="AN71" s="45" t="n">
        <f aca="false">SUMIF($C$6:$AL$6,2,C71:AL71)</f>
        <v>227.61236925</v>
      </c>
      <c r="AO71" s="45" t="n">
        <f aca="false">SUMIF($C$6:$AL$6,3,C71:AL71)</f>
        <v>10447.6885699604</v>
      </c>
      <c r="AP71" s="45" t="n">
        <f aca="false">SUM(C71:AL71)</f>
        <v>10675.3009392104</v>
      </c>
    </row>
    <row r="72" customFormat="false" ht="15" hidden="false" customHeight="false" outlineLevel="0" collapsed="false">
      <c r="A72" s="10" t="s">
        <v>810</v>
      </c>
      <c r="C72" s="41" t="n">
        <f aca="false">SUM(C63:C71)</f>
        <v>79.0480620867857</v>
      </c>
      <c r="D72" s="41" t="n">
        <f aca="false">SUM(D63:D71)</f>
        <v>242.3031124176</v>
      </c>
      <c r="E72" s="41" t="n">
        <f aca="false">SUM(E63:E71)</f>
        <v>422.725737663936</v>
      </c>
      <c r="F72" s="41" t="n">
        <f aca="false">SUM(F63:F71)</f>
        <v>614.628100190687</v>
      </c>
      <c r="G72" s="41" t="n">
        <f aca="false">SUM(G63:G71)</f>
        <v>755.465179531932</v>
      </c>
      <c r="H72" s="41" t="n">
        <f aca="false">SUM(H63:H71)</f>
        <v>1172.66676387677</v>
      </c>
      <c r="I72" s="41" t="n">
        <f aca="false">SUM(I63:I71)</f>
        <v>1404.3307720789</v>
      </c>
      <c r="J72" s="41" t="n">
        <f aca="false">SUM(J63:J71)</f>
        <v>1627.34047312542</v>
      </c>
      <c r="K72" s="41" t="n">
        <f aca="false">SUM(K63:K71)</f>
        <v>2075.31062746738</v>
      </c>
      <c r="L72" s="41" t="n">
        <f aca="false">SUM(L63:L71)</f>
        <v>2202.66150096038</v>
      </c>
      <c r="M72" s="41" t="n">
        <f aca="false">SUM(M63:M71)</f>
        <v>2338.05889513914</v>
      </c>
      <c r="N72" s="41" t="n">
        <f aca="false">SUM(N63:N71)</f>
        <v>2689.96735649251</v>
      </c>
      <c r="O72" s="41" t="n">
        <f aca="false">SUM(O63:O71)</f>
        <v>3142.48974721604</v>
      </c>
      <c r="P72" s="41" t="n">
        <f aca="false">SUM(P63:P71)</f>
        <v>4243.83027940221</v>
      </c>
      <c r="Q72" s="41" t="n">
        <f aca="false">SUM(Q63:Q71)</f>
        <v>4770.63637709783</v>
      </c>
      <c r="R72" s="41" t="n">
        <f aca="false">SUM(R63:R71)</f>
        <v>5117.18991701341</v>
      </c>
      <c r="S72" s="41" t="n">
        <f aca="false">SUM(S63:S71)</f>
        <v>4716.47727752162</v>
      </c>
      <c r="T72" s="41" t="n">
        <f aca="false">SUM(T63:T71)</f>
        <v>5139.43432821192</v>
      </c>
      <c r="U72" s="41" t="n">
        <f aca="false">SUM(U63:U71)</f>
        <v>5196.79707104386</v>
      </c>
      <c r="V72" s="41" t="n">
        <f aca="false">SUM(V63:V71)</f>
        <v>5217.20334153586</v>
      </c>
      <c r="W72" s="41" t="n">
        <f aca="false">SUM(W63:W71)</f>
        <v>5658.31800670973</v>
      </c>
      <c r="X72" s="41" t="n">
        <f aca="false">SUM(X63:X71)</f>
        <v>5453.88269964771</v>
      </c>
      <c r="Y72" s="41" t="n">
        <f aca="false">SUM(Y63:Y71)</f>
        <v>5661.16497089888</v>
      </c>
      <c r="Z72" s="41" t="n">
        <f aca="false">SUM(Z63:Z71)</f>
        <v>6564.37247551889</v>
      </c>
      <c r="AA72" s="41" t="n">
        <f aca="false">SUM(AA63:AA71)</f>
        <v>7340.27930240302</v>
      </c>
      <c r="AB72" s="41" t="n">
        <f aca="false">SUM(AB63:AB71)</f>
        <v>9306.69162449937</v>
      </c>
      <c r="AC72" s="41" t="n">
        <f aca="false">SUM(AC63:AC71)</f>
        <v>10241.2408543398</v>
      </c>
      <c r="AD72" s="41" t="n">
        <f aca="false">SUM(AD63:AD71)</f>
        <v>10687.1176013884</v>
      </c>
      <c r="AE72" s="41" t="n">
        <f aca="false">SUM(AE63:AE71)</f>
        <v>9611.72436166981</v>
      </c>
      <c r="AF72" s="41" t="n">
        <f aca="false">SUM(AF63:AF71)</f>
        <v>9985.71350983151</v>
      </c>
      <c r="AG72" s="41" t="n">
        <f aca="false">SUM(AG63:AG71)</f>
        <v>10076.8849504268</v>
      </c>
      <c r="AH72" s="41" t="n">
        <f aca="false">SUM(AH63:AH71)</f>
        <v>9981.30039313472</v>
      </c>
      <c r="AI72" s="41" t="n">
        <f aca="false">SUM(AI63:AI71)</f>
        <v>10489.167429868</v>
      </c>
      <c r="AJ72" s="41" t="n">
        <f aca="false">SUM(AJ63:AJ71)</f>
        <v>10081.8504132909</v>
      </c>
      <c r="AK72" s="41" t="n">
        <f aca="false">SUM(AK63:AK71)</f>
        <v>10065.2872846352</v>
      </c>
      <c r="AL72" s="41" t="n">
        <f aca="false">SUM(AL63:AL71)</f>
        <v>11056.4781194105</v>
      </c>
      <c r="AM72" s="45" t="n">
        <f aca="false">SUMIF($C$6:$AL$6,1,C72:AL72)</f>
        <v>15624.5065810314</v>
      </c>
      <c r="AN72" s="45" t="n">
        <f aca="false">SUMIF($C$6:$AL$6,2,C72:AL72)</f>
        <v>60881.796491818</v>
      </c>
      <c r="AO72" s="45" t="n">
        <f aca="false">SUMIF($C$6:$AL$6,3,C72:AL72)</f>
        <v>118923.735844898</v>
      </c>
      <c r="AP72" s="45" t="n">
        <f aca="false">SUM(C72:AL72)</f>
        <v>195430.038917747</v>
      </c>
    </row>
    <row r="73" customFormat="false" ht="15" hidden="false" customHeight="false" outlineLevel="0" collapsed="false">
      <c r="A73" s="7" t="s">
        <v>811</v>
      </c>
      <c r="C73" s="8" t="n">
        <f aca="false">Assumptions!$C$16</f>
        <v>0</v>
      </c>
      <c r="D73" s="41" t="n">
        <f aca="false">0</f>
        <v>0</v>
      </c>
      <c r="E73" s="41" t="n">
        <f aca="false">0</f>
        <v>0</v>
      </c>
      <c r="F73" s="41" t="n">
        <f aca="false">0</f>
        <v>0</v>
      </c>
      <c r="G73" s="41" t="n">
        <f aca="false">0</f>
        <v>0</v>
      </c>
      <c r="H73" s="41" t="n">
        <f aca="false">0</f>
        <v>0</v>
      </c>
      <c r="I73" s="41" t="n">
        <f aca="false">0</f>
        <v>0</v>
      </c>
      <c r="J73" s="41" t="n">
        <f aca="false">0</f>
        <v>0</v>
      </c>
      <c r="K73" s="41" t="n">
        <f aca="false">0</f>
        <v>0</v>
      </c>
      <c r="L73" s="41" t="n">
        <f aca="false">0</f>
        <v>0</v>
      </c>
      <c r="M73" s="41" t="n">
        <f aca="false">0</f>
        <v>0</v>
      </c>
      <c r="N73" s="41" t="n">
        <f aca="false">0</f>
        <v>0</v>
      </c>
      <c r="O73" s="41" t="n">
        <f aca="false">0</f>
        <v>0</v>
      </c>
      <c r="P73" s="41" t="n">
        <f aca="false">0</f>
        <v>0</v>
      </c>
      <c r="Q73" s="41" t="n">
        <f aca="false">0</f>
        <v>0</v>
      </c>
      <c r="R73" s="41" t="n">
        <f aca="false">0</f>
        <v>0</v>
      </c>
      <c r="S73" s="41" t="n">
        <f aca="false">0</f>
        <v>0</v>
      </c>
      <c r="T73" s="41" t="n">
        <f aca="false">0</f>
        <v>0</v>
      </c>
      <c r="U73" s="41" t="n">
        <f aca="false">0</f>
        <v>0</v>
      </c>
      <c r="V73" s="41" t="n">
        <f aca="false">0</f>
        <v>0</v>
      </c>
      <c r="W73" s="41" t="n">
        <f aca="false">0</f>
        <v>0</v>
      </c>
      <c r="X73" s="41" t="n">
        <f aca="false">0</f>
        <v>0</v>
      </c>
      <c r="Y73" s="41" t="n">
        <f aca="false">0</f>
        <v>0</v>
      </c>
      <c r="Z73" s="41" t="n">
        <f aca="false">0</f>
        <v>0</v>
      </c>
      <c r="AA73" s="41" t="n">
        <f aca="false">0</f>
        <v>0</v>
      </c>
      <c r="AB73" s="41" t="n">
        <f aca="false">0</f>
        <v>0</v>
      </c>
      <c r="AC73" s="41" t="n">
        <f aca="false">0</f>
        <v>0</v>
      </c>
      <c r="AD73" s="41" t="n">
        <f aca="false">0</f>
        <v>0</v>
      </c>
      <c r="AE73" s="41" t="n">
        <f aca="false">0</f>
        <v>0</v>
      </c>
      <c r="AF73" s="41" t="n">
        <f aca="false">0</f>
        <v>0</v>
      </c>
      <c r="AG73" s="41" t="n">
        <f aca="false">0</f>
        <v>0</v>
      </c>
      <c r="AH73" s="41" t="n">
        <f aca="false">0</f>
        <v>0</v>
      </c>
      <c r="AI73" s="41" t="n">
        <f aca="false">0</f>
        <v>0</v>
      </c>
      <c r="AJ73" s="41" t="n">
        <f aca="false">0</f>
        <v>0</v>
      </c>
      <c r="AK73" s="41" t="n">
        <f aca="false">0</f>
        <v>0</v>
      </c>
      <c r="AL73" s="41" t="n">
        <f aca="false">0</f>
        <v>0</v>
      </c>
      <c r="AM73" s="45" t="n">
        <f aca="false">SUMIF($C$6:$AL$6,1,C73:AL73)</f>
        <v>0</v>
      </c>
      <c r="AN73" s="45" t="n">
        <f aca="false">SUMIF($C$6:$AL$6,2,C73:AL73)</f>
        <v>0</v>
      </c>
      <c r="AO73" s="45" t="n">
        <f aca="false">SUMIF($C$6:$AL$6,3,C73:AL73)</f>
        <v>0</v>
      </c>
      <c r="AP73" s="45" t="n">
        <f aca="false">SUM(C73:AL73)</f>
        <v>0</v>
      </c>
    </row>
    <row r="74" customFormat="false" ht="15" hidden="false" customHeight="false" outlineLevel="0" collapsed="false">
      <c r="A74" s="7" t="s">
        <v>812</v>
      </c>
      <c r="C74" s="8" t="n">
        <f aca="false">-'36-Month Forecast'!C381</f>
        <v>-0</v>
      </c>
      <c r="D74" s="8" t="n">
        <f aca="false">-'36-Month Forecast'!D381</f>
        <v>-0</v>
      </c>
      <c r="E74" s="8" t="n">
        <f aca="false">-'36-Month Forecast'!E381</f>
        <v>-0</v>
      </c>
      <c r="F74" s="8" t="n">
        <f aca="false">-'36-Month Forecast'!F381</f>
        <v>-0</v>
      </c>
      <c r="G74" s="8" t="n">
        <f aca="false">-'36-Month Forecast'!G381</f>
        <v>-0</v>
      </c>
      <c r="H74" s="8" t="n">
        <f aca="false">-'36-Month Forecast'!H381</f>
        <v>-0</v>
      </c>
      <c r="I74" s="8" t="n">
        <f aca="false">-'36-Month Forecast'!I381</f>
        <v>-0</v>
      </c>
      <c r="J74" s="8" t="n">
        <f aca="false">-'36-Month Forecast'!J381</f>
        <v>-3625</v>
      </c>
      <c r="K74" s="8" t="n">
        <f aca="false">-'36-Month Forecast'!K381</f>
        <v>-0</v>
      </c>
      <c r="L74" s="8" t="n">
        <f aca="false">-'36-Month Forecast'!L381</f>
        <v>-0</v>
      </c>
      <c r="M74" s="8" t="n">
        <f aca="false">-'36-Month Forecast'!M381</f>
        <v>-0</v>
      </c>
      <c r="N74" s="8" t="n">
        <f aca="false">-'36-Month Forecast'!N381</f>
        <v>-0</v>
      </c>
      <c r="O74" s="8" t="n">
        <f aca="false">-'36-Month Forecast'!O381</f>
        <v>-0</v>
      </c>
      <c r="P74" s="8" t="n">
        <f aca="false">-'36-Month Forecast'!P381</f>
        <v>-0</v>
      </c>
      <c r="Q74" s="8" t="n">
        <f aca="false">-'36-Month Forecast'!Q381</f>
        <v>-0</v>
      </c>
      <c r="R74" s="8" t="n">
        <f aca="false">-'36-Month Forecast'!R381</f>
        <v>-0</v>
      </c>
      <c r="S74" s="8" t="n">
        <f aca="false">-'36-Month Forecast'!S381</f>
        <v>-0</v>
      </c>
      <c r="T74" s="8" t="n">
        <f aca="false">-'36-Month Forecast'!T381</f>
        <v>-0</v>
      </c>
      <c r="U74" s="8" t="n">
        <f aca="false">-'36-Month Forecast'!U381</f>
        <v>-0</v>
      </c>
      <c r="V74" s="8" t="n">
        <f aca="false">-'36-Month Forecast'!V381</f>
        <v>-0</v>
      </c>
      <c r="W74" s="8" t="n">
        <f aca="false">-'36-Month Forecast'!W381</f>
        <v>-0</v>
      </c>
      <c r="X74" s="8" t="n">
        <f aca="false">-'36-Month Forecast'!X381</f>
        <v>-0</v>
      </c>
      <c r="Y74" s="8" t="n">
        <f aca="false">-'36-Month Forecast'!Y381</f>
        <v>-0</v>
      </c>
      <c r="Z74" s="8" t="n">
        <f aca="false">-'36-Month Forecast'!Z381</f>
        <v>-0</v>
      </c>
      <c r="AA74" s="8" t="n">
        <f aca="false">-'36-Month Forecast'!AA381</f>
        <v>-0</v>
      </c>
      <c r="AB74" s="8" t="n">
        <f aca="false">-'36-Month Forecast'!AB381</f>
        <v>-3625</v>
      </c>
      <c r="AC74" s="8" t="n">
        <f aca="false">-'36-Month Forecast'!AC381</f>
        <v>-0</v>
      </c>
      <c r="AD74" s="8" t="n">
        <f aca="false">-'36-Month Forecast'!AD381</f>
        <v>-0</v>
      </c>
      <c r="AE74" s="8" t="n">
        <f aca="false">-'36-Month Forecast'!AE381</f>
        <v>-0</v>
      </c>
      <c r="AF74" s="8" t="n">
        <f aca="false">-'36-Month Forecast'!AF381</f>
        <v>-0</v>
      </c>
      <c r="AG74" s="8" t="n">
        <f aca="false">-'36-Month Forecast'!AG381</f>
        <v>-3625</v>
      </c>
      <c r="AH74" s="8" t="n">
        <f aca="false">-'36-Month Forecast'!AH381</f>
        <v>-0</v>
      </c>
      <c r="AI74" s="8" t="n">
        <f aca="false">-'36-Month Forecast'!AI381</f>
        <v>-0</v>
      </c>
      <c r="AJ74" s="8" t="n">
        <f aca="false">-'36-Month Forecast'!AJ381</f>
        <v>-3625</v>
      </c>
      <c r="AK74" s="8" t="n">
        <f aca="false">-'36-Month Forecast'!AK381</f>
        <v>-0</v>
      </c>
      <c r="AL74" s="8" t="n">
        <f aca="false">-'36-Month Forecast'!AL381</f>
        <v>-0</v>
      </c>
      <c r="AM74" s="45" t="n">
        <f aca="false">SUMIF($C$6:$AL$6,1,C74:AL74)</f>
        <v>-3625</v>
      </c>
      <c r="AN74" s="45" t="n">
        <f aca="false">SUMIF($C$6:$AL$6,2,C74:AL74)</f>
        <v>0</v>
      </c>
      <c r="AO74" s="45" t="n">
        <f aca="false">SUMIF($C$6:$AL$6,3,C74:AL74)</f>
        <v>-10875</v>
      </c>
      <c r="AP74" s="45" t="n">
        <f aca="false">SUM(C74:AL74)</f>
        <v>-14500</v>
      </c>
    </row>
    <row r="75" customFormat="false" ht="15" hidden="false" customHeight="false" outlineLevel="0" collapsed="false">
      <c r="A75" s="7" t="s">
        <v>779</v>
      </c>
      <c r="C75" s="8" t="n">
        <f aca="false">-'36-Month Forecast'!C369</f>
        <v>-0</v>
      </c>
      <c r="D75" s="8" t="n">
        <f aca="false">-'36-Month Forecast'!D369</f>
        <v>-300</v>
      </c>
      <c r="E75" s="8" t="n">
        <f aca="false">-'36-Month Forecast'!E369</f>
        <v>-300</v>
      </c>
      <c r="F75" s="8" t="n">
        <f aca="false">-'36-Month Forecast'!F369</f>
        <v>-300</v>
      </c>
      <c r="G75" s="8" t="n">
        <f aca="false">-'36-Month Forecast'!G369</f>
        <v>-300</v>
      </c>
      <c r="H75" s="8" t="n">
        <f aca="false">-'36-Month Forecast'!H369</f>
        <v>-300</v>
      </c>
      <c r="I75" s="8" t="n">
        <f aca="false">-'36-Month Forecast'!I369</f>
        <v>-300</v>
      </c>
      <c r="J75" s="8" t="n">
        <f aca="false">-'36-Month Forecast'!J369</f>
        <v>-300</v>
      </c>
      <c r="K75" s="8" t="n">
        <f aca="false">-'36-Month Forecast'!K369</f>
        <v>-300</v>
      </c>
      <c r="L75" s="8" t="n">
        <f aca="false">-'36-Month Forecast'!L369</f>
        <v>-300</v>
      </c>
      <c r="M75" s="8" t="n">
        <f aca="false">-'36-Month Forecast'!M369</f>
        <v>-300</v>
      </c>
      <c r="N75" s="8" t="n">
        <f aca="false">-'36-Month Forecast'!N369</f>
        <v>-300</v>
      </c>
      <c r="O75" s="8" t="n">
        <f aca="false">-'36-Month Forecast'!O369</f>
        <v>-600</v>
      </c>
      <c r="P75" s="8" t="n">
        <f aca="false">-'36-Month Forecast'!P369</f>
        <v>-600</v>
      </c>
      <c r="Q75" s="8" t="n">
        <f aca="false">-'36-Month Forecast'!Q369</f>
        <v>-600</v>
      </c>
      <c r="R75" s="8" t="n">
        <f aca="false">-'36-Month Forecast'!R369</f>
        <v>-600</v>
      </c>
      <c r="S75" s="8" t="n">
        <f aca="false">-'36-Month Forecast'!S369</f>
        <v>-600</v>
      </c>
      <c r="T75" s="8" t="n">
        <f aca="false">-'36-Month Forecast'!T369</f>
        <v>-600</v>
      </c>
      <c r="U75" s="8" t="n">
        <f aca="false">-'36-Month Forecast'!U369</f>
        <v>-600</v>
      </c>
      <c r="V75" s="8" t="n">
        <f aca="false">-'36-Month Forecast'!V369</f>
        <v>-600</v>
      </c>
      <c r="W75" s="8" t="n">
        <f aca="false">-'36-Month Forecast'!W369</f>
        <v>-600</v>
      </c>
      <c r="X75" s="8" t="n">
        <f aca="false">-'36-Month Forecast'!X369</f>
        <v>-600</v>
      </c>
      <c r="Y75" s="8" t="n">
        <f aca="false">-'36-Month Forecast'!Y369</f>
        <v>-600</v>
      </c>
      <c r="Z75" s="8" t="n">
        <f aca="false">-'36-Month Forecast'!Z369</f>
        <v>-600</v>
      </c>
      <c r="AA75" s="8" t="n">
        <f aca="false">-'36-Month Forecast'!AA369</f>
        <v>-900</v>
      </c>
      <c r="AB75" s="8" t="n">
        <f aca="false">-'36-Month Forecast'!AB369</f>
        <v>-900</v>
      </c>
      <c r="AC75" s="8" t="n">
        <f aca="false">-'36-Month Forecast'!AC369</f>
        <v>-900</v>
      </c>
      <c r="AD75" s="8" t="n">
        <f aca="false">-'36-Month Forecast'!AD369</f>
        <v>-900</v>
      </c>
      <c r="AE75" s="8" t="n">
        <f aca="false">-'36-Month Forecast'!AE369</f>
        <v>-900</v>
      </c>
      <c r="AF75" s="8" t="n">
        <f aca="false">-'36-Month Forecast'!AF369</f>
        <v>-900</v>
      </c>
      <c r="AG75" s="8" t="n">
        <f aca="false">-'36-Month Forecast'!AG369</f>
        <v>-900</v>
      </c>
      <c r="AH75" s="8" t="n">
        <f aca="false">-'36-Month Forecast'!AH369</f>
        <v>-900</v>
      </c>
      <c r="AI75" s="8" t="n">
        <f aca="false">-'36-Month Forecast'!AI369</f>
        <v>-900</v>
      </c>
      <c r="AJ75" s="8" t="n">
        <f aca="false">-'36-Month Forecast'!AJ369</f>
        <v>-900</v>
      </c>
      <c r="AK75" s="8" t="n">
        <f aca="false">-'36-Month Forecast'!AK369</f>
        <v>-900</v>
      </c>
      <c r="AL75" s="8" t="n">
        <f aca="false">-'36-Month Forecast'!AL369</f>
        <v>-900</v>
      </c>
      <c r="AM75" s="45" t="n">
        <f aca="false">SUMIF($C$6:$AL$6,1,C75:AL75)</f>
        <v>-3300</v>
      </c>
      <c r="AN75" s="45" t="n">
        <f aca="false">SUMIF($C$6:$AL$6,2,C75:AL75)</f>
        <v>-7200</v>
      </c>
      <c r="AO75" s="45" t="n">
        <f aca="false">SUMIF($C$6:$AL$6,3,C75:AL75)</f>
        <v>-10800</v>
      </c>
      <c r="AP75" s="45" t="n">
        <f aca="false">SUM(C75:AL75)</f>
        <v>-21300</v>
      </c>
    </row>
    <row r="76" customFormat="false" ht="15" hidden="false" customHeight="false" outlineLevel="0" collapsed="false">
      <c r="A76" s="7" t="s">
        <v>813</v>
      </c>
      <c r="C76" s="8" t="n">
        <f aca="false">-'36-Month Forecast'!C370</f>
        <v>-1237.3185</v>
      </c>
      <c r="D76" s="8" t="n">
        <f aca="false">-'36-Month Forecast'!D370</f>
        <v>-735.7185</v>
      </c>
      <c r="E76" s="8" t="n">
        <f aca="false">-'36-Month Forecast'!E370</f>
        <v>-814.3685</v>
      </c>
      <c r="F76" s="8" t="n">
        <f aca="false">-'36-Month Forecast'!F370</f>
        <v>-1226.8685</v>
      </c>
      <c r="G76" s="8" t="n">
        <f aca="false">-'36-Month Forecast'!G370</f>
        <v>-944.1685</v>
      </c>
      <c r="H76" s="8" t="n">
        <f aca="false">-'36-Month Forecast'!H370</f>
        <v>-814.3685</v>
      </c>
      <c r="I76" s="8" t="n">
        <f aca="false">-'36-Month Forecast'!I370</f>
        <v>-2244.3685</v>
      </c>
      <c r="J76" s="8" t="n">
        <f aca="false">-'36-Month Forecast'!J370</f>
        <v>-814.3685</v>
      </c>
      <c r="K76" s="8" t="n">
        <f aca="false">-'36-Month Forecast'!K370</f>
        <v>-814.3685</v>
      </c>
      <c r="L76" s="8" t="n">
        <f aca="false">-'36-Month Forecast'!L370</f>
        <v>-814.3685</v>
      </c>
      <c r="M76" s="8" t="n">
        <f aca="false">-'36-Month Forecast'!M370</f>
        <v>-814.3685</v>
      </c>
      <c r="N76" s="8" t="n">
        <f aca="false">-'36-Month Forecast'!N370</f>
        <v>-814.3685</v>
      </c>
      <c r="O76" s="8" t="n">
        <f aca="false">-'36-Month Forecast'!O370</f>
        <v>-1667.4185</v>
      </c>
      <c r="P76" s="8" t="n">
        <f aca="false">-'36-Month Forecast'!P370</f>
        <v>-835.8185</v>
      </c>
      <c r="Q76" s="8" t="n">
        <f aca="false">-'36-Month Forecast'!Q370</f>
        <v>-835.8185</v>
      </c>
      <c r="R76" s="8" t="n">
        <f aca="false">-'36-Month Forecast'!R370</f>
        <v>-1248.3185</v>
      </c>
      <c r="S76" s="8" t="n">
        <f aca="false">-'36-Month Forecast'!S370</f>
        <v>-965.6185</v>
      </c>
      <c r="T76" s="8" t="n">
        <f aca="false">-'36-Month Forecast'!T370</f>
        <v>-835.8185</v>
      </c>
      <c r="U76" s="8" t="n">
        <f aca="false">-'36-Month Forecast'!U370</f>
        <v>-2265.8185</v>
      </c>
      <c r="V76" s="8" t="n">
        <f aca="false">-'36-Month Forecast'!V370</f>
        <v>-835.8185</v>
      </c>
      <c r="W76" s="8" t="n">
        <f aca="false">-'36-Month Forecast'!W370</f>
        <v>-835.8185</v>
      </c>
      <c r="X76" s="8" t="n">
        <f aca="false">-'36-Month Forecast'!X370</f>
        <v>-835.8185</v>
      </c>
      <c r="Y76" s="8" t="n">
        <f aca="false">-'36-Month Forecast'!Y370</f>
        <v>-835.8185</v>
      </c>
      <c r="Z76" s="8" t="n">
        <f aca="false">-'36-Month Forecast'!Z370</f>
        <v>-835.8185</v>
      </c>
      <c r="AA76" s="8" t="n">
        <f aca="false">-'36-Month Forecast'!AA370</f>
        <v>-1667.4185</v>
      </c>
      <c r="AB76" s="8" t="n">
        <f aca="false">-'36-Month Forecast'!AB370</f>
        <v>-835.8185</v>
      </c>
      <c r="AC76" s="8" t="n">
        <f aca="false">-'36-Month Forecast'!AC370</f>
        <v>-835.8185</v>
      </c>
      <c r="AD76" s="8" t="n">
        <f aca="false">-'36-Month Forecast'!AD370</f>
        <v>-1248.3185</v>
      </c>
      <c r="AE76" s="8" t="n">
        <f aca="false">-'36-Month Forecast'!AE370</f>
        <v>-965.6185</v>
      </c>
      <c r="AF76" s="8" t="n">
        <f aca="false">-'36-Month Forecast'!AF370</f>
        <v>-835.8185</v>
      </c>
      <c r="AG76" s="8" t="n">
        <f aca="false">-'36-Month Forecast'!AG370</f>
        <v>-2265.8185</v>
      </c>
      <c r="AH76" s="8" t="n">
        <f aca="false">-'36-Month Forecast'!AH370</f>
        <v>-835.8185</v>
      </c>
      <c r="AI76" s="8" t="n">
        <f aca="false">-'36-Month Forecast'!AI370</f>
        <v>-835.8185</v>
      </c>
      <c r="AJ76" s="8" t="n">
        <f aca="false">-'36-Month Forecast'!AJ370</f>
        <v>-835.8185</v>
      </c>
      <c r="AK76" s="8" t="n">
        <f aca="false">-'36-Month Forecast'!AK370</f>
        <v>-835.8185</v>
      </c>
      <c r="AL76" s="8" t="n">
        <f aca="false">-'36-Month Forecast'!AL370</f>
        <v>-835.8185</v>
      </c>
      <c r="AM76" s="45" t="n">
        <f aca="false">SUMIF($C$6:$AL$6,1,C76:AL76)</f>
        <v>-12089.022</v>
      </c>
      <c r="AN76" s="45" t="n">
        <f aca="false">SUMIF($C$6:$AL$6,2,C76:AL76)</f>
        <v>-12833.722</v>
      </c>
      <c r="AO76" s="45" t="n">
        <f aca="false">SUMIF($C$6:$AL$6,3,C76:AL76)</f>
        <v>-12833.722</v>
      </c>
      <c r="AP76" s="45" t="n">
        <f aca="false">SUM(C76:AL76)</f>
        <v>-37756.466</v>
      </c>
    </row>
    <row r="77" customFormat="false" ht="15" hidden="false" customHeight="false" outlineLevel="0" collapsed="false">
      <c r="A77" s="7" t="s">
        <v>814</v>
      </c>
      <c r="C77" s="8" t="n">
        <f aca="false">-'36-Month Forecast'!C371</f>
        <v>-0</v>
      </c>
      <c r="D77" s="8" t="n">
        <f aca="false">-'36-Month Forecast'!D371</f>
        <v>-0</v>
      </c>
      <c r="E77" s="8" t="n">
        <f aca="false">-'36-Month Forecast'!E371</f>
        <v>-0</v>
      </c>
      <c r="F77" s="8" t="n">
        <f aca="false">-'36-Month Forecast'!F371</f>
        <v>-0</v>
      </c>
      <c r="G77" s="8" t="n">
        <f aca="false">-'36-Month Forecast'!G371</f>
        <v>-0</v>
      </c>
      <c r="H77" s="8" t="n">
        <f aca="false">-'36-Month Forecast'!H371</f>
        <v>-0</v>
      </c>
      <c r="I77" s="8" t="n">
        <f aca="false">-'36-Month Forecast'!I371</f>
        <v>-0</v>
      </c>
      <c r="J77" s="8" t="n">
        <f aca="false">-'36-Month Forecast'!J371</f>
        <v>-139.99</v>
      </c>
      <c r="K77" s="8" t="n">
        <f aca="false">-'36-Month Forecast'!K371</f>
        <v>-139.99</v>
      </c>
      <c r="L77" s="8" t="n">
        <f aca="false">-'36-Month Forecast'!L371</f>
        <v>-139.99</v>
      </c>
      <c r="M77" s="8" t="n">
        <f aca="false">-'36-Month Forecast'!M371</f>
        <v>-139.99</v>
      </c>
      <c r="N77" s="8" t="n">
        <f aca="false">-'36-Month Forecast'!N371</f>
        <v>-139.99</v>
      </c>
      <c r="O77" s="8" t="n">
        <f aca="false">-'36-Month Forecast'!O371</f>
        <v>-139.99</v>
      </c>
      <c r="P77" s="8" t="n">
        <f aca="false">-'36-Month Forecast'!P371</f>
        <v>-139.99</v>
      </c>
      <c r="Q77" s="8" t="n">
        <f aca="false">-'36-Month Forecast'!Q371</f>
        <v>-139.99</v>
      </c>
      <c r="R77" s="8" t="n">
        <f aca="false">-'36-Month Forecast'!R371</f>
        <v>-139.99</v>
      </c>
      <c r="S77" s="8" t="n">
        <f aca="false">-'36-Month Forecast'!S371</f>
        <v>-139.99</v>
      </c>
      <c r="T77" s="8" t="n">
        <f aca="false">-'36-Month Forecast'!T371</f>
        <v>-139.99</v>
      </c>
      <c r="U77" s="8" t="n">
        <f aca="false">-'36-Month Forecast'!U371</f>
        <v>-139.99</v>
      </c>
      <c r="V77" s="8" t="n">
        <f aca="false">-'36-Month Forecast'!V371</f>
        <v>-139.99</v>
      </c>
      <c r="W77" s="8" t="n">
        <f aca="false">-'36-Month Forecast'!W371</f>
        <v>-139.99</v>
      </c>
      <c r="X77" s="8" t="n">
        <f aca="false">-'36-Month Forecast'!X371</f>
        <v>-498.49</v>
      </c>
      <c r="Y77" s="8" t="n">
        <f aca="false">-'36-Month Forecast'!Y371</f>
        <v>-498.49</v>
      </c>
      <c r="Z77" s="8" t="n">
        <f aca="false">-'36-Month Forecast'!Z371</f>
        <v>-498.49</v>
      </c>
      <c r="AA77" s="8" t="n">
        <f aca="false">-'36-Month Forecast'!AA371</f>
        <v>-498.49</v>
      </c>
      <c r="AB77" s="8" t="n">
        <f aca="false">-'36-Month Forecast'!AB371</f>
        <v>-498.49</v>
      </c>
      <c r="AC77" s="8" t="n">
        <f aca="false">-'36-Month Forecast'!AC371</f>
        <v>-498.49</v>
      </c>
      <c r="AD77" s="8" t="n">
        <f aca="false">-'36-Month Forecast'!AD371</f>
        <v>-498.49</v>
      </c>
      <c r="AE77" s="8" t="n">
        <f aca="false">-'36-Month Forecast'!AE371</f>
        <v>-498.49</v>
      </c>
      <c r="AF77" s="8" t="n">
        <f aca="false">-'36-Month Forecast'!AF371</f>
        <v>-498.49</v>
      </c>
      <c r="AG77" s="8" t="n">
        <f aca="false">-'36-Month Forecast'!AG371</f>
        <v>-498.49</v>
      </c>
      <c r="AH77" s="8" t="n">
        <f aca="false">-'36-Month Forecast'!AH371</f>
        <v>-498.49</v>
      </c>
      <c r="AI77" s="8" t="n">
        <f aca="false">-'36-Month Forecast'!AI371</f>
        <v>-498.49</v>
      </c>
      <c r="AJ77" s="8" t="n">
        <f aca="false">-'36-Month Forecast'!AJ371</f>
        <v>-498.49</v>
      </c>
      <c r="AK77" s="8" t="n">
        <f aca="false">-'36-Month Forecast'!AK371</f>
        <v>-498.49</v>
      </c>
      <c r="AL77" s="8" t="n">
        <f aca="false">-'36-Month Forecast'!AL371</f>
        <v>-498.49</v>
      </c>
      <c r="AM77" s="45" t="n">
        <f aca="false">SUMIF($C$6:$AL$6,1,C77:AL77)</f>
        <v>-699.95</v>
      </c>
      <c r="AN77" s="45" t="n">
        <f aca="false">SUMIF($C$6:$AL$6,2,C77:AL77)</f>
        <v>-2755.38</v>
      </c>
      <c r="AO77" s="45" t="n">
        <f aca="false">SUMIF($C$6:$AL$6,3,C77:AL77)</f>
        <v>-5981.88</v>
      </c>
      <c r="AP77" s="45" t="n">
        <f aca="false">SUM(C77:AL77)</f>
        <v>-9437.21</v>
      </c>
    </row>
    <row r="78" customFormat="false" ht="15" hidden="false" customHeight="false" outlineLevel="0" collapsed="false">
      <c r="A78" s="7" t="s">
        <v>815</v>
      </c>
      <c r="C78" s="8" t="n">
        <f aca="false">-'36-Month Forecast'!C373</f>
        <v>-4253.5</v>
      </c>
      <c r="D78" s="8" t="n">
        <f aca="false">-'36-Month Forecast'!D373</f>
        <v>-1420</v>
      </c>
      <c r="E78" s="8" t="n">
        <f aca="false">-'36-Month Forecast'!E373</f>
        <v>-1975</v>
      </c>
      <c r="F78" s="8" t="n">
        <f aca="false">-'36-Month Forecast'!F373</f>
        <v>-650</v>
      </c>
      <c r="G78" s="8" t="n">
        <f aca="false">-'36-Month Forecast'!G373</f>
        <v>-1037.5</v>
      </c>
      <c r="H78" s="8" t="n">
        <f aca="false">-'36-Month Forecast'!H373</f>
        <v>-4250</v>
      </c>
      <c r="I78" s="8" t="n">
        <f aca="false">-'36-Month Forecast'!I373</f>
        <v>-5250</v>
      </c>
      <c r="J78" s="8" t="n">
        <f aca="false">-'36-Month Forecast'!J373</f>
        <v>-0</v>
      </c>
      <c r="K78" s="8" t="n">
        <f aca="false">-'36-Month Forecast'!K373</f>
        <v>-687.5</v>
      </c>
      <c r="L78" s="8" t="n">
        <f aca="false">-'36-Month Forecast'!L373</f>
        <v>-262.5</v>
      </c>
      <c r="M78" s="8" t="n">
        <f aca="false">-'36-Month Forecast'!M373</f>
        <v>-0</v>
      </c>
      <c r="N78" s="8" t="n">
        <f aca="false">-'36-Month Forecast'!N373</f>
        <v>-0</v>
      </c>
      <c r="O78" s="8" t="n">
        <f aca="false">-'36-Month Forecast'!O373</f>
        <v>-0</v>
      </c>
      <c r="P78" s="8" t="n">
        <f aca="false">-'36-Month Forecast'!P373</f>
        <v>-0</v>
      </c>
      <c r="Q78" s="8" t="n">
        <f aca="false">-'36-Month Forecast'!Q373</f>
        <v>-0</v>
      </c>
      <c r="R78" s="8" t="n">
        <f aca="false">-'36-Month Forecast'!R373</f>
        <v>-0</v>
      </c>
      <c r="S78" s="8" t="n">
        <f aca="false">-'36-Month Forecast'!S373</f>
        <v>-0</v>
      </c>
      <c r="T78" s="8" t="n">
        <f aca="false">-'36-Month Forecast'!T373</f>
        <v>-0</v>
      </c>
      <c r="U78" s="8" t="n">
        <f aca="false">-'36-Month Forecast'!U373</f>
        <v>-0</v>
      </c>
      <c r="V78" s="8" t="n">
        <f aca="false">-'36-Month Forecast'!V373</f>
        <v>-0</v>
      </c>
      <c r="W78" s="8" t="n">
        <f aca="false">-'36-Month Forecast'!W373</f>
        <v>-0</v>
      </c>
      <c r="X78" s="8" t="n">
        <f aca="false">-'36-Month Forecast'!X373</f>
        <v>-0</v>
      </c>
      <c r="Y78" s="8" t="n">
        <f aca="false">-'36-Month Forecast'!Y373</f>
        <v>-0</v>
      </c>
      <c r="Z78" s="8" t="n">
        <f aca="false">-'36-Month Forecast'!Z373</f>
        <v>-0</v>
      </c>
      <c r="AA78" s="8" t="n">
        <f aca="false">-'36-Month Forecast'!AA373</f>
        <v>-0</v>
      </c>
      <c r="AB78" s="8" t="n">
        <f aca="false">-'36-Month Forecast'!AB373</f>
        <v>-0</v>
      </c>
      <c r="AC78" s="8" t="n">
        <f aca="false">-'36-Month Forecast'!AC373</f>
        <v>-0</v>
      </c>
      <c r="AD78" s="8" t="n">
        <f aca="false">-'36-Month Forecast'!AD373</f>
        <v>-0</v>
      </c>
      <c r="AE78" s="8" t="n">
        <f aca="false">-'36-Month Forecast'!AE373</f>
        <v>-0</v>
      </c>
      <c r="AF78" s="8" t="n">
        <f aca="false">-'36-Month Forecast'!AF373</f>
        <v>-0</v>
      </c>
      <c r="AG78" s="8" t="n">
        <f aca="false">-'36-Month Forecast'!AG373</f>
        <v>-0</v>
      </c>
      <c r="AH78" s="8" t="n">
        <f aca="false">-'36-Month Forecast'!AH373</f>
        <v>-0</v>
      </c>
      <c r="AI78" s="8" t="n">
        <f aca="false">-'36-Month Forecast'!AI373</f>
        <v>-0</v>
      </c>
      <c r="AJ78" s="8" t="n">
        <f aca="false">-'36-Month Forecast'!AJ373</f>
        <v>-0</v>
      </c>
      <c r="AK78" s="8" t="n">
        <f aca="false">-'36-Month Forecast'!AK373</f>
        <v>-0</v>
      </c>
      <c r="AL78" s="8" t="n">
        <f aca="false">-'36-Month Forecast'!AL373</f>
        <v>-0</v>
      </c>
      <c r="AM78" s="45" t="n">
        <f aca="false">SUMIF($C$6:$AL$6,1,C78:AL78)</f>
        <v>-19786</v>
      </c>
      <c r="AN78" s="45" t="n">
        <f aca="false">SUMIF($C$6:$AL$6,2,C78:AL78)</f>
        <v>0</v>
      </c>
      <c r="AO78" s="45" t="n">
        <f aca="false">SUMIF($C$6:$AL$6,3,C78:AL78)</f>
        <v>0</v>
      </c>
      <c r="AP78" s="45" t="n">
        <f aca="false">SUM(C78:AL78)</f>
        <v>-19786</v>
      </c>
    </row>
    <row r="79" customFormat="false" ht="15" hidden="false" customHeight="false" outlineLevel="0" collapsed="false">
      <c r="A79" s="7" t="s">
        <v>816</v>
      </c>
      <c r="C79" s="8" t="n">
        <f aca="false">-'36-Month Forecast'!C374</f>
        <v>-0</v>
      </c>
      <c r="D79" s="8" t="n">
        <f aca="false">-'36-Month Forecast'!D374</f>
        <v>-0</v>
      </c>
      <c r="E79" s="8" t="n">
        <f aca="false">-'36-Month Forecast'!E374</f>
        <v>-0</v>
      </c>
      <c r="F79" s="8" t="n">
        <f aca="false">-'36-Month Forecast'!F374</f>
        <v>-0</v>
      </c>
      <c r="G79" s="8" t="n">
        <f aca="false">-'36-Month Forecast'!G374</f>
        <v>-0</v>
      </c>
      <c r="H79" s="8" t="n">
        <f aca="false">-'36-Month Forecast'!H374</f>
        <v>-0</v>
      </c>
      <c r="I79" s="8" t="n">
        <f aca="false">-'36-Month Forecast'!I374</f>
        <v>-0</v>
      </c>
      <c r="J79" s="8" t="n">
        <f aca="false">-'36-Month Forecast'!J374</f>
        <v>-1875</v>
      </c>
      <c r="K79" s="8" t="n">
        <f aca="false">-'36-Month Forecast'!K374</f>
        <v>-0</v>
      </c>
      <c r="L79" s="8" t="n">
        <f aca="false">-'36-Month Forecast'!L374</f>
        <v>-179</v>
      </c>
      <c r="M79" s="8" t="n">
        <f aca="false">-'36-Month Forecast'!M374</f>
        <v>-0</v>
      </c>
      <c r="N79" s="8" t="n">
        <f aca="false">-'36-Month Forecast'!N374</f>
        <v>-0</v>
      </c>
      <c r="O79" s="8" t="n">
        <f aca="false">-'36-Month Forecast'!O374</f>
        <v>-0</v>
      </c>
      <c r="P79" s="8" t="n">
        <f aca="false">-'36-Month Forecast'!P374</f>
        <v>-0</v>
      </c>
      <c r="Q79" s="8" t="n">
        <f aca="false">-'36-Month Forecast'!Q374</f>
        <v>-0</v>
      </c>
      <c r="R79" s="8" t="n">
        <f aca="false">-'36-Month Forecast'!R374</f>
        <v>-0</v>
      </c>
      <c r="S79" s="8" t="n">
        <f aca="false">-'36-Month Forecast'!S374</f>
        <v>-0</v>
      </c>
      <c r="T79" s="8" t="n">
        <f aca="false">-'36-Month Forecast'!T374</f>
        <v>-0</v>
      </c>
      <c r="U79" s="8" t="n">
        <f aca="false">-'36-Month Forecast'!U374</f>
        <v>-5100</v>
      </c>
      <c r="V79" s="8" t="n">
        <f aca="false">-'36-Month Forecast'!V374</f>
        <v>-0</v>
      </c>
      <c r="W79" s="8" t="n">
        <f aca="false">-'36-Month Forecast'!W374</f>
        <v>-0</v>
      </c>
      <c r="X79" s="8" t="n">
        <f aca="false">-'36-Month Forecast'!X374</f>
        <v>-0</v>
      </c>
      <c r="Y79" s="8" t="n">
        <f aca="false">-'36-Month Forecast'!Y374</f>
        <v>-0</v>
      </c>
      <c r="Z79" s="8" t="n">
        <f aca="false">-'36-Month Forecast'!Z374</f>
        <v>-0</v>
      </c>
      <c r="AA79" s="8" t="n">
        <f aca="false">-'36-Month Forecast'!AA374</f>
        <v>-0</v>
      </c>
      <c r="AB79" s="8" t="n">
        <f aca="false">-'36-Month Forecast'!AB374</f>
        <v>-0</v>
      </c>
      <c r="AC79" s="8" t="n">
        <f aca="false">-'36-Month Forecast'!AC374</f>
        <v>-0</v>
      </c>
      <c r="AD79" s="8" t="n">
        <f aca="false">-'36-Month Forecast'!AD374</f>
        <v>-0</v>
      </c>
      <c r="AE79" s="8" t="n">
        <f aca="false">-'36-Month Forecast'!AE374</f>
        <v>-0</v>
      </c>
      <c r="AF79" s="8" t="n">
        <f aca="false">-'36-Month Forecast'!AF374</f>
        <v>-0</v>
      </c>
      <c r="AG79" s="8" t="n">
        <f aca="false">-'36-Month Forecast'!AG374</f>
        <v>-0</v>
      </c>
      <c r="AH79" s="8" t="n">
        <f aca="false">-'36-Month Forecast'!AH374</f>
        <v>-0</v>
      </c>
      <c r="AI79" s="8" t="n">
        <f aca="false">-'36-Month Forecast'!AI374</f>
        <v>-0</v>
      </c>
      <c r="AJ79" s="8" t="n">
        <f aca="false">-'36-Month Forecast'!AJ374</f>
        <v>-0</v>
      </c>
      <c r="AK79" s="8" t="n">
        <f aca="false">-'36-Month Forecast'!AK374</f>
        <v>-0</v>
      </c>
      <c r="AL79" s="8" t="n">
        <f aca="false">-'36-Month Forecast'!AL374</f>
        <v>-0</v>
      </c>
      <c r="AM79" s="45" t="n">
        <f aca="false">SUMIF($C$6:$AL$6,1,C79:AL79)</f>
        <v>-2054</v>
      </c>
      <c r="AN79" s="45" t="n">
        <f aca="false">SUMIF($C$6:$AL$6,2,C79:AL79)</f>
        <v>-5100</v>
      </c>
      <c r="AO79" s="45" t="n">
        <f aca="false">SUMIF($C$6:$AL$6,3,C79:AL79)</f>
        <v>0</v>
      </c>
      <c r="AP79" s="45" t="n">
        <f aca="false">SUM(C79:AL79)</f>
        <v>-7154</v>
      </c>
    </row>
    <row r="80" customFormat="false" ht="15" hidden="false" customHeight="false" outlineLevel="0" collapsed="false">
      <c r="A80" s="57" t="s">
        <v>817</v>
      </c>
      <c r="B80" s="61"/>
      <c r="C80" s="59" t="n">
        <f aca="false">SUM(C72:C79)</f>
        <v>-5411.77043791322</v>
      </c>
      <c r="D80" s="59" t="n">
        <f aca="false">SUM(D72:D79)</f>
        <v>-2213.4153875824</v>
      </c>
      <c r="E80" s="59" t="n">
        <f aca="false">SUM(E72:E79)</f>
        <v>-2666.64276233606</v>
      </c>
      <c r="F80" s="59" t="n">
        <f aca="false">SUM(F72:F79)</f>
        <v>-1562.24039980931</v>
      </c>
      <c r="G80" s="59" t="n">
        <f aca="false">SUM(G72:G79)</f>
        <v>-1526.20332046807</v>
      </c>
      <c r="H80" s="59" t="n">
        <f aca="false">SUM(H72:H79)</f>
        <v>-4191.70173612323</v>
      </c>
      <c r="I80" s="59" t="n">
        <f aca="false">SUM(I72:I79)</f>
        <v>-6390.0377279211</v>
      </c>
      <c r="J80" s="59" t="n">
        <f aca="false">SUM(J72:J79)</f>
        <v>-5127.01802687458</v>
      </c>
      <c r="K80" s="59" t="n">
        <f aca="false">SUM(K72:K79)</f>
        <v>133.452127467378</v>
      </c>
      <c r="L80" s="59" t="n">
        <f aca="false">SUM(L72:L79)</f>
        <v>506.803000960382</v>
      </c>
      <c r="M80" s="59" t="n">
        <f aca="false">SUM(M72:M79)</f>
        <v>1083.70039513914</v>
      </c>
      <c r="N80" s="59" t="n">
        <f aca="false">SUM(N72:N79)</f>
        <v>1435.60885649251</v>
      </c>
      <c r="O80" s="59" t="n">
        <f aca="false">SUM(O72:O79)</f>
        <v>735.081247216037</v>
      </c>
      <c r="P80" s="59" t="n">
        <f aca="false">SUM(P72:P79)</f>
        <v>2668.02177940221</v>
      </c>
      <c r="Q80" s="59" t="n">
        <f aca="false">SUM(Q72:Q79)</f>
        <v>3194.82787709783</v>
      </c>
      <c r="R80" s="59" t="n">
        <f aca="false">SUM(R72:R79)</f>
        <v>3128.88141701341</v>
      </c>
      <c r="S80" s="59" t="n">
        <f aca="false">SUM(S72:S79)</f>
        <v>3010.86877752162</v>
      </c>
      <c r="T80" s="59" t="n">
        <f aca="false">SUM(T72:T79)</f>
        <v>3563.62582821192</v>
      </c>
      <c r="U80" s="59" t="n">
        <f aca="false">SUM(U72:U79)</f>
        <v>-2909.01142895614</v>
      </c>
      <c r="V80" s="59" t="n">
        <f aca="false">SUM(V72:V79)</f>
        <v>3641.39484153586</v>
      </c>
      <c r="W80" s="59" t="n">
        <f aca="false">SUM(W72:W79)</f>
        <v>4082.50950670973</v>
      </c>
      <c r="X80" s="59" t="n">
        <f aca="false">SUM(X72:X79)</f>
        <v>3519.57419964771</v>
      </c>
      <c r="Y80" s="59" t="n">
        <f aca="false">SUM(Y72:Y79)</f>
        <v>3726.85647089888</v>
      </c>
      <c r="Z80" s="59" t="n">
        <f aca="false">SUM(Z72:Z79)</f>
        <v>4630.06397551889</v>
      </c>
      <c r="AA80" s="59" t="n">
        <f aca="false">SUM(AA72:AA79)</f>
        <v>4274.37080240303</v>
      </c>
      <c r="AB80" s="59" t="n">
        <f aca="false">SUM(AB72:AB79)</f>
        <v>3447.38312449937</v>
      </c>
      <c r="AC80" s="59" t="n">
        <f aca="false">SUM(AC72:AC79)</f>
        <v>8006.93235433977</v>
      </c>
      <c r="AD80" s="59" t="n">
        <f aca="false">SUM(AD72:AD79)</f>
        <v>8040.30910138837</v>
      </c>
      <c r="AE80" s="59" t="n">
        <f aca="false">SUM(AE72:AE79)</f>
        <v>7247.61586166981</v>
      </c>
      <c r="AF80" s="59" t="n">
        <f aca="false">SUM(AF72:AF79)</f>
        <v>7751.40500983151</v>
      </c>
      <c r="AG80" s="59" t="n">
        <f aca="false">SUM(AG72:AG79)</f>
        <v>2787.57645042675</v>
      </c>
      <c r="AH80" s="59" t="n">
        <f aca="false">SUM(AH72:AH79)</f>
        <v>7746.99189313472</v>
      </c>
      <c r="AI80" s="59" t="n">
        <f aca="false">SUM(AI72:AI79)</f>
        <v>8254.85892986796</v>
      </c>
      <c r="AJ80" s="59" t="n">
        <f aca="false">SUM(AJ72:AJ79)</f>
        <v>4222.54191329091</v>
      </c>
      <c r="AK80" s="59" t="n">
        <f aca="false">SUM(AK72:AK79)</f>
        <v>7830.97878463517</v>
      </c>
      <c r="AL80" s="59" t="n">
        <f aca="false">SUM(AL72:AL79)</f>
        <v>8822.16961941049</v>
      </c>
      <c r="AM80" s="60" t="n">
        <f aca="false">SUMIF($C$6:$AL$6,1,C80:AL80)</f>
        <v>-25929.4654189686</v>
      </c>
      <c r="AN80" s="60" t="n">
        <f aca="false">SUMIF($C$6:$AL$6,2,C80:AL80)</f>
        <v>32992.694491818</v>
      </c>
      <c r="AO80" s="60" t="n">
        <f aca="false">SUMIF($C$6:$AL$6,3,C80:AL80)</f>
        <v>78433.1338448979</v>
      </c>
      <c r="AP80" s="60" t="n">
        <f aca="false">SUM(C80:AL80)</f>
        <v>85496.3629177473</v>
      </c>
    </row>
    <row r="81" customFormat="false" ht="15" hidden="false" customHeight="false" outlineLevel="0" collapsed="false">
      <c r="A81" s="7" t="s">
        <v>818</v>
      </c>
      <c r="C81" s="8" t="n">
        <f aca="false">-Assumptions!$C$14*MAX(0,C80)</f>
        <v>-0</v>
      </c>
      <c r="D81" s="8" t="n">
        <f aca="false">-Assumptions!$C$14*MAX(0,D80)</f>
        <v>-0</v>
      </c>
      <c r="E81" s="8" t="n">
        <f aca="false">-Assumptions!$C$14*MAX(0,E80)</f>
        <v>-0</v>
      </c>
      <c r="F81" s="8" t="n">
        <f aca="false">-Assumptions!$C$14*MAX(0,F80)</f>
        <v>-0</v>
      </c>
      <c r="G81" s="8" t="n">
        <f aca="false">-Assumptions!$C$14*MAX(0,G80)</f>
        <v>-0</v>
      </c>
      <c r="H81" s="8" t="n">
        <f aca="false">-Assumptions!$C$14*MAX(0,H80)</f>
        <v>-0</v>
      </c>
      <c r="I81" s="8" t="n">
        <f aca="false">-Assumptions!$C$14*MAX(0,I80)</f>
        <v>-0</v>
      </c>
      <c r="J81" s="8" t="n">
        <f aca="false">-Assumptions!$C$14*MAX(0,J80)</f>
        <v>-0</v>
      </c>
      <c r="K81" s="8" t="n">
        <f aca="false">-Assumptions!$C$14*MAX(0,K80)</f>
        <v>-33.3630318668446</v>
      </c>
      <c r="L81" s="8" t="n">
        <f aca="false">-Assumptions!$C$14*MAX(0,L80)</f>
        <v>-126.700750240095</v>
      </c>
      <c r="M81" s="8" t="n">
        <f aca="false">-Assumptions!$C$14*MAX(0,M80)</f>
        <v>-270.925098784784</v>
      </c>
      <c r="N81" s="8" t="n">
        <f aca="false">-Assumptions!$C$14*MAX(0,N80)</f>
        <v>-358.902214123128</v>
      </c>
      <c r="O81" s="8" t="n">
        <f aca="false">-Assumptions!$C$14*MAX(0,O80)</f>
        <v>-183.770311804009</v>
      </c>
      <c r="P81" s="8" t="n">
        <f aca="false">-Assumptions!$C$14*MAX(0,P80)</f>
        <v>-667.005444850553</v>
      </c>
      <c r="Q81" s="8" t="n">
        <f aca="false">-Assumptions!$C$14*MAX(0,Q80)</f>
        <v>-798.706969274458</v>
      </c>
      <c r="R81" s="8" t="n">
        <f aca="false">-Assumptions!$C$14*MAX(0,R80)</f>
        <v>-782.220354253352</v>
      </c>
      <c r="S81" s="8" t="n">
        <f aca="false">-Assumptions!$C$14*MAX(0,S80)</f>
        <v>-752.717194380405</v>
      </c>
      <c r="T81" s="8" t="n">
        <f aca="false">-Assumptions!$C$14*MAX(0,T80)</f>
        <v>-890.906457052981</v>
      </c>
      <c r="U81" s="8" t="n">
        <f aca="false">-Assumptions!$C$14*MAX(0,U80)</f>
        <v>-0</v>
      </c>
      <c r="V81" s="8" t="n">
        <f aca="false">-Assumptions!$C$14*MAX(0,V80)</f>
        <v>-910.348710383964</v>
      </c>
      <c r="W81" s="8" t="n">
        <f aca="false">-Assumptions!$C$14*MAX(0,W80)</f>
        <v>-1020.62737667743</v>
      </c>
      <c r="X81" s="8" t="n">
        <f aca="false">-Assumptions!$C$14*MAX(0,X80)</f>
        <v>-879.893549911928</v>
      </c>
      <c r="Y81" s="8" t="n">
        <f aca="false">-Assumptions!$C$14*MAX(0,Y80)</f>
        <v>-931.714117724721</v>
      </c>
      <c r="Z81" s="8" t="n">
        <f aca="false">-Assumptions!$C$14*MAX(0,Z80)</f>
        <v>-1157.51599387972</v>
      </c>
      <c r="AA81" s="8" t="n">
        <f aca="false">-Assumptions!$C$14*MAX(0,AA80)</f>
        <v>-1068.59270060076</v>
      </c>
      <c r="AB81" s="8" t="n">
        <f aca="false">-Assumptions!$C$14*MAX(0,AB80)</f>
        <v>-861.845781124843</v>
      </c>
      <c r="AC81" s="8" t="n">
        <f aca="false">-Assumptions!$C$14*MAX(0,AC80)</f>
        <v>-2001.73308858494</v>
      </c>
      <c r="AD81" s="8" t="n">
        <f aca="false">-Assumptions!$C$14*MAX(0,AD80)</f>
        <v>-2010.07727534709</v>
      </c>
      <c r="AE81" s="8" t="n">
        <f aca="false">-Assumptions!$C$14*MAX(0,AE80)</f>
        <v>-1811.90396541745</v>
      </c>
      <c r="AF81" s="8" t="n">
        <f aca="false">-Assumptions!$C$14*MAX(0,AF80)</f>
        <v>-1937.85125245788</v>
      </c>
      <c r="AG81" s="8" t="n">
        <f aca="false">-Assumptions!$C$14*MAX(0,AG80)</f>
        <v>-696.894112606689</v>
      </c>
      <c r="AH81" s="8" t="n">
        <f aca="false">-Assumptions!$C$14*MAX(0,AH80)</f>
        <v>-1936.74797328368</v>
      </c>
      <c r="AI81" s="8" t="n">
        <f aca="false">-Assumptions!$C$14*MAX(0,AI80)</f>
        <v>-2063.71473246699</v>
      </c>
      <c r="AJ81" s="8" t="n">
        <f aca="false">-Assumptions!$C$14*MAX(0,AJ80)</f>
        <v>-1055.63547832273</v>
      </c>
      <c r="AK81" s="8" t="n">
        <f aca="false">-Assumptions!$C$14*MAX(0,AK80)</f>
        <v>-1957.74469615879</v>
      </c>
      <c r="AL81" s="8" t="n">
        <f aca="false">-Assumptions!$C$14*MAX(0,AL80)</f>
        <v>-2205.54240485262</v>
      </c>
      <c r="AM81" s="45" t="n">
        <f aca="false">SUMIF($C$6:$AL$6,1,C81:AL81)</f>
        <v>-789.891095014852</v>
      </c>
      <c r="AN81" s="45" t="n">
        <f aca="false">SUMIF($C$6:$AL$6,2,C81:AL81)</f>
        <v>-8975.42648019352</v>
      </c>
      <c r="AO81" s="45" t="n">
        <f aca="false">SUMIF($C$6:$AL$6,3,C81:AL81)</f>
        <v>-19608.2834612245</v>
      </c>
      <c r="AP81" s="45" t="n">
        <f aca="false">SUM(C81:AL81)</f>
        <v>-29373.6010364328</v>
      </c>
    </row>
    <row r="82" customFormat="false" ht="15" hidden="false" customHeight="false" outlineLevel="0" collapsed="false">
      <c r="A82" s="57" t="s">
        <v>819</v>
      </c>
      <c r="B82" s="61"/>
      <c r="C82" s="62" t="n">
        <f aca="false">Assumptions!$C$15+C80+C81</f>
        <v>-5411.77043791322</v>
      </c>
      <c r="D82" s="59" t="n">
        <f aca="false">C82+D80+D81</f>
        <v>-7625.18582549562</v>
      </c>
      <c r="E82" s="59" t="n">
        <f aca="false">D82+E80+E81</f>
        <v>-10291.8285878317</v>
      </c>
      <c r="F82" s="59" t="n">
        <f aca="false">E82+F80+F81</f>
        <v>-11854.068987641</v>
      </c>
      <c r="G82" s="59" t="n">
        <f aca="false">F82+G80+G81</f>
        <v>-13380.2723081091</v>
      </c>
      <c r="H82" s="59" t="n">
        <f aca="false">G82+H80+H81</f>
        <v>-17571.9740442323</v>
      </c>
      <c r="I82" s="59" t="n">
        <f aca="false">H82+I80+I81</f>
        <v>-23962.0117721534</v>
      </c>
      <c r="J82" s="59" t="n">
        <f aca="false">I82+J80+J81</f>
        <v>-29089.029799028</v>
      </c>
      <c r="K82" s="59" t="n">
        <f aca="false">J82+K80+K81</f>
        <v>-28988.9407034274</v>
      </c>
      <c r="L82" s="59" t="n">
        <f aca="false">K82+L80+L81</f>
        <v>-28608.8384527072</v>
      </c>
      <c r="M82" s="59" t="n">
        <f aca="false">L82+M80+M81</f>
        <v>-27796.0631563528</v>
      </c>
      <c r="N82" s="59" t="n">
        <f aca="false">M82+N80+N81</f>
        <v>-26719.3565139834</v>
      </c>
      <c r="O82" s="59" t="n">
        <f aca="false">N82+O80+O81</f>
        <v>-26168.0455785714</v>
      </c>
      <c r="P82" s="59" t="n">
        <f aca="false">O82+P80+P81</f>
        <v>-24167.0292440197</v>
      </c>
      <c r="Q82" s="59" t="n">
        <f aca="false">P82+Q80+Q81</f>
        <v>-21770.9083361964</v>
      </c>
      <c r="R82" s="59" t="n">
        <f aca="false">Q82+R80+R81</f>
        <v>-19424.2472734363</v>
      </c>
      <c r="S82" s="59" t="n">
        <f aca="false">R82+S80+S81</f>
        <v>-17166.0956902951</v>
      </c>
      <c r="T82" s="59" t="n">
        <f aca="false">S82+T80+T81</f>
        <v>-14493.3763191362</v>
      </c>
      <c r="U82" s="59" t="n">
        <f aca="false">T82+U80+U81</f>
        <v>-17402.3877480923</v>
      </c>
      <c r="V82" s="59" t="n">
        <f aca="false">U82+V80+V81</f>
        <v>-14671.3416169404</v>
      </c>
      <c r="W82" s="59" t="n">
        <f aca="false">V82+W80+W81</f>
        <v>-11609.4594869081</v>
      </c>
      <c r="X82" s="59" t="n">
        <f aca="false">W82+X80+X81</f>
        <v>-8969.77883717232</v>
      </c>
      <c r="Y82" s="59" t="n">
        <f aca="false">X82+Y80+Y81</f>
        <v>-6174.63648399815</v>
      </c>
      <c r="Z82" s="59" t="n">
        <f aca="false">Y82+Z80+Z81</f>
        <v>-2702.08850235899</v>
      </c>
      <c r="AA82" s="59" t="n">
        <f aca="false">Z82+AA80+AA81</f>
        <v>503.689599443281</v>
      </c>
      <c r="AB82" s="59" t="n">
        <f aca="false">AA82+AB80+AB81</f>
        <v>3089.22694281781</v>
      </c>
      <c r="AC82" s="59" t="n">
        <f aca="false">AB82+AC80+AC81</f>
        <v>9094.42620857264</v>
      </c>
      <c r="AD82" s="59" t="n">
        <f aca="false">AC82+AD80+AD81</f>
        <v>15124.6580346139</v>
      </c>
      <c r="AE82" s="59" t="n">
        <f aca="false">AD82+AE80+AE81</f>
        <v>20560.3699308663</v>
      </c>
      <c r="AF82" s="59" t="n">
        <f aca="false">AE82+AF80+AF81</f>
        <v>26373.9236882399</v>
      </c>
      <c r="AG82" s="59" t="n">
        <f aca="false">AF82+AG80+AG81</f>
        <v>28464.60602606</v>
      </c>
      <c r="AH82" s="59" t="n">
        <f aca="false">AG82+AH80+AH81</f>
        <v>34274.849945911</v>
      </c>
      <c r="AI82" s="59" t="n">
        <f aca="false">AH82+AI80+AI81</f>
        <v>40465.994143312</v>
      </c>
      <c r="AJ82" s="59" t="n">
        <f aca="false">AI82+AJ80+AJ81</f>
        <v>43632.9005782802</v>
      </c>
      <c r="AK82" s="59" t="n">
        <f aca="false">AJ82+AK80+AK81</f>
        <v>49506.1346667565</v>
      </c>
      <c r="AL82" s="59" t="n">
        <f aca="false">AK82+AL80+AL81</f>
        <v>56122.7618813144</v>
      </c>
      <c r="AM82" s="60" t="n">
        <f aca="false">N82</f>
        <v>-26719.3565139834</v>
      </c>
      <c r="AN82" s="60" t="n">
        <f aca="false">Z82</f>
        <v>-2702.08850235899</v>
      </c>
      <c r="AO82" s="60" t="n">
        <f aca="false">AL82</f>
        <v>56122.7618813144</v>
      </c>
      <c r="AP82" s="60" t="n">
        <f aca="false">AL82</f>
        <v>56122.7618813144</v>
      </c>
    </row>
    <row r="83" customFormat="false" ht="15" hidden="false" customHeight="false" outlineLevel="0" collapsed="false">
      <c r="A83" s="7" t="s">
        <v>820</v>
      </c>
      <c r="C83" s="41" t="n">
        <f aca="false">-C81</f>
        <v>0</v>
      </c>
      <c r="D83" s="41" t="n">
        <f aca="false">-D81+C83</f>
        <v>0</v>
      </c>
      <c r="E83" s="41" t="n">
        <f aca="false">-E81+D83</f>
        <v>0</v>
      </c>
      <c r="F83" s="41" t="n">
        <f aca="false">-F81+E83</f>
        <v>0</v>
      </c>
      <c r="G83" s="41" t="n">
        <f aca="false">-G81+F83</f>
        <v>0</v>
      </c>
      <c r="H83" s="41" t="n">
        <f aca="false">-H81+G83</f>
        <v>0</v>
      </c>
      <c r="I83" s="41" t="n">
        <f aca="false">-I81+H83</f>
        <v>0</v>
      </c>
      <c r="J83" s="41" t="n">
        <f aca="false">-J81+I83</f>
        <v>0</v>
      </c>
      <c r="K83" s="41" t="n">
        <f aca="false">-K81+J83</f>
        <v>33.3630318668446</v>
      </c>
      <c r="L83" s="41" t="n">
        <f aca="false">-L81+K83</f>
        <v>160.06378210694</v>
      </c>
      <c r="M83" s="41" t="n">
        <f aca="false">-M81+L83</f>
        <v>430.988880891724</v>
      </c>
      <c r="N83" s="41" t="n">
        <f aca="false">-N81+M83</f>
        <v>789.891095014852</v>
      </c>
      <c r="O83" s="41" t="n">
        <f aca="false">-O81+N83</f>
        <v>973.661406818862</v>
      </c>
      <c r="P83" s="41" t="n">
        <f aca="false">-P81+O83</f>
        <v>1640.66685166941</v>
      </c>
      <c r="Q83" s="41" t="n">
        <f aca="false">-Q81+P83</f>
        <v>2439.37382094387</v>
      </c>
      <c r="R83" s="41" t="n">
        <f aca="false">-R81+Q83</f>
        <v>3221.59417519722</v>
      </c>
      <c r="S83" s="41" t="n">
        <f aca="false">-S81+R83</f>
        <v>3974.31136957763</v>
      </c>
      <c r="T83" s="41" t="n">
        <f aca="false">-T81+S83</f>
        <v>4865.21782663061</v>
      </c>
      <c r="U83" s="41" t="n">
        <f aca="false">-U81+T83</f>
        <v>4865.21782663061</v>
      </c>
      <c r="V83" s="41" t="n">
        <f aca="false">-V81+U83</f>
        <v>5775.56653701457</v>
      </c>
      <c r="W83" s="41" t="n">
        <f aca="false">-W81+V83</f>
        <v>6796.19391369201</v>
      </c>
      <c r="X83" s="41" t="n">
        <f aca="false">-X81+W83</f>
        <v>7676.08746360393</v>
      </c>
      <c r="Y83" s="41" t="n">
        <f aca="false">-Y81+X83</f>
        <v>8607.80158132866</v>
      </c>
      <c r="Z83" s="41" t="n">
        <f aca="false">-Z81+Y83</f>
        <v>9765.31757520838</v>
      </c>
      <c r="AA83" s="41" t="n">
        <f aca="false">-AA81+Z83</f>
        <v>10833.9102758091</v>
      </c>
      <c r="AB83" s="41" t="n">
        <f aca="false">-AB81+AA83</f>
        <v>11695.756056934</v>
      </c>
      <c r="AC83" s="41" t="n">
        <f aca="false">-AC81+AB83</f>
        <v>13697.4891455189</v>
      </c>
      <c r="AD83" s="41" t="n">
        <f aca="false">-AD81+AC83</f>
        <v>15707.566420866</v>
      </c>
      <c r="AE83" s="41" t="n">
        <f aca="false">-AE81+AD83</f>
        <v>17519.4703862835</v>
      </c>
      <c r="AF83" s="41" t="n">
        <f aca="false">-AF81+AE83</f>
        <v>19457.3216387413</v>
      </c>
      <c r="AG83" s="41" t="n">
        <f aca="false">-AG81+AF83</f>
        <v>20154.215751348</v>
      </c>
      <c r="AH83" s="41" t="n">
        <f aca="false">-AH81+AG83</f>
        <v>22090.9637246317</v>
      </c>
      <c r="AI83" s="41" t="n">
        <f aca="false">-AI81+AH83</f>
        <v>24154.6784570987</v>
      </c>
      <c r="AJ83" s="41" t="n">
        <f aca="false">-AJ81+AI83</f>
        <v>25210.3139354214</v>
      </c>
      <c r="AK83" s="41" t="n">
        <f aca="false">-AK81+AJ83</f>
        <v>27168.0586315802</v>
      </c>
      <c r="AL83" s="41" t="n">
        <f aca="false">-AL81+AK83</f>
        <v>29373.6010364328</v>
      </c>
      <c r="AM83" s="45" t="n">
        <f aca="false">N83</f>
        <v>789.891095014852</v>
      </c>
      <c r="AN83" s="45" t="n">
        <f aca="false">Z83</f>
        <v>9765.31757520838</v>
      </c>
      <c r="AO83" s="45" t="n">
        <f aca="false">AL83</f>
        <v>29373.6010364328</v>
      </c>
      <c r="AP83" s="45" t="n">
        <f aca="false">AL83</f>
        <v>29373.6010364328</v>
      </c>
    </row>
    <row r="84" customFormat="false" ht="15" hidden="false" customHeight="false" outlineLevel="0" collapsed="false">
      <c r="A84" s="7" t="s">
        <v>821</v>
      </c>
      <c r="C84" s="41" t="n">
        <f aca="false">C82+C83</f>
        <v>-5411.77043791322</v>
      </c>
      <c r="D84" s="41" t="n">
        <f aca="false">D82+D83</f>
        <v>-7625.18582549562</v>
      </c>
      <c r="E84" s="41" t="n">
        <f aca="false">E82+E83</f>
        <v>-10291.8285878317</v>
      </c>
      <c r="F84" s="41" t="n">
        <f aca="false">F82+F83</f>
        <v>-11854.068987641</v>
      </c>
      <c r="G84" s="41" t="n">
        <f aca="false">G82+G83</f>
        <v>-13380.2723081091</v>
      </c>
      <c r="H84" s="41" t="n">
        <f aca="false">H82+H83</f>
        <v>-17571.9740442323</v>
      </c>
      <c r="I84" s="41" t="n">
        <f aca="false">I82+I83</f>
        <v>-23962.0117721534</v>
      </c>
      <c r="J84" s="41" t="n">
        <f aca="false">J82+J83</f>
        <v>-29089.029799028</v>
      </c>
      <c r="K84" s="41" t="n">
        <f aca="false">K82+K83</f>
        <v>-28955.5776715606</v>
      </c>
      <c r="L84" s="41" t="n">
        <f aca="false">L82+L83</f>
        <v>-28448.7746706002</v>
      </c>
      <c r="M84" s="41" t="n">
        <f aca="false">M82+M83</f>
        <v>-27365.0742754611</v>
      </c>
      <c r="N84" s="41" t="n">
        <f aca="false">N82+N83</f>
        <v>-25929.4654189686</v>
      </c>
      <c r="O84" s="41" t="n">
        <f aca="false">O82+O83</f>
        <v>-25194.3841717525</v>
      </c>
      <c r="P84" s="41" t="n">
        <f aca="false">P82+P83</f>
        <v>-22526.3623923503</v>
      </c>
      <c r="Q84" s="41" t="n">
        <f aca="false">Q82+Q83</f>
        <v>-19331.5345152525</v>
      </c>
      <c r="R84" s="41" t="n">
        <f aca="false">R82+R83</f>
        <v>-16202.6530982391</v>
      </c>
      <c r="S84" s="41" t="n">
        <f aca="false">S82+S83</f>
        <v>-13191.7843207175</v>
      </c>
      <c r="T84" s="41" t="n">
        <f aca="false">T82+T83</f>
        <v>-9628.15849250555</v>
      </c>
      <c r="U84" s="41" t="n">
        <f aca="false">U82+U83</f>
        <v>-12537.1699214617</v>
      </c>
      <c r="V84" s="41" t="n">
        <f aca="false">V82+V83</f>
        <v>-8895.77507992583</v>
      </c>
      <c r="W84" s="41" t="n">
        <f aca="false">W82+W83</f>
        <v>-4813.26557321609</v>
      </c>
      <c r="X84" s="41" t="n">
        <f aca="false">X82+X83</f>
        <v>-1293.69137356838</v>
      </c>
      <c r="Y84" s="41" t="n">
        <f aca="false">Y82+Y83</f>
        <v>2433.1650973305</v>
      </c>
      <c r="Z84" s="41" t="n">
        <f aca="false">Z82+Z83</f>
        <v>7063.22907284939</v>
      </c>
      <c r="AA84" s="41" t="n">
        <f aca="false">AA82+AA83</f>
        <v>11337.5998752524</v>
      </c>
      <c r="AB84" s="41" t="n">
        <f aca="false">AB82+AB83</f>
        <v>14784.9829997518</v>
      </c>
      <c r="AC84" s="41" t="n">
        <f aca="false">AC82+AC83</f>
        <v>22791.9153540916</v>
      </c>
      <c r="AD84" s="41" t="n">
        <f aca="false">AD82+AD83</f>
        <v>30832.2244554799</v>
      </c>
      <c r="AE84" s="41" t="n">
        <f aca="false">AE82+AE83</f>
        <v>38079.8403171497</v>
      </c>
      <c r="AF84" s="41" t="n">
        <f aca="false">AF82+AF83</f>
        <v>45831.2453269813</v>
      </c>
      <c r="AG84" s="41" t="n">
        <f aca="false">AG82+AG83</f>
        <v>48618.821777408</v>
      </c>
      <c r="AH84" s="41" t="n">
        <f aca="false">AH82+AH83</f>
        <v>56365.8136705427</v>
      </c>
      <c r="AI84" s="41" t="n">
        <f aca="false">AI82+AI83</f>
        <v>64620.6726004107</v>
      </c>
      <c r="AJ84" s="41" t="n">
        <f aca="false">AJ82+AJ83</f>
        <v>68843.2145137016</v>
      </c>
      <c r="AK84" s="41" t="n">
        <f aca="false">AK82+AK83</f>
        <v>76674.1932983368</v>
      </c>
      <c r="AL84" s="41" t="n">
        <f aca="false">AL82+AL83</f>
        <v>85496.3629177473</v>
      </c>
      <c r="AM84" s="45" t="n">
        <f aca="false">N84</f>
        <v>-25929.4654189686</v>
      </c>
      <c r="AN84" s="45" t="n">
        <f aca="false">Z84</f>
        <v>7063.22907284939</v>
      </c>
      <c r="AO84" s="45" t="n">
        <f aca="false">AL84</f>
        <v>85496.3629177473</v>
      </c>
      <c r="AP84" s="45" t="n">
        <f aca="false">AL84</f>
        <v>85496.3629177473</v>
      </c>
    </row>
    <row r="85" customFormat="false" ht="15" hidden="false" customHeight="false" outlineLevel="0" collapsed="false">
      <c r="A85" s="7" t="s">
        <v>822</v>
      </c>
      <c r="C85" s="8" t="n">
        <f aca="false">Assumptions!$C$18*('36-Month Forecast'!C370+'36-Month Forecast'!C371+'36-Month Forecast'!C369)</f>
        <v>3711.9555</v>
      </c>
      <c r="D85" s="8" t="n">
        <f aca="false">Assumptions!$C$18*('36-Month Forecast'!D370+'36-Month Forecast'!D371+'36-Month Forecast'!D369)</f>
        <v>3107.1555</v>
      </c>
      <c r="E85" s="8" t="n">
        <f aca="false">Assumptions!$C$18*('36-Month Forecast'!E370+'36-Month Forecast'!E371+'36-Month Forecast'!E369)</f>
        <v>3343.1055</v>
      </c>
      <c r="F85" s="8" t="n">
        <f aca="false">Assumptions!$C$18*('36-Month Forecast'!F370+'36-Month Forecast'!F371+'36-Month Forecast'!F369)</f>
        <v>4580.6055</v>
      </c>
      <c r="G85" s="8" t="n">
        <f aca="false">Assumptions!$C$18*('36-Month Forecast'!G370+'36-Month Forecast'!G371+'36-Month Forecast'!G369)</f>
        <v>3732.5055</v>
      </c>
      <c r="H85" s="8" t="n">
        <f aca="false">Assumptions!$C$18*('36-Month Forecast'!H370+'36-Month Forecast'!H371+'36-Month Forecast'!H369)</f>
        <v>3343.1055</v>
      </c>
      <c r="I85" s="8" t="n">
        <f aca="false">Assumptions!$C$18*('36-Month Forecast'!I370+'36-Month Forecast'!I371+'36-Month Forecast'!I369)</f>
        <v>7633.1055</v>
      </c>
      <c r="J85" s="8" t="n">
        <f aca="false">Assumptions!$C$18*('36-Month Forecast'!J370+'36-Month Forecast'!J371+'36-Month Forecast'!J369)</f>
        <v>3763.0755</v>
      </c>
      <c r="K85" s="8" t="n">
        <f aca="false">Assumptions!$C$18*('36-Month Forecast'!K370+'36-Month Forecast'!K371+'36-Month Forecast'!K369)</f>
        <v>3763.0755</v>
      </c>
      <c r="L85" s="8" t="n">
        <f aca="false">Assumptions!$C$18*('36-Month Forecast'!L370+'36-Month Forecast'!L371+'36-Month Forecast'!L369)</f>
        <v>3763.0755</v>
      </c>
      <c r="M85" s="8" t="n">
        <f aca="false">Assumptions!$C$18*('36-Month Forecast'!M370+'36-Month Forecast'!M371+'36-Month Forecast'!M369)</f>
        <v>3763.0755</v>
      </c>
      <c r="N85" s="8" t="n">
        <f aca="false">Assumptions!$C$18*('36-Month Forecast'!N370+'36-Month Forecast'!N371+'36-Month Forecast'!N369)</f>
        <v>3763.0755</v>
      </c>
      <c r="O85" s="8" t="n">
        <f aca="false">Assumptions!$C$18*('36-Month Forecast'!O370+'36-Month Forecast'!O371+'36-Month Forecast'!O369)</f>
        <v>7222.2255</v>
      </c>
      <c r="P85" s="8" t="n">
        <f aca="false">Assumptions!$C$18*('36-Month Forecast'!P370+'36-Month Forecast'!P371+'36-Month Forecast'!P369)</f>
        <v>4727.4255</v>
      </c>
      <c r="Q85" s="8" t="n">
        <f aca="false">Assumptions!$C$18*('36-Month Forecast'!Q370+'36-Month Forecast'!Q371+'36-Month Forecast'!Q369)</f>
        <v>4727.4255</v>
      </c>
      <c r="R85" s="8" t="n">
        <f aca="false">Assumptions!$C$18*('36-Month Forecast'!R370+'36-Month Forecast'!R371+'36-Month Forecast'!R369)</f>
        <v>5964.9255</v>
      </c>
      <c r="S85" s="8" t="n">
        <f aca="false">Assumptions!$C$18*('36-Month Forecast'!S370+'36-Month Forecast'!S371+'36-Month Forecast'!S369)</f>
        <v>5116.8255</v>
      </c>
      <c r="T85" s="8" t="n">
        <f aca="false">Assumptions!$C$18*('36-Month Forecast'!T370+'36-Month Forecast'!T371+'36-Month Forecast'!T369)</f>
        <v>4727.4255</v>
      </c>
      <c r="U85" s="8" t="n">
        <f aca="false">Assumptions!$C$18*('36-Month Forecast'!U370+'36-Month Forecast'!U371+'36-Month Forecast'!U369)</f>
        <v>9017.4255</v>
      </c>
      <c r="V85" s="8" t="n">
        <f aca="false">Assumptions!$C$18*('36-Month Forecast'!V370+'36-Month Forecast'!V371+'36-Month Forecast'!V369)</f>
        <v>4727.4255</v>
      </c>
      <c r="W85" s="8" t="n">
        <f aca="false">Assumptions!$C$18*('36-Month Forecast'!W370+'36-Month Forecast'!W371+'36-Month Forecast'!W369)</f>
        <v>4727.4255</v>
      </c>
      <c r="X85" s="8" t="n">
        <f aca="false">Assumptions!$C$18*('36-Month Forecast'!X370+'36-Month Forecast'!X371+'36-Month Forecast'!X369)</f>
        <v>5802.9255</v>
      </c>
      <c r="Y85" s="8" t="n">
        <f aca="false">Assumptions!$C$18*('36-Month Forecast'!Y370+'36-Month Forecast'!Y371+'36-Month Forecast'!Y369)</f>
        <v>5802.9255</v>
      </c>
      <c r="Z85" s="8" t="n">
        <f aca="false">Assumptions!$C$18*('36-Month Forecast'!Z370+'36-Month Forecast'!Z371+'36-Month Forecast'!Z369)</f>
        <v>5802.9255</v>
      </c>
      <c r="AA85" s="8" t="n">
        <f aca="false">Assumptions!$C$18*('36-Month Forecast'!AA370+'36-Month Forecast'!AA371+'36-Month Forecast'!AA369)</f>
        <v>9197.7255</v>
      </c>
      <c r="AB85" s="8" t="n">
        <f aca="false">Assumptions!$C$18*('36-Month Forecast'!AB370+'36-Month Forecast'!AB371+'36-Month Forecast'!AB369)</f>
        <v>6702.9255</v>
      </c>
      <c r="AC85" s="8" t="n">
        <f aca="false">Assumptions!$C$18*('36-Month Forecast'!AC370+'36-Month Forecast'!AC371+'36-Month Forecast'!AC369)</f>
        <v>6702.9255</v>
      </c>
      <c r="AD85" s="8" t="n">
        <f aca="false">Assumptions!$C$18*('36-Month Forecast'!AD370+'36-Month Forecast'!AD371+'36-Month Forecast'!AD369)</f>
        <v>7940.4255</v>
      </c>
      <c r="AE85" s="8" t="n">
        <f aca="false">Assumptions!$C$18*('36-Month Forecast'!AE370+'36-Month Forecast'!AE371+'36-Month Forecast'!AE369)</f>
        <v>7092.3255</v>
      </c>
      <c r="AF85" s="8" t="n">
        <f aca="false">Assumptions!$C$18*('36-Month Forecast'!AF370+'36-Month Forecast'!AF371+'36-Month Forecast'!AF369)</f>
        <v>6702.9255</v>
      </c>
      <c r="AG85" s="8" t="n">
        <f aca="false">Assumptions!$C$18*('36-Month Forecast'!AG370+'36-Month Forecast'!AG371+'36-Month Forecast'!AG369)</f>
        <v>10992.9255</v>
      </c>
      <c r="AH85" s="8" t="n">
        <f aca="false">Assumptions!$C$18*('36-Month Forecast'!AH370+'36-Month Forecast'!AH371+'36-Month Forecast'!AH369)</f>
        <v>6702.9255</v>
      </c>
      <c r="AI85" s="8" t="n">
        <f aca="false">Assumptions!$C$18*('36-Month Forecast'!AI370+'36-Month Forecast'!AI371+'36-Month Forecast'!AI369)</f>
        <v>6702.9255</v>
      </c>
      <c r="AJ85" s="8" t="n">
        <f aca="false">Assumptions!$C$18*('36-Month Forecast'!AJ370+'36-Month Forecast'!AJ371+'36-Month Forecast'!AJ369)</f>
        <v>6702.9255</v>
      </c>
      <c r="AK85" s="8" t="n">
        <f aca="false">Assumptions!$C$18*('36-Month Forecast'!AK370+'36-Month Forecast'!AK371+'36-Month Forecast'!AK369)</f>
        <v>6702.9255</v>
      </c>
      <c r="AL85" s="8" t="n">
        <f aca="false">Assumptions!$C$18*('36-Month Forecast'!AL370+'36-Month Forecast'!AL371+'36-Month Forecast'!AL369)</f>
        <v>6702.9255</v>
      </c>
      <c r="AM85" s="45" t="n">
        <f aca="false">N85</f>
        <v>3763.0755</v>
      </c>
      <c r="AN85" s="45" t="n">
        <f aca="false">Z85</f>
        <v>5802.9255</v>
      </c>
      <c r="AO85" s="45" t="n">
        <f aca="false">AL85</f>
        <v>6702.9255</v>
      </c>
      <c r="AP85" s="45" t="n">
        <f aca="false">AL85</f>
        <v>6702.9255</v>
      </c>
    </row>
    <row r="86" customFormat="false" ht="15" hidden="false" customHeight="false" outlineLevel="0" collapsed="false">
      <c r="A86" s="7" t="s">
        <v>823</v>
      </c>
      <c r="C86" s="41" t="n">
        <f aca="false">C82-C85</f>
        <v>-9123.72593791322</v>
      </c>
      <c r="D86" s="41" t="n">
        <f aca="false">D82-D85</f>
        <v>-10732.3413254956</v>
      </c>
      <c r="E86" s="41" t="n">
        <f aca="false">E82-E85</f>
        <v>-13634.9340878317</v>
      </c>
      <c r="F86" s="41" t="n">
        <f aca="false">F82-F85</f>
        <v>-16434.674487641</v>
      </c>
      <c r="G86" s="41" t="n">
        <f aca="false">G82-G85</f>
        <v>-17112.7778081091</v>
      </c>
      <c r="H86" s="41" t="n">
        <f aca="false">H82-H85</f>
        <v>-20915.0795442323</v>
      </c>
      <c r="I86" s="41" t="n">
        <f aca="false">I82-I85</f>
        <v>-31595.1172721534</v>
      </c>
      <c r="J86" s="41" t="n">
        <f aca="false">J82-J85</f>
        <v>-32852.105299028</v>
      </c>
      <c r="K86" s="41" t="n">
        <f aca="false">K82-K85</f>
        <v>-32752.0162034274</v>
      </c>
      <c r="L86" s="41" t="n">
        <f aca="false">L82-L85</f>
        <v>-32371.9139527072</v>
      </c>
      <c r="M86" s="41" t="n">
        <f aca="false">M82-M85</f>
        <v>-31559.1386563528</v>
      </c>
      <c r="N86" s="41" t="n">
        <f aca="false">N82-N85</f>
        <v>-30482.4320139834</v>
      </c>
      <c r="O86" s="41" t="n">
        <f aca="false">O82-O85</f>
        <v>-33390.2710785714</v>
      </c>
      <c r="P86" s="41" t="n">
        <f aca="false">P82-P85</f>
        <v>-28894.4547440197</v>
      </c>
      <c r="Q86" s="41" t="n">
        <f aca="false">Q82-Q85</f>
        <v>-26498.3338361964</v>
      </c>
      <c r="R86" s="41" t="n">
        <f aca="false">R82-R85</f>
        <v>-25389.1727734363</v>
      </c>
      <c r="S86" s="41" t="n">
        <f aca="false">S82-S85</f>
        <v>-22282.9211902951</v>
      </c>
      <c r="T86" s="41" t="n">
        <f aca="false">T82-T85</f>
        <v>-19220.8018191362</v>
      </c>
      <c r="U86" s="41" t="n">
        <f aca="false">U82-U85</f>
        <v>-26419.8132480923</v>
      </c>
      <c r="V86" s="41" t="n">
        <f aca="false">V82-V85</f>
        <v>-19398.7671169404</v>
      </c>
      <c r="W86" s="41" t="n">
        <f aca="false">W82-W85</f>
        <v>-16336.8849869081</v>
      </c>
      <c r="X86" s="41" t="n">
        <f aca="false">X82-X85</f>
        <v>-14772.7043371723</v>
      </c>
      <c r="Y86" s="41" t="n">
        <f aca="false">Y82-Y85</f>
        <v>-11977.5619839982</v>
      </c>
      <c r="Z86" s="41" t="n">
        <f aca="false">Z82-Z85</f>
        <v>-8505.01400235899</v>
      </c>
      <c r="AA86" s="41" t="n">
        <f aca="false">AA82-AA85</f>
        <v>-8694.03590055672</v>
      </c>
      <c r="AB86" s="41" t="n">
        <f aca="false">AB82-AB85</f>
        <v>-3613.69855718219</v>
      </c>
      <c r="AC86" s="41" t="n">
        <f aca="false">AC82-AC85</f>
        <v>2391.50070857264</v>
      </c>
      <c r="AD86" s="41" t="n">
        <f aca="false">AD82-AD85</f>
        <v>7184.23253461392</v>
      </c>
      <c r="AE86" s="41" t="n">
        <f aca="false">AE82-AE85</f>
        <v>13468.0444308663</v>
      </c>
      <c r="AF86" s="41" t="n">
        <f aca="false">AF82-AF85</f>
        <v>19670.9981882399</v>
      </c>
      <c r="AG86" s="41" t="n">
        <f aca="false">AG82-AG85</f>
        <v>17471.68052606</v>
      </c>
      <c r="AH86" s="41" t="n">
        <f aca="false">AH82-AH85</f>
        <v>27571.924445911</v>
      </c>
      <c r="AI86" s="41" t="n">
        <f aca="false">AI82-AI85</f>
        <v>33763.068643312</v>
      </c>
      <c r="AJ86" s="41" t="n">
        <f aca="false">AJ82-AJ85</f>
        <v>36929.9750782802</v>
      </c>
      <c r="AK86" s="41" t="n">
        <f aca="false">AK82-AK85</f>
        <v>42803.2091667565</v>
      </c>
      <c r="AL86" s="41" t="n">
        <f aca="false">AL82-AL85</f>
        <v>49419.8363813144</v>
      </c>
      <c r="AM86" s="45" t="n">
        <f aca="false">N86</f>
        <v>-30482.4320139834</v>
      </c>
      <c r="AN86" s="45" t="n">
        <f aca="false">Z86</f>
        <v>-8505.01400235899</v>
      </c>
      <c r="AO86" s="45" t="n">
        <f aca="false">AL86</f>
        <v>49419.8363813144</v>
      </c>
      <c r="AP86" s="45" t="n">
        <f aca="false">AL86</f>
        <v>49419.8363813144</v>
      </c>
    </row>
    <row r="87" customFormat="false" ht="15" hidden="false" customHeight="false" outlineLevel="0" collapsed="false">
      <c r="A87" s="7" t="s">
        <v>824</v>
      </c>
      <c r="C87" s="42" t="str">
        <f aca="false">IF(COUNTIF(C82:$AL82,"&lt;0")=0,C$4,"")</f>
        <v/>
      </c>
      <c r="D87" s="42" t="str">
        <f aca="false">IF(COUNTIF(D82:$AL82,"&lt;0")=0,D$4,"")</f>
        <v/>
      </c>
      <c r="E87" s="42" t="str">
        <f aca="false">IF(COUNTIF(E82:$AL82,"&lt;0")=0,E$4,"")</f>
        <v/>
      </c>
      <c r="F87" s="42" t="str">
        <f aca="false">IF(COUNTIF(F82:$AL82,"&lt;0")=0,F$4,"")</f>
        <v/>
      </c>
      <c r="G87" s="42" t="str">
        <f aca="false">IF(COUNTIF(G82:$AL82,"&lt;0")=0,G$4,"")</f>
        <v/>
      </c>
      <c r="H87" s="42" t="str">
        <f aca="false">IF(COUNTIF(H82:$AL82,"&lt;0")=0,H$4,"")</f>
        <v/>
      </c>
      <c r="I87" s="42" t="str">
        <f aca="false">IF(COUNTIF(I82:$AL82,"&lt;0")=0,I$4,"")</f>
        <v/>
      </c>
      <c r="J87" s="42" t="str">
        <f aca="false">IF(COUNTIF(J82:$AL82,"&lt;0")=0,J$4,"")</f>
        <v/>
      </c>
      <c r="K87" s="42" t="str">
        <f aca="false">IF(COUNTIF(K82:$AL82,"&lt;0")=0,K$4,"")</f>
        <v/>
      </c>
      <c r="L87" s="42" t="str">
        <f aca="false">IF(COUNTIF(L82:$AL82,"&lt;0")=0,L$4,"")</f>
        <v/>
      </c>
      <c r="M87" s="42" t="str">
        <f aca="false">IF(COUNTIF(M82:$AL82,"&lt;0")=0,M$4,"")</f>
        <v/>
      </c>
      <c r="N87" s="42" t="str">
        <f aca="false">IF(COUNTIF(N82:$AL82,"&lt;0")=0,N$4,"")</f>
        <v/>
      </c>
      <c r="O87" s="42" t="str">
        <f aca="false">IF(COUNTIF(O82:$AL82,"&lt;0")=0,O$4,"")</f>
        <v/>
      </c>
      <c r="P87" s="42" t="str">
        <f aca="false">IF(COUNTIF(P82:$AL82,"&lt;0")=0,P$4,"")</f>
        <v/>
      </c>
      <c r="Q87" s="42" t="str">
        <f aca="false">IF(COUNTIF(Q82:$AL82,"&lt;0")=0,Q$4,"")</f>
        <v/>
      </c>
      <c r="R87" s="42" t="str">
        <f aca="false">IF(COUNTIF(R82:$AL82,"&lt;0")=0,R$4,"")</f>
        <v/>
      </c>
      <c r="S87" s="42" t="str">
        <f aca="false">IF(COUNTIF(S82:$AL82,"&lt;0")=0,S$4,"")</f>
        <v/>
      </c>
      <c r="T87" s="42" t="str">
        <f aca="false">IF(COUNTIF(T82:$AL82,"&lt;0")=0,T$4,"")</f>
        <v/>
      </c>
      <c r="U87" s="42" t="str">
        <f aca="false">IF(COUNTIF(U82:$AL82,"&lt;0")=0,U$4,"")</f>
        <v/>
      </c>
      <c r="V87" s="42" t="str">
        <f aca="false">IF(COUNTIF(V82:$AL82,"&lt;0")=0,V$4,"")</f>
        <v/>
      </c>
      <c r="W87" s="42" t="str">
        <f aca="false">IF(COUNTIF(W82:$AL82,"&lt;0")=0,W$4,"")</f>
        <v/>
      </c>
      <c r="X87" s="42" t="str">
        <f aca="false">IF(COUNTIF(X82:$AL82,"&lt;0")=0,X$4,"")</f>
        <v/>
      </c>
      <c r="Y87" s="42" t="str">
        <f aca="false">IF(COUNTIF(Y82:$AL82,"&lt;0")=0,Y$4,"")</f>
        <v/>
      </c>
      <c r="Z87" s="42" t="str">
        <f aca="false">IF(COUNTIF(Z82:$AL82,"&lt;0")=0,Z$4,"")</f>
        <v/>
      </c>
      <c r="AA87" s="42" t="n">
        <f aca="false">IF(COUNTIF(AA82:$AL82,"&lt;0")=0,AA$4,"")</f>
        <v>25</v>
      </c>
      <c r="AB87" s="42" t="n">
        <f aca="false">IF(COUNTIF(AB82:$AL82,"&lt;0")=0,AB$4,"")</f>
        <v>26</v>
      </c>
      <c r="AC87" s="42" t="n">
        <f aca="false">IF(COUNTIF(AC82:$AL82,"&lt;0")=0,AC$4,"")</f>
        <v>27</v>
      </c>
      <c r="AD87" s="42" t="n">
        <f aca="false">IF(COUNTIF(AD82:$AL82,"&lt;0")=0,AD$4,"")</f>
        <v>28</v>
      </c>
      <c r="AE87" s="42" t="n">
        <f aca="false">IF(COUNTIF(AE82:$AL82,"&lt;0")=0,AE$4,"")</f>
        <v>29</v>
      </c>
      <c r="AF87" s="42" t="n">
        <f aca="false">IF(COUNTIF(AF82:$AL82,"&lt;0")=0,AF$4,"")</f>
        <v>30</v>
      </c>
      <c r="AG87" s="42" t="n">
        <f aca="false">IF(COUNTIF(AG82:$AL82,"&lt;0")=0,AG$4,"")</f>
        <v>31</v>
      </c>
      <c r="AH87" s="42" t="n">
        <f aca="false">IF(COUNTIF(AH82:$AL82,"&lt;0")=0,AH$4,"")</f>
        <v>32</v>
      </c>
      <c r="AI87" s="42" t="n">
        <f aca="false">IF(COUNTIF(AI82:$AL82,"&lt;0")=0,AI$4,"")</f>
        <v>33</v>
      </c>
      <c r="AJ87" s="42" t="n">
        <f aca="false">IF(COUNTIF(AJ82:$AL82,"&lt;0")=0,AJ$4,"")</f>
        <v>34</v>
      </c>
      <c r="AK87" s="42" t="n">
        <f aca="false">IF(COUNTIF(AK82:$AL82,"&lt;0")=0,AK$4,"")</f>
        <v>35</v>
      </c>
      <c r="AL87" s="42" t="n">
        <f aca="false">IF(COUNTIF(AL82:$AL82,"&lt;0")=0,AL$4,"")</f>
        <v>36</v>
      </c>
    </row>
  </sheetData>
  <mergeCells count="1">
    <mergeCell ref="A2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7" t="s">
        <v>825</v>
      </c>
    </row>
    <row r="2" customFormat="false" ht="27.75" hidden="false" customHeight="true" outlineLevel="0" collapsed="false">
      <c r="A2" s="2" t="s">
        <v>826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5" customFormat="false" ht="21.75" hidden="false" customHeight="true" outlineLevel="0" collapsed="false">
      <c r="A5" s="3" t="s">
        <v>2</v>
      </c>
      <c r="B5" s="4" t="s">
        <v>3</v>
      </c>
      <c r="C5" s="4" t="s">
        <v>4</v>
      </c>
      <c r="D5" s="4" t="s">
        <v>5</v>
      </c>
      <c r="E5" s="4" t="s">
        <v>827</v>
      </c>
    </row>
    <row r="6" customFormat="false" ht="15" hidden="false" customHeight="false" outlineLevel="0" collapsed="false">
      <c r="A6" s="5" t="s">
        <v>828</v>
      </c>
      <c r="B6" s="6"/>
      <c r="C6" s="6"/>
      <c r="D6" s="6"/>
      <c r="E6" s="6"/>
    </row>
    <row r="7" customFormat="false" ht="15" hidden="false" customHeight="false" outlineLevel="0" collapsed="false">
      <c r="A7" s="7" t="s">
        <v>829</v>
      </c>
      <c r="B7" s="37" t="str">
        <f aca="false">IF(COUNT('36-Month Forecast'!$C$133:$AL$133)=0,"Not reached",MIN('36-Month Forecast'!$C$133:$AL$133))</f>
        <v>Not reached</v>
      </c>
      <c r="C7" s="37" t="n">
        <f aca="false">IF(COUNT('36-Month Forecast'!$C$259:$AL$259)=0,"Not reached",MIN('36-Month Forecast'!$C$259:$AL$259))</f>
        <v>12</v>
      </c>
      <c r="D7" s="37" t="n">
        <f aca="false">IF(COUNT('36-Month Forecast'!$C$385:$AL$385)=0,"Not reached",MIN('36-Month Forecast'!$C$385:$AL$385))</f>
        <v>6</v>
      </c>
      <c r="E7" s="9"/>
    </row>
    <row r="8" customFormat="false" ht="15" hidden="false" customHeight="false" outlineLevel="0" collapsed="false">
      <c r="A8" s="7" t="s">
        <v>830</v>
      </c>
      <c r="B8" s="12" t="str">
        <f aca="false">IF(ISNUMBER(B7),DATE(YEAR(Assumptions!$C$8),MONTH(Assumptions!$C$8)+B7-1,1),"Not within 36 months")</f>
        <v>Not within 36 months</v>
      </c>
      <c r="C8" s="12" t="n">
        <f aca="false">IF(ISNUMBER(C7),DATE(YEAR(Assumptions!$C$8),MONTH(Assumptions!$C$8)+C7-1,1),"Not within 36 months")</f>
        <v>46631</v>
      </c>
      <c r="D8" s="12" t="n">
        <f aca="false">IF(ISNUMBER(D7),DATE(YEAR(Assumptions!$C$8),MONTH(Assumptions!$C$8)+D7-1,1),"Not within 36 months")</f>
        <v>46447</v>
      </c>
      <c r="E8" s="9"/>
    </row>
    <row r="9" customFormat="false" ht="15" hidden="false" customHeight="false" outlineLevel="0" collapsed="false">
      <c r="A9" s="7" t="s">
        <v>831</v>
      </c>
      <c r="B9" s="37" t="str">
        <f aca="false">IF(COUNT('36-Month Forecast'!$C$134:$AL$134)=0,"Not reached",MIN('36-Month Forecast'!$C$134:$AL$134))</f>
        <v>Not reached</v>
      </c>
      <c r="C9" s="37" t="n">
        <f aca="false">IF(COUNT('36-Month Forecast'!$C$260:$AL$260)=0,"Not reached",MIN('36-Month Forecast'!$C$260:$AL$260))</f>
        <v>20</v>
      </c>
      <c r="D9" s="37" t="n">
        <f aca="false">IF(COUNT('36-Month Forecast'!$C$386:$AL$386)=0,"Not reached",MIN('36-Month Forecast'!$C$386:$AL$386))</f>
        <v>8</v>
      </c>
      <c r="E9" s="9" t="s">
        <v>832</v>
      </c>
    </row>
    <row r="10" customFormat="false" ht="15" hidden="false" customHeight="false" outlineLevel="0" collapsed="false">
      <c r="A10" s="7" t="s">
        <v>830</v>
      </c>
      <c r="B10" s="12" t="str">
        <f aca="false">IF(ISNUMBER(B9),DATE(YEAR(Assumptions!$C$8),MONTH(Assumptions!$C$8)+B9-1,1),"Not within 36 months")</f>
        <v>Not within 36 months</v>
      </c>
      <c r="C10" s="12" t="n">
        <f aca="false">IF(ISNUMBER(C9),DATE(YEAR(Assumptions!$C$8),MONTH(Assumptions!$C$8)+C9-1,1),"Not within 36 months")</f>
        <v>46874</v>
      </c>
      <c r="D10" s="12" t="n">
        <f aca="false">IF(ISNUMBER(D9),DATE(YEAR(Assumptions!$C$8),MONTH(Assumptions!$C$8)+D9-1,1),"Not within 36 months")</f>
        <v>46508</v>
      </c>
      <c r="E10" s="9"/>
    </row>
    <row r="11" customFormat="false" ht="15" hidden="false" customHeight="false" outlineLevel="0" collapsed="false">
      <c r="A11" s="7" t="s">
        <v>833</v>
      </c>
      <c r="B11" s="37" t="str">
        <f aca="false">IF(COUNT('Cash Flow'!$C$33:$AL$33)=0,"Not reached",MIN('Cash Flow'!$C$33:$AL$33))</f>
        <v>Not reached</v>
      </c>
      <c r="C11" s="37" t="str">
        <f aca="false">IF(COUNT('Cash Flow'!$C$60:$AL$60)=0,"Not reached",MIN('Cash Flow'!$C$60:$AL$60))</f>
        <v>Not reached</v>
      </c>
      <c r="D11" s="37" t="n">
        <f aca="false">IF(COUNT('Cash Flow'!$C$87:$AL$87)=0,"Not reached",MIN('Cash Flow'!$C$87:$AL$87))</f>
        <v>25</v>
      </c>
      <c r="E11" s="9" t="s">
        <v>834</v>
      </c>
    </row>
    <row r="12" customFormat="false" ht="15" hidden="false" customHeight="false" outlineLevel="0" collapsed="false">
      <c r="A12" s="7" t="s">
        <v>830</v>
      </c>
      <c r="B12" s="12" t="str">
        <f aca="false">IF(ISNUMBER(B11),DATE(YEAR(Assumptions!$C$8),MONTH(Assumptions!$C$8)+B11-1,1),"Not within 36 months")</f>
        <v>Not within 36 months</v>
      </c>
      <c r="C12" s="12" t="str">
        <f aca="false">IF(ISNUMBER(C11),DATE(YEAR(Assumptions!$C$8),MONTH(Assumptions!$C$8)+C11-1,1),"Not within 36 months")</f>
        <v>Not within 36 months</v>
      </c>
      <c r="D12" s="12" t="n">
        <f aca="false">IF(ISNUMBER(D11),DATE(YEAR(Assumptions!$C$8),MONTH(Assumptions!$C$8)+D11-1,1),"Not within 36 months")</f>
        <v>47027</v>
      </c>
      <c r="E12" s="9"/>
    </row>
    <row r="13" customFormat="false" ht="15" hidden="false" customHeight="false" outlineLevel="0" collapsed="false">
      <c r="A13" s="7" t="s">
        <v>835</v>
      </c>
      <c r="B13" s="8" t="n">
        <f aca="false">MAX(0,-MIN('Cash Flow'!$C$28:$AL$28))</f>
        <v>61015.6273157922</v>
      </c>
      <c r="C13" s="8" t="n">
        <f aca="false">MAX(0,-MIN('Cash Flow'!$C$55:$AL$55))</f>
        <v>33735.7619214709</v>
      </c>
      <c r="D13" s="8" t="n">
        <f aca="false">MAX(0,-MIN('Cash Flow'!$C$82:$AL$82))</f>
        <v>29089.029799028</v>
      </c>
      <c r="E13" s="9" t="s">
        <v>836</v>
      </c>
    </row>
    <row r="14" customFormat="false" ht="15" hidden="false" customHeight="false" outlineLevel="0" collapsed="false">
      <c r="A14" s="7" t="s">
        <v>837</v>
      </c>
      <c r="B14" s="37" t="n">
        <f aca="false">MATCH(MIN('Cash Flow'!$C$28:$AL$28),'Cash Flow'!$C$28:$AL$28,0)</f>
        <v>36</v>
      </c>
      <c r="C14" s="37" t="n">
        <f aca="false">MATCH(MIN('Cash Flow'!$C$55:$AL$55),'Cash Flow'!$C$55:$AL$55,0)</f>
        <v>22</v>
      </c>
      <c r="D14" s="37" t="n">
        <f aca="false">MATCH(MIN('Cash Flow'!$C$82:$AL$82),'Cash Flow'!$C$82:$AL$82,0)</f>
        <v>8</v>
      </c>
      <c r="E14" s="9"/>
    </row>
    <row r="16" customFormat="false" ht="15" hidden="false" customHeight="false" outlineLevel="0" collapsed="false">
      <c r="A16" s="5" t="s">
        <v>838</v>
      </c>
      <c r="B16" s="6"/>
      <c r="C16" s="6"/>
      <c r="D16" s="6"/>
      <c r="E16" s="6"/>
    </row>
    <row r="17" customFormat="false" ht="15" hidden="false" customHeight="false" outlineLevel="0" collapsed="false">
      <c r="A17" s="7" t="s">
        <v>839</v>
      </c>
      <c r="B17" s="14" t="str">
        <f aca="false">IF(ISNUMBER(B9),INDEX('36-Month Forecast'!$C$112:$AL$112,1,B9),"-")</f>
        <v>-</v>
      </c>
      <c r="C17" s="14" t="n">
        <f aca="false">IF(ISNUMBER(C9),INDEX('36-Month Forecast'!$C$238:$AL$238,1,C9),"-")</f>
        <v>3089.92511536437</v>
      </c>
      <c r="D17" s="14" t="n">
        <f aca="false">IF(ISNUMBER(D9),INDEX('36-Month Forecast'!$C$364:$AL$364,1,D9),"-")</f>
        <v>914.514792022035</v>
      </c>
      <c r="E17" s="9"/>
    </row>
    <row r="18" customFormat="false" ht="15" hidden="false" customHeight="false" outlineLevel="0" collapsed="false">
      <c r="A18" s="7" t="s">
        <v>840</v>
      </c>
      <c r="B18" s="14" t="str">
        <f aca="false">IF(ISNUMBER(B9),INDEX('36-Month Forecast'!$C$113:$AL$113,1,B9),"-")</f>
        <v>-</v>
      </c>
      <c r="C18" s="14" t="n">
        <f aca="false">IF(ISNUMBER(C9),INDEX('36-Month Forecast'!$C$239:$AL$239,1,C9),"-")</f>
        <v>3500.72263444217</v>
      </c>
      <c r="D18" s="14" t="n">
        <f aca="false">IF(ISNUMBER(D9),INDEX('36-Month Forecast'!$C$365:$AL$365,1,D9),"-")</f>
        <v>1109.80947637657</v>
      </c>
      <c r="E18" s="9"/>
    </row>
    <row r="19" customFormat="false" ht="15" hidden="false" customHeight="false" outlineLevel="0" collapsed="false">
      <c r="A19" s="7" t="s">
        <v>841</v>
      </c>
      <c r="B19" s="14" t="str">
        <f aca="false">IF(ISNUMBER(B9),INDEX('36-Month Forecast'!$C$110:$AL$110,1,B9),"-")</f>
        <v>-</v>
      </c>
      <c r="C19" s="14" t="n">
        <f aca="false">IF(ISNUMBER(C9),INDEX('36-Month Forecast'!$C$236:$AL$236,1,C9),"-")</f>
        <v>259.247702157888</v>
      </c>
      <c r="D19" s="14" t="n">
        <f aca="false">IF(ISNUMBER(D9),INDEX('36-Month Forecast'!$C$362:$AL$362,1,D9),"-")</f>
        <v>218.853171468157</v>
      </c>
      <c r="E19" s="9"/>
    </row>
    <row r="21" customFormat="false" ht="15" hidden="false" customHeight="false" outlineLevel="0" collapsed="false">
      <c r="A21" s="5" t="s">
        <v>842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843</v>
      </c>
      <c r="B22" s="8" t="n">
        <f aca="false">'36-Month Forecast'!H118+'36-Month Forecast'!H119+'36-Month Forecast'!H117</f>
        <v>814.3685</v>
      </c>
      <c r="C22" s="8" t="n">
        <f aca="false">'36-Month Forecast'!H244+'36-Month Forecast'!H245+'36-Month Forecast'!H243</f>
        <v>964.3685</v>
      </c>
      <c r="D22" s="8" t="n">
        <f aca="false">'36-Month Forecast'!H370+'36-Month Forecast'!H371+'36-Month Forecast'!H369</f>
        <v>1114.3685</v>
      </c>
      <c r="E22" s="9"/>
    </row>
    <row r="23" customFormat="false" ht="15" hidden="false" customHeight="false" outlineLevel="0" collapsed="false">
      <c r="A23" s="7" t="s">
        <v>844</v>
      </c>
      <c r="B23" s="15" t="n">
        <f aca="false">IF('36-Month Forecast'!H110=0,0,'36-Month Forecast'!H115/'36-Month Forecast'!H110)</f>
        <v>6.85621392654028</v>
      </c>
      <c r="C23" s="15" t="n">
        <f aca="false">IF('36-Month Forecast'!H236=0,0,'36-Month Forecast'!H241/'36-Month Forecast'!H236)</f>
        <v>7.47322736255683</v>
      </c>
      <c r="D23" s="15" t="n">
        <f aca="false">IF('36-Month Forecast'!H362=0,0,'36-Month Forecast'!H367/'36-Month Forecast'!H362)</f>
        <v>8.13822198988611</v>
      </c>
      <c r="E23" s="9"/>
    </row>
    <row r="24" customFormat="false" ht="15" hidden="false" customHeight="false" outlineLevel="0" collapsed="false">
      <c r="A24" s="7" t="s">
        <v>845</v>
      </c>
      <c r="B24" s="52" t="n">
        <f aca="false">IF(B23&lt;=0,"-",B22/B23)</f>
        <v>118.778163681211</v>
      </c>
      <c r="C24" s="52" t="n">
        <f aca="false">IF(C23&lt;=0,"-",C22/C23)</f>
        <v>129.043109919522</v>
      </c>
      <c r="D24" s="52" t="n">
        <f aca="false">IF(D23&lt;=0,"-",D22/D23)</f>
        <v>136.930216622857</v>
      </c>
      <c r="E24" s="9"/>
    </row>
    <row r="25" customFormat="false" ht="15" hidden="false" customHeight="false" outlineLevel="0" collapsed="false">
      <c r="A25" s="7" t="s">
        <v>846</v>
      </c>
      <c r="B25" s="14" t="n">
        <f aca="false">'36-Month Forecast'!H110</f>
        <v>21.6586182915854</v>
      </c>
      <c r="C25" s="14" t="n">
        <f aca="false">'36-Month Forecast'!H236</f>
        <v>86.3430683219904</v>
      </c>
      <c r="D25" s="14" t="n">
        <f aca="false">'36-Month Forecast'!H362</f>
        <v>163.049467500598</v>
      </c>
      <c r="E25" s="9"/>
    </row>
    <row r="26" customFormat="false" ht="15" hidden="false" customHeight="false" outlineLevel="0" collapsed="false">
      <c r="A26" s="7" t="s">
        <v>847</v>
      </c>
      <c r="B26" s="8" t="n">
        <f aca="false">'36-Month Forecast'!N118+'36-Month Forecast'!N119+'36-Month Forecast'!N117</f>
        <v>954.3585</v>
      </c>
      <c r="C26" s="8" t="n">
        <f aca="false">'36-Month Forecast'!N244+'36-Month Forecast'!N245+'36-Month Forecast'!N243</f>
        <v>1104.3585</v>
      </c>
      <c r="D26" s="8" t="n">
        <f aca="false">'36-Month Forecast'!N370+'36-Month Forecast'!N371+'36-Month Forecast'!N369</f>
        <v>1254.3585</v>
      </c>
      <c r="E26" s="9"/>
    </row>
    <row r="27" customFormat="false" ht="15" hidden="false" customHeight="false" outlineLevel="0" collapsed="false">
      <c r="A27" s="7" t="s">
        <v>848</v>
      </c>
      <c r="B27" s="15" t="n">
        <f aca="false">IF('36-Month Forecast'!N110=0,0,'36-Month Forecast'!N115/'36-Month Forecast'!N110)</f>
        <v>6.75235876088214</v>
      </c>
      <c r="C27" s="15" t="n">
        <f aca="false">IF('36-Month Forecast'!N236=0,0,'36-Month Forecast'!N241/'36-Month Forecast'!N236)</f>
        <v>7.46547421338278</v>
      </c>
      <c r="D27" s="15" t="n">
        <f aca="false">IF('36-Month Forecast'!N362=0,0,'36-Month Forecast'!N367/'36-Month Forecast'!N362)</f>
        <v>9.03414336428796</v>
      </c>
      <c r="E27" s="9"/>
    </row>
    <row r="28" customFormat="false" ht="15" hidden="false" customHeight="false" outlineLevel="0" collapsed="false">
      <c r="A28" s="7" t="s">
        <v>849</v>
      </c>
      <c r="B28" s="52" t="n">
        <f aca="false">IF(B27&lt;=0,"-",B26/B27)</f>
        <v>141.337054768003</v>
      </c>
      <c r="C28" s="52" t="n">
        <f aca="false">IF(C27&lt;=0,"-",C26/C27)</f>
        <v>147.928781003664</v>
      </c>
      <c r="D28" s="52" t="n">
        <f aca="false">IF(D27&lt;=0,"-",D26/D27)</f>
        <v>138.846423996158</v>
      </c>
      <c r="E28" s="9"/>
    </row>
    <row r="29" customFormat="false" ht="15" hidden="false" customHeight="false" outlineLevel="0" collapsed="false">
      <c r="A29" s="7" t="s">
        <v>850</v>
      </c>
      <c r="B29" s="14" t="n">
        <f aca="false">'36-Month Forecast'!N110</f>
        <v>32.4278991537192</v>
      </c>
      <c r="C29" s="14" t="n">
        <f aca="false">'36-Month Forecast'!N236</f>
        <v>158.122570256477</v>
      </c>
      <c r="D29" s="14" t="n">
        <f aca="false">'36-Month Forecast'!N362</f>
        <v>308.337420989444</v>
      </c>
      <c r="E29" s="9"/>
    </row>
    <row r="30" customFormat="false" ht="15" hidden="false" customHeight="false" outlineLevel="0" collapsed="false">
      <c r="A30" s="7" t="s">
        <v>851</v>
      </c>
      <c r="B30" s="8" t="n">
        <f aca="false">'36-Month Forecast'!Z118+'36-Month Forecast'!Z119+'36-Month Forecast'!Z117</f>
        <v>1125.8085</v>
      </c>
      <c r="C30" s="8" t="n">
        <f aca="false">'36-Month Forecast'!Z244+'36-Month Forecast'!Z245+'36-Month Forecast'!Z243</f>
        <v>1275.8085</v>
      </c>
      <c r="D30" s="8" t="n">
        <f aca="false">'36-Month Forecast'!Z370+'36-Month Forecast'!Z371+'36-Month Forecast'!Z369</f>
        <v>1934.3085</v>
      </c>
      <c r="E30" s="9"/>
    </row>
    <row r="31" customFormat="false" ht="15" hidden="false" customHeight="false" outlineLevel="0" collapsed="false">
      <c r="A31" s="7" t="s">
        <v>852</v>
      </c>
      <c r="B31" s="15" t="n">
        <f aca="false">IF('36-Month Forecast'!Z110=0,0,'36-Month Forecast'!Z115/'36-Month Forecast'!Z110)</f>
        <v>6.93535730733681</v>
      </c>
      <c r="C31" s="15" t="n">
        <f aca="false">IF('36-Month Forecast'!Z236=0,0,'36-Month Forecast'!Z241/'36-Month Forecast'!Z236)</f>
        <v>9.30414424201105</v>
      </c>
      <c r="D31" s="15" t="n">
        <f aca="false">IF('36-Month Forecast'!Z362=0,0,'36-Month Forecast'!Z367/'36-Month Forecast'!Z362)</f>
        <v>10.3035441447211</v>
      </c>
      <c r="E31" s="9"/>
    </row>
    <row r="32" customFormat="false" ht="15" hidden="false" customHeight="false" outlineLevel="0" collapsed="false">
      <c r="A32" s="7" t="s">
        <v>853</v>
      </c>
      <c r="B32" s="52" t="n">
        <f aca="false">IF(B31&lt;=0,"-",B30/B31)</f>
        <v>162.328839036026</v>
      </c>
      <c r="C32" s="52" t="n">
        <f aca="false">IF(C31&lt;=0,"-",C30/C31)</f>
        <v>137.122605455678</v>
      </c>
      <c r="D32" s="52" t="n">
        <f aca="false">IF(D31&lt;=0,"-",D30/D31)</f>
        <v>187.732344602126</v>
      </c>
      <c r="E32" s="9"/>
    </row>
    <row r="33" customFormat="false" ht="15" hidden="false" customHeight="false" outlineLevel="0" collapsed="false">
      <c r="A33" s="7" t="s">
        <v>854</v>
      </c>
      <c r="B33" s="14" t="n">
        <f aca="false">'36-Month Forecast'!Z110</f>
        <v>46.6133528753923</v>
      </c>
      <c r="C33" s="14" t="n">
        <f aca="false">'36-Month Forecast'!Z236</f>
        <v>285.315125973731</v>
      </c>
      <c r="D33" s="14" t="n">
        <f aca="false">'36-Month Forecast'!Z362</f>
        <v>627.091677817439</v>
      </c>
      <c r="E33" s="9"/>
    </row>
    <row r="34" customFormat="false" ht="15" hidden="false" customHeight="false" outlineLevel="0" collapsed="false">
      <c r="A34" s="7" t="s">
        <v>855</v>
      </c>
      <c r="B34" s="8" t="n">
        <f aca="false">'36-Month Forecast'!AL118+'36-Month Forecast'!AL119+'36-Month Forecast'!AL117</f>
        <v>1225.8085</v>
      </c>
      <c r="C34" s="8" t="n">
        <f aca="false">'36-Month Forecast'!AL244+'36-Month Forecast'!AL245+'36-Month Forecast'!AL243</f>
        <v>1784.3085</v>
      </c>
      <c r="D34" s="8" t="n">
        <f aca="false">'36-Month Forecast'!AL370+'36-Month Forecast'!AL371+'36-Month Forecast'!AL369</f>
        <v>2234.3085</v>
      </c>
      <c r="E34" s="9"/>
    </row>
    <row r="35" customFormat="false" ht="15" hidden="false" customHeight="false" outlineLevel="0" collapsed="false">
      <c r="A35" s="7" t="s">
        <v>856</v>
      </c>
      <c r="B35" s="15" t="n">
        <f aca="false">IF('36-Month Forecast'!AL110=0,0,'36-Month Forecast'!AL115/'36-Month Forecast'!AL110)</f>
        <v>7.07533531010196</v>
      </c>
      <c r="C35" s="15" t="n">
        <f aca="false">IF('36-Month Forecast'!AL236=0,0,'36-Month Forecast'!AL241/'36-Month Forecast'!AL236)</f>
        <v>9.60308075977977</v>
      </c>
      <c r="D35" s="15" t="n">
        <f aca="false">IF('36-Month Forecast'!AL362=0,0,'36-Month Forecast'!AL367/'36-Month Forecast'!AL362)</f>
        <v>10.5963883271989</v>
      </c>
      <c r="E35" s="9"/>
    </row>
    <row r="36" customFormat="false" ht="15" hidden="false" customHeight="false" outlineLevel="0" collapsed="false">
      <c r="A36" s="7" t="s">
        <v>857</v>
      </c>
      <c r="B36" s="52" t="n">
        <f aca="false">IF(B35&lt;=0,"-",B34/B35)</f>
        <v>173.250940948315</v>
      </c>
      <c r="C36" s="52" t="n">
        <f aca="false">IF(C35&lt;=0,"-",C34/C35)</f>
        <v>185.805841337204</v>
      </c>
      <c r="D36" s="52" t="n">
        <f aca="false">IF(D35&lt;=0,"-",D34/D35)</f>
        <v>210.855664308277</v>
      </c>
      <c r="E36" s="9"/>
    </row>
    <row r="37" customFormat="false" ht="15" hidden="false" customHeight="false" outlineLevel="0" collapsed="false">
      <c r="A37" s="7" t="s">
        <v>858</v>
      </c>
      <c r="B37" s="14" t="n">
        <f aca="false">'36-Month Forecast'!AL110</f>
        <v>54.0247061848501</v>
      </c>
      <c r="C37" s="14" t="n">
        <f aca="false">'36-Month Forecast'!AL236</f>
        <v>383.463193240009</v>
      </c>
      <c r="D37" s="14" t="n">
        <f aca="false">'36-Month Forecast'!AL362</f>
        <v>958.364545057188</v>
      </c>
      <c r="E37" s="9"/>
    </row>
    <row r="39" customFormat="false" ht="15" hidden="false" customHeight="false" outlineLevel="0" collapsed="false">
      <c r="A39" s="5" t="s">
        <v>859</v>
      </c>
      <c r="B39" s="6"/>
      <c r="C39" s="6"/>
      <c r="D39" s="6"/>
      <c r="E39" s="6"/>
    </row>
    <row r="40" customFormat="false" ht="15" hidden="false" customHeight="false" outlineLevel="0" collapsed="false">
      <c r="A40" s="3" t="s">
        <v>860</v>
      </c>
      <c r="B40" s="4" t="s">
        <v>452</v>
      </c>
      <c r="C40" s="4" t="s">
        <v>861</v>
      </c>
      <c r="D40" s="4" t="s">
        <v>862</v>
      </c>
      <c r="E40" s="4" t="s">
        <v>863</v>
      </c>
    </row>
    <row r="41" customFormat="false" ht="15" hidden="false" customHeight="false" outlineLevel="0" collapsed="false">
      <c r="A41" s="63" t="str">
        <f aca="false">'Unit Economics'!B15&amp;" - "&amp;'Unit Economics'!C15</f>
        <v>Visual routine cards (200+ editable, 0-5 and 5-12) - Etsy</v>
      </c>
      <c r="B41" s="15" t="n">
        <f aca="false">'Unit Economics'!M15</f>
        <v>5.205</v>
      </c>
      <c r="C41" s="52" t="n">
        <f aca="false">IF(B41&lt;=0,"-",$C$26/B41)</f>
        <v>212.172622478386</v>
      </c>
      <c r="D41" s="55" t="n">
        <f aca="false">IF(B41&lt;=0,"-",C41/30)</f>
        <v>7.07242074927954</v>
      </c>
      <c r="E41" s="9" t="s">
        <v>864</v>
      </c>
    </row>
    <row r="42" customFormat="false" ht="15" hidden="false" customHeight="false" outlineLevel="0" collapsed="false">
      <c r="A42" s="63" t="str">
        <f aca="false">'Unit Economics'!B16&amp;" - "&amp;'Unit Economics'!C16</f>
        <v>"I'm bored" play cards (150, age-banded) - Etsy</v>
      </c>
      <c r="B42" s="15" t="n">
        <f aca="false">'Unit Economics'!M16</f>
        <v>5.205</v>
      </c>
      <c r="C42" s="52" t="n">
        <f aca="false">IF(B42&lt;=0,"-",$C$26/B42)</f>
        <v>212.172622478386</v>
      </c>
      <c r="D42" s="55" t="n">
        <f aca="false">IF(B42&lt;=0,"-",C42/30)</f>
        <v>7.07242074927954</v>
      </c>
      <c r="E42" s="9" t="s">
        <v>865</v>
      </c>
    </row>
    <row r="43" customFormat="false" ht="15" hidden="false" customHeight="false" outlineLevel="0" collapsed="false">
      <c r="A43" s="63" t="str">
        <f aca="false">'Unit Economics'!B17&amp;" - "&amp;'Unit Economics'!C17</f>
        <v>Play-First Family Kit - Etsy</v>
      </c>
      <c r="B43" s="15" t="n">
        <f aca="false">'Unit Economics'!M17</f>
        <v>9.12</v>
      </c>
      <c r="C43" s="52" t="n">
        <f aca="false">IF(B43&lt;=0,"-",$C$26/B43)</f>
        <v>121.091940789474</v>
      </c>
      <c r="D43" s="55" t="n">
        <f aca="false">IF(B43&lt;=0,"-",C43/30)</f>
        <v>4.03639802631579</v>
      </c>
      <c r="E43" s="9" t="s">
        <v>866</v>
      </c>
    </row>
    <row r="44" customFormat="false" ht="15" hidden="false" customHeight="false" outlineLevel="0" collapsed="false">
      <c r="A44" s="63" t="str">
        <f aca="false">'Unit Economics'!B18&amp;" - "&amp;'Unit Economics'!C18</f>
        <v>Toddler busy book printable (120-150 pages) - Etsy</v>
      </c>
      <c r="B44" s="15" t="n">
        <f aca="false">'Unit Economics'!M18</f>
        <v>9.9813</v>
      </c>
      <c r="C44" s="52" t="n">
        <f aca="false">IF(B44&lt;=0,"-",$C$26/B44)</f>
        <v>110.642751946139</v>
      </c>
      <c r="D44" s="55" t="n">
        <f aca="false">IF(B44&lt;=0,"-",C44/30)</f>
        <v>3.68809173153798</v>
      </c>
      <c r="E44" s="9" t="s">
        <v>867</v>
      </c>
    </row>
    <row r="45" customFormat="false" ht="15" hidden="false" customHeight="false" outlineLevel="0" collapsed="false">
      <c r="A45" s="63" t="str">
        <f aca="false">'Unit Economics'!B8&amp;" - "&amp;'Unit Economics'!C8</f>
        <v>Play-First Family Kit - Own site (Shopify)</v>
      </c>
      <c r="B45" s="15" t="n">
        <f aca="false">'Unit Economics'!M8</f>
        <v>10.161</v>
      </c>
      <c r="C45" s="52" t="n">
        <f aca="false">IF(B45&lt;=0,"-",$C$26/B45)</f>
        <v>108.686005314438</v>
      </c>
      <c r="D45" s="55" t="n">
        <f aca="false">IF(B45&lt;=0,"-",C45/30)</f>
        <v>3.62286684381459</v>
      </c>
      <c r="E45" s="9" t="s">
        <v>868</v>
      </c>
    </row>
    <row r="46" customFormat="false" ht="15" hidden="false" customHeight="false" outlineLevel="0" collapsed="false">
      <c r="A46" s="63" t="str">
        <f aca="false">'Unit Economics'!B28&amp;" - "&amp;'Unit Economics'!C28</f>
        <v>100 Screen-Free Plays (paperback, B/W interior) - Amazon KDP</v>
      </c>
      <c r="B46" s="15" t="n">
        <f aca="false">'Unit Economics'!M28</f>
        <v>8.21</v>
      </c>
      <c r="C46" s="52" t="n">
        <f aca="false">IF(B46&lt;=0,"-",$C$26/B46)</f>
        <v>134.513824604141</v>
      </c>
      <c r="D46" s="55" t="n">
        <f aca="false">IF(B46&lt;=0,"-",C46/30)</f>
        <v>4.48379415347138</v>
      </c>
      <c r="E46" s="9" t="s">
        <v>869</v>
      </c>
    </row>
    <row r="47" customFormat="false" ht="15" hidden="false" customHeight="false" outlineLevel="0" collapsed="false">
      <c r="A47" s="63" t="str">
        <f aca="false">'Unit Economics'!B35&amp;" - "&amp;'Unit Economics'!C35</f>
        <v>30-Day Screen Reset (written program) - Own site (Shopify) + automated email</v>
      </c>
      <c r="B47" s="15" t="n">
        <f aca="false">'Unit Economics'!M35</f>
        <v>24.567</v>
      </c>
      <c r="C47" s="52" t="n">
        <f aca="false">IF(B47&lt;=0,"-",$C$26/B47)</f>
        <v>44.952924655025</v>
      </c>
      <c r="D47" s="55" t="n">
        <f aca="false">IF(B47&lt;=0,"-",C47/30)</f>
        <v>1.49843082183417</v>
      </c>
      <c r="E47" s="9" t="s">
        <v>870</v>
      </c>
    </row>
    <row r="48" customFormat="false" ht="15" hidden="false" customHeight="false" outlineLevel="0" collapsed="false">
      <c r="A48" s="63" t="str">
        <f aca="false">'Unit Economics'!B37&amp;" - "&amp;'Unit Economics'!C37</f>
        <v>Up! Go! More! board book - Own site; offset stock at a 3PL</v>
      </c>
      <c r="B48" s="15" t="n">
        <f aca="false">'Unit Economics'!M37</f>
        <v>4.92849</v>
      </c>
      <c r="C48" s="52" t="n">
        <f aca="false">IF(B48&lt;=0,"-",$C$26/B48)</f>
        <v>224.076441262943</v>
      </c>
      <c r="D48" s="55" t="n">
        <f aca="false">IF(B48&lt;=0,"-",C48/30)</f>
        <v>7.46921470876476</v>
      </c>
      <c r="E48" s="9" t="s">
        <v>871</v>
      </c>
    </row>
    <row r="50" customFormat="false" ht="15" hidden="false" customHeight="false" outlineLevel="0" collapsed="false">
      <c r="A50" s="5" t="s">
        <v>872</v>
      </c>
      <c r="B50" s="6"/>
      <c r="C50" s="6"/>
      <c r="D50" s="6"/>
      <c r="E50" s="6"/>
    </row>
    <row r="51" customFormat="false" ht="15" hidden="false" customHeight="false" outlineLevel="0" collapsed="false">
      <c r="A51" s="7" t="s">
        <v>873</v>
      </c>
      <c r="B51" s="8" t="n">
        <f aca="false">'Retail Readiness Costs'!$H$29</f>
        <v>358.5</v>
      </c>
    </row>
    <row r="52" customFormat="false" ht="15" hidden="false" customHeight="false" outlineLevel="0" collapsed="false">
      <c r="A52" s="7" t="s">
        <v>874</v>
      </c>
      <c r="B52" s="15" t="n">
        <f aca="false">'Unit Economics'!$F$58</f>
        <v>1.821575</v>
      </c>
    </row>
    <row r="53" customFormat="false" ht="15" hidden="false" customHeight="false" outlineLevel="0" collapsed="false">
      <c r="A53" s="7" t="s">
        <v>875</v>
      </c>
      <c r="B53" s="52" t="n">
        <f aca="false">IF(B52&lt;=0,"-",B51/B52)</f>
        <v>196.807707615662</v>
      </c>
    </row>
    <row r="54" customFormat="false" ht="15" hidden="false" customHeight="false" outlineLevel="0" collapsed="false">
      <c r="A54" s="7" t="s">
        <v>876</v>
      </c>
      <c r="B54" s="8" t="n">
        <f aca="false">'Retail Readiness Costs'!$H$23</f>
        <v>5100</v>
      </c>
    </row>
    <row r="55" customFormat="false" ht="15" hidden="false" customHeight="false" outlineLevel="0" collapsed="false">
      <c r="A55" s="7" t="s">
        <v>877</v>
      </c>
      <c r="B55" s="52" t="n">
        <f aca="false">IF(B52&lt;=0,"-",B54/B52)</f>
        <v>2799.77492005545</v>
      </c>
    </row>
    <row r="56" customFormat="false" ht="15" hidden="false" customHeight="false" outlineLevel="0" collapsed="false">
      <c r="A56" s="63" t="str">
        <f aca="false">"Net per unit: "&amp;'Unit Economics'!C44</f>
        <v>Net per unit: Faire wholesale to boutiques</v>
      </c>
      <c r="B56" s="15" t="n">
        <f aca="false">'Unit Economics'!M44</f>
        <v>0.376149999999999</v>
      </c>
    </row>
    <row r="57" customFormat="false" ht="15" hidden="false" customHeight="false" outlineLevel="0" collapsed="false">
      <c r="A57" s="63" t="str">
        <f aca="false">"Net per unit: "&amp;'Unit Economics'!C45</f>
        <v>Net per unit: Walmart Marketplace (3PL-fulfilled)</v>
      </c>
      <c r="B57" s="15" t="n">
        <f aca="false">'Unit Economics'!M45</f>
        <v>3.267</v>
      </c>
    </row>
    <row r="58" customFormat="false" ht="15" hidden="false" customHeight="false" outlineLevel="0" collapsed="false">
      <c r="A58" s="63" t="str">
        <f aca="false">"Net per unit: "&amp;'Unit Economics'!C46</f>
        <v>Net per unit: Target Plus (invitation-only) [VERIFY]</v>
      </c>
      <c r="B58" s="15" t="n">
        <f aca="false">'Unit Economics'!M46</f>
        <v>3.267</v>
      </c>
    </row>
    <row r="59" customFormat="false" ht="15" hidden="false" customHeight="false" outlineLevel="0" collapsed="false">
      <c r="A59" s="9" t="s">
        <v>878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4A8"/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22"/>
    <col collapsed="false" customWidth="true" hidden="false" outlineLevel="0" max="10" min="10" style="0" width="70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7" t="s">
        <v>879</v>
      </c>
    </row>
    <row r="2" customFormat="false" ht="27.75" hidden="false" customHeight="true" outlineLevel="0" collapsed="false">
      <c r="A2" s="2" t="s">
        <v>880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customFormat="false" ht="31.5" hidden="false" customHeight="true" outlineLevel="0" collapsed="false">
      <c r="A5" s="3" t="s">
        <v>577</v>
      </c>
      <c r="B5" s="4" t="s">
        <v>881</v>
      </c>
      <c r="C5" s="4" t="s">
        <v>579</v>
      </c>
      <c r="D5" s="4" t="s">
        <v>580</v>
      </c>
      <c r="E5" s="4" t="s">
        <v>882</v>
      </c>
      <c r="F5" s="4" t="s">
        <v>883</v>
      </c>
      <c r="G5" s="4" t="s">
        <v>884</v>
      </c>
      <c r="H5" s="4" t="s">
        <v>885</v>
      </c>
      <c r="I5" s="4" t="s">
        <v>886</v>
      </c>
      <c r="J5" s="4" t="s">
        <v>584</v>
      </c>
      <c r="K5" s="4" t="s">
        <v>59</v>
      </c>
    </row>
    <row r="6" customFormat="false" ht="15" hidden="false" customHeight="false" outlineLevel="0" collapsed="false">
      <c r="A6" s="5" t="s">
        <v>887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7" t="s">
        <v>888</v>
      </c>
      <c r="B7" s="7" t="s">
        <v>889</v>
      </c>
      <c r="C7" s="23" t="n">
        <v>300</v>
      </c>
      <c r="D7" s="23" t="n">
        <v>1000</v>
      </c>
      <c r="E7" s="8" t="n">
        <f aca="false">C7+Assumptions!$C$9*(D7-C7)</f>
        <v>650</v>
      </c>
      <c r="F7" s="7" t="s">
        <v>890</v>
      </c>
      <c r="G7" s="21" t="n">
        <v>1</v>
      </c>
      <c r="H7" s="41" t="n">
        <f aca="false">E7*G7</f>
        <v>650</v>
      </c>
      <c r="I7" s="7" t="s">
        <v>891</v>
      </c>
      <c r="J7" s="7" t="s">
        <v>892</v>
      </c>
      <c r="K7" s="7" t="s">
        <v>79</v>
      </c>
    </row>
    <row r="8" customFormat="false" ht="15" hidden="false" customHeight="false" outlineLevel="0" collapsed="false">
      <c r="A8" s="7" t="s">
        <v>893</v>
      </c>
      <c r="B8" s="7" t="s">
        <v>889</v>
      </c>
      <c r="C8" s="23" t="n">
        <v>0</v>
      </c>
      <c r="D8" s="23" t="n">
        <v>0</v>
      </c>
      <c r="E8" s="8" t="n">
        <f aca="false">C8+Assumptions!$C$9*(D8-C8)</f>
        <v>0</v>
      </c>
      <c r="F8" s="7" t="s">
        <v>890</v>
      </c>
      <c r="G8" s="21" t="n">
        <v>1</v>
      </c>
      <c r="H8" s="41" t="n">
        <f aca="false">E8*G8</f>
        <v>0</v>
      </c>
      <c r="I8" s="7" t="s">
        <v>891</v>
      </c>
      <c r="J8" s="7" t="s">
        <v>894</v>
      </c>
      <c r="K8" s="7" t="s">
        <v>65</v>
      </c>
    </row>
    <row r="9" customFormat="false" ht="15" hidden="false" customHeight="false" outlineLevel="0" collapsed="false">
      <c r="A9" s="7" t="s">
        <v>895</v>
      </c>
      <c r="B9" s="7" t="s">
        <v>889</v>
      </c>
      <c r="C9" s="23" t="n">
        <v>0</v>
      </c>
      <c r="D9" s="23" t="n">
        <v>200</v>
      </c>
      <c r="E9" s="8" t="n">
        <f aca="false">C9+Assumptions!$C$9*(D9-C9)</f>
        <v>100</v>
      </c>
      <c r="F9" s="7" t="s">
        <v>896</v>
      </c>
      <c r="G9" s="21" t="n">
        <v>1</v>
      </c>
      <c r="H9" s="41" t="n">
        <f aca="false">E9*G9</f>
        <v>100</v>
      </c>
      <c r="I9" s="7" t="s">
        <v>891</v>
      </c>
      <c r="J9" s="7" t="s">
        <v>177</v>
      </c>
      <c r="K9" s="7" t="s">
        <v>143</v>
      </c>
    </row>
    <row r="10" customFormat="false" ht="15" hidden="false" customHeight="false" outlineLevel="0" collapsed="false">
      <c r="A10" s="7" t="s">
        <v>897</v>
      </c>
      <c r="B10" s="7" t="s">
        <v>889</v>
      </c>
      <c r="C10" s="23" t="n">
        <v>100</v>
      </c>
      <c r="D10" s="23" t="n">
        <v>400</v>
      </c>
      <c r="E10" s="8" t="n">
        <f aca="false">C10+Assumptions!$C$9*(D10-C10)</f>
        <v>250</v>
      </c>
      <c r="F10" s="7" t="s">
        <v>896</v>
      </c>
      <c r="G10" s="21" t="n">
        <v>1</v>
      </c>
      <c r="H10" s="41" t="n">
        <f aca="false">E10*G10</f>
        <v>250</v>
      </c>
      <c r="I10" s="7" t="s">
        <v>891</v>
      </c>
      <c r="J10" s="7" t="s">
        <v>898</v>
      </c>
      <c r="K10" s="7" t="s">
        <v>143</v>
      </c>
    </row>
    <row r="11" customFormat="false" ht="15" hidden="false" customHeight="false" outlineLevel="0" collapsed="false">
      <c r="A11" s="7" t="s">
        <v>899</v>
      </c>
      <c r="B11" s="7" t="s">
        <v>889</v>
      </c>
      <c r="C11" s="23" t="n">
        <v>0</v>
      </c>
      <c r="D11" s="23" t="n">
        <v>500</v>
      </c>
      <c r="E11" s="8" t="n">
        <f aca="false">C11+Assumptions!$C$9*(D11-C11)</f>
        <v>250</v>
      </c>
      <c r="F11" s="7" t="s">
        <v>896</v>
      </c>
      <c r="G11" s="21" t="n">
        <v>1</v>
      </c>
      <c r="H11" s="41" t="n">
        <f aca="false">E11*G11</f>
        <v>250</v>
      </c>
      <c r="I11" s="7" t="s">
        <v>891</v>
      </c>
      <c r="J11" s="7" t="s">
        <v>177</v>
      </c>
      <c r="K11" s="7" t="s">
        <v>143</v>
      </c>
    </row>
    <row r="12" customFormat="false" ht="15" hidden="false" customHeight="false" outlineLevel="0" collapsed="false">
      <c r="A12" s="7" t="s">
        <v>900</v>
      </c>
      <c r="B12" s="7" t="s">
        <v>889</v>
      </c>
      <c r="C12" s="23" t="n">
        <v>50</v>
      </c>
      <c r="D12" s="23" t="n">
        <v>200</v>
      </c>
      <c r="E12" s="8" t="n">
        <f aca="false">C12+Assumptions!$C$9*(D12-C12)</f>
        <v>125</v>
      </c>
      <c r="F12" s="7" t="s">
        <v>896</v>
      </c>
      <c r="G12" s="21" t="n">
        <v>1</v>
      </c>
      <c r="H12" s="41" t="n">
        <f aca="false">E12*G12</f>
        <v>125</v>
      </c>
      <c r="I12" s="7" t="s">
        <v>891</v>
      </c>
      <c r="J12" s="7" t="s">
        <v>177</v>
      </c>
      <c r="K12" s="7" t="s">
        <v>143</v>
      </c>
    </row>
    <row r="13" customFormat="false" ht="15" hidden="false" customHeight="false" outlineLevel="0" collapsed="false">
      <c r="A13" s="7" t="s">
        <v>901</v>
      </c>
      <c r="B13" s="7" t="s">
        <v>889</v>
      </c>
      <c r="C13" s="23" t="n">
        <v>300</v>
      </c>
      <c r="D13" s="23" t="n">
        <v>700</v>
      </c>
      <c r="E13" s="8" t="n">
        <f aca="false">C13+Assumptions!$C$9*(D13-C13)</f>
        <v>500</v>
      </c>
      <c r="F13" s="7" t="s">
        <v>896</v>
      </c>
      <c r="G13" s="21" t="n">
        <v>1</v>
      </c>
      <c r="H13" s="41" t="n">
        <f aca="false">E13*G13</f>
        <v>500</v>
      </c>
      <c r="I13" s="7" t="s">
        <v>891</v>
      </c>
      <c r="J13" s="7" t="s">
        <v>902</v>
      </c>
      <c r="K13" s="7" t="s">
        <v>79</v>
      </c>
    </row>
    <row r="14" customFormat="false" ht="15" hidden="false" customHeight="false" outlineLevel="0" collapsed="false">
      <c r="A14" s="32" t="s">
        <v>903</v>
      </c>
      <c r="B14" s="31"/>
      <c r="C14" s="31"/>
      <c r="D14" s="31"/>
      <c r="E14" s="31"/>
      <c r="F14" s="31"/>
      <c r="G14" s="31"/>
      <c r="H14" s="47" t="n">
        <f aca="false">SUM(H7:H13)</f>
        <v>1875</v>
      </c>
      <c r="I14" s="31"/>
      <c r="J14" s="31"/>
      <c r="K14" s="31"/>
    </row>
    <row r="16" customFormat="false" ht="15" hidden="false" customHeight="false" outlineLevel="0" collapsed="false">
      <c r="A16" s="5" t="s">
        <v>904</v>
      </c>
      <c r="B16" s="6"/>
      <c r="C16" s="6"/>
      <c r="D16" s="6"/>
      <c r="E16" s="6"/>
      <c r="F16" s="6"/>
      <c r="G16" s="6"/>
      <c r="H16" s="6"/>
      <c r="I16" s="6"/>
      <c r="J16" s="6"/>
      <c r="K16" s="6"/>
    </row>
    <row r="17" customFormat="false" ht="15" hidden="false" customHeight="false" outlineLevel="0" collapsed="false">
      <c r="A17" s="7" t="s">
        <v>905</v>
      </c>
      <c r="B17" s="7" t="s">
        <v>906</v>
      </c>
      <c r="C17" s="23" t="n">
        <v>250</v>
      </c>
      <c r="D17" s="23" t="n">
        <v>750</v>
      </c>
      <c r="E17" s="8" t="n">
        <f aca="false">C17+Assumptions!$C$9*(D17-C17)</f>
        <v>500</v>
      </c>
      <c r="F17" s="7" t="s">
        <v>896</v>
      </c>
      <c r="G17" s="21" t="n">
        <v>1</v>
      </c>
      <c r="H17" s="41" t="n">
        <f aca="false">E17*G17</f>
        <v>500</v>
      </c>
      <c r="I17" s="7" t="s">
        <v>907</v>
      </c>
      <c r="J17" s="7" t="s">
        <v>908</v>
      </c>
      <c r="K17" s="7" t="s">
        <v>143</v>
      </c>
    </row>
    <row r="18" customFormat="false" ht="15" hidden="false" customHeight="false" outlineLevel="0" collapsed="false">
      <c r="A18" s="7" t="s">
        <v>909</v>
      </c>
      <c r="B18" s="7" t="s">
        <v>906</v>
      </c>
      <c r="C18" s="23" t="n">
        <v>300</v>
      </c>
      <c r="D18" s="23" t="n">
        <v>1000</v>
      </c>
      <c r="E18" s="8" t="n">
        <f aca="false">C18+Assumptions!$C$9*(D18-C18)</f>
        <v>650</v>
      </c>
      <c r="F18" s="7" t="s">
        <v>890</v>
      </c>
      <c r="G18" s="21" t="n">
        <v>2</v>
      </c>
      <c r="H18" s="41" t="n">
        <f aca="false">E18*G18</f>
        <v>1300</v>
      </c>
      <c r="I18" s="7" t="s">
        <v>907</v>
      </c>
      <c r="J18" s="7" t="s">
        <v>910</v>
      </c>
      <c r="K18" s="7" t="s">
        <v>79</v>
      </c>
    </row>
    <row r="19" customFormat="false" ht="15" hidden="false" customHeight="false" outlineLevel="0" collapsed="false">
      <c r="A19" s="7" t="s">
        <v>911</v>
      </c>
      <c r="B19" s="7" t="s">
        <v>906</v>
      </c>
      <c r="C19" s="23" t="n">
        <v>500</v>
      </c>
      <c r="D19" s="23" t="n">
        <v>2000</v>
      </c>
      <c r="E19" s="8" t="n">
        <f aca="false">C19+Assumptions!$C$9*(D19-C19)</f>
        <v>1250</v>
      </c>
      <c r="F19" s="7" t="s">
        <v>896</v>
      </c>
      <c r="G19" s="21" t="n">
        <v>1</v>
      </c>
      <c r="H19" s="41" t="n">
        <f aca="false">E19*G19</f>
        <v>1250</v>
      </c>
      <c r="I19" s="7" t="s">
        <v>907</v>
      </c>
      <c r="J19" s="7" t="s">
        <v>912</v>
      </c>
      <c r="K19" s="7" t="s">
        <v>143</v>
      </c>
    </row>
    <row r="20" customFormat="false" ht="15" hidden="false" customHeight="false" outlineLevel="0" collapsed="false">
      <c r="A20" s="7" t="s">
        <v>913</v>
      </c>
      <c r="B20" s="7" t="s">
        <v>906</v>
      </c>
      <c r="C20" s="23" t="n">
        <v>500</v>
      </c>
      <c r="D20" s="23" t="n">
        <v>2500</v>
      </c>
      <c r="E20" s="8" t="n">
        <f aca="false">C20+Assumptions!$C$9*(D20-C20)</f>
        <v>1500</v>
      </c>
      <c r="F20" s="7" t="s">
        <v>896</v>
      </c>
      <c r="G20" s="21" t="n">
        <v>1</v>
      </c>
      <c r="H20" s="41" t="n">
        <f aca="false">E20*G20</f>
        <v>1500</v>
      </c>
      <c r="I20" s="7" t="s">
        <v>907</v>
      </c>
      <c r="J20" s="7" t="s">
        <v>914</v>
      </c>
      <c r="K20" s="7" t="s">
        <v>79</v>
      </c>
    </row>
    <row r="21" customFormat="false" ht="15" hidden="false" customHeight="false" outlineLevel="0" collapsed="false">
      <c r="A21" s="7" t="s">
        <v>915</v>
      </c>
      <c r="B21" s="7" t="s">
        <v>906</v>
      </c>
      <c r="C21" s="23" t="n">
        <v>200</v>
      </c>
      <c r="D21" s="23" t="n">
        <v>600</v>
      </c>
      <c r="E21" s="8" t="n">
        <f aca="false">C21+Assumptions!$C$9*(D21-C21)</f>
        <v>400</v>
      </c>
      <c r="F21" s="7" t="s">
        <v>896</v>
      </c>
      <c r="G21" s="21" t="n">
        <v>1</v>
      </c>
      <c r="H21" s="41" t="n">
        <f aca="false">E21*G21</f>
        <v>400</v>
      </c>
      <c r="I21" s="7" t="s">
        <v>907</v>
      </c>
      <c r="J21" s="7" t="s">
        <v>916</v>
      </c>
      <c r="K21" s="7" t="s">
        <v>143</v>
      </c>
    </row>
    <row r="22" customFormat="false" ht="15" hidden="false" customHeight="false" outlineLevel="0" collapsed="false">
      <c r="A22" s="7" t="s">
        <v>917</v>
      </c>
      <c r="B22" s="7" t="s">
        <v>906</v>
      </c>
      <c r="C22" s="23" t="n">
        <v>0</v>
      </c>
      <c r="D22" s="23" t="n">
        <v>300</v>
      </c>
      <c r="E22" s="8" t="n">
        <f aca="false">C22+Assumptions!$C$9*(D22-C22)</f>
        <v>150</v>
      </c>
      <c r="F22" s="7" t="s">
        <v>896</v>
      </c>
      <c r="G22" s="21" t="n">
        <v>1</v>
      </c>
      <c r="H22" s="41" t="n">
        <f aca="false">E22*G22</f>
        <v>150</v>
      </c>
      <c r="I22" s="7" t="s">
        <v>907</v>
      </c>
      <c r="J22" s="7" t="s">
        <v>918</v>
      </c>
      <c r="K22" s="7" t="s">
        <v>143</v>
      </c>
    </row>
    <row r="23" customFormat="false" ht="15" hidden="false" customHeight="false" outlineLevel="0" collapsed="false">
      <c r="A23" s="32" t="s">
        <v>919</v>
      </c>
      <c r="B23" s="31"/>
      <c r="C23" s="31"/>
      <c r="D23" s="31"/>
      <c r="E23" s="31"/>
      <c r="F23" s="31"/>
      <c r="G23" s="31"/>
      <c r="H23" s="47" t="n">
        <f aca="false">SUM(H17:H22)</f>
        <v>5100</v>
      </c>
      <c r="I23" s="31"/>
      <c r="J23" s="31"/>
      <c r="K23" s="31"/>
    </row>
    <row r="25" customFormat="false" ht="15" hidden="false" customHeight="false" outlineLevel="0" collapsed="false">
      <c r="A25" s="5" t="s">
        <v>920</v>
      </c>
      <c r="B25" s="6"/>
      <c r="C25" s="6"/>
      <c r="D25" s="6"/>
      <c r="E25" s="6"/>
      <c r="F25" s="6"/>
      <c r="G25" s="6"/>
      <c r="H25" s="6"/>
      <c r="I25" s="6"/>
      <c r="J25" s="6"/>
      <c r="K25" s="6"/>
    </row>
    <row r="26" customFormat="false" ht="15" hidden="false" customHeight="false" outlineLevel="0" collapsed="false">
      <c r="A26" s="7" t="s">
        <v>921</v>
      </c>
      <c r="B26" s="7" t="s">
        <v>922</v>
      </c>
      <c r="C26" s="23" t="n">
        <v>100</v>
      </c>
      <c r="D26" s="23" t="n">
        <v>300</v>
      </c>
      <c r="E26" s="8" t="n">
        <f aca="false">C26+Assumptions!$C$9*(D26-C26)</f>
        <v>200</v>
      </c>
      <c r="F26" s="7" t="s">
        <v>923</v>
      </c>
      <c r="G26" s="21" t="n">
        <v>1</v>
      </c>
      <c r="H26" s="41" t="n">
        <f aca="false">E26*G26</f>
        <v>200</v>
      </c>
      <c r="I26" s="7" t="s">
        <v>924</v>
      </c>
      <c r="J26" s="7" t="s">
        <v>925</v>
      </c>
      <c r="K26" s="7" t="s">
        <v>143</v>
      </c>
    </row>
    <row r="27" customFormat="false" ht="15" hidden="false" customHeight="false" outlineLevel="0" collapsed="false">
      <c r="A27" s="7" t="s">
        <v>926</v>
      </c>
      <c r="B27" s="7" t="s">
        <v>922</v>
      </c>
      <c r="C27" s="23" t="n">
        <v>50</v>
      </c>
      <c r="D27" s="23" t="n">
        <v>250</v>
      </c>
      <c r="E27" s="8" t="n">
        <f aca="false">C27+Assumptions!$C$9*(D27-C27)</f>
        <v>150</v>
      </c>
      <c r="F27" s="7" t="s">
        <v>923</v>
      </c>
      <c r="G27" s="21" t="n">
        <v>1</v>
      </c>
      <c r="H27" s="41" t="n">
        <f aca="false">E27*G27</f>
        <v>150</v>
      </c>
      <c r="I27" s="7" t="s">
        <v>924</v>
      </c>
      <c r="J27" s="7" t="s">
        <v>927</v>
      </c>
      <c r="K27" s="7" t="s">
        <v>143</v>
      </c>
    </row>
    <row r="28" customFormat="false" ht="15" hidden="false" customHeight="false" outlineLevel="0" collapsed="false">
      <c r="A28" s="7" t="s">
        <v>928</v>
      </c>
      <c r="B28" s="7" t="s">
        <v>922</v>
      </c>
      <c r="C28" s="23" t="n">
        <v>4</v>
      </c>
      <c r="D28" s="23" t="n">
        <v>13</v>
      </c>
      <c r="E28" s="8" t="n">
        <f aca="false">C28+Assumptions!$C$9*(D28-C28)</f>
        <v>8.5</v>
      </c>
      <c r="F28" s="7" t="s">
        <v>923</v>
      </c>
      <c r="G28" s="21" t="n">
        <v>1</v>
      </c>
      <c r="H28" s="41" t="n">
        <f aca="false">E28*G28</f>
        <v>8.5</v>
      </c>
      <c r="I28" s="7" t="s">
        <v>924</v>
      </c>
      <c r="J28" s="7" t="s">
        <v>177</v>
      </c>
      <c r="K28" s="7" t="s">
        <v>143</v>
      </c>
    </row>
    <row r="29" customFormat="false" ht="15" hidden="false" customHeight="false" outlineLevel="0" collapsed="false">
      <c r="A29" s="32" t="s">
        <v>929</v>
      </c>
      <c r="B29" s="31"/>
      <c r="C29" s="31"/>
      <c r="D29" s="31"/>
      <c r="E29" s="31"/>
      <c r="F29" s="31"/>
      <c r="G29" s="31"/>
      <c r="H29" s="47" t="n">
        <f aca="false">SUM(H26:H28)</f>
        <v>358.5</v>
      </c>
      <c r="I29" s="31"/>
      <c r="J29" s="31"/>
      <c r="K29" s="31"/>
    </row>
    <row r="31" customFormat="false" ht="15" hidden="false" customHeight="false" outlineLevel="0" collapsed="false">
      <c r="A31" s="5" t="s">
        <v>930</v>
      </c>
      <c r="B31" s="6"/>
      <c r="C31" s="6"/>
      <c r="D31" s="6"/>
      <c r="E31" s="6"/>
      <c r="F31" s="6"/>
      <c r="G31" s="6"/>
      <c r="H31" s="6"/>
      <c r="I31" s="6"/>
      <c r="J31" s="6"/>
      <c r="K31" s="6"/>
    </row>
    <row r="32" customFormat="false" ht="15" hidden="false" customHeight="false" outlineLevel="0" collapsed="false">
      <c r="A32" s="7" t="s">
        <v>931</v>
      </c>
      <c r="E32" s="15" t="n">
        <f aca="false">Assumptions!$C$55</f>
        <v>2.9</v>
      </c>
    </row>
    <row r="33" customFormat="false" ht="15" hidden="false" customHeight="false" outlineLevel="0" collapsed="false">
      <c r="A33" s="7" t="s">
        <v>932</v>
      </c>
      <c r="E33" s="15" t="n">
        <f aca="false">Assumptions!$C$57</f>
        <v>3.625</v>
      </c>
    </row>
    <row r="34" customFormat="false" ht="15" hidden="false" customHeight="false" outlineLevel="0" collapsed="false">
      <c r="A34" s="7" t="s">
        <v>933</v>
      </c>
      <c r="G34" s="14" t="n">
        <f aca="false">Assumptions!$C$62</f>
        <v>1000</v>
      </c>
    </row>
    <row r="35" customFormat="false" ht="15" hidden="false" customHeight="false" outlineLevel="0" collapsed="false">
      <c r="A35" s="10" t="s">
        <v>934</v>
      </c>
      <c r="H35" s="64" t="n">
        <f aca="false">E33*G34</f>
        <v>3625</v>
      </c>
    </row>
    <row r="36" customFormat="false" ht="15" hidden="false" customHeight="false" outlineLevel="0" collapsed="false">
      <c r="A36" s="7" t="s">
        <v>935</v>
      </c>
      <c r="H36" s="16" t="n">
        <f aca="false">E33/Assumptions!$C$52</f>
        <v>0.279060816012317</v>
      </c>
    </row>
    <row r="38" customFormat="false" ht="15" hidden="false" customHeight="false" outlineLevel="0" collapsed="false">
      <c r="A38" s="5" t="s">
        <v>936</v>
      </c>
      <c r="B38" s="6"/>
      <c r="C38" s="6"/>
      <c r="D38" s="6"/>
      <c r="E38" s="6"/>
      <c r="F38" s="6"/>
      <c r="G38" s="6"/>
      <c r="H38" s="6"/>
      <c r="I38" s="6"/>
      <c r="J38" s="6"/>
      <c r="K38" s="6"/>
    </row>
    <row r="39" customFormat="false" ht="15" hidden="false" customHeight="false" outlineLevel="0" collapsed="false">
      <c r="A39" s="7" t="s">
        <v>224</v>
      </c>
      <c r="H39" s="8" t="n">
        <f aca="false">Assumptions!$C$60</f>
        <v>100</v>
      </c>
    </row>
    <row r="40" customFormat="false" ht="15" hidden="false" customHeight="false" outlineLevel="0" collapsed="false">
      <c r="A40" s="7" t="s">
        <v>227</v>
      </c>
      <c r="H40" s="15" t="n">
        <f aca="false">Assumptions!$C$61</f>
        <v>39.99</v>
      </c>
    </row>
    <row r="42" customFormat="false" ht="30" hidden="false" customHeight="true" outlineLevel="0" collapsed="false">
      <c r="A42" s="2" t="s">
        <v>937</v>
      </c>
      <c r="B42" s="2"/>
      <c r="C42" s="2"/>
      <c r="D42" s="2"/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</sheetData>
  <mergeCells count="2">
    <mergeCell ref="A2:K3"/>
    <mergeCell ref="A42:K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2026-09-28T01:12:07Z</dcterms:created>
  <dc:creator>openpyxl</dc:creator>
  <dc:description/>
  <dc:language>en-US</dc:language>
  <cp:lastModifiedBy/>
  <dcterms:modified xsi:type="dcterms:W3CDTF">2026-09-28T01:12:10Z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